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2025_05\отчеты для СН\всякие\10,26\27,10,26 дефицит Останкино\"/>
    </mc:Choice>
  </mc:AlternateContent>
  <xr:revisionPtr revIDLastSave="0" documentId="13_ncr:1_{934AD34C-97D9-43A7-A8B7-72E6055E306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</externalReferences>
  <definedNames>
    <definedName name="_xlnm._FilterDatabase" localSheetId="0" hidden="1">TDSheet!$P$17:$AJ$18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L68" i="1" l="1"/>
  <c r="AL34" i="1"/>
  <c r="AL35" i="1"/>
  <c r="AL36" i="1"/>
  <c r="AL37" i="1"/>
  <c r="AL38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6" i="1"/>
  <c r="AL67" i="1"/>
  <c r="AL69" i="1"/>
  <c r="AL71" i="1"/>
  <c r="AL72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6" i="1"/>
  <c r="AK67" i="1"/>
  <c r="AK68" i="1"/>
  <c r="AK69" i="1"/>
  <c r="AK71" i="1"/>
  <c r="AK72" i="1"/>
  <c r="AK33" i="1"/>
  <c r="AN95" i="1" l="1"/>
</calcChain>
</file>

<file path=xl/sharedStrings.xml><?xml version="1.0" encoding="utf-8"?>
<sst xmlns="http://schemas.openxmlformats.org/spreadsheetml/2006/main" count="1480" uniqueCount="903">
  <si>
    <t>Параметры:</t>
  </si>
  <si>
    <t>Период отчета: 27.10.2026 - 27.10.2026</t>
  </si>
  <si>
    <t>Отбор:</t>
  </si>
  <si>
    <t>Партнер Не в группе из списка "18 (4) ИП Арефьев( Филиал...; 1463 (45) МР ИП Ставриенк...; Физическое лицо Поляков В...; ИП Поляков опт  Мелитопол...; Физическое лицо Патяка О...." И
Документ.Склад.Подразделение В группе из списка "ОП Луганск"</t>
  </si>
  <si>
    <t>в Разрезе складов</t>
  </si>
  <si>
    <t>Документ.Склад</t>
  </si>
  <si>
    <t>Итого</t>
  </si>
  <si>
    <t>по заказам</t>
  </si>
  <si>
    <t>реализация</t>
  </si>
  <si>
    <t>отклонения</t>
  </si>
  <si>
    <t>Недогруз вес</t>
  </si>
  <si>
    <t>Заказано вес</t>
  </si>
  <si>
    <t>Отгружено вес</t>
  </si>
  <si>
    <t>Отклонения вес</t>
  </si>
  <si>
    <t>АСП Луганск Заморозка</t>
  </si>
  <si>
    <t>АСП Луганск Останкино</t>
  </si>
  <si>
    <t>АСП Луганск Останкино молоко</t>
  </si>
  <si>
    <t>АСП Луганск ПОКОМ</t>
  </si>
  <si>
    <t>Номенклатура</t>
  </si>
  <si>
    <t>Останкино ООО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</si>
  <si>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</si>
  <si>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</si>
  <si>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</si>
  <si>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</si>
  <si>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</si>
  <si>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</si>
  <si>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</si>
  <si>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</si>
  <si>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</si>
  <si>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</si>
  <si>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</si>
  <si>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</si>
  <si>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</si>
  <si>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</si>
  <si>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</si>
  <si>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</si>
  <si>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</si>
  <si>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</si>
  <si>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</si>
  <si>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</si>
  <si>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</si>
  <si>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</si>
  <si>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</si>
  <si>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</si>
  <si>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</si>
  <si>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</si>
  <si>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</si>
  <si>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</si>
  <si>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8014 ДОКТОРСКАЯ ПРЕМИУМ вар п/о(п)  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</si>
  <si>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</si>
  <si>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</si>
  <si>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</si>
  <si>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</si>
  <si>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</si>
  <si>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</si>
  <si>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</si>
  <si>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</si>
  <si>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</si>
  <si>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</si>
  <si>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</si>
  <si>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</si>
  <si>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</si>
  <si>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</si>
  <si>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</si>
  <si>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6475 Сосиски Папа может 400г С сыром  ОСТАНКИНО</t>
  </si>
  <si>
    <t>6602 БАВАРСКИЕ ПМ сос ц/о мгс 0,35кг 8шт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</si>
  <si>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</si>
  <si>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</si>
  <si>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</si>
  <si>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</si>
  <si>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</si>
  <si>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</si>
  <si>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</si>
  <si>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6834 ПОСОЛЬСКАЯ с/к с/н в/у 1/100 10шт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</si>
  <si>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</si>
  <si>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</si>
  <si>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</si>
  <si>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</si>
  <si>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</si>
  <si>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</si>
  <si>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</si>
  <si>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</si>
  <si>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</si>
  <si>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</si>
  <si>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</si>
  <si>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</si>
  <si>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</si>
  <si>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</si>
  <si>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</si>
  <si>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</si>
  <si>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</si>
  <si>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</si>
  <si>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</si>
  <si>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</si>
  <si>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7332 БОЯРСКАЯ ПМ п/к в/у 0,28кг ОСТАНКИНО</t>
  </si>
  <si>
    <t>7382  САЛЯМИ МЕЛКОЗЕРНЕНАЯ с/к в/у1/120 8шт.  ОСТАНКИНО</t>
  </si>
  <si>
    <t>7386 БАРСЕЛОНА ПМ с/к в/у 1/150  ОСТАНКИНО</t>
  </si>
  <si>
    <t>7399 САЛЯМИ ZHAZIRA ASLAM в/к в/у 0.82кг  ОСТАНКИНО</t>
  </si>
  <si>
    <t>7408 МОЛОЧНАЯ ASLAM сос п/о мгс 0.41кг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</si>
  <si>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</si>
  <si>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</si>
  <si>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</si>
  <si>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</si>
  <si>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7490 СОЧНЫЙ ГРИЛЬ сос ц/о мгс 0.41кг_Даблпак 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</si>
  <si>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</si>
  <si>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</si>
  <si>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</si>
  <si>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</si>
  <si>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</si>
  <si>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</si>
  <si>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</si>
  <si>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7626 БРАУНШВЕЙГСКАЯ с/к с/н мгс 1/100_Л10  ОСТАНКИНО</t>
  </si>
  <si>
    <t>7632 ЭКСТРА Папа может вар п/о 0.4кг 8шт_195к  ОСТАНКИНО</t>
  </si>
  <si>
    <t>7710 КРАКОВСКАЯ ГОСТ п/к н/о мгс 0.3кг  ОСТАНКИНО</t>
  </si>
  <si>
    <t>7713 СЕРВЕЛАТ КЛАССИЧЕСКИЙ СН в/к в/у 0.28кг  ОСТАНКИНО</t>
  </si>
  <si>
    <t>7725 ВЕТ.МРАМОРНАЯ в/у срез 0.3кг 6шт_62  ОСТАНКИНО</t>
  </si>
  <si>
    <t>7730 ХОЧУ ВЕТЧ.ИЗ СВ.ОТРУБА мгс 1/100_45с_Л11  ОСТАНКИНО</t>
  </si>
  <si>
    <t>7731 ХОЧУ ВЕТЧ. МРАМОР. с/н мгс 1/100_45с_Л11  ОСТАНКИНО</t>
  </si>
  <si>
    <t>Останкино (соусы, майонезы)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</si>
  <si>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</si>
  <si>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</si>
  <si>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</si>
  <si>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</si>
  <si>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Останкино Заморозка</t>
  </si>
  <si>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</si>
  <si>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</si>
  <si>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</si>
  <si>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</si>
  <si>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</si>
  <si>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</si>
  <si>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</si>
  <si>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</si>
  <si>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</si>
  <si>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</si>
  <si>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</si>
  <si>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Останкино КОРОВИНО (ВЕС)</t>
  </si>
  <si>
    <t>6861 ДОМАШНИЙ РЕЦЕПТ Коровино вар п/о  Останкино</t>
  </si>
  <si>
    <t>6866 ВЕТЧ.НЕЖНАЯ Коровино п/о_Маяк  Останкино</t>
  </si>
  <si>
    <t>Останкино КОРОВИНО (ШТ)</t>
  </si>
  <si>
    <t>7149 БАЛЫКОВАЯ Коровино п/к в/у 0,84кг_50с  Останкино</t>
  </si>
  <si>
    <t>Останкино СЫР</t>
  </si>
  <si>
    <t>3323 Сыр Российский цилиндр 1/4 пленка ЮКМП м.д.ж. 50%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</si>
  <si>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</si>
  <si>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</si>
  <si>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</si>
  <si>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</si>
  <si>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</si>
  <si>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</si>
  <si>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</si>
  <si>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</si>
  <si>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</si>
  <si>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</si>
  <si>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</si>
  <si>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</si>
  <si>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</si>
  <si>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рассольный жирный Чечил 45%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</si>
  <si>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</si>
  <si>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</si>
  <si>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</si>
  <si>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</si>
  <si>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 xml:space="preserve">ПОКОМ Логистический Партнер 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</si>
  <si>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</si>
  <si>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</si>
  <si>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</si>
  <si>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</si>
  <si>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</si>
  <si>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</si>
  <si>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</si>
  <si>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</si>
  <si>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</si>
  <si>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</si>
  <si>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</si>
  <si>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</si>
  <si>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</si>
  <si>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</si>
  <si>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</si>
  <si>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</si>
  <si>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</si>
  <si>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</si>
  <si>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</si>
  <si>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</si>
  <si>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</si>
  <si>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355  Колбаса Сервелат запеченный ТМ Стародворье ТС Дугушка. 0,6 кг.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</si>
  <si>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</si>
  <si>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</si>
  <si>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</si>
  <si>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</si>
  <si>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</si>
  <si>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</si>
  <si>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</si>
  <si>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</si>
  <si>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</si>
  <si>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>Заморозка Зареченские Логистический партнер (кг)</t>
  </si>
  <si>
    <t>Жар-ладушки с мясом ТМ Зареченские ТС Зареченские продукты.  Поком</t>
  </si>
  <si>
    <t>Мини-сосиски в ароматном тесте ВЕС ТМ Зареченские продукты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</si>
  <si>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</si>
  <si>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</si>
  <si>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</si>
  <si>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</si>
  <si>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</si>
  <si>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</si>
  <si>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</si>
  <si>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</si>
  <si>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</si>
  <si>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</si>
  <si>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</si>
  <si>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</si>
  <si>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</si>
  <si>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</si>
  <si>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</si>
  <si>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</si>
  <si>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</si>
  <si>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</si>
  <si>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</si>
  <si>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</si>
  <si>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</si>
  <si>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</si>
  <si>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</si>
  <si>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</si>
  <si>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</si>
  <si>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</si>
  <si>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</si>
  <si>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</si>
  <si>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</si>
  <si>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</si>
  <si>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</si>
  <si>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</si>
  <si>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</si>
  <si>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</si>
  <si>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</si>
  <si>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</si>
  <si>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</si>
  <si>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</si>
  <si>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</si>
  <si>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</si>
  <si>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</si>
  <si>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</si>
  <si>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</si>
  <si>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</si>
  <si>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</si>
  <si>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</si>
  <si>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</si>
  <si>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</si>
  <si>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</si>
  <si>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</si>
  <si>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</si>
  <si>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</si>
  <si>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</si>
  <si>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</si>
  <si>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</si>
  <si>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</si>
  <si>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</si>
  <si>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</si>
  <si>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</si>
  <si>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</si>
  <si>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</si>
  <si>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</si>
  <si>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</si>
  <si>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</si>
  <si>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</si>
  <si>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</si>
  <si>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</si>
  <si>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</si>
  <si>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</si>
  <si>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</si>
  <si>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</si>
  <si>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</si>
  <si>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</si>
  <si>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</si>
  <si>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</si>
  <si>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</si>
  <si>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</si>
  <si>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</si>
  <si>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</si>
  <si>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</si>
  <si>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</si>
  <si>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</si>
  <si>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</si>
  <si>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</si>
  <si>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</si>
  <si>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</si>
  <si>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</si>
  <si>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</si>
  <si>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Вареники Медвежье ушко Премиум с картофелем и лесными грибами клас. форма флоу-пак 0,6 кг  ПОКОМ</t>
  </si>
  <si>
    <t>Готовая чебупицца курочка по-итальянски 0,25кг ТМ Горячая штучка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</si>
  <si>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</si>
  <si>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</si>
  <si>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</si>
  <si>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</si>
  <si>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</si>
  <si>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</si>
  <si>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</si>
  <si>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</si>
  <si>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</si>
  <si>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</si>
  <si>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 мясом ТМ Горячая штучка 0,09 кг флоу-пак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</si>
  <si>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</si>
  <si>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</si>
  <si>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</si>
  <si>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</si>
  <si>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</si>
  <si>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</si>
  <si>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Сливушки в темпуре ТМ Вязанка флоу-пак 0,23 кг  ПОКОМ</t>
  </si>
  <si>
    <t>Наггетсы Хрустящие НД2. ВЕС.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</si>
  <si>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</si>
  <si>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</si>
  <si>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</si>
  <si>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</si>
  <si>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</si>
  <si>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</si>
  <si>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</si>
  <si>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 xml:space="preserve">Пельмени Бульмени мини с мясом и оливковым маслом  ТС Бульмени ГШ флоу-пак сфера 0,7кг  Поком 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</si>
  <si>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</si>
  <si>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</si>
  <si>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</si>
  <si>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</si>
  <si>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</si>
  <si>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</si>
  <si>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Медвежье ушко Премиум со сливочным маслом 0,4 кг ТМ Медвежье ушко  ПОКОМ</t>
  </si>
  <si>
    <t>Пельмени Медвежье ушко Премиум со сливочным маслом 0,8 кг ТМ Медвежье ушко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</si>
  <si>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</si>
  <si>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</si>
  <si>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</si>
  <si>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</si>
  <si>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ТС Любимая ложка сфера флоу-пак 1 кг  ПОКОМ</t>
  </si>
  <si>
    <t>Пирожки с мясом НД  ВЕС  ПОКОМ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</si>
  <si>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</si>
  <si>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</si>
  <si>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Готовые чебупели с курицей ТМ Горячая штучка (курочка гриль) флоу-пак 0,3 кг  ПОКОМ</t>
  </si>
  <si>
    <t>ХБИ Мини-шарики с курочкой и сыром ТМ Зареченские продукты ВЕС  ПОКОМ</t>
  </si>
  <si>
    <t>ХБИ Снеки «Готовые круггетсы с сырным соусом» Фикс.вес 0,2 ТМ «Горячая штучка» ПОКОМ</t>
  </si>
  <si>
    <t>Хот-догстер ТМ Горячая штучка ТС Хот-Догстер флоу-пак 0,09 кг.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</si>
  <si>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</si>
  <si>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</si>
  <si>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</si>
  <si>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манго маракуйя ТМ Горячая штучка 0,18 кг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</si>
  <si>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</si>
  <si>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</si>
  <si>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</si>
  <si>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</si>
  <si>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</si>
  <si>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</si>
  <si>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</si>
  <si>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в т.ч. ОПТ</t>
  </si>
  <si>
    <t>Отбор: Партнер В группе из списка "ООО Мясной Бум ОПТ1, г.Макеевка, квартал 61, д.36; Физическое лицо Табота Херсонская обл г.Новая Каховка...; Карлова С.С. ИП (г.Донецк, пр-кт Ильича, д.105); ИП Карлов И.С., Дон. обл. г. Макеевка, переулок Автоб...; Малахутин А.В. ИП (г.Горловка, ул.Первомайская, д.50/...; Малахутин А.В. ИП (г.Горловка, ул.Первомайская, д.50а...; Решетняк Е.А. ИП (г.Старобельск, пл.Товарная, д.3, ма...; Украинцев А.Н. ИП (г.Старобельск, ул.Кирова, д.43А, м...; Физическое лицо Патяка О.Н. Запорожская обл. г.Мелито...; Физическое лицо Поляков В.И. Запорожская обл. Мелитоп...;..."</t>
  </si>
  <si>
    <t>Партнер</t>
  </si>
  <si>
    <t>Украинцев А.Н. ИП (г.Старобельск, ул.Кирова, д.43А, магазин Оптовик)</t>
  </si>
  <si>
    <t>Водителя и партнеры</t>
  </si>
  <si>
    <t>Водитель</t>
  </si>
  <si>
    <t>№ в группе</t>
  </si>
  <si>
    <t>ИП Хомутова М.П., Луганская обл., г.Алчевск, ул Менжинского, ц рынок 54 у,магазин,+79590000001</t>
  </si>
  <si>
    <t>Короленко В.Н. ИП (г.Луганск, кв-л 50 лет Октября, д.19, помещ.1)</t>
  </si>
  <si>
    <t>Нестеренко В.В. ИП (пгт.Беловодск, ул.Торосяна, д.11Б)</t>
  </si>
  <si>
    <t>Башмаков А.В. ИП (кв-л 50 лет Октября, д.2В, рынок Аркада, мод.6-7)</t>
  </si>
  <si>
    <t>Афанасьева С.Н. ИП (ул.Сосюры, д.137, маг.У Берёзки)</t>
  </si>
  <si>
    <t>Сергиенко С.Н. ИП (г.Перевальск, ул.Ленина, д.56А)</t>
  </si>
  <si>
    <t>Рубан А.А. ИП (с.Городище, ул.Беловодская, д.10, маг.Хуторок)</t>
  </si>
  <si>
    <t>ИП Лагутин Г.И.г.Луганск, ул.Димитрова 2,магазин,+79592037915</t>
  </si>
  <si>
    <t>ИП Святоха С.Н., г. Луганск, кв. Левченко 16, магазин "Изюминка", +79591505521</t>
  </si>
  <si>
    <t>ИП Козиков А.В. г. Луганск, кв Комарова 16 в, магазин "Синий" +79595091977 Виктория</t>
  </si>
  <si>
    <t xml:space="preserve">ИП Чесноков Ю.В Луганская обл. г.Луганск, кв.Ватутина, 90А (р. Славянский, мод.49) </t>
  </si>
  <si>
    <t>Головнев М.В. ИП (ул.Шевченко В.В., д.18б)</t>
  </si>
  <si>
    <t>Алимов Константин</t>
  </si>
  <si>
    <t>Кулиш В.И. ИП (г.Старобельск, ул.Старотаганрогская, д.105, р-н МРЭО)</t>
  </si>
  <si>
    <t>Павлов А.В. ИП (пл.Товарная, д.3)</t>
  </si>
  <si>
    <t>Богацкий Сергей</t>
  </si>
  <si>
    <t>АПЕКС ПЛЮС ООО (ул.Карла Либкнехта, д.16А, Магазин 136)</t>
  </si>
  <si>
    <t>ИП Шайгарданов В.В., Луганская обл., г. Свердловск, центральный рынок, место 33, +79591392786</t>
  </si>
  <si>
    <t>АЛЧЕВСК-ИНВЕСТ ООО (ул.Косиора, д.7а, с/м Парус)</t>
  </si>
  <si>
    <t>ИП Киселева И.В. Луганская обл. г. Свердловск, Центральный Рынок ряд 3 место 26 +79591016986</t>
  </si>
  <si>
    <t xml:space="preserve"> ИП Мальцева Л.С. Луганская обл. г.Свердловск Площадь Куйбышева 11б маг. "Виктория" +79591186397</t>
  </si>
  <si>
    <t>ИП Абрамов Д.Н Луганская обл. г. Свердловск. ц.рынок, ряд 4 место 10</t>
  </si>
  <si>
    <t>ИП Азизова Е.И., Луганская обл., г. Свердловск , ул. Украинская 52, магазин "Смак"  +79590000001</t>
  </si>
  <si>
    <t>ИП Калитвинцев С.И Луганская обл. г. Свердловск, ул. Косиора ЦР 5 ряд место 17</t>
  </si>
  <si>
    <t xml:space="preserve">ИП Дрозд Г.Г Свердловск ЛНР ул. Гагарина. маг. Орбита </t>
  </si>
  <si>
    <t>ИП Андрющенко Л.М. Луганская обл. г. Свердловск ул. Ленина 1А маг. "Ласточка"+79591221916</t>
  </si>
  <si>
    <t>АЛЧЕВСК-ИНВЕСТ ООО (кв-л 50 лет Октября, д.1, с/м Парус)</t>
  </si>
  <si>
    <t>Сундикова В.В. ИП (г.Свердловск, пер.Покрышкина, д.9)</t>
  </si>
  <si>
    <t>ИП Шайдуко М.В. Луганская обл. г.Свердловск Ц.Рынок Ряд. 4 место 3 +79591093894</t>
  </si>
  <si>
    <t>ИП Пышнюк Е.И., Луганская обл,г. Свердловск, ул. Косиора ,Ц Р,  4  ряд, уч  4 ,место 12  +7959000000</t>
  </si>
  <si>
    <t>ИП Былкина Н.Л., Луганская обл., ЛНР, г. Свердловск, ул. Косиора, ЦР, ряд 4 место 7, +79590000001</t>
  </si>
  <si>
    <t xml:space="preserve">ИП Деркач Е.В., Луганская обл, г. Свердловск, ул. Касиора, центральный рынок, 1ряд, 4 участок,место </t>
  </si>
  <si>
    <t>Пшеничная В.В. ИП (г.Свердловск, ул.Косиора, д.6В, ЦР, место 15, ряд 6)</t>
  </si>
  <si>
    <t>ИП Безродная Е.Д. Луганская обл. г.Свердловск ЦР ряд 4 место 11 +79591187468</t>
  </si>
  <si>
    <t>ИП Колисниченко Г.О., Луганская обл., г. Свердловск, ул. Касиора, центральный рынок 1ряд, 20место, 4</t>
  </si>
  <si>
    <t>ИП Головина Т.Н Луганская обл. г. Свердловск, ц.рынок, ряд 6 место 4</t>
  </si>
  <si>
    <t xml:space="preserve"> ИП Добарин Е.Б.,Луганская обл., г. Свердловск ,центральный  рынок., ряд 4, место 13, +79591871713</t>
  </si>
  <si>
    <t>ИП Волобуев А.В., Луганская обл., г. Свердловск, ул Заводская, 6 ларек, +79590000001</t>
  </si>
  <si>
    <t>ИП Похилько Н.И ,Луганская обл.,г.Свердловск,Ц Р,  4    ряд, 5 место  +79590000001</t>
  </si>
  <si>
    <t>Вершинина Е.Л. ИП (г.Свердловск, ул.Горького, д.16А)</t>
  </si>
  <si>
    <t>ИП Мельник В.Р Луганская обл. г. Свердловск Площадь Куйбышева 16 +79591039532</t>
  </si>
  <si>
    <t>Оденчук В.А. ИП (г.Свердловск, ул.Якира, д.8в)</t>
  </si>
  <si>
    <t>Дзым А.Р. ИП (пгт.Комсомольский,ул.Победы, д.1Б, р-н остановки)</t>
  </si>
  <si>
    <t>ИП Каменев В. В., Луганская обл., г. Свердловск, ул. Артема, 18-а +79591064526</t>
  </si>
  <si>
    <t>ИП Белоусова В.Л. Луганская обл. г. Свердловск пл. Куйбышева 16 магазин</t>
  </si>
  <si>
    <t>ИП Антипова В.В. Луганская обл. г.Свердловск ЦР 5 ряд 14 место +79591435591</t>
  </si>
  <si>
    <t>Бутко Александр</t>
  </si>
  <si>
    <t>Котов С.В. ИП (г.Луганск, ул.Лутугинская, д.133, ряд 1, склад 53)</t>
  </si>
  <si>
    <t>АПЕКС ПЛЮС ООО (ул.Ленина, д.32, Магазин 137)</t>
  </si>
  <si>
    <t>ОЛЬГА ООО (г.Антрацит, ул.Менжинского, д.6)</t>
  </si>
  <si>
    <t>Гармаш Л.Н. ИП (ул.Карла Маркса, д.7)</t>
  </si>
  <si>
    <t>Скапинцева Г.А. ИП (ул.Задорожная, д.7, маг.Ольга)</t>
  </si>
  <si>
    <t>Просветова С.А. ИП (г.Антрацит, ул.Петровского, д.120)</t>
  </si>
  <si>
    <t>Щербакова М.А. ИП (ул.Ткаленко, д.6А, магазин Версаль)</t>
  </si>
  <si>
    <t>ИП Козюминская К.А., Луганская обл., п.Георгиевка ул.Карламаркса 90 а,магазин"Визит",+79590000001</t>
  </si>
  <si>
    <t>Филонов М.Ю. ИП (г.Антрацит, ул.Петровского, д.25)</t>
  </si>
  <si>
    <t>Янчук М.Н. ИП (г.Антрацит, ул.Петровского, р-н д.71, остановка Стадион)</t>
  </si>
  <si>
    <t>ИП Абеленцев А.В.г.Луганск,ул.Лутугинская 133,оптовая база,3-й пролет,37-й склад,время работы с 6.00</t>
  </si>
  <si>
    <t>Алексеев С.А. ИП (ул.Петровского, д.70)</t>
  </si>
  <si>
    <t>Кашуба Ю.В. ИП (г.Антрацит, ул.Ленина, д.9)</t>
  </si>
  <si>
    <t>Туренко О.А. ИП (ул.Петровского, д.74, маг.Ягодка)</t>
  </si>
  <si>
    <t>Гладкая О.Н. ИП (г.Антрацит, ул.Калинина, д.1, магазин Донбасс)</t>
  </si>
  <si>
    <t>Дацко В.И. ИП (г.Антрацит, ул.Ильича, д.15)</t>
  </si>
  <si>
    <t>Агеева А.А. ИП (г.Антрацит, ул.Рудничная, зд.2а)</t>
  </si>
  <si>
    <t>Лёшенко Г.В. ИП (г.Антрацит, ул.Парковая, д.27, магазин)</t>
  </si>
  <si>
    <t>Исаева Н.М. ИП (ул.Рудничная, зд.1а)</t>
  </si>
  <si>
    <t>Петровская Д.А. ИП (ул.Ткаленко, д.12-б)</t>
  </si>
  <si>
    <t>ИП Лазарева Е.П., Луганская обл.,г. Антрацит, ул. Косиора 60 А ,магазин     +79591241057</t>
  </si>
  <si>
    <t>Боровченко Л.А. ИП (ул.Косиора, возле д.102)</t>
  </si>
  <si>
    <t>Сузина И.В. ИП (ул.Петраковского, д.11А, маг.Союз)</t>
  </si>
  <si>
    <t>Журавлев С.В. ИП (ул.Ленина, д.11)</t>
  </si>
  <si>
    <t>Тимощук Н.П. ИП (г.Антрацит, ул.Калинина, д.5В)</t>
  </si>
  <si>
    <t>ВОДИТЕЛЬ 1 Луганск</t>
  </si>
  <si>
    <t>Янголенко И.Э. ИП (ул.Ленинградская, д.38)</t>
  </si>
  <si>
    <t>Скидан А.И. ИП (г.Алчевск, пр.Металлургов, д.21)</t>
  </si>
  <si>
    <t>ИП Морозов А.В., Луганская обл., г.Алчевск, рынок,контейнер 37/38,+79590000001</t>
  </si>
  <si>
    <t>Веретенник Т.В. ИП (г.Алчевск, ул.Ленина, д.112)</t>
  </si>
  <si>
    <t>Л ИП Скоробогатская А. И., Луганская обл., г.Алчевск,ул. Менжинского 44, торговое место 4 к</t>
  </si>
  <si>
    <t>Бойко Е.В. ИП (ул.Ленина, д.35/11, лиманский рынок, магазин Сливки)</t>
  </si>
  <si>
    <t>Кандыба С.В. ИП (ул.Донецкая, д.38)</t>
  </si>
  <si>
    <t>Гладкая А.В. ИП (г.Алчевск, ул.Менжинского, д.1/143, рынок)</t>
  </si>
  <si>
    <t xml:space="preserve">Плахутин Н.В. ИП (ул.Ленина, д.31 Б) </t>
  </si>
  <si>
    <t>Калугина Т.В. ИП (г.Алчевск, ул.Чапаева, д.146, магазин)</t>
  </si>
  <si>
    <t>ИП Иванова Е.Н.,Луганская обл.,г.Алчевск,ул Чайковского 24,магазин,+79590000001</t>
  </si>
  <si>
    <t>ИП Наполов И.Н. Луганская обл. г Алчевск. ул. Ленина 55 магазин "Вега" +79591444859</t>
  </si>
  <si>
    <t>Григоренко С.Ф. ИП (г.Алчевск, ул.Чапаева, д.8, шанхай)</t>
  </si>
  <si>
    <t>ИП Бородин А.Л ЛНР г Алчевск ул Белинского 1 маг " ПРОДУКТЫ на каждый день"</t>
  </si>
  <si>
    <t xml:space="preserve"> ИП Синицкую И.С, Луганская обл. г.Алчевск, ул.Межинского, ц.р, мод.139</t>
  </si>
  <si>
    <t>Бродецкая Л.И. ИП (г.Алчевск, ул.Зеленая, д.5А)</t>
  </si>
  <si>
    <t>Янголенко И.Э. ИП (ул.Чапаева, д.164В)</t>
  </si>
  <si>
    <t>Матвиенко Т.Н. ИП (г.Алчевск, пр-кт Металлургов, д.22ж)</t>
  </si>
  <si>
    <t>Янголенко И.Э. ИП (ул.Гмыри, д.34)</t>
  </si>
  <si>
    <t>Усоян Р.Р. ИП (ул.Ленина, д.94)</t>
  </si>
  <si>
    <t>ИП Беляев А.Е. Луганская обл., г.Алчевск,ул.Гагарина 27,магазин,+79591800542</t>
  </si>
  <si>
    <t>Л ИП Алоян П.А.,Луганская обл.,г Алчевск ,ул Кирова 18,магазин," Альтаир",+79591219336</t>
  </si>
  <si>
    <t>ИП Ладыгина О.П., Луганская обл., г.Алчевск,ц рынок,ул.Менжинского 24 6 б крытый рынок,+79592214281</t>
  </si>
  <si>
    <t>ИП Евстратий С. Л. Луганская обл. г.Алчевск,Центр. Рынок. ул.Менжинского 44. мод 135, +79592151117</t>
  </si>
  <si>
    <t>Трубаров И.Н. ИП (ул.Ленина, д.55 з)</t>
  </si>
  <si>
    <t>Солодовникова Т.М. ИП (г.Алчевск, ул.9 Мая, д.40А)</t>
  </si>
  <si>
    <t>Янголенко И.Э. ИП (ул.Белинского, д.4)</t>
  </si>
  <si>
    <t>ИП Сложеникин В. В., Луганская обл., г.Алчевск пр.Металлургов 22/9,магази "Тропик"</t>
  </si>
  <si>
    <t>Скоробогатский И.Н. ИП (г.Алчевск, ул.Гагарина, д.27)</t>
  </si>
  <si>
    <t>ИП Степанов Б.А., Луганская обл., г.Алчевск ул.Станиславского 16,"Продуктовый магазин",+79591057295</t>
  </si>
  <si>
    <t>Л ИП Морозова Л.Н., Луганская обл., г.Алчевск,рынок 138 контейнер  (около гладкой),+79590000001</t>
  </si>
  <si>
    <t>Грязнов А.С. ИП (г.Алчевск, ул.Ленина, д.61А, магазин Любимый)</t>
  </si>
  <si>
    <t>ИП Базаян, Луганская обл. г.Алчевск ул.Брестская 19. магазин "Фрезия",+79590000001</t>
  </si>
  <si>
    <t>Скоробогатский И.Н. ИП (г.Алчевск,пр-кт Металлургов, д.18 А, магазин Мясной)</t>
  </si>
  <si>
    <t>ИП Мажуго В.Д., Луганская обл., г. Алчевск,Проспект Ленина 20,магазин "Хомяк",+79590000001</t>
  </si>
  <si>
    <t>ИП Клочко Л.И., Луганская обл., г.Алчевск ул. Октябрьская 24,магазин" Простор",+79590000001</t>
  </si>
  <si>
    <t>Бондаренко Л.А. ИП (ул.Чайковского, д.47, зерновая база)</t>
  </si>
  <si>
    <t>Жук Г.Ю. ИП (ул.Горького, д.83, магазин Синдикат)</t>
  </si>
  <si>
    <t>ИП Зортка О.Н.,Луганская обл.,г. Алчевск, ул. Сарматская 48, магазин "Луч"</t>
  </si>
  <si>
    <t>ИП Якунин Ф.И., Луганская обл., г. Алчевск, ул. Чапаева 164 В, магазин "Айсберг", +79590000001</t>
  </si>
  <si>
    <t>ВОДИТЕЛЬ 2 Луганск</t>
  </si>
  <si>
    <t>Бердалиева Е.В. ИП (г.Луганск, кв-л Южный, д.11Б)</t>
  </si>
  <si>
    <t>ИП Орешин С.Н., г. Луганск, ул. Лутугинская 133, склад 32, +79591332722</t>
  </si>
  <si>
    <t>Руднева В.А. ИП (г.Луганск, ул.Лутугинская, д.133Л)</t>
  </si>
  <si>
    <t>Чернякова Л.Н. ИП (ул.Ворошилова, д.11, маг.Ассорти)</t>
  </si>
  <si>
    <t>СПАР ЛУГАНСК ООО (г.Луганск, ул.2-я Краснознаменная, д.28)</t>
  </si>
  <si>
    <t>СПАР ЛУГАНСК ООО (пгт.Юбилейное, ул.Ленина, д.11)</t>
  </si>
  <si>
    <t>СПАР ЛУГАНСК ООО (г.Луганск, ул.Советская, д.3)</t>
  </si>
  <si>
    <t>СПАР ЛУГАНСК ООО (г.Луганск, кв-л Заречный, д.18б/1)</t>
  </si>
  <si>
    <t>Гелетин Сергей</t>
  </si>
  <si>
    <t>АПЕКС ПЛЮС ООО (г.Перевальск, ул.Литовская, д.1А, ком.1,4,5,10,11,12,13,14,15,17,18,19, магазин №22)</t>
  </si>
  <si>
    <t>Минакова З.В. ИП (г.Алчевск, ул.Московская, д.39 А, база)</t>
  </si>
  <si>
    <t>Беляев А.Е. ИП (г.Алчевск, ул.Ленина, д.69)</t>
  </si>
  <si>
    <t>Чуйко Н.А. ИП (ул.Гвардейская, д.6)</t>
  </si>
  <si>
    <t>ИП Виценко А .Н., Луганская обл., г.Перевальск ул.Горняцкая 36,магазин,+79591543027 Ольга</t>
  </si>
  <si>
    <t>Чмырь Л.П. ИП (пгт.Бугаевка, ул.Техническая, д.1в)</t>
  </si>
  <si>
    <t>Сергиенко С.Н. ИП (г.Перевальск, ул.Ленина, д.64А)</t>
  </si>
  <si>
    <t>Косенко В.П. ИП (ул.Заславского, зд.19а)</t>
  </si>
  <si>
    <t>ИП Михеева Е.И., Луганская обл ,г. Перевальск, ул. Минская 6 ,маг." Минский " +79592654106  Елена</t>
  </si>
  <si>
    <t>Жук Л.А. ИП (ул.Минина, д.3)</t>
  </si>
  <si>
    <t>Шевченко И.Э. ИП (ул.Ленина, д.52д, магазин Натуральные Продукты)</t>
  </si>
  <si>
    <t>Хованский В.П. ИП (ул.Алябьева, д.3, маг.Горняк)</t>
  </si>
  <si>
    <t>ИП Емченко С. Ю. , Луганская обл.,г.Перевальск (пос. Бугаевка), ул. Техническая 5 ,маг. "777"   +795</t>
  </si>
  <si>
    <t>Л ИП Лотоцкая Н.А., Луганская обл.,г. Алчевск,ул.Московская 39 Д,магазин,(работают до 12)+7959121013</t>
  </si>
  <si>
    <t>Залецкая Е.В. ИП (г.Перевальск, ул.Переездная, д.16, маг.Пеликан)</t>
  </si>
  <si>
    <t>Кадыкова Т.В. ИП (г.Перевальск, ул.Дзержинского, д.6, уч.27)</t>
  </si>
  <si>
    <t>Ужуева З.А. ИП (г.Перевальск, ул.Алябьева, д.3)</t>
  </si>
  <si>
    <t>ИП Солёная Н.Е. Луганская обл., г. Перевальск, ул. Алябьева 1, магазин "Надежда" +79591579554 Наталь</t>
  </si>
  <si>
    <t>Алексейчикова Ю.А. ИП (п.Горняцкий, ул.Горняцкая, д.14)</t>
  </si>
  <si>
    <t>ИП Корниенко Д.В., Луганская обл., г. Перевальск, ул. Дзержинского, магазин "Корзинка"</t>
  </si>
  <si>
    <t>ИП Виценко Т.М., Луганская обл., г. Перевальск,ул.Гвардейская 8,магазин 4,+79595019200</t>
  </si>
  <si>
    <t>Артамонов Л.В. ИП (пл.Ленина, район кинотеатра Горняк, маг.Арт)</t>
  </si>
  <si>
    <t>Жук Г.Ю. ИП (ул.Минина, д.3)</t>
  </si>
  <si>
    <t>Полякова Е.В. ИП (г.Перевальск, ул.Рахманинова, д.51, магазин Ника)</t>
  </si>
  <si>
    <t>ИП Чуйкин А В п. Бугаева ул.Техническая 1б</t>
  </si>
  <si>
    <t>Светличная Е.Н. ИП (г.Перевальск, ул.Переездная, зд.12)</t>
  </si>
  <si>
    <t>Запольская В.Э. ИП (г.Перевальск, ул.Перова, д.3)</t>
  </si>
  <si>
    <t>Скоробогатский И.Н. ИП (г.Перевальск, ул.Ленина, д.62, магазин Мясной)</t>
  </si>
  <si>
    <t>Михайлова М.В. ИП (г.Перевальск, ул.Переездная, д.18)</t>
  </si>
  <si>
    <t>Кунченко О.Л. ИП (ул.Кирова, д.153)</t>
  </si>
  <si>
    <t>Залецкая Е.В. ИП (г.Перевальск, ул.Победы, д.9, маг.Донецк)</t>
  </si>
  <si>
    <t xml:space="preserve">ИП Диденко О.С. ЛНР р-н. Перевальский Край, п. Бугаевка, ул Шевченко 17 </t>
  </si>
  <si>
    <t>Голубев М.С</t>
  </si>
  <si>
    <t>Пономарев И.М. ИП (ул.Степная, д.8)</t>
  </si>
  <si>
    <t>Пестова И.Б. ИП (ул.Ленина, д.2)</t>
  </si>
  <si>
    <t>Джунич Л.Г. ИП (ул.Ленина, д.58В)</t>
  </si>
  <si>
    <t>Черствая О.А. ИП (с.Шуликовка, ул.Кирова, д.20)</t>
  </si>
  <si>
    <t>Мирошник С.П. ИП (пгт.Беловодск, ул.Розы Люксембург, д.81)</t>
  </si>
  <si>
    <t>Булучева Т.А. ИП (ул.Филоненко, д.21)</t>
  </si>
  <si>
    <t>МАРКЕТ ПЛЮС ООО (пгт.Беловодск, ул.Ленина, д.135Е)</t>
  </si>
  <si>
    <t>Якименко Я.С. ИП (пер.Светлый, д.1/2 ,маг.Сундучок)</t>
  </si>
  <si>
    <t>Виноградная Л.А. ИП (ул.Комсомольская, д.1А)</t>
  </si>
  <si>
    <t>Тертышная С.П. ИП (пгт.Беловодск, ул.Горького, д.32 Б)</t>
  </si>
  <si>
    <t>Беляева В.А. ИП (пгт.Беловодск, ул.Ленина, д.156, магазин Триннадцатый)</t>
  </si>
  <si>
    <t>БОНДАРЬ ООО (пгт.Беловодск, ул.Комсомольская, зд.30Д/30Е)</t>
  </si>
  <si>
    <t>Марченко Н.В. ИП (пгт.Беловодск, ул.Ленина, д.2, маг.№ 9)</t>
  </si>
  <si>
    <t>Ляленко Л.А. ИП (пгт.Беловодск, ул.Попова, д.1А, маг.Гастрономчик)</t>
  </si>
  <si>
    <t>Буренок С.В. ИП (пгт.Беловодск, ул.Кирова, д.1 А, вагончик)</t>
  </si>
  <si>
    <t>Новикова Е.В. ИП (ул.Ленина, д.97а)</t>
  </si>
  <si>
    <t>Мирошник С.П. ИП (пгт.Беловодск, ул.Ленина, д.163 А, маг.Городок)</t>
  </si>
  <si>
    <t>Матюшко Н.А. ИП (ул.Ленина, д.58)</t>
  </si>
  <si>
    <t>Трифанова Е.С. ИП (пгт.Беловодск, ул.Ленина, д.138, бар Beer club ТТ)</t>
  </si>
  <si>
    <t>Грякалов Сергей Владимирович</t>
  </si>
  <si>
    <t>ИП Колесникова Е.А., Луганская обл., г. Ровеньки, рынок колхозный, ряд мод 75, +79591594465</t>
  </si>
  <si>
    <t>Ласюченко Н.В. ИП (г.Ровеньки, ул.Коммунистическая, д.14А, ЦР, колхозный ряд, мод.107)</t>
  </si>
  <si>
    <t>Малорид Ю.Н. ИП (кв-л Гагарина, д.17)</t>
  </si>
  <si>
    <t>ИП Литвин О. А., Луганская обл. г. Ровеньки, пгт. Новодарьевка, ул. Вокзальная,маг "Калинка"  +79591</t>
  </si>
  <si>
    <t>ИП Пархоменко Л. А.,Луганская обл.г. Ровеньки, пгт. Кленовый, ул. Олега Кошевого, 24. За ДК. +795917</t>
  </si>
  <si>
    <t>ИП Чуркина И.В., Луганская обл., г.Ровеньки кв. Гашарина 22 магазин " Каприз",+79590000001</t>
  </si>
  <si>
    <t>Ивлева О.И. ИП (ул.Фрунзе, д.42)</t>
  </si>
  <si>
    <t xml:space="preserve">ИП Панфилова Н.В., ЛНР, г.Ровеньки,  Новодарьевка, ул. Тимирязева 12, маг." Казачек"  +79590000001 </t>
  </si>
  <si>
    <t>ИП Филипова Т.Ю., Луганская обл., г.Ровеньки ул.Коммунистическая 61/3,магазин,+79591428729 Татьяна</t>
  </si>
  <si>
    <t>ИП Сидорова Е.А., Луганская обл., г. Ровеньки, кв. Шахтерский, рынок Политон, модуль 7а, +7959000000</t>
  </si>
  <si>
    <t xml:space="preserve"> ИП Скиба Р.В.,  Луганская обл., г. Ровеньки, ул. Коммунистическая, д. 105 а,магазин   +79592349594</t>
  </si>
  <si>
    <t>Ушакова О.С. ИП (г.Ровеньки, кв-л Гагарина, д.5, маг:Подсолнух)</t>
  </si>
  <si>
    <t>ИП Хотынская В.А., Луганская обл., г.Ровеньки, рынок, желтый ряд 1, модуль 16, +79591163092</t>
  </si>
  <si>
    <t>ИП Бутченко О.Ю., Луганская обл., г. Ровеньки,рынок, ряд синий, модуль 9,+9591144491</t>
  </si>
  <si>
    <t>ИП Шевченко И.А.,Луганская обл.,г. Ровеньки кв. Гагарина 37, магазин" Евгений",+79591302344</t>
  </si>
  <si>
    <t>Плотникова В.А. ИП (г.Ровеньки, кв-л Гагарина, д.22)</t>
  </si>
  <si>
    <t>ИП Нагорная О.С., Луганская обл., г.Ровеньки, рынок центральный, ряд модуль 28 ,+79591278973</t>
  </si>
  <si>
    <t>ИП Олейник В.В., Луганская обл., г. Ровеньки, кв. Шахтерский, 21, магазин "Виктория", +79591257379</t>
  </si>
  <si>
    <t>ИП Цикун Е.С., Луганская обл., г. Ровеньки, ул. Свердлова, белый ларёк (перес. ул. Свердлова-ул. Фру</t>
  </si>
  <si>
    <t>Вилицкая К.Ю. ИП (кв-л Шахтерский, д.4, магазин Продукты)</t>
  </si>
  <si>
    <t>Горкун Е.А. ИП (ул.Чехова, д.14, магазин)</t>
  </si>
  <si>
    <t>ИП Иващенко М. В.,Луганская обл. г. Ровеньки, пгт. Новодарьевка, ул. Вокзальная, 22а.магазин +795950</t>
  </si>
  <si>
    <t>ИП Данилюк В. Г.,Луганская обл. г. Ровеньки, пгт. Большекаменка, ул. Ленина, 40.магазин +79591753898</t>
  </si>
  <si>
    <t>ИП Галютина Т. Н. Луганская обл. г. Ровеньки ул. Коммунистическая 14, ЦР, колх. ряд мод. 58 +79592</t>
  </si>
  <si>
    <t>ИП Довженко, Луганская обл., г.Ровеньки, пос.Дзержинский ул. Волкого 19 А,магазин,+79591082918</t>
  </si>
  <si>
    <t>ИП Довженко А. Е., Луганская обл., г. Ровеньки, пос. Дзержинский, ул. Трублаини, 14, +79591103523</t>
  </si>
  <si>
    <t>ИП Кортак Е.В., Луганская обл., г.Ровеньки пос.Дзержнский ул.Трубаинни 14, магазин,+79591193526</t>
  </si>
  <si>
    <t>ИП Иванова И.В., Луганская обл., г. Ровеньки, пгт. Новодарьевка, ул. Свердлова, 106, магазин, +79591</t>
  </si>
  <si>
    <t>ИП Шацкая В.А., Луганская обл., г. Ровеньки, кв Шахтёрский 12а, магазин "Шахтерский", +79591593702</t>
  </si>
  <si>
    <t xml:space="preserve">ИП Бессарабенко И.Л., Луганская обл., г. Ровеньки, пгт. Большекаменка, ул. Ленина, 10, +79592717957 </t>
  </si>
  <si>
    <t>Блиадзе Э.А. ИП (пгт.Черниговский, ул.Чехова, д.20, помещ.15)</t>
  </si>
  <si>
    <t xml:space="preserve"> ИП Лукьяница Ю. В.,Луганская обл., г. Ровеньки, кв. Гагарина  8-А ,магазин  +79591046093</t>
  </si>
  <si>
    <t xml:space="preserve">ИП Иванова И. В.,Луганская обл.г. Ровеньки, пгт. Кленовый, ул. Театральная, 9а.магазин +79591336285 </t>
  </si>
  <si>
    <t>Яскевич Т.А. ИП (г.Ровеньки, ул.Капанелли, д.7б)</t>
  </si>
  <si>
    <t>Вилицкая К.Ю. ИП (кв-л Гагарина, д.24)</t>
  </si>
  <si>
    <t>Бруй Н.Ю. ИП (г.Ровеньки, кв-л Шахтерский, д.12А, маг.Шахтер)</t>
  </si>
  <si>
    <t>ИП Головинченко А.Ю., Луганская обл., г.Ровеньки,Рынок,колхозный ряд, модуль 122,+79591176032</t>
  </si>
  <si>
    <t>Горкун Е.А. ИП (ул.Фрунзе, район рынка, магазин Класс)</t>
  </si>
  <si>
    <t xml:space="preserve"> ИП Кострюкова А. В., Луганская обл.,г. Ровеньки, пгт. Дзержинский, пер. Остапенко, 1.  +79591072006</t>
  </si>
  <si>
    <t>Селиванов А.В. ИП (г.Ровеньки, ул.Дзержинского, д.2. маг.Шансон)</t>
  </si>
  <si>
    <t>ИП Дудар С.А., Луганская обл., г. Ровеньки, кв. Молодежный 11, (район дома), магазин, +79591611398</t>
  </si>
  <si>
    <t>Винцевич О.И. ИП (п.Черниговский, ул.Чехова, д.12, магазин)</t>
  </si>
  <si>
    <t>ИП Пиклун Т.В., Луганская обл. г. Ровеньки, кв. Шахтерский 30,    +79591966739 Людмила</t>
  </si>
  <si>
    <t>Притыкин А.А. ИП (г.Ровеньки, ул.Коммунистическая, зд.14а/14)</t>
  </si>
  <si>
    <t>ИП Толстова Ю.В.Луганская обл.,г. Ровеньки, кв Молодёжный 5,маг.</t>
  </si>
  <si>
    <t>Чуркина И.В. ИП (г.Ровеньки, кв-л Шахтерский, д.18)</t>
  </si>
  <si>
    <t xml:space="preserve"> ИП Пархоменко Л. А.,Луганская обл. г. Ровеньки, пгт. Кленовый, ул. Театральная, 19а.магазин +795914</t>
  </si>
  <si>
    <t>Бакун Л.В. ИП (г.Ровеньки, кв-л Гагарина, д.28)</t>
  </si>
  <si>
    <t>Шах С.В. ИП (ул.Фрунзе, д.1, маг.Всё для Вас)</t>
  </si>
  <si>
    <t xml:space="preserve"> ИП Нагорный А Г ЛНР г Ровеньки ул Коммунистическая центральный рынок модуль 19 -20</t>
  </si>
  <si>
    <t>Бурбан А.В. ИП (ул.Коммунистическая, д. 14А, мод.187-189)</t>
  </si>
  <si>
    <t>Завгородний Александр</t>
  </si>
  <si>
    <t>ИП Фещенко В.В., Луганская обл., г.Красный Луч ул. Хрустальское шоссе 6, база,+79590000001</t>
  </si>
  <si>
    <t>Сухомлинова О.А. ИП (мкр.2-й, д.15, пом.47)</t>
  </si>
  <si>
    <t>Могилин Ю.А. ИП (г.Красный Луч, мкрн.3, д.100 б, магазин Золотое яблоко)</t>
  </si>
  <si>
    <t>Штокалов А.А. ИП (ул.Ялтинская, д.4)</t>
  </si>
  <si>
    <t>Самчик М.Н.ИП (г.Красный Луч, ул.Володи Пахоли, д.2В)</t>
  </si>
  <si>
    <t>Сухобок Э.В. ИП (г.Красный Луч, ул.Краснодонская, д.16А)</t>
  </si>
  <si>
    <t>Алешко Т.В. ИП (г.Красный Луч, ул.Челюскинцев, д.37)</t>
  </si>
  <si>
    <t xml:space="preserve">ИП Магилин Ю.А.,Луганская обл.,г. Красный Луч  мкр. 3, дом 49, магазин "Золотой колос" +79591355383 </t>
  </si>
  <si>
    <t>Шумило Н.А. ИП (мкрн.3, д.54 б, магазин Милан)</t>
  </si>
  <si>
    <t>Ладыгина Н.С. ИП (пгт.Индустрия, ул.Совхозная, д.2 А)</t>
  </si>
  <si>
    <t>ИП Литвинова Н. А.,Луганская обл.,г.Красный Луч, м-он 2,д.6,магазин Росинка,+79591274150 Марина</t>
  </si>
  <si>
    <t>Штромило С.Г. ИП (г.Красный Луч, мкр.3-й, конт.38)</t>
  </si>
  <si>
    <t>Чигрина С.А. ИП (г.Красный Луч, ул.Хмельницкого, маг.Магнит)</t>
  </si>
  <si>
    <t>Бурым Н.В. ИП (г.Красный Луч, мкр.3, д.36а, рынок, маг.Рыбка)</t>
  </si>
  <si>
    <t>Воронина О.Н. ИП (г.Красный Луч, мкр.3, конт.47, рынок)</t>
  </si>
  <si>
    <t>Ишмаметова А.Е. ИП (г.Красный луч, ул.Вольного, д.36, рынок, мкр.3, контейнер 51)</t>
  </si>
  <si>
    <t>ИП Лямцев А. К.,Луганская об,г. Красный Луч ул. Студенческая 2 магазин" Продукты",+79591976418 Настя</t>
  </si>
  <si>
    <t>Гриценко Ю.Ю. ИП (г.Красный Луч, мкр.2-й, д.10, помещ.3)</t>
  </si>
  <si>
    <t>ИП Андросова А.В., Луганская обл., г.Красный Луч, ул. Луночарского 9-А, магазин "Авоська" (ВОЗЛЕ ШИН</t>
  </si>
  <si>
    <t>ИП Котенева О. А.Луганская обл., г. Красный Луч ,мкр 1 ,д. 14 ,маг ."Улыбка"   +79591476601 Ольга</t>
  </si>
  <si>
    <t>Жиленко Е.А. ИП (г.Красный Луч, мкр.4, д.1А, магазин Новинка)</t>
  </si>
  <si>
    <t>ИП Воропаева М.Г., Луганская обл., г. Красный луч, микро р - н  2 дом 23, магазин "Авторитет"</t>
  </si>
  <si>
    <t xml:space="preserve">ИП Литвинова Н. В.,г.Красный Луч ул.Известия, магазин" Крамныця",+79591193430 Наталья </t>
  </si>
  <si>
    <t xml:space="preserve">ИП Краснощек А. В., Луганская обл., г.Красный Луч ул.Студенческая 19,магазин,+79591257233 Алла </t>
  </si>
  <si>
    <t>Карпова Е.Д. ИП (г.Красный Луч, мкрн.4, д.6, магазин Продукты)</t>
  </si>
  <si>
    <t>Ладыгина Н.С. ИП (г.Красный Луч, ул.Симферопольская, возле атп)</t>
  </si>
  <si>
    <t xml:space="preserve">ИП Литвинова Н.В.,Луганская обл.,г.Красный Луч, м -он 2, д. 3 а, магазин" Маяк",+79591332320 Лариса </t>
  </si>
  <si>
    <t>Чутченко А.В. ИП (мкр.2, д.11)</t>
  </si>
  <si>
    <t xml:space="preserve"> ИП Котинев А.Г.,Луганская обл., г Красный Луч, ул. Луганское шоссе 46, маг." Бочка" + 79591342304  </t>
  </si>
  <si>
    <t>ИП Ефимова А.Н., Луганская обл.г.Красный Луч, Луганское шоссе 21, магазин"Партнер",+79591021693 Лиля</t>
  </si>
  <si>
    <t>Карпова Е.Д. ИП (г.Красный Луч, мкр.3, д.14, пом.58)</t>
  </si>
  <si>
    <t>ИП Косогор Е.Н., Луганская обл., г.Красный Луч ул. Вольного 36 п,магазин"Гранат",+79592006222 Елена</t>
  </si>
  <si>
    <t>Вареник А.П. ИП (ул.Студенческая, д.12, маг.Башня, напротив Швейной фабрики)</t>
  </si>
  <si>
    <t>Федорова Н.В. ИП (г.Красный Луч, ул.Ялтинская, д.22)</t>
  </si>
  <si>
    <t>Ильюшкина Н.В. ИП (г.Красный Луч, мкр.2-й, д.23)</t>
  </si>
  <si>
    <t>Карлов Алексей Сергеевич</t>
  </si>
  <si>
    <t>АВАНТАЖ ООО (г.Краснодон, кв-л Баракова, д.10)</t>
  </si>
  <si>
    <t>Стрелецкая В.В. ИП (п.Хрящеватое, ул.Нефтяников, д.1А, магазин)</t>
  </si>
  <si>
    <t>АВАНТАЖ ООО (г.Краснодон, кв-л Лютикова, д.34)</t>
  </si>
  <si>
    <t>АВАНТАЖ ООО (г.Краснодон, кв.Лютикова, д.20)</t>
  </si>
  <si>
    <t>Рузавина Н.В. ИП (кв-л Лютикова, рынок, модуль справа)</t>
  </si>
  <si>
    <t>Власова Н.Н. ИП (г.Краснодон, кв-л Лютикова, д.42, рынок, мясной повильон)</t>
  </si>
  <si>
    <t>ИП Григорьева Л.Н.,Луганская обл.,г. Краснодон, ул. Земнухова 153, магазин"Фаворит",+79591122218</t>
  </si>
  <si>
    <t>Чериков К.М. ИП (г.Краснодон, пр-кт Молодой Гвардии, д.6, магазин Дары природы)</t>
  </si>
  <si>
    <t>Ефимюк А.С. ИП (ул.Бунина, д.29А)</t>
  </si>
  <si>
    <t>Кулёва Е.А. ИП (г.Краснодон, ул.Красных Шахтёров, д.6а, магазин Купаж)</t>
  </si>
  <si>
    <t>Л ИП Ходенкова И., Луганская обл., г.Краснодон, рынок Лютикова (верхний ряд в конце... )</t>
  </si>
  <si>
    <t>Кооп Н.Л. ИП (г.Краснодон, ул.Бунина, д.1)</t>
  </si>
  <si>
    <t>ИП Сирик В.В., Луганская обл., г. Краснодон, кв. Лютикова 7, (за рынком), магазин, +79591097475</t>
  </si>
  <si>
    <t>Литвин И.С. ИП (пгт.Новосветловка, ул.Дорожная, д.29)</t>
  </si>
  <si>
    <t>Федовская С.З.К. ИП (п.Новосветловка, ул.Дорожная, д.36, магазин Ника)</t>
  </si>
  <si>
    <t>Кулишов Д.В. ИП (г.Краснодон, ул.Первоконная, д.48, маг.Дорожный)</t>
  </si>
  <si>
    <t>Носуля М.А. ИП (п.Хрящеватое, ул.Восточная, д.78)</t>
  </si>
  <si>
    <t>АЛЧЕВСК-ИНВЕСТ ООО (ул.П.Котова, д.16, помещ. ЧАСТЬ 1-2,1-3-1-39,5-1, с/м Парус)</t>
  </si>
  <si>
    <t>Шарикадзе Е.Ю. ИП (г.Краснодон, ул.Первоконная, д.20, магазин Слава)</t>
  </si>
  <si>
    <t>Охтин С.Н. ИП (с.Новосветловка, ул.Дорожная, д.36, магазин Росинка)</t>
  </si>
  <si>
    <t>Банько В.А. ИП (ул.Карпа Животова, д.30/1)</t>
  </si>
  <si>
    <t>Авакян Т.А. ИП (г.Краснодон, кв-л Титова, д.13, магазин Ассорти)</t>
  </si>
  <si>
    <t>Осипенко М.Н. ИП (ул.Нагорная, д.54)</t>
  </si>
  <si>
    <t>Терновых С.В. ИП (с.Верхнешевыревка, ул.Малышева, д.2, магазин 99)</t>
  </si>
  <si>
    <t>Долбоносова И.В. ИП (с.Новоанновка, ул.Советская, д.116)</t>
  </si>
  <si>
    <t>ИП Милянич К.В., Луганская обл., Краснодонский р-н, с. Новоановка, ул. Советская 114, магазин "Бар"</t>
  </si>
  <si>
    <t>Шегеда Н.М. ИП (г.Краснодон, ул.Пархоменко, д.3б, магазин Шанхай)</t>
  </si>
  <si>
    <t>Ефимов А.Н. ИП (ул Лютикова, д.42)</t>
  </si>
  <si>
    <t>ИП Карташова Т.Ю.Луганская обл.,,г. Краснодон,кв.Лютикова,рынок,мясной павильен,+79591154919</t>
  </si>
  <si>
    <t>Неупокоев В.В. ИП (ул.Лютикова, д.29)</t>
  </si>
  <si>
    <t>Тращенко Н.М. ИП (с.Придорожное, ул.Космическая, д.2, маг.Казачка,поворот на Самсоновку)</t>
  </si>
  <si>
    <t>ИП Шевякин В.М, Луганская обл., г.Краснодон, кв. Лесной (Остановка),магазин" Продукты", +79591118784</t>
  </si>
  <si>
    <t>ИП Шараевич Л.М Луганская обл.г. Краснодон кв.Лютокого рынок мясной павильон +79591193991</t>
  </si>
  <si>
    <t>АЛЧЕВСК-ИНВЕСТ ООО (ул.Красных Партизан, д.35а, с/м Парус)</t>
  </si>
  <si>
    <t>Гридина Е.А. ИП (с.Верхнешевыревка, ул.Ленина, д.1)</t>
  </si>
  <si>
    <t>Поволоцкая В.П. ИП (г.Краснодон, пл.Базарная, д.2)</t>
  </si>
  <si>
    <t>ИП Жуева И.В.Луганская обл.,г.Краснодон,ул. Артема 9, магазин "Велес"</t>
  </si>
  <si>
    <t>Долбоносова И.В. ИП (ул.Советская, д.121)</t>
  </si>
  <si>
    <t>Котов Олег Яковлевич</t>
  </si>
  <si>
    <t xml:space="preserve"> ИП Прихотько В.А. Луганская обл. г. Молодогвардейск Ул. Литвинова 19 Тел. .+79592035663</t>
  </si>
  <si>
    <t>Леонтьев Евгений</t>
  </si>
  <si>
    <t>Короленко В.Н. ИП (г.Луганск, кв-л Дзержинского, д.10Г)</t>
  </si>
  <si>
    <t>СПАР ЛУГАНСК ООО (г.Луганск, ул.Курчатова, д.7)</t>
  </si>
  <si>
    <t xml:space="preserve"> ИП Бабич И.А., г.Луганск ,кв. 50 лет Октября,рынок "Рассвет ",модуль 177-178, +79591914951 Иван, Ел</t>
  </si>
  <si>
    <t>ИП Морозова О., г. Луганск, ул. Крапивницкого 1 (район РОМВД), магазин, +79591413863</t>
  </si>
  <si>
    <t>СОКМАРКЕТ ООО (г.Луганск, кв-л Комарова, д.27А)</t>
  </si>
  <si>
    <t>Шарова Л.В. ИП (г.Луганск, ул.Интернациональная, д.132, помещ.174)</t>
  </si>
  <si>
    <t>МАКС ООО (кв.Гагарина, д.10, магазин Магнитик)</t>
  </si>
  <si>
    <t>ИП Козловская В.А.г.Луганск,Восточный рынок,магазин "максимум", напротив Спар, +79591363232</t>
  </si>
  <si>
    <t>ИП Берёза С.В., г. Луганск, ул. Херсонская, 33 в, магазин "Стандарт" +79595140642 Наташа</t>
  </si>
  <si>
    <t>Банникова С.В. ИП (г.Луганск, ул.Ватутина, д.90А)</t>
  </si>
  <si>
    <t xml:space="preserve"> ИП Сулиженко В.А., г.Луганск,  кв.Волкова  5-3,маг." Smachnoff"( возле" Спартака") +79591550940  Ол</t>
  </si>
  <si>
    <t xml:space="preserve"> ИП Скопцова В. Н, г.Луганск , ул. Фрунзе 92, маг. " Свежий хлеб", тел.+79591564887</t>
  </si>
  <si>
    <t>Дейниченко И.В. ИП (г.Луганск, кв-л 26-й, д.29, помещ.41)</t>
  </si>
  <si>
    <t>ВОЯЖ ООО (кв-л 50 лет, д.34 Б, маг.Вояж) (9403027883)</t>
  </si>
  <si>
    <t>Маняхина И.В. ИП (г.Луганск, ул.Осипенко, д.7)</t>
  </si>
  <si>
    <t>Олейник А.С. ИП (г.Луганск, ул.Карпинского, рынок Комарова, мод.18)</t>
  </si>
  <si>
    <t>ИП Клименко, г. Луганск, Восточный рынок, модуль №196, +79591352160 Ангелина</t>
  </si>
  <si>
    <t>Татинцян А.А. ИП (ул.Ватутина, д.18В)</t>
  </si>
  <si>
    <t>ЛУГБИОРАЙЗ ООО (кв-л 50 Лет Октября, д.23Г, помещ.3,7,17,18)</t>
  </si>
  <si>
    <t>ИП Межеревская К.А Луганская обл, г. Луганск, кв. Ватутина, дом 16 пом. 43</t>
  </si>
  <si>
    <t>Коренева О.А. ИП (25 кв-л, д.5, пом.6)</t>
  </si>
  <si>
    <t>Червякова О.Н. ИП (г.Луганск, ул.Годуванцева, д.8, помещ.19)</t>
  </si>
  <si>
    <t>Максюта Сергей</t>
  </si>
  <si>
    <t>ЕРМАК ООО (ул.Кирова, д.39 Б)</t>
  </si>
  <si>
    <t>ЕВА ООО (с.Валуйское, ул.Жукова, зд.5А)</t>
  </si>
  <si>
    <t>Цыкоза Т.Я. ИП (ул.Свердлова, д.28 а)</t>
  </si>
  <si>
    <t>ЕРМАК ООО (ул.Заречная, д.10 А)</t>
  </si>
  <si>
    <t>Чаков А.Я. ИП (п.Ольховое, ул.Чехова, д.16Б)</t>
  </si>
  <si>
    <t>ЕРМАК ООО (ул.Свердлова, д.8 А)</t>
  </si>
  <si>
    <t>ЕРМАК ООО (ул.Вокзальная, д.55 А)</t>
  </si>
  <si>
    <t>ЕРМАК ООО (пгт.Станица Луганская, ул.Горького, д.72)</t>
  </si>
  <si>
    <t>Никишин С.Н. ИП (ул.Олега Кошевого, д.11А)</t>
  </si>
  <si>
    <t>Цыкоза Т.Я. ИП (ул.Советская, д.206 В)</t>
  </si>
  <si>
    <t>ГУРМАНГРУПП ООО (г.Луганск, ул.Оборонная, д.14, пом.1)</t>
  </si>
  <si>
    <t>СПАР ЛУГАНСК ООО (г.Луганск, ул.Оборонная, д.26)</t>
  </si>
  <si>
    <t>Цыкоза Т.Я. ИП (ул.Ленина, д.70 а)</t>
  </si>
  <si>
    <t>Серик С.В. ИП (кв-л Молодежный, д.16)</t>
  </si>
  <si>
    <t>Кулишова А.Б. ИП (п.Валуйское, ул.Советская, д.272)</t>
  </si>
  <si>
    <t>ИП Бабарыкина В.Г. Луганская обл., пгт.Станица-Луганская,с.Макарово ул.Артема 33 а,магазин,+79592233</t>
  </si>
  <si>
    <t>Кулишова А.Б. ИП (п.Валуйское, ул.Горького, д.15 а, магазин)</t>
  </si>
  <si>
    <t>Денисова Ю.А. ИП (ул.Центральная, д.38)</t>
  </si>
  <si>
    <t>ЕРМАК ООО (ул.Горького, д.50 Б)</t>
  </si>
  <si>
    <t>Махукова С.И. ИП (ул.Красногвардейская, д.60)</t>
  </si>
  <si>
    <t>Жицкий О.В. ИП (переулок Свердлова, д.11)</t>
  </si>
  <si>
    <t>ЕРМАК ООО (ул.5-ой линии, д.10)</t>
  </si>
  <si>
    <t>Ткаченко Г.А. ИП (ул.Привокзальная (ул.Свердлова), д.80)</t>
  </si>
  <si>
    <t>ЕРМАК ООО (ул.Советская, д.1А)</t>
  </si>
  <si>
    <t>Басинская Е.М. ИП (с.Валуйское, ул.Советская, д.52А, маг.Теремок)</t>
  </si>
  <si>
    <t>Маслов Р.А.</t>
  </si>
  <si>
    <t>Тананакина Н.А. ИП (г.Луганск, ул.Оборонная, д.7, помещ.3)</t>
  </si>
  <si>
    <t xml:space="preserve">ИП Рябова Е. Ю.  г. Луганск ул. Оборонная 28 К маг. "Ивушка " +79591337196 Лариса </t>
  </si>
  <si>
    <t>Кадырова И.И. ИП (кв-л Героев Сталинграда, д.6 В)</t>
  </si>
  <si>
    <t>Багдасарян А.Х. ИП (ул.Черноморская, д.1Б, маг.Агата)</t>
  </si>
  <si>
    <t xml:space="preserve">Кравец Ю.Ю. ИП (ул.Челюскинцев, д.143, пом.121) </t>
  </si>
  <si>
    <t>Федосов К.В. ИП (г.Луганск, ул.Кононенко, д.78)</t>
  </si>
  <si>
    <t>КУМ ООО (ул.Ивана Франко, д.2А)</t>
  </si>
  <si>
    <t>Мовшук М.А. ИП (г.Луганск, ул.Сосюры, д.75, маг.Светлое Темное)</t>
  </si>
  <si>
    <t>Рытиков Д.С. ИП (г.Луганск, кв-л Ольховский, д.4Б)</t>
  </si>
  <si>
    <t>Почтарев В.А. ИП (пер.2-й Славянский, д.2А, маг.Шериф)</t>
  </si>
  <si>
    <t>Рыбальченко В.А. ИП (кв-л Щербакова, д.1А)</t>
  </si>
  <si>
    <t>Л ИП Ивашень А.,г.Луганск, ул Любови Шевцовой 7, ц.рынок,+79590000001</t>
  </si>
  <si>
    <t>Л ИП Мудренов К.В.г.Луганск, ул Дзержинского дом12 (за Сити центром серые ворота)+79590000001</t>
  </si>
  <si>
    <t>Карасёв А.М. ИП (ул.Оборонная, д.7Г)</t>
  </si>
  <si>
    <t>Головченко Д.А. ИП (г.Луганск, ул.Демехина, д.20, Сыто-Пьяно)</t>
  </si>
  <si>
    <t>Колесник В.В. ИП (кв-л Ольховский, д.9, пом.128)</t>
  </si>
  <si>
    <t>Зудова О.А. ИП (ул.Коцюбинского, д.27)</t>
  </si>
  <si>
    <t>ИП Маруева В.Д.,г. Луганск,ул.Любови Шевцовой 21,магазин,+ 79591305628</t>
  </si>
  <si>
    <t>СПАР ЛУГАНСК ООО (г.Луганск, ул.Советская, д.56)</t>
  </si>
  <si>
    <t>Щербак В.А. ИП (ул.Лутугинская, д.1 В)</t>
  </si>
  <si>
    <t>ИП Некипелова В. А.,г.Луганск ,кв. Южный 11 з, маг." В арке" тел+79590000001</t>
  </si>
  <si>
    <t>Чередниченко Т.Д. ИП (г.Луганск, кв-л Героев Сталинграда, д.2В, маг.Звездочка)</t>
  </si>
  <si>
    <t>Висягина А.В. ИП (ул.Победоносная, д.23)</t>
  </si>
  <si>
    <t xml:space="preserve">ИП Драна О.В ЛНР г.Луганск кв.Мирный рынок Заречный модуль 82 </t>
  </si>
  <si>
    <t xml:space="preserve"> ИП Цымбалюк О.Е. г. Луганск, рынок Южный, модуль 11</t>
  </si>
  <si>
    <t>Костенко Н.И. ИП (кв-л Южный, д.15, рынок Южный, мод.17)</t>
  </si>
  <si>
    <t>Чернякова Л.Н. ИП (кв-л Щербакова, д.1В, маг.Ассорти)</t>
  </si>
  <si>
    <t>ПИНТА ООО (г.Луганск, ул.Московская, д.3б)</t>
  </si>
  <si>
    <t>Рытиков К.С. ИП (г.Луганск, ул.2-я Краснознаменная, д.1Б, рынок Мирный, модуль 38)</t>
  </si>
  <si>
    <t>ЧЕТА ООО (кв-л Героев Сталинграда, д.2В)</t>
  </si>
  <si>
    <t>Калашникова И.Ю. ИП (г.Луганск, ул.Победоносная, д.1)</t>
  </si>
  <si>
    <t>Степченко Т.А. ИП (г.Луганск, кв-л Южный, д.2)</t>
  </si>
  <si>
    <t>Курилова Е.В. ИП (г.Луганск, ул.Карла Маркса, д.9)</t>
  </si>
  <si>
    <t>Шевякин С.В. ИП (кв.Заречный, д.12, помещ.161)</t>
  </si>
  <si>
    <t>Бронецкий А.Б. ИП (г.Луганск, ул.Шевченко Т.Г., д.4)</t>
  </si>
  <si>
    <t>Новохатский Максим</t>
  </si>
  <si>
    <t>Рудковская О.С. ИП (г.Молодогвардейск, ул.Ленина, д.9)</t>
  </si>
  <si>
    <t>АВАНТАЖ ООО (г.Молодогвардейск, кв-л Кошевого, д.23А)</t>
  </si>
  <si>
    <t>АВАНТАЖ ООО (г.Суходольск, ул.Блюхера, д.3)</t>
  </si>
  <si>
    <t>АВАНТАЖ ООО (г.Суходольск, ул.Станиславского, д.53)</t>
  </si>
  <si>
    <t>АВАНТАЖ ООО (г.Суходольск, ул.Комарова, зд.15А, помещ.1 эт.4,6-16,22)</t>
  </si>
  <si>
    <t>АВАНТАЖ ООО (г.Молодогвардейск, ул.Осьмухина, д.16Б)</t>
  </si>
  <si>
    <t>АВАНТАЖ ООО (г.Молодогвардейск, ул.Литвинова, д.1)</t>
  </si>
  <si>
    <t>ИП Кранина Л.В., Луганская обл., г. Суходольск, ул. Гостело 28а, гастроном, +79590000001</t>
  </si>
  <si>
    <t>Тарасенко Н.В. ИП (г.Молодогвардейск, ул.Земнухова, д.6, магазин)</t>
  </si>
  <si>
    <t>Леорда М.М. ИП (г.Суходольск, ул.Учительская, д.17, пом.2)</t>
  </si>
  <si>
    <t>Гандин В.И. ИП (г.Молодогвардейск, кв-л Кошевого, д.34А)</t>
  </si>
  <si>
    <t>Дубоносова А.И. ИП (г.Молодогвардейск, ул.Осьмухина, д.21)</t>
  </si>
  <si>
    <t>Жуманиязова Я.С. ИП (г.Молодогвардейск, ул.Ленина, д.7)</t>
  </si>
  <si>
    <t>ИП Ничитайлова И.Н., Луганская обл., Краснодонский р-н,г.Суходольск, ул.Ленина 27, магазин</t>
  </si>
  <si>
    <t>Л ИП Джабарова Е.А., Луганская обл.г . Суходольск, ул. Гостело 9а, магазин "Кристал", +79591023701</t>
  </si>
  <si>
    <t>Ляляева М.И. ИП (г.Суходольск, ул.Ленина, д.36, пом.34,35, магазин Лакомка)</t>
  </si>
  <si>
    <t>Жданова Г.В. ИП (ул.Водопроводная, д.50)</t>
  </si>
  <si>
    <t>Цвич К.В. ИП (ул.Молодогвардейская, д.23)</t>
  </si>
  <si>
    <t>Ляляева М.И. ИП (г.Суходольск, ул.Ленина, д.28, магазин Красная шапочка)</t>
  </si>
  <si>
    <t>Иванец Е.М. ИП (г.Суходольск, ул.Советская, д.50А)</t>
  </si>
  <si>
    <t>Березовская М.В. ИП (ул.Калинина, д.25)</t>
  </si>
  <si>
    <t>Л ИП Рязанова О.В.Луганская обл.,,Краснодонский Р-н,г. Молодогвардейск,кв. Кошевого 71,магазин</t>
  </si>
  <si>
    <t>Ткаченко Т.В. ИП (г.Молодогвардейск, кв-л Кошевого, д.71)</t>
  </si>
  <si>
    <t>Гандин В.И. ИП (г.Молодогвардейск, ул.Литвинова, район аптеки)</t>
  </si>
  <si>
    <t>ИП Малышенко О.С, Луганская обл., г.Молодогвардейск, кв.Кошевого 18Б магазин "Ангар" +79595506579</t>
  </si>
  <si>
    <t>Морозова Е.Б. ИП (ул.Калинина, д.13)</t>
  </si>
  <si>
    <t>ИП Шестозуб Е.В., Луганская обл., Краснодонский р-н,г.Суходольск, ул.Гостела 21 б,магазин"Спартак"</t>
  </si>
  <si>
    <t>Васильев Е.А. ИП (г.Молодогвардейск, ул.Коцюбинского, д.13)</t>
  </si>
  <si>
    <t>Шегеда Н.М. ИП (г.Суходольск, ул.Ленина, д.40)</t>
  </si>
  <si>
    <t xml:space="preserve">ИП Калиновски В. Н., луганская область город Молодогвардейск улица земнухова 7 магазин апельсин. </t>
  </si>
  <si>
    <t>Гандин В.И. ИП (г.Суходольск, ул.Ленина, д.48)</t>
  </si>
  <si>
    <t>Сачко И.С. ИП (ул.Ленина, д.38)</t>
  </si>
  <si>
    <t>ИП Журавлева Н.П., Луганская обл.,Краснодонский р-н, г. Молодогвардейск, ул. Литвинов 28, магазин</t>
  </si>
  <si>
    <t>Сотников Александр Иванович</t>
  </si>
  <si>
    <t>ИП Ковалева К.В., Лугансая обл., г. Стаханов, ул. Карла Либкнехта, повильон 14 (рынок северный)</t>
  </si>
  <si>
    <t>ТД ГОРНЯК ООО (пр-кт Ленина, д.17, помещ.1)</t>
  </si>
  <si>
    <t xml:space="preserve">ИП Слабоус Г. И. Луганская обл. г.Стаханов  рынок "Южный" маг. "Продукты"+7959000001 </t>
  </si>
  <si>
    <t>Кирдеева Л.В. ИП (г.Стаханов, ул.Макерова, д.11)</t>
  </si>
  <si>
    <t>Куличков О.А. ИП (ул.Горького, д.48Б, маг.Продукты)</t>
  </si>
  <si>
    <t>ИП Вердиев Р.С.О. ЛНР г. Стаханов, ул. Карбышева 1, рынок Северный, маг. У Дороги</t>
  </si>
  <si>
    <t>Науменко Л.Г. ИП (г.Стаханов, ул.Б.Хмельницкого, д.31, склад 5)</t>
  </si>
  <si>
    <t xml:space="preserve"> ИП Шевченко Д.В. Луганская обл. г. Стаханов, ул. Осипенко 3, магазин "Продукты"</t>
  </si>
  <si>
    <t>Тисленко В.А. ИП (г.Стаханов, ул.Стаханова, д.3)</t>
  </si>
  <si>
    <t>ИП Воронова Е. А., Луганская обл., г. Стаханов, ул. Б. Хмельницкого 40, центр. рынок, модули 207-208</t>
  </si>
  <si>
    <t>ИП Острикова Н.Н., Луганская обл., г. Стаханова, пр. Ленина, 31, магазин "Маричка", +79591230541</t>
  </si>
  <si>
    <t>Лукьянченко В.А. ИП (г.Стаханов, кв-л 70 лет Октября, д.11)</t>
  </si>
  <si>
    <t>Козелькова А.В. ИП (г.Стаханов, ул.Богдана Хмельницкого, д.31)</t>
  </si>
  <si>
    <t>Дыма А.И. ИП (ул.Пологая, д.2, маг.Продукты)</t>
  </si>
  <si>
    <t>ИП Вахрушев С.В., Луганская обл., г. Стаханов, ул Багдана Хмельницкого (база загот зерно), склад</t>
  </si>
  <si>
    <t>ИП Шпота Л. В, Луганская обл.,г.Стаханов, ул .Карбышева1, рынок" Северный" мод 164 ,маг."Курочка" +7</t>
  </si>
  <si>
    <t>ИП Ахмедова Л.Ю., Луганская обл., г. Стаханов, ул. Курченко 15А, "Гастроном 7", +79591113318</t>
  </si>
  <si>
    <t>ИП Юшко С.В., Луганская обл., г. Стаханов,  проспект Ленина 35/1, маг. "Марс" (7.00 - 17.00)   +7959</t>
  </si>
  <si>
    <t>ИП Ковешникова И.В., Луганская обл., г. Стаханов, проспект Ленина 35,магазин" Виктория",+79590000001</t>
  </si>
  <si>
    <t xml:space="preserve">ИП Валыка Е. Н. Луганская обл. Стаханов ул. Макерова 12а. Магазин Продукты. </t>
  </si>
  <si>
    <t>ИП Якубовская В.В., Луганская обл., г. Стаханов, ул Фестивальная (остановка), магазин, +79590000001</t>
  </si>
  <si>
    <t>Кривошей Н.В. ИП (ул.Пр.Ленина, д.35/3, маг.Леон)</t>
  </si>
  <si>
    <t>ИП Клюйко Т. В., Луганская обл., г. Стаханов, пр. 50лет Октября ,дом 11, помещения 3,магазиин  +7959</t>
  </si>
  <si>
    <t>Пряжников В.М. ИП (г.Стаханов, ул.Стаханова, зд.2и)</t>
  </si>
  <si>
    <t>МРБ ООО (г.Стаханов, ул.Надежды Курченко, д.10, стр.77)</t>
  </si>
  <si>
    <t>Бушуева В.Г. ИП (г.Стаханов, пр-кт Ленина, д.52А, маг.Ромашка)</t>
  </si>
  <si>
    <t>Ильченко В.О. ИП (г.Стаханов, рынок Северный, модуль 209, Молоко)</t>
  </si>
  <si>
    <t>Юшко С.В. ИП (г.Стаханов, пр-кт Ленина, д.37, магазин Луч)</t>
  </si>
  <si>
    <t>ИП Винник Э.Э., Луганская обл., г.Стаханов, ул.Карла Либкнехта, рынок северный, павильон 169</t>
  </si>
  <si>
    <t xml:space="preserve">ИП Кесаева Е. А., Луганская обл., г. Стаханов, ул. Карбышева 1, Северный рынок, мод. 167, (выгрузка </t>
  </si>
  <si>
    <t>Ганева М.Е. ИП (ул.Богдана Хмельницкого, д.2, маг.Продукты)</t>
  </si>
  <si>
    <t>Гончаренко О.В. ИП (г.Стаханов, ул.Лобачевского, д.3)</t>
  </si>
  <si>
    <t>Бойко И.С. ИП (г.Стаханов, ул.60 лет Октября, д.4А)</t>
  </si>
  <si>
    <t>ИП Кухтина В.И., Луганская обл., г.Стаханов,проспект Ленина д.43,магазин"Тайфун",+79590000001</t>
  </si>
  <si>
    <t>Фишич М.А. ИП (ул.Трамвайная, д.112, магазин)</t>
  </si>
  <si>
    <t>ИП Ершова С.В., Луганская обл., г. Стаханов, ул. Карбышева 1, Северный рынок, пав. 187, +79591279551</t>
  </si>
  <si>
    <t>ИП Сорокина Е.Н., Луганская обл., г. Стаханов, ул. Стаханова, рынок Южный, павильон 46, +79590000001</t>
  </si>
  <si>
    <t>Ершов С.В. ИП (г.Стаханов, ул.Фестивальная, д.10)</t>
  </si>
  <si>
    <t xml:space="preserve"> ИП Дьячков Р. А.,Луганская обл., г. Стаханов, ул. Карбышева, д.1, мод. 351, магазин "Мясной Бум" (С</t>
  </si>
  <si>
    <t>МРБ ООО (г.Стаханов, ул.Карбышева, д.1, рынок Северный, павильон Аква)</t>
  </si>
  <si>
    <t>ИП Шевчук Е.Л., Луганская обл., г. Стаханов, пр. Ленина, 37, магазин "СПМ", +79591312704</t>
  </si>
  <si>
    <t>Сотников Юрий Иванович</t>
  </si>
  <si>
    <t>АПЕКС ПЛЮС ООО (г.Алчевск, ул.Кирова, д.12, помещ.92)</t>
  </si>
  <si>
    <t>АПЕКС ПЛЮС ООО (ул.Горького, д.18, Магазин 139)</t>
  </si>
  <si>
    <t>Магур С.З. ИП (г.Первомайск, ул.Макаренко, д.16)</t>
  </si>
  <si>
    <t>АЛЧЕВСК-ИНВЕСТ ООО (пр-кт 50 лет Октября, д.12/1, с/м Парус)</t>
  </si>
  <si>
    <t>Яковенко Г.А. ИП (г.Первомайск, ул.Макаренко, д.32)</t>
  </si>
  <si>
    <t>ИП Волкова Н.В., Луганская обл., г. Первомайск, ул Киевская 31, магазин "Семёрочка", +79590000001</t>
  </si>
  <si>
    <t>ИП Микитина А.П., Луганская обл., г. Первомайск, ул Макаренко 21, магазин (на остановке Спартак)</t>
  </si>
  <si>
    <t xml:space="preserve">ИП Шапошникова Ю.А. Луганская обл. г. Первомайск, ул. Киевская 27, магазин "Деликат" (8.00 - 20.00) </t>
  </si>
  <si>
    <t>ИП Иваненко Р.В.,Луганская обл., г. Первомайск, ул. Макаренко 20, магазин "Шанс", +79590000001</t>
  </si>
  <si>
    <t>ИП Кравченко Н.А., Луганская обл., п. Лотиково,ул. Ленина 20,магазин "Надежда"</t>
  </si>
  <si>
    <t>Ляшенко О.Н. ИП (г.Первомайск, ул.Макаренко, д.22, маг.Рассвет)</t>
  </si>
  <si>
    <t>Кирпа О.П. ИП (ул.Макаренко, д.13)</t>
  </si>
  <si>
    <t>Савченко В.Г ИП (г.Первомайск, ул.Харьковская, д.8)</t>
  </si>
  <si>
    <t>Наливайко С.Г. ИП (ул.Куйбышева, д.19 А, маг.Ника)</t>
  </si>
  <si>
    <t>Чёрных Я.М. ИП (г.Первомайск, ул.Куйбышева, д.38, магазин Любава)</t>
  </si>
  <si>
    <t>ИП Микитина А. П. Луганская обл., г. Первомайск, ул. Любовь Шевцовой 1, магазин +79591567351 Мария</t>
  </si>
  <si>
    <t>ИП Красова Е.В., Луганская обл., г. Первомайск, ул Свердлова 7а, магазин "Любимый", +79590000001</t>
  </si>
  <si>
    <t>Ткачева М.В. ИП (ул Горбатова, зд.1А)</t>
  </si>
  <si>
    <t>Стельмах Алексей Николаевич</t>
  </si>
  <si>
    <t>ИП Терентьева Е.С Луганская обл. пгт.Новопсков, ул.Карла Маркса д.29, киоск Табак</t>
  </si>
  <si>
    <t>Мороз А.Е. ИП (пгт.Новопсков, ул.Школьная, д.1)</t>
  </si>
  <si>
    <t>Баскова С.И. ИП (пгт.Новопсков, ул.Ленина, д.97б, маг.Погребок)</t>
  </si>
  <si>
    <t>ИП Чишкала Л. В.,Луганская обл.,с.Чмировка, ул. Запорожская 2, маг. "Катюша"(напротив школы) +795953</t>
  </si>
  <si>
    <t>ИП Марченко Д.А., Луганская обл., г.Новоайдар ул.Октябырская 124 а.,магазин"Спутник",+79590000001</t>
  </si>
  <si>
    <t>ИП Джус О.В. Луганская обл. с.Закотное ул. Айдарская 4Б, маг. "Всё для Вас"  +79595303408 Алена</t>
  </si>
  <si>
    <t>Колмыкова А.О. ИП (пгт.Новопсков, ул.Пролетарская, д.53Е)</t>
  </si>
  <si>
    <t>Авдеева Н.И. ИП (пгт.Новопсков, ул.Ленина, д.95, маг.Встреч)</t>
  </si>
  <si>
    <t>Халапурда Д.В. ИП (пгт.Новопсков, ул.Ленина, д.22)</t>
  </si>
  <si>
    <t>ВИКТОР ООО (пер.Мельничный, зд.1С)</t>
  </si>
  <si>
    <t>Драгола А.А. ИП (пгт.Новопсков, ул.Ленина, д.119, маг.У Алёны)</t>
  </si>
  <si>
    <t>ИПКотелюк Н.А.,Луганская обл.,Новопсковкий р-н, с.Булавиновка ,ул.Бондаря 2 Б вагончик" Прохлада", +</t>
  </si>
  <si>
    <t>Рыбникова Е.Н. ИП (г.Старобельск, ул.Урицкого, д.1, магазин Калмычанка)</t>
  </si>
  <si>
    <t>Лубяниченко О.Н. ИП (с.Лиман, ул.Песчаная, д.1В)</t>
  </si>
  <si>
    <t>Свистунова Р.И. ИП (пгт.Новопсков, ул.Ленина, д.72)</t>
  </si>
  <si>
    <t>Мороз А.Е. ИП (с.Осиново, ул.Ленина, д.8а)</t>
  </si>
  <si>
    <t>Ковалева Л.В. ИП (пгт.Новопсков, ул.Школьная, д.1, маг.Океан)</t>
  </si>
  <si>
    <t>Осетрова Е.В. ИП (с.Заайдаровка, ул.Первомайская, д.29, маг.1000 мелочей)</t>
  </si>
  <si>
    <t>Оноприенко Н.А. ИП (с.Булавиновка, ул.Ленина, д.б/н, вагончик Вираж)</t>
  </si>
  <si>
    <t>ИП Котелюк Н. А.,Луганская обл., Старобельский р-н, с. Проезжее ,ул.Октябрьская, маг. "Калина"(сразу</t>
  </si>
  <si>
    <t>Носаль А.Н. ИП (с.Чмыровка, ул.Горького, д.22а, магазин Салют)</t>
  </si>
  <si>
    <t>Золотарчук Е.П. ИП (с.Булавиновка, ул.Бондаря, д.61А)</t>
  </si>
  <si>
    <t>Кашуба Л.Л. ИП (с.Проезжее, ул.Колхозная, маг.Аленмакс)</t>
  </si>
  <si>
    <t>РУД ООО (ул.Дыбко, д.80А)</t>
  </si>
  <si>
    <t>Бирюкова Ю.И. ИП (г.Старобельск, ул.Гаршина, д.2, магазин Альянс)</t>
  </si>
  <si>
    <t>ЭВРИКА ООО (с.Лиман, ул.Дыбко, д.195а)</t>
  </si>
  <si>
    <t>Шрамко В.Ф. ИП (ул.Айдарская, д.5А)</t>
  </si>
  <si>
    <t>ИП Протасов Н.А Луганская Луганская обл. с.Писаревка ул. Пархоменко 24А маг. "Олимп" +79592314981</t>
  </si>
  <si>
    <t>Агафонова С.И. ИП (пгт.Новопсков, ул.Ленина, д.122, магазин Точка Вкуса)</t>
  </si>
  <si>
    <t>Черняк Т.И. ИП (пгт.Новопсков, ул.Почтовая, д.1а)</t>
  </si>
  <si>
    <t>Колмыков В.Н. ИП (пгт.Новопсков, ул.Первомайская, д.3, магазин Фреш)</t>
  </si>
  <si>
    <t>Шкуропатский Р.В. ИП (ул.Школьная д.1, маг.Мясной)</t>
  </si>
  <si>
    <t>Ислямова Т.М. ИП (пгт.Новопсков, ул.Ленина, д.118)</t>
  </si>
  <si>
    <t>Васюкова Т.Н. ИП (пгт.Новопсков, ул.Школьная, д.3а)</t>
  </si>
  <si>
    <t>Ярченко И.В. ИП (с.Лиман, ул.Дыбко, д.110 б, магазин Смак)</t>
  </si>
  <si>
    <t>Вострова В.Н. ИП (г.Старобельск, пл.Базарная, д.32, маг.Оптовик)</t>
  </si>
  <si>
    <t>ИП Щербакова Е.Н., ЛНР, пгт. Новопсков, ул. Школьная, 3а, маг. Продуктовая Лавка</t>
  </si>
  <si>
    <t>Логвиненко В.Н. ИП (пгт.Новопсков, ул.Школьная, д.17)</t>
  </si>
  <si>
    <t xml:space="preserve">ИП Березин Д.О, Луганская обл. с.Осиново, ул.Ленина, д.102 </t>
  </si>
  <si>
    <t>Транспортное средство</t>
  </si>
  <si>
    <t>А853МР33 Газель</t>
  </si>
  <si>
    <t>А535ЕВ92 Мерседес Спринтер</t>
  </si>
  <si>
    <t>А867КМ92 Mercedes Sprinter</t>
  </si>
  <si>
    <t>Н412УС82 Мерседес спринтер</t>
  </si>
  <si>
    <t>М196ХУ82 Mercedes Sprinter</t>
  </si>
  <si>
    <t>А826МР33 Газель</t>
  </si>
  <si>
    <t>Н244ХУ82 Мерседес Спринтер</t>
  </si>
  <si>
    <t>Н588ХХ82 Мерседес спринтер</t>
  </si>
  <si>
    <t>Н030ХА82 МЕРСЕДЕСС</t>
  </si>
  <si>
    <t>Е676УК82 Газель</t>
  </si>
  <si>
    <t xml:space="preserve">1111 </t>
  </si>
  <si>
    <t>А848КМ92 Mercedes Sprinter 311</t>
  </si>
  <si>
    <t>Е756МУ82 Газель</t>
  </si>
  <si>
    <t>Н321РУ82 Mercedes Sprinter 311</t>
  </si>
  <si>
    <t>Н611ТН82  Мерседес Спринтер</t>
  </si>
  <si>
    <t>Н160РО82 Мерседес спринтер</t>
  </si>
  <si>
    <t>М272ОА82 MERSEDES SPRINTER 311</t>
  </si>
  <si>
    <t>Н671РО82 Газель некст</t>
  </si>
  <si>
    <t>не в матрице</t>
  </si>
  <si>
    <t>вывод</t>
  </si>
  <si>
    <t>рост продаж в 1,5 раза</t>
  </si>
  <si>
    <t>рост продаж в 2,2 раза</t>
  </si>
  <si>
    <t>остаток, кг</t>
  </si>
  <si>
    <t>рост продаж в 2,3 раза</t>
  </si>
  <si>
    <t>19,10,26 завод отгрузил 247кг из 420кг заказанных</t>
  </si>
  <si>
    <t>рост продаж в 1,3 раза</t>
  </si>
  <si>
    <t>рост продаж в 2,1 раза</t>
  </si>
  <si>
    <t>рост продаж в 1,9 раза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</si>
</sst>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#,##0.000"/>
    <numFmt numFmtId="166" formatCode="0.000"/>
    <numFmt numFmtId="167" formatCode="0.0"/>
  </numFmts>
  <fonts count="4" x14ac:knownFonts="1">
    <font>
      <sz val="8"/>
      <name val="Arial"/>
      <family val="2"/>
    </font>
    <font>
      <sz val="10"/>
      <name val="Arial"/>
      <family val="2"/>
      <charset val="204"/>
    </font>
    <font>
      <b/>
      <sz val="16"/>
      <name val="Arial"/>
      <family val="2"/>
      <charset val="204"/>
    </font>
    <font>
      <sz val="8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28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24"/>
      </left>
      <right/>
      <top style="thin">
        <color indexed="24"/>
      </top>
      <bottom style="thin">
        <color indexed="24"/>
      </bottom>
      <diagonal/>
    </border>
    <border>
      <left/>
      <right/>
      <top style="thin">
        <color indexed="24"/>
      </top>
      <bottom style="thin">
        <color indexed="24"/>
      </bottom>
      <diagonal/>
    </border>
    <border>
      <left/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/>
      <diagonal/>
    </border>
    <border>
      <left style="thin">
        <color indexed="24"/>
      </left>
      <right style="thin">
        <color indexed="24"/>
      </right>
      <top/>
      <bottom style="thin">
        <color indexed="24"/>
      </bottom>
      <diagonal/>
    </border>
    <border>
      <left style="thin">
        <color indexed="24"/>
      </left>
      <right/>
      <top/>
      <bottom style="thin">
        <color indexed="24"/>
      </bottom>
      <diagonal/>
    </border>
    <border>
      <left/>
      <right/>
      <top/>
      <bottom style="thin">
        <color indexed="24"/>
      </bottom>
      <diagonal/>
    </border>
    <border>
      <left/>
      <right style="thin">
        <color indexed="24"/>
      </right>
      <top/>
      <bottom style="thin">
        <color indexed="24"/>
      </bottom>
      <diagonal/>
    </border>
    <border>
      <left style="thin">
        <color indexed="24"/>
      </left>
      <right/>
      <top/>
      <bottom/>
      <diagonal/>
    </border>
    <border>
      <left/>
      <right style="thin">
        <color indexed="2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4"/>
      </left>
      <right/>
      <top style="thin">
        <color indexed="24"/>
      </top>
      <bottom/>
      <diagonal/>
    </border>
    <border>
      <left/>
      <right/>
      <top style="thin">
        <color indexed="24"/>
      </top>
      <bottom/>
      <diagonal/>
    </border>
    <border>
      <left/>
      <right style="thin">
        <color indexed="24"/>
      </right>
      <top style="thin">
        <color indexed="24"/>
      </top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NumberFormat="1" applyFont="1" applyAlignment="1">
      <alignment vertical="top"/>
    </xf>
    <xf numFmtId="0" fontId="2" fillId="0" borderId="0" xfId="0" applyNumberFormat="1" applyFont="1" applyAlignment="1">
      <alignment vertical="top"/>
    </xf>
    <xf numFmtId="0" fontId="1" fillId="2" borderId="1" xfId="0" applyNumberFormat="1" applyFont="1" applyFill="1" applyBorder="1" applyAlignment="1">
      <alignment vertical="top"/>
    </xf>
    <xf numFmtId="0" fontId="1" fillId="2" borderId="1" xfId="0" applyNumberFormat="1" applyFont="1" applyFill="1" applyBorder="1" applyAlignment="1">
      <alignment vertical="top" wrapText="1"/>
    </xf>
    <xf numFmtId="4" fontId="0" fillId="0" borderId="1" xfId="0" applyNumberFormat="1" applyFont="1" applyBorder="1" applyAlignment="1">
      <alignment horizontal="right" vertical="top"/>
    </xf>
    <xf numFmtId="165" fontId="0" fillId="0" borderId="1" xfId="0" applyNumberFormat="1" applyFont="1" applyBorder="1" applyAlignment="1">
      <alignment horizontal="right" vertical="top"/>
    </xf>
    <xf numFmtId="166" fontId="0" fillId="0" borderId="1" xfId="0" applyNumberFormat="1" applyFont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0" fontId="0" fillId="0" borderId="2" xfId="0" applyNumberFormat="1" applyFont="1" applyBorder="1" applyAlignment="1">
      <alignment vertical="top"/>
    </xf>
    <xf numFmtId="0" fontId="0" fillId="0" borderId="3" xfId="0" applyNumberFormat="1" applyFont="1" applyBorder="1" applyAlignment="1">
      <alignment vertical="top"/>
    </xf>
    <xf numFmtId="0" fontId="0" fillId="0" borderId="4" xfId="0" applyNumberFormat="1" applyFont="1" applyBorder="1" applyAlignment="1">
      <alignment vertical="top"/>
    </xf>
    <xf numFmtId="0" fontId="0" fillId="0" borderId="2" xfId="0" applyNumberFormat="1" applyFont="1" applyBorder="1" applyAlignment="1">
      <alignment horizontal="right" vertical="top"/>
    </xf>
    <xf numFmtId="0" fontId="0" fillId="0" borderId="3" xfId="0" applyNumberFormat="1" applyFont="1" applyBorder="1" applyAlignment="1">
      <alignment horizontal="right" vertical="top"/>
    </xf>
    <xf numFmtId="0" fontId="0" fillId="0" borderId="4" xfId="0" applyNumberFormat="1" applyFont="1" applyBorder="1" applyAlignment="1">
      <alignment horizontal="right" vertical="top"/>
    </xf>
    <xf numFmtId="0" fontId="3" fillId="3" borderId="2" xfId="0" applyNumberFormat="1" applyFont="1" applyFill="1" applyBorder="1" applyAlignment="1">
      <alignment horizontal="right" vertical="top"/>
    </xf>
    <xf numFmtId="0" fontId="3" fillId="3" borderId="3" xfId="0" applyNumberFormat="1" applyFont="1" applyFill="1" applyBorder="1" applyAlignment="1">
      <alignment horizontal="right" vertical="top"/>
    </xf>
    <xf numFmtId="0" fontId="3" fillId="3" borderId="4" xfId="0" applyNumberFormat="1" applyFont="1" applyFill="1" applyBorder="1" applyAlignment="1">
      <alignment horizontal="right" vertical="top"/>
    </xf>
    <xf numFmtId="0" fontId="3" fillId="3" borderId="2" xfId="0" applyNumberFormat="1" applyFont="1" applyFill="1" applyBorder="1" applyAlignment="1">
      <alignment vertical="top"/>
    </xf>
    <xf numFmtId="0" fontId="3" fillId="3" borderId="3" xfId="0" applyNumberFormat="1" applyFont="1" applyFill="1" applyBorder="1" applyAlignment="1">
      <alignment vertical="top"/>
    </xf>
    <xf numFmtId="0" fontId="3" fillId="3" borderId="4" xfId="0" applyNumberFormat="1" applyFont="1" applyFill="1" applyBorder="1" applyAlignment="1">
      <alignment vertical="top"/>
    </xf>
    <xf numFmtId="1" fontId="0" fillId="0" borderId="1" xfId="0" applyNumberFormat="1" applyFont="1" applyBorder="1" applyAlignment="1">
      <alignment horizontal="right" vertical="top" wrapText="1"/>
    </xf>
    <xf numFmtId="0" fontId="0" fillId="0" borderId="2" xfId="0" applyNumberFormat="1" applyFont="1" applyBorder="1" applyAlignment="1">
      <alignment vertical="top" wrapText="1"/>
    </xf>
    <xf numFmtId="0" fontId="0" fillId="0" borderId="3" xfId="0" applyNumberFormat="1" applyFont="1" applyBorder="1" applyAlignment="1">
      <alignment vertical="top" wrapText="1"/>
    </xf>
    <xf numFmtId="0" fontId="0" fillId="0" borderId="4" xfId="0" applyNumberFormat="1" applyFont="1" applyBorder="1" applyAlignment="1">
      <alignment vertical="top" wrapText="1"/>
    </xf>
    <xf numFmtId="0" fontId="0" fillId="4" borderId="2" xfId="0" applyNumberFormat="1" applyFont="1" applyFill="1" applyBorder="1" applyAlignment="1">
      <alignment horizontal="right" vertical="top"/>
    </xf>
    <xf numFmtId="0" fontId="0" fillId="4" borderId="3" xfId="0" applyNumberFormat="1" applyFont="1" applyFill="1" applyBorder="1" applyAlignment="1">
      <alignment horizontal="right" vertical="top"/>
    </xf>
    <xf numFmtId="0" fontId="0" fillId="4" borderId="4" xfId="0" applyNumberFormat="1" applyFont="1" applyFill="1" applyBorder="1" applyAlignment="1">
      <alignment horizontal="right" vertical="top"/>
    </xf>
    <xf numFmtId="166" fontId="0" fillId="0" borderId="0" xfId="0" applyNumberFormat="1"/>
    <xf numFmtId="0" fontId="0" fillId="0" borderId="13" xfId="0" applyNumberFormat="1" applyFont="1" applyBorder="1" applyAlignment="1">
      <alignment vertical="top"/>
    </xf>
    <xf numFmtId="0" fontId="0" fillId="0" borderId="14" xfId="0" applyNumberFormat="1" applyFont="1" applyBorder="1" applyAlignment="1">
      <alignment vertical="top"/>
    </xf>
    <xf numFmtId="0" fontId="0" fillId="0" borderId="15" xfId="0" applyNumberFormat="1" applyFont="1" applyBorder="1" applyAlignment="1">
      <alignment vertical="top"/>
    </xf>
    <xf numFmtId="0" fontId="0" fillId="0" borderId="7" xfId="0" applyNumberFormat="1" applyFont="1" applyBorder="1" applyAlignment="1">
      <alignment horizontal="right" vertical="top"/>
    </xf>
    <xf numFmtId="0" fontId="0" fillId="0" borderId="8" xfId="0" applyNumberFormat="1" applyFont="1" applyBorder="1" applyAlignment="1">
      <alignment horizontal="right" vertical="top"/>
    </xf>
    <xf numFmtId="0" fontId="0" fillId="0" borderId="9" xfId="0" applyNumberFormat="1" applyFont="1" applyBorder="1" applyAlignment="1">
      <alignment horizontal="right" vertical="top"/>
    </xf>
    <xf numFmtId="0" fontId="0" fillId="0" borderId="12" xfId="0" applyBorder="1"/>
    <xf numFmtId="0" fontId="0" fillId="0" borderId="12" xfId="0" applyNumberFormat="1" applyFont="1" applyBorder="1" applyAlignment="1">
      <alignment vertical="top"/>
    </xf>
    <xf numFmtId="0" fontId="0" fillId="0" borderId="12" xfId="0" applyNumberFormat="1" applyFont="1" applyBorder="1" applyAlignment="1">
      <alignment horizontal="right" vertical="top"/>
    </xf>
    <xf numFmtId="0" fontId="0" fillId="6" borderId="12" xfId="0" applyFill="1" applyBorder="1"/>
    <xf numFmtId="0" fontId="0" fillId="0" borderId="1" xfId="0" applyNumberFormat="1" applyFont="1" applyBorder="1" applyAlignment="1">
      <alignment vertical="top" wrapText="1"/>
    </xf>
    <xf numFmtId="4" fontId="0" fillId="0" borderId="1" xfId="0" applyNumberFormat="1" applyFont="1" applyBorder="1" applyAlignment="1">
      <alignment horizontal="right" vertical="top"/>
    </xf>
    <xf numFmtId="2" fontId="0" fillId="0" borderId="1" xfId="0" applyNumberFormat="1" applyFont="1" applyBorder="1" applyAlignment="1">
      <alignment horizontal="right" vertical="top"/>
    </xf>
    <xf numFmtId="164" fontId="0" fillId="0" borderId="1" xfId="0" applyNumberFormat="1" applyFont="1" applyBorder="1" applyAlignment="1">
      <alignment horizontal="right" vertical="top"/>
    </xf>
    <xf numFmtId="166" fontId="0" fillId="0" borderId="1" xfId="0" applyNumberFormat="1" applyFont="1" applyBorder="1" applyAlignment="1">
      <alignment horizontal="right" vertical="top"/>
    </xf>
    <xf numFmtId="0" fontId="1" fillId="0" borderId="0" xfId="0" applyNumberFormat="1" applyFont="1" applyAlignment="1">
      <alignment vertical="top" wrapText="1"/>
    </xf>
    <xf numFmtId="0" fontId="1" fillId="2" borderId="5" xfId="0" applyNumberFormat="1" applyFont="1" applyFill="1" applyBorder="1" applyAlignment="1">
      <alignment vertical="top" wrapText="1"/>
    </xf>
    <xf numFmtId="0" fontId="1" fillId="2" borderId="10" xfId="0" applyNumberFormat="1" applyFont="1" applyFill="1" applyBorder="1" applyAlignment="1">
      <alignment vertical="top" wrapText="1"/>
    </xf>
    <xf numFmtId="0" fontId="1" fillId="2" borderId="0" xfId="0" applyNumberFormat="1" applyFont="1" applyFill="1" applyAlignment="1">
      <alignment vertical="top" wrapText="1"/>
    </xf>
    <xf numFmtId="0" fontId="1" fillId="2" borderId="11" xfId="0" applyNumberFormat="1" applyFont="1" applyFill="1" applyBorder="1" applyAlignment="1">
      <alignment vertical="top" wrapText="1"/>
    </xf>
    <xf numFmtId="0" fontId="1" fillId="2" borderId="7" xfId="0" applyNumberFormat="1" applyFont="1" applyFill="1" applyBorder="1" applyAlignment="1">
      <alignment vertical="top" wrapText="1"/>
    </xf>
    <xf numFmtId="0" fontId="1" fillId="2" borderId="8" xfId="0" applyNumberFormat="1" applyFont="1" applyFill="1" applyBorder="1" applyAlignment="1">
      <alignment vertical="top" wrapText="1"/>
    </xf>
    <xf numFmtId="0" fontId="1" fillId="2" borderId="9" xfId="0" applyNumberFormat="1" applyFont="1" applyFill="1" applyBorder="1" applyAlignment="1">
      <alignment vertical="top" wrapText="1"/>
    </xf>
    <xf numFmtId="0" fontId="1" fillId="2" borderId="1" xfId="0" applyNumberFormat="1" applyFont="1" applyFill="1" applyBorder="1" applyAlignment="1">
      <alignment vertical="top"/>
    </xf>
    <xf numFmtId="0" fontId="1" fillId="2" borderId="1" xfId="0" applyNumberFormat="1" applyFont="1" applyFill="1" applyBorder="1" applyAlignment="1">
      <alignment vertical="top" wrapText="1"/>
    </xf>
    <xf numFmtId="165" fontId="1" fillId="2" borderId="1" xfId="0" applyNumberFormat="1" applyFont="1" applyFill="1" applyBorder="1" applyAlignment="1">
      <alignment horizontal="right" vertical="top"/>
    </xf>
    <xf numFmtId="166" fontId="1" fillId="2" borderId="1" xfId="0" applyNumberFormat="1" applyFont="1" applyFill="1" applyBorder="1" applyAlignment="1">
      <alignment horizontal="right" vertical="top"/>
    </xf>
    <xf numFmtId="165" fontId="0" fillId="0" borderId="1" xfId="0" applyNumberFormat="1" applyFont="1" applyBorder="1" applyAlignment="1">
      <alignment horizontal="right" vertical="top"/>
    </xf>
    <xf numFmtId="0" fontId="0" fillId="0" borderId="1" xfId="0" applyNumberFormat="1" applyFont="1" applyBorder="1" applyAlignment="1">
      <alignment vertical="top" wrapText="1" indent="4"/>
    </xf>
    <xf numFmtId="1" fontId="0" fillId="0" borderId="1" xfId="0" applyNumberFormat="1" applyFont="1" applyBorder="1" applyAlignment="1">
      <alignment horizontal="right" vertical="top"/>
    </xf>
    <xf numFmtId="167" fontId="0" fillId="0" borderId="1" xfId="0" applyNumberFormat="1" applyFont="1" applyBorder="1" applyAlignment="1">
      <alignment horizontal="right" vertical="top"/>
    </xf>
    <xf numFmtId="0" fontId="3" fillId="3" borderId="1" xfId="0" applyNumberFormat="1" applyFont="1" applyFill="1" applyBorder="1" applyAlignment="1">
      <alignment vertical="top" wrapText="1"/>
    </xf>
    <xf numFmtId="165" fontId="3" fillId="3" borderId="1" xfId="0" applyNumberFormat="1" applyFont="1" applyFill="1" applyBorder="1" applyAlignment="1">
      <alignment horizontal="right" vertical="top"/>
    </xf>
    <xf numFmtId="166" fontId="3" fillId="3" borderId="1" xfId="0" applyNumberFormat="1" applyFont="1" applyFill="1" applyBorder="1" applyAlignment="1">
      <alignment horizontal="right" vertical="top"/>
    </xf>
    <xf numFmtId="0" fontId="3" fillId="3" borderId="1" xfId="0" applyNumberFormat="1" applyFont="1" applyFill="1" applyBorder="1" applyAlignment="1">
      <alignment vertical="top" wrapText="1" indent="2"/>
    </xf>
    <xf numFmtId="4" fontId="3" fillId="3" borderId="1" xfId="0" applyNumberFormat="1" applyFont="1" applyFill="1" applyBorder="1" applyAlignment="1">
      <alignment horizontal="right" vertical="top"/>
    </xf>
    <xf numFmtId="2" fontId="3" fillId="3" borderId="1" xfId="0" applyNumberFormat="1" applyFont="1" applyFill="1" applyBorder="1" applyAlignment="1">
      <alignment horizontal="right" vertical="top"/>
    </xf>
    <xf numFmtId="0" fontId="0" fillId="0" borderId="5" xfId="0" applyNumberFormat="1" applyFont="1" applyBorder="1" applyAlignment="1">
      <alignment vertical="top" wrapText="1" indent="4"/>
    </xf>
    <xf numFmtId="167" fontId="0" fillId="0" borderId="5" xfId="0" applyNumberFormat="1" applyFont="1" applyBorder="1" applyAlignment="1">
      <alignment horizontal="right" vertical="top"/>
    </xf>
    <xf numFmtId="166" fontId="0" fillId="0" borderId="5" xfId="0" applyNumberFormat="1" applyFont="1" applyBorder="1" applyAlignment="1">
      <alignment horizontal="right" vertical="top"/>
    </xf>
    <xf numFmtId="0" fontId="0" fillId="0" borderId="12" xfId="0" applyNumberFormat="1" applyFont="1" applyBorder="1" applyAlignment="1">
      <alignment vertical="top" wrapText="1" indent="4"/>
    </xf>
    <xf numFmtId="167" fontId="0" fillId="0" borderId="12" xfId="0" applyNumberFormat="1" applyFont="1" applyBorder="1" applyAlignment="1">
      <alignment horizontal="right" vertical="top"/>
    </xf>
    <xf numFmtId="166" fontId="0" fillId="0" borderId="12" xfId="0" applyNumberFormat="1" applyFont="1" applyBorder="1" applyAlignment="1">
      <alignment horizontal="right" vertical="top"/>
    </xf>
    <xf numFmtId="166" fontId="0" fillId="5" borderId="12" xfId="0" applyNumberFormat="1" applyFont="1" applyFill="1" applyBorder="1" applyAlignment="1">
      <alignment horizontal="right" vertical="top"/>
    </xf>
    <xf numFmtId="2" fontId="0" fillId="0" borderId="12" xfId="0" applyNumberFormat="1" applyFont="1" applyBorder="1" applyAlignment="1">
      <alignment horizontal="right" vertical="top"/>
    </xf>
    <xf numFmtId="2" fontId="0" fillId="5" borderId="12" xfId="0" applyNumberFormat="1" applyFont="1" applyFill="1" applyBorder="1" applyAlignment="1">
      <alignment horizontal="right" vertical="top"/>
    </xf>
    <xf numFmtId="1" fontId="0" fillId="0" borderId="12" xfId="0" applyNumberFormat="1" applyFont="1" applyBorder="1" applyAlignment="1">
      <alignment horizontal="right" vertical="top"/>
    </xf>
    <xf numFmtId="0" fontId="3" fillId="3" borderId="12" xfId="0" applyNumberFormat="1" applyFont="1" applyFill="1" applyBorder="1" applyAlignment="1">
      <alignment vertical="top" wrapText="1" indent="2"/>
    </xf>
    <xf numFmtId="164" fontId="3" fillId="3" borderId="12" xfId="0" applyNumberFormat="1" applyFont="1" applyFill="1" applyBorder="1" applyAlignment="1">
      <alignment horizontal="right" vertical="top"/>
    </xf>
    <xf numFmtId="2" fontId="3" fillId="3" borderId="12" xfId="0" applyNumberFormat="1" applyFont="1" applyFill="1" applyBorder="1" applyAlignment="1">
      <alignment horizontal="right" vertical="top"/>
    </xf>
    <xf numFmtId="167" fontId="0" fillId="5" borderId="12" xfId="0" applyNumberFormat="1" applyFont="1" applyFill="1" applyBorder="1" applyAlignment="1">
      <alignment horizontal="right" vertical="top"/>
    </xf>
    <xf numFmtId="1" fontId="0" fillId="5" borderId="12" xfId="0" applyNumberFormat="1" applyFont="1" applyFill="1" applyBorder="1" applyAlignment="1">
      <alignment horizontal="right" vertical="top"/>
    </xf>
    <xf numFmtId="0" fontId="0" fillId="0" borderId="6" xfId="0" applyNumberFormat="1" applyFont="1" applyBorder="1" applyAlignment="1">
      <alignment vertical="top" wrapText="1" indent="4"/>
    </xf>
    <xf numFmtId="167" fontId="0" fillId="0" borderId="6" xfId="0" applyNumberFormat="1" applyFont="1" applyBorder="1" applyAlignment="1">
      <alignment horizontal="right" vertical="top"/>
    </xf>
    <xf numFmtId="2" fontId="0" fillId="5" borderId="1" xfId="0" applyNumberFormat="1" applyFont="1" applyFill="1" applyBorder="1" applyAlignment="1">
      <alignment horizontal="right" vertical="top"/>
    </xf>
    <xf numFmtId="167" fontId="0" fillId="5" borderId="1" xfId="0" applyNumberFormat="1" applyFont="1" applyFill="1" applyBorder="1" applyAlignment="1">
      <alignment horizontal="right" vertical="top"/>
    </xf>
    <xf numFmtId="167" fontId="3" fillId="3" borderId="1" xfId="0" applyNumberFormat="1" applyFont="1" applyFill="1" applyBorder="1" applyAlignment="1">
      <alignment horizontal="right" vertical="top"/>
    </xf>
    <xf numFmtId="164" fontId="3" fillId="3" borderId="1" xfId="0" applyNumberFormat="1" applyFont="1" applyFill="1" applyBorder="1" applyAlignment="1">
      <alignment horizontal="right" vertical="top"/>
    </xf>
    <xf numFmtId="2" fontId="1" fillId="2" borderId="1" xfId="0" applyNumberFormat="1" applyFont="1" applyFill="1" applyBorder="1" applyAlignment="1">
      <alignment horizontal="right" vertical="top"/>
    </xf>
    <xf numFmtId="0" fontId="0" fillId="0" borderId="1" xfId="0" applyNumberFormat="1" applyFont="1" applyBorder="1" applyAlignment="1">
      <alignment vertical="top" wrapText="1" indent="2"/>
    </xf>
    <xf numFmtId="3" fontId="0" fillId="0" borderId="1" xfId="0" applyNumberFormat="1" applyFont="1" applyBorder="1" applyAlignment="1">
      <alignment horizontal="right" vertical="top"/>
    </xf>
    <xf numFmtId="0" fontId="1" fillId="2" borderId="6" xfId="0" applyNumberFormat="1" applyFont="1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CCC085"/>
      <rgbColor rgb="00993366"/>
      <rgbColor rgb="00F4ECC5"/>
      <rgbColor rgb="00CCFFFF"/>
      <rgbColor rgb="00F8F2D8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0;&#1048;%20&#1080;%20&#1047;&#1055;&#1060;/&#1076;&#1074;%2026,10,26%20&#1083;&#1075;&#1088;&#1089;&#1095;%20&#1086;&#1089;&#1090;%20&#1082;&#108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0;&#1048;%20&#1080;%20&#1047;&#1055;&#1060;/&#1051;&#1091;&#1075;&#1072;&#1085;&#1089;&#1082;/&#1076;&#1074;%2026,10,26%20&#1083;&#1075;&#1088;&#1089;&#1095;%20&#1086;&#1089;&#1090;%20&#1082;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</row>
        <row r="5">
          <cell r="E5">
            <v>15537.323</v>
          </cell>
          <cell r="F5">
            <v>11921.202000000003</v>
          </cell>
        </row>
        <row r="6">
          <cell r="A6" t="str">
            <v>0614 ПРАЗДНИЧНАЯ с/к в/с дек.спец.мгс  Останкино</v>
          </cell>
          <cell r="B6" t="str">
            <v>кг</v>
          </cell>
          <cell r="C6">
            <v>171.547</v>
          </cell>
          <cell r="E6">
            <v>11.414</v>
          </cell>
          <cell r="F6">
            <v>160.04300000000001</v>
          </cell>
          <cell r="G6">
            <v>1</v>
          </cell>
          <cell r="H6">
            <v>120</v>
          </cell>
          <cell r="I6" t="str">
            <v>матрица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117</v>
          </cell>
          <cell r="D7">
            <v>278</v>
          </cell>
          <cell r="E7">
            <v>113</v>
          </cell>
          <cell r="F7">
            <v>203</v>
          </cell>
          <cell r="G7">
            <v>0.4</v>
          </cell>
          <cell r="H7">
            <v>60</v>
          </cell>
          <cell r="I7" t="str">
            <v>матрица</v>
          </cell>
        </row>
        <row r="8">
          <cell r="A8" t="str">
            <v>3287 САЛЯМИ ИТАЛЬЯНСКАЯ с/к в/у ОСТАНКИНО</v>
          </cell>
          <cell r="B8" t="str">
            <v>кг</v>
          </cell>
          <cell r="C8">
            <v>60.829000000000001</v>
          </cell>
          <cell r="D8">
            <v>25.527999999999999</v>
          </cell>
          <cell r="E8">
            <v>35.451000000000001</v>
          </cell>
          <cell r="F8">
            <v>47.512999999999998</v>
          </cell>
          <cell r="G8">
            <v>1</v>
          </cell>
          <cell r="H8">
            <v>120</v>
          </cell>
          <cell r="I8" t="str">
            <v>матрица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525</v>
          </cell>
          <cell r="D9">
            <v>15</v>
          </cell>
          <cell r="E9">
            <v>80</v>
          </cell>
          <cell r="F9">
            <v>436</v>
          </cell>
          <cell r="G9">
            <v>0.25</v>
          </cell>
          <cell r="H9">
            <v>120</v>
          </cell>
          <cell r="I9" t="str">
            <v>матрица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622.11</v>
          </cell>
          <cell r="D10">
            <v>747.35699999999997</v>
          </cell>
          <cell r="E10">
            <v>535.43899999999996</v>
          </cell>
          <cell r="F10">
            <v>618.91399999999999</v>
          </cell>
          <cell r="G10">
            <v>1</v>
          </cell>
          <cell r="H10">
            <v>60</v>
          </cell>
          <cell r="I10" t="str">
            <v>матрица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56.475999999999999</v>
          </cell>
          <cell r="D11">
            <v>36.170999999999999</v>
          </cell>
          <cell r="E11">
            <v>28.097000000000001</v>
          </cell>
          <cell r="F11">
            <v>47.051000000000002</v>
          </cell>
          <cell r="G11">
            <v>1</v>
          </cell>
          <cell r="H11">
            <v>120</v>
          </cell>
          <cell r="I11" t="str">
            <v>матрица</v>
          </cell>
        </row>
        <row r="12">
          <cell r="A12" t="str">
            <v>4574 Мясная со шпиком Папа может вар п/о ОСТАНКИНО</v>
          </cell>
          <cell r="B12" t="str">
            <v>кг</v>
          </cell>
          <cell r="C12">
            <v>243.262</v>
          </cell>
          <cell r="D12">
            <v>309.44200000000001</v>
          </cell>
          <cell r="E12">
            <v>226.48</v>
          </cell>
          <cell r="F12">
            <v>199.453</v>
          </cell>
          <cell r="G12">
            <v>1</v>
          </cell>
          <cell r="H12">
            <v>60</v>
          </cell>
          <cell r="I12" t="str">
            <v>матрица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349.99599999999998</v>
          </cell>
          <cell r="D13">
            <v>159.136</v>
          </cell>
          <cell r="E13">
            <v>215.58600000000001</v>
          </cell>
          <cell r="F13">
            <v>172.58099999999999</v>
          </cell>
          <cell r="G13">
            <v>1</v>
          </cell>
          <cell r="H13">
            <v>60</v>
          </cell>
          <cell r="I13" t="str">
            <v>матрица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364</v>
          </cell>
          <cell r="D14">
            <v>10</v>
          </cell>
          <cell r="E14">
            <v>162</v>
          </cell>
          <cell r="F14">
            <v>183</v>
          </cell>
          <cell r="G14">
            <v>0.25</v>
          </cell>
          <cell r="H14">
            <v>120</v>
          </cell>
          <cell r="I14" t="str">
            <v>матрица</v>
          </cell>
        </row>
        <row r="15">
          <cell r="A15" t="str">
            <v>5452 ВЕТЧ.МЯСНАЯ Папа может п/о    ОСТАНКИНО</v>
          </cell>
          <cell r="B15" t="str">
            <v>кг</v>
          </cell>
          <cell r="C15">
            <v>147.78800000000001</v>
          </cell>
          <cell r="D15">
            <v>61.758000000000003</v>
          </cell>
          <cell r="E15">
            <v>103.842</v>
          </cell>
          <cell r="F15">
            <v>70.933999999999997</v>
          </cell>
          <cell r="G15">
            <v>1</v>
          </cell>
          <cell r="H15">
            <v>60</v>
          </cell>
          <cell r="I15" t="str">
            <v>матрица</v>
          </cell>
        </row>
        <row r="16">
          <cell r="A16" t="str">
            <v>5483 ЭКСТРА Папа может с/к в/у 1/250 8шт.   ОСТАНКИНО</v>
          </cell>
          <cell r="B16" t="str">
            <v>шт</v>
          </cell>
          <cell r="C16">
            <v>397</v>
          </cell>
          <cell r="D16">
            <v>59</v>
          </cell>
          <cell r="E16">
            <v>157</v>
          </cell>
          <cell r="F16">
            <v>252</v>
          </cell>
          <cell r="G16">
            <v>0.25</v>
          </cell>
          <cell r="H16">
            <v>120</v>
          </cell>
          <cell r="I16" t="str">
            <v>матрица</v>
          </cell>
        </row>
        <row r="17">
          <cell r="A17" t="str">
            <v>5495 ВЕТЧ.С ИНДЕЙКОЙ Папа может п/о 400*6  Останкино</v>
          </cell>
          <cell r="B17" t="str">
            <v>шт</v>
          </cell>
          <cell r="C17">
            <v>54</v>
          </cell>
          <cell r="D17">
            <v>3</v>
          </cell>
          <cell r="E17">
            <v>51</v>
          </cell>
          <cell r="G17">
            <v>0.4</v>
          </cell>
          <cell r="H17">
            <v>60</v>
          </cell>
          <cell r="I17" t="str">
            <v>матрица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561.03599999999994</v>
          </cell>
          <cell r="D18">
            <v>81.522000000000006</v>
          </cell>
          <cell r="E18">
            <v>403.53500000000003</v>
          </cell>
          <cell r="F18">
            <v>111.27</v>
          </cell>
          <cell r="G18">
            <v>1</v>
          </cell>
          <cell r="H18">
            <v>45</v>
          </cell>
          <cell r="I18" t="str">
            <v>матрица</v>
          </cell>
        </row>
        <row r="19">
          <cell r="A19" t="str">
            <v>5708 ПОСОЛЬСКАЯ Папа может с/к в/у ОСТАНКИНО</v>
          </cell>
          <cell r="B19" t="str">
            <v>кг</v>
          </cell>
          <cell r="C19">
            <v>45.255000000000003</v>
          </cell>
          <cell r="D19">
            <v>15.683</v>
          </cell>
          <cell r="E19">
            <v>35.036000000000001</v>
          </cell>
          <cell r="F19">
            <v>9.5109999999999992</v>
          </cell>
          <cell r="G19">
            <v>0</v>
          </cell>
          <cell r="H19">
            <v>120</v>
          </cell>
          <cell r="I19" t="str">
            <v>вывод</v>
          </cell>
        </row>
        <row r="20">
          <cell r="A20" t="str">
            <v>5819 Сосиски Папа может 400г Мясные  ОСТАНКИНО</v>
          </cell>
          <cell r="B20" t="str">
            <v>шт</v>
          </cell>
          <cell r="C20">
            <v>66</v>
          </cell>
          <cell r="D20">
            <v>9</v>
          </cell>
          <cell r="E20">
            <v>40</v>
          </cell>
          <cell r="F20">
            <v>21</v>
          </cell>
          <cell r="G20">
            <v>0.4</v>
          </cell>
          <cell r="H20">
            <v>45</v>
          </cell>
          <cell r="I20" t="str">
            <v>матрица</v>
          </cell>
        </row>
        <row r="21">
          <cell r="A21" t="str">
            <v>5851 ЭКСТРА Папа может вар п/о   ОСТАНКИНО</v>
          </cell>
          <cell r="B21" t="str">
            <v>кг</v>
          </cell>
          <cell r="C21">
            <v>619.38800000000003</v>
          </cell>
          <cell r="D21">
            <v>31.552</v>
          </cell>
          <cell r="E21">
            <v>169.84</v>
          </cell>
          <cell r="F21">
            <v>396.596</v>
          </cell>
          <cell r="G21">
            <v>1</v>
          </cell>
          <cell r="H21">
            <v>60</v>
          </cell>
          <cell r="I21" t="str">
            <v>матрица</v>
          </cell>
        </row>
        <row r="22">
          <cell r="A22" t="str">
            <v>5931 ОХОТНИЧЬЯ Папа может с/к в/у 1/220 8шт.   ОСТАНКИНО</v>
          </cell>
          <cell r="B22" t="str">
            <v>шт</v>
          </cell>
          <cell r="D22">
            <v>485</v>
          </cell>
          <cell r="E22">
            <v>311</v>
          </cell>
          <cell r="F22">
            <v>22</v>
          </cell>
          <cell r="G22">
            <v>0.22</v>
          </cell>
          <cell r="H22">
            <v>120</v>
          </cell>
          <cell r="I22" t="str">
            <v>матрица</v>
          </cell>
        </row>
        <row r="23">
          <cell r="A23" t="str">
            <v>6008 САЛО СОЛЕНОЕ С ЧЕРНЫМ ПЕРЦЕМ мл/к в/у ОСТАНКИНО</v>
          </cell>
          <cell r="B23" t="str">
            <v>кг</v>
          </cell>
          <cell r="C23">
            <v>54.137</v>
          </cell>
          <cell r="D23">
            <v>33.191000000000003</v>
          </cell>
          <cell r="E23">
            <v>32.481999999999999</v>
          </cell>
          <cell r="F23">
            <v>33.914000000000001</v>
          </cell>
          <cell r="G23">
            <v>1</v>
          </cell>
          <cell r="H23">
            <v>40</v>
          </cell>
          <cell r="I23" t="str">
            <v>матрица</v>
          </cell>
        </row>
        <row r="24">
          <cell r="A24" t="str">
            <v>6220 ГОВЯЖЬЯ папа может вар п/о  Останкино</v>
          </cell>
          <cell r="B24" t="str">
            <v>кг</v>
          </cell>
          <cell r="C24">
            <v>173.41200000000001</v>
          </cell>
          <cell r="D24">
            <v>7.2679999999999998</v>
          </cell>
          <cell r="E24">
            <v>97.155000000000001</v>
          </cell>
          <cell r="F24">
            <v>35.661000000000001</v>
          </cell>
          <cell r="G24">
            <v>1</v>
          </cell>
          <cell r="H24">
            <v>60</v>
          </cell>
          <cell r="I24" t="str">
            <v>матрица</v>
          </cell>
        </row>
        <row r="25">
          <cell r="A25" t="str">
            <v>6221 НЕОПОЛИТАНСКИЙ ДУЭТ с/к с/н мгс 1/90  Останкино</v>
          </cell>
          <cell r="B25" t="str">
            <v>шт</v>
          </cell>
          <cell r="C25">
            <v>230</v>
          </cell>
          <cell r="D25">
            <v>466</v>
          </cell>
          <cell r="E25">
            <v>375</v>
          </cell>
          <cell r="F25">
            <v>136</v>
          </cell>
          <cell r="G25">
            <v>0.09</v>
          </cell>
          <cell r="H25">
            <v>60</v>
          </cell>
          <cell r="I25" t="str">
            <v>матрица</v>
          </cell>
        </row>
        <row r="26">
          <cell r="A26" t="str">
            <v>6228 МЯСНОЕ АССОРТИ к/з с/н мгс 1/90 10шт  Останкино</v>
          </cell>
          <cell r="B26" t="str">
            <v>шт</v>
          </cell>
          <cell r="C26">
            <v>187</v>
          </cell>
          <cell r="D26">
            <v>175</v>
          </cell>
          <cell r="E26">
            <v>221</v>
          </cell>
          <cell r="F26">
            <v>56</v>
          </cell>
          <cell r="G26">
            <v>0.09</v>
          </cell>
          <cell r="H26">
            <v>45</v>
          </cell>
          <cell r="I26" t="str">
            <v>матрица</v>
          </cell>
        </row>
        <row r="27">
          <cell r="A27" t="str">
            <v>6279 КОРЕЙКА ПО-ОСТ.к/в в/с с/н в/у 1/150_45с  Останкино</v>
          </cell>
          <cell r="B27" t="str">
            <v>шт</v>
          </cell>
          <cell r="C27">
            <v>363</v>
          </cell>
          <cell r="D27">
            <v>17</v>
          </cell>
          <cell r="E27">
            <v>230</v>
          </cell>
          <cell r="F27">
            <v>86</v>
          </cell>
          <cell r="G27">
            <v>0.15</v>
          </cell>
          <cell r="H27">
            <v>45</v>
          </cell>
          <cell r="I27" t="str">
            <v>матрица</v>
          </cell>
        </row>
        <row r="28">
          <cell r="A28" t="str">
            <v>6303 Мясные Папа может сос п/о мгс 1,5*3  Останкино</v>
          </cell>
          <cell r="B28" t="str">
            <v>кг</v>
          </cell>
          <cell r="C28">
            <v>357.81900000000002</v>
          </cell>
          <cell r="D28">
            <v>94.372</v>
          </cell>
          <cell r="E28">
            <v>335.70100000000002</v>
          </cell>
          <cell r="F28">
            <v>-0.22800000000000001</v>
          </cell>
          <cell r="G28">
            <v>1</v>
          </cell>
          <cell r="H28">
            <v>45</v>
          </cell>
          <cell r="I28" t="str">
            <v>матрица</v>
          </cell>
        </row>
        <row r="29">
          <cell r="A29" t="str">
            <v>6325 ДОКТОРСКАЯ ПРЕМИУМ вар п/о 0.4кг 8шт.  ОСТАНКИНО</v>
          </cell>
          <cell r="B29" t="str">
            <v>шт</v>
          </cell>
          <cell r="C29">
            <v>113</v>
          </cell>
          <cell r="D29">
            <v>561</v>
          </cell>
          <cell r="E29">
            <v>229</v>
          </cell>
          <cell r="F29">
            <v>262</v>
          </cell>
          <cell r="G29">
            <v>0.4</v>
          </cell>
          <cell r="H29">
            <v>60</v>
          </cell>
          <cell r="I29" t="str">
            <v>матрица</v>
          </cell>
        </row>
        <row r="30">
          <cell r="A30" t="str">
            <v>6333 МЯСНАЯ Папа может вар п/о 0.4кг 8шт.  ОСТАНКИНО</v>
          </cell>
          <cell r="B30" t="str">
            <v>шт</v>
          </cell>
          <cell r="C30">
            <v>527</v>
          </cell>
          <cell r="D30">
            <v>108</v>
          </cell>
          <cell r="E30">
            <v>258</v>
          </cell>
          <cell r="F30">
            <v>289</v>
          </cell>
          <cell r="G30">
            <v>0.4</v>
          </cell>
          <cell r="H30">
            <v>60</v>
          </cell>
          <cell r="I30" t="str">
            <v>матрица</v>
          </cell>
        </row>
        <row r="31">
          <cell r="A31" t="str">
            <v>6392 ФИЛЕЙНАЯ Папа может вар п/о 0,4кг  ОСТАНКИНО</v>
          </cell>
          <cell r="B31" t="str">
            <v>шт</v>
          </cell>
          <cell r="C31">
            <v>388</v>
          </cell>
          <cell r="D31">
            <v>191</v>
          </cell>
          <cell r="E31">
            <v>148</v>
          </cell>
          <cell r="F31">
            <v>333</v>
          </cell>
          <cell r="G31">
            <v>0.4</v>
          </cell>
          <cell r="H31">
            <v>60</v>
          </cell>
          <cell r="I31" t="str">
            <v>матрица</v>
          </cell>
        </row>
        <row r="32">
          <cell r="A32" t="str">
            <v>6495 ВЕТЧ.МРАМОРНАЯ в/у срез 0,3кг 6шт_45с  Останкино</v>
          </cell>
          <cell r="B32" t="str">
            <v>шт</v>
          </cell>
          <cell r="C32">
            <v>-126</v>
          </cell>
          <cell r="D32">
            <v>177</v>
          </cell>
          <cell r="E32">
            <v>44</v>
          </cell>
          <cell r="G32">
            <v>0</v>
          </cell>
          <cell r="H32">
            <v>45</v>
          </cell>
          <cell r="I32" t="str">
            <v>вывод</v>
          </cell>
        </row>
        <row r="33">
          <cell r="A33" t="str">
            <v>6498 МОЛОЧНАЯ Папа может вар п/о  ОСТАНКИНО</v>
          </cell>
          <cell r="B33" t="str">
            <v>кг</v>
          </cell>
          <cell r="C33">
            <v>214.363</v>
          </cell>
          <cell r="D33">
            <v>75.334000000000003</v>
          </cell>
          <cell r="E33">
            <v>56.350999999999999</v>
          </cell>
          <cell r="F33">
            <v>207.43700000000001</v>
          </cell>
          <cell r="G33">
            <v>1</v>
          </cell>
          <cell r="H33">
            <v>60</v>
          </cell>
          <cell r="I33" t="str">
            <v>матрица</v>
          </cell>
        </row>
        <row r="34">
          <cell r="A34" t="str">
            <v>6527 ШПИКАЧКИ СОЧНЫЕ ПМ сар б/о мгс 1*3 45с ОСТАНКИНО</v>
          </cell>
          <cell r="B34" t="str">
            <v>кг</v>
          </cell>
          <cell r="C34">
            <v>222.64500000000001</v>
          </cell>
          <cell r="D34">
            <v>54.174999999999997</v>
          </cell>
          <cell r="E34">
            <v>108.3</v>
          </cell>
          <cell r="F34">
            <v>105.94199999999999</v>
          </cell>
          <cell r="G34">
            <v>1</v>
          </cell>
          <cell r="H34">
            <v>45</v>
          </cell>
          <cell r="I34" t="str">
            <v>матрица</v>
          </cell>
        </row>
        <row r="35">
          <cell r="A35" t="str">
            <v>6550 МЯСНЫЕ Папа может сар б/о мгс 1*3 О 45с  Останкино</v>
          </cell>
          <cell r="B35" t="str">
            <v>кг</v>
          </cell>
          <cell r="C35">
            <v>250.619</v>
          </cell>
          <cell r="D35">
            <v>37.142000000000003</v>
          </cell>
          <cell r="E35">
            <v>50.317999999999998</v>
          </cell>
          <cell r="F35">
            <v>168.93199999999999</v>
          </cell>
          <cell r="G35">
            <v>1</v>
          </cell>
          <cell r="H35">
            <v>45</v>
          </cell>
          <cell r="I35" t="str">
            <v>матрица</v>
          </cell>
        </row>
        <row r="36">
          <cell r="A36" t="str">
            <v>6608 С ГОВЯДИНОЙ ОРИГИН. сар б/о мгс 1*3_45с  ОСТАНКИНО</v>
          </cell>
          <cell r="B36" t="str">
            <v>кг</v>
          </cell>
          <cell r="C36">
            <v>316.15100000000001</v>
          </cell>
          <cell r="D36">
            <v>42.548000000000002</v>
          </cell>
          <cell r="E36">
            <v>102.548</v>
          </cell>
          <cell r="F36">
            <v>189.06299999999999</v>
          </cell>
          <cell r="G36">
            <v>1</v>
          </cell>
          <cell r="H36">
            <v>45</v>
          </cell>
          <cell r="I36" t="str">
            <v>матрица</v>
          </cell>
        </row>
        <row r="37">
          <cell r="A37" t="str">
            <v>6616 МОЛОЧНЫЕ КЛАССИЧЕСКИЕ сос п/о в/у 0,3 кг  Останкино</v>
          </cell>
          <cell r="B37" t="str">
            <v>шт</v>
          </cell>
          <cell r="C37">
            <v>309</v>
          </cell>
          <cell r="D37">
            <v>68</v>
          </cell>
          <cell r="E37">
            <v>268</v>
          </cell>
          <cell r="F37">
            <v>1</v>
          </cell>
          <cell r="G37">
            <v>0.3</v>
          </cell>
          <cell r="H37">
            <v>45</v>
          </cell>
          <cell r="I37" t="str">
            <v>матрица</v>
          </cell>
        </row>
        <row r="38">
          <cell r="A38" t="str">
            <v>6620 РЕБРЫШКИ к/в в/у_30с  Останкино</v>
          </cell>
          <cell r="B38" t="str">
            <v>кг</v>
          </cell>
          <cell r="C38">
            <v>368.53500000000003</v>
          </cell>
          <cell r="D38">
            <v>21.446999999999999</v>
          </cell>
          <cell r="E38">
            <v>173.191</v>
          </cell>
          <cell r="F38">
            <v>164.34</v>
          </cell>
          <cell r="G38">
            <v>1</v>
          </cell>
          <cell r="H38">
            <v>30</v>
          </cell>
          <cell r="I38" t="str">
            <v>матрица</v>
          </cell>
        </row>
        <row r="39">
          <cell r="A39" t="str">
            <v>6661 СОЧНЫЙ ГРИЛЬ ПМ сос п/о мгс 1,5*4_Маяк Останкино</v>
          </cell>
          <cell r="B39" t="str">
            <v>кг</v>
          </cell>
          <cell r="C39">
            <v>294.024</v>
          </cell>
          <cell r="D39">
            <v>51.595999999999997</v>
          </cell>
          <cell r="E39">
            <v>201.47200000000001</v>
          </cell>
          <cell r="F39">
            <v>17.946999999999999</v>
          </cell>
          <cell r="G39">
            <v>1</v>
          </cell>
          <cell r="H39">
            <v>45</v>
          </cell>
          <cell r="I39" t="str">
            <v>матрица</v>
          </cell>
        </row>
        <row r="40">
          <cell r="A40" t="str">
            <v>6697 СЕРВЕЛАТ ФИНСКИЙ ПМ в/к в/у 0,35кг 8шт  ОСТАНКИНО</v>
          </cell>
          <cell r="B40" t="str">
            <v>шт</v>
          </cell>
          <cell r="C40">
            <v>442</v>
          </cell>
          <cell r="D40">
            <v>227</v>
          </cell>
          <cell r="E40">
            <v>428</v>
          </cell>
          <cell r="F40">
            <v>106</v>
          </cell>
          <cell r="G40">
            <v>0.35</v>
          </cell>
          <cell r="H40">
            <v>45</v>
          </cell>
          <cell r="I40" t="str">
            <v>матрица</v>
          </cell>
        </row>
        <row r="41">
          <cell r="A41" t="str">
            <v>6713 СОЧНЫЙ ГРИЛЬ ПМ сос п/о мгс 0,41кг 8 шт.  ОСТАНКИНО</v>
          </cell>
          <cell r="B41" t="str">
            <v>шт</v>
          </cell>
          <cell r="C41">
            <v>223</v>
          </cell>
          <cell r="D41">
            <v>101</v>
          </cell>
          <cell r="E41">
            <v>311</v>
          </cell>
          <cell r="G41">
            <v>0</v>
          </cell>
          <cell r="H41">
            <v>45</v>
          </cell>
          <cell r="I41" t="str">
            <v>вывод</v>
          </cell>
        </row>
        <row r="42">
          <cell r="A42" t="str">
            <v>6724 МОЛОЧНЫЕ ПМ сос п/о мгс 0,41кг 10шт  Останкино</v>
          </cell>
          <cell r="B42" t="str">
            <v>шт</v>
          </cell>
          <cell r="C42">
            <v>196</v>
          </cell>
          <cell r="D42">
            <v>96</v>
          </cell>
          <cell r="E42">
            <v>125</v>
          </cell>
          <cell r="F42">
            <v>121</v>
          </cell>
          <cell r="G42">
            <v>0.41</v>
          </cell>
          <cell r="H42">
            <v>45</v>
          </cell>
          <cell r="I42" t="str">
            <v>матрица</v>
          </cell>
        </row>
        <row r="43">
          <cell r="A43" t="str">
            <v>6765 РУБЛЕНЫЕ сос ц/о мгс 0,36кг 6шт  Останкино</v>
          </cell>
          <cell r="B43" t="str">
            <v>шт</v>
          </cell>
          <cell r="C43">
            <v>110</v>
          </cell>
          <cell r="D43">
            <v>311</v>
          </cell>
          <cell r="E43">
            <v>196</v>
          </cell>
          <cell r="F43">
            <v>107</v>
          </cell>
          <cell r="G43">
            <v>0.36</v>
          </cell>
          <cell r="H43">
            <v>45</v>
          </cell>
          <cell r="I43" t="str">
            <v>ротация на код 7520</v>
          </cell>
        </row>
        <row r="44">
          <cell r="A44" t="str">
            <v>6787 СЕРВЕЛАТ КРЕМЛЕВСКИЙ в/к в/у 0,33кг 8шт  Останкино</v>
          </cell>
          <cell r="B44" t="str">
            <v>шт</v>
          </cell>
          <cell r="C44">
            <v>28</v>
          </cell>
          <cell r="D44">
            <v>11</v>
          </cell>
          <cell r="E44">
            <v>30</v>
          </cell>
          <cell r="G44">
            <v>0.33</v>
          </cell>
          <cell r="H44">
            <v>45</v>
          </cell>
          <cell r="I44" t="str">
            <v>матрица</v>
          </cell>
        </row>
        <row r="45">
          <cell r="A45" t="str">
            <v>6797 С ИНДЕЙКОЙ Папа может вар п/о 0,4кг 8шт. ОСТАНКИНО</v>
          </cell>
          <cell r="B45" t="str">
            <v>шт</v>
          </cell>
          <cell r="C45">
            <v>93</v>
          </cell>
          <cell r="D45">
            <v>15</v>
          </cell>
          <cell r="E45">
            <v>70</v>
          </cell>
          <cell r="G45">
            <v>0.4</v>
          </cell>
          <cell r="H45">
            <v>60</v>
          </cell>
          <cell r="I45" t="str">
            <v>матрица</v>
          </cell>
        </row>
        <row r="46">
          <cell r="A46" t="str">
            <v>6807 СЕРВЕЛАТ ЕВРОПЕЙСКИЙ в/к в/у 0,33кг 8шт  Останкино</v>
          </cell>
          <cell r="B46" t="str">
            <v>шт</v>
          </cell>
          <cell r="C46">
            <v>44</v>
          </cell>
          <cell r="D46">
            <v>36</v>
          </cell>
          <cell r="E46">
            <v>40</v>
          </cell>
          <cell r="F46">
            <v>28</v>
          </cell>
          <cell r="G46">
            <v>0.33</v>
          </cell>
          <cell r="H46">
            <v>45</v>
          </cell>
          <cell r="I46" t="str">
            <v>матрица</v>
          </cell>
        </row>
        <row r="47">
          <cell r="A47" t="str">
            <v>6829  МОЛОЧНЫЕ КЛАССИЧЕСКИЕ сос п/о мгс 2*4 С  Останккино</v>
          </cell>
          <cell r="B47" t="str">
            <v>кг</v>
          </cell>
          <cell r="C47">
            <v>253.13900000000001</v>
          </cell>
          <cell r="D47">
            <v>141.732</v>
          </cell>
          <cell r="E47">
            <v>246.51900000000001</v>
          </cell>
          <cell r="F47">
            <v>6.194</v>
          </cell>
          <cell r="G47">
            <v>1</v>
          </cell>
          <cell r="H47">
            <v>45</v>
          </cell>
          <cell r="I47" t="str">
            <v>матрица</v>
          </cell>
        </row>
        <row r="48">
          <cell r="A48" t="str">
            <v>6837 ФИЛЕЙНЫЕ Папа Может сос ц/о мгс 0,4кг  Останкино</v>
          </cell>
          <cell r="B48" t="str">
            <v>шт</v>
          </cell>
          <cell r="C48">
            <v>62</v>
          </cell>
          <cell r="D48">
            <v>9</v>
          </cell>
          <cell r="E48">
            <v>43</v>
          </cell>
          <cell r="F48">
            <v>8</v>
          </cell>
          <cell r="G48">
            <v>0.4</v>
          </cell>
          <cell r="H48">
            <v>45</v>
          </cell>
          <cell r="I48" t="str">
            <v>матрица</v>
          </cell>
        </row>
        <row r="49">
          <cell r="A49" t="str">
            <v>6861 ДОМАШНИЙ РЕЦЕПТ Коровино вар п/о  Останкино</v>
          </cell>
          <cell r="B49" t="str">
            <v>кг</v>
          </cell>
          <cell r="C49">
            <v>37.372</v>
          </cell>
          <cell r="D49">
            <v>11.603999999999999</v>
          </cell>
          <cell r="E49">
            <v>23.236999999999998</v>
          </cell>
          <cell r="F49">
            <v>12.029</v>
          </cell>
          <cell r="G49">
            <v>1</v>
          </cell>
          <cell r="H49">
            <v>60</v>
          </cell>
          <cell r="I49" t="str">
            <v>ротация на код 7754</v>
          </cell>
        </row>
        <row r="50">
          <cell r="A50" t="str">
            <v>6866 ВЕТЧ.НЕЖНАЯ Коровино п/о_Маяк  Останкино</v>
          </cell>
          <cell r="B50" t="str">
            <v>кг</v>
          </cell>
          <cell r="C50">
            <v>25.404</v>
          </cell>
          <cell r="D50">
            <v>21.003</v>
          </cell>
          <cell r="E50">
            <v>13.45</v>
          </cell>
          <cell r="F50">
            <v>23.875</v>
          </cell>
          <cell r="G50">
            <v>1</v>
          </cell>
          <cell r="H50">
            <v>60</v>
          </cell>
          <cell r="I50" t="str">
            <v>матрица</v>
          </cell>
        </row>
        <row r="51">
          <cell r="A51" t="str">
            <v>6929 КАРБОНАД ДОМАШНИЙ ПМ к/в кр/к в/у  ОСТАНКИНО</v>
          </cell>
          <cell r="B51" t="str">
            <v>кг</v>
          </cell>
          <cell r="E51">
            <v>-0.67800000000000005</v>
          </cell>
          <cell r="G51">
            <v>0</v>
          </cell>
          <cell r="H51">
            <v>45</v>
          </cell>
          <cell r="I51" t="str">
            <v>матрица</v>
          </cell>
        </row>
        <row r="52">
          <cell r="A52" t="str">
            <v>6967 БУРГУНДИЯ Папа может с/к в/у 1/250 8шт  Останкино</v>
          </cell>
          <cell r="B52" t="str">
            <v>шт</v>
          </cell>
          <cell r="C52">
            <v>51</v>
          </cell>
          <cell r="D52">
            <v>14</v>
          </cell>
          <cell r="E52">
            <v>42</v>
          </cell>
          <cell r="G52">
            <v>0.25</v>
          </cell>
          <cell r="H52">
            <v>120</v>
          </cell>
          <cell r="I52" t="str">
            <v>матрица</v>
          </cell>
        </row>
        <row r="53">
          <cell r="A53" t="str">
            <v>7001 КЛАССИЧЕСКИЕ Папа может сар б/о мгс 1*3  Останкино</v>
          </cell>
          <cell r="B53" t="str">
            <v>кг</v>
          </cell>
          <cell r="C53">
            <v>192.84200000000001</v>
          </cell>
          <cell r="D53">
            <v>168.41499999999999</v>
          </cell>
          <cell r="E53">
            <v>35.499000000000002</v>
          </cell>
          <cell r="F53">
            <v>156.51499999999999</v>
          </cell>
          <cell r="G53">
            <v>1</v>
          </cell>
          <cell r="H53">
            <v>45</v>
          </cell>
          <cell r="I53" t="str">
            <v>матрица</v>
          </cell>
        </row>
        <row r="54">
          <cell r="A54" t="str">
            <v>7040 С ИНДЕЙКОЙ ПМ сос ц/о в/у 1/270 8шт.  ОСТАНКИНО</v>
          </cell>
          <cell r="B54" t="str">
            <v>шт</v>
          </cell>
          <cell r="C54">
            <v>53</v>
          </cell>
          <cell r="D54">
            <v>7</v>
          </cell>
          <cell r="E54">
            <v>53</v>
          </cell>
          <cell r="G54">
            <v>0.27</v>
          </cell>
          <cell r="H54">
            <v>45</v>
          </cell>
          <cell r="I54" t="str">
            <v>матрица</v>
          </cell>
        </row>
        <row r="55">
          <cell r="A55" t="str">
            <v>7059 ШПИКАЧКИ СОЧНЫЕ С БЕК. п/о мгс 0,3кг 60с ОСТАНКИНО</v>
          </cell>
          <cell r="B55" t="str">
            <v>шт</v>
          </cell>
          <cell r="C55">
            <v>314</v>
          </cell>
          <cell r="D55">
            <v>50</v>
          </cell>
          <cell r="E55">
            <v>158</v>
          </cell>
          <cell r="F55">
            <v>142</v>
          </cell>
          <cell r="G55">
            <v>0.3</v>
          </cell>
          <cell r="H55">
            <v>60</v>
          </cell>
          <cell r="I55" t="str">
            <v>матрица</v>
          </cell>
        </row>
        <row r="56">
          <cell r="A56" t="str">
            <v>7066 СОЧНЫЕ ПМ сос п/о мгс 0,41кг 10шт 50с  Останкино</v>
          </cell>
          <cell r="B56" t="str">
            <v>шт</v>
          </cell>
          <cell r="C56">
            <v>545</v>
          </cell>
          <cell r="D56">
            <v>704</v>
          </cell>
          <cell r="E56">
            <v>699</v>
          </cell>
          <cell r="F56">
            <v>445</v>
          </cell>
          <cell r="G56">
            <v>0.41</v>
          </cell>
          <cell r="H56">
            <v>50</v>
          </cell>
          <cell r="I56" t="str">
            <v>матрица</v>
          </cell>
        </row>
        <row r="57">
          <cell r="A57" t="str">
            <v>7070 СОЧНЫЕ ПМ сос п/о 1,5*4_А_50с  Останкино</v>
          </cell>
          <cell r="B57" t="str">
            <v>кг</v>
          </cell>
          <cell r="C57">
            <v>712.84299999999996</v>
          </cell>
          <cell r="D57">
            <v>387.81599999999997</v>
          </cell>
          <cell r="E57">
            <v>501.42700000000002</v>
          </cell>
          <cell r="F57">
            <v>290.54899999999998</v>
          </cell>
          <cell r="G57">
            <v>1</v>
          </cell>
          <cell r="H57">
            <v>50</v>
          </cell>
          <cell r="I57" t="str">
            <v>матрица</v>
          </cell>
        </row>
        <row r="58">
          <cell r="A58" t="str">
            <v>7073 МОЛОЧ.ПРЕМИУМ ПМ сос п/о в/у 1/350_50с  Останкино</v>
          </cell>
          <cell r="B58" t="str">
            <v>шт</v>
          </cell>
          <cell r="C58">
            <v>284</v>
          </cell>
          <cell r="D58">
            <v>3</v>
          </cell>
          <cell r="E58">
            <v>102</v>
          </cell>
          <cell r="F58">
            <v>63</v>
          </cell>
          <cell r="G58">
            <v>0.35</v>
          </cell>
          <cell r="H58">
            <v>50</v>
          </cell>
          <cell r="I58" t="str">
            <v>матрица</v>
          </cell>
        </row>
        <row r="59">
          <cell r="A59" t="str">
            <v>7075 МОЛОЧ.ПРЕМИУМ ПМ сос п/о мгс 1,5*4_О_50с  Останкино</v>
          </cell>
          <cell r="B59" t="str">
            <v>кг</v>
          </cell>
          <cell r="C59">
            <v>269.863</v>
          </cell>
          <cell r="D59">
            <v>1.5449999999999999</v>
          </cell>
          <cell r="E59">
            <v>46.616</v>
          </cell>
          <cell r="F59">
            <v>202.99100000000001</v>
          </cell>
          <cell r="G59">
            <v>1</v>
          </cell>
          <cell r="H59">
            <v>50</v>
          </cell>
          <cell r="I59" t="str">
            <v>матрица</v>
          </cell>
        </row>
        <row r="60">
          <cell r="A60" t="str">
            <v>7080 СЛИВОЧНЫЕ ПМ сос п/о мгс 0,41кг 10шт 50с  Останкино</v>
          </cell>
          <cell r="B60" t="str">
            <v>шт</v>
          </cell>
          <cell r="C60">
            <v>488</v>
          </cell>
          <cell r="D60">
            <v>247</v>
          </cell>
          <cell r="E60">
            <v>326</v>
          </cell>
          <cell r="F60">
            <v>292</v>
          </cell>
          <cell r="G60">
            <v>0.41</v>
          </cell>
          <cell r="H60">
            <v>50</v>
          </cell>
          <cell r="I60" t="str">
            <v>матрица</v>
          </cell>
        </row>
        <row r="61">
          <cell r="A61" t="str">
            <v>7083 СЛИВОЧНЫЕ ПМ сос п/о мгс 1.5*4_А_50с  ОСТАНКИНО</v>
          </cell>
          <cell r="B61" t="str">
            <v>кг</v>
          </cell>
          <cell r="C61">
            <v>271.88299999999998</v>
          </cell>
          <cell r="D61">
            <v>31.026</v>
          </cell>
          <cell r="E61">
            <v>168.893</v>
          </cell>
          <cell r="F61">
            <v>66.641999999999996</v>
          </cell>
          <cell r="G61">
            <v>1</v>
          </cell>
          <cell r="H61">
            <v>50</v>
          </cell>
          <cell r="I61" t="str">
            <v>матрица</v>
          </cell>
        </row>
        <row r="62">
          <cell r="A62" t="str">
            <v>7090 СВИНИНА ПО-ДОМ.к/в мл/к в/у 0,3кг_50с  Останкино</v>
          </cell>
          <cell r="B62" t="str">
            <v>шт</v>
          </cell>
          <cell r="C62">
            <v>71</v>
          </cell>
          <cell r="D62">
            <v>195</v>
          </cell>
          <cell r="E62">
            <v>80</v>
          </cell>
          <cell r="F62">
            <v>131</v>
          </cell>
          <cell r="G62">
            <v>0.3</v>
          </cell>
          <cell r="H62">
            <v>50</v>
          </cell>
          <cell r="I62" t="str">
            <v>матрица</v>
          </cell>
        </row>
        <row r="63">
          <cell r="A63" t="str">
            <v>7103 БЕКОН Останкино с/к с/н в/у 1/180_50с  Останкино</v>
          </cell>
          <cell r="B63" t="str">
            <v>шт</v>
          </cell>
          <cell r="C63">
            <v>536</v>
          </cell>
          <cell r="D63">
            <v>185</v>
          </cell>
          <cell r="E63">
            <v>278</v>
          </cell>
          <cell r="F63">
            <v>307</v>
          </cell>
          <cell r="G63">
            <v>0.18</v>
          </cell>
          <cell r="H63">
            <v>50</v>
          </cell>
          <cell r="I63" t="str">
            <v>матрица</v>
          </cell>
        </row>
        <row r="64">
          <cell r="A64" t="str">
            <v>7143 БРАУНШВЕЙГСКАЯ ГОСТ с/к в/у 1/220 8шт.  ОСТАНКИНО</v>
          </cell>
          <cell r="B64" t="str">
            <v>шт</v>
          </cell>
          <cell r="C64">
            <v>7</v>
          </cell>
          <cell r="D64">
            <v>16</v>
          </cell>
          <cell r="E64">
            <v>18</v>
          </cell>
          <cell r="F64">
            <v>3</v>
          </cell>
          <cell r="G64">
            <v>0.22</v>
          </cell>
          <cell r="H64">
            <v>120</v>
          </cell>
          <cell r="I64" t="str">
            <v>матрица</v>
          </cell>
        </row>
        <row r="65">
          <cell r="A65" t="str">
            <v>7149 БАЛЫКОВАЯ Коровино п/к в/у 0,84кг_50с  Останкино</v>
          </cell>
          <cell r="B65" t="str">
            <v>шт</v>
          </cell>
          <cell r="C65">
            <v>67</v>
          </cell>
          <cell r="D65">
            <v>14</v>
          </cell>
          <cell r="E65">
            <v>53</v>
          </cell>
          <cell r="F65">
            <v>12</v>
          </cell>
          <cell r="G65">
            <v>0.84</v>
          </cell>
          <cell r="H65">
            <v>50</v>
          </cell>
          <cell r="I65" t="str">
            <v>матрица</v>
          </cell>
        </row>
        <row r="66">
          <cell r="A66" t="str">
            <v>7154 СЕРВЕЛАТ ЗЕРНИСТЫЙ ПМ в/к в/у 0,35кг_50с  Останкино</v>
          </cell>
          <cell r="B66" t="str">
            <v>шт</v>
          </cell>
          <cell r="C66">
            <v>563</v>
          </cell>
          <cell r="D66">
            <v>136</v>
          </cell>
          <cell r="E66">
            <v>346</v>
          </cell>
          <cell r="F66">
            <v>192</v>
          </cell>
          <cell r="G66">
            <v>0.35</v>
          </cell>
          <cell r="H66">
            <v>50</v>
          </cell>
          <cell r="I66" t="str">
            <v>матрица</v>
          </cell>
        </row>
        <row r="67">
          <cell r="A67" t="str">
            <v>7156 СЕРВЕЛАТ КОПЧ.НА БУКЕ в/к в/у 0.35кг_50с  ОСТАНКИНО</v>
          </cell>
          <cell r="B67" t="str">
            <v>шт</v>
          </cell>
          <cell r="C67">
            <v>480</v>
          </cell>
          <cell r="D67">
            <v>214</v>
          </cell>
          <cell r="E67">
            <v>312</v>
          </cell>
          <cell r="F67">
            <v>151</v>
          </cell>
          <cell r="G67">
            <v>0.35</v>
          </cell>
          <cell r="H67">
            <v>50</v>
          </cell>
          <cell r="I67" t="str">
            <v>матрица</v>
          </cell>
        </row>
        <row r="68">
          <cell r="A68" t="str">
            <v>7157 СЕРВЕЛАТ ЗЕРНИСТЫЙ ПМ в/к в/у_50с  Останкино</v>
          </cell>
          <cell r="B68" t="str">
            <v>кг</v>
          </cell>
          <cell r="C68">
            <v>526.81700000000001</v>
          </cell>
          <cell r="D68">
            <v>45.435000000000002</v>
          </cell>
          <cell r="E68">
            <v>301.846</v>
          </cell>
          <cell r="F68">
            <v>175.608</v>
          </cell>
          <cell r="G68">
            <v>1</v>
          </cell>
          <cell r="H68">
            <v>50</v>
          </cell>
          <cell r="I68" t="str">
            <v>матрица</v>
          </cell>
        </row>
        <row r="69">
          <cell r="A69" t="str">
            <v>7166 СЕРВЕЛАТ ОХОТНИЧИЙ ПМ в/к в/у_50с  Останкино</v>
          </cell>
          <cell r="B69" t="str">
            <v>кг</v>
          </cell>
          <cell r="C69">
            <v>487.99900000000002</v>
          </cell>
          <cell r="D69">
            <v>46.813000000000002</v>
          </cell>
          <cell r="E69">
            <v>281.69200000000001</v>
          </cell>
          <cell r="F69">
            <v>169.678</v>
          </cell>
          <cell r="G69">
            <v>1</v>
          </cell>
          <cell r="H69">
            <v>50</v>
          </cell>
          <cell r="I69" t="str">
            <v>матрица</v>
          </cell>
        </row>
        <row r="70">
          <cell r="A70" t="str">
            <v>7169 СЕРВЕЛАТ ОХОТНИЧИЙ ПМ в/к в/у 0,35кг_50с  Останкино</v>
          </cell>
          <cell r="B70" t="str">
            <v>шт</v>
          </cell>
          <cell r="C70">
            <v>569</v>
          </cell>
          <cell r="D70">
            <v>14</v>
          </cell>
          <cell r="E70">
            <v>214</v>
          </cell>
          <cell r="F70">
            <v>297</v>
          </cell>
          <cell r="G70">
            <v>0.35</v>
          </cell>
          <cell r="H70">
            <v>50</v>
          </cell>
          <cell r="I70" t="str">
            <v>матрица</v>
          </cell>
        </row>
        <row r="71">
          <cell r="A71" t="str">
            <v>7187 ГРУДИНКА ПРЕМИУМ к/в мл/к в/у 0,3кг_50с  Останкино</v>
          </cell>
          <cell r="B71" t="str">
            <v>шт</v>
          </cell>
          <cell r="C71">
            <v>92</v>
          </cell>
          <cell r="D71">
            <v>21</v>
          </cell>
          <cell r="E71">
            <v>90</v>
          </cell>
          <cell r="G71">
            <v>0.3</v>
          </cell>
          <cell r="H71">
            <v>50</v>
          </cell>
          <cell r="I71" t="str">
            <v>матрица</v>
          </cell>
        </row>
        <row r="72">
          <cell r="A72" t="str">
            <v>7231 КЛАССИЧЕСКАЯ ПМ вар п/о 0,3кг 8 шт_209к  Останкино</v>
          </cell>
          <cell r="B72" t="str">
            <v>шт</v>
          </cell>
          <cell r="C72">
            <v>263</v>
          </cell>
          <cell r="D72">
            <v>11</v>
          </cell>
          <cell r="E72">
            <v>130</v>
          </cell>
          <cell r="F72">
            <v>106</v>
          </cell>
          <cell r="G72">
            <v>0.3</v>
          </cell>
          <cell r="H72">
            <v>60</v>
          </cell>
          <cell r="I72" t="str">
            <v>матрица</v>
          </cell>
        </row>
        <row r="73">
          <cell r="A73" t="str">
            <v>7232 БОЯNСКАЯ ПМ п/к в/у 0,28кг 8шт_209к  Останкино</v>
          </cell>
          <cell r="B73" t="str">
            <v>шт</v>
          </cell>
          <cell r="C73">
            <v>292</v>
          </cell>
          <cell r="D73">
            <v>15</v>
          </cell>
          <cell r="E73">
            <v>259</v>
          </cell>
          <cell r="G73">
            <v>0.28000000000000003</v>
          </cell>
          <cell r="H73">
            <v>50</v>
          </cell>
          <cell r="I73" t="str">
            <v>матрица</v>
          </cell>
        </row>
        <row r="74">
          <cell r="A74" t="str">
            <v>7236 СЕРВЕЛАТ КАРЕЛЬСКИЙ в/к в/у 0,28кг_209к  Останкино</v>
          </cell>
          <cell r="B74" t="str">
            <v>шт</v>
          </cell>
          <cell r="C74">
            <v>280</v>
          </cell>
          <cell r="D74">
            <v>46</v>
          </cell>
          <cell r="E74">
            <v>294</v>
          </cell>
          <cell r="G74">
            <v>0.28000000000000003</v>
          </cell>
          <cell r="H74">
            <v>45</v>
          </cell>
          <cell r="I74" t="str">
            <v>матрица</v>
          </cell>
        </row>
        <row r="75">
          <cell r="A75" t="str">
            <v>7241 САЛЯМИ Папа может п/к в/у 0,28кг ОСТАНКИНО</v>
          </cell>
          <cell r="B75" t="str">
            <v>шт</v>
          </cell>
          <cell r="C75">
            <v>392</v>
          </cell>
          <cell r="D75">
            <v>582</v>
          </cell>
          <cell r="E75">
            <v>612</v>
          </cell>
          <cell r="F75">
            <v>228</v>
          </cell>
          <cell r="G75">
            <v>0.28000000000000003</v>
          </cell>
          <cell r="H75">
            <v>45</v>
          </cell>
          <cell r="I75" t="str">
            <v>матрица</v>
          </cell>
        </row>
        <row r="76">
          <cell r="A76" t="str">
            <v>7255 МЯСНЫЕ С ГОВЯД.ПМ сос п/о мгс 0.4кг 6шт.  ОСТАНКИНО</v>
          </cell>
          <cell r="B76" t="str">
            <v>шт</v>
          </cell>
          <cell r="C76">
            <v>348</v>
          </cell>
          <cell r="D76">
            <v>7</v>
          </cell>
          <cell r="E76">
            <v>143</v>
          </cell>
          <cell r="F76">
            <v>164</v>
          </cell>
          <cell r="G76">
            <v>0.4</v>
          </cell>
          <cell r="H76">
            <v>50</v>
          </cell>
          <cell r="I76" t="str">
            <v>матрица</v>
          </cell>
        </row>
        <row r="77">
          <cell r="A77" t="str">
            <v>7299 НАБОР ДЛЯ ПИЦЦЫ Папа Может с/к в/у  ОСТАНКИНО</v>
          </cell>
          <cell r="B77" t="str">
            <v>кг</v>
          </cell>
          <cell r="C77">
            <v>-3.125</v>
          </cell>
          <cell r="D77">
            <v>247.33699999999999</v>
          </cell>
          <cell r="E77">
            <v>190.595</v>
          </cell>
          <cell r="F77">
            <v>0.93700000000000006</v>
          </cell>
          <cell r="G77">
            <v>1</v>
          </cell>
          <cell r="H77">
            <v>30</v>
          </cell>
          <cell r="I77" t="str">
            <v>матрица</v>
          </cell>
        </row>
        <row r="78">
          <cell r="A78" t="str">
            <v>7344 КОНСЕРВЫ МЯС.ГОВЯДИНА ТУШ. В/С 338г_ЧЗ  ОСТАНКИНО</v>
          </cell>
          <cell r="B78" t="str">
            <v>шт</v>
          </cell>
          <cell r="C78">
            <v>31</v>
          </cell>
          <cell r="D78">
            <v>1</v>
          </cell>
          <cell r="E78">
            <v>3</v>
          </cell>
          <cell r="F78">
            <v>28</v>
          </cell>
          <cell r="G78">
            <v>0.33800000000000002</v>
          </cell>
          <cell r="H78" t="str">
            <v>3 года</v>
          </cell>
          <cell r="I78" t="str">
            <v>матрица</v>
          </cell>
        </row>
        <row r="79">
          <cell r="A79" t="str">
            <v>7345 КОНСЕРВЫ МЯС.СВИНИНА ТУШ. В/С 325г_ЧЗ  ОСТАНКИНО</v>
          </cell>
          <cell r="B79" t="str">
            <v>шт</v>
          </cell>
          <cell r="C79">
            <v>71</v>
          </cell>
          <cell r="D79">
            <v>1</v>
          </cell>
          <cell r="E79">
            <v>3</v>
          </cell>
          <cell r="F79">
            <v>69</v>
          </cell>
          <cell r="G79">
            <v>0.32500000000000001</v>
          </cell>
          <cell r="H79" t="str">
            <v>3 года</v>
          </cell>
          <cell r="I79" t="str">
            <v>матрица</v>
          </cell>
        </row>
        <row r="80">
          <cell r="A80" t="str">
            <v>7382  САЛЯМИ МЕЛКОЗЕРНЕНАЯ с/к в/у1/120 8шт.  ОСТАНКИНО</v>
          </cell>
          <cell r="B80" t="str">
            <v>шт</v>
          </cell>
          <cell r="C80">
            <v>622</v>
          </cell>
          <cell r="D80">
            <v>9</v>
          </cell>
          <cell r="E80">
            <v>132</v>
          </cell>
          <cell r="F80">
            <v>458</v>
          </cell>
          <cell r="G80">
            <v>0.12</v>
          </cell>
          <cell r="H80">
            <v>60</v>
          </cell>
          <cell r="I80" t="str">
            <v>матрица</v>
          </cell>
        </row>
        <row r="81">
          <cell r="A81" t="str">
            <v>7386 БАРСЕЛОНА ПМ с/к в/у 1/150  ОСТАНКИНО</v>
          </cell>
          <cell r="B81" t="str">
            <v>шт</v>
          </cell>
          <cell r="C81">
            <v>79</v>
          </cell>
          <cell r="D81">
            <v>86</v>
          </cell>
          <cell r="E81">
            <v>105</v>
          </cell>
          <cell r="F81">
            <v>10</v>
          </cell>
          <cell r="G81">
            <v>0.15</v>
          </cell>
          <cell r="H81">
            <v>90</v>
          </cell>
          <cell r="I81" t="str">
            <v>матрица</v>
          </cell>
        </row>
        <row r="82">
          <cell r="A82" t="str">
            <v>7399 САЛЯМИ ZHAZIRA ASLAM в/к в/у 0.82кг  ОСТАНКИНО</v>
          </cell>
          <cell r="B82" t="str">
            <v>шт</v>
          </cell>
          <cell r="D82">
            <v>120</v>
          </cell>
          <cell r="E82">
            <v>47</v>
          </cell>
          <cell r="F82">
            <v>58</v>
          </cell>
          <cell r="G82">
            <v>0</v>
          </cell>
          <cell r="H82">
            <v>45</v>
          </cell>
          <cell r="I82" t="str">
            <v>РАЗОВО / АСЛАМ</v>
          </cell>
        </row>
        <row r="83">
          <cell r="A83" t="str">
            <v>7408 МОЛОЧНАЯ ASLAM сос п/о мгс 0.41кг  ОСТАНКИНО</v>
          </cell>
          <cell r="B83" t="str">
            <v>шт</v>
          </cell>
          <cell r="D83">
            <v>300</v>
          </cell>
          <cell r="E83">
            <v>26</v>
          </cell>
          <cell r="F83">
            <v>262</v>
          </cell>
          <cell r="G83">
            <v>0</v>
          </cell>
          <cell r="I83" t="str">
            <v>РАЗОВО / АСЛАМ</v>
          </cell>
        </row>
        <row r="84">
          <cell r="A84" t="str">
            <v>7456 САЛЯМИ ФИНСКАЯ Папа может с/к в/у 1/150  ОСТАНКИНО</v>
          </cell>
          <cell r="B84" t="str">
            <v>шт</v>
          </cell>
          <cell r="C84">
            <v>63</v>
          </cell>
          <cell r="D84">
            <v>77</v>
          </cell>
          <cell r="E84">
            <v>112</v>
          </cell>
          <cell r="G84">
            <v>0.15</v>
          </cell>
          <cell r="H84">
            <v>90</v>
          </cell>
          <cell r="I84" t="str">
            <v>матрица</v>
          </cell>
        </row>
        <row r="85">
          <cell r="A85" t="str">
            <v>7461 ДЛЯ ДЕТЕЙ Папа Может сос п/о мгс 0,33кг ОСТАНКИНО</v>
          </cell>
          <cell r="B85" t="str">
            <v>шт</v>
          </cell>
          <cell r="C85">
            <v>54</v>
          </cell>
          <cell r="D85">
            <v>76</v>
          </cell>
          <cell r="E85">
            <v>56</v>
          </cell>
          <cell r="F85">
            <v>19</v>
          </cell>
          <cell r="G85">
            <v>0.33</v>
          </cell>
          <cell r="H85">
            <v>30</v>
          </cell>
          <cell r="I85" t="str">
            <v>матрица</v>
          </cell>
        </row>
        <row r="86">
          <cell r="A86" t="str">
            <v>7485 РИЕТ МЯСНОЙ С ГРИБАМИ ПМ п/о 1/150  ОСТАНКИНО</v>
          </cell>
          <cell r="B86" t="str">
            <v>шт</v>
          </cell>
          <cell r="C86">
            <v>321</v>
          </cell>
          <cell r="D86">
            <v>384</v>
          </cell>
          <cell r="E86">
            <v>388</v>
          </cell>
          <cell r="F86">
            <v>190</v>
          </cell>
          <cell r="G86">
            <v>0.15</v>
          </cell>
          <cell r="H86">
            <v>60</v>
          </cell>
          <cell r="I86" t="str">
            <v>матрица</v>
          </cell>
        </row>
        <row r="87">
          <cell r="A87" t="str">
            <v>7490 СОЧНЫЙ ГРИЛЬ сос ц/о мгс 0.41кг_Даблпак  ОСТАНКИНО</v>
          </cell>
          <cell r="B87" t="str">
            <v>шт</v>
          </cell>
          <cell r="D87">
            <v>80</v>
          </cell>
          <cell r="E87">
            <v>311</v>
          </cell>
          <cell r="F87">
            <v>1</v>
          </cell>
          <cell r="G87">
            <v>0.41</v>
          </cell>
          <cell r="H87">
            <v>45</v>
          </cell>
          <cell r="I87" t="str">
            <v>матрица</v>
          </cell>
        </row>
        <row r="88">
          <cell r="A88" t="str">
            <v>7513 ВОСКРЕСЕНСКАЯ ВЯЛЕНАЯ в/к в/у срез 1/260  ОСТАНКИНО</v>
          </cell>
          <cell r="B88" t="str">
            <v>шт</v>
          </cell>
          <cell r="G88">
            <v>0</v>
          </cell>
          <cell r="H88">
            <v>45</v>
          </cell>
          <cell r="I88" t="str">
            <v>матрица</v>
          </cell>
        </row>
        <row r="89">
          <cell r="A89" t="str">
            <v>7514 ЛЮБИТЕЛЬСКАЯ ОСТАНКИНСКАЯ вар п/о в/у  ОСТАНКИНО</v>
          </cell>
          <cell r="B89" t="str">
            <v>кг</v>
          </cell>
          <cell r="G89">
            <v>0</v>
          </cell>
          <cell r="H89">
            <v>30</v>
          </cell>
          <cell r="I89" t="str">
            <v>матрица</v>
          </cell>
        </row>
        <row r="90">
          <cell r="A90" t="str">
            <v>7516 НОВОМОСКОВСКАЯ в/к в/у срез 0.31кг  ОСТАНКИНО</v>
          </cell>
          <cell r="B90" t="str">
            <v>шт</v>
          </cell>
          <cell r="G90">
            <v>0</v>
          </cell>
          <cell r="H90">
            <v>45</v>
          </cell>
          <cell r="I90" t="str">
            <v>матрица</v>
          </cell>
        </row>
        <row r="91">
          <cell r="A91" t="str">
            <v>7518 ТЕЛЯЧЬЯ ГОСТ Останкино вар п/о в/у  ОСТАНКИНО</v>
          </cell>
          <cell r="B91" t="str">
            <v>кг</v>
          </cell>
          <cell r="G91">
            <v>0</v>
          </cell>
          <cell r="H91">
            <v>30</v>
          </cell>
          <cell r="I91" t="str">
            <v>матрица</v>
          </cell>
        </row>
        <row r="92">
          <cell r="A92" t="str">
            <v>7523 ГОВЯЖЬЯ Папа Может вар п/о 0,4кг 6шт. ОСТАНКИНО</v>
          </cell>
          <cell r="B92" t="str">
            <v>шт</v>
          </cell>
          <cell r="C92">
            <v>121</v>
          </cell>
          <cell r="D92">
            <v>128</v>
          </cell>
          <cell r="E92">
            <v>83</v>
          </cell>
          <cell r="F92">
            <v>103</v>
          </cell>
          <cell r="G92">
            <v>0.4</v>
          </cell>
          <cell r="H92">
            <v>60</v>
          </cell>
          <cell r="I92" t="str">
            <v>матрица</v>
          </cell>
        </row>
        <row r="93">
          <cell r="A93" t="str">
            <v>7539 ДОКТОРСКАЯ ГОСТ вар п/о 0,35кг ОСТАНКИНО</v>
          </cell>
          <cell r="B93" t="str">
            <v>шт</v>
          </cell>
          <cell r="E93">
            <v>-2</v>
          </cell>
          <cell r="G93">
            <v>0</v>
          </cell>
          <cell r="H93">
            <v>60</v>
          </cell>
          <cell r="I93" t="str">
            <v>матрица</v>
          </cell>
        </row>
        <row r="94">
          <cell r="A94" t="str">
            <v>7562 КРАКОВСКАЯ ГОСТ Останкино п/к н/о мгс  ОСТАНКИНО</v>
          </cell>
          <cell r="B94" t="str">
            <v>кг</v>
          </cell>
          <cell r="G94">
            <v>0</v>
          </cell>
          <cell r="H94">
            <v>45</v>
          </cell>
          <cell r="I94" t="str">
            <v>матрица</v>
          </cell>
        </row>
        <row r="95">
          <cell r="A95" t="str">
            <v>7564 Балыковая в/к в/у Останкино Вес  ОСТАНКИНО</v>
          </cell>
          <cell r="B95" t="str">
            <v>кг</v>
          </cell>
          <cell r="G95">
            <v>0</v>
          </cell>
          <cell r="I95" t="str">
            <v>матрица</v>
          </cell>
        </row>
        <row r="96">
          <cell r="A96" t="str">
            <v>7603 БАЛЫКОВАЯ в/к в/у 0.33кг 8шт. ОСТАНКИНО</v>
          </cell>
          <cell r="B96" t="str">
            <v>шт</v>
          </cell>
          <cell r="C96">
            <v>233</v>
          </cell>
          <cell r="D96">
            <v>28</v>
          </cell>
          <cell r="E96">
            <v>125</v>
          </cell>
          <cell r="F96">
            <v>101</v>
          </cell>
          <cell r="G96">
            <v>0.33</v>
          </cell>
          <cell r="H96">
            <v>45</v>
          </cell>
          <cell r="I96" t="str">
            <v>матрица</v>
          </cell>
        </row>
        <row r="97">
          <cell r="A97" t="str">
            <v>7613 АРОМАТНАЯ с/к с/н в/у 1/100 10шт_Л10  ОСТАНКИНО</v>
          </cell>
          <cell r="B97" t="str">
            <v>шт</v>
          </cell>
          <cell r="C97">
            <v>452</v>
          </cell>
          <cell r="D97">
            <v>137</v>
          </cell>
          <cell r="E97">
            <v>306</v>
          </cell>
          <cell r="F97">
            <v>195</v>
          </cell>
          <cell r="G97">
            <v>0.1</v>
          </cell>
          <cell r="H97">
            <v>60</v>
          </cell>
          <cell r="I97" t="str">
            <v>матрица</v>
          </cell>
        </row>
        <row r="98">
          <cell r="A98" t="str">
            <v>7616 ЭКСТРА Папа может с/к с/н в/у 1/100_  ОСТАНКИНО</v>
          </cell>
          <cell r="B98" t="str">
            <v>шт</v>
          </cell>
          <cell r="C98">
            <v>232</v>
          </cell>
          <cell r="D98">
            <v>816</v>
          </cell>
          <cell r="E98">
            <v>240</v>
          </cell>
          <cell r="F98">
            <v>586</v>
          </cell>
          <cell r="G98">
            <v>0.1</v>
          </cell>
          <cell r="H98">
            <v>60</v>
          </cell>
          <cell r="I98" t="str">
            <v>матрица</v>
          </cell>
        </row>
        <row r="99">
          <cell r="A99" t="str">
            <v>7632 ЭКСТРА Папа может вар п/о 0.4кг 8шт_195к  ОСТАНКИНО</v>
          </cell>
          <cell r="B99" t="str">
            <v>шт</v>
          </cell>
          <cell r="C99">
            <v>231</v>
          </cell>
          <cell r="D99">
            <v>203</v>
          </cell>
          <cell r="E99">
            <v>161</v>
          </cell>
          <cell r="F99">
            <v>182</v>
          </cell>
          <cell r="G99">
            <v>0.4</v>
          </cell>
          <cell r="H99">
            <v>60</v>
          </cell>
          <cell r="I99" t="str">
            <v>матрица</v>
          </cell>
        </row>
        <row r="100">
          <cell r="A100" t="str">
            <v>7647 ХОЧУ ВЕТЧ.ИЗ СВ.ОТРУБА с/н мгс 1/100_Л11  ОСТАНКИНО</v>
          </cell>
          <cell r="B100" t="str">
            <v>шт</v>
          </cell>
          <cell r="C100">
            <v>-1</v>
          </cell>
          <cell r="D100">
            <v>1</v>
          </cell>
          <cell r="E100">
            <v>-2</v>
          </cell>
          <cell r="G100">
            <v>0</v>
          </cell>
          <cell r="I100" t="str">
            <v>вывод</v>
          </cell>
        </row>
        <row r="101">
          <cell r="A101" t="str">
            <v>7651 ХОЧУ ВЕТЧ.МРАМОР. ПМ с/н мгс 1/100_Л11  ОСТАНКИНО</v>
          </cell>
          <cell r="B101" t="str">
            <v>шт</v>
          </cell>
          <cell r="C101">
            <v>138</v>
          </cell>
          <cell r="E101">
            <v>91</v>
          </cell>
          <cell r="F101">
            <v>4</v>
          </cell>
          <cell r="G101">
            <v>0</v>
          </cell>
          <cell r="I101" t="str">
            <v>вывод</v>
          </cell>
        </row>
        <row r="102">
          <cell r="A102" t="str">
            <v>7700 ЛИТОВСКАЯ с/к в/у</v>
          </cell>
          <cell r="B102" t="str">
            <v>кг</v>
          </cell>
          <cell r="C102">
            <v>70.403999999999996</v>
          </cell>
          <cell r="F102">
            <v>70.403999999999996</v>
          </cell>
          <cell r="G102">
            <v>1</v>
          </cell>
          <cell r="H102">
            <v>120</v>
          </cell>
          <cell r="I102" t="str">
            <v>матрица</v>
          </cell>
        </row>
        <row r="103">
          <cell r="A103" t="str">
            <v>7710 КРАКОВСКАЯ ГОСТ п/к н/о мгс 0.3кг  ОСТАНКИНО</v>
          </cell>
          <cell r="B103" t="str">
            <v>шт</v>
          </cell>
          <cell r="C103">
            <v>-1</v>
          </cell>
          <cell r="D103">
            <v>201</v>
          </cell>
          <cell r="E103">
            <v>15</v>
          </cell>
          <cell r="F103">
            <v>183</v>
          </cell>
          <cell r="G103">
            <v>0.3</v>
          </cell>
          <cell r="H103">
            <v>45</v>
          </cell>
          <cell r="I103" t="str">
            <v>матрица</v>
          </cell>
        </row>
        <row r="104">
          <cell r="A104" t="str">
            <v>7725 ВЕТ.МРАМОРНАЯ в/у срез 0.3кг 6шт_62  ОСТАНКИНО</v>
          </cell>
          <cell r="B104" t="str">
            <v>шт</v>
          </cell>
          <cell r="C104">
            <v>450</v>
          </cell>
          <cell r="D104">
            <v>237</v>
          </cell>
          <cell r="E104">
            <v>233</v>
          </cell>
          <cell r="F104">
            <v>294</v>
          </cell>
          <cell r="G104">
            <v>0.3</v>
          </cell>
          <cell r="H104">
            <v>62</v>
          </cell>
          <cell r="I104" t="str">
            <v>матрица</v>
          </cell>
        </row>
        <row r="105">
          <cell r="A105" t="str">
            <v>7730 ХОЧУ ВЕТЧ.ИЗ СВ.ОТРУБА мгс 1/100_45с_Л11  ОСТАНКИНО</v>
          </cell>
          <cell r="B105" t="str">
            <v>шт</v>
          </cell>
          <cell r="C105">
            <v>152</v>
          </cell>
          <cell r="D105">
            <v>27</v>
          </cell>
          <cell r="E105">
            <v>79</v>
          </cell>
          <cell r="F105">
            <v>43</v>
          </cell>
          <cell r="G105">
            <v>0.1</v>
          </cell>
          <cell r="H105">
            <v>45</v>
          </cell>
          <cell r="I105" t="str">
            <v>матрица</v>
          </cell>
        </row>
        <row r="106">
          <cell r="A106" t="str">
            <v>7731 ХОЧУ ВЕТЧ. МРАМОР. с/н мгс 1/100_45с_Л11  ОСТАНКИНО</v>
          </cell>
          <cell r="B106" t="str">
            <v>шт</v>
          </cell>
          <cell r="C106">
            <v>-31</v>
          </cell>
          <cell r="D106">
            <v>39</v>
          </cell>
          <cell r="E106">
            <v>97</v>
          </cell>
          <cell r="F106">
            <v>0</v>
          </cell>
          <cell r="G106">
            <v>0.1</v>
          </cell>
          <cell r="I106" t="str">
            <v>матрица</v>
          </cell>
        </row>
        <row r="107">
          <cell r="A107" t="str">
            <v>8014 ДОКТОРСКАЯ ПРЕМИУМ вар п/о(п)    ОСТАНКИНО</v>
          </cell>
          <cell r="B107" t="str">
            <v>кг</v>
          </cell>
          <cell r="C107">
            <v>89.744</v>
          </cell>
          <cell r="D107">
            <v>9.9429999999999996</v>
          </cell>
          <cell r="E107">
            <v>57.988999999999997</v>
          </cell>
          <cell r="F107">
            <v>19.905999999999999</v>
          </cell>
          <cell r="G107">
            <v>1</v>
          </cell>
          <cell r="H107">
            <v>60</v>
          </cell>
          <cell r="I107" t="str">
            <v>матрица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Параметры:</v>
          </cell>
          <cell r="C4" t="str">
            <v>Период: 19.10.2026 - 26.10.2026</v>
          </cell>
        </row>
        <row r="5">
          <cell r="C5" t="str">
            <v>Количество товаров: В единицах хранения</v>
          </cell>
        </row>
        <row r="6">
          <cell r="A6" t="str">
            <v>Отбор:</v>
          </cell>
          <cell r="C6" t="str">
            <v>Склад В группе из списка "АСП Луганск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v>
          </cell>
        </row>
        <row r="8">
          <cell r="A8" t="str">
            <v>Номенклатура</v>
          </cell>
          <cell r="D8" t="str">
            <v>Ед. изм.</v>
          </cell>
          <cell r="F8" t="str">
            <v>Количество</v>
          </cell>
          <cell r="K8" t="str">
            <v>Вес (нетто), кг</v>
          </cell>
        </row>
        <row r="9">
          <cell r="F9" t="str">
            <v>Начальный остаток</v>
          </cell>
          <cell r="H9" t="str">
            <v>Приход</v>
          </cell>
          <cell r="I9" t="str">
            <v>Расход</v>
          </cell>
          <cell r="J9" t="str">
            <v>Конечный остаток</v>
          </cell>
          <cell r="K9" t="str">
            <v>Начальный остаток</v>
          </cell>
          <cell r="L9" t="str">
            <v>Приход</v>
          </cell>
          <cell r="M9" t="str">
            <v>Расход</v>
          </cell>
          <cell r="N9" t="str">
            <v>Конечный остаток</v>
          </cell>
        </row>
        <row r="10">
          <cell r="A10" t="str">
            <v>0614 ПРАЗДНИЧНАЯ с/к в/с дек.спец.мгс  Останкино</v>
          </cell>
          <cell r="D10" t="str">
            <v>кг</v>
          </cell>
          <cell r="F10">
            <v>171.547</v>
          </cell>
          <cell r="I10">
            <v>11.504</v>
          </cell>
          <cell r="J10">
            <v>160.04300000000001</v>
          </cell>
          <cell r="K10">
            <v>171.547</v>
          </cell>
          <cell r="M10">
            <v>11.504</v>
          </cell>
          <cell r="N10">
            <v>160.04300000000001</v>
          </cell>
        </row>
        <row r="11">
          <cell r="A11" t="str">
            <v>3215 ВЕТЧ.МЯСНАЯ Папа может п/о 0.4кг 8шт.    ОСТАНКИНО</v>
          </cell>
          <cell r="D11" t="str">
            <v>шт</v>
          </cell>
          <cell r="F11">
            <v>117</v>
          </cell>
          <cell r="H11">
            <v>278</v>
          </cell>
          <cell r="I11">
            <v>192</v>
          </cell>
          <cell r="J11">
            <v>203</v>
          </cell>
          <cell r="K11">
            <v>46.8</v>
          </cell>
          <cell r="L11">
            <v>111.2</v>
          </cell>
          <cell r="M11">
            <v>76.8</v>
          </cell>
          <cell r="N11">
            <v>81.2</v>
          </cell>
        </row>
        <row r="12">
          <cell r="A12" t="str">
            <v>3287 САЛЯМИ ИТАЛЬЯНСКАЯ с/к в/у ОСТАНКИНО</v>
          </cell>
          <cell r="D12" t="str">
            <v>кг</v>
          </cell>
          <cell r="F12">
            <v>60.829000000000001</v>
          </cell>
          <cell r="H12">
            <v>25.527999999999999</v>
          </cell>
          <cell r="I12">
            <v>38.844000000000001</v>
          </cell>
          <cell r="J12">
            <v>47.512999999999998</v>
          </cell>
          <cell r="K12">
            <v>60.829000000000001</v>
          </cell>
          <cell r="L12">
            <v>25.527999999999999</v>
          </cell>
          <cell r="M12">
            <v>38.844000000000001</v>
          </cell>
          <cell r="N12">
            <v>47.512999999999998</v>
          </cell>
        </row>
        <row r="13">
          <cell r="A13" t="str">
            <v>3986 Ароматная с/к в/у 1/250 ОСТАНКИНО</v>
          </cell>
          <cell r="D13" t="str">
            <v>шт</v>
          </cell>
          <cell r="F13">
            <v>525</v>
          </cell>
          <cell r="H13">
            <v>15</v>
          </cell>
          <cell r="I13">
            <v>104</v>
          </cell>
          <cell r="J13">
            <v>436</v>
          </cell>
          <cell r="K13">
            <v>131.25</v>
          </cell>
          <cell r="L13">
            <v>3.75</v>
          </cell>
          <cell r="M13">
            <v>26</v>
          </cell>
          <cell r="N13">
            <v>109</v>
          </cell>
        </row>
        <row r="14">
          <cell r="A14" t="str">
            <v>4063 МЯСНАЯ Папа может вар п/о_Л   ОСТАНКИНО</v>
          </cell>
          <cell r="D14" t="str">
            <v>кг</v>
          </cell>
          <cell r="F14">
            <v>622.11</v>
          </cell>
          <cell r="H14">
            <v>747.35699999999997</v>
          </cell>
          <cell r="I14">
            <v>750.553</v>
          </cell>
          <cell r="J14">
            <v>618.91399999999999</v>
          </cell>
          <cell r="K14">
            <v>622.11</v>
          </cell>
          <cell r="L14">
            <v>747.35699999999997</v>
          </cell>
          <cell r="M14">
            <v>750.553</v>
          </cell>
          <cell r="N14">
            <v>618.91399999999999</v>
          </cell>
        </row>
        <row r="15">
          <cell r="A15" t="str">
            <v>4117 ЭКСТРА Папа может с/к в/у_Л   ОСТАНКИНО</v>
          </cell>
          <cell r="D15" t="str">
            <v>кг</v>
          </cell>
          <cell r="F15">
            <v>56.475999999999999</v>
          </cell>
          <cell r="H15">
            <v>36.170999999999999</v>
          </cell>
          <cell r="I15">
            <v>45.595999999999997</v>
          </cell>
          <cell r="J15">
            <v>47.051000000000002</v>
          </cell>
          <cell r="K15">
            <v>56.475999999999999</v>
          </cell>
          <cell r="L15">
            <v>36.170999999999999</v>
          </cell>
          <cell r="M15">
            <v>45.595999999999997</v>
          </cell>
          <cell r="N15">
            <v>47.051000000000002</v>
          </cell>
        </row>
        <row r="16">
          <cell r="A16" t="str">
            <v>4574 Мясная со шпиком Папа может вар п/о ОСТАНКИНО</v>
          </cell>
          <cell r="D16" t="str">
            <v>кг</v>
          </cell>
          <cell r="F16">
            <v>243.262</v>
          </cell>
          <cell r="H16">
            <v>309.44200000000001</v>
          </cell>
          <cell r="I16">
            <v>353.25099999999998</v>
          </cell>
          <cell r="J16">
            <v>199.453</v>
          </cell>
          <cell r="K16">
            <v>243.262</v>
          </cell>
          <cell r="L16">
            <v>309.44200000000001</v>
          </cell>
          <cell r="M16">
            <v>353.25099999999998</v>
          </cell>
          <cell r="N16">
            <v>199.453</v>
          </cell>
        </row>
        <row r="17">
          <cell r="A17" t="str">
            <v>4813 ФИЛЕЙНАЯ Папа может вар п/о_Л   ОСТАНКИНО</v>
          </cell>
          <cell r="D17" t="str">
            <v>кг</v>
          </cell>
          <cell r="F17">
            <v>349.99599999999998</v>
          </cell>
          <cell r="H17">
            <v>159.136</v>
          </cell>
          <cell r="I17">
            <v>336.55099999999999</v>
          </cell>
          <cell r="J17">
            <v>172.58099999999999</v>
          </cell>
          <cell r="K17">
            <v>349.99599999999998</v>
          </cell>
          <cell r="L17">
            <v>159.136</v>
          </cell>
          <cell r="M17">
            <v>336.55099999999999</v>
          </cell>
          <cell r="N17">
            <v>172.58099999999999</v>
          </cell>
        </row>
        <row r="18">
          <cell r="A18" t="str">
            <v>4993 САЛЯМИ ИТАЛЬЯНСКАЯ с/к в/у 1/250*8_120c ОСТАНКИНО</v>
          </cell>
          <cell r="D18" t="str">
            <v>шт</v>
          </cell>
          <cell r="F18">
            <v>364</v>
          </cell>
          <cell r="H18">
            <v>10</v>
          </cell>
          <cell r="I18">
            <v>191</v>
          </cell>
          <cell r="J18">
            <v>183</v>
          </cell>
          <cell r="K18">
            <v>91</v>
          </cell>
          <cell r="L18">
            <v>2.5</v>
          </cell>
          <cell r="M18">
            <v>47.75</v>
          </cell>
          <cell r="N18">
            <v>45.75</v>
          </cell>
        </row>
        <row r="19">
          <cell r="A19" t="str">
            <v>5452 ВЕТЧ.МЯСНАЯ Папа может п/о    ОСТАНКИНО</v>
          </cell>
          <cell r="D19" t="str">
            <v>кг</v>
          </cell>
          <cell r="F19">
            <v>147.78800000000001</v>
          </cell>
          <cell r="H19">
            <v>61.758000000000003</v>
          </cell>
          <cell r="I19">
            <v>138.61199999999999</v>
          </cell>
          <cell r="J19">
            <v>70.933999999999997</v>
          </cell>
          <cell r="K19">
            <v>147.78800000000001</v>
          </cell>
          <cell r="L19">
            <v>61.758000000000003</v>
          </cell>
          <cell r="M19">
            <v>138.61199999999999</v>
          </cell>
          <cell r="N19">
            <v>70.933999999999997</v>
          </cell>
        </row>
        <row r="20">
          <cell r="A20" t="str">
            <v>5483 ЭКСТРА Папа может с/к в/у 1/250 8шт.   ОСТАНКИНО</v>
          </cell>
          <cell r="D20" t="str">
            <v>шт</v>
          </cell>
          <cell r="F20">
            <v>397</v>
          </cell>
          <cell r="H20">
            <v>59</v>
          </cell>
          <cell r="I20">
            <v>204</v>
          </cell>
          <cell r="J20">
            <v>252</v>
          </cell>
          <cell r="K20">
            <v>99.25</v>
          </cell>
          <cell r="L20">
            <v>14.75</v>
          </cell>
          <cell r="M20">
            <v>51</v>
          </cell>
          <cell r="N20">
            <v>63</v>
          </cell>
        </row>
        <row r="21">
          <cell r="A21" t="str">
            <v>5495 ВЕТЧ.С ИНДЕЙКОЙ Папа может п/о 400*6  Останкино</v>
          </cell>
          <cell r="D21" t="str">
            <v>шт</v>
          </cell>
          <cell r="F21">
            <v>54</v>
          </cell>
          <cell r="H21">
            <v>3</v>
          </cell>
          <cell r="I21">
            <v>57</v>
          </cell>
          <cell r="K21">
            <v>21.6</v>
          </cell>
          <cell r="L21">
            <v>1.2</v>
          </cell>
          <cell r="M21">
            <v>22.8</v>
          </cell>
        </row>
        <row r="22">
          <cell r="A22" t="str">
            <v>5544 Сервелат Финский в/к в/у_45с НОВАЯ ОСТАНКИНО</v>
          </cell>
          <cell r="D22" t="str">
            <v>кг</v>
          </cell>
          <cell r="F22">
            <v>561.03599999999994</v>
          </cell>
          <cell r="H22">
            <v>81.522000000000006</v>
          </cell>
          <cell r="I22">
            <v>531.28800000000001</v>
          </cell>
          <cell r="J22">
            <v>111.27</v>
          </cell>
          <cell r="K22">
            <v>561.03599999999994</v>
          </cell>
          <cell r="L22">
            <v>81.522000000000006</v>
          </cell>
          <cell r="M22">
            <v>531.28800000000001</v>
          </cell>
          <cell r="N22">
            <v>111.27</v>
          </cell>
        </row>
        <row r="23">
          <cell r="A23" t="str">
            <v>5708 ПОСОЛЬСКАЯ Папа может с/к в/у ОСТАНКИНО</v>
          </cell>
          <cell r="D23" t="str">
            <v>кг</v>
          </cell>
          <cell r="F23">
            <v>45.255000000000003</v>
          </cell>
          <cell r="H23">
            <v>15.683</v>
          </cell>
          <cell r="I23">
            <v>51.427</v>
          </cell>
          <cell r="J23">
            <v>9.5109999999999992</v>
          </cell>
          <cell r="K23">
            <v>45.255000000000003</v>
          </cell>
          <cell r="L23">
            <v>15.683</v>
          </cell>
          <cell r="M23">
            <v>51.427</v>
          </cell>
          <cell r="N23">
            <v>9.5109999999999992</v>
          </cell>
        </row>
        <row r="24">
          <cell r="A24" t="str">
            <v>5819 Сосиски Папа может 400г Мясные  ОСТАНКИНО</v>
          </cell>
          <cell r="D24" t="str">
            <v>шт</v>
          </cell>
          <cell r="F24">
            <v>66</v>
          </cell>
          <cell r="H24">
            <v>9</v>
          </cell>
          <cell r="I24">
            <v>54</v>
          </cell>
          <cell r="J24">
            <v>21</v>
          </cell>
          <cell r="K24">
            <v>26.4</v>
          </cell>
          <cell r="L24">
            <v>3.6</v>
          </cell>
          <cell r="M24">
            <v>21.6</v>
          </cell>
          <cell r="N24">
            <v>8.4</v>
          </cell>
        </row>
        <row r="25">
          <cell r="A25" t="str">
            <v>5851 ЭКСТРА Папа может вар п/о   ОСТАНКИНО</v>
          </cell>
          <cell r="D25" t="str">
            <v>кг</v>
          </cell>
          <cell r="F25">
            <v>619.38800000000003</v>
          </cell>
          <cell r="H25">
            <v>31.552</v>
          </cell>
          <cell r="I25">
            <v>254.34399999999999</v>
          </cell>
          <cell r="J25">
            <v>396.596</v>
          </cell>
          <cell r="K25">
            <v>619.38800000000003</v>
          </cell>
          <cell r="L25">
            <v>31.552</v>
          </cell>
          <cell r="M25">
            <v>254.34399999999999</v>
          </cell>
          <cell r="N25">
            <v>396.596</v>
          </cell>
        </row>
        <row r="26">
          <cell r="A26" t="str">
            <v>5931 ОХОТНИЧЬЯ Папа может с/к в/у 1/220 8шт.   ОСТАНКИНО</v>
          </cell>
          <cell r="D26" t="str">
            <v>шт</v>
          </cell>
          <cell r="H26">
            <v>485</v>
          </cell>
          <cell r="I26">
            <v>463</v>
          </cell>
          <cell r="J26">
            <v>22</v>
          </cell>
          <cell r="L26">
            <v>106.7</v>
          </cell>
          <cell r="M26">
            <v>101.86</v>
          </cell>
          <cell r="N26">
            <v>4.84</v>
          </cell>
        </row>
        <row r="27">
          <cell r="A27" t="str">
            <v>6008 САЛО СОЛЕНОЕ С ЧЕРНЫМ ПЕРЦЕМ мл/к в/у ОСТАНКИНО</v>
          </cell>
          <cell r="D27" t="str">
            <v>кг</v>
          </cell>
          <cell r="F27">
            <v>54.137</v>
          </cell>
          <cell r="H27">
            <v>33.191000000000003</v>
          </cell>
          <cell r="I27">
            <v>53.414000000000001</v>
          </cell>
          <cell r="J27">
            <v>33.914000000000001</v>
          </cell>
          <cell r="K27">
            <v>54.137</v>
          </cell>
          <cell r="L27">
            <v>33.191000000000003</v>
          </cell>
          <cell r="M27">
            <v>53.414000000000001</v>
          </cell>
          <cell r="N27">
            <v>33.914000000000001</v>
          </cell>
        </row>
        <row r="28">
          <cell r="A28" t="str">
            <v>6220 ГОВЯЖЬЯ папа может вар п/о  Останкино</v>
          </cell>
          <cell r="D28" t="str">
            <v>кг</v>
          </cell>
          <cell r="F28">
            <v>173.41200000000001</v>
          </cell>
          <cell r="H28">
            <v>7.2679999999999998</v>
          </cell>
          <cell r="I28">
            <v>145.01900000000001</v>
          </cell>
          <cell r="J28">
            <v>35.661000000000001</v>
          </cell>
          <cell r="K28">
            <v>173.41200000000001</v>
          </cell>
          <cell r="L28">
            <v>7.2679999999999998</v>
          </cell>
          <cell r="M28">
            <v>145.01900000000001</v>
          </cell>
          <cell r="N28">
            <v>35.661000000000001</v>
          </cell>
        </row>
        <row r="29">
          <cell r="A29" t="str">
            <v>6221 НЕОПОЛИТАНСКИЙ ДУЭТ с/к с/н мгс 1/90  Останкино</v>
          </cell>
          <cell r="D29" t="str">
            <v>шт</v>
          </cell>
          <cell r="F29">
            <v>230</v>
          </cell>
          <cell r="H29">
            <v>466</v>
          </cell>
          <cell r="I29">
            <v>560</v>
          </cell>
          <cell r="J29">
            <v>136</v>
          </cell>
          <cell r="K29">
            <v>20.7</v>
          </cell>
          <cell r="L29">
            <v>41.94</v>
          </cell>
          <cell r="M29">
            <v>50.4</v>
          </cell>
          <cell r="N29">
            <v>12.24</v>
          </cell>
        </row>
        <row r="30">
          <cell r="A30" t="str">
            <v>6228 МЯСНОЕ АССОРТИ к/з с/н мгс 1/90 10шт  Останкино</v>
          </cell>
          <cell r="D30" t="str">
            <v>шт</v>
          </cell>
          <cell r="F30">
            <v>187</v>
          </cell>
          <cell r="H30">
            <v>175</v>
          </cell>
          <cell r="I30">
            <v>306</v>
          </cell>
          <cell r="J30">
            <v>56</v>
          </cell>
          <cell r="K30">
            <v>16.829999999999998</v>
          </cell>
          <cell r="L30">
            <v>15.75</v>
          </cell>
          <cell r="M30">
            <v>27.54</v>
          </cell>
          <cell r="N30">
            <v>5.04</v>
          </cell>
        </row>
        <row r="31">
          <cell r="A31" t="str">
            <v>6279 КОРЕЙКА ПО-ОСТ.к/в в/с с/н в/у 1/150_45с  Останкино</v>
          </cell>
          <cell r="D31" t="str">
            <v>шт</v>
          </cell>
          <cell r="F31">
            <v>363</v>
          </cell>
          <cell r="H31">
            <v>17</v>
          </cell>
          <cell r="I31">
            <v>294</v>
          </cell>
          <cell r="J31">
            <v>86</v>
          </cell>
          <cell r="K31">
            <v>54.45</v>
          </cell>
          <cell r="L31">
            <v>2.5499999999999998</v>
          </cell>
          <cell r="M31">
            <v>44.1</v>
          </cell>
          <cell r="N31">
            <v>12.9</v>
          </cell>
        </row>
        <row r="32">
          <cell r="A32" t="str">
            <v>6303 Мясные Папа может сос п/о мгс 1,5*3  Останкино</v>
          </cell>
          <cell r="D32" t="str">
            <v>кг</v>
          </cell>
          <cell r="F32">
            <v>357.81900000000002</v>
          </cell>
          <cell r="H32">
            <v>94.372</v>
          </cell>
          <cell r="I32">
            <v>452.41899999999998</v>
          </cell>
          <cell r="J32">
            <v>-0.22800000000000001</v>
          </cell>
          <cell r="K32">
            <v>357.81900000000002</v>
          </cell>
          <cell r="L32">
            <v>94.372</v>
          </cell>
          <cell r="M32">
            <v>452.41899999999998</v>
          </cell>
          <cell r="N32">
            <v>-0.22800000000000001</v>
          </cell>
        </row>
        <row r="33">
          <cell r="A33" t="str">
            <v>6325 ДОКТОРСКАЯ ПРЕМИУМ вар п/о 0.4кг 8шт.  ОСТАНКИНО</v>
          </cell>
          <cell r="D33" t="str">
            <v>шт</v>
          </cell>
          <cell r="F33">
            <v>113</v>
          </cell>
          <cell r="H33">
            <v>561</v>
          </cell>
          <cell r="I33">
            <v>412</v>
          </cell>
          <cell r="J33">
            <v>262</v>
          </cell>
          <cell r="K33">
            <v>45.2</v>
          </cell>
          <cell r="L33">
            <v>224.4</v>
          </cell>
          <cell r="M33">
            <v>164.8</v>
          </cell>
          <cell r="N33">
            <v>104.8</v>
          </cell>
        </row>
        <row r="34">
          <cell r="A34" t="str">
            <v>6333 МЯСНАЯ Папа может вар п/о 0.4кг 8шт.  ОСТАНКИНО</v>
          </cell>
          <cell r="D34" t="str">
            <v>шт</v>
          </cell>
          <cell r="F34">
            <v>527</v>
          </cell>
          <cell r="H34">
            <v>108</v>
          </cell>
          <cell r="I34">
            <v>346</v>
          </cell>
          <cell r="J34">
            <v>289</v>
          </cell>
          <cell r="K34">
            <v>210.8</v>
          </cell>
          <cell r="L34">
            <v>43.2</v>
          </cell>
          <cell r="M34">
            <v>138.4</v>
          </cell>
          <cell r="N34">
            <v>115.6</v>
          </cell>
        </row>
        <row r="35">
          <cell r="A35" t="str">
            <v>6392 ФИЛЕЙНАЯ Папа может вар п/о 0,4кг  ОСТАНКИНО</v>
          </cell>
          <cell r="D35" t="str">
            <v>шт</v>
          </cell>
          <cell r="F35">
            <v>388</v>
          </cell>
          <cell r="H35">
            <v>191</v>
          </cell>
          <cell r="I35">
            <v>246</v>
          </cell>
          <cell r="J35">
            <v>333</v>
          </cell>
          <cell r="K35">
            <v>155.19999999999999</v>
          </cell>
          <cell r="L35">
            <v>76.400000000000006</v>
          </cell>
          <cell r="M35">
            <v>98.4</v>
          </cell>
          <cell r="N35">
            <v>133.19999999999999</v>
          </cell>
        </row>
        <row r="36">
          <cell r="A36" t="str">
            <v>6495 ВЕТЧ.МРАМОРНАЯ в/у срез 0,3кг 6шт_45с  Останкино</v>
          </cell>
          <cell r="D36" t="str">
            <v>шт</v>
          </cell>
          <cell r="F36">
            <v>-126</v>
          </cell>
          <cell r="H36">
            <v>177</v>
          </cell>
          <cell r="I36">
            <v>51</v>
          </cell>
          <cell r="K36">
            <v>-37.799999999999997</v>
          </cell>
          <cell r="L36">
            <v>53.1</v>
          </cell>
          <cell r="M36">
            <v>15.3</v>
          </cell>
        </row>
        <row r="37">
          <cell r="A37" t="str">
            <v>6498 МОЛОЧНАЯ Папа может вар п/о  ОСТАНКИНО</v>
          </cell>
          <cell r="D37" t="str">
            <v>кг</v>
          </cell>
          <cell r="F37">
            <v>214.363</v>
          </cell>
          <cell r="H37">
            <v>75.334000000000003</v>
          </cell>
          <cell r="I37">
            <v>82.26</v>
          </cell>
          <cell r="J37">
            <v>207.43700000000001</v>
          </cell>
          <cell r="K37">
            <v>214.363</v>
          </cell>
          <cell r="L37">
            <v>75.334000000000003</v>
          </cell>
          <cell r="M37">
            <v>82.26</v>
          </cell>
          <cell r="N37">
            <v>207.43700000000001</v>
          </cell>
        </row>
        <row r="38">
          <cell r="A38" t="str">
            <v>6527 ШПИКАЧКИ СОЧНЫЕ ПМ сар б/о мгс 1*3 45с ОСТАНКИНО</v>
          </cell>
          <cell r="D38" t="str">
            <v>кг</v>
          </cell>
          <cell r="F38">
            <v>222.64500000000001</v>
          </cell>
          <cell r="H38">
            <v>54.174999999999997</v>
          </cell>
          <cell r="I38">
            <v>170.87799999999999</v>
          </cell>
          <cell r="J38">
            <v>105.94199999999999</v>
          </cell>
          <cell r="K38">
            <v>222.64500000000001</v>
          </cell>
          <cell r="L38">
            <v>54.174999999999997</v>
          </cell>
          <cell r="M38">
            <v>170.87799999999999</v>
          </cell>
          <cell r="N38">
            <v>105.94199999999999</v>
          </cell>
        </row>
        <row r="39">
          <cell r="A39" t="str">
            <v>6550 МЯСНЫЕ Папа может сар б/о мгс 1*3 О 45с  Останкино</v>
          </cell>
          <cell r="D39" t="str">
            <v>кг</v>
          </cell>
          <cell r="F39">
            <v>250.619</v>
          </cell>
          <cell r="H39">
            <v>37.142000000000003</v>
          </cell>
          <cell r="I39">
            <v>118.82899999999999</v>
          </cell>
          <cell r="J39">
            <v>168.93199999999999</v>
          </cell>
          <cell r="K39">
            <v>250.619</v>
          </cell>
          <cell r="L39">
            <v>37.142000000000003</v>
          </cell>
          <cell r="M39">
            <v>118.82899999999999</v>
          </cell>
          <cell r="N39">
            <v>168.93199999999999</v>
          </cell>
        </row>
        <row r="40">
          <cell r="A40" t="str">
            <v>6608 С ГОВЯДИНОЙ ОРИГИН. сар б/о мгс 1*3_45с  ОСТАНКИНО</v>
          </cell>
          <cell r="D40" t="str">
            <v>кг</v>
          </cell>
          <cell r="F40">
            <v>316.15100000000001</v>
          </cell>
          <cell r="H40">
            <v>42.548000000000002</v>
          </cell>
          <cell r="I40">
            <v>169.636</v>
          </cell>
          <cell r="J40">
            <v>189.06299999999999</v>
          </cell>
          <cell r="K40">
            <v>316.15100000000001</v>
          </cell>
          <cell r="L40">
            <v>42.548000000000002</v>
          </cell>
          <cell r="M40">
            <v>169.636</v>
          </cell>
          <cell r="N40">
            <v>189.06299999999999</v>
          </cell>
        </row>
        <row r="41">
          <cell r="A41" t="str">
            <v>6616 МОЛОЧНЫЕ КЛАССИЧЕСКИЕ сос п/о в/у 0,3 кг  Останкино</v>
          </cell>
          <cell r="D41" t="str">
            <v>шт</v>
          </cell>
          <cell r="F41">
            <v>309</v>
          </cell>
          <cell r="H41">
            <v>68</v>
          </cell>
          <cell r="I41">
            <v>376</v>
          </cell>
          <cell r="J41">
            <v>1</v>
          </cell>
          <cell r="K41">
            <v>92.7</v>
          </cell>
          <cell r="L41">
            <v>20.399999999999999</v>
          </cell>
          <cell r="M41">
            <v>112.8</v>
          </cell>
          <cell r="N41">
            <v>0.3</v>
          </cell>
        </row>
        <row r="42">
          <cell r="A42" t="str">
            <v>6620 РЕБРЫШКИ к/в в/у_30с  Останкино</v>
          </cell>
          <cell r="D42" t="str">
            <v>кг</v>
          </cell>
          <cell r="F42">
            <v>368.53500000000003</v>
          </cell>
          <cell r="H42">
            <v>21.446999999999999</v>
          </cell>
          <cell r="I42">
            <v>225.642</v>
          </cell>
          <cell r="J42">
            <v>164.34</v>
          </cell>
          <cell r="K42">
            <v>368.53500000000003</v>
          </cell>
          <cell r="L42">
            <v>21.446999999999999</v>
          </cell>
          <cell r="M42">
            <v>225.642</v>
          </cell>
          <cell r="N42">
            <v>164.34</v>
          </cell>
        </row>
        <row r="43">
          <cell r="A43" t="str">
            <v>6661 СОЧНЫЙ ГРИЛЬ ПМ сос п/о мгс 1,5*4_Маяк Останкино</v>
          </cell>
          <cell r="D43" t="str">
            <v>кг</v>
          </cell>
          <cell r="F43">
            <v>294.024</v>
          </cell>
          <cell r="H43">
            <v>51.595999999999997</v>
          </cell>
          <cell r="I43">
            <v>327.673</v>
          </cell>
          <cell r="J43">
            <v>17.946999999999999</v>
          </cell>
          <cell r="K43">
            <v>294.024</v>
          </cell>
          <cell r="L43">
            <v>51.595999999999997</v>
          </cell>
          <cell r="M43">
            <v>327.673</v>
          </cell>
          <cell r="N43">
            <v>17.946999999999999</v>
          </cell>
        </row>
        <row r="44">
          <cell r="A44" t="str">
            <v>6697 СЕРВЕЛАТ ФИНСКИЙ ПМ в/к в/у 0,35кг 8шт  ОСТАНКИНО</v>
          </cell>
          <cell r="D44" t="str">
            <v>шт</v>
          </cell>
          <cell r="F44">
            <v>442</v>
          </cell>
          <cell r="H44">
            <v>227</v>
          </cell>
          <cell r="I44">
            <v>563</v>
          </cell>
          <cell r="J44">
            <v>106</v>
          </cell>
          <cell r="K44">
            <v>154.69999999999999</v>
          </cell>
          <cell r="L44">
            <v>79.45</v>
          </cell>
          <cell r="M44">
            <v>197.05</v>
          </cell>
          <cell r="N44">
            <v>37.1</v>
          </cell>
        </row>
        <row r="45">
          <cell r="A45" t="str">
            <v>6713 СОЧНЫЙ ГРИЛЬ ПМ сос п/о мгс 0,41кг 8 шт.  ОСТАНКИНО</v>
          </cell>
          <cell r="D45" t="str">
            <v>шт</v>
          </cell>
          <cell r="F45">
            <v>223</v>
          </cell>
          <cell r="H45">
            <v>101</v>
          </cell>
          <cell r="I45">
            <v>324</v>
          </cell>
          <cell r="K45">
            <v>91.43</v>
          </cell>
          <cell r="L45">
            <v>41.41</v>
          </cell>
          <cell r="M45">
            <v>132.84</v>
          </cell>
        </row>
        <row r="46">
          <cell r="A46" t="str">
            <v>6724 МОЛОЧНЫЕ ПМ сос п/о мгс 0,41кг 10шт  Останкино</v>
          </cell>
          <cell r="D46" t="str">
            <v>шт</v>
          </cell>
          <cell r="F46">
            <v>196</v>
          </cell>
          <cell r="H46">
            <v>96</v>
          </cell>
          <cell r="I46">
            <v>171</v>
          </cell>
          <cell r="J46">
            <v>121</v>
          </cell>
          <cell r="K46">
            <v>80.36</v>
          </cell>
          <cell r="L46">
            <v>39.36</v>
          </cell>
          <cell r="M46">
            <v>70.11</v>
          </cell>
          <cell r="N46">
            <v>49.61</v>
          </cell>
        </row>
        <row r="47">
          <cell r="A47" t="str">
            <v>6765 РУБЛЕНЫЕ сос ц/о мгс 0,36кг 6шт  Останкино</v>
          </cell>
          <cell r="D47" t="str">
            <v>шт</v>
          </cell>
          <cell r="F47">
            <v>110</v>
          </cell>
          <cell r="H47">
            <v>311</v>
          </cell>
          <cell r="I47">
            <v>314</v>
          </cell>
          <cell r="J47">
            <v>107</v>
          </cell>
          <cell r="K47">
            <v>39.6</v>
          </cell>
          <cell r="L47">
            <v>111.96</v>
          </cell>
          <cell r="M47">
            <v>113.04</v>
          </cell>
          <cell r="N47">
            <v>38.520000000000003</v>
          </cell>
        </row>
        <row r="48">
          <cell r="A48" t="str">
            <v>6787 СЕРВЕЛАТ КРЕМЛЕВСКИЙ в/к в/у 0,33кг 8шт  Останкино</v>
          </cell>
          <cell r="D48" t="str">
            <v>шт</v>
          </cell>
          <cell r="F48">
            <v>28</v>
          </cell>
          <cell r="H48">
            <v>11</v>
          </cell>
          <cell r="I48">
            <v>39</v>
          </cell>
          <cell r="K48">
            <v>9.24</v>
          </cell>
          <cell r="L48">
            <v>3.63</v>
          </cell>
          <cell r="M48">
            <v>12.87</v>
          </cell>
        </row>
        <row r="49">
          <cell r="A49" t="str">
            <v>6797 С ИНДЕЙКОЙ Папа может вар п/о 0,4кг 8шт. ОСТАНКИНО</v>
          </cell>
          <cell r="D49" t="str">
            <v>шт</v>
          </cell>
          <cell r="F49">
            <v>93</v>
          </cell>
          <cell r="H49">
            <v>15</v>
          </cell>
          <cell r="I49">
            <v>108</v>
          </cell>
          <cell r="K49">
            <v>37.200000000000003</v>
          </cell>
          <cell r="L49">
            <v>6</v>
          </cell>
          <cell r="M49">
            <v>43.2</v>
          </cell>
        </row>
        <row r="50">
          <cell r="A50" t="str">
            <v>6807 СЕРВЕЛАТ ЕВРОПЕЙСКИЙ в/к в/у 0,33кг 8шт  Останкино</v>
          </cell>
          <cell r="D50" t="str">
            <v>шт</v>
          </cell>
          <cell r="F50">
            <v>44</v>
          </cell>
          <cell r="H50">
            <v>36</v>
          </cell>
          <cell r="I50">
            <v>52</v>
          </cell>
          <cell r="J50">
            <v>28</v>
          </cell>
          <cell r="K50">
            <v>14.52</v>
          </cell>
          <cell r="L50">
            <v>11.88</v>
          </cell>
          <cell r="M50">
            <v>17.16</v>
          </cell>
          <cell r="N50">
            <v>9.24</v>
          </cell>
        </row>
        <row r="51">
          <cell r="A51" t="str">
            <v>6829  МОЛОЧНЫЕ КЛАССИЧЕСКИЕ сос п/о мгс 2*4 С  Останккино</v>
          </cell>
          <cell r="D51" t="str">
            <v>кг</v>
          </cell>
          <cell r="F51">
            <v>253.13900000000001</v>
          </cell>
          <cell r="H51">
            <v>141.732</v>
          </cell>
          <cell r="I51">
            <v>388.67700000000002</v>
          </cell>
          <cell r="J51">
            <v>6.194</v>
          </cell>
          <cell r="K51">
            <v>253.13900000000001</v>
          </cell>
          <cell r="L51">
            <v>141.732</v>
          </cell>
          <cell r="M51">
            <v>388.67700000000002</v>
          </cell>
          <cell r="N51">
            <v>6.194</v>
          </cell>
        </row>
        <row r="52">
          <cell r="A52" t="str">
            <v>6837 ФИЛЕЙНЫЕ Папа Может сос ц/о мгс 0,4кг  Останкино</v>
          </cell>
          <cell r="D52" t="str">
            <v>шт</v>
          </cell>
          <cell r="F52">
            <v>62</v>
          </cell>
          <cell r="H52">
            <v>9</v>
          </cell>
          <cell r="I52">
            <v>63</v>
          </cell>
          <cell r="J52">
            <v>8</v>
          </cell>
          <cell r="K52">
            <v>24.8</v>
          </cell>
          <cell r="L52">
            <v>3.6</v>
          </cell>
          <cell r="M52">
            <v>25.2</v>
          </cell>
          <cell r="N52">
            <v>3.2</v>
          </cell>
        </row>
        <row r="53">
          <cell r="A53" t="str">
            <v>6861 ДОМАШНИЙ РЕЦЕПТ Коровино вар п/о  Останкино</v>
          </cell>
          <cell r="D53" t="str">
            <v>кг</v>
          </cell>
          <cell r="F53">
            <v>37.372</v>
          </cell>
          <cell r="H53">
            <v>11.603999999999999</v>
          </cell>
          <cell r="I53">
            <v>36.947000000000003</v>
          </cell>
          <cell r="J53">
            <v>12.029</v>
          </cell>
          <cell r="K53">
            <v>37.372</v>
          </cell>
          <cell r="L53">
            <v>11.603999999999999</v>
          </cell>
          <cell r="M53">
            <v>36.947000000000003</v>
          </cell>
          <cell r="N53">
            <v>12.029</v>
          </cell>
        </row>
        <row r="54">
          <cell r="A54" t="str">
            <v>6866 ВЕТЧ.НЕЖНАЯ Коровино п/о_Маяк  Останкино</v>
          </cell>
          <cell r="D54" t="str">
            <v>кг</v>
          </cell>
          <cell r="F54">
            <v>25.404</v>
          </cell>
          <cell r="H54">
            <v>21.003</v>
          </cell>
          <cell r="I54">
            <v>22.532</v>
          </cell>
          <cell r="J54">
            <v>23.875</v>
          </cell>
          <cell r="K54">
            <v>25.404</v>
          </cell>
          <cell r="L54">
            <v>21.003</v>
          </cell>
          <cell r="M54">
            <v>22.532</v>
          </cell>
          <cell r="N54">
            <v>23.875</v>
          </cell>
        </row>
        <row r="55">
          <cell r="A55" t="str">
            <v>6967 БУРГУНДИЯ Папа может с/к в/у 1/250 8шт  Останкино</v>
          </cell>
          <cell r="D55" t="str">
            <v>шт</v>
          </cell>
          <cell r="F55">
            <v>51</v>
          </cell>
          <cell r="H55">
            <v>14</v>
          </cell>
          <cell r="I55">
            <v>65</v>
          </cell>
          <cell r="K55">
            <v>12.75</v>
          </cell>
          <cell r="L55">
            <v>3.5</v>
          </cell>
          <cell r="M55">
            <v>16.25</v>
          </cell>
        </row>
        <row r="56">
          <cell r="A56" t="str">
            <v>7001 КЛАССИЧЕСКИЕ Папа может сар б/о мгс 1*3  Останкино</v>
          </cell>
          <cell r="D56" t="str">
            <v>кг</v>
          </cell>
          <cell r="F56">
            <v>192.84200000000001</v>
          </cell>
          <cell r="H56">
            <v>168.41499999999999</v>
          </cell>
          <cell r="I56">
            <v>204.74199999999999</v>
          </cell>
          <cell r="J56">
            <v>156.51499999999999</v>
          </cell>
          <cell r="K56">
            <v>192.84200000000001</v>
          </cell>
          <cell r="L56">
            <v>168.41499999999999</v>
          </cell>
          <cell r="M56">
            <v>204.74199999999999</v>
          </cell>
          <cell r="N56">
            <v>156.51499999999999</v>
          </cell>
        </row>
        <row r="57">
          <cell r="A57" t="str">
            <v>7040 С ИНДЕЙКОЙ ПМ сос ц/о в/у 1/270 8шт.  ОСТАНКИНО</v>
          </cell>
          <cell r="D57" t="str">
            <v>шт</v>
          </cell>
          <cell r="F57">
            <v>53</v>
          </cell>
          <cell r="H57">
            <v>7</v>
          </cell>
          <cell r="I57">
            <v>60</v>
          </cell>
          <cell r="K57">
            <v>14.31</v>
          </cell>
          <cell r="L57">
            <v>1.89</v>
          </cell>
          <cell r="M57">
            <v>16.2</v>
          </cell>
        </row>
        <row r="58">
          <cell r="A58" t="str">
            <v>7059 ШПИКАЧКИ СОЧНЫЕ С БЕК. п/о мгс 0,3кг 60с ОСТАНКИНО</v>
          </cell>
          <cell r="D58" t="str">
            <v>шт</v>
          </cell>
          <cell r="F58">
            <v>314</v>
          </cell>
          <cell r="H58">
            <v>50</v>
          </cell>
          <cell r="I58">
            <v>222</v>
          </cell>
          <cell r="J58">
            <v>142</v>
          </cell>
          <cell r="K58">
            <v>94.2</v>
          </cell>
          <cell r="L58">
            <v>15</v>
          </cell>
          <cell r="M58">
            <v>66.599999999999994</v>
          </cell>
          <cell r="N58">
            <v>42.6</v>
          </cell>
        </row>
        <row r="59">
          <cell r="A59" t="str">
            <v>7066 СОЧНЫЕ ПМ сос п/о мгс 0,41кг 10шт 50с  Останкино</v>
          </cell>
          <cell r="D59" t="str">
            <v>шт</v>
          </cell>
          <cell r="F59">
            <v>545</v>
          </cell>
          <cell r="H59">
            <v>704</v>
          </cell>
          <cell r="I59">
            <v>804</v>
          </cell>
          <cell r="J59">
            <v>445</v>
          </cell>
          <cell r="K59">
            <v>223.45</v>
          </cell>
          <cell r="L59">
            <v>288.64</v>
          </cell>
          <cell r="M59">
            <v>329.64</v>
          </cell>
          <cell r="N59">
            <v>182.45</v>
          </cell>
        </row>
        <row r="60">
          <cell r="A60" t="str">
            <v>7070 СОЧНЫЕ ПМ сос п/о 1,5*4_А_50с  Останкино</v>
          </cell>
          <cell r="D60" t="str">
            <v>кг</v>
          </cell>
          <cell r="F60">
            <v>712.84299999999996</v>
          </cell>
          <cell r="H60">
            <v>387.81599999999997</v>
          </cell>
          <cell r="I60">
            <v>810.11</v>
          </cell>
          <cell r="J60">
            <v>290.54899999999998</v>
          </cell>
          <cell r="K60">
            <v>712.84299999999996</v>
          </cell>
          <cell r="L60">
            <v>387.81599999999997</v>
          </cell>
          <cell r="M60">
            <v>810.11</v>
          </cell>
          <cell r="N60">
            <v>290.54899999999998</v>
          </cell>
        </row>
        <row r="61">
          <cell r="A61" t="str">
            <v>7073 МОЛОЧ.ПРЕМИУМ ПМ сос п/о в/у 1/350_50с  Останкино</v>
          </cell>
          <cell r="D61" t="str">
            <v>шт</v>
          </cell>
          <cell r="F61">
            <v>284</v>
          </cell>
          <cell r="H61">
            <v>3</v>
          </cell>
          <cell r="I61">
            <v>224</v>
          </cell>
          <cell r="J61">
            <v>63</v>
          </cell>
          <cell r="K61">
            <v>99.4</v>
          </cell>
          <cell r="L61">
            <v>1.05</v>
          </cell>
          <cell r="M61">
            <v>78.400000000000006</v>
          </cell>
          <cell r="N61">
            <v>22.05</v>
          </cell>
        </row>
        <row r="62">
          <cell r="A62" t="str">
            <v>7075 МОЛОЧ.ПРЕМИУМ ПМ сос п/о мгс 1,5*4_О_50с  Останкино</v>
          </cell>
          <cell r="D62" t="str">
            <v>кг</v>
          </cell>
          <cell r="F62">
            <v>269.863</v>
          </cell>
          <cell r="H62">
            <v>1.5449999999999999</v>
          </cell>
          <cell r="I62">
            <v>68.417000000000002</v>
          </cell>
          <cell r="J62">
            <v>202.99100000000001</v>
          </cell>
          <cell r="K62">
            <v>269.863</v>
          </cell>
          <cell r="L62">
            <v>1.5449999999999999</v>
          </cell>
          <cell r="M62">
            <v>68.417000000000002</v>
          </cell>
          <cell r="N62">
            <v>202.99100000000001</v>
          </cell>
        </row>
        <row r="63">
          <cell r="A63" t="str">
            <v>7080 СЛИВОЧНЫЕ ПМ сос п/о мгс 0,41кг 10шт 50с  Останкино</v>
          </cell>
          <cell r="D63" t="str">
            <v>шт</v>
          </cell>
          <cell r="F63">
            <v>488</v>
          </cell>
          <cell r="H63">
            <v>247</v>
          </cell>
          <cell r="I63">
            <v>443</v>
          </cell>
          <cell r="J63">
            <v>292</v>
          </cell>
          <cell r="K63">
            <v>200.08</v>
          </cell>
          <cell r="L63">
            <v>101.27</v>
          </cell>
          <cell r="M63">
            <v>181.63</v>
          </cell>
          <cell r="N63">
            <v>119.72</v>
          </cell>
        </row>
        <row r="64">
          <cell r="A64" t="str">
            <v>7083 СЛИВОЧНЫЕ ПМ сос п/о мгс 1.5*4_А_50с  ОСТАНКИНО</v>
          </cell>
          <cell r="D64" t="str">
            <v>кг</v>
          </cell>
          <cell r="F64">
            <v>271.88299999999998</v>
          </cell>
          <cell r="H64">
            <v>31.026</v>
          </cell>
          <cell r="I64">
            <v>236.267</v>
          </cell>
          <cell r="J64">
            <v>66.641999999999996</v>
          </cell>
          <cell r="K64">
            <v>271.88299999999998</v>
          </cell>
          <cell r="L64">
            <v>31.026</v>
          </cell>
          <cell r="M64">
            <v>236.267</v>
          </cell>
          <cell r="N64">
            <v>66.641999999999996</v>
          </cell>
        </row>
        <row r="65">
          <cell r="A65" t="str">
            <v>7090 СВИНИНА ПО-ДОМ.к/в мл/к в/у 0,3кг_50с  Останкино</v>
          </cell>
          <cell r="D65" t="str">
            <v>шт</v>
          </cell>
          <cell r="F65">
            <v>71</v>
          </cell>
          <cell r="H65">
            <v>195</v>
          </cell>
          <cell r="I65">
            <v>135</v>
          </cell>
          <cell r="J65">
            <v>131</v>
          </cell>
          <cell r="K65">
            <v>21.3</v>
          </cell>
          <cell r="L65">
            <v>58.5</v>
          </cell>
          <cell r="M65">
            <v>40.5</v>
          </cell>
          <cell r="N65">
            <v>39.299999999999997</v>
          </cell>
        </row>
        <row r="66">
          <cell r="A66" t="str">
            <v>7103 БЕКОН Останкино с/к с/н в/у 1/180_50с  Останкино</v>
          </cell>
          <cell r="D66" t="str">
            <v>шт</v>
          </cell>
          <cell r="F66">
            <v>536</v>
          </cell>
          <cell r="H66">
            <v>185</v>
          </cell>
          <cell r="I66">
            <v>414</v>
          </cell>
          <cell r="J66">
            <v>307</v>
          </cell>
          <cell r="K66">
            <v>96.48</v>
          </cell>
          <cell r="L66">
            <v>33.299999999999997</v>
          </cell>
          <cell r="M66">
            <v>74.52</v>
          </cell>
          <cell r="N66">
            <v>55.26</v>
          </cell>
        </row>
        <row r="67">
          <cell r="A67" t="str">
            <v>7143 БРАУНШВЕЙГСКАЯ ГОСТ с/к в/у 1/220 8шт.  ОСТАНКИНО</v>
          </cell>
          <cell r="D67" t="str">
            <v>шт</v>
          </cell>
          <cell r="F67">
            <v>7</v>
          </cell>
          <cell r="H67">
            <v>16</v>
          </cell>
          <cell r="I67">
            <v>20</v>
          </cell>
          <cell r="J67">
            <v>3</v>
          </cell>
          <cell r="K67">
            <v>1.54</v>
          </cell>
          <cell r="L67">
            <v>3.52</v>
          </cell>
          <cell r="M67">
            <v>4.4000000000000004</v>
          </cell>
          <cell r="N67">
            <v>0.66</v>
          </cell>
        </row>
        <row r="68">
          <cell r="A68" t="str">
            <v>7149 БАЛЫКОВАЯ Коровино п/к в/у 0,84кг_50с  Останкино</v>
          </cell>
          <cell r="D68" t="str">
            <v>шт</v>
          </cell>
          <cell r="F68">
            <v>67</v>
          </cell>
          <cell r="H68">
            <v>14</v>
          </cell>
          <cell r="I68">
            <v>69</v>
          </cell>
          <cell r="J68">
            <v>12</v>
          </cell>
          <cell r="K68">
            <v>56.28</v>
          </cell>
          <cell r="L68">
            <v>11.76</v>
          </cell>
          <cell r="M68">
            <v>57.96</v>
          </cell>
          <cell r="N68">
            <v>10.08</v>
          </cell>
        </row>
        <row r="69">
          <cell r="A69" t="str">
            <v>7154 СЕРВЕЛАТ ЗЕРНИСТЫЙ ПМ в/к в/у 0,35кг_50с  Останкино</v>
          </cell>
          <cell r="D69" t="str">
            <v>шт</v>
          </cell>
          <cell r="F69">
            <v>563</v>
          </cell>
          <cell r="H69">
            <v>136</v>
          </cell>
          <cell r="I69">
            <v>507</v>
          </cell>
          <cell r="J69">
            <v>192</v>
          </cell>
          <cell r="K69">
            <v>197.05</v>
          </cell>
          <cell r="L69">
            <v>47.6</v>
          </cell>
          <cell r="M69">
            <v>177.45</v>
          </cell>
          <cell r="N69">
            <v>67.2</v>
          </cell>
        </row>
        <row r="70">
          <cell r="A70" t="str">
            <v>7156 СЕРВЕЛАТ КОПЧ.НА БУКЕ в/к в/у 0.35кг_50с  ОСТАНКИНО</v>
          </cell>
          <cell r="D70" t="str">
            <v>шт</v>
          </cell>
          <cell r="F70">
            <v>480</v>
          </cell>
          <cell r="H70">
            <v>214</v>
          </cell>
          <cell r="I70">
            <v>543</v>
          </cell>
          <cell r="J70">
            <v>151</v>
          </cell>
          <cell r="K70">
            <v>168</v>
          </cell>
          <cell r="L70">
            <v>74.900000000000006</v>
          </cell>
          <cell r="M70">
            <v>190.05</v>
          </cell>
          <cell r="N70">
            <v>52.85</v>
          </cell>
        </row>
        <row r="71">
          <cell r="A71" t="str">
            <v>7157 СЕРВЕЛАТ ЗЕРНИСТЫЙ ПМ в/к в/у_50с  Останкино</v>
          </cell>
          <cell r="D71" t="str">
            <v>кг</v>
          </cell>
          <cell r="F71">
            <v>526.81700000000001</v>
          </cell>
          <cell r="H71">
            <v>45.435000000000002</v>
          </cell>
          <cell r="I71">
            <v>396.64400000000001</v>
          </cell>
          <cell r="J71">
            <v>175.608</v>
          </cell>
          <cell r="K71">
            <v>526.81700000000001</v>
          </cell>
          <cell r="L71">
            <v>45.435000000000002</v>
          </cell>
          <cell r="M71">
            <v>396.64400000000001</v>
          </cell>
          <cell r="N71">
            <v>175.608</v>
          </cell>
        </row>
        <row r="72">
          <cell r="A72" t="str">
            <v>7166 СЕРВЕЛАТ ОХОТНИЧИЙ ПМ в/к в/у_50с  Останкино</v>
          </cell>
          <cell r="D72" t="str">
            <v>кг</v>
          </cell>
          <cell r="F72">
            <v>487.99900000000002</v>
          </cell>
          <cell r="H72">
            <v>46.813000000000002</v>
          </cell>
          <cell r="I72">
            <v>365.13400000000001</v>
          </cell>
          <cell r="J72">
            <v>169.678</v>
          </cell>
          <cell r="K72">
            <v>487.99900000000002</v>
          </cell>
          <cell r="L72">
            <v>46.813000000000002</v>
          </cell>
          <cell r="M72">
            <v>365.13400000000001</v>
          </cell>
          <cell r="N72">
            <v>169.678</v>
          </cell>
        </row>
        <row r="73">
          <cell r="A73" t="str">
            <v>7169 СЕРВЕЛАТ ОХОТНИЧИЙ ПМ в/к в/у 0,35кг_50с  Останкино</v>
          </cell>
          <cell r="D73" t="str">
            <v>шт</v>
          </cell>
          <cell r="F73">
            <v>569</v>
          </cell>
          <cell r="H73">
            <v>14</v>
          </cell>
          <cell r="I73">
            <v>286</v>
          </cell>
          <cell r="J73">
            <v>297</v>
          </cell>
          <cell r="K73">
            <v>199.15</v>
          </cell>
          <cell r="L73">
            <v>4.9000000000000004</v>
          </cell>
          <cell r="M73">
            <v>100.1</v>
          </cell>
          <cell r="N73">
            <v>103.95</v>
          </cell>
        </row>
        <row r="74">
          <cell r="A74" t="str">
            <v>7187 ГРУДИНКА ПРЕМИУМ к/в мл/к в/у 0,3кг_50с  Останкино</v>
          </cell>
          <cell r="D74" t="str">
            <v>шт</v>
          </cell>
          <cell r="F74">
            <v>92</v>
          </cell>
          <cell r="H74">
            <v>21</v>
          </cell>
          <cell r="I74">
            <v>113</v>
          </cell>
          <cell r="K74">
            <v>27.6</v>
          </cell>
          <cell r="L74">
            <v>6.3</v>
          </cell>
          <cell r="M74">
            <v>33.9</v>
          </cell>
        </row>
        <row r="75">
          <cell r="A75" t="str">
            <v>7231 КЛАССИЧЕСКАЯ ПМ вар п/о 0,3кг 8 шт_209к  Останкино</v>
          </cell>
          <cell r="D75" t="str">
            <v>шт</v>
          </cell>
          <cell r="F75">
            <v>263</v>
          </cell>
          <cell r="H75">
            <v>11</v>
          </cell>
          <cell r="I75">
            <v>168</v>
          </cell>
          <cell r="J75">
            <v>106</v>
          </cell>
          <cell r="K75">
            <v>78.900000000000006</v>
          </cell>
          <cell r="L75">
            <v>3.3</v>
          </cell>
          <cell r="M75">
            <v>50.4</v>
          </cell>
          <cell r="N75">
            <v>31.8</v>
          </cell>
        </row>
        <row r="76">
          <cell r="A76" t="str">
            <v>7232 БОЯNСКАЯ ПМ п/к в/у 0,28кг 8шт_209к  Останкино</v>
          </cell>
          <cell r="D76" t="str">
            <v>шт</v>
          </cell>
          <cell r="F76">
            <v>292</v>
          </cell>
          <cell r="H76">
            <v>15</v>
          </cell>
          <cell r="I76">
            <v>307</v>
          </cell>
          <cell r="K76">
            <v>81.760000000000005</v>
          </cell>
          <cell r="L76">
            <v>4.2</v>
          </cell>
          <cell r="M76">
            <v>85.96</v>
          </cell>
        </row>
        <row r="77">
          <cell r="A77" t="str">
            <v>7236 СЕРВЕЛАТ КАРЕЛЬСКИЙ в/к в/у 0,28кг_209к  Останкино</v>
          </cell>
          <cell r="D77" t="str">
            <v>шт</v>
          </cell>
          <cell r="F77">
            <v>280</v>
          </cell>
          <cell r="H77">
            <v>46</v>
          </cell>
          <cell r="I77">
            <v>326</v>
          </cell>
          <cell r="K77">
            <v>78.400000000000006</v>
          </cell>
          <cell r="L77">
            <v>12.88</v>
          </cell>
          <cell r="M77">
            <v>91.28</v>
          </cell>
        </row>
        <row r="78">
          <cell r="A78" t="str">
            <v>7241 САЛЯМИ Папа может п/к в/у 0,28кг ОСТАНКИНО</v>
          </cell>
          <cell r="D78" t="str">
            <v>шт</v>
          </cell>
          <cell r="F78">
            <v>392</v>
          </cell>
          <cell r="H78">
            <v>582</v>
          </cell>
          <cell r="I78">
            <v>746</v>
          </cell>
          <cell r="J78">
            <v>228</v>
          </cell>
          <cell r="K78">
            <v>109.76</v>
          </cell>
          <cell r="L78">
            <v>162.96</v>
          </cell>
          <cell r="M78">
            <v>208.88</v>
          </cell>
          <cell r="N78">
            <v>63.84</v>
          </cell>
        </row>
        <row r="79">
          <cell r="A79" t="str">
            <v>7255 МЯСНЫЕ С ГОВЯД.ПМ сос п/о мгс 0.4кг 6шт.  ОСТАНКИНО</v>
          </cell>
          <cell r="D79" t="str">
            <v>шт</v>
          </cell>
          <cell r="F79">
            <v>348</v>
          </cell>
          <cell r="H79">
            <v>7</v>
          </cell>
          <cell r="I79">
            <v>191</v>
          </cell>
          <cell r="J79">
            <v>164</v>
          </cell>
          <cell r="K79">
            <v>139.19999999999999</v>
          </cell>
          <cell r="L79">
            <v>2.8</v>
          </cell>
          <cell r="M79">
            <v>76.400000000000006</v>
          </cell>
          <cell r="N79">
            <v>65.599999999999994</v>
          </cell>
        </row>
        <row r="80">
          <cell r="A80" t="str">
            <v>7299 НАБОР ДЛЯ ПИЦЦЫ Папа Может с/к в/у  ОСТАНКИНО</v>
          </cell>
          <cell r="D80" t="str">
            <v>кг</v>
          </cell>
          <cell r="F80">
            <v>-3.125</v>
          </cell>
          <cell r="H80">
            <v>247.33699999999999</v>
          </cell>
          <cell r="I80">
            <v>243.27500000000001</v>
          </cell>
          <cell r="J80">
            <v>0.93700000000000006</v>
          </cell>
          <cell r="K80">
            <v>-3.125</v>
          </cell>
          <cell r="L80">
            <v>247.33699999999999</v>
          </cell>
          <cell r="M80">
            <v>243.27500000000001</v>
          </cell>
          <cell r="N80">
            <v>0.93700000000000006</v>
          </cell>
        </row>
        <row r="81">
          <cell r="A81" t="str">
            <v>7344 КОНСЕРВЫ МЯС.ГОВЯДИНА ТУШ. В/С 338г_ЧЗ  ОСТАНКИНО</v>
          </cell>
          <cell r="D81" t="str">
            <v>шт</v>
          </cell>
          <cell r="F81">
            <v>31</v>
          </cell>
          <cell r="H81">
            <v>1</v>
          </cell>
          <cell r="I81">
            <v>4</v>
          </cell>
          <cell r="J81">
            <v>28</v>
          </cell>
          <cell r="K81">
            <v>10.478</v>
          </cell>
          <cell r="L81">
            <v>0.33800000000000002</v>
          </cell>
          <cell r="M81">
            <v>1.3520000000000001</v>
          </cell>
          <cell r="N81">
            <v>9.4640000000000004</v>
          </cell>
        </row>
        <row r="82">
          <cell r="A82" t="str">
            <v>7345 КОНСЕРВЫ МЯС.СВИНИНА ТУШ. В/С 325г_ЧЗ  ОСТАНКИНО</v>
          </cell>
          <cell r="D82" t="str">
            <v>шт</v>
          </cell>
          <cell r="F82">
            <v>71</v>
          </cell>
          <cell r="H82">
            <v>1</v>
          </cell>
          <cell r="I82">
            <v>3</v>
          </cell>
          <cell r="J82">
            <v>69</v>
          </cell>
          <cell r="K82">
            <v>23.074999999999999</v>
          </cell>
          <cell r="L82">
            <v>0.32500000000000001</v>
          </cell>
          <cell r="M82">
            <v>0.97499999999999998</v>
          </cell>
          <cell r="N82">
            <v>22.425000000000001</v>
          </cell>
        </row>
        <row r="83">
          <cell r="A83" t="str">
            <v>7382  САЛЯМИ МЕЛКОЗЕРНЕНАЯ с/к в/у1/120 8шт.  ОСТАНКИНО</v>
          </cell>
          <cell r="D83" t="str">
            <v>шт</v>
          </cell>
          <cell r="F83">
            <v>622</v>
          </cell>
          <cell r="H83">
            <v>9</v>
          </cell>
          <cell r="I83">
            <v>173</v>
          </cell>
          <cell r="J83">
            <v>458</v>
          </cell>
          <cell r="K83">
            <v>74.64</v>
          </cell>
          <cell r="L83">
            <v>1.08</v>
          </cell>
          <cell r="M83">
            <v>20.76</v>
          </cell>
          <cell r="N83">
            <v>54.96</v>
          </cell>
        </row>
        <row r="84">
          <cell r="A84" t="str">
            <v>7386 БАРСЕЛОНА ПМ с/к в/у 1/150  ОСТАНКИНО</v>
          </cell>
          <cell r="D84" t="str">
            <v>шт</v>
          </cell>
          <cell r="F84">
            <v>79</v>
          </cell>
          <cell r="H84">
            <v>86</v>
          </cell>
          <cell r="I84">
            <v>155</v>
          </cell>
          <cell r="J84">
            <v>10</v>
          </cell>
          <cell r="K84">
            <v>11.85</v>
          </cell>
          <cell r="L84">
            <v>12.9</v>
          </cell>
          <cell r="M84">
            <v>23.25</v>
          </cell>
          <cell r="N84">
            <v>1.5</v>
          </cell>
        </row>
        <row r="85">
          <cell r="A85" t="str">
            <v>7399 САЛЯМИ ZHAZIRA ASLAM в/к в/у 0.82кг  ОСТАНКИНО</v>
          </cell>
          <cell r="D85" t="str">
            <v>шт</v>
          </cell>
          <cell r="H85">
            <v>120</v>
          </cell>
          <cell r="I85">
            <v>62</v>
          </cell>
          <cell r="J85">
            <v>58</v>
          </cell>
          <cell r="L85">
            <v>98.4</v>
          </cell>
          <cell r="M85">
            <v>50.84</v>
          </cell>
          <cell r="N85">
            <v>47.56</v>
          </cell>
        </row>
        <row r="86">
          <cell r="A86" t="str">
            <v>7408 МОЛОЧНАЯ ASLAM сос п/о мгс 0.41кг  ОСТАНКИНО</v>
          </cell>
          <cell r="D86" t="str">
            <v>шт</v>
          </cell>
          <cell r="H86">
            <v>300</v>
          </cell>
          <cell r="I86">
            <v>38</v>
          </cell>
          <cell r="J86">
            <v>262</v>
          </cell>
          <cell r="L86">
            <v>123</v>
          </cell>
          <cell r="M86">
            <v>15.58</v>
          </cell>
          <cell r="N86">
            <v>107.42</v>
          </cell>
        </row>
        <row r="87">
          <cell r="A87" t="str">
            <v>7456 САЛЯМИ ФИНСКАЯ Папа может с/к в/у 1/150  ОСТАНКИНО</v>
          </cell>
          <cell r="D87" t="str">
            <v>шт</v>
          </cell>
          <cell r="F87">
            <v>63</v>
          </cell>
          <cell r="H87">
            <v>77</v>
          </cell>
          <cell r="I87">
            <v>140</v>
          </cell>
          <cell r="K87">
            <v>9.4499999999999993</v>
          </cell>
          <cell r="L87">
            <v>11.55</v>
          </cell>
          <cell r="M87">
            <v>21</v>
          </cell>
        </row>
        <row r="88">
          <cell r="A88" t="str">
            <v>7461 ДЛЯ ДЕТЕЙ Папа Может сос п/о мгс 0,33кг ОСТАНКИНО</v>
          </cell>
          <cell r="D88" t="str">
            <v>шт</v>
          </cell>
          <cell r="F88">
            <v>54</v>
          </cell>
          <cell r="H88">
            <v>76</v>
          </cell>
          <cell r="I88">
            <v>111</v>
          </cell>
          <cell r="J88">
            <v>19</v>
          </cell>
          <cell r="K88">
            <v>17.82</v>
          </cell>
          <cell r="L88">
            <v>25.08</v>
          </cell>
          <cell r="M88">
            <v>36.630000000000003</v>
          </cell>
          <cell r="N88">
            <v>6.27</v>
          </cell>
        </row>
        <row r="89">
          <cell r="A89" t="str">
            <v>7485 РИЕТ МЯСНОЙ С ГРИБАМИ ПМ п/о 1/150  ОСТАНКИНО</v>
          </cell>
          <cell r="D89" t="str">
            <v>шт</v>
          </cell>
          <cell r="F89">
            <v>321</v>
          </cell>
          <cell r="H89">
            <v>384</v>
          </cell>
          <cell r="I89">
            <v>515</v>
          </cell>
          <cell r="J89">
            <v>190</v>
          </cell>
          <cell r="K89">
            <v>48.15</v>
          </cell>
          <cell r="L89">
            <v>57.6</v>
          </cell>
          <cell r="M89">
            <v>77.25</v>
          </cell>
          <cell r="N89">
            <v>28.5</v>
          </cell>
        </row>
        <row r="90">
          <cell r="A90" t="str">
            <v>7490 СОЧНЫЙ ГРИЛЬ сос ц/о мгс 0.41кг_Даблпак  ОСТАНКИНО</v>
          </cell>
          <cell r="D90" t="str">
            <v>шт</v>
          </cell>
          <cell r="H90">
            <v>80</v>
          </cell>
          <cell r="I90">
            <v>79</v>
          </cell>
          <cell r="J90">
            <v>1</v>
          </cell>
          <cell r="L90">
            <v>32.799999999999997</v>
          </cell>
          <cell r="M90">
            <v>32.39</v>
          </cell>
          <cell r="N90">
            <v>0.41</v>
          </cell>
        </row>
        <row r="91">
          <cell r="A91" t="str">
            <v>7523 ГОВЯЖЬЯ Папа Может вар п/о 0,4кг 6шт. ОСТАНКИНО</v>
          </cell>
          <cell r="D91" t="str">
            <v>шт</v>
          </cell>
          <cell r="F91">
            <v>121</v>
          </cell>
          <cell r="H91">
            <v>128</v>
          </cell>
          <cell r="I91">
            <v>146</v>
          </cell>
          <cell r="J91">
            <v>103</v>
          </cell>
          <cell r="K91">
            <v>48.4</v>
          </cell>
          <cell r="L91">
            <v>51.2</v>
          </cell>
          <cell r="M91">
            <v>58.4</v>
          </cell>
          <cell r="N91">
            <v>41.2</v>
          </cell>
        </row>
        <row r="92">
          <cell r="A92" t="str">
            <v>7603 БАЛЫКОВАЯ в/к в/у 0.33кг 8шт. ОСТАНКИНО</v>
          </cell>
          <cell r="D92" t="str">
            <v>шт</v>
          </cell>
          <cell r="F92">
            <v>233</v>
          </cell>
          <cell r="H92">
            <v>28</v>
          </cell>
          <cell r="I92">
            <v>160</v>
          </cell>
          <cell r="J92">
            <v>101</v>
          </cell>
          <cell r="K92">
            <v>76.89</v>
          </cell>
          <cell r="L92">
            <v>9.24</v>
          </cell>
          <cell r="M92">
            <v>52.8</v>
          </cell>
          <cell r="N92">
            <v>33.33</v>
          </cell>
        </row>
        <row r="93">
          <cell r="A93" t="str">
            <v>7613 АРОМАТНАЯ с/к с/н в/у 1/100 10шт_Л10  ОСТАНКИНО</v>
          </cell>
          <cell r="D93" t="str">
            <v>шт</v>
          </cell>
          <cell r="F93">
            <v>452</v>
          </cell>
          <cell r="H93">
            <v>137</v>
          </cell>
          <cell r="I93">
            <v>394</v>
          </cell>
          <cell r="J93">
            <v>195</v>
          </cell>
          <cell r="K93">
            <v>45.2</v>
          </cell>
          <cell r="L93">
            <v>13.7</v>
          </cell>
          <cell r="M93">
            <v>39.4</v>
          </cell>
          <cell r="N93">
            <v>19.5</v>
          </cell>
        </row>
        <row r="94">
          <cell r="A94" t="str">
            <v>7616 ЭКСТРА Папа может с/к с/н в/у 1/100_  ОСТАНКИНО</v>
          </cell>
          <cell r="D94" t="str">
            <v>шт</v>
          </cell>
          <cell r="F94">
            <v>232</v>
          </cell>
          <cell r="H94">
            <v>816</v>
          </cell>
          <cell r="I94">
            <v>462</v>
          </cell>
          <cell r="J94">
            <v>586</v>
          </cell>
          <cell r="K94">
            <v>23.2</v>
          </cell>
          <cell r="L94">
            <v>81.599999999999994</v>
          </cell>
          <cell r="M94">
            <v>46.2</v>
          </cell>
          <cell r="N94">
            <v>58.6</v>
          </cell>
        </row>
        <row r="95">
          <cell r="A95" t="str">
            <v>7632 ЭКСТРА Папа может вар п/о 0.4кг 8шт_195к  ОСТАНКИНО</v>
          </cell>
          <cell r="D95" t="str">
            <v>шт</v>
          </cell>
          <cell r="F95">
            <v>231</v>
          </cell>
          <cell r="H95">
            <v>203</v>
          </cell>
          <cell r="I95">
            <v>252</v>
          </cell>
          <cell r="J95">
            <v>182</v>
          </cell>
          <cell r="K95">
            <v>92.4</v>
          </cell>
          <cell r="L95">
            <v>81.2</v>
          </cell>
          <cell r="M95">
            <v>100.8</v>
          </cell>
          <cell r="N95">
            <v>72.8</v>
          </cell>
        </row>
        <row r="96">
          <cell r="A96" t="str">
            <v>7647 ХОЧУ ВЕТЧ.ИЗ СВ.ОТРУБА с/н мгс 1/100_Л11  ОСТАНКИНО</v>
          </cell>
          <cell r="D96" t="str">
            <v>шт</v>
          </cell>
          <cell r="F96">
            <v>-1</v>
          </cell>
          <cell r="H96">
            <v>1</v>
          </cell>
          <cell r="K96">
            <v>-0.1</v>
          </cell>
          <cell r="L96">
            <v>0.1</v>
          </cell>
        </row>
        <row r="97">
          <cell r="A97" t="str">
            <v>7651 ХОЧУ ВЕТЧ.МРАМОР. ПМ с/н мгс 1/100_Л11  ОСТАНКИНО</v>
          </cell>
          <cell r="D97" t="str">
            <v>шт</v>
          </cell>
          <cell r="F97">
            <v>138</v>
          </cell>
          <cell r="I97">
            <v>134</v>
          </cell>
          <cell r="J97">
            <v>4</v>
          </cell>
          <cell r="K97">
            <v>13.8</v>
          </cell>
          <cell r="M97">
            <v>13.4</v>
          </cell>
          <cell r="N97">
            <v>0.4</v>
          </cell>
        </row>
        <row r="98">
          <cell r="A98" t="str">
            <v>7700 ЛИТОВСКАЯ с/к в/у</v>
          </cell>
          <cell r="D98" t="str">
            <v>кг</v>
          </cell>
          <cell r="F98">
            <v>70.403999999999996</v>
          </cell>
          <cell r="J98">
            <v>70.403999999999996</v>
          </cell>
          <cell r="K98">
            <v>70.403999999999996</v>
          </cell>
          <cell r="N98">
            <v>70.403999999999996</v>
          </cell>
        </row>
        <row r="99">
          <cell r="A99" t="str">
            <v>7710 КРАКОВСКАЯ ГОСТ п/к н/о мгс 0.3кг  ОСТАНКИНО</v>
          </cell>
          <cell r="D99" t="str">
            <v>шт</v>
          </cell>
          <cell r="F99">
            <v>-1</v>
          </cell>
          <cell r="H99">
            <v>201</v>
          </cell>
          <cell r="I99">
            <v>17</v>
          </cell>
          <cell r="J99">
            <v>183</v>
          </cell>
          <cell r="K99">
            <v>-0.3</v>
          </cell>
          <cell r="L99">
            <v>60.3</v>
          </cell>
          <cell r="M99">
            <v>5.0999999999999996</v>
          </cell>
          <cell r="N99">
            <v>54.9</v>
          </cell>
        </row>
        <row r="100">
          <cell r="A100" t="str">
            <v>7725 ВЕТ.МРАМОРНАЯ в/у срез 0.3кг 6шт_62  ОСТАНКИНО</v>
          </cell>
          <cell r="D100" t="str">
            <v>шт</v>
          </cell>
          <cell r="F100">
            <v>450</v>
          </cell>
          <cell r="H100">
            <v>237</v>
          </cell>
          <cell r="I100">
            <v>393</v>
          </cell>
          <cell r="J100">
            <v>294</v>
          </cell>
          <cell r="K100">
            <v>135</v>
          </cell>
          <cell r="L100">
            <v>71.099999999999994</v>
          </cell>
          <cell r="M100">
            <v>117.9</v>
          </cell>
          <cell r="N100">
            <v>88.2</v>
          </cell>
        </row>
        <row r="101">
          <cell r="A101" t="str">
            <v>7730 ХОЧУ ВЕТЧ.ИЗ СВ.ОТРУБА мгс 1/100_45с_Л11  ОСТАНКИНО</v>
          </cell>
          <cell r="D101" t="str">
            <v>шт</v>
          </cell>
          <cell r="F101">
            <v>152</v>
          </cell>
          <cell r="H101">
            <v>27</v>
          </cell>
          <cell r="I101">
            <v>136</v>
          </cell>
          <cell r="J101">
            <v>43</v>
          </cell>
          <cell r="K101">
            <v>15.2</v>
          </cell>
          <cell r="L101">
            <v>2.7</v>
          </cell>
          <cell r="M101">
            <v>13.6</v>
          </cell>
          <cell r="N101">
            <v>4.3</v>
          </cell>
        </row>
        <row r="102">
          <cell r="A102" t="str">
            <v>7731 ХОЧУ ВЕТЧ. МРАМОР. с/н мгс 1/100_45с_Л11  ОСТАНКИНО</v>
          </cell>
          <cell r="D102" t="str">
            <v>шт</v>
          </cell>
          <cell r="F102">
            <v>-31</v>
          </cell>
          <cell r="H102">
            <v>39</v>
          </cell>
          <cell r="I102">
            <v>12</v>
          </cell>
          <cell r="J102">
            <v>-4</v>
          </cell>
          <cell r="K102">
            <v>-3.1</v>
          </cell>
          <cell r="L102">
            <v>3.9</v>
          </cell>
          <cell r="M102">
            <v>1.2</v>
          </cell>
          <cell r="N102">
            <v>-0.4</v>
          </cell>
        </row>
        <row r="103">
          <cell r="A103" t="str">
            <v>8014 ДОКТОРСКАЯ ПРЕМИУМ вар п/о(п)    ОСТАНКИНО</v>
          </cell>
          <cell r="D103" t="str">
            <v>кг</v>
          </cell>
          <cell r="F103">
            <v>89.744</v>
          </cell>
          <cell r="H103">
            <v>9.9429999999999996</v>
          </cell>
          <cell r="I103">
            <v>79.781000000000006</v>
          </cell>
          <cell r="J103">
            <v>19.905999999999999</v>
          </cell>
          <cell r="K103">
            <v>89.744</v>
          </cell>
          <cell r="L103">
            <v>9.9429999999999996</v>
          </cell>
          <cell r="M103">
            <v>79.781000000000006</v>
          </cell>
          <cell r="N103">
            <v>19.905999999999999</v>
          </cell>
        </row>
        <row r="104">
          <cell r="A104" t="str">
            <v>А_6929 КАРБОНАД ДОМАШНИЙ ПМ к/в кр/к в/у  ОСТАНКИНО</v>
          </cell>
          <cell r="D104" t="str">
            <v>кг</v>
          </cell>
          <cell r="F104">
            <v>1.7130000000000001</v>
          </cell>
          <cell r="I104">
            <v>1.7130000000000001</v>
          </cell>
          <cell r="K104">
            <v>1.7130000000000001</v>
          </cell>
          <cell r="M104">
            <v>1.7130000000000001</v>
          </cell>
        </row>
        <row r="105">
          <cell r="A105" t="str">
            <v>А_7001 КЛАССИЧЕСКИЕ Папа может сар б/о мгс 1*3  Останкино</v>
          </cell>
          <cell r="D105" t="str">
            <v>кг</v>
          </cell>
          <cell r="H105">
            <v>6.9379999999999997</v>
          </cell>
          <cell r="I105">
            <v>6.9379999999999997</v>
          </cell>
          <cell r="L105">
            <v>6.9379999999999997</v>
          </cell>
          <cell r="M105">
            <v>6.9379999999999997</v>
          </cell>
        </row>
        <row r="106">
          <cell r="A106" t="str">
            <v>Итого</v>
          </cell>
          <cell r="K106">
            <v>12034.183000000001</v>
          </cell>
          <cell r="L106">
            <v>5599.942</v>
          </cell>
          <cell r="M106">
            <v>11339.284</v>
          </cell>
          <cell r="N106">
            <v>6294.8410000000003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N1423"/>
  <sheetViews>
    <sheetView tabSelected="1" topLeftCell="A17" workbookViewId="0">
      <selection activeCell="AP1437" sqref="AP1437"/>
    </sheetView>
  </sheetViews>
  <sheetFormatPr defaultColWidth="10.33203125" defaultRowHeight="11.25" outlineLevelRow="2" x14ac:dyDescent="0.2"/>
  <cols>
    <col min="1" max="1" width="9.5" customWidth="1"/>
    <col min="2" max="2" width="1" customWidth="1"/>
    <col min="3" max="3" width="4.1640625" customWidth="1"/>
    <col min="4" max="4" width="5.33203125" customWidth="1"/>
    <col min="5" max="5" width="15.1640625" customWidth="1"/>
    <col min="6" max="6" width="0.33203125" customWidth="1"/>
    <col min="7" max="7" width="5.5" customWidth="1"/>
    <col min="8" max="8" width="8.1640625" customWidth="1"/>
    <col min="9" max="9" width="3.1640625" customWidth="1"/>
    <col min="10" max="10" width="1.1640625" customWidth="1"/>
    <col min="11" max="11" width="5.5" customWidth="1"/>
    <col min="12" max="12" width="2.33203125" customWidth="1"/>
    <col min="13" max="13" width="4.1640625" customWidth="1"/>
    <col min="14" max="14" width="1.33203125" customWidth="1"/>
    <col min="15" max="15" width="1.6640625" customWidth="1"/>
    <col min="16" max="16" width="4.83203125" hidden="1" customWidth="1"/>
    <col min="17" max="17" width="0.5" hidden="1" customWidth="1"/>
    <col min="18" max="18" width="1.1640625" hidden="1" customWidth="1"/>
    <col min="19" max="19" width="0.6640625" hidden="1" customWidth="1"/>
    <col min="20" max="20" width="3.33203125" hidden="1" customWidth="1"/>
    <col min="21" max="21" width="0.83203125" hidden="1" customWidth="1"/>
    <col min="22" max="22" width="2" hidden="1" customWidth="1"/>
    <col min="23" max="23" width="3.5" hidden="1" customWidth="1"/>
    <col min="24" max="24" width="3.6640625" hidden="1" customWidth="1"/>
    <col min="25" max="25" width="0.1640625" hidden="1" customWidth="1"/>
    <col min="26" max="26" width="5.1640625" hidden="1" customWidth="1"/>
    <col min="27" max="27" width="1.83203125" hidden="1" customWidth="1"/>
    <col min="28" max="28" width="2.6640625" hidden="1" customWidth="1"/>
    <col min="29" max="29" width="4.5" hidden="1" customWidth="1"/>
    <col min="30" max="30" width="0.33203125" hidden="1" customWidth="1"/>
    <col min="31" max="31" width="2.83203125" hidden="1" customWidth="1"/>
    <col min="32" max="32" width="4.1640625" hidden="1" customWidth="1"/>
    <col min="33" max="33" width="2.5" customWidth="1"/>
    <col min="34" max="34" width="2.6640625" customWidth="1"/>
    <col min="35" max="35" width="2" customWidth="1"/>
    <col min="36" max="36" width="5" customWidth="1"/>
    <col min="37" max="37" width="15.1640625" customWidth="1"/>
    <col min="38" max="38" width="11.6640625" customWidth="1"/>
    <col min="39" max="39" width="45.6640625" bestFit="1" customWidth="1"/>
  </cols>
  <sheetData>
    <row r="1" spans="1:31" ht="10.15" hidden="1" customHeight="1" collapsed="1" x14ac:dyDescent="0.2"/>
    <row r="2" spans="1:31" ht="12.75" hidden="1" customHeight="1" outlineLevel="1" x14ac:dyDescent="0.2">
      <c r="A2" s="1" t="s">
        <v>0</v>
      </c>
      <c r="B2" s="1"/>
      <c r="C2" s="1"/>
      <c r="D2" s="1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31" ht="24.75" hidden="1" customHeight="1" outlineLevel="1" x14ac:dyDescent="0.2">
      <c r="A3" s="1" t="s">
        <v>2</v>
      </c>
      <c r="B3" s="1"/>
      <c r="C3" s="1"/>
      <c r="D3" s="44" t="s">
        <v>3</v>
      </c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</row>
    <row r="4" spans="1:31" ht="10.15" hidden="1" customHeight="1" x14ac:dyDescent="0.2"/>
    <row r="5" spans="1:31" ht="21" hidden="1" customHeight="1" x14ac:dyDescent="0.2">
      <c r="A5" s="2" t="s">
        <v>4</v>
      </c>
      <c r="B5" s="2"/>
      <c r="C5" s="2"/>
      <c r="D5" s="2"/>
      <c r="E5" s="2"/>
      <c r="F5" s="2"/>
    </row>
    <row r="6" spans="1:31" ht="10.15" hidden="1" customHeight="1" x14ac:dyDescent="0.2"/>
    <row r="7" spans="1:31" ht="10.15" hidden="1" customHeight="1" x14ac:dyDescent="0.2"/>
    <row r="8" spans="1:31" ht="12.75" hidden="1" customHeight="1" x14ac:dyDescent="0.2">
      <c r="A8" s="45" t="s">
        <v>5</v>
      </c>
      <c r="B8" s="45"/>
      <c r="C8" s="45"/>
      <c r="D8" s="45"/>
      <c r="E8" s="45"/>
      <c r="F8" s="52" t="s">
        <v>6</v>
      </c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</row>
    <row r="9" spans="1:31" ht="12.75" hidden="1" customHeight="1" x14ac:dyDescent="0.2">
      <c r="A9" s="46"/>
      <c r="B9" s="47"/>
      <c r="C9" s="47"/>
      <c r="D9" s="47"/>
      <c r="E9" s="48"/>
      <c r="F9" s="52" t="s">
        <v>7</v>
      </c>
      <c r="G9" s="52"/>
      <c r="H9" s="52"/>
      <c r="I9" s="3" t="s">
        <v>8</v>
      </c>
      <c r="J9" s="52" t="s">
        <v>9</v>
      </c>
      <c r="K9" s="52"/>
      <c r="L9" s="52"/>
      <c r="M9" s="52"/>
      <c r="N9" s="52"/>
      <c r="O9" s="45" t="s">
        <v>10</v>
      </c>
      <c r="P9" s="45"/>
      <c r="Q9" s="45"/>
      <c r="R9" s="45"/>
      <c r="S9" s="45"/>
      <c r="T9" s="45"/>
    </row>
    <row r="10" spans="1:31" ht="24.75" hidden="1" customHeight="1" x14ac:dyDescent="0.2">
      <c r="A10" s="49"/>
      <c r="B10" s="50"/>
      <c r="C10" s="50"/>
      <c r="D10" s="50"/>
      <c r="E10" s="51"/>
      <c r="F10" s="53" t="s">
        <v>11</v>
      </c>
      <c r="G10" s="53"/>
      <c r="H10" s="53"/>
      <c r="I10" s="4" t="s">
        <v>12</v>
      </c>
      <c r="J10" s="53" t="s">
        <v>13</v>
      </c>
      <c r="K10" s="53"/>
      <c r="L10" s="53"/>
      <c r="M10" s="53"/>
      <c r="N10" s="53"/>
      <c r="O10" s="49"/>
      <c r="P10" s="50"/>
      <c r="Q10" s="50"/>
      <c r="R10" s="50"/>
      <c r="S10" s="50"/>
      <c r="T10" s="51"/>
    </row>
    <row r="11" spans="1:31" ht="11.25" hidden="1" customHeight="1" x14ac:dyDescent="0.2">
      <c r="A11" s="39" t="s">
        <v>14</v>
      </c>
      <c r="B11" s="39"/>
      <c r="C11" s="39"/>
      <c r="D11" s="39"/>
      <c r="E11" s="39"/>
      <c r="F11" s="40">
        <v>3061.66</v>
      </c>
      <c r="G11" s="40"/>
      <c r="H11" s="40"/>
      <c r="I11" s="5">
        <v>3014.81</v>
      </c>
      <c r="J11" s="41">
        <v>46.85</v>
      </c>
      <c r="K11" s="41"/>
      <c r="L11" s="41"/>
      <c r="M11" s="41"/>
      <c r="N11" s="41"/>
      <c r="O11" s="41">
        <v>50.15</v>
      </c>
      <c r="P11" s="41"/>
      <c r="Q11" s="41"/>
      <c r="R11" s="41"/>
      <c r="S11" s="41"/>
      <c r="T11" s="41"/>
    </row>
    <row r="12" spans="1:31" ht="11.25" hidden="1" customHeight="1" x14ac:dyDescent="0.2">
      <c r="A12" s="39" t="s">
        <v>15</v>
      </c>
      <c r="B12" s="39"/>
      <c r="C12" s="39"/>
      <c r="D12" s="39"/>
      <c r="E12" s="39"/>
      <c r="F12" s="42">
        <v>2934.8</v>
      </c>
      <c r="G12" s="42"/>
      <c r="H12" s="42"/>
      <c r="I12" s="6">
        <v>2724.241</v>
      </c>
      <c r="J12" s="43">
        <v>210.559</v>
      </c>
      <c r="K12" s="43"/>
      <c r="L12" s="43"/>
      <c r="M12" s="43"/>
      <c r="N12" s="43"/>
      <c r="O12" s="41">
        <v>281.45</v>
      </c>
      <c r="P12" s="41"/>
      <c r="Q12" s="41"/>
      <c r="R12" s="41"/>
      <c r="S12" s="41"/>
      <c r="T12" s="41"/>
    </row>
    <row r="13" spans="1:31" ht="11.25" hidden="1" customHeight="1" x14ac:dyDescent="0.2">
      <c r="A13" s="39" t="s">
        <v>16</v>
      </c>
      <c r="B13" s="39"/>
      <c r="C13" s="39"/>
      <c r="D13" s="39"/>
      <c r="E13" s="39"/>
      <c r="F13" s="43">
        <v>118.224</v>
      </c>
      <c r="G13" s="43"/>
      <c r="H13" s="43"/>
      <c r="I13" s="7">
        <v>114.735</v>
      </c>
      <c r="J13" s="43">
        <v>3.4889999999999999</v>
      </c>
      <c r="K13" s="43"/>
      <c r="L13" s="43"/>
      <c r="M13" s="43"/>
      <c r="N13" s="43"/>
      <c r="O13" s="43">
        <v>4.4939999999999998</v>
      </c>
      <c r="P13" s="43"/>
      <c r="Q13" s="43"/>
      <c r="R13" s="43"/>
      <c r="S13" s="43"/>
      <c r="T13" s="43"/>
    </row>
    <row r="14" spans="1:31" ht="11.25" hidden="1" customHeight="1" x14ac:dyDescent="0.2">
      <c r="A14" s="39" t="s">
        <v>17</v>
      </c>
      <c r="B14" s="39"/>
      <c r="C14" s="39"/>
      <c r="D14" s="39"/>
      <c r="E14" s="39"/>
      <c r="F14" s="56">
        <v>13502.815000000001</v>
      </c>
      <c r="G14" s="56"/>
      <c r="H14" s="56"/>
      <c r="I14" s="6">
        <v>13696.475</v>
      </c>
      <c r="J14" s="41">
        <v>-193.66</v>
      </c>
      <c r="K14" s="41"/>
      <c r="L14" s="41"/>
      <c r="M14" s="41"/>
      <c r="N14" s="41"/>
      <c r="O14" s="43">
        <v>180.648</v>
      </c>
      <c r="P14" s="43"/>
      <c r="Q14" s="43"/>
      <c r="R14" s="43"/>
      <c r="S14" s="43"/>
      <c r="T14" s="43"/>
    </row>
    <row r="15" spans="1:31" ht="12.75" hidden="1" customHeight="1" x14ac:dyDescent="0.2">
      <c r="A15" s="52" t="s">
        <v>6</v>
      </c>
      <c r="B15" s="52"/>
      <c r="C15" s="52"/>
      <c r="D15" s="52"/>
      <c r="E15" s="52"/>
      <c r="F15" s="54">
        <v>19617.499</v>
      </c>
      <c r="G15" s="54"/>
      <c r="H15" s="54"/>
      <c r="I15" s="8">
        <v>19550.260999999999</v>
      </c>
      <c r="J15" s="55">
        <v>67.238</v>
      </c>
      <c r="K15" s="55"/>
      <c r="L15" s="55"/>
      <c r="M15" s="55"/>
      <c r="N15" s="55"/>
      <c r="O15" s="55">
        <v>516.74199999999996</v>
      </c>
      <c r="P15" s="55"/>
      <c r="Q15" s="55"/>
      <c r="R15" s="55"/>
      <c r="S15" s="55"/>
      <c r="T15" s="55"/>
    </row>
    <row r="16" spans="1:31" ht="10.15" hidden="1" customHeight="1" x14ac:dyDescent="0.2"/>
    <row r="17" spans="1:38" ht="12.75" customHeight="1" x14ac:dyDescent="0.2">
      <c r="A17" s="45" t="s">
        <v>18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53" t="s">
        <v>7</v>
      </c>
      <c r="Q17" s="53"/>
      <c r="R17" s="53"/>
      <c r="S17" s="53"/>
      <c r="T17" s="53"/>
      <c r="U17" s="53"/>
      <c r="V17" s="53"/>
      <c r="W17" s="53" t="s">
        <v>8</v>
      </c>
      <c r="X17" s="53"/>
      <c r="Y17" s="53"/>
      <c r="Z17" s="53"/>
      <c r="AA17" s="53"/>
      <c r="AB17" s="53" t="s">
        <v>9</v>
      </c>
      <c r="AC17" s="53"/>
      <c r="AD17" s="53"/>
      <c r="AE17" s="53"/>
      <c r="AF17" s="53"/>
      <c r="AG17" s="45" t="s">
        <v>10</v>
      </c>
      <c r="AH17" s="45"/>
      <c r="AI17" s="45"/>
      <c r="AJ17" s="45"/>
    </row>
    <row r="18" spans="1:38" ht="24.75" customHeight="1" x14ac:dyDescent="0.2">
      <c r="A18" s="49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1"/>
      <c r="P18" s="53" t="s">
        <v>11</v>
      </c>
      <c r="Q18" s="53"/>
      <c r="R18" s="53"/>
      <c r="S18" s="53"/>
      <c r="T18" s="53"/>
      <c r="U18" s="53"/>
      <c r="V18" s="53"/>
      <c r="W18" s="53" t="s">
        <v>12</v>
      </c>
      <c r="X18" s="53"/>
      <c r="Y18" s="53"/>
      <c r="Z18" s="53"/>
      <c r="AA18" s="53"/>
      <c r="AB18" s="53" t="s">
        <v>13</v>
      </c>
      <c r="AC18" s="53"/>
      <c r="AD18" s="53"/>
      <c r="AE18" s="53"/>
      <c r="AF18" s="53"/>
      <c r="AG18" s="49"/>
      <c r="AH18" s="50"/>
      <c r="AI18" s="50"/>
      <c r="AJ18" s="51"/>
      <c r="AL18" t="s">
        <v>897</v>
      </c>
    </row>
    <row r="19" spans="1:38" ht="11.25" hidden="1" customHeight="1" x14ac:dyDescent="0.2">
      <c r="A19" s="60" t="s">
        <v>19</v>
      </c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1">
        <v>3055.0740000000001</v>
      </c>
      <c r="Q19" s="61"/>
      <c r="R19" s="61"/>
      <c r="S19" s="61"/>
      <c r="T19" s="61"/>
      <c r="U19" s="61"/>
      <c r="V19" s="61"/>
      <c r="W19" s="61">
        <v>2838.9760000000001</v>
      </c>
      <c r="X19" s="61"/>
      <c r="Y19" s="61"/>
      <c r="Z19" s="61"/>
      <c r="AA19" s="61"/>
      <c r="AB19" s="62">
        <v>216.09800000000001</v>
      </c>
      <c r="AC19" s="62"/>
      <c r="AD19" s="62"/>
      <c r="AE19" s="62"/>
      <c r="AF19" s="62"/>
      <c r="AG19" s="62">
        <v>287.99400000000003</v>
      </c>
      <c r="AH19" s="62"/>
      <c r="AI19" s="62"/>
      <c r="AJ19" s="62"/>
    </row>
    <row r="20" spans="1:38" ht="11.25" hidden="1" customHeight="1" outlineLevel="1" x14ac:dyDescent="0.2">
      <c r="A20" s="63" t="s">
        <v>20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4">
        <v>1628.15</v>
      </c>
      <c r="Q20" s="64"/>
      <c r="R20" s="64"/>
      <c r="S20" s="64"/>
      <c r="T20" s="64"/>
      <c r="U20" s="64"/>
      <c r="V20" s="64"/>
      <c r="W20" s="61">
        <v>1592.4259999999999</v>
      </c>
      <c r="X20" s="61"/>
      <c r="Y20" s="61"/>
      <c r="Z20" s="61"/>
      <c r="AA20" s="61"/>
      <c r="AB20" s="62">
        <v>35.723999999999997</v>
      </c>
      <c r="AC20" s="62"/>
      <c r="AD20" s="62"/>
      <c r="AE20" s="62"/>
      <c r="AF20" s="62"/>
      <c r="AG20" s="65">
        <v>103.87</v>
      </c>
      <c r="AH20" s="65"/>
      <c r="AI20" s="65"/>
      <c r="AJ20" s="65"/>
    </row>
    <row r="21" spans="1:38" ht="11.25" hidden="1" customHeight="1" outlineLevel="2" x14ac:dyDescent="0.2">
      <c r="A21" s="57" t="s">
        <v>21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8">
        <v>1</v>
      </c>
      <c r="Q21" s="58"/>
      <c r="R21" s="58"/>
      <c r="S21" s="58"/>
      <c r="T21" s="58"/>
      <c r="U21" s="58"/>
      <c r="V21" s="58"/>
      <c r="W21" s="43">
        <v>1.0840000000000001</v>
      </c>
      <c r="X21" s="43"/>
      <c r="Y21" s="43"/>
      <c r="Z21" s="43"/>
      <c r="AA21" s="43"/>
      <c r="AB21" s="43">
        <v>-8.4000000000000005E-2</v>
      </c>
      <c r="AC21" s="43"/>
      <c r="AD21" s="43"/>
      <c r="AE21" s="43"/>
      <c r="AF21" s="43"/>
      <c r="AG21" s="9"/>
      <c r="AH21" s="10"/>
      <c r="AI21" s="10"/>
      <c r="AJ21" s="11"/>
    </row>
    <row r="22" spans="1:38" ht="11.25" hidden="1" customHeight="1" outlineLevel="2" x14ac:dyDescent="0.2">
      <c r="A22" s="57" t="s">
        <v>22</v>
      </c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9">
        <v>4.5</v>
      </c>
      <c r="Q22" s="59"/>
      <c r="R22" s="59"/>
      <c r="S22" s="59"/>
      <c r="T22" s="59"/>
      <c r="U22" s="59"/>
      <c r="V22" s="59"/>
      <c r="W22" s="43">
        <v>4.5369999999999999</v>
      </c>
      <c r="X22" s="43"/>
      <c r="Y22" s="43"/>
      <c r="Z22" s="43"/>
      <c r="AA22" s="43"/>
      <c r="AB22" s="43">
        <v>-3.6999999999999998E-2</v>
      </c>
      <c r="AC22" s="43"/>
      <c r="AD22" s="43"/>
      <c r="AE22" s="43"/>
      <c r="AF22" s="43"/>
      <c r="AG22" s="43">
        <v>8.0000000000000002E-3</v>
      </c>
      <c r="AH22" s="43"/>
      <c r="AI22" s="43"/>
      <c r="AJ22" s="43"/>
    </row>
    <row r="23" spans="1:38" ht="11.25" hidden="1" customHeight="1" outlineLevel="2" x14ac:dyDescent="0.2">
      <c r="A23" s="57" t="s">
        <v>23</v>
      </c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41">
        <v>239.25</v>
      </c>
      <c r="Q23" s="41"/>
      <c r="R23" s="41"/>
      <c r="S23" s="41"/>
      <c r="T23" s="41"/>
      <c r="U23" s="41"/>
      <c r="V23" s="41"/>
      <c r="W23" s="43">
        <v>245.08099999999999</v>
      </c>
      <c r="X23" s="43"/>
      <c r="Y23" s="43"/>
      <c r="Z23" s="43"/>
      <c r="AA23" s="43"/>
      <c r="AB23" s="43">
        <v>-5.8310000000000004</v>
      </c>
      <c r="AC23" s="43"/>
      <c r="AD23" s="43"/>
      <c r="AE23" s="43"/>
      <c r="AF23" s="43"/>
      <c r="AG23" s="43">
        <v>1.222</v>
      </c>
      <c r="AH23" s="43"/>
      <c r="AI23" s="43"/>
      <c r="AJ23" s="43"/>
    </row>
    <row r="24" spans="1:38" ht="11.25" hidden="1" customHeight="1" outlineLevel="2" x14ac:dyDescent="0.2">
      <c r="A24" s="57" t="s">
        <v>24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9">
        <v>5.2</v>
      </c>
      <c r="Q24" s="59"/>
      <c r="R24" s="59"/>
      <c r="S24" s="59"/>
      <c r="T24" s="59"/>
      <c r="U24" s="59"/>
      <c r="V24" s="59"/>
      <c r="W24" s="41">
        <v>5.05</v>
      </c>
      <c r="X24" s="41"/>
      <c r="Y24" s="41"/>
      <c r="Z24" s="41"/>
      <c r="AA24" s="41"/>
      <c r="AB24" s="41">
        <v>0.15</v>
      </c>
      <c r="AC24" s="41"/>
      <c r="AD24" s="41"/>
      <c r="AE24" s="41"/>
      <c r="AF24" s="41"/>
      <c r="AG24" s="43">
        <v>0.17399999999999999</v>
      </c>
      <c r="AH24" s="43"/>
      <c r="AI24" s="43"/>
      <c r="AJ24" s="43"/>
    </row>
    <row r="25" spans="1:38" ht="11.25" hidden="1" customHeight="1" outlineLevel="2" x14ac:dyDescent="0.2">
      <c r="A25" s="57" t="s">
        <v>25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9">
        <v>60.8</v>
      </c>
      <c r="Q25" s="59"/>
      <c r="R25" s="59"/>
      <c r="S25" s="59"/>
      <c r="T25" s="59"/>
      <c r="U25" s="59"/>
      <c r="V25" s="59"/>
      <c r="W25" s="43">
        <v>66.102999999999994</v>
      </c>
      <c r="X25" s="43"/>
      <c r="Y25" s="43"/>
      <c r="Z25" s="43"/>
      <c r="AA25" s="43"/>
      <c r="AB25" s="43">
        <v>-5.3029999999999999</v>
      </c>
      <c r="AC25" s="43"/>
      <c r="AD25" s="43"/>
      <c r="AE25" s="43"/>
      <c r="AF25" s="43"/>
      <c r="AG25" s="43">
        <v>1.7999999999999999E-2</v>
      </c>
      <c r="AH25" s="43"/>
      <c r="AI25" s="43"/>
      <c r="AJ25" s="43"/>
    </row>
    <row r="26" spans="1:38" ht="11.25" hidden="1" customHeight="1" outlineLevel="2" x14ac:dyDescent="0.2">
      <c r="A26" s="57" t="s">
        <v>26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41">
        <v>91.65</v>
      </c>
      <c r="Q26" s="41"/>
      <c r="R26" s="41"/>
      <c r="S26" s="41"/>
      <c r="T26" s="41"/>
      <c r="U26" s="41"/>
      <c r="V26" s="41"/>
      <c r="W26" s="43">
        <v>95.093000000000004</v>
      </c>
      <c r="X26" s="43"/>
      <c r="Y26" s="43"/>
      <c r="Z26" s="43"/>
      <c r="AA26" s="43"/>
      <c r="AB26" s="43">
        <v>-3.4430000000000001</v>
      </c>
      <c r="AC26" s="43"/>
      <c r="AD26" s="43"/>
      <c r="AE26" s="43"/>
      <c r="AF26" s="43"/>
      <c r="AG26" s="9"/>
      <c r="AH26" s="10"/>
      <c r="AI26" s="10"/>
      <c r="AJ26" s="11"/>
    </row>
    <row r="27" spans="1:38" ht="11.25" hidden="1" customHeight="1" outlineLevel="2" x14ac:dyDescent="0.2">
      <c r="A27" s="57" t="s">
        <v>27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9">
        <v>37.1</v>
      </c>
      <c r="Q27" s="59"/>
      <c r="R27" s="59"/>
      <c r="S27" s="59"/>
      <c r="T27" s="59"/>
      <c r="U27" s="59"/>
      <c r="V27" s="59"/>
      <c r="W27" s="43">
        <v>38.901000000000003</v>
      </c>
      <c r="X27" s="43"/>
      <c r="Y27" s="43"/>
      <c r="Z27" s="43"/>
      <c r="AA27" s="43"/>
      <c r="AB27" s="43">
        <v>-1.8009999999999999</v>
      </c>
      <c r="AC27" s="43"/>
      <c r="AD27" s="43"/>
      <c r="AE27" s="43"/>
      <c r="AF27" s="43"/>
      <c r="AG27" s="9"/>
      <c r="AH27" s="10"/>
      <c r="AI27" s="10"/>
      <c r="AJ27" s="11"/>
    </row>
    <row r="28" spans="1:38" ht="11.25" hidden="1" customHeight="1" outlineLevel="2" x14ac:dyDescent="0.2">
      <c r="A28" s="57" t="s">
        <v>28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9">
        <v>84.6</v>
      </c>
      <c r="Q28" s="59"/>
      <c r="R28" s="59"/>
      <c r="S28" s="59"/>
      <c r="T28" s="59"/>
      <c r="U28" s="59"/>
      <c r="V28" s="59"/>
      <c r="W28" s="43">
        <v>87.221000000000004</v>
      </c>
      <c r="X28" s="43"/>
      <c r="Y28" s="43"/>
      <c r="Z28" s="43"/>
      <c r="AA28" s="43"/>
      <c r="AB28" s="43">
        <v>-2.621</v>
      </c>
      <c r="AC28" s="43"/>
      <c r="AD28" s="43"/>
      <c r="AE28" s="43"/>
      <c r="AF28" s="43"/>
      <c r="AG28" s="41">
        <v>0.03</v>
      </c>
      <c r="AH28" s="41"/>
      <c r="AI28" s="41"/>
      <c r="AJ28" s="41"/>
    </row>
    <row r="29" spans="1:38" ht="11.25" hidden="1" customHeight="1" outlineLevel="2" x14ac:dyDescent="0.2">
      <c r="A29" s="57" t="s">
        <v>29</v>
      </c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8">
        <v>1</v>
      </c>
      <c r="Q29" s="58"/>
      <c r="R29" s="58"/>
      <c r="S29" s="58"/>
      <c r="T29" s="58"/>
      <c r="U29" s="58"/>
      <c r="V29" s="58"/>
      <c r="W29" s="43">
        <v>0.99199999999999999</v>
      </c>
      <c r="X29" s="43"/>
      <c r="Y29" s="43"/>
      <c r="Z29" s="43"/>
      <c r="AA29" s="43"/>
      <c r="AB29" s="43">
        <v>8.0000000000000002E-3</v>
      </c>
      <c r="AC29" s="43"/>
      <c r="AD29" s="43"/>
      <c r="AE29" s="43"/>
      <c r="AF29" s="43"/>
      <c r="AG29" s="43">
        <v>8.0000000000000002E-3</v>
      </c>
      <c r="AH29" s="43"/>
      <c r="AI29" s="43"/>
      <c r="AJ29" s="43"/>
    </row>
    <row r="30" spans="1:38" ht="11.25" hidden="1" customHeight="1" outlineLevel="2" x14ac:dyDescent="0.2">
      <c r="A30" s="57" t="s">
        <v>30</v>
      </c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9">
        <v>142.5</v>
      </c>
      <c r="Q30" s="59"/>
      <c r="R30" s="59"/>
      <c r="S30" s="59"/>
      <c r="T30" s="59"/>
      <c r="U30" s="59"/>
      <c r="V30" s="59"/>
      <c r="W30" s="43">
        <v>146.333</v>
      </c>
      <c r="X30" s="43"/>
      <c r="Y30" s="43"/>
      <c r="Z30" s="43"/>
      <c r="AA30" s="43"/>
      <c r="AB30" s="43">
        <v>-3.8330000000000002</v>
      </c>
      <c r="AC30" s="43"/>
      <c r="AD30" s="43"/>
      <c r="AE30" s="43"/>
      <c r="AF30" s="43"/>
      <c r="AG30" s="9"/>
      <c r="AH30" s="10"/>
      <c r="AI30" s="10"/>
      <c r="AJ30" s="11"/>
    </row>
    <row r="31" spans="1:38" ht="11.25" hidden="1" customHeight="1" outlineLevel="2" x14ac:dyDescent="0.2">
      <c r="A31" s="57" t="s">
        <v>31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9">
        <v>14.7</v>
      </c>
      <c r="Q31" s="59"/>
      <c r="R31" s="59"/>
      <c r="S31" s="59"/>
      <c r="T31" s="59"/>
      <c r="U31" s="59"/>
      <c r="V31" s="59"/>
      <c r="W31" s="43">
        <v>16.666</v>
      </c>
      <c r="X31" s="43"/>
      <c r="Y31" s="43"/>
      <c r="Z31" s="43"/>
      <c r="AA31" s="43"/>
      <c r="AB31" s="43">
        <v>-1.966</v>
      </c>
      <c r="AC31" s="43"/>
      <c r="AD31" s="43"/>
      <c r="AE31" s="43"/>
      <c r="AF31" s="43"/>
      <c r="AG31" s="9"/>
      <c r="AH31" s="10"/>
      <c r="AI31" s="10"/>
      <c r="AJ31" s="11"/>
    </row>
    <row r="32" spans="1:38" ht="11.25" hidden="1" customHeight="1" outlineLevel="2" x14ac:dyDescent="0.2">
      <c r="A32" s="66" t="s">
        <v>32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7">
        <v>65.2</v>
      </c>
      <c r="Q32" s="67"/>
      <c r="R32" s="67"/>
      <c r="S32" s="67"/>
      <c r="T32" s="67"/>
      <c r="U32" s="67"/>
      <c r="V32" s="67"/>
      <c r="W32" s="68">
        <v>67.471000000000004</v>
      </c>
      <c r="X32" s="68"/>
      <c r="Y32" s="68"/>
      <c r="Z32" s="68"/>
      <c r="AA32" s="68"/>
      <c r="AB32" s="68">
        <v>-2.2709999999999999</v>
      </c>
      <c r="AC32" s="68"/>
      <c r="AD32" s="68"/>
      <c r="AE32" s="68"/>
      <c r="AF32" s="68"/>
      <c r="AG32" s="29"/>
      <c r="AH32" s="30"/>
      <c r="AI32" s="30"/>
      <c r="AJ32" s="31"/>
    </row>
    <row r="33" spans="1:39" ht="11.25" customHeight="1" outlineLevel="2" x14ac:dyDescent="0.2">
      <c r="A33" s="69" t="s">
        <v>33</v>
      </c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70">
        <v>57.7</v>
      </c>
      <c r="Q33" s="70"/>
      <c r="R33" s="70"/>
      <c r="S33" s="70"/>
      <c r="T33" s="70"/>
      <c r="U33" s="70"/>
      <c r="V33" s="70"/>
      <c r="W33" s="71">
        <v>25.774999999999999</v>
      </c>
      <c r="X33" s="71"/>
      <c r="Y33" s="71"/>
      <c r="Z33" s="71"/>
      <c r="AA33" s="71"/>
      <c r="AB33" s="71">
        <v>31.925000000000001</v>
      </c>
      <c r="AC33" s="71"/>
      <c r="AD33" s="71"/>
      <c r="AE33" s="71"/>
      <c r="AF33" s="71"/>
      <c r="AG33" s="72">
        <v>32.860999999999997</v>
      </c>
      <c r="AH33" s="72"/>
      <c r="AI33" s="72"/>
      <c r="AJ33" s="72"/>
      <c r="AK33" s="35" t="str">
        <f>VLOOKUP(A33,[1]Sheet!$A:$I,9,0)</f>
        <v>матрица</v>
      </c>
      <c r="AL33" s="35">
        <v>0</v>
      </c>
      <c r="AM33" s="35" t="s">
        <v>895</v>
      </c>
    </row>
    <row r="34" spans="1:39" ht="11.25" hidden="1" customHeight="1" outlineLevel="2" x14ac:dyDescent="0.2">
      <c r="A34" s="69" t="s">
        <v>34</v>
      </c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73">
        <v>16.350000000000001</v>
      </c>
      <c r="Q34" s="73"/>
      <c r="R34" s="73"/>
      <c r="S34" s="73"/>
      <c r="T34" s="73"/>
      <c r="U34" s="73"/>
      <c r="V34" s="73"/>
      <c r="W34" s="71">
        <v>16.152000000000001</v>
      </c>
      <c r="X34" s="71"/>
      <c r="Y34" s="71"/>
      <c r="Z34" s="71"/>
      <c r="AA34" s="71"/>
      <c r="AB34" s="71">
        <v>0.19800000000000001</v>
      </c>
      <c r="AC34" s="71"/>
      <c r="AD34" s="71"/>
      <c r="AE34" s="71"/>
      <c r="AF34" s="71"/>
      <c r="AG34" s="71">
        <v>0.33900000000000002</v>
      </c>
      <c r="AH34" s="71"/>
      <c r="AI34" s="71"/>
      <c r="AJ34" s="71"/>
      <c r="AK34" s="35" t="str">
        <f>VLOOKUP(A34,[1]Sheet!$A:$I,9,0)</f>
        <v>матрица</v>
      </c>
      <c r="AL34" s="35">
        <f>VLOOKUP(A34,[2]TDSheet!$A:$N,14,0)</f>
        <v>207.43700000000001</v>
      </c>
      <c r="AM34" s="35"/>
    </row>
    <row r="35" spans="1:39" ht="11.25" hidden="1" customHeight="1" outlineLevel="2" x14ac:dyDescent="0.2">
      <c r="A35" s="69" t="s">
        <v>35</v>
      </c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70">
        <v>25.5</v>
      </c>
      <c r="Q35" s="70"/>
      <c r="R35" s="70"/>
      <c r="S35" s="70"/>
      <c r="T35" s="70"/>
      <c r="U35" s="70"/>
      <c r="V35" s="70"/>
      <c r="W35" s="71">
        <v>27.103999999999999</v>
      </c>
      <c r="X35" s="71"/>
      <c r="Y35" s="71"/>
      <c r="Z35" s="71"/>
      <c r="AA35" s="71"/>
      <c r="AB35" s="71">
        <v>-1.6040000000000001</v>
      </c>
      <c r="AC35" s="71"/>
      <c r="AD35" s="71"/>
      <c r="AE35" s="71"/>
      <c r="AF35" s="71"/>
      <c r="AG35" s="36"/>
      <c r="AH35" s="36"/>
      <c r="AI35" s="36"/>
      <c r="AJ35" s="36"/>
      <c r="AK35" s="35" t="str">
        <f>VLOOKUP(A35,[1]Sheet!$A:$I,9,0)</f>
        <v>матрица</v>
      </c>
      <c r="AL35" s="35">
        <f>VLOOKUP(A35,[2]TDSheet!$A:$N,14,0)</f>
        <v>105.94199999999999</v>
      </c>
      <c r="AM35" s="35"/>
    </row>
    <row r="36" spans="1:39" ht="11.25" hidden="1" customHeight="1" outlineLevel="2" x14ac:dyDescent="0.2">
      <c r="A36" s="69" t="s">
        <v>36</v>
      </c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70">
        <v>47.1</v>
      </c>
      <c r="Q36" s="70"/>
      <c r="R36" s="70"/>
      <c r="S36" s="70"/>
      <c r="T36" s="70"/>
      <c r="U36" s="70"/>
      <c r="V36" s="70"/>
      <c r="W36" s="71">
        <v>48.396000000000001</v>
      </c>
      <c r="X36" s="71"/>
      <c r="Y36" s="71"/>
      <c r="Z36" s="71"/>
      <c r="AA36" s="71"/>
      <c r="AB36" s="71">
        <v>-1.296</v>
      </c>
      <c r="AC36" s="71"/>
      <c r="AD36" s="71"/>
      <c r="AE36" s="71"/>
      <c r="AF36" s="71"/>
      <c r="AG36" s="71">
        <v>6.2E-2</v>
      </c>
      <c r="AH36" s="71"/>
      <c r="AI36" s="71"/>
      <c r="AJ36" s="71"/>
      <c r="AK36" s="35" t="str">
        <f>VLOOKUP(A36,[1]Sheet!$A:$I,9,0)</f>
        <v>матрица</v>
      </c>
      <c r="AL36" s="35">
        <f>VLOOKUP(A36,[2]TDSheet!$A:$N,14,0)</f>
        <v>168.93199999999999</v>
      </c>
      <c r="AM36" s="35"/>
    </row>
    <row r="37" spans="1:39" ht="11.25" hidden="1" customHeight="1" outlineLevel="2" x14ac:dyDescent="0.2">
      <c r="A37" s="69" t="s">
        <v>37</v>
      </c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70">
        <v>36.1</v>
      </c>
      <c r="Q37" s="70"/>
      <c r="R37" s="70"/>
      <c r="S37" s="70"/>
      <c r="T37" s="70"/>
      <c r="U37" s="70"/>
      <c r="V37" s="70"/>
      <c r="W37" s="71">
        <v>37.304000000000002</v>
      </c>
      <c r="X37" s="71"/>
      <c r="Y37" s="71"/>
      <c r="Z37" s="71"/>
      <c r="AA37" s="71"/>
      <c r="AB37" s="71">
        <v>-1.204</v>
      </c>
      <c r="AC37" s="71"/>
      <c r="AD37" s="71"/>
      <c r="AE37" s="71"/>
      <c r="AF37" s="71"/>
      <c r="AG37" s="71">
        <v>5.3999999999999999E-2</v>
      </c>
      <c r="AH37" s="71"/>
      <c r="AI37" s="71"/>
      <c r="AJ37" s="71"/>
      <c r="AK37" s="35" t="str">
        <f>VLOOKUP(A37,[1]Sheet!$A:$I,9,0)</f>
        <v>матрица</v>
      </c>
      <c r="AL37" s="35">
        <f>VLOOKUP(A37,[2]TDSheet!$A:$N,14,0)</f>
        <v>189.06299999999999</v>
      </c>
      <c r="AM37" s="35"/>
    </row>
    <row r="38" spans="1:39" ht="11.25" hidden="1" customHeight="1" outlineLevel="2" x14ac:dyDescent="0.2">
      <c r="A38" s="69" t="s">
        <v>38</v>
      </c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75">
        <v>24</v>
      </c>
      <c r="Q38" s="75"/>
      <c r="R38" s="75"/>
      <c r="S38" s="75"/>
      <c r="T38" s="75"/>
      <c r="U38" s="75"/>
      <c r="V38" s="75"/>
      <c r="W38" s="71">
        <v>26.952000000000002</v>
      </c>
      <c r="X38" s="71"/>
      <c r="Y38" s="71"/>
      <c r="Z38" s="71"/>
      <c r="AA38" s="71"/>
      <c r="AB38" s="71">
        <v>-2.952</v>
      </c>
      <c r="AC38" s="71"/>
      <c r="AD38" s="71"/>
      <c r="AE38" s="71"/>
      <c r="AF38" s="71"/>
      <c r="AG38" s="71">
        <v>0.378</v>
      </c>
      <c r="AH38" s="71"/>
      <c r="AI38" s="71"/>
      <c r="AJ38" s="71"/>
      <c r="AK38" s="35" t="str">
        <f>VLOOKUP(A38,[1]Sheet!$A:$I,9,0)</f>
        <v>матрица</v>
      </c>
      <c r="AL38" s="35">
        <f>VLOOKUP(A38,[2]TDSheet!$A:$N,14,0)</f>
        <v>164.34</v>
      </c>
      <c r="AM38" s="35"/>
    </row>
    <row r="39" spans="1:39" ht="11.25" customHeight="1" outlineLevel="2" x14ac:dyDescent="0.2">
      <c r="A39" s="69" t="s">
        <v>39</v>
      </c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70">
        <v>117.5</v>
      </c>
      <c r="Q39" s="70"/>
      <c r="R39" s="70"/>
      <c r="S39" s="70"/>
      <c r="T39" s="70"/>
      <c r="U39" s="70"/>
      <c r="V39" s="70"/>
      <c r="W39" s="71">
        <v>84.876000000000005</v>
      </c>
      <c r="X39" s="71"/>
      <c r="Y39" s="71"/>
      <c r="Z39" s="71"/>
      <c r="AA39" s="71"/>
      <c r="AB39" s="71">
        <v>32.624000000000002</v>
      </c>
      <c r="AC39" s="71"/>
      <c r="AD39" s="71"/>
      <c r="AE39" s="71"/>
      <c r="AF39" s="71"/>
      <c r="AG39" s="72">
        <v>35.731000000000002</v>
      </c>
      <c r="AH39" s="72"/>
      <c r="AI39" s="72"/>
      <c r="AJ39" s="72"/>
      <c r="AK39" s="35" t="str">
        <f>VLOOKUP(A39,[1]Sheet!$A:$I,9,0)</f>
        <v>матрица</v>
      </c>
      <c r="AL39" s="35">
        <v>0</v>
      </c>
      <c r="AM39" s="35" t="s">
        <v>896</v>
      </c>
    </row>
    <row r="40" spans="1:39" ht="11.25" customHeight="1" outlineLevel="2" x14ac:dyDescent="0.2">
      <c r="A40" s="69" t="s">
        <v>40</v>
      </c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70">
        <v>24.5</v>
      </c>
      <c r="Q40" s="70"/>
      <c r="R40" s="70"/>
      <c r="S40" s="70"/>
      <c r="T40" s="70"/>
      <c r="U40" s="70"/>
      <c r="V40" s="70"/>
      <c r="W40" s="71">
        <v>4.1680000000000001</v>
      </c>
      <c r="X40" s="71"/>
      <c r="Y40" s="71"/>
      <c r="Z40" s="71"/>
      <c r="AA40" s="71"/>
      <c r="AB40" s="71">
        <v>20.332000000000001</v>
      </c>
      <c r="AC40" s="71"/>
      <c r="AD40" s="71"/>
      <c r="AE40" s="71"/>
      <c r="AF40" s="71"/>
      <c r="AG40" s="74">
        <v>20.43</v>
      </c>
      <c r="AH40" s="74"/>
      <c r="AI40" s="74"/>
      <c r="AJ40" s="74"/>
      <c r="AK40" s="35" t="str">
        <f>VLOOKUP(A40,[1]Sheet!$A:$I,9,0)</f>
        <v>матрица</v>
      </c>
      <c r="AL40" s="35">
        <f>VLOOKUP(A40,[2]TDSheet!$A:$N,14,0)</f>
        <v>6.194</v>
      </c>
      <c r="AM40" s="35" t="s">
        <v>898</v>
      </c>
    </row>
    <row r="41" spans="1:39" ht="11.25" hidden="1" customHeight="1" outlineLevel="2" x14ac:dyDescent="0.2">
      <c r="A41" s="69" t="s">
        <v>41</v>
      </c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75">
        <v>5</v>
      </c>
      <c r="Q41" s="75"/>
      <c r="R41" s="75"/>
      <c r="S41" s="75"/>
      <c r="T41" s="75"/>
      <c r="U41" s="75"/>
      <c r="V41" s="75"/>
      <c r="W41" s="71">
        <v>5.2149999999999999</v>
      </c>
      <c r="X41" s="71"/>
      <c r="Y41" s="71"/>
      <c r="Z41" s="71"/>
      <c r="AA41" s="71"/>
      <c r="AB41" s="71">
        <v>-0.215</v>
      </c>
      <c r="AC41" s="71"/>
      <c r="AD41" s="71"/>
      <c r="AE41" s="71"/>
      <c r="AF41" s="71"/>
      <c r="AG41" s="36"/>
      <c r="AH41" s="36"/>
      <c r="AI41" s="36"/>
      <c r="AJ41" s="36"/>
      <c r="AK41" s="35" t="str">
        <f>VLOOKUP(A41,[1]Sheet!$A:$I,9,0)</f>
        <v>матрица</v>
      </c>
      <c r="AL41" s="35">
        <f>VLOOKUP(A41,[2]TDSheet!$A:$N,14,0)</f>
        <v>156.51499999999999</v>
      </c>
      <c r="AM41" s="35"/>
    </row>
    <row r="42" spans="1:39" ht="11.25" hidden="1" customHeight="1" outlineLevel="2" x14ac:dyDescent="0.2">
      <c r="A42" s="69" t="s">
        <v>42</v>
      </c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70">
        <v>202.2</v>
      </c>
      <c r="Q42" s="70"/>
      <c r="R42" s="70"/>
      <c r="S42" s="70"/>
      <c r="T42" s="70"/>
      <c r="U42" s="70"/>
      <c r="V42" s="70"/>
      <c r="W42" s="71">
        <v>212.03399999999999</v>
      </c>
      <c r="X42" s="71"/>
      <c r="Y42" s="71"/>
      <c r="Z42" s="71"/>
      <c r="AA42" s="71"/>
      <c r="AB42" s="71">
        <v>-9.8339999999999996</v>
      </c>
      <c r="AC42" s="71"/>
      <c r="AD42" s="71"/>
      <c r="AE42" s="71"/>
      <c r="AF42" s="71"/>
      <c r="AG42" s="71">
        <v>8.6999999999999994E-2</v>
      </c>
      <c r="AH42" s="71"/>
      <c r="AI42" s="71"/>
      <c r="AJ42" s="71"/>
      <c r="AK42" s="35" t="str">
        <f>VLOOKUP(A42,[1]Sheet!$A:$I,9,0)</f>
        <v>матрица</v>
      </c>
      <c r="AL42" s="35">
        <f>VLOOKUP(A42,[2]TDSheet!$A:$N,14,0)</f>
        <v>290.54899999999998</v>
      </c>
      <c r="AM42" s="35"/>
    </row>
    <row r="43" spans="1:39" ht="11.25" hidden="1" customHeight="1" outlineLevel="2" x14ac:dyDescent="0.2">
      <c r="A43" s="69" t="s">
        <v>43</v>
      </c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75">
        <v>60</v>
      </c>
      <c r="Q43" s="75"/>
      <c r="R43" s="75"/>
      <c r="S43" s="75"/>
      <c r="T43" s="75"/>
      <c r="U43" s="75"/>
      <c r="V43" s="75"/>
      <c r="W43" s="71">
        <v>62.301000000000002</v>
      </c>
      <c r="X43" s="71"/>
      <c r="Y43" s="71"/>
      <c r="Z43" s="71"/>
      <c r="AA43" s="71"/>
      <c r="AB43" s="71">
        <v>-2.3010000000000002</v>
      </c>
      <c r="AC43" s="71"/>
      <c r="AD43" s="71"/>
      <c r="AE43" s="71"/>
      <c r="AF43" s="71"/>
      <c r="AG43" s="36"/>
      <c r="AH43" s="36"/>
      <c r="AI43" s="36"/>
      <c r="AJ43" s="36"/>
      <c r="AK43" s="35" t="str">
        <f>VLOOKUP(A43,[1]Sheet!$A:$I,9,0)</f>
        <v>матрица</v>
      </c>
      <c r="AL43" s="35">
        <f>VLOOKUP(A43,[2]TDSheet!$A:$N,14,0)</f>
        <v>202.99100000000001</v>
      </c>
      <c r="AM43" s="35"/>
    </row>
    <row r="44" spans="1:39" ht="11.25" hidden="1" customHeight="1" outlineLevel="2" x14ac:dyDescent="0.2">
      <c r="A44" s="69" t="s">
        <v>44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75">
        <v>72</v>
      </c>
      <c r="Q44" s="75"/>
      <c r="R44" s="75"/>
      <c r="S44" s="75"/>
      <c r="T44" s="75"/>
      <c r="U44" s="75"/>
      <c r="V44" s="75"/>
      <c r="W44" s="71">
        <v>74.765000000000001</v>
      </c>
      <c r="X44" s="71"/>
      <c r="Y44" s="71"/>
      <c r="Z44" s="71"/>
      <c r="AA44" s="71"/>
      <c r="AB44" s="71">
        <v>-2.7650000000000001</v>
      </c>
      <c r="AC44" s="71"/>
      <c r="AD44" s="71"/>
      <c r="AE44" s="71"/>
      <c r="AF44" s="71"/>
      <c r="AG44" s="36"/>
      <c r="AH44" s="36"/>
      <c r="AI44" s="36"/>
      <c r="AJ44" s="36"/>
      <c r="AK44" s="35" t="str">
        <f>VLOOKUP(A44,[1]Sheet!$A:$I,9,0)</f>
        <v>матрица</v>
      </c>
      <c r="AL44" s="35">
        <f>VLOOKUP(A44,[2]TDSheet!$A:$N,14,0)</f>
        <v>66.641999999999996</v>
      </c>
      <c r="AM44" s="35"/>
    </row>
    <row r="45" spans="1:39" ht="11.25" hidden="1" customHeight="1" outlineLevel="2" x14ac:dyDescent="0.2">
      <c r="A45" s="69" t="s">
        <v>45</v>
      </c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70">
        <v>88.6</v>
      </c>
      <c r="Q45" s="70"/>
      <c r="R45" s="70"/>
      <c r="S45" s="70"/>
      <c r="T45" s="70"/>
      <c r="U45" s="70"/>
      <c r="V45" s="70"/>
      <c r="W45" s="73">
        <v>95.41</v>
      </c>
      <c r="X45" s="73"/>
      <c r="Y45" s="73"/>
      <c r="Z45" s="73"/>
      <c r="AA45" s="73"/>
      <c r="AB45" s="73">
        <v>-6.81</v>
      </c>
      <c r="AC45" s="73"/>
      <c r="AD45" s="73"/>
      <c r="AE45" s="73"/>
      <c r="AF45" s="73"/>
      <c r="AG45" s="71">
        <v>0.38500000000000001</v>
      </c>
      <c r="AH45" s="71"/>
      <c r="AI45" s="71"/>
      <c r="AJ45" s="71"/>
      <c r="AK45" s="35" t="str">
        <f>VLOOKUP(A45,[1]Sheet!$A:$I,9,0)</f>
        <v>матрица</v>
      </c>
      <c r="AL45" s="35">
        <f>VLOOKUP(A45,[2]TDSheet!$A:$N,14,0)</f>
        <v>175.608</v>
      </c>
      <c r="AM45" s="35"/>
    </row>
    <row r="46" spans="1:39" ht="11.25" hidden="1" customHeight="1" outlineLevel="2" x14ac:dyDescent="0.2">
      <c r="A46" s="69" t="s">
        <v>46</v>
      </c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70">
        <v>63.9</v>
      </c>
      <c r="Q46" s="70"/>
      <c r="R46" s="70"/>
      <c r="S46" s="70"/>
      <c r="T46" s="70"/>
      <c r="U46" s="70"/>
      <c r="V46" s="70"/>
      <c r="W46" s="71">
        <v>65.444000000000003</v>
      </c>
      <c r="X46" s="71"/>
      <c r="Y46" s="71"/>
      <c r="Z46" s="71"/>
      <c r="AA46" s="71"/>
      <c r="AB46" s="71">
        <v>-1.544</v>
      </c>
      <c r="AC46" s="71"/>
      <c r="AD46" s="71"/>
      <c r="AE46" s="71"/>
      <c r="AF46" s="71"/>
      <c r="AG46" s="73">
        <v>3.18</v>
      </c>
      <c r="AH46" s="73"/>
      <c r="AI46" s="73"/>
      <c r="AJ46" s="73"/>
      <c r="AK46" s="35" t="str">
        <f>VLOOKUP(A46,[1]Sheet!$A:$I,9,0)</f>
        <v>матрица</v>
      </c>
      <c r="AL46" s="35">
        <f>VLOOKUP(A46,[2]TDSheet!$A:$N,14,0)</f>
        <v>169.678</v>
      </c>
      <c r="AM46" s="35"/>
    </row>
    <row r="47" spans="1:39" ht="11.25" customHeight="1" outlineLevel="2" x14ac:dyDescent="0.2">
      <c r="A47" s="69" t="s">
        <v>47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70">
        <v>29.7</v>
      </c>
      <c r="Q47" s="70"/>
      <c r="R47" s="70"/>
      <c r="S47" s="70"/>
      <c r="T47" s="70"/>
      <c r="U47" s="70"/>
      <c r="V47" s="70"/>
      <c r="W47" s="71">
        <v>21.305</v>
      </c>
      <c r="X47" s="71"/>
      <c r="Y47" s="71"/>
      <c r="Z47" s="71"/>
      <c r="AA47" s="71"/>
      <c r="AB47" s="71">
        <v>8.3949999999999996</v>
      </c>
      <c r="AC47" s="71"/>
      <c r="AD47" s="71"/>
      <c r="AE47" s="71"/>
      <c r="AF47" s="71"/>
      <c r="AG47" s="72">
        <v>8.9030000000000005</v>
      </c>
      <c r="AH47" s="72"/>
      <c r="AI47" s="72"/>
      <c r="AJ47" s="72"/>
      <c r="AK47" s="35" t="str">
        <f>VLOOKUP(A47,[1]Sheet!$A:$I,9,0)</f>
        <v>матрица</v>
      </c>
      <c r="AL47" s="35">
        <f>VLOOKUP(A47,[2]TDSheet!$A:$N,14,0)</f>
        <v>0.93700000000000006</v>
      </c>
      <c r="AM47" s="35" t="s">
        <v>899</v>
      </c>
    </row>
    <row r="48" spans="1:39" ht="11.25" hidden="1" customHeight="1" outlineLevel="2" x14ac:dyDescent="0.2">
      <c r="A48" s="69" t="s">
        <v>48</v>
      </c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70">
        <v>10.5</v>
      </c>
      <c r="Q48" s="70"/>
      <c r="R48" s="70"/>
      <c r="S48" s="70"/>
      <c r="T48" s="70"/>
      <c r="U48" s="70"/>
      <c r="V48" s="70"/>
      <c r="W48" s="71">
        <v>10.693</v>
      </c>
      <c r="X48" s="71"/>
      <c r="Y48" s="71"/>
      <c r="Z48" s="71"/>
      <c r="AA48" s="71"/>
      <c r="AB48" s="71">
        <v>-0.193</v>
      </c>
      <c r="AC48" s="71"/>
      <c r="AD48" s="71"/>
      <c r="AE48" s="71"/>
      <c r="AF48" s="71"/>
      <c r="AG48" s="36"/>
      <c r="AH48" s="36"/>
      <c r="AI48" s="36"/>
      <c r="AJ48" s="36"/>
      <c r="AK48" s="35" t="str">
        <f>VLOOKUP(A48,[1]Sheet!$A:$I,9,0)</f>
        <v>матрица</v>
      </c>
      <c r="AL48" s="35">
        <f>VLOOKUP(A48,[2]TDSheet!$A:$N,14,0)</f>
        <v>19.905999999999999</v>
      </c>
      <c r="AM48" s="35"/>
    </row>
    <row r="49" spans="1:39" ht="11.25" hidden="1" customHeight="1" outlineLevel="1" x14ac:dyDescent="0.2">
      <c r="A49" s="76" t="s">
        <v>49</v>
      </c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7">
        <v>1080.5</v>
      </c>
      <c r="Q49" s="77"/>
      <c r="R49" s="77"/>
      <c r="S49" s="77"/>
      <c r="T49" s="77"/>
      <c r="U49" s="77"/>
      <c r="V49" s="77"/>
      <c r="W49" s="78">
        <v>947.66</v>
      </c>
      <c r="X49" s="78"/>
      <c r="Y49" s="78"/>
      <c r="Z49" s="78"/>
      <c r="AA49" s="78"/>
      <c r="AB49" s="78">
        <v>132.84</v>
      </c>
      <c r="AC49" s="78"/>
      <c r="AD49" s="78"/>
      <c r="AE49" s="78"/>
      <c r="AF49" s="78"/>
      <c r="AG49" s="78">
        <v>134.24</v>
      </c>
      <c r="AH49" s="78"/>
      <c r="AI49" s="78"/>
      <c r="AJ49" s="78"/>
      <c r="AK49" s="35" t="e">
        <f>VLOOKUP(A49,[1]Sheet!$A:$I,9,0)</f>
        <v>#N/A</v>
      </c>
      <c r="AL49" s="35" t="e">
        <f>VLOOKUP(A49,[2]TDSheet!$A:$N,14,0)</f>
        <v>#N/A</v>
      </c>
      <c r="AM49" s="35"/>
    </row>
    <row r="50" spans="1:39" ht="11.25" hidden="1" customHeight="1" outlineLevel="2" x14ac:dyDescent="0.2">
      <c r="A50" s="69" t="s">
        <v>50</v>
      </c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70">
        <v>28.8</v>
      </c>
      <c r="Q50" s="70"/>
      <c r="R50" s="70"/>
      <c r="S50" s="70"/>
      <c r="T50" s="70"/>
      <c r="U50" s="70"/>
      <c r="V50" s="70"/>
      <c r="W50" s="70">
        <v>28.8</v>
      </c>
      <c r="X50" s="70"/>
      <c r="Y50" s="70"/>
      <c r="Z50" s="70"/>
      <c r="AA50" s="70"/>
      <c r="AB50" s="37"/>
      <c r="AC50" s="37"/>
      <c r="AD50" s="37"/>
      <c r="AE50" s="37"/>
      <c r="AF50" s="37"/>
      <c r="AG50" s="36"/>
      <c r="AH50" s="36"/>
      <c r="AI50" s="36"/>
      <c r="AJ50" s="36"/>
      <c r="AK50" s="35" t="str">
        <f>VLOOKUP(A50,[1]Sheet!$A:$I,9,0)</f>
        <v>матрица</v>
      </c>
      <c r="AL50" s="35">
        <f>VLOOKUP(A50,[2]TDSheet!$A:$N,14,0)</f>
        <v>81.2</v>
      </c>
      <c r="AM50" s="35"/>
    </row>
    <row r="51" spans="1:39" ht="11.25" hidden="1" customHeight="1" outlineLevel="2" x14ac:dyDescent="0.2">
      <c r="A51" s="69" t="s">
        <v>51</v>
      </c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75">
        <v>4</v>
      </c>
      <c r="Q51" s="75"/>
      <c r="R51" s="75"/>
      <c r="S51" s="75"/>
      <c r="T51" s="75"/>
      <c r="U51" s="75"/>
      <c r="V51" s="75"/>
      <c r="W51" s="75">
        <v>4</v>
      </c>
      <c r="X51" s="75"/>
      <c r="Y51" s="75"/>
      <c r="Z51" s="75"/>
      <c r="AA51" s="75"/>
      <c r="AB51" s="37"/>
      <c r="AC51" s="37"/>
      <c r="AD51" s="37"/>
      <c r="AE51" s="37"/>
      <c r="AF51" s="37"/>
      <c r="AG51" s="36"/>
      <c r="AH51" s="36"/>
      <c r="AI51" s="36"/>
      <c r="AJ51" s="36"/>
      <c r="AK51" s="35" t="str">
        <f>VLOOKUP(A51,[1]Sheet!$A:$I,9,0)</f>
        <v>матрица</v>
      </c>
      <c r="AL51" s="35">
        <f>VLOOKUP(A51,[2]TDSheet!$A:$N,14,0)</f>
        <v>109</v>
      </c>
      <c r="AM51" s="35"/>
    </row>
    <row r="52" spans="1:39" ht="11.25" hidden="1" customHeight="1" outlineLevel="2" x14ac:dyDescent="0.2">
      <c r="A52" s="69" t="s">
        <v>52</v>
      </c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73">
        <v>13.75</v>
      </c>
      <c r="Q52" s="73"/>
      <c r="R52" s="73"/>
      <c r="S52" s="73"/>
      <c r="T52" s="73"/>
      <c r="U52" s="73"/>
      <c r="V52" s="73"/>
      <c r="W52" s="70">
        <v>12.5</v>
      </c>
      <c r="X52" s="70"/>
      <c r="Y52" s="70"/>
      <c r="Z52" s="70"/>
      <c r="AA52" s="70"/>
      <c r="AB52" s="73">
        <v>1.25</v>
      </c>
      <c r="AC52" s="73"/>
      <c r="AD52" s="73"/>
      <c r="AE52" s="73"/>
      <c r="AF52" s="73"/>
      <c r="AG52" s="73">
        <v>1.25</v>
      </c>
      <c r="AH52" s="73"/>
      <c r="AI52" s="73"/>
      <c r="AJ52" s="73"/>
      <c r="AK52" s="35" t="str">
        <f>VLOOKUP(A52,[1]Sheet!$A:$I,9,0)</f>
        <v>матрица</v>
      </c>
      <c r="AL52" s="35">
        <f>VLOOKUP(A52,[2]TDSheet!$A:$N,14,0)</f>
        <v>45.75</v>
      </c>
      <c r="AM52" s="35"/>
    </row>
    <row r="53" spans="1:39" ht="11.25" hidden="1" customHeight="1" outlineLevel="2" x14ac:dyDescent="0.2">
      <c r="A53" s="69" t="s">
        <v>53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70">
        <v>24.5</v>
      </c>
      <c r="Q53" s="70"/>
      <c r="R53" s="70"/>
      <c r="S53" s="70"/>
      <c r="T53" s="70"/>
      <c r="U53" s="70"/>
      <c r="V53" s="70"/>
      <c r="W53" s="70">
        <v>24.5</v>
      </c>
      <c r="X53" s="70"/>
      <c r="Y53" s="70"/>
      <c r="Z53" s="70"/>
      <c r="AA53" s="70"/>
      <c r="AB53" s="37"/>
      <c r="AC53" s="37"/>
      <c r="AD53" s="37"/>
      <c r="AE53" s="37"/>
      <c r="AF53" s="37"/>
      <c r="AG53" s="36"/>
      <c r="AH53" s="36"/>
      <c r="AI53" s="36"/>
      <c r="AJ53" s="36"/>
      <c r="AK53" s="35" t="str">
        <f>VLOOKUP(A53,[1]Sheet!$A:$I,9,0)</f>
        <v>матрица</v>
      </c>
      <c r="AL53" s="35">
        <f>VLOOKUP(A53,[2]TDSheet!$A:$N,14,0)</f>
        <v>63</v>
      </c>
      <c r="AM53" s="35"/>
    </row>
    <row r="54" spans="1:39" ht="11.25" customHeight="1" outlineLevel="2" x14ac:dyDescent="0.2">
      <c r="A54" s="69" t="s">
        <v>54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70">
        <v>4.4000000000000004</v>
      </c>
      <c r="Q54" s="70"/>
      <c r="R54" s="70"/>
      <c r="S54" s="70"/>
      <c r="T54" s="70"/>
      <c r="U54" s="70"/>
      <c r="V54" s="70"/>
      <c r="W54" s="37"/>
      <c r="X54" s="37"/>
      <c r="Y54" s="37"/>
      <c r="Z54" s="37"/>
      <c r="AA54" s="37"/>
      <c r="AB54" s="70">
        <v>4.4000000000000004</v>
      </c>
      <c r="AC54" s="70"/>
      <c r="AD54" s="70"/>
      <c r="AE54" s="70"/>
      <c r="AF54" s="70"/>
      <c r="AG54" s="79">
        <v>4.4000000000000004</v>
      </c>
      <c r="AH54" s="79"/>
      <c r="AI54" s="79"/>
      <c r="AJ54" s="79"/>
      <c r="AK54" s="35" t="str">
        <f>VLOOKUP(A54,[1]Sheet!$A:$I,9,0)</f>
        <v>матрица</v>
      </c>
      <c r="AL54" s="35">
        <f>VLOOKUP(A54,[2]TDSheet!$A:$N,14,0)</f>
        <v>0</v>
      </c>
      <c r="AM54" s="35" t="s">
        <v>896</v>
      </c>
    </row>
    <row r="55" spans="1:39" ht="11.25" hidden="1" customHeight="1" outlineLevel="2" x14ac:dyDescent="0.2">
      <c r="A55" s="69" t="s">
        <v>55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70">
        <v>1.2</v>
      </c>
      <c r="Q55" s="70"/>
      <c r="R55" s="70"/>
      <c r="S55" s="70"/>
      <c r="T55" s="70"/>
      <c r="U55" s="70"/>
      <c r="V55" s="70"/>
      <c r="W55" s="70">
        <v>1.2</v>
      </c>
      <c r="X55" s="70"/>
      <c r="Y55" s="70"/>
      <c r="Z55" s="70"/>
      <c r="AA55" s="70"/>
      <c r="AB55" s="37"/>
      <c r="AC55" s="37"/>
      <c r="AD55" s="37"/>
      <c r="AE55" s="37"/>
      <c r="AF55" s="37"/>
      <c r="AG55" s="36"/>
      <c r="AH55" s="36"/>
      <c r="AI55" s="36"/>
      <c r="AJ55" s="36"/>
      <c r="AK55" s="35" t="str">
        <f>VLOOKUP(A55,[1]Sheet!$A:$I,9,0)</f>
        <v>матрица</v>
      </c>
      <c r="AL55" s="35">
        <f>VLOOKUP(A55,[2]TDSheet!$A:$N,14,0)</f>
        <v>8.4</v>
      </c>
      <c r="AM55" s="35"/>
    </row>
    <row r="56" spans="1:39" ht="11.25" hidden="1" customHeight="1" outlineLevel="2" x14ac:dyDescent="0.2">
      <c r="A56" s="69" t="s">
        <v>56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73">
        <v>20.239999999999998</v>
      </c>
      <c r="Q56" s="73"/>
      <c r="R56" s="73"/>
      <c r="S56" s="73"/>
      <c r="T56" s="73"/>
      <c r="U56" s="73"/>
      <c r="V56" s="73"/>
      <c r="W56" s="73">
        <v>19.579999999999998</v>
      </c>
      <c r="X56" s="73"/>
      <c r="Y56" s="73"/>
      <c r="Z56" s="73"/>
      <c r="AA56" s="73"/>
      <c r="AB56" s="73">
        <v>0.66</v>
      </c>
      <c r="AC56" s="73"/>
      <c r="AD56" s="73"/>
      <c r="AE56" s="73"/>
      <c r="AF56" s="73"/>
      <c r="AG56" s="73">
        <v>0.66</v>
      </c>
      <c r="AH56" s="73"/>
      <c r="AI56" s="73"/>
      <c r="AJ56" s="73"/>
      <c r="AK56" s="35" t="str">
        <f>VLOOKUP(A56,[1]Sheet!$A:$I,9,0)</f>
        <v>матрица</v>
      </c>
      <c r="AL56" s="35">
        <f>VLOOKUP(A56,[2]TDSheet!$A:$N,14,0)</f>
        <v>4.84</v>
      </c>
      <c r="AM56" s="35"/>
    </row>
    <row r="57" spans="1:39" ht="11.25" hidden="1" customHeight="1" outlineLevel="2" x14ac:dyDescent="0.2">
      <c r="A57" s="69" t="s">
        <v>57</v>
      </c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70">
        <v>0.9</v>
      </c>
      <c r="Q57" s="70"/>
      <c r="R57" s="70"/>
      <c r="S57" s="70"/>
      <c r="T57" s="70"/>
      <c r="U57" s="70"/>
      <c r="V57" s="70"/>
      <c r="W57" s="37"/>
      <c r="X57" s="37"/>
      <c r="Y57" s="37"/>
      <c r="Z57" s="37"/>
      <c r="AA57" s="37"/>
      <c r="AB57" s="70">
        <v>0.9</v>
      </c>
      <c r="AC57" s="70"/>
      <c r="AD57" s="70"/>
      <c r="AE57" s="70"/>
      <c r="AF57" s="70"/>
      <c r="AG57" s="70">
        <v>0.9</v>
      </c>
      <c r="AH57" s="70"/>
      <c r="AI57" s="70"/>
      <c r="AJ57" s="70"/>
      <c r="AK57" s="35" t="e">
        <f>VLOOKUP(A57,[1]Sheet!$A:$I,9,0)</f>
        <v>#N/A</v>
      </c>
      <c r="AL57" s="35" t="e">
        <f>VLOOKUP(A57,[2]TDSheet!$A:$N,14,0)</f>
        <v>#N/A</v>
      </c>
      <c r="AM57" s="35"/>
    </row>
    <row r="58" spans="1:39" ht="11.25" hidden="1" customHeight="1" outlineLevel="2" x14ac:dyDescent="0.2">
      <c r="A58" s="69" t="s">
        <v>58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73">
        <v>13.41</v>
      </c>
      <c r="Q58" s="73"/>
      <c r="R58" s="73"/>
      <c r="S58" s="73"/>
      <c r="T58" s="73"/>
      <c r="U58" s="73"/>
      <c r="V58" s="73"/>
      <c r="W58" s="73">
        <v>13.32</v>
      </c>
      <c r="X58" s="73"/>
      <c r="Y58" s="73"/>
      <c r="Z58" s="73"/>
      <c r="AA58" s="73"/>
      <c r="AB58" s="73">
        <v>0.09</v>
      </c>
      <c r="AC58" s="73"/>
      <c r="AD58" s="73"/>
      <c r="AE58" s="73"/>
      <c r="AF58" s="73"/>
      <c r="AG58" s="73">
        <v>0.09</v>
      </c>
      <c r="AH58" s="73"/>
      <c r="AI58" s="73"/>
      <c r="AJ58" s="73"/>
      <c r="AK58" s="35" t="str">
        <f>VLOOKUP(A58,[1]Sheet!$A:$I,9,0)</f>
        <v>матрица</v>
      </c>
      <c r="AL58" s="35">
        <f>VLOOKUP(A58,[2]TDSheet!$A:$N,14,0)</f>
        <v>12.24</v>
      </c>
      <c r="AM58" s="35"/>
    </row>
    <row r="59" spans="1:39" ht="11.25" hidden="1" customHeight="1" outlineLevel="2" x14ac:dyDescent="0.2">
      <c r="A59" s="69" t="s">
        <v>59</v>
      </c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73">
        <v>5.31</v>
      </c>
      <c r="Q59" s="73"/>
      <c r="R59" s="73"/>
      <c r="S59" s="73"/>
      <c r="T59" s="73"/>
      <c r="U59" s="73"/>
      <c r="V59" s="73"/>
      <c r="W59" s="73">
        <v>5.31</v>
      </c>
      <c r="X59" s="73"/>
      <c r="Y59" s="73"/>
      <c r="Z59" s="73"/>
      <c r="AA59" s="73"/>
      <c r="AB59" s="37"/>
      <c r="AC59" s="37"/>
      <c r="AD59" s="37"/>
      <c r="AE59" s="37"/>
      <c r="AF59" s="37"/>
      <c r="AG59" s="36"/>
      <c r="AH59" s="36"/>
      <c r="AI59" s="36"/>
      <c r="AJ59" s="36"/>
      <c r="AK59" s="35" t="str">
        <f>VLOOKUP(A59,[1]Sheet!$A:$I,9,0)</f>
        <v>матрица</v>
      </c>
      <c r="AL59" s="35">
        <f>VLOOKUP(A59,[2]TDSheet!$A:$N,14,0)</f>
        <v>5.04</v>
      </c>
      <c r="AM59" s="35"/>
    </row>
    <row r="60" spans="1:39" ht="11.25" hidden="1" customHeight="1" outlineLevel="2" x14ac:dyDescent="0.2">
      <c r="A60" s="69" t="s">
        <v>60</v>
      </c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73">
        <v>12.75</v>
      </c>
      <c r="Q60" s="73"/>
      <c r="R60" s="73"/>
      <c r="S60" s="73"/>
      <c r="T60" s="73"/>
      <c r="U60" s="73"/>
      <c r="V60" s="73"/>
      <c r="W60" s="73">
        <v>12.45</v>
      </c>
      <c r="X60" s="73"/>
      <c r="Y60" s="73"/>
      <c r="Z60" s="73"/>
      <c r="AA60" s="73"/>
      <c r="AB60" s="70">
        <v>0.3</v>
      </c>
      <c r="AC60" s="70"/>
      <c r="AD60" s="70"/>
      <c r="AE60" s="70"/>
      <c r="AF60" s="70"/>
      <c r="AG60" s="70">
        <v>0.3</v>
      </c>
      <c r="AH60" s="70"/>
      <c r="AI60" s="70"/>
      <c r="AJ60" s="70"/>
      <c r="AK60" s="35" t="str">
        <f>VLOOKUP(A60,[1]Sheet!$A:$I,9,0)</f>
        <v>матрица</v>
      </c>
      <c r="AL60" s="35">
        <f>VLOOKUP(A60,[2]TDSheet!$A:$N,14,0)</f>
        <v>12.9</v>
      </c>
      <c r="AM60" s="35"/>
    </row>
    <row r="61" spans="1:39" ht="11.25" hidden="1" customHeight="1" outlineLevel="2" x14ac:dyDescent="0.2">
      <c r="A61" s="69" t="s">
        <v>61</v>
      </c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70">
        <v>40.4</v>
      </c>
      <c r="Q61" s="70"/>
      <c r="R61" s="70"/>
      <c r="S61" s="70"/>
      <c r="T61" s="70"/>
      <c r="U61" s="70"/>
      <c r="V61" s="70"/>
      <c r="W61" s="70">
        <v>40.4</v>
      </c>
      <c r="X61" s="70"/>
      <c r="Y61" s="70"/>
      <c r="Z61" s="70"/>
      <c r="AA61" s="70"/>
      <c r="AB61" s="37"/>
      <c r="AC61" s="37"/>
      <c r="AD61" s="37"/>
      <c r="AE61" s="37"/>
      <c r="AF61" s="37"/>
      <c r="AG61" s="36"/>
      <c r="AH61" s="36"/>
      <c r="AI61" s="36"/>
      <c r="AJ61" s="36"/>
      <c r="AK61" s="35" t="str">
        <f>VLOOKUP(A61,[1]Sheet!$A:$I,9,0)</f>
        <v>матрица</v>
      </c>
      <c r="AL61" s="35">
        <f>VLOOKUP(A61,[2]TDSheet!$A:$N,14,0)</f>
        <v>104.8</v>
      </c>
      <c r="AM61" s="35"/>
    </row>
    <row r="62" spans="1:39" ht="11.25" hidden="1" customHeight="1" outlineLevel="2" x14ac:dyDescent="0.2">
      <c r="A62" s="69" t="s">
        <v>62</v>
      </c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70">
        <v>51.6</v>
      </c>
      <c r="Q62" s="70"/>
      <c r="R62" s="70"/>
      <c r="S62" s="70"/>
      <c r="T62" s="70"/>
      <c r="U62" s="70"/>
      <c r="V62" s="70"/>
      <c r="W62" s="70">
        <v>50.8</v>
      </c>
      <c r="X62" s="70"/>
      <c r="Y62" s="70"/>
      <c r="Z62" s="70"/>
      <c r="AA62" s="70"/>
      <c r="AB62" s="70">
        <v>0.8</v>
      </c>
      <c r="AC62" s="70"/>
      <c r="AD62" s="70"/>
      <c r="AE62" s="70"/>
      <c r="AF62" s="70"/>
      <c r="AG62" s="70">
        <v>0.8</v>
      </c>
      <c r="AH62" s="70"/>
      <c r="AI62" s="70"/>
      <c r="AJ62" s="70"/>
      <c r="AK62" s="35" t="str">
        <f>VLOOKUP(A62,[1]Sheet!$A:$I,9,0)</f>
        <v>матрица</v>
      </c>
      <c r="AL62" s="35">
        <f>VLOOKUP(A62,[2]TDSheet!$A:$N,14,0)</f>
        <v>115.6</v>
      </c>
      <c r="AM62" s="35"/>
    </row>
    <row r="63" spans="1:39" ht="11.25" hidden="1" customHeight="1" outlineLevel="2" x14ac:dyDescent="0.2">
      <c r="A63" s="69" t="s">
        <v>63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75">
        <v>38</v>
      </c>
      <c r="Q63" s="75"/>
      <c r="R63" s="75"/>
      <c r="S63" s="75"/>
      <c r="T63" s="75"/>
      <c r="U63" s="75"/>
      <c r="V63" s="75"/>
      <c r="W63" s="75">
        <v>38</v>
      </c>
      <c r="X63" s="75"/>
      <c r="Y63" s="75"/>
      <c r="Z63" s="75"/>
      <c r="AA63" s="75"/>
      <c r="AB63" s="37"/>
      <c r="AC63" s="37"/>
      <c r="AD63" s="37"/>
      <c r="AE63" s="37"/>
      <c r="AF63" s="37"/>
      <c r="AG63" s="36"/>
      <c r="AH63" s="36"/>
      <c r="AI63" s="36"/>
      <c r="AJ63" s="36"/>
      <c r="AK63" s="35" t="str">
        <f>VLOOKUP(A63,[1]Sheet!$A:$I,9,0)</f>
        <v>матрица</v>
      </c>
      <c r="AL63" s="35">
        <f>VLOOKUP(A63,[2]TDSheet!$A:$N,14,0)</f>
        <v>133.19999999999999</v>
      </c>
      <c r="AM63" s="35"/>
    </row>
    <row r="64" spans="1:39" ht="11.25" hidden="1" customHeight="1" outlineLevel="2" x14ac:dyDescent="0.2">
      <c r="A64" s="69" t="s">
        <v>64</v>
      </c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75">
        <v>4</v>
      </c>
      <c r="Q64" s="75"/>
      <c r="R64" s="75"/>
      <c r="S64" s="75"/>
      <c r="T64" s="75"/>
      <c r="U64" s="75"/>
      <c r="V64" s="75"/>
      <c r="W64" s="37"/>
      <c r="X64" s="37"/>
      <c r="Y64" s="37"/>
      <c r="Z64" s="37"/>
      <c r="AA64" s="37"/>
      <c r="AB64" s="75">
        <v>4</v>
      </c>
      <c r="AC64" s="75"/>
      <c r="AD64" s="75"/>
      <c r="AE64" s="75"/>
      <c r="AF64" s="75"/>
      <c r="AG64" s="75">
        <v>4</v>
      </c>
      <c r="AH64" s="75"/>
      <c r="AI64" s="75"/>
      <c r="AJ64" s="75"/>
      <c r="AK64" s="35" t="e">
        <f>VLOOKUP(A64,[1]Sheet!$A:$I,9,0)</f>
        <v>#N/A</v>
      </c>
      <c r="AL64" s="35" t="e">
        <f>VLOOKUP(A64,[2]TDSheet!$A:$N,14,0)</f>
        <v>#N/A</v>
      </c>
      <c r="AM64" s="35"/>
    </row>
    <row r="65" spans="1:39" ht="11.25" customHeight="1" outlineLevel="2" x14ac:dyDescent="0.2">
      <c r="A65" s="69" t="s">
        <v>65</v>
      </c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70">
        <v>16.8</v>
      </c>
      <c r="Q65" s="70"/>
      <c r="R65" s="70"/>
      <c r="S65" s="70"/>
      <c r="T65" s="70"/>
      <c r="U65" s="70"/>
      <c r="V65" s="70"/>
      <c r="W65" s="37"/>
      <c r="X65" s="37"/>
      <c r="Y65" s="37"/>
      <c r="Z65" s="37"/>
      <c r="AA65" s="37"/>
      <c r="AB65" s="70">
        <v>16.8</v>
      </c>
      <c r="AC65" s="70"/>
      <c r="AD65" s="70"/>
      <c r="AE65" s="70"/>
      <c r="AF65" s="70"/>
      <c r="AG65" s="79">
        <v>16.8</v>
      </c>
      <c r="AH65" s="79"/>
      <c r="AI65" s="79"/>
      <c r="AJ65" s="79"/>
      <c r="AK65" s="38" t="s">
        <v>893</v>
      </c>
      <c r="AL65" s="35"/>
      <c r="AM65" s="35"/>
    </row>
    <row r="66" spans="1:39" ht="11.25" customHeight="1" outlineLevel="2" x14ac:dyDescent="0.2">
      <c r="A66" s="69" t="s">
        <v>66</v>
      </c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70">
        <v>34.200000000000003</v>
      </c>
      <c r="Q66" s="70"/>
      <c r="R66" s="70"/>
      <c r="S66" s="70"/>
      <c r="T66" s="70"/>
      <c r="U66" s="70"/>
      <c r="V66" s="70"/>
      <c r="W66" s="70">
        <v>20.399999999999999</v>
      </c>
      <c r="X66" s="70"/>
      <c r="Y66" s="70"/>
      <c r="Z66" s="70"/>
      <c r="AA66" s="70"/>
      <c r="AB66" s="70">
        <v>13.8</v>
      </c>
      <c r="AC66" s="70"/>
      <c r="AD66" s="70"/>
      <c r="AE66" s="70"/>
      <c r="AF66" s="70"/>
      <c r="AG66" s="79">
        <v>13.8</v>
      </c>
      <c r="AH66" s="79"/>
      <c r="AI66" s="79"/>
      <c r="AJ66" s="79"/>
      <c r="AK66" s="35" t="str">
        <f>VLOOKUP(A66,[1]Sheet!$A:$I,9,0)</f>
        <v>матрица</v>
      </c>
      <c r="AL66" s="35">
        <f>VLOOKUP(A66,[2]TDSheet!$A:$N,14,0)</f>
        <v>0.3</v>
      </c>
      <c r="AM66" s="35" t="s">
        <v>900</v>
      </c>
    </row>
    <row r="67" spans="1:39" ht="11.25" hidden="1" customHeight="1" outlineLevel="2" x14ac:dyDescent="0.2">
      <c r="A67" s="69" t="s">
        <v>67</v>
      </c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73">
        <v>25.55</v>
      </c>
      <c r="Q67" s="73"/>
      <c r="R67" s="73"/>
      <c r="S67" s="73"/>
      <c r="T67" s="73"/>
      <c r="U67" s="73"/>
      <c r="V67" s="73"/>
      <c r="W67" s="73">
        <v>25.55</v>
      </c>
      <c r="X67" s="73"/>
      <c r="Y67" s="73"/>
      <c r="Z67" s="73"/>
      <c r="AA67" s="73"/>
      <c r="AB67" s="37"/>
      <c r="AC67" s="37"/>
      <c r="AD67" s="37"/>
      <c r="AE67" s="37"/>
      <c r="AF67" s="37"/>
      <c r="AG67" s="36"/>
      <c r="AH67" s="36"/>
      <c r="AI67" s="36"/>
      <c r="AJ67" s="36"/>
      <c r="AK67" s="35" t="str">
        <f>VLOOKUP(A67,[1]Sheet!$A:$I,9,0)</f>
        <v>матрица</v>
      </c>
      <c r="AL67" s="35">
        <f>VLOOKUP(A67,[2]TDSheet!$A:$N,14,0)</f>
        <v>37.1</v>
      </c>
      <c r="AM67" s="35"/>
    </row>
    <row r="68" spans="1:39" ht="11.25" customHeight="1" outlineLevel="2" x14ac:dyDescent="0.2">
      <c r="A68" s="69" t="s">
        <v>68</v>
      </c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73">
        <v>27.06</v>
      </c>
      <c r="Q68" s="73"/>
      <c r="R68" s="73"/>
      <c r="S68" s="73"/>
      <c r="T68" s="73"/>
      <c r="U68" s="73"/>
      <c r="V68" s="73"/>
      <c r="W68" s="37"/>
      <c r="X68" s="37"/>
      <c r="Y68" s="37"/>
      <c r="Z68" s="37"/>
      <c r="AA68" s="37"/>
      <c r="AB68" s="73">
        <v>27.06</v>
      </c>
      <c r="AC68" s="73"/>
      <c r="AD68" s="73"/>
      <c r="AE68" s="73"/>
      <c r="AF68" s="73"/>
      <c r="AG68" s="74">
        <v>27.06</v>
      </c>
      <c r="AH68" s="74"/>
      <c r="AI68" s="74"/>
      <c r="AJ68" s="74"/>
      <c r="AK68" s="38" t="str">
        <f>VLOOKUP(A68,[1]Sheet!$A:$I,9,0)</f>
        <v>вывод</v>
      </c>
      <c r="AL68" s="35">
        <f>VLOOKUP(A68,[2]TDSheet!$A:$N,14,0)</f>
        <v>0</v>
      </c>
      <c r="AM68" s="35"/>
    </row>
    <row r="69" spans="1:39" ht="11.25" hidden="1" customHeight="1" outlineLevel="2" x14ac:dyDescent="0.2">
      <c r="A69" s="69" t="s">
        <v>69</v>
      </c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73">
        <v>10.25</v>
      </c>
      <c r="Q69" s="73"/>
      <c r="R69" s="73"/>
      <c r="S69" s="73"/>
      <c r="T69" s="73"/>
      <c r="U69" s="73"/>
      <c r="V69" s="73"/>
      <c r="W69" s="73">
        <v>10.25</v>
      </c>
      <c r="X69" s="73"/>
      <c r="Y69" s="73"/>
      <c r="Z69" s="73"/>
      <c r="AA69" s="73"/>
      <c r="AB69" s="37"/>
      <c r="AC69" s="37"/>
      <c r="AD69" s="37"/>
      <c r="AE69" s="37"/>
      <c r="AF69" s="37"/>
      <c r="AG69" s="36"/>
      <c r="AH69" s="36"/>
      <c r="AI69" s="36"/>
      <c r="AJ69" s="36"/>
      <c r="AK69" s="38" t="str">
        <f>VLOOKUP(A69,[1]Sheet!$A:$I,9,0)</f>
        <v>матрица</v>
      </c>
      <c r="AL69" s="35">
        <f>VLOOKUP(A69,[2]TDSheet!$A:$N,14,0)</f>
        <v>49.61</v>
      </c>
      <c r="AM69" s="35"/>
    </row>
    <row r="70" spans="1:39" ht="11.25" customHeight="1" outlineLevel="2" x14ac:dyDescent="0.2">
      <c r="A70" s="69" t="s">
        <v>70</v>
      </c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73">
        <v>58.32</v>
      </c>
      <c r="Q70" s="73"/>
      <c r="R70" s="73"/>
      <c r="S70" s="73"/>
      <c r="T70" s="73"/>
      <c r="U70" s="73"/>
      <c r="V70" s="73"/>
      <c r="W70" s="73">
        <v>49.68</v>
      </c>
      <c r="X70" s="73"/>
      <c r="Y70" s="73"/>
      <c r="Z70" s="73"/>
      <c r="AA70" s="73"/>
      <c r="AB70" s="73">
        <v>8.64</v>
      </c>
      <c r="AC70" s="73"/>
      <c r="AD70" s="73"/>
      <c r="AE70" s="73"/>
      <c r="AF70" s="73"/>
      <c r="AG70" s="74">
        <v>8.64</v>
      </c>
      <c r="AH70" s="74"/>
      <c r="AI70" s="74"/>
      <c r="AJ70" s="74"/>
      <c r="AK70" s="38" t="s">
        <v>894</v>
      </c>
      <c r="AL70" s="35">
        <v>1.08</v>
      </c>
      <c r="AM70" s="35"/>
    </row>
    <row r="71" spans="1:39" ht="11.25" customHeight="1" outlineLevel="2" x14ac:dyDescent="0.2">
      <c r="A71" s="69" t="s">
        <v>71</v>
      </c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73">
        <v>3.63</v>
      </c>
      <c r="Q71" s="73"/>
      <c r="R71" s="73"/>
      <c r="S71" s="73"/>
      <c r="T71" s="73"/>
      <c r="U71" s="73"/>
      <c r="V71" s="73"/>
      <c r="W71" s="37"/>
      <c r="X71" s="37"/>
      <c r="Y71" s="37"/>
      <c r="Z71" s="37"/>
      <c r="AA71" s="37"/>
      <c r="AB71" s="73">
        <v>3.63</v>
      </c>
      <c r="AC71" s="73"/>
      <c r="AD71" s="73"/>
      <c r="AE71" s="73"/>
      <c r="AF71" s="73"/>
      <c r="AG71" s="74">
        <v>3.63</v>
      </c>
      <c r="AH71" s="74"/>
      <c r="AI71" s="74"/>
      <c r="AJ71" s="74"/>
      <c r="AK71" s="35" t="str">
        <f>VLOOKUP(A71,[1]Sheet!$A:$I,9,0)</f>
        <v>матрица</v>
      </c>
      <c r="AL71" s="35">
        <f>VLOOKUP(A71,[2]TDSheet!$A:$N,14,0)</f>
        <v>0</v>
      </c>
      <c r="AM71" s="35" t="s">
        <v>901</v>
      </c>
    </row>
    <row r="72" spans="1:39" ht="11.25" customHeight="1" outlineLevel="2" x14ac:dyDescent="0.2">
      <c r="A72" s="69" t="s">
        <v>72</v>
      </c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70">
        <v>18.399999999999999</v>
      </c>
      <c r="Q72" s="70"/>
      <c r="R72" s="70"/>
      <c r="S72" s="70"/>
      <c r="T72" s="70"/>
      <c r="U72" s="70"/>
      <c r="V72" s="70"/>
      <c r="W72" s="70">
        <v>10.4</v>
      </c>
      <c r="X72" s="70"/>
      <c r="Y72" s="70"/>
      <c r="Z72" s="70"/>
      <c r="AA72" s="70"/>
      <c r="AB72" s="75">
        <v>8</v>
      </c>
      <c r="AC72" s="75"/>
      <c r="AD72" s="75"/>
      <c r="AE72" s="75"/>
      <c r="AF72" s="75"/>
      <c r="AG72" s="80">
        <v>8</v>
      </c>
      <c r="AH72" s="80"/>
      <c r="AI72" s="80"/>
      <c r="AJ72" s="80"/>
      <c r="AK72" s="35" t="str">
        <f>VLOOKUP(A72,[1]Sheet!$A:$I,9,0)</f>
        <v>матрица</v>
      </c>
      <c r="AL72" s="35">
        <f>VLOOKUP(A72,[2]TDSheet!$A:$N,14,0)</f>
        <v>0</v>
      </c>
      <c r="AM72" s="35" t="s">
        <v>902</v>
      </c>
    </row>
    <row r="73" spans="1:39" ht="11.25" hidden="1" customHeight="1" outlineLevel="2" x14ac:dyDescent="0.2">
      <c r="A73" s="81" t="s">
        <v>73</v>
      </c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2">
        <v>0.5</v>
      </c>
      <c r="Q73" s="82"/>
      <c r="R73" s="82"/>
      <c r="S73" s="82"/>
      <c r="T73" s="82"/>
      <c r="U73" s="82"/>
      <c r="V73" s="82"/>
      <c r="W73" s="32"/>
      <c r="X73" s="33"/>
      <c r="Y73" s="33"/>
      <c r="Z73" s="33"/>
      <c r="AA73" s="34"/>
      <c r="AB73" s="82">
        <v>0.5</v>
      </c>
      <c r="AC73" s="82"/>
      <c r="AD73" s="82"/>
      <c r="AE73" s="82"/>
      <c r="AF73" s="82"/>
      <c r="AG73" s="82">
        <v>0.5</v>
      </c>
      <c r="AH73" s="82"/>
      <c r="AI73" s="82"/>
      <c r="AJ73" s="82"/>
    </row>
    <row r="74" spans="1:39" ht="11.25" hidden="1" customHeight="1" outlineLevel="2" x14ac:dyDescent="0.2">
      <c r="A74" s="57" t="s">
        <v>74</v>
      </c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9">
        <v>3.2</v>
      </c>
      <c r="Q74" s="59"/>
      <c r="R74" s="59"/>
      <c r="S74" s="59"/>
      <c r="T74" s="59"/>
      <c r="U74" s="59"/>
      <c r="V74" s="59"/>
      <c r="W74" s="59">
        <v>3.2</v>
      </c>
      <c r="X74" s="59"/>
      <c r="Y74" s="59"/>
      <c r="Z74" s="59"/>
      <c r="AA74" s="59"/>
      <c r="AB74" s="12"/>
      <c r="AC74" s="13"/>
      <c r="AD74" s="13"/>
      <c r="AE74" s="13"/>
      <c r="AF74" s="14"/>
      <c r="AG74" s="9"/>
      <c r="AH74" s="10"/>
      <c r="AI74" s="10"/>
      <c r="AJ74" s="11"/>
    </row>
    <row r="75" spans="1:39" ht="11.25" hidden="1" customHeight="1" outlineLevel="2" x14ac:dyDescent="0.2">
      <c r="A75" s="57" t="s">
        <v>75</v>
      </c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41">
        <v>2.25</v>
      </c>
      <c r="Q75" s="41"/>
      <c r="R75" s="41"/>
      <c r="S75" s="41"/>
      <c r="T75" s="41"/>
      <c r="U75" s="41"/>
      <c r="V75" s="41"/>
      <c r="W75" s="12"/>
      <c r="X75" s="13"/>
      <c r="Y75" s="13"/>
      <c r="Z75" s="13"/>
      <c r="AA75" s="14"/>
      <c r="AB75" s="41">
        <v>2.25</v>
      </c>
      <c r="AC75" s="41"/>
      <c r="AD75" s="41"/>
      <c r="AE75" s="41"/>
      <c r="AF75" s="41"/>
      <c r="AG75" s="41">
        <v>2.25</v>
      </c>
      <c r="AH75" s="41"/>
      <c r="AI75" s="41"/>
      <c r="AJ75" s="41"/>
    </row>
    <row r="76" spans="1:39" ht="11.25" hidden="1" customHeight="1" outlineLevel="2" x14ac:dyDescent="0.2">
      <c r="A76" s="57" t="s">
        <v>76</v>
      </c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41">
        <v>0.81</v>
      </c>
      <c r="Q76" s="41"/>
      <c r="R76" s="41"/>
      <c r="S76" s="41"/>
      <c r="T76" s="41"/>
      <c r="U76" s="41"/>
      <c r="V76" s="41"/>
      <c r="W76" s="12"/>
      <c r="X76" s="13"/>
      <c r="Y76" s="13"/>
      <c r="Z76" s="13"/>
      <c r="AA76" s="14"/>
      <c r="AB76" s="41">
        <v>0.81</v>
      </c>
      <c r="AC76" s="41"/>
      <c r="AD76" s="41"/>
      <c r="AE76" s="41"/>
      <c r="AF76" s="41"/>
      <c r="AG76" s="41">
        <v>0.81</v>
      </c>
      <c r="AH76" s="41"/>
      <c r="AI76" s="41"/>
      <c r="AJ76" s="41"/>
    </row>
    <row r="77" spans="1:39" ht="11.25" hidden="1" customHeight="1" outlineLevel="2" x14ac:dyDescent="0.2">
      <c r="A77" s="57" t="s">
        <v>77</v>
      </c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8">
        <v>21</v>
      </c>
      <c r="Q77" s="58"/>
      <c r="R77" s="58"/>
      <c r="S77" s="58"/>
      <c r="T77" s="58"/>
      <c r="U77" s="58"/>
      <c r="V77" s="58"/>
      <c r="W77" s="58">
        <v>21</v>
      </c>
      <c r="X77" s="58"/>
      <c r="Y77" s="58"/>
      <c r="Z77" s="58"/>
      <c r="AA77" s="58"/>
      <c r="AB77" s="12"/>
      <c r="AC77" s="13"/>
      <c r="AD77" s="13"/>
      <c r="AE77" s="13"/>
      <c r="AF77" s="14"/>
      <c r="AG77" s="9"/>
      <c r="AH77" s="10"/>
      <c r="AI77" s="10"/>
      <c r="AJ77" s="11"/>
    </row>
    <row r="78" spans="1:39" ht="11.25" hidden="1" customHeight="1" outlineLevel="2" x14ac:dyDescent="0.2">
      <c r="A78" s="57" t="s">
        <v>78</v>
      </c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41">
        <v>72.98</v>
      </c>
      <c r="Q78" s="41"/>
      <c r="R78" s="41"/>
      <c r="S78" s="41"/>
      <c r="T78" s="41"/>
      <c r="U78" s="41"/>
      <c r="V78" s="41"/>
      <c r="W78" s="41">
        <v>72.569999999999993</v>
      </c>
      <c r="X78" s="41"/>
      <c r="Y78" s="41"/>
      <c r="Z78" s="41"/>
      <c r="AA78" s="41"/>
      <c r="AB78" s="41">
        <v>0.41</v>
      </c>
      <c r="AC78" s="41"/>
      <c r="AD78" s="41"/>
      <c r="AE78" s="41"/>
      <c r="AF78" s="41"/>
      <c r="AG78" s="41">
        <v>0.41</v>
      </c>
      <c r="AH78" s="41"/>
      <c r="AI78" s="41"/>
      <c r="AJ78" s="41"/>
    </row>
    <row r="79" spans="1:39" ht="11.25" hidden="1" customHeight="1" outlineLevel="2" x14ac:dyDescent="0.2">
      <c r="A79" s="57" t="s">
        <v>79</v>
      </c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8">
        <v>14</v>
      </c>
      <c r="Q79" s="58"/>
      <c r="R79" s="58"/>
      <c r="S79" s="58"/>
      <c r="T79" s="58"/>
      <c r="U79" s="58"/>
      <c r="V79" s="58"/>
      <c r="W79" s="58">
        <v>14</v>
      </c>
      <c r="X79" s="58"/>
      <c r="Y79" s="58"/>
      <c r="Z79" s="58"/>
      <c r="AA79" s="58"/>
      <c r="AB79" s="12"/>
      <c r="AC79" s="13"/>
      <c r="AD79" s="13"/>
      <c r="AE79" s="13"/>
      <c r="AF79" s="14"/>
      <c r="AG79" s="9"/>
      <c r="AH79" s="10"/>
      <c r="AI79" s="10"/>
      <c r="AJ79" s="11"/>
    </row>
    <row r="80" spans="1:39" ht="11.25" hidden="1" customHeight="1" outlineLevel="2" x14ac:dyDescent="0.2">
      <c r="A80" s="57" t="s">
        <v>80</v>
      </c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41">
        <v>60.68</v>
      </c>
      <c r="Q80" s="41"/>
      <c r="R80" s="41"/>
      <c r="S80" s="41"/>
      <c r="T80" s="41"/>
      <c r="U80" s="41"/>
      <c r="V80" s="41"/>
      <c r="W80" s="41">
        <v>60.68</v>
      </c>
      <c r="X80" s="41"/>
      <c r="Y80" s="41"/>
      <c r="Z80" s="41"/>
      <c r="AA80" s="41"/>
      <c r="AB80" s="12"/>
      <c r="AC80" s="13"/>
      <c r="AD80" s="13"/>
      <c r="AE80" s="13"/>
      <c r="AF80" s="14"/>
      <c r="AG80" s="9"/>
      <c r="AH80" s="10"/>
      <c r="AI80" s="10"/>
      <c r="AJ80" s="11"/>
    </row>
    <row r="81" spans="1:40" ht="11.25" hidden="1" customHeight="1" outlineLevel="2" x14ac:dyDescent="0.2">
      <c r="A81" s="57" t="s">
        <v>81</v>
      </c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9">
        <v>7.5</v>
      </c>
      <c r="Q81" s="59"/>
      <c r="R81" s="59"/>
      <c r="S81" s="59"/>
      <c r="T81" s="59"/>
      <c r="U81" s="59"/>
      <c r="V81" s="59"/>
      <c r="W81" s="59">
        <v>7.5</v>
      </c>
      <c r="X81" s="59"/>
      <c r="Y81" s="59"/>
      <c r="Z81" s="59"/>
      <c r="AA81" s="59"/>
      <c r="AB81" s="12"/>
      <c r="AC81" s="13"/>
      <c r="AD81" s="13"/>
      <c r="AE81" s="13"/>
      <c r="AF81" s="14"/>
      <c r="AG81" s="9"/>
      <c r="AH81" s="10"/>
      <c r="AI81" s="10"/>
      <c r="AJ81" s="11"/>
    </row>
    <row r="82" spans="1:40" ht="11.25" hidden="1" customHeight="1" outlineLevel="2" x14ac:dyDescent="0.2">
      <c r="A82" s="57" t="s">
        <v>82</v>
      </c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41">
        <v>18.54</v>
      </c>
      <c r="Q82" s="41"/>
      <c r="R82" s="41"/>
      <c r="S82" s="41"/>
      <c r="T82" s="41"/>
      <c r="U82" s="41"/>
      <c r="V82" s="41"/>
      <c r="W82" s="41">
        <v>17.82</v>
      </c>
      <c r="X82" s="41"/>
      <c r="Y82" s="41"/>
      <c r="Z82" s="41"/>
      <c r="AA82" s="41"/>
      <c r="AB82" s="41">
        <v>0.72</v>
      </c>
      <c r="AC82" s="41"/>
      <c r="AD82" s="41"/>
      <c r="AE82" s="41"/>
      <c r="AF82" s="41"/>
      <c r="AG82" s="41">
        <v>0.72</v>
      </c>
      <c r="AH82" s="41"/>
      <c r="AI82" s="41"/>
      <c r="AJ82" s="41"/>
    </row>
    <row r="83" spans="1:40" ht="11.25" hidden="1" customHeight="1" outlineLevel="2" x14ac:dyDescent="0.2">
      <c r="A83" s="57" t="s">
        <v>83</v>
      </c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9">
        <v>1.1000000000000001</v>
      </c>
      <c r="Q83" s="59"/>
      <c r="R83" s="59"/>
      <c r="S83" s="59"/>
      <c r="T83" s="59"/>
      <c r="U83" s="59"/>
      <c r="V83" s="59"/>
      <c r="W83" s="41">
        <v>0.22</v>
      </c>
      <c r="X83" s="41"/>
      <c r="Y83" s="41"/>
      <c r="Z83" s="41"/>
      <c r="AA83" s="41"/>
      <c r="AB83" s="41">
        <v>0.88</v>
      </c>
      <c r="AC83" s="41"/>
      <c r="AD83" s="41"/>
      <c r="AE83" s="41"/>
      <c r="AF83" s="41"/>
      <c r="AG83" s="41">
        <v>0.88</v>
      </c>
      <c r="AH83" s="41"/>
      <c r="AI83" s="41"/>
      <c r="AJ83" s="41"/>
    </row>
    <row r="84" spans="1:40" ht="11.25" hidden="1" customHeight="1" outlineLevel="2" x14ac:dyDescent="0.2">
      <c r="A84" s="57" t="s">
        <v>84</v>
      </c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41">
        <v>45.85</v>
      </c>
      <c r="Q84" s="41"/>
      <c r="R84" s="41"/>
      <c r="S84" s="41"/>
      <c r="T84" s="41"/>
      <c r="U84" s="41"/>
      <c r="V84" s="41"/>
      <c r="W84" s="41">
        <v>45.85</v>
      </c>
      <c r="X84" s="41"/>
      <c r="Y84" s="41"/>
      <c r="Z84" s="41"/>
      <c r="AA84" s="41"/>
      <c r="AB84" s="12"/>
      <c r="AC84" s="13"/>
      <c r="AD84" s="13"/>
      <c r="AE84" s="13"/>
      <c r="AF84" s="14"/>
      <c r="AG84" s="9"/>
      <c r="AH84" s="10"/>
      <c r="AI84" s="10"/>
      <c r="AJ84" s="11"/>
    </row>
    <row r="85" spans="1:40" ht="11.25" hidden="1" customHeight="1" outlineLevel="2" x14ac:dyDescent="0.2">
      <c r="A85" s="57" t="s">
        <v>85</v>
      </c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41">
        <v>63.35</v>
      </c>
      <c r="Q85" s="41"/>
      <c r="R85" s="41"/>
      <c r="S85" s="41"/>
      <c r="T85" s="41"/>
      <c r="U85" s="41"/>
      <c r="V85" s="41"/>
      <c r="W85" s="41">
        <v>62.65</v>
      </c>
      <c r="X85" s="41"/>
      <c r="Y85" s="41"/>
      <c r="Z85" s="41"/>
      <c r="AA85" s="41"/>
      <c r="AB85" s="59">
        <v>0.7</v>
      </c>
      <c r="AC85" s="59"/>
      <c r="AD85" s="59"/>
      <c r="AE85" s="59"/>
      <c r="AF85" s="59"/>
      <c r="AG85" s="59">
        <v>0.7</v>
      </c>
      <c r="AH85" s="59"/>
      <c r="AI85" s="59"/>
      <c r="AJ85" s="59"/>
    </row>
    <row r="86" spans="1:40" ht="11.25" hidden="1" customHeight="1" outlineLevel="2" x14ac:dyDescent="0.2">
      <c r="A86" s="57" t="s">
        <v>86</v>
      </c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9">
        <v>20.3</v>
      </c>
      <c r="Q86" s="59"/>
      <c r="R86" s="59"/>
      <c r="S86" s="59"/>
      <c r="T86" s="59"/>
      <c r="U86" s="59"/>
      <c r="V86" s="59"/>
      <c r="W86" s="59">
        <v>20.3</v>
      </c>
      <c r="X86" s="59"/>
      <c r="Y86" s="59"/>
      <c r="Z86" s="59"/>
      <c r="AA86" s="59"/>
      <c r="AB86" s="12"/>
      <c r="AC86" s="13"/>
      <c r="AD86" s="13"/>
      <c r="AE86" s="13"/>
      <c r="AF86" s="14"/>
      <c r="AG86" s="9"/>
      <c r="AH86" s="10"/>
      <c r="AI86" s="10"/>
      <c r="AJ86" s="11"/>
    </row>
    <row r="87" spans="1:40" ht="11.25" hidden="1" customHeight="1" outlineLevel="2" x14ac:dyDescent="0.2">
      <c r="A87" s="57" t="s">
        <v>87</v>
      </c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9">
        <v>10.5</v>
      </c>
      <c r="Q87" s="59"/>
      <c r="R87" s="59"/>
      <c r="S87" s="59"/>
      <c r="T87" s="59"/>
      <c r="U87" s="59"/>
      <c r="V87" s="59"/>
      <c r="W87" s="59">
        <v>2.4</v>
      </c>
      <c r="X87" s="59"/>
      <c r="Y87" s="59"/>
      <c r="Z87" s="59"/>
      <c r="AA87" s="59"/>
      <c r="AB87" s="59">
        <v>8.1</v>
      </c>
      <c r="AC87" s="59"/>
      <c r="AD87" s="59"/>
      <c r="AE87" s="59"/>
      <c r="AF87" s="59"/>
      <c r="AG87" s="84">
        <v>8.1</v>
      </c>
      <c r="AH87" s="84"/>
      <c r="AI87" s="84"/>
      <c r="AJ87" s="84"/>
    </row>
    <row r="88" spans="1:40" ht="11.25" hidden="1" customHeight="1" outlineLevel="2" x14ac:dyDescent="0.2">
      <c r="A88" s="57" t="s">
        <v>88</v>
      </c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9">
        <v>8.4</v>
      </c>
      <c r="Q88" s="59"/>
      <c r="R88" s="59"/>
      <c r="S88" s="59"/>
      <c r="T88" s="59"/>
      <c r="U88" s="59"/>
      <c r="V88" s="59"/>
      <c r="W88" s="59">
        <v>8.4</v>
      </c>
      <c r="X88" s="59"/>
      <c r="Y88" s="59"/>
      <c r="Z88" s="59"/>
      <c r="AA88" s="59"/>
      <c r="AB88" s="12"/>
      <c r="AC88" s="13"/>
      <c r="AD88" s="13"/>
      <c r="AE88" s="13"/>
      <c r="AF88" s="14"/>
      <c r="AG88" s="9"/>
      <c r="AH88" s="10"/>
      <c r="AI88" s="10"/>
      <c r="AJ88" s="11"/>
    </row>
    <row r="89" spans="1:40" ht="11.25" hidden="1" customHeight="1" outlineLevel="2" x14ac:dyDescent="0.2">
      <c r="A89" s="57" t="s">
        <v>89</v>
      </c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41">
        <v>12.04</v>
      </c>
      <c r="Q89" s="41"/>
      <c r="R89" s="41"/>
      <c r="S89" s="41"/>
      <c r="T89" s="41"/>
      <c r="U89" s="41"/>
      <c r="V89" s="41"/>
      <c r="W89" s="41">
        <v>8.68</v>
      </c>
      <c r="X89" s="41"/>
      <c r="Y89" s="41"/>
      <c r="Z89" s="41"/>
      <c r="AA89" s="41"/>
      <c r="AB89" s="41">
        <v>3.36</v>
      </c>
      <c r="AC89" s="41"/>
      <c r="AD89" s="41"/>
      <c r="AE89" s="41"/>
      <c r="AF89" s="41"/>
      <c r="AG89" s="83">
        <v>3.36</v>
      </c>
      <c r="AH89" s="83"/>
      <c r="AI89" s="83"/>
      <c r="AJ89" s="83"/>
    </row>
    <row r="90" spans="1:40" ht="11.25" hidden="1" customHeight="1" outlineLevel="2" x14ac:dyDescent="0.2">
      <c r="A90" s="57" t="s">
        <v>90</v>
      </c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41">
        <v>14.56</v>
      </c>
      <c r="Q90" s="41"/>
      <c r="R90" s="41"/>
      <c r="S90" s="41"/>
      <c r="T90" s="41"/>
      <c r="U90" s="41"/>
      <c r="V90" s="41"/>
      <c r="W90" s="41">
        <v>6.44</v>
      </c>
      <c r="X90" s="41"/>
      <c r="Y90" s="41"/>
      <c r="Z90" s="41"/>
      <c r="AA90" s="41"/>
      <c r="AB90" s="41">
        <v>8.1199999999999992</v>
      </c>
      <c r="AC90" s="41"/>
      <c r="AD90" s="41"/>
      <c r="AE90" s="41"/>
      <c r="AF90" s="41"/>
      <c r="AG90" s="83">
        <v>8.1199999999999992</v>
      </c>
      <c r="AH90" s="83"/>
      <c r="AI90" s="83"/>
      <c r="AJ90" s="83"/>
    </row>
    <row r="91" spans="1:40" ht="11.25" hidden="1" customHeight="1" outlineLevel="2" x14ac:dyDescent="0.2">
      <c r="A91" s="57" t="s">
        <v>91</v>
      </c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41">
        <v>46.76</v>
      </c>
      <c r="Q91" s="41"/>
      <c r="R91" s="41"/>
      <c r="S91" s="41"/>
      <c r="T91" s="41"/>
      <c r="U91" s="41"/>
      <c r="V91" s="41"/>
      <c r="W91" s="41">
        <v>46.76</v>
      </c>
      <c r="X91" s="41"/>
      <c r="Y91" s="41"/>
      <c r="Z91" s="41"/>
      <c r="AA91" s="41"/>
      <c r="AB91" s="12"/>
      <c r="AC91" s="13"/>
      <c r="AD91" s="13"/>
      <c r="AE91" s="13"/>
      <c r="AF91" s="14"/>
      <c r="AG91" s="9"/>
      <c r="AH91" s="10"/>
      <c r="AI91" s="10"/>
      <c r="AJ91" s="11"/>
    </row>
    <row r="92" spans="1:40" ht="11.25" hidden="1" customHeight="1" outlineLevel="2" x14ac:dyDescent="0.2">
      <c r="A92" s="57" t="s">
        <v>92</v>
      </c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8">
        <v>16</v>
      </c>
      <c r="Q92" s="58"/>
      <c r="R92" s="58"/>
      <c r="S92" s="58"/>
      <c r="T92" s="58"/>
      <c r="U92" s="58"/>
      <c r="V92" s="58"/>
      <c r="W92" s="58">
        <v>16</v>
      </c>
      <c r="X92" s="58"/>
      <c r="Y92" s="58"/>
      <c r="Z92" s="58"/>
      <c r="AA92" s="58"/>
      <c r="AB92" s="12"/>
      <c r="AC92" s="13"/>
      <c r="AD92" s="13"/>
      <c r="AE92" s="13"/>
      <c r="AF92" s="14"/>
      <c r="AG92" s="9"/>
      <c r="AH92" s="10"/>
      <c r="AI92" s="10"/>
      <c r="AJ92" s="11"/>
    </row>
    <row r="93" spans="1:40" ht="11.25" hidden="1" customHeight="1" outlineLevel="2" x14ac:dyDescent="0.2">
      <c r="A93" s="57" t="s">
        <v>93</v>
      </c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9">
        <v>2.1</v>
      </c>
      <c r="Q93" s="59"/>
      <c r="R93" s="59"/>
      <c r="S93" s="59"/>
      <c r="T93" s="59"/>
      <c r="U93" s="59"/>
      <c r="V93" s="59"/>
      <c r="W93" s="12"/>
      <c r="X93" s="13"/>
      <c r="Y93" s="13"/>
      <c r="Z93" s="13"/>
      <c r="AA93" s="14"/>
      <c r="AB93" s="59">
        <v>2.1</v>
      </c>
      <c r="AC93" s="59"/>
      <c r="AD93" s="59"/>
      <c r="AE93" s="59"/>
      <c r="AF93" s="59"/>
      <c r="AG93" s="59">
        <v>2.1</v>
      </c>
      <c r="AH93" s="59"/>
      <c r="AI93" s="59"/>
      <c r="AJ93" s="59"/>
    </row>
    <row r="94" spans="1:40" ht="11.25" hidden="1" customHeight="1" outlineLevel="2" x14ac:dyDescent="0.2">
      <c r="A94" s="57" t="s">
        <v>94</v>
      </c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41">
        <v>0.56000000000000005</v>
      </c>
      <c r="Q94" s="41"/>
      <c r="R94" s="41"/>
      <c r="S94" s="41"/>
      <c r="T94" s="41"/>
      <c r="U94" s="41"/>
      <c r="V94" s="41"/>
      <c r="W94" s="12"/>
      <c r="X94" s="13"/>
      <c r="Y94" s="13"/>
      <c r="Z94" s="13"/>
      <c r="AA94" s="14"/>
      <c r="AB94" s="41">
        <v>0.56000000000000005</v>
      </c>
      <c r="AC94" s="41"/>
      <c r="AD94" s="41"/>
      <c r="AE94" s="41"/>
      <c r="AF94" s="41"/>
      <c r="AG94" s="41">
        <v>0.56000000000000005</v>
      </c>
      <c r="AH94" s="41"/>
      <c r="AI94" s="41"/>
      <c r="AJ94" s="41"/>
    </row>
    <row r="95" spans="1:40" ht="11.25" hidden="1" customHeight="1" outlineLevel="2" x14ac:dyDescent="0.2">
      <c r="A95" s="57" t="s">
        <v>95</v>
      </c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41">
        <v>5.64</v>
      </c>
      <c r="Q95" s="41"/>
      <c r="R95" s="41"/>
      <c r="S95" s="41"/>
      <c r="T95" s="41"/>
      <c r="U95" s="41"/>
      <c r="V95" s="41"/>
      <c r="W95" s="41">
        <v>5.64</v>
      </c>
      <c r="X95" s="41"/>
      <c r="Y95" s="41"/>
      <c r="Z95" s="41"/>
      <c r="AA95" s="41"/>
      <c r="AB95" s="12"/>
      <c r="AC95" s="13"/>
      <c r="AD95" s="13"/>
      <c r="AE95" s="13"/>
      <c r="AF95" s="14"/>
      <c r="AG95" s="9"/>
      <c r="AH95" s="10"/>
      <c r="AI95" s="10"/>
      <c r="AJ95" s="11"/>
      <c r="AN95" s="28">
        <f>AG72+AG71+AG70+AG68+AG66+AG65+AG64+AG54+AG47+AG40+AG39+AG33</f>
        <v>184.255</v>
      </c>
    </row>
    <row r="96" spans="1:40" ht="11.25" hidden="1" customHeight="1" outlineLevel="2" x14ac:dyDescent="0.2">
      <c r="A96" s="57" t="s">
        <v>96</v>
      </c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41">
        <v>7.05</v>
      </c>
      <c r="Q96" s="41"/>
      <c r="R96" s="41"/>
      <c r="S96" s="41"/>
      <c r="T96" s="41"/>
      <c r="U96" s="41"/>
      <c r="V96" s="41"/>
      <c r="W96" s="41">
        <v>6.15</v>
      </c>
      <c r="X96" s="41"/>
      <c r="Y96" s="41"/>
      <c r="Z96" s="41"/>
      <c r="AA96" s="41"/>
      <c r="AB96" s="59">
        <v>0.9</v>
      </c>
      <c r="AC96" s="59"/>
      <c r="AD96" s="59"/>
      <c r="AE96" s="59"/>
      <c r="AF96" s="59"/>
      <c r="AG96" s="59">
        <v>0.9</v>
      </c>
      <c r="AH96" s="59"/>
      <c r="AI96" s="59"/>
      <c r="AJ96" s="59"/>
    </row>
    <row r="97" spans="1:36" ht="11.25" hidden="1" customHeight="1" outlineLevel="2" x14ac:dyDescent="0.2">
      <c r="A97" s="57" t="s">
        <v>97</v>
      </c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41">
        <v>35.26</v>
      </c>
      <c r="Q97" s="41"/>
      <c r="R97" s="41"/>
      <c r="S97" s="41"/>
      <c r="T97" s="41"/>
      <c r="U97" s="41"/>
      <c r="V97" s="41"/>
      <c r="W97" s="41">
        <v>35.26</v>
      </c>
      <c r="X97" s="41"/>
      <c r="Y97" s="41"/>
      <c r="Z97" s="41"/>
      <c r="AA97" s="41"/>
      <c r="AB97" s="12"/>
      <c r="AC97" s="13"/>
      <c r="AD97" s="13"/>
      <c r="AE97" s="13"/>
      <c r="AF97" s="14"/>
      <c r="AG97" s="9"/>
      <c r="AH97" s="10"/>
      <c r="AI97" s="10"/>
      <c r="AJ97" s="11"/>
    </row>
    <row r="98" spans="1:36" ht="11.25" hidden="1" customHeight="1" outlineLevel="2" x14ac:dyDescent="0.2">
      <c r="A98" s="57" t="s">
        <v>98</v>
      </c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41">
        <v>6.15</v>
      </c>
      <c r="Q98" s="41"/>
      <c r="R98" s="41"/>
      <c r="S98" s="41"/>
      <c r="T98" s="41"/>
      <c r="U98" s="41"/>
      <c r="V98" s="41"/>
      <c r="W98" s="41">
        <v>6.15</v>
      </c>
      <c r="X98" s="41"/>
      <c r="Y98" s="41"/>
      <c r="Z98" s="41"/>
      <c r="AA98" s="41"/>
      <c r="AB98" s="12"/>
      <c r="AC98" s="13"/>
      <c r="AD98" s="13"/>
      <c r="AE98" s="13"/>
      <c r="AF98" s="14"/>
      <c r="AG98" s="9"/>
      <c r="AH98" s="10"/>
      <c r="AI98" s="10"/>
      <c r="AJ98" s="11"/>
    </row>
    <row r="99" spans="1:36" ht="11.25" hidden="1" customHeight="1" outlineLevel="2" x14ac:dyDescent="0.2">
      <c r="A99" s="57" t="s">
        <v>99</v>
      </c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41">
        <v>7.05</v>
      </c>
      <c r="Q99" s="41"/>
      <c r="R99" s="41"/>
      <c r="S99" s="41"/>
      <c r="T99" s="41"/>
      <c r="U99" s="41"/>
      <c r="V99" s="41"/>
      <c r="W99" s="41">
        <v>2.25</v>
      </c>
      <c r="X99" s="41"/>
      <c r="Y99" s="41"/>
      <c r="Z99" s="41"/>
      <c r="AA99" s="41"/>
      <c r="AB99" s="59">
        <v>4.8</v>
      </c>
      <c r="AC99" s="59"/>
      <c r="AD99" s="59"/>
      <c r="AE99" s="59"/>
      <c r="AF99" s="59"/>
      <c r="AG99" s="59">
        <v>4.8</v>
      </c>
      <c r="AH99" s="59"/>
      <c r="AI99" s="59"/>
      <c r="AJ99" s="59"/>
    </row>
    <row r="100" spans="1:36" ht="11.25" hidden="1" customHeight="1" outlineLevel="2" x14ac:dyDescent="0.2">
      <c r="A100" s="57" t="s">
        <v>100</v>
      </c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41">
        <v>4.95</v>
      </c>
      <c r="Q100" s="41"/>
      <c r="R100" s="41"/>
      <c r="S100" s="41"/>
      <c r="T100" s="41"/>
      <c r="U100" s="41"/>
      <c r="V100" s="41"/>
      <c r="W100" s="41">
        <v>4.95</v>
      </c>
      <c r="X100" s="41"/>
      <c r="Y100" s="41"/>
      <c r="Z100" s="41"/>
      <c r="AA100" s="41"/>
      <c r="AB100" s="12"/>
      <c r="AC100" s="13"/>
      <c r="AD100" s="13"/>
      <c r="AE100" s="13"/>
      <c r="AF100" s="14"/>
      <c r="AG100" s="9"/>
      <c r="AH100" s="10"/>
      <c r="AI100" s="10"/>
      <c r="AJ100" s="11"/>
    </row>
    <row r="101" spans="1:36" ht="11.25" hidden="1" customHeight="1" outlineLevel="2" x14ac:dyDescent="0.2">
      <c r="A101" s="57" t="s">
        <v>101</v>
      </c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9">
        <v>14.1</v>
      </c>
      <c r="Q101" s="59"/>
      <c r="R101" s="59"/>
      <c r="S101" s="59"/>
      <c r="T101" s="59"/>
      <c r="U101" s="59"/>
      <c r="V101" s="59"/>
      <c r="W101" s="59">
        <v>14.1</v>
      </c>
      <c r="X101" s="59"/>
      <c r="Y101" s="59"/>
      <c r="Z101" s="59"/>
      <c r="AA101" s="59"/>
      <c r="AB101" s="12"/>
      <c r="AC101" s="13"/>
      <c r="AD101" s="13"/>
      <c r="AE101" s="13"/>
      <c r="AF101" s="14"/>
      <c r="AG101" s="9"/>
      <c r="AH101" s="10"/>
      <c r="AI101" s="10"/>
      <c r="AJ101" s="11"/>
    </row>
    <row r="102" spans="1:36" ht="11.25" hidden="1" customHeight="1" outlineLevel="2" x14ac:dyDescent="0.2">
      <c r="A102" s="57" t="s">
        <v>102</v>
      </c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41">
        <v>0.84</v>
      </c>
      <c r="Q102" s="41"/>
      <c r="R102" s="41"/>
      <c r="S102" s="41"/>
      <c r="T102" s="41"/>
      <c r="U102" s="41"/>
      <c r="V102" s="41"/>
      <c r="W102" s="12"/>
      <c r="X102" s="13"/>
      <c r="Y102" s="13"/>
      <c r="Z102" s="13"/>
      <c r="AA102" s="14"/>
      <c r="AB102" s="41">
        <v>0.84</v>
      </c>
      <c r="AC102" s="41"/>
      <c r="AD102" s="41"/>
      <c r="AE102" s="41"/>
      <c r="AF102" s="41"/>
      <c r="AG102" s="41">
        <v>0.84</v>
      </c>
      <c r="AH102" s="41"/>
      <c r="AI102" s="41"/>
      <c r="AJ102" s="41"/>
    </row>
    <row r="103" spans="1:36" ht="11.25" hidden="1" customHeight="1" outlineLevel="2" x14ac:dyDescent="0.2">
      <c r="A103" s="57" t="s">
        <v>103</v>
      </c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41">
        <v>0.41</v>
      </c>
      <c r="Q103" s="41"/>
      <c r="R103" s="41"/>
      <c r="S103" s="41"/>
      <c r="T103" s="41"/>
      <c r="U103" s="41"/>
      <c r="V103" s="41"/>
      <c r="W103" s="12"/>
      <c r="X103" s="13"/>
      <c r="Y103" s="13"/>
      <c r="Z103" s="13"/>
      <c r="AA103" s="14"/>
      <c r="AB103" s="41">
        <v>0.41</v>
      </c>
      <c r="AC103" s="41"/>
      <c r="AD103" s="41"/>
      <c r="AE103" s="41"/>
      <c r="AF103" s="41"/>
      <c r="AG103" s="41">
        <v>0.41</v>
      </c>
      <c r="AH103" s="41"/>
      <c r="AI103" s="41"/>
      <c r="AJ103" s="41"/>
    </row>
    <row r="104" spans="1:36" ht="11.25" hidden="1" customHeight="1" outlineLevel="2" x14ac:dyDescent="0.2">
      <c r="A104" s="57" t="s">
        <v>104</v>
      </c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8">
        <v>26</v>
      </c>
      <c r="Q104" s="58"/>
      <c r="R104" s="58"/>
      <c r="S104" s="58"/>
      <c r="T104" s="58"/>
      <c r="U104" s="58"/>
      <c r="V104" s="58"/>
      <c r="W104" s="59">
        <v>26.8</v>
      </c>
      <c r="X104" s="59"/>
      <c r="Y104" s="59"/>
      <c r="Z104" s="59"/>
      <c r="AA104" s="59"/>
      <c r="AB104" s="59">
        <v>-0.8</v>
      </c>
      <c r="AC104" s="59"/>
      <c r="AD104" s="59"/>
      <c r="AE104" s="59"/>
      <c r="AF104" s="59"/>
      <c r="AG104" s="9"/>
      <c r="AH104" s="10"/>
      <c r="AI104" s="10"/>
      <c r="AJ104" s="11"/>
    </row>
    <row r="105" spans="1:36" ht="11.25" hidden="1" customHeight="1" outlineLevel="2" x14ac:dyDescent="0.2">
      <c r="A105" s="57" t="s">
        <v>105</v>
      </c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41">
        <v>0.35</v>
      </c>
      <c r="Q105" s="41"/>
      <c r="R105" s="41"/>
      <c r="S105" s="41"/>
      <c r="T105" s="41"/>
      <c r="U105" s="41"/>
      <c r="V105" s="41"/>
      <c r="W105" s="12"/>
      <c r="X105" s="13"/>
      <c r="Y105" s="13"/>
      <c r="Z105" s="13"/>
      <c r="AA105" s="14"/>
      <c r="AB105" s="41">
        <v>0.35</v>
      </c>
      <c r="AC105" s="41"/>
      <c r="AD105" s="41"/>
      <c r="AE105" s="41"/>
      <c r="AF105" s="41"/>
      <c r="AG105" s="41">
        <v>0.35</v>
      </c>
      <c r="AH105" s="41"/>
      <c r="AI105" s="41"/>
      <c r="AJ105" s="41"/>
    </row>
    <row r="106" spans="1:36" ht="11.25" hidden="1" customHeight="1" outlineLevel="2" x14ac:dyDescent="0.2">
      <c r="A106" s="57" t="s">
        <v>106</v>
      </c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41">
        <v>1.65</v>
      </c>
      <c r="Q106" s="41"/>
      <c r="R106" s="41"/>
      <c r="S106" s="41"/>
      <c r="T106" s="41"/>
      <c r="U106" s="41"/>
      <c r="V106" s="41"/>
      <c r="W106" s="41">
        <v>1.65</v>
      </c>
      <c r="X106" s="41"/>
      <c r="Y106" s="41"/>
      <c r="Z106" s="41"/>
      <c r="AA106" s="41"/>
      <c r="AB106" s="12"/>
      <c r="AC106" s="13"/>
      <c r="AD106" s="13"/>
      <c r="AE106" s="13"/>
      <c r="AF106" s="14"/>
      <c r="AG106" s="9"/>
      <c r="AH106" s="10"/>
      <c r="AI106" s="10"/>
      <c r="AJ106" s="11"/>
    </row>
    <row r="107" spans="1:36" ht="11.25" hidden="1" customHeight="1" outlineLevel="2" x14ac:dyDescent="0.2">
      <c r="A107" s="57" t="s">
        <v>107</v>
      </c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8">
        <v>1</v>
      </c>
      <c r="Q107" s="58"/>
      <c r="R107" s="58"/>
      <c r="S107" s="58"/>
      <c r="T107" s="58"/>
      <c r="U107" s="58"/>
      <c r="V107" s="58"/>
      <c r="W107" s="12"/>
      <c r="X107" s="13"/>
      <c r="Y107" s="13"/>
      <c r="Z107" s="13"/>
      <c r="AA107" s="14"/>
      <c r="AB107" s="58">
        <v>1</v>
      </c>
      <c r="AC107" s="58"/>
      <c r="AD107" s="58"/>
      <c r="AE107" s="58"/>
      <c r="AF107" s="58"/>
      <c r="AG107" s="58">
        <v>1</v>
      </c>
      <c r="AH107" s="58"/>
      <c r="AI107" s="58"/>
      <c r="AJ107" s="58"/>
    </row>
    <row r="108" spans="1:36" ht="11.25" hidden="1" customHeight="1" outlineLevel="2" x14ac:dyDescent="0.2">
      <c r="A108" s="57" t="s">
        <v>108</v>
      </c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9">
        <v>1.2</v>
      </c>
      <c r="Q108" s="59"/>
      <c r="R108" s="59"/>
      <c r="S108" s="59"/>
      <c r="T108" s="59"/>
      <c r="U108" s="59"/>
      <c r="V108" s="59"/>
      <c r="W108" s="12"/>
      <c r="X108" s="13"/>
      <c r="Y108" s="13"/>
      <c r="Z108" s="13"/>
      <c r="AA108" s="14"/>
      <c r="AB108" s="59">
        <v>1.2</v>
      </c>
      <c r="AC108" s="59"/>
      <c r="AD108" s="59"/>
      <c r="AE108" s="59"/>
      <c r="AF108" s="59"/>
      <c r="AG108" s="59">
        <v>1.2</v>
      </c>
      <c r="AH108" s="59"/>
      <c r="AI108" s="59"/>
      <c r="AJ108" s="59"/>
    </row>
    <row r="109" spans="1:36" ht="11.25" hidden="1" customHeight="1" outlineLevel="2" x14ac:dyDescent="0.2">
      <c r="A109" s="57" t="s">
        <v>109</v>
      </c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9">
        <v>10.1</v>
      </c>
      <c r="Q109" s="59"/>
      <c r="R109" s="59"/>
      <c r="S109" s="59"/>
      <c r="T109" s="59"/>
      <c r="U109" s="59"/>
      <c r="V109" s="59"/>
      <c r="W109" s="59">
        <v>10.1</v>
      </c>
      <c r="X109" s="59"/>
      <c r="Y109" s="59"/>
      <c r="Z109" s="59"/>
      <c r="AA109" s="59"/>
      <c r="AB109" s="12"/>
      <c r="AC109" s="13"/>
      <c r="AD109" s="13"/>
      <c r="AE109" s="13"/>
      <c r="AF109" s="14"/>
      <c r="AG109" s="9"/>
      <c r="AH109" s="10"/>
      <c r="AI109" s="10"/>
      <c r="AJ109" s="11"/>
    </row>
    <row r="110" spans="1:36" ht="11.25" hidden="1" customHeight="1" outlineLevel="2" x14ac:dyDescent="0.2">
      <c r="A110" s="57" t="s">
        <v>110</v>
      </c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9">
        <v>14.2</v>
      </c>
      <c r="Q110" s="59"/>
      <c r="R110" s="59"/>
      <c r="S110" s="59"/>
      <c r="T110" s="59"/>
      <c r="U110" s="59"/>
      <c r="V110" s="59"/>
      <c r="W110" s="59">
        <v>14.6</v>
      </c>
      <c r="X110" s="59"/>
      <c r="Y110" s="59"/>
      <c r="Z110" s="59"/>
      <c r="AA110" s="59"/>
      <c r="AB110" s="59">
        <v>-0.4</v>
      </c>
      <c r="AC110" s="59"/>
      <c r="AD110" s="59"/>
      <c r="AE110" s="59"/>
      <c r="AF110" s="59"/>
      <c r="AG110" s="59">
        <v>0.2</v>
      </c>
      <c r="AH110" s="59"/>
      <c r="AI110" s="59"/>
      <c r="AJ110" s="59"/>
    </row>
    <row r="111" spans="1:36" ht="11.25" hidden="1" customHeight="1" outlineLevel="2" x14ac:dyDescent="0.2">
      <c r="A111" s="57" t="s">
        <v>111</v>
      </c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9">
        <v>0.1</v>
      </c>
      <c r="Q111" s="59"/>
      <c r="R111" s="59"/>
      <c r="S111" s="59"/>
      <c r="T111" s="59"/>
      <c r="U111" s="59"/>
      <c r="V111" s="59"/>
      <c r="W111" s="12"/>
      <c r="X111" s="13"/>
      <c r="Y111" s="13"/>
      <c r="Z111" s="13"/>
      <c r="AA111" s="14"/>
      <c r="AB111" s="59">
        <v>0.1</v>
      </c>
      <c r="AC111" s="59"/>
      <c r="AD111" s="59"/>
      <c r="AE111" s="59"/>
      <c r="AF111" s="59"/>
      <c r="AG111" s="59">
        <v>0.1</v>
      </c>
      <c r="AH111" s="59"/>
      <c r="AI111" s="59"/>
      <c r="AJ111" s="59"/>
    </row>
    <row r="112" spans="1:36" ht="11.25" hidden="1" customHeight="1" outlineLevel="2" x14ac:dyDescent="0.2">
      <c r="A112" s="57" t="s">
        <v>112</v>
      </c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8">
        <v>24</v>
      </c>
      <c r="Q112" s="58"/>
      <c r="R112" s="58"/>
      <c r="S112" s="58"/>
      <c r="T112" s="58"/>
      <c r="U112" s="58"/>
      <c r="V112" s="58"/>
      <c r="W112" s="58">
        <v>24</v>
      </c>
      <c r="X112" s="58"/>
      <c r="Y112" s="58"/>
      <c r="Z112" s="58"/>
      <c r="AA112" s="58"/>
      <c r="AB112" s="12"/>
      <c r="AC112" s="13"/>
      <c r="AD112" s="13"/>
      <c r="AE112" s="13"/>
      <c r="AF112" s="14"/>
      <c r="AG112" s="9"/>
      <c r="AH112" s="10"/>
      <c r="AI112" s="10"/>
      <c r="AJ112" s="11"/>
    </row>
    <row r="113" spans="1:36" ht="11.25" hidden="1" customHeight="1" outlineLevel="2" x14ac:dyDescent="0.2">
      <c r="A113" s="57" t="s">
        <v>113</v>
      </c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9">
        <v>5.7</v>
      </c>
      <c r="Q113" s="59"/>
      <c r="R113" s="59"/>
      <c r="S113" s="59"/>
      <c r="T113" s="59"/>
      <c r="U113" s="59"/>
      <c r="V113" s="59"/>
      <c r="W113" s="59">
        <v>5.7</v>
      </c>
      <c r="X113" s="59"/>
      <c r="Y113" s="59"/>
      <c r="Z113" s="59"/>
      <c r="AA113" s="59"/>
      <c r="AB113" s="12"/>
      <c r="AC113" s="13"/>
      <c r="AD113" s="13"/>
      <c r="AE113" s="13"/>
      <c r="AF113" s="14"/>
      <c r="AG113" s="9"/>
      <c r="AH113" s="10"/>
      <c r="AI113" s="10"/>
      <c r="AJ113" s="11"/>
    </row>
    <row r="114" spans="1:36" ht="11.25" hidden="1" customHeight="1" outlineLevel="2" x14ac:dyDescent="0.2">
      <c r="A114" s="57" t="s">
        <v>114</v>
      </c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9">
        <v>1.4</v>
      </c>
      <c r="Q114" s="59"/>
      <c r="R114" s="59"/>
      <c r="S114" s="59"/>
      <c r="T114" s="59"/>
      <c r="U114" s="59"/>
      <c r="V114" s="59"/>
      <c r="W114" s="12"/>
      <c r="X114" s="13"/>
      <c r="Y114" s="13"/>
      <c r="Z114" s="13"/>
      <c r="AA114" s="14"/>
      <c r="AB114" s="59">
        <v>1.4</v>
      </c>
      <c r="AC114" s="59"/>
      <c r="AD114" s="59"/>
      <c r="AE114" s="59"/>
      <c r="AF114" s="59"/>
      <c r="AG114" s="59">
        <v>1.4</v>
      </c>
      <c r="AH114" s="59"/>
      <c r="AI114" s="59"/>
      <c r="AJ114" s="59"/>
    </row>
    <row r="115" spans="1:36" ht="11.25" hidden="1" customHeight="1" outlineLevel="2" x14ac:dyDescent="0.2">
      <c r="A115" s="57" t="s">
        <v>115</v>
      </c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8">
        <v>6</v>
      </c>
      <c r="Q115" s="58"/>
      <c r="R115" s="58"/>
      <c r="S115" s="58"/>
      <c r="T115" s="58"/>
      <c r="U115" s="58"/>
      <c r="V115" s="58"/>
      <c r="W115" s="59">
        <v>5.0999999999999996</v>
      </c>
      <c r="X115" s="59"/>
      <c r="Y115" s="59"/>
      <c r="Z115" s="59"/>
      <c r="AA115" s="59"/>
      <c r="AB115" s="59">
        <v>0.9</v>
      </c>
      <c r="AC115" s="59"/>
      <c r="AD115" s="59"/>
      <c r="AE115" s="59"/>
      <c r="AF115" s="59"/>
      <c r="AG115" s="59">
        <v>0.9</v>
      </c>
      <c r="AH115" s="59"/>
      <c r="AI115" s="59"/>
      <c r="AJ115" s="59"/>
    </row>
    <row r="116" spans="1:36" ht="11.25" hidden="1" customHeight="1" outlineLevel="2" x14ac:dyDescent="0.2">
      <c r="A116" s="57" t="s">
        <v>116</v>
      </c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9">
        <v>3.8</v>
      </c>
      <c r="Q116" s="59"/>
      <c r="R116" s="59"/>
      <c r="S116" s="59"/>
      <c r="T116" s="59"/>
      <c r="U116" s="59"/>
      <c r="V116" s="59"/>
      <c r="W116" s="59">
        <v>3.2</v>
      </c>
      <c r="X116" s="59"/>
      <c r="Y116" s="59"/>
      <c r="Z116" s="59"/>
      <c r="AA116" s="59"/>
      <c r="AB116" s="59">
        <v>0.6</v>
      </c>
      <c r="AC116" s="59"/>
      <c r="AD116" s="59"/>
      <c r="AE116" s="59"/>
      <c r="AF116" s="59"/>
      <c r="AG116" s="59">
        <v>0.6</v>
      </c>
      <c r="AH116" s="59"/>
      <c r="AI116" s="59"/>
      <c r="AJ116" s="59"/>
    </row>
    <row r="117" spans="1:36" ht="11.25" hidden="1" customHeight="1" outlineLevel="2" x14ac:dyDescent="0.2">
      <c r="A117" s="57" t="s">
        <v>117</v>
      </c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9">
        <v>3.1</v>
      </c>
      <c r="Q117" s="59"/>
      <c r="R117" s="59"/>
      <c r="S117" s="59"/>
      <c r="T117" s="59"/>
      <c r="U117" s="59"/>
      <c r="V117" s="59"/>
      <c r="W117" s="59">
        <v>0.4</v>
      </c>
      <c r="X117" s="59"/>
      <c r="Y117" s="59"/>
      <c r="Z117" s="59"/>
      <c r="AA117" s="59"/>
      <c r="AB117" s="59">
        <v>2.7</v>
      </c>
      <c r="AC117" s="59"/>
      <c r="AD117" s="59"/>
      <c r="AE117" s="59"/>
      <c r="AF117" s="59"/>
      <c r="AG117" s="59">
        <v>2.7</v>
      </c>
      <c r="AH117" s="59"/>
      <c r="AI117" s="59"/>
      <c r="AJ117" s="59"/>
    </row>
    <row r="118" spans="1:36" ht="11.25" hidden="1" customHeight="1" outlineLevel="1" collapsed="1" x14ac:dyDescent="0.2">
      <c r="A118" s="63" t="s">
        <v>118</v>
      </c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2">
        <v>45.384</v>
      </c>
      <c r="Q118" s="62"/>
      <c r="R118" s="62"/>
      <c r="S118" s="62"/>
      <c r="T118" s="62"/>
      <c r="U118" s="62"/>
      <c r="V118" s="62"/>
      <c r="W118" s="62">
        <v>45.384</v>
      </c>
      <c r="X118" s="62"/>
      <c r="Y118" s="62"/>
      <c r="Z118" s="62"/>
      <c r="AA118" s="62"/>
      <c r="AB118" s="15"/>
      <c r="AC118" s="16"/>
      <c r="AD118" s="16"/>
      <c r="AE118" s="16"/>
      <c r="AF118" s="17"/>
      <c r="AG118" s="18"/>
      <c r="AH118" s="19"/>
      <c r="AI118" s="19"/>
      <c r="AJ118" s="20"/>
    </row>
    <row r="119" spans="1:36" ht="21.75" hidden="1" customHeight="1" outlineLevel="2" x14ac:dyDescent="0.2">
      <c r="A119" s="57" t="s">
        <v>119</v>
      </c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43">
        <v>2.976</v>
      </c>
      <c r="Q119" s="43"/>
      <c r="R119" s="43"/>
      <c r="S119" s="43"/>
      <c r="T119" s="43"/>
      <c r="U119" s="43"/>
      <c r="V119" s="43"/>
      <c r="W119" s="43">
        <v>2.976</v>
      </c>
      <c r="X119" s="43"/>
      <c r="Y119" s="43"/>
      <c r="Z119" s="43"/>
      <c r="AA119" s="43"/>
      <c r="AB119" s="12"/>
      <c r="AC119" s="13"/>
      <c r="AD119" s="13"/>
      <c r="AE119" s="13"/>
      <c r="AF119" s="14"/>
      <c r="AG119" s="9"/>
      <c r="AH119" s="10"/>
      <c r="AI119" s="10"/>
      <c r="AJ119" s="11"/>
    </row>
    <row r="120" spans="1:36" ht="21.75" hidden="1" customHeight="1" outlineLevel="2" x14ac:dyDescent="0.2">
      <c r="A120" s="57" t="s">
        <v>120</v>
      </c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43">
        <v>8.1839999999999993</v>
      </c>
      <c r="Q120" s="43"/>
      <c r="R120" s="43"/>
      <c r="S120" s="43"/>
      <c r="T120" s="43"/>
      <c r="U120" s="43"/>
      <c r="V120" s="43"/>
      <c r="W120" s="43">
        <v>8.1839999999999993</v>
      </c>
      <c r="X120" s="43"/>
      <c r="Y120" s="43"/>
      <c r="Z120" s="43"/>
      <c r="AA120" s="43"/>
      <c r="AB120" s="12"/>
      <c r="AC120" s="13"/>
      <c r="AD120" s="13"/>
      <c r="AE120" s="13"/>
      <c r="AF120" s="14"/>
      <c r="AG120" s="9"/>
      <c r="AH120" s="10"/>
      <c r="AI120" s="10"/>
      <c r="AJ120" s="11"/>
    </row>
    <row r="121" spans="1:36" ht="21.75" hidden="1" customHeight="1" outlineLevel="2" x14ac:dyDescent="0.2">
      <c r="A121" s="57" t="s">
        <v>121</v>
      </c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43">
        <v>12.648</v>
      </c>
      <c r="Q121" s="43"/>
      <c r="R121" s="43"/>
      <c r="S121" s="43"/>
      <c r="T121" s="43"/>
      <c r="U121" s="43"/>
      <c r="V121" s="43"/>
      <c r="W121" s="43">
        <v>12.648</v>
      </c>
      <c r="X121" s="43"/>
      <c r="Y121" s="43"/>
      <c r="Z121" s="43"/>
      <c r="AA121" s="43"/>
      <c r="AB121" s="12"/>
      <c r="AC121" s="13"/>
      <c r="AD121" s="13"/>
      <c r="AE121" s="13"/>
      <c r="AF121" s="14"/>
      <c r="AG121" s="9"/>
      <c r="AH121" s="10"/>
      <c r="AI121" s="10"/>
      <c r="AJ121" s="11"/>
    </row>
    <row r="122" spans="1:36" ht="21.75" hidden="1" customHeight="1" outlineLevel="2" x14ac:dyDescent="0.2">
      <c r="A122" s="57" t="s">
        <v>122</v>
      </c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43">
        <v>21.576000000000001</v>
      </c>
      <c r="Q122" s="43"/>
      <c r="R122" s="43"/>
      <c r="S122" s="43"/>
      <c r="T122" s="43"/>
      <c r="U122" s="43"/>
      <c r="V122" s="43"/>
      <c r="W122" s="43">
        <v>21.576000000000001</v>
      </c>
      <c r="X122" s="43"/>
      <c r="Y122" s="43"/>
      <c r="Z122" s="43"/>
      <c r="AA122" s="43"/>
      <c r="AB122" s="12"/>
      <c r="AC122" s="13"/>
      <c r="AD122" s="13"/>
      <c r="AE122" s="13"/>
      <c r="AF122" s="14"/>
      <c r="AG122" s="9"/>
      <c r="AH122" s="10"/>
      <c r="AI122" s="10"/>
      <c r="AJ122" s="11"/>
    </row>
    <row r="123" spans="1:36" ht="11.25" hidden="1" customHeight="1" outlineLevel="1" collapsed="1" x14ac:dyDescent="0.2">
      <c r="A123" s="63" t="s">
        <v>123</v>
      </c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5">
        <v>206.84</v>
      </c>
      <c r="Q123" s="65"/>
      <c r="R123" s="65"/>
      <c r="S123" s="65"/>
      <c r="T123" s="65"/>
      <c r="U123" s="65"/>
      <c r="V123" s="65"/>
      <c r="W123" s="65">
        <v>161.52000000000001</v>
      </c>
      <c r="X123" s="65"/>
      <c r="Y123" s="65"/>
      <c r="Z123" s="65"/>
      <c r="AA123" s="65"/>
      <c r="AB123" s="65">
        <v>45.32</v>
      </c>
      <c r="AC123" s="65"/>
      <c r="AD123" s="65"/>
      <c r="AE123" s="65"/>
      <c r="AF123" s="65"/>
      <c r="AG123" s="65">
        <v>45.32</v>
      </c>
      <c r="AH123" s="65"/>
      <c r="AI123" s="65"/>
      <c r="AJ123" s="65"/>
    </row>
    <row r="124" spans="1:36" ht="11.25" hidden="1" customHeight="1" outlineLevel="2" x14ac:dyDescent="0.2">
      <c r="A124" s="57" t="s">
        <v>124</v>
      </c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41">
        <v>0.42</v>
      </c>
      <c r="Q124" s="41"/>
      <c r="R124" s="41"/>
      <c r="S124" s="41"/>
      <c r="T124" s="41"/>
      <c r="U124" s="41"/>
      <c r="V124" s="41"/>
      <c r="W124" s="12"/>
      <c r="X124" s="13"/>
      <c r="Y124" s="13"/>
      <c r="Z124" s="13"/>
      <c r="AA124" s="14"/>
      <c r="AB124" s="41">
        <v>0.42</v>
      </c>
      <c r="AC124" s="41"/>
      <c r="AD124" s="41"/>
      <c r="AE124" s="41"/>
      <c r="AF124" s="41"/>
      <c r="AG124" s="41">
        <v>0.42</v>
      </c>
      <c r="AH124" s="41"/>
      <c r="AI124" s="41"/>
      <c r="AJ124" s="41"/>
    </row>
    <row r="125" spans="1:36" ht="11.25" hidden="1" customHeight="1" outlineLevel="2" x14ac:dyDescent="0.2">
      <c r="A125" s="57" t="s">
        <v>125</v>
      </c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9">
        <v>4.5</v>
      </c>
      <c r="Q125" s="59"/>
      <c r="R125" s="59"/>
      <c r="S125" s="59"/>
      <c r="T125" s="59"/>
      <c r="U125" s="59"/>
      <c r="V125" s="59"/>
      <c r="W125" s="12"/>
      <c r="X125" s="13"/>
      <c r="Y125" s="13"/>
      <c r="Z125" s="13"/>
      <c r="AA125" s="14"/>
      <c r="AB125" s="59">
        <v>4.5</v>
      </c>
      <c r="AC125" s="59"/>
      <c r="AD125" s="59"/>
      <c r="AE125" s="59"/>
      <c r="AF125" s="59"/>
      <c r="AG125" s="59">
        <v>4.5</v>
      </c>
      <c r="AH125" s="59"/>
      <c r="AI125" s="59"/>
      <c r="AJ125" s="59"/>
    </row>
    <row r="126" spans="1:36" ht="11.25" hidden="1" customHeight="1" outlineLevel="2" x14ac:dyDescent="0.2">
      <c r="A126" s="57" t="s">
        <v>126</v>
      </c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9">
        <v>4.5</v>
      </c>
      <c r="Q126" s="59"/>
      <c r="R126" s="59"/>
      <c r="S126" s="59"/>
      <c r="T126" s="59"/>
      <c r="U126" s="59"/>
      <c r="V126" s="59"/>
      <c r="W126" s="12"/>
      <c r="X126" s="13"/>
      <c r="Y126" s="13"/>
      <c r="Z126" s="13"/>
      <c r="AA126" s="14"/>
      <c r="AB126" s="59">
        <v>4.5</v>
      </c>
      <c r="AC126" s="59"/>
      <c r="AD126" s="59"/>
      <c r="AE126" s="59"/>
      <c r="AF126" s="59"/>
      <c r="AG126" s="59">
        <v>4.5</v>
      </c>
      <c r="AH126" s="59"/>
      <c r="AI126" s="59"/>
      <c r="AJ126" s="59"/>
    </row>
    <row r="127" spans="1:36" ht="11.25" hidden="1" customHeight="1" outlineLevel="2" x14ac:dyDescent="0.2">
      <c r="A127" s="57" t="s">
        <v>127</v>
      </c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41">
        <v>0.42</v>
      </c>
      <c r="Q127" s="41"/>
      <c r="R127" s="41"/>
      <c r="S127" s="41"/>
      <c r="T127" s="41"/>
      <c r="U127" s="41"/>
      <c r="V127" s="41"/>
      <c r="W127" s="41">
        <v>0.42</v>
      </c>
      <c r="X127" s="41"/>
      <c r="Y127" s="41"/>
      <c r="Z127" s="41"/>
      <c r="AA127" s="41"/>
      <c r="AB127" s="12"/>
      <c r="AC127" s="13"/>
      <c r="AD127" s="13"/>
      <c r="AE127" s="13"/>
      <c r="AF127" s="14"/>
      <c r="AG127" s="9"/>
      <c r="AH127" s="10"/>
      <c r="AI127" s="10"/>
      <c r="AJ127" s="11"/>
    </row>
    <row r="128" spans="1:36" ht="11.25" hidden="1" customHeight="1" outlineLevel="2" x14ac:dyDescent="0.2">
      <c r="A128" s="57" t="s">
        <v>128</v>
      </c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9">
        <v>49.8</v>
      </c>
      <c r="Q128" s="59"/>
      <c r="R128" s="59"/>
      <c r="S128" s="59"/>
      <c r="T128" s="59"/>
      <c r="U128" s="59"/>
      <c r="V128" s="59"/>
      <c r="W128" s="59">
        <v>49.8</v>
      </c>
      <c r="X128" s="59"/>
      <c r="Y128" s="59"/>
      <c r="Z128" s="59"/>
      <c r="AA128" s="59"/>
      <c r="AB128" s="12"/>
      <c r="AC128" s="13"/>
      <c r="AD128" s="13"/>
      <c r="AE128" s="13"/>
      <c r="AF128" s="14"/>
      <c r="AG128" s="9"/>
      <c r="AH128" s="10"/>
      <c r="AI128" s="10"/>
      <c r="AJ128" s="11"/>
    </row>
    <row r="129" spans="1:36" ht="11.25" hidden="1" customHeight="1" outlineLevel="2" x14ac:dyDescent="0.2">
      <c r="A129" s="57" t="s">
        <v>129</v>
      </c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9">
        <v>32.700000000000003</v>
      </c>
      <c r="Q129" s="59"/>
      <c r="R129" s="59"/>
      <c r="S129" s="59"/>
      <c r="T129" s="59"/>
      <c r="U129" s="59"/>
      <c r="V129" s="59"/>
      <c r="W129" s="59">
        <v>2.4</v>
      </c>
      <c r="X129" s="59"/>
      <c r="Y129" s="59"/>
      <c r="Z129" s="59"/>
      <c r="AA129" s="59"/>
      <c r="AB129" s="59">
        <v>30.3</v>
      </c>
      <c r="AC129" s="59"/>
      <c r="AD129" s="59"/>
      <c r="AE129" s="59"/>
      <c r="AF129" s="59"/>
      <c r="AG129" s="59">
        <v>30.3</v>
      </c>
      <c r="AH129" s="59"/>
      <c r="AI129" s="59"/>
      <c r="AJ129" s="59"/>
    </row>
    <row r="130" spans="1:36" ht="11.25" hidden="1" customHeight="1" outlineLevel="2" x14ac:dyDescent="0.2">
      <c r="A130" s="57" t="s">
        <v>130</v>
      </c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9">
        <v>1.4</v>
      </c>
      <c r="Q130" s="59"/>
      <c r="R130" s="59"/>
      <c r="S130" s="59"/>
      <c r="T130" s="59"/>
      <c r="U130" s="59"/>
      <c r="V130" s="59"/>
      <c r="W130" s="41">
        <v>1.05</v>
      </c>
      <c r="X130" s="41"/>
      <c r="Y130" s="41"/>
      <c r="Z130" s="41"/>
      <c r="AA130" s="41"/>
      <c r="AB130" s="41">
        <v>0.35</v>
      </c>
      <c r="AC130" s="41"/>
      <c r="AD130" s="41"/>
      <c r="AE130" s="41"/>
      <c r="AF130" s="41"/>
      <c r="AG130" s="41">
        <v>0.35</v>
      </c>
      <c r="AH130" s="41"/>
      <c r="AI130" s="41"/>
      <c r="AJ130" s="41"/>
    </row>
    <row r="131" spans="1:36" ht="11.25" hidden="1" customHeight="1" outlineLevel="2" x14ac:dyDescent="0.2">
      <c r="A131" s="57" t="s">
        <v>131</v>
      </c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9">
        <v>5.4</v>
      </c>
      <c r="Q131" s="59"/>
      <c r="R131" s="59"/>
      <c r="S131" s="59"/>
      <c r="T131" s="59"/>
      <c r="U131" s="59"/>
      <c r="V131" s="59"/>
      <c r="W131" s="59">
        <v>5.4</v>
      </c>
      <c r="X131" s="59"/>
      <c r="Y131" s="59"/>
      <c r="Z131" s="59"/>
      <c r="AA131" s="59"/>
      <c r="AB131" s="12"/>
      <c r="AC131" s="13"/>
      <c r="AD131" s="13"/>
      <c r="AE131" s="13"/>
      <c r="AF131" s="14"/>
      <c r="AG131" s="9"/>
      <c r="AH131" s="10"/>
      <c r="AI131" s="10"/>
      <c r="AJ131" s="11"/>
    </row>
    <row r="132" spans="1:36" ht="11.25" hidden="1" customHeight="1" outlineLevel="2" x14ac:dyDescent="0.2">
      <c r="A132" s="57" t="s">
        <v>132</v>
      </c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9">
        <v>5.6</v>
      </c>
      <c r="Q132" s="59"/>
      <c r="R132" s="59"/>
      <c r="S132" s="59"/>
      <c r="T132" s="59"/>
      <c r="U132" s="59"/>
      <c r="V132" s="59"/>
      <c r="W132" s="41">
        <v>1.75</v>
      </c>
      <c r="X132" s="41"/>
      <c r="Y132" s="41"/>
      <c r="Z132" s="41"/>
      <c r="AA132" s="41"/>
      <c r="AB132" s="41">
        <v>3.85</v>
      </c>
      <c r="AC132" s="41"/>
      <c r="AD132" s="41"/>
      <c r="AE132" s="41"/>
      <c r="AF132" s="41"/>
      <c r="AG132" s="41">
        <v>3.85</v>
      </c>
      <c r="AH132" s="41"/>
      <c r="AI132" s="41"/>
      <c r="AJ132" s="41"/>
    </row>
    <row r="133" spans="1:36" ht="11.25" hidden="1" customHeight="1" outlineLevel="2" x14ac:dyDescent="0.2">
      <c r="A133" s="57" t="s">
        <v>133</v>
      </c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9">
        <v>4.8</v>
      </c>
      <c r="Q133" s="59"/>
      <c r="R133" s="59"/>
      <c r="S133" s="59"/>
      <c r="T133" s="59"/>
      <c r="U133" s="59"/>
      <c r="V133" s="59"/>
      <c r="W133" s="59">
        <v>4.8</v>
      </c>
      <c r="X133" s="59"/>
      <c r="Y133" s="59"/>
      <c r="Z133" s="59"/>
      <c r="AA133" s="59"/>
      <c r="AB133" s="12"/>
      <c r="AC133" s="13"/>
      <c r="AD133" s="13"/>
      <c r="AE133" s="13"/>
      <c r="AF133" s="14"/>
      <c r="AG133" s="9"/>
      <c r="AH133" s="10"/>
      <c r="AI133" s="10"/>
      <c r="AJ133" s="11"/>
    </row>
    <row r="134" spans="1:36" ht="11.25" hidden="1" customHeight="1" outlineLevel="2" x14ac:dyDescent="0.2">
      <c r="A134" s="57" t="s">
        <v>134</v>
      </c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9">
        <v>97.3</v>
      </c>
      <c r="Q134" s="59"/>
      <c r="R134" s="59"/>
      <c r="S134" s="59"/>
      <c r="T134" s="59"/>
      <c r="U134" s="59"/>
      <c r="V134" s="59"/>
      <c r="W134" s="59">
        <v>95.9</v>
      </c>
      <c r="X134" s="59"/>
      <c r="Y134" s="59"/>
      <c r="Z134" s="59"/>
      <c r="AA134" s="59"/>
      <c r="AB134" s="59">
        <v>1.4</v>
      </c>
      <c r="AC134" s="59"/>
      <c r="AD134" s="59"/>
      <c r="AE134" s="59"/>
      <c r="AF134" s="59"/>
      <c r="AG134" s="59">
        <v>1.4</v>
      </c>
      <c r="AH134" s="59"/>
      <c r="AI134" s="59"/>
      <c r="AJ134" s="59"/>
    </row>
    <row r="135" spans="1:36" ht="11.25" hidden="1" customHeight="1" outlineLevel="1" collapsed="1" x14ac:dyDescent="0.2">
      <c r="A135" s="63" t="s">
        <v>135</v>
      </c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85">
        <v>9.6</v>
      </c>
      <c r="Q135" s="85"/>
      <c r="R135" s="85"/>
      <c r="S135" s="85"/>
      <c r="T135" s="85"/>
      <c r="U135" s="85"/>
      <c r="V135" s="85"/>
      <c r="W135" s="62">
        <v>10.875</v>
      </c>
      <c r="X135" s="62"/>
      <c r="Y135" s="62"/>
      <c r="Z135" s="62"/>
      <c r="AA135" s="62"/>
      <c r="AB135" s="62">
        <v>-1.2749999999999999</v>
      </c>
      <c r="AC135" s="62"/>
      <c r="AD135" s="62"/>
      <c r="AE135" s="62"/>
      <c r="AF135" s="62"/>
      <c r="AG135" s="65">
        <v>7.0000000000000007E-2</v>
      </c>
      <c r="AH135" s="65"/>
      <c r="AI135" s="65"/>
      <c r="AJ135" s="65"/>
    </row>
    <row r="136" spans="1:36" ht="11.25" hidden="1" customHeight="1" outlineLevel="2" x14ac:dyDescent="0.2">
      <c r="A136" s="57" t="s">
        <v>136</v>
      </c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8">
        <v>7</v>
      </c>
      <c r="Q136" s="58"/>
      <c r="R136" s="58"/>
      <c r="S136" s="58"/>
      <c r="T136" s="58"/>
      <c r="U136" s="58"/>
      <c r="V136" s="58"/>
      <c r="W136" s="43">
        <v>7.8949999999999996</v>
      </c>
      <c r="X136" s="43"/>
      <c r="Y136" s="43"/>
      <c r="Z136" s="43"/>
      <c r="AA136" s="43"/>
      <c r="AB136" s="43">
        <v>-0.89500000000000002</v>
      </c>
      <c r="AC136" s="43"/>
      <c r="AD136" s="43"/>
      <c r="AE136" s="43"/>
      <c r="AF136" s="43"/>
      <c r="AG136" s="41">
        <v>7.0000000000000007E-2</v>
      </c>
      <c r="AH136" s="41"/>
      <c r="AI136" s="41"/>
      <c r="AJ136" s="41"/>
    </row>
    <row r="137" spans="1:36" ht="11.25" hidden="1" customHeight="1" outlineLevel="2" x14ac:dyDescent="0.2">
      <c r="A137" s="57" t="s">
        <v>137</v>
      </c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9">
        <v>2.6</v>
      </c>
      <c r="Q137" s="59"/>
      <c r="R137" s="59"/>
      <c r="S137" s="59"/>
      <c r="T137" s="59"/>
      <c r="U137" s="59"/>
      <c r="V137" s="59"/>
      <c r="W137" s="41">
        <v>2.98</v>
      </c>
      <c r="X137" s="41"/>
      <c r="Y137" s="41"/>
      <c r="Z137" s="41"/>
      <c r="AA137" s="41"/>
      <c r="AB137" s="41">
        <v>-0.38</v>
      </c>
      <c r="AC137" s="41"/>
      <c r="AD137" s="41"/>
      <c r="AE137" s="41"/>
      <c r="AF137" s="41"/>
      <c r="AG137" s="9"/>
      <c r="AH137" s="10"/>
      <c r="AI137" s="10"/>
      <c r="AJ137" s="11"/>
    </row>
    <row r="138" spans="1:36" ht="11.25" hidden="1" customHeight="1" outlineLevel="1" collapsed="1" x14ac:dyDescent="0.2">
      <c r="A138" s="63" t="s">
        <v>138</v>
      </c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5">
        <v>11.76</v>
      </c>
      <c r="Q138" s="65"/>
      <c r="R138" s="65"/>
      <c r="S138" s="65"/>
      <c r="T138" s="65"/>
      <c r="U138" s="65"/>
      <c r="V138" s="65"/>
      <c r="W138" s="65">
        <v>11.76</v>
      </c>
      <c r="X138" s="65"/>
      <c r="Y138" s="65"/>
      <c r="Z138" s="65"/>
      <c r="AA138" s="65"/>
      <c r="AB138" s="15"/>
      <c r="AC138" s="16"/>
      <c r="AD138" s="16"/>
      <c r="AE138" s="16"/>
      <c r="AF138" s="17"/>
      <c r="AG138" s="18"/>
      <c r="AH138" s="19"/>
      <c r="AI138" s="19"/>
      <c r="AJ138" s="20"/>
    </row>
    <row r="139" spans="1:36" ht="11.25" hidden="1" customHeight="1" outlineLevel="2" x14ac:dyDescent="0.2">
      <c r="A139" s="57" t="s">
        <v>139</v>
      </c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41">
        <v>11.76</v>
      </c>
      <c r="Q139" s="41"/>
      <c r="R139" s="41"/>
      <c r="S139" s="41"/>
      <c r="T139" s="41"/>
      <c r="U139" s="41"/>
      <c r="V139" s="41"/>
      <c r="W139" s="41">
        <v>11.76</v>
      </c>
      <c r="X139" s="41"/>
      <c r="Y139" s="41"/>
      <c r="Z139" s="41"/>
      <c r="AA139" s="41"/>
      <c r="AB139" s="12"/>
      <c r="AC139" s="13"/>
      <c r="AD139" s="13"/>
      <c r="AE139" s="13"/>
      <c r="AF139" s="14"/>
      <c r="AG139" s="9"/>
      <c r="AH139" s="10"/>
      <c r="AI139" s="10"/>
      <c r="AJ139" s="11"/>
    </row>
    <row r="140" spans="1:36" ht="11.25" hidden="1" customHeight="1" outlineLevel="1" collapsed="1" x14ac:dyDescent="0.2">
      <c r="A140" s="63" t="s">
        <v>140</v>
      </c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5">
        <v>72.84</v>
      </c>
      <c r="Q140" s="65"/>
      <c r="R140" s="65"/>
      <c r="S140" s="65"/>
      <c r="T140" s="65"/>
      <c r="U140" s="65"/>
      <c r="V140" s="65"/>
      <c r="W140" s="62">
        <v>69.350999999999999</v>
      </c>
      <c r="X140" s="62"/>
      <c r="Y140" s="62"/>
      <c r="Z140" s="62"/>
      <c r="AA140" s="62"/>
      <c r="AB140" s="62">
        <v>3.4889999999999999</v>
      </c>
      <c r="AC140" s="62"/>
      <c r="AD140" s="62"/>
      <c r="AE140" s="62"/>
      <c r="AF140" s="62"/>
      <c r="AG140" s="62">
        <v>4.4939999999999998</v>
      </c>
      <c r="AH140" s="62"/>
      <c r="AI140" s="62"/>
      <c r="AJ140" s="62"/>
    </row>
    <row r="141" spans="1:36" ht="11.25" hidden="1" customHeight="1" outlineLevel="2" x14ac:dyDescent="0.2">
      <c r="A141" s="57" t="s">
        <v>141</v>
      </c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9">
        <v>14.8</v>
      </c>
      <c r="Q141" s="59"/>
      <c r="R141" s="59"/>
      <c r="S141" s="59"/>
      <c r="T141" s="59"/>
      <c r="U141" s="59"/>
      <c r="V141" s="59"/>
      <c r="W141" s="43">
        <v>13.391</v>
      </c>
      <c r="X141" s="43"/>
      <c r="Y141" s="43"/>
      <c r="Z141" s="43"/>
      <c r="AA141" s="43"/>
      <c r="AB141" s="43">
        <v>1.409</v>
      </c>
      <c r="AC141" s="43"/>
      <c r="AD141" s="43"/>
      <c r="AE141" s="43"/>
      <c r="AF141" s="43"/>
      <c r="AG141" s="43">
        <v>1.6140000000000001</v>
      </c>
      <c r="AH141" s="43"/>
      <c r="AI141" s="43"/>
      <c r="AJ141" s="43"/>
    </row>
    <row r="142" spans="1:36" ht="11.25" hidden="1" customHeight="1" outlineLevel="2" x14ac:dyDescent="0.2">
      <c r="A142" s="57" t="s">
        <v>142</v>
      </c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41">
        <v>0.36</v>
      </c>
      <c r="Q142" s="41"/>
      <c r="R142" s="41"/>
      <c r="S142" s="41"/>
      <c r="T142" s="41"/>
      <c r="U142" s="41"/>
      <c r="V142" s="41"/>
      <c r="W142" s="41">
        <v>0.36</v>
      </c>
      <c r="X142" s="41"/>
      <c r="Y142" s="41"/>
      <c r="Z142" s="41"/>
      <c r="AA142" s="41"/>
      <c r="AB142" s="12"/>
      <c r="AC142" s="13"/>
      <c r="AD142" s="13"/>
      <c r="AE142" s="13"/>
      <c r="AF142" s="14"/>
      <c r="AG142" s="9"/>
      <c r="AH142" s="10"/>
      <c r="AI142" s="10"/>
      <c r="AJ142" s="11"/>
    </row>
    <row r="143" spans="1:36" ht="11.25" hidden="1" customHeight="1" outlineLevel="2" x14ac:dyDescent="0.2">
      <c r="A143" s="57" t="s">
        <v>143</v>
      </c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41">
        <v>0.18</v>
      </c>
      <c r="Q143" s="41"/>
      <c r="R143" s="41"/>
      <c r="S143" s="41"/>
      <c r="T143" s="41"/>
      <c r="U143" s="41"/>
      <c r="V143" s="41"/>
      <c r="W143" s="12"/>
      <c r="X143" s="13"/>
      <c r="Y143" s="13"/>
      <c r="Z143" s="13"/>
      <c r="AA143" s="14"/>
      <c r="AB143" s="41">
        <v>0.18</v>
      </c>
      <c r="AC143" s="41"/>
      <c r="AD143" s="41"/>
      <c r="AE143" s="41"/>
      <c r="AF143" s="41"/>
      <c r="AG143" s="41">
        <v>0.18</v>
      </c>
      <c r="AH143" s="41"/>
      <c r="AI143" s="41"/>
      <c r="AJ143" s="41"/>
    </row>
    <row r="144" spans="1:36" ht="11.25" hidden="1" customHeight="1" outlineLevel="2" x14ac:dyDescent="0.2">
      <c r="A144" s="57" t="s">
        <v>144</v>
      </c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41">
        <v>3.24</v>
      </c>
      <c r="Q144" s="41"/>
      <c r="R144" s="41"/>
      <c r="S144" s="41"/>
      <c r="T144" s="41"/>
      <c r="U144" s="41"/>
      <c r="V144" s="41"/>
      <c r="W144" s="41">
        <v>3.24</v>
      </c>
      <c r="X144" s="41"/>
      <c r="Y144" s="41"/>
      <c r="Z144" s="41"/>
      <c r="AA144" s="41"/>
      <c r="AB144" s="12"/>
      <c r="AC144" s="13"/>
      <c r="AD144" s="13"/>
      <c r="AE144" s="13"/>
      <c r="AF144" s="14"/>
      <c r="AG144" s="9"/>
      <c r="AH144" s="10"/>
      <c r="AI144" s="10"/>
      <c r="AJ144" s="11"/>
    </row>
    <row r="145" spans="1:36" ht="11.25" hidden="1" customHeight="1" outlineLevel="2" x14ac:dyDescent="0.2">
      <c r="A145" s="57" t="s">
        <v>145</v>
      </c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41">
        <v>4.1399999999999997</v>
      </c>
      <c r="Q145" s="41"/>
      <c r="R145" s="41"/>
      <c r="S145" s="41"/>
      <c r="T145" s="41"/>
      <c r="U145" s="41"/>
      <c r="V145" s="41"/>
      <c r="W145" s="41">
        <v>4.1399999999999997</v>
      </c>
      <c r="X145" s="41"/>
      <c r="Y145" s="41"/>
      <c r="Z145" s="41"/>
      <c r="AA145" s="41"/>
      <c r="AB145" s="12"/>
      <c r="AC145" s="13"/>
      <c r="AD145" s="13"/>
      <c r="AE145" s="13"/>
      <c r="AF145" s="14"/>
      <c r="AG145" s="9"/>
      <c r="AH145" s="10"/>
      <c r="AI145" s="10"/>
      <c r="AJ145" s="11"/>
    </row>
    <row r="146" spans="1:36" ht="11.25" hidden="1" customHeight="1" outlineLevel="2" x14ac:dyDescent="0.2">
      <c r="A146" s="57" t="s">
        <v>146</v>
      </c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41">
        <v>1.44</v>
      </c>
      <c r="Q146" s="41"/>
      <c r="R146" s="41"/>
      <c r="S146" s="41"/>
      <c r="T146" s="41"/>
      <c r="U146" s="41"/>
      <c r="V146" s="41"/>
      <c r="W146" s="41">
        <v>1.44</v>
      </c>
      <c r="X146" s="41"/>
      <c r="Y146" s="41"/>
      <c r="Z146" s="41"/>
      <c r="AA146" s="41"/>
      <c r="AB146" s="12"/>
      <c r="AC146" s="13"/>
      <c r="AD146" s="13"/>
      <c r="AE146" s="13"/>
      <c r="AF146" s="14"/>
      <c r="AG146" s="9"/>
      <c r="AH146" s="10"/>
      <c r="AI146" s="10"/>
      <c r="AJ146" s="11"/>
    </row>
    <row r="147" spans="1:36" ht="11.25" hidden="1" customHeight="1" outlineLevel="2" x14ac:dyDescent="0.2">
      <c r="A147" s="57" t="s">
        <v>147</v>
      </c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9">
        <v>2.4</v>
      </c>
      <c r="Q147" s="59"/>
      <c r="R147" s="59"/>
      <c r="S147" s="59"/>
      <c r="T147" s="59"/>
      <c r="U147" s="59"/>
      <c r="V147" s="59"/>
      <c r="W147" s="59">
        <v>2.4</v>
      </c>
      <c r="X147" s="59"/>
      <c r="Y147" s="59"/>
      <c r="Z147" s="59"/>
      <c r="AA147" s="59"/>
      <c r="AB147" s="12"/>
      <c r="AC147" s="13"/>
      <c r="AD147" s="13"/>
      <c r="AE147" s="13"/>
      <c r="AF147" s="14"/>
      <c r="AG147" s="9"/>
      <c r="AH147" s="10"/>
      <c r="AI147" s="10"/>
      <c r="AJ147" s="11"/>
    </row>
    <row r="148" spans="1:36" ht="11.25" hidden="1" customHeight="1" outlineLevel="2" x14ac:dyDescent="0.2">
      <c r="A148" s="57" t="s">
        <v>148</v>
      </c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9">
        <v>9.9</v>
      </c>
      <c r="Q148" s="59"/>
      <c r="R148" s="59"/>
      <c r="S148" s="59"/>
      <c r="T148" s="59"/>
      <c r="U148" s="59"/>
      <c r="V148" s="59"/>
      <c r="W148" s="41">
        <v>8.2799999999999994</v>
      </c>
      <c r="X148" s="41"/>
      <c r="Y148" s="41"/>
      <c r="Z148" s="41"/>
      <c r="AA148" s="41"/>
      <c r="AB148" s="41">
        <v>1.62</v>
      </c>
      <c r="AC148" s="41"/>
      <c r="AD148" s="41"/>
      <c r="AE148" s="41"/>
      <c r="AF148" s="41"/>
      <c r="AG148" s="41">
        <v>1.62</v>
      </c>
      <c r="AH148" s="41"/>
      <c r="AI148" s="41"/>
      <c r="AJ148" s="41"/>
    </row>
    <row r="149" spans="1:36" ht="11.25" hidden="1" customHeight="1" outlineLevel="2" x14ac:dyDescent="0.2">
      <c r="A149" s="57" t="s">
        <v>149</v>
      </c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41">
        <v>1.26</v>
      </c>
      <c r="Q149" s="41"/>
      <c r="R149" s="41"/>
      <c r="S149" s="41"/>
      <c r="T149" s="41"/>
      <c r="U149" s="41"/>
      <c r="V149" s="41"/>
      <c r="W149" s="41">
        <v>1.26</v>
      </c>
      <c r="X149" s="41"/>
      <c r="Y149" s="41"/>
      <c r="Z149" s="41"/>
      <c r="AA149" s="41"/>
      <c r="AB149" s="12"/>
      <c r="AC149" s="13"/>
      <c r="AD149" s="13"/>
      <c r="AE149" s="13"/>
      <c r="AF149" s="14"/>
      <c r="AG149" s="9"/>
      <c r="AH149" s="10"/>
      <c r="AI149" s="10"/>
      <c r="AJ149" s="11"/>
    </row>
    <row r="150" spans="1:36" ht="11.25" hidden="1" customHeight="1" outlineLevel="2" x14ac:dyDescent="0.2">
      <c r="A150" s="57" t="s">
        <v>150</v>
      </c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9">
        <v>0.9</v>
      </c>
      <c r="Q150" s="59"/>
      <c r="R150" s="59"/>
      <c r="S150" s="59"/>
      <c r="T150" s="59"/>
      <c r="U150" s="59"/>
      <c r="V150" s="59"/>
      <c r="W150" s="59">
        <v>0.9</v>
      </c>
      <c r="X150" s="59"/>
      <c r="Y150" s="59"/>
      <c r="Z150" s="59"/>
      <c r="AA150" s="59"/>
      <c r="AB150" s="12"/>
      <c r="AC150" s="13"/>
      <c r="AD150" s="13"/>
      <c r="AE150" s="13"/>
      <c r="AF150" s="14"/>
      <c r="AG150" s="9"/>
      <c r="AH150" s="10"/>
      <c r="AI150" s="10"/>
      <c r="AJ150" s="11"/>
    </row>
    <row r="151" spans="1:36" ht="11.25" hidden="1" customHeight="1" outlineLevel="2" x14ac:dyDescent="0.2">
      <c r="A151" s="57" t="s">
        <v>151</v>
      </c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41">
        <v>0.72</v>
      </c>
      <c r="Q151" s="41"/>
      <c r="R151" s="41"/>
      <c r="S151" s="41"/>
      <c r="T151" s="41"/>
      <c r="U151" s="41"/>
      <c r="V151" s="41"/>
      <c r="W151" s="41">
        <v>0.72</v>
      </c>
      <c r="X151" s="41"/>
      <c r="Y151" s="41"/>
      <c r="Z151" s="41"/>
      <c r="AA151" s="41"/>
      <c r="AB151" s="12"/>
      <c r="AC151" s="13"/>
      <c r="AD151" s="13"/>
      <c r="AE151" s="13"/>
      <c r="AF151" s="14"/>
      <c r="AG151" s="9"/>
      <c r="AH151" s="10"/>
      <c r="AI151" s="10"/>
      <c r="AJ151" s="11"/>
    </row>
    <row r="152" spans="1:36" ht="11.25" hidden="1" customHeight="1" outlineLevel="2" x14ac:dyDescent="0.2">
      <c r="A152" s="57" t="s">
        <v>152</v>
      </c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41">
        <v>3.06</v>
      </c>
      <c r="Q152" s="41"/>
      <c r="R152" s="41"/>
      <c r="S152" s="41"/>
      <c r="T152" s="41"/>
      <c r="U152" s="41"/>
      <c r="V152" s="41"/>
      <c r="W152" s="41">
        <v>3.06</v>
      </c>
      <c r="X152" s="41"/>
      <c r="Y152" s="41"/>
      <c r="Z152" s="41"/>
      <c r="AA152" s="41"/>
      <c r="AB152" s="12"/>
      <c r="AC152" s="13"/>
      <c r="AD152" s="13"/>
      <c r="AE152" s="13"/>
      <c r="AF152" s="14"/>
      <c r="AG152" s="9"/>
      <c r="AH152" s="10"/>
      <c r="AI152" s="10"/>
      <c r="AJ152" s="11"/>
    </row>
    <row r="153" spans="1:36" ht="21.75" hidden="1" customHeight="1" outlineLevel="2" x14ac:dyDescent="0.2">
      <c r="A153" s="57" t="s">
        <v>153</v>
      </c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41">
        <v>0.36</v>
      </c>
      <c r="Q153" s="41"/>
      <c r="R153" s="41"/>
      <c r="S153" s="41"/>
      <c r="T153" s="41"/>
      <c r="U153" s="41"/>
      <c r="V153" s="41"/>
      <c r="W153" s="12"/>
      <c r="X153" s="13"/>
      <c r="Y153" s="13"/>
      <c r="Z153" s="13"/>
      <c r="AA153" s="14"/>
      <c r="AB153" s="41">
        <v>0.36</v>
      </c>
      <c r="AC153" s="41"/>
      <c r="AD153" s="41"/>
      <c r="AE153" s="41"/>
      <c r="AF153" s="41"/>
      <c r="AG153" s="41">
        <v>0.36</v>
      </c>
      <c r="AH153" s="41"/>
      <c r="AI153" s="41"/>
      <c r="AJ153" s="41"/>
    </row>
    <row r="154" spans="1:36" ht="11.25" hidden="1" customHeight="1" outlineLevel="2" x14ac:dyDescent="0.2">
      <c r="A154" s="57" t="s">
        <v>154</v>
      </c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41">
        <v>0.54</v>
      </c>
      <c r="Q154" s="41"/>
      <c r="R154" s="41"/>
      <c r="S154" s="41"/>
      <c r="T154" s="41"/>
      <c r="U154" s="41"/>
      <c r="V154" s="41"/>
      <c r="W154" s="41">
        <v>0.54</v>
      </c>
      <c r="X154" s="41"/>
      <c r="Y154" s="41"/>
      <c r="Z154" s="41"/>
      <c r="AA154" s="41"/>
      <c r="AB154" s="12"/>
      <c r="AC154" s="13"/>
      <c r="AD154" s="13"/>
      <c r="AE154" s="13"/>
      <c r="AF154" s="14"/>
      <c r="AG154" s="9"/>
      <c r="AH154" s="10"/>
      <c r="AI154" s="10"/>
      <c r="AJ154" s="11"/>
    </row>
    <row r="155" spans="1:36" ht="11.25" hidden="1" customHeight="1" outlineLevel="2" x14ac:dyDescent="0.2">
      <c r="A155" s="57" t="s">
        <v>155</v>
      </c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9">
        <v>0.6</v>
      </c>
      <c r="Q155" s="59"/>
      <c r="R155" s="59"/>
      <c r="S155" s="59"/>
      <c r="T155" s="59"/>
      <c r="U155" s="59"/>
      <c r="V155" s="59"/>
      <c r="W155" s="12"/>
      <c r="X155" s="13"/>
      <c r="Y155" s="13"/>
      <c r="Z155" s="13"/>
      <c r="AA155" s="14"/>
      <c r="AB155" s="59">
        <v>0.6</v>
      </c>
      <c r="AC155" s="59"/>
      <c r="AD155" s="59"/>
      <c r="AE155" s="59"/>
      <c r="AF155" s="59"/>
      <c r="AG155" s="59">
        <v>0.6</v>
      </c>
      <c r="AH155" s="59"/>
      <c r="AI155" s="59"/>
      <c r="AJ155" s="59"/>
    </row>
    <row r="156" spans="1:36" ht="11.25" hidden="1" customHeight="1" outlineLevel="2" x14ac:dyDescent="0.2">
      <c r="A156" s="57" t="s">
        <v>156</v>
      </c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41">
        <v>0.84</v>
      </c>
      <c r="Q156" s="41"/>
      <c r="R156" s="41"/>
      <c r="S156" s="41"/>
      <c r="T156" s="41"/>
      <c r="U156" s="41"/>
      <c r="V156" s="41"/>
      <c r="W156" s="41">
        <v>0.84</v>
      </c>
      <c r="X156" s="41"/>
      <c r="Y156" s="41"/>
      <c r="Z156" s="41"/>
      <c r="AA156" s="41"/>
      <c r="AB156" s="12"/>
      <c r="AC156" s="13"/>
      <c r="AD156" s="13"/>
      <c r="AE156" s="13"/>
      <c r="AF156" s="14"/>
      <c r="AG156" s="9"/>
      <c r="AH156" s="10"/>
      <c r="AI156" s="10"/>
      <c r="AJ156" s="11"/>
    </row>
    <row r="157" spans="1:36" ht="11.25" hidden="1" customHeight="1" outlineLevel="2" x14ac:dyDescent="0.2">
      <c r="A157" s="57" t="s">
        <v>157</v>
      </c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9">
        <v>19.8</v>
      </c>
      <c r="Q157" s="59"/>
      <c r="R157" s="59"/>
      <c r="S157" s="59"/>
      <c r="T157" s="59"/>
      <c r="U157" s="59"/>
      <c r="V157" s="59"/>
      <c r="W157" s="59">
        <v>20.6</v>
      </c>
      <c r="X157" s="59"/>
      <c r="Y157" s="59"/>
      <c r="Z157" s="59"/>
      <c r="AA157" s="59"/>
      <c r="AB157" s="59">
        <v>-0.8</v>
      </c>
      <c r="AC157" s="59"/>
      <c r="AD157" s="59"/>
      <c r="AE157" s="59"/>
      <c r="AF157" s="59"/>
      <c r="AG157" s="9"/>
      <c r="AH157" s="10"/>
      <c r="AI157" s="10"/>
      <c r="AJ157" s="11"/>
    </row>
    <row r="158" spans="1:36" ht="11.25" hidden="1" customHeight="1" outlineLevel="2" x14ac:dyDescent="0.2">
      <c r="A158" s="57" t="s">
        <v>158</v>
      </c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9">
        <v>4.8</v>
      </c>
      <c r="Q158" s="59"/>
      <c r="R158" s="59"/>
      <c r="S158" s="59"/>
      <c r="T158" s="59"/>
      <c r="U158" s="59"/>
      <c r="V158" s="59"/>
      <c r="W158" s="59">
        <v>4.8</v>
      </c>
      <c r="X158" s="59"/>
      <c r="Y158" s="59"/>
      <c r="Z158" s="59"/>
      <c r="AA158" s="59"/>
      <c r="AB158" s="12"/>
      <c r="AC158" s="13"/>
      <c r="AD158" s="13"/>
      <c r="AE158" s="13"/>
      <c r="AF158" s="14"/>
      <c r="AG158" s="9"/>
      <c r="AH158" s="10"/>
      <c r="AI158" s="10"/>
      <c r="AJ158" s="11"/>
    </row>
    <row r="159" spans="1:36" ht="21.75" hidden="1" customHeight="1" outlineLevel="2" x14ac:dyDescent="0.2">
      <c r="A159" s="57" t="s">
        <v>159</v>
      </c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9">
        <v>3.5</v>
      </c>
      <c r="Q159" s="59"/>
      <c r="R159" s="59"/>
      <c r="S159" s="59"/>
      <c r="T159" s="59"/>
      <c r="U159" s="59"/>
      <c r="V159" s="59"/>
      <c r="W159" s="41">
        <v>3.38</v>
      </c>
      <c r="X159" s="41"/>
      <c r="Y159" s="41"/>
      <c r="Z159" s="41"/>
      <c r="AA159" s="41"/>
      <c r="AB159" s="41">
        <v>0.12</v>
      </c>
      <c r="AC159" s="41"/>
      <c r="AD159" s="41"/>
      <c r="AE159" s="41"/>
      <c r="AF159" s="41"/>
      <c r="AG159" s="41">
        <v>0.12</v>
      </c>
      <c r="AH159" s="41"/>
      <c r="AI159" s="41"/>
      <c r="AJ159" s="41"/>
    </row>
    <row r="160" spans="1:36" ht="11.25" hidden="1" customHeight="1" collapsed="1" x14ac:dyDescent="0.2">
      <c r="A160" s="60" t="s">
        <v>160</v>
      </c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1">
        <v>16562.424999999999</v>
      </c>
      <c r="Q160" s="61"/>
      <c r="R160" s="61"/>
      <c r="S160" s="61"/>
      <c r="T160" s="61"/>
      <c r="U160" s="61"/>
      <c r="V160" s="61"/>
      <c r="W160" s="61">
        <v>16711.285</v>
      </c>
      <c r="X160" s="61"/>
      <c r="Y160" s="61"/>
      <c r="Z160" s="61"/>
      <c r="AA160" s="61"/>
      <c r="AB160" s="65">
        <v>-148.86000000000001</v>
      </c>
      <c r="AC160" s="65"/>
      <c r="AD160" s="65"/>
      <c r="AE160" s="65"/>
      <c r="AF160" s="65"/>
      <c r="AG160" s="62">
        <v>228.74799999999999</v>
      </c>
      <c r="AH160" s="62"/>
      <c r="AI160" s="62"/>
      <c r="AJ160" s="62"/>
    </row>
    <row r="161" spans="1:36" ht="11.25" hidden="1" customHeight="1" outlineLevel="1" x14ac:dyDescent="0.2">
      <c r="A161" s="63" t="s">
        <v>161</v>
      </c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4">
        <v>3685.35</v>
      </c>
      <c r="Q161" s="64"/>
      <c r="R161" s="64"/>
      <c r="S161" s="64"/>
      <c r="T161" s="64"/>
      <c r="U161" s="64"/>
      <c r="V161" s="64"/>
      <c r="W161" s="61">
        <v>3781.5320000000002</v>
      </c>
      <c r="X161" s="61"/>
      <c r="Y161" s="61"/>
      <c r="Z161" s="61"/>
      <c r="AA161" s="61"/>
      <c r="AB161" s="62">
        <v>-96.182000000000002</v>
      </c>
      <c r="AC161" s="62"/>
      <c r="AD161" s="62"/>
      <c r="AE161" s="62"/>
      <c r="AF161" s="62"/>
      <c r="AG161" s="62">
        <v>36.936999999999998</v>
      </c>
      <c r="AH161" s="62"/>
      <c r="AI161" s="62"/>
      <c r="AJ161" s="62"/>
    </row>
    <row r="162" spans="1:36" ht="11.25" hidden="1" customHeight="1" outlineLevel="2" x14ac:dyDescent="0.2">
      <c r="A162" s="57" t="s">
        <v>162</v>
      </c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41">
        <v>990.55</v>
      </c>
      <c r="Q162" s="41"/>
      <c r="R162" s="41"/>
      <c r="S162" s="41"/>
      <c r="T162" s="41"/>
      <c r="U162" s="41"/>
      <c r="V162" s="41"/>
      <c r="W162" s="40">
        <v>1023.46</v>
      </c>
      <c r="X162" s="40"/>
      <c r="Y162" s="40"/>
      <c r="Z162" s="40"/>
      <c r="AA162" s="40"/>
      <c r="AB162" s="41">
        <v>-32.909999999999997</v>
      </c>
      <c r="AC162" s="41"/>
      <c r="AD162" s="41"/>
      <c r="AE162" s="41"/>
      <c r="AF162" s="41"/>
      <c r="AG162" s="43">
        <v>3.794</v>
      </c>
      <c r="AH162" s="43"/>
      <c r="AI162" s="43"/>
      <c r="AJ162" s="43"/>
    </row>
    <row r="163" spans="1:36" ht="11.25" hidden="1" customHeight="1" outlineLevel="2" x14ac:dyDescent="0.2">
      <c r="A163" s="57" t="s">
        <v>163</v>
      </c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41">
        <v>514.45000000000005</v>
      </c>
      <c r="Q163" s="41"/>
      <c r="R163" s="41"/>
      <c r="S163" s="41"/>
      <c r="T163" s="41"/>
      <c r="U163" s="41"/>
      <c r="V163" s="41"/>
      <c r="W163" s="43">
        <v>542.69799999999998</v>
      </c>
      <c r="X163" s="43"/>
      <c r="Y163" s="43"/>
      <c r="Z163" s="43"/>
      <c r="AA163" s="43"/>
      <c r="AB163" s="43">
        <v>-28.248000000000001</v>
      </c>
      <c r="AC163" s="43"/>
      <c r="AD163" s="43"/>
      <c r="AE163" s="43"/>
      <c r="AF163" s="43"/>
      <c r="AG163" s="43">
        <v>1.675</v>
      </c>
      <c r="AH163" s="43"/>
      <c r="AI163" s="43"/>
      <c r="AJ163" s="43"/>
    </row>
    <row r="164" spans="1:36" ht="11.25" hidden="1" customHeight="1" outlineLevel="2" x14ac:dyDescent="0.2">
      <c r="A164" s="57" t="s">
        <v>164</v>
      </c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41">
        <v>406.25</v>
      </c>
      <c r="Q164" s="41"/>
      <c r="R164" s="41"/>
      <c r="S164" s="41"/>
      <c r="T164" s="41"/>
      <c r="U164" s="41"/>
      <c r="V164" s="41"/>
      <c r="W164" s="43">
        <v>424.69400000000002</v>
      </c>
      <c r="X164" s="43"/>
      <c r="Y164" s="43"/>
      <c r="Z164" s="43"/>
      <c r="AA164" s="43"/>
      <c r="AB164" s="43">
        <v>-18.443999999999999</v>
      </c>
      <c r="AC164" s="43"/>
      <c r="AD164" s="43"/>
      <c r="AE164" s="43"/>
      <c r="AF164" s="43"/>
      <c r="AG164" s="43">
        <v>0.22600000000000001</v>
      </c>
      <c r="AH164" s="43"/>
      <c r="AI164" s="43"/>
      <c r="AJ164" s="43"/>
    </row>
    <row r="165" spans="1:36" ht="11.25" hidden="1" customHeight="1" outlineLevel="2" x14ac:dyDescent="0.2">
      <c r="A165" s="57" t="s">
        <v>165</v>
      </c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41">
        <v>243.85</v>
      </c>
      <c r="Q165" s="41"/>
      <c r="R165" s="41"/>
      <c r="S165" s="41"/>
      <c r="T165" s="41"/>
      <c r="U165" s="41"/>
      <c r="V165" s="41"/>
      <c r="W165" s="43">
        <v>248.38900000000001</v>
      </c>
      <c r="X165" s="43"/>
      <c r="Y165" s="43"/>
      <c r="Z165" s="43"/>
      <c r="AA165" s="43"/>
      <c r="AB165" s="43">
        <v>-4.5389999999999997</v>
      </c>
      <c r="AC165" s="43"/>
      <c r="AD165" s="43"/>
      <c r="AE165" s="43"/>
      <c r="AF165" s="43"/>
      <c r="AG165" s="43">
        <v>0.622</v>
      </c>
      <c r="AH165" s="43"/>
      <c r="AI165" s="43"/>
      <c r="AJ165" s="43"/>
    </row>
    <row r="166" spans="1:36" ht="11.25" hidden="1" customHeight="1" outlineLevel="2" x14ac:dyDescent="0.2">
      <c r="A166" s="57" t="s">
        <v>166</v>
      </c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41">
        <v>189.55</v>
      </c>
      <c r="Q166" s="41"/>
      <c r="R166" s="41"/>
      <c r="S166" s="41"/>
      <c r="T166" s="41"/>
      <c r="U166" s="41"/>
      <c r="V166" s="41"/>
      <c r="W166" s="41">
        <v>191.72</v>
      </c>
      <c r="X166" s="41"/>
      <c r="Y166" s="41"/>
      <c r="Z166" s="41"/>
      <c r="AA166" s="41"/>
      <c r="AB166" s="41">
        <v>-2.17</v>
      </c>
      <c r="AC166" s="41"/>
      <c r="AD166" s="41"/>
      <c r="AE166" s="41"/>
      <c r="AF166" s="41"/>
      <c r="AG166" s="43">
        <v>1.536</v>
      </c>
      <c r="AH166" s="43"/>
      <c r="AI166" s="43"/>
      <c r="AJ166" s="43"/>
    </row>
    <row r="167" spans="1:36" ht="11.25" hidden="1" customHeight="1" outlineLevel="2" x14ac:dyDescent="0.2">
      <c r="A167" s="57" t="s">
        <v>167</v>
      </c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9">
        <v>313.8</v>
      </c>
      <c r="Q167" s="59"/>
      <c r="R167" s="59"/>
      <c r="S167" s="59"/>
      <c r="T167" s="59"/>
      <c r="U167" s="59"/>
      <c r="V167" s="59"/>
      <c r="W167" s="43">
        <v>319.16899999999998</v>
      </c>
      <c r="X167" s="43"/>
      <c r="Y167" s="43"/>
      <c r="Z167" s="43"/>
      <c r="AA167" s="43"/>
      <c r="AB167" s="43">
        <v>-5.3689999999999998</v>
      </c>
      <c r="AC167" s="43"/>
      <c r="AD167" s="43"/>
      <c r="AE167" s="43"/>
      <c r="AF167" s="43"/>
      <c r="AG167" s="43">
        <v>0.93600000000000005</v>
      </c>
      <c r="AH167" s="43"/>
      <c r="AI167" s="43"/>
      <c r="AJ167" s="43"/>
    </row>
    <row r="168" spans="1:36" ht="11.25" hidden="1" customHeight="1" outlineLevel="2" x14ac:dyDescent="0.2">
      <c r="A168" s="57" t="s">
        <v>168</v>
      </c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41">
        <v>320.95</v>
      </c>
      <c r="Q168" s="41"/>
      <c r="R168" s="41"/>
      <c r="S168" s="41"/>
      <c r="T168" s="41"/>
      <c r="U168" s="41"/>
      <c r="V168" s="41"/>
      <c r="W168" s="43">
        <v>331.85899999999998</v>
      </c>
      <c r="X168" s="43"/>
      <c r="Y168" s="43"/>
      <c r="Z168" s="43"/>
      <c r="AA168" s="43"/>
      <c r="AB168" s="43">
        <v>-10.909000000000001</v>
      </c>
      <c r="AC168" s="43"/>
      <c r="AD168" s="43"/>
      <c r="AE168" s="43"/>
      <c r="AF168" s="43"/>
      <c r="AG168" s="43">
        <v>3.2949999999999999</v>
      </c>
      <c r="AH168" s="43"/>
      <c r="AI168" s="43"/>
      <c r="AJ168" s="43"/>
    </row>
    <row r="169" spans="1:36" ht="11.25" hidden="1" customHeight="1" outlineLevel="2" x14ac:dyDescent="0.2">
      <c r="A169" s="57" t="s">
        <v>169</v>
      </c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9">
        <v>7.8</v>
      </c>
      <c r="Q169" s="59"/>
      <c r="R169" s="59"/>
      <c r="S169" s="59"/>
      <c r="T169" s="59"/>
      <c r="U169" s="59"/>
      <c r="V169" s="59"/>
      <c r="W169" s="43">
        <v>8.0640000000000001</v>
      </c>
      <c r="X169" s="43"/>
      <c r="Y169" s="43"/>
      <c r="Z169" s="43"/>
      <c r="AA169" s="43"/>
      <c r="AB169" s="43">
        <v>-0.26400000000000001</v>
      </c>
      <c r="AC169" s="43"/>
      <c r="AD169" s="43"/>
      <c r="AE169" s="43"/>
      <c r="AF169" s="43"/>
      <c r="AG169" s="9"/>
      <c r="AH169" s="10"/>
      <c r="AI169" s="10"/>
      <c r="AJ169" s="11"/>
    </row>
    <row r="170" spans="1:36" ht="11.25" hidden="1" customHeight="1" outlineLevel="2" x14ac:dyDescent="0.2">
      <c r="A170" s="57" t="s">
        <v>170</v>
      </c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9">
        <v>1.3</v>
      </c>
      <c r="Q170" s="59"/>
      <c r="R170" s="59"/>
      <c r="S170" s="59"/>
      <c r="T170" s="59"/>
      <c r="U170" s="59"/>
      <c r="V170" s="59"/>
      <c r="W170" s="12"/>
      <c r="X170" s="13"/>
      <c r="Y170" s="13"/>
      <c r="Z170" s="13"/>
      <c r="AA170" s="14"/>
      <c r="AB170" s="59">
        <v>1.3</v>
      </c>
      <c r="AC170" s="59"/>
      <c r="AD170" s="59"/>
      <c r="AE170" s="59"/>
      <c r="AF170" s="59"/>
      <c r="AG170" s="59">
        <v>1.3</v>
      </c>
      <c r="AH170" s="59"/>
      <c r="AI170" s="59"/>
      <c r="AJ170" s="59"/>
    </row>
    <row r="171" spans="1:36" ht="11.25" hidden="1" customHeight="1" outlineLevel="2" x14ac:dyDescent="0.2">
      <c r="A171" s="57" t="s">
        <v>171</v>
      </c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9">
        <v>5.6</v>
      </c>
      <c r="Q171" s="59"/>
      <c r="R171" s="59"/>
      <c r="S171" s="59"/>
      <c r="T171" s="59"/>
      <c r="U171" s="59"/>
      <c r="V171" s="59"/>
      <c r="W171" s="43">
        <v>6.0140000000000002</v>
      </c>
      <c r="X171" s="43"/>
      <c r="Y171" s="43"/>
      <c r="Z171" s="43"/>
      <c r="AA171" s="43"/>
      <c r="AB171" s="43">
        <v>-0.41399999999999998</v>
      </c>
      <c r="AC171" s="43"/>
      <c r="AD171" s="43"/>
      <c r="AE171" s="43"/>
      <c r="AF171" s="43"/>
      <c r="AG171" s="43">
        <v>6.0000000000000001E-3</v>
      </c>
      <c r="AH171" s="43"/>
      <c r="AI171" s="43"/>
      <c r="AJ171" s="43"/>
    </row>
    <row r="172" spans="1:36" ht="21.75" hidden="1" customHeight="1" outlineLevel="2" x14ac:dyDescent="0.2">
      <c r="A172" s="57" t="s">
        <v>172</v>
      </c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9">
        <v>262.3</v>
      </c>
      <c r="Q172" s="59"/>
      <c r="R172" s="59"/>
      <c r="S172" s="59"/>
      <c r="T172" s="59"/>
      <c r="U172" s="59"/>
      <c r="V172" s="59"/>
      <c r="W172" s="43">
        <v>263.87900000000002</v>
      </c>
      <c r="X172" s="43"/>
      <c r="Y172" s="43"/>
      <c r="Z172" s="43"/>
      <c r="AA172" s="43"/>
      <c r="AB172" s="43">
        <v>-1.579</v>
      </c>
      <c r="AC172" s="43"/>
      <c r="AD172" s="43"/>
      <c r="AE172" s="43"/>
      <c r="AF172" s="43"/>
      <c r="AG172" s="43">
        <v>7.8710000000000004</v>
      </c>
      <c r="AH172" s="43"/>
      <c r="AI172" s="43"/>
      <c r="AJ172" s="43"/>
    </row>
    <row r="173" spans="1:36" ht="11.25" hidden="1" customHeight="1" outlineLevel="2" x14ac:dyDescent="0.2">
      <c r="A173" s="57" t="s">
        <v>173</v>
      </c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9">
        <v>269.8</v>
      </c>
      <c r="Q173" s="59"/>
      <c r="R173" s="59"/>
      <c r="S173" s="59"/>
      <c r="T173" s="59"/>
      <c r="U173" s="59"/>
      <c r="V173" s="59"/>
      <c r="W173" s="43">
        <v>259.29700000000003</v>
      </c>
      <c r="X173" s="43"/>
      <c r="Y173" s="43"/>
      <c r="Z173" s="43"/>
      <c r="AA173" s="43"/>
      <c r="AB173" s="43">
        <v>10.503</v>
      </c>
      <c r="AC173" s="43"/>
      <c r="AD173" s="43"/>
      <c r="AE173" s="43"/>
      <c r="AF173" s="43"/>
      <c r="AG173" s="43">
        <v>15.587</v>
      </c>
      <c r="AH173" s="43"/>
      <c r="AI173" s="43"/>
      <c r="AJ173" s="43"/>
    </row>
    <row r="174" spans="1:36" ht="11.25" hidden="1" customHeight="1" outlineLevel="2" x14ac:dyDescent="0.2">
      <c r="A174" s="57" t="s">
        <v>174</v>
      </c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41">
        <v>159.15</v>
      </c>
      <c r="Q174" s="41"/>
      <c r="R174" s="41"/>
      <c r="S174" s="41"/>
      <c r="T174" s="41"/>
      <c r="U174" s="41"/>
      <c r="V174" s="41"/>
      <c r="W174" s="43">
        <v>162.28899999999999</v>
      </c>
      <c r="X174" s="43"/>
      <c r="Y174" s="43"/>
      <c r="Z174" s="43"/>
      <c r="AA174" s="43"/>
      <c r="AB174" s="43">
        <v>-3.1389999999999998</v>
      </c>
      <c r="AC174" s="43"/>
      <c r="AD174" s="43"/>
      <c r="AE174" s="43"/>
      <c r="AF174" s="43"/>
      <c r="AG174" s="43">
        <v>8.8999999999999996E-2</v>
      </c>
      <c r="AH174" s="43"/>
      <c r="AI174" s="43"/>
      <c r="AJ174" s="43"/>
    </row>
    <row r="175" spans="1:36" ht="11.25" hidden="1" customHeight="1" outlineLevel="1" x14ac:dyDescent="0.2">
      <c r="A175" s="63" t="s">
        <v>175</v>
      </c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5">
        <v>637.82000000000005</v>
      </c>
      <c r="Q175" s="65"/>
      <c r="R175" s="65"/>
      <c r="S175" s="65"/>
      <c r="T175" s="65"/>
      <c r="U175" s="65"/>
      <c r="V175" s="65"/>
      <c r="W175" s="85">
        <v>614.1</v>
      </c>
      <c r="X175" s="85"/>
      <c r="Y175" s="85"/>
      <c r="Z175" s="85"/>
      <c r="AA175" s="85"/>
      <c r="AB175" s="65">
        <v>23.72</v>
      </c>
      <c r="AC175" s="65"/>
      <c r="AD175" s="65"/>
      <c r="AE175" s="65"/>
      <c r="AF175" s="65"/>
      <c r="AG175" s="65">
        <v>24.17</v>
      </c>
      <c r="AH175" s="65"/>
      <c r="AI175" s="65"/>
      <c r="AJ175" s="65"/>
    </row>
    <row r="176" spans="1:36" ht="11.25" hidden="1" customHeight="1" outlineLevel="2" x14ac:dyDescent="0.2">
      <c r="A176" s="57" t="s">
        <v>176</v>
      </c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9">
        <v>111.6</v>
      </c>
      <c r="Q176" s="59"/>
      <c r="R176" s="59"/>
      <c r="S176" s="59"/>
      <c r="T176" s="59"/>
      <c r="U176" s="59"/>
      <c r="V176" s="59"/>
      <c r="W176" s="59">
        <v>111.6</v>
      </c>
      <c r="X176" s="59"/>
      <c r="Y176" s="59"/>
      <c r="Z176" s="59"/>
      <c r="AA176" s="59"/>
      <c r="AB176" s="12"/>
      <c r="AC176" s="13"/>
      <c r="AD176" s="13"/>
      <c r="AE176" s="13"/>
      <c r="AF176" s="14"/>
      <c r="AG176" s="9"/>
      <c r="AH176" s="10"/>
      <c r="AI176" s="10"/>
      <c r="AJ176" s="11"/>
    </row>
    <row r="177" spans="1:36" ht="11.25" hidden="1" customHeight="1" outlineLevel="2" x14ac:dyDescent="0.2">
      <c r="A177" s="57" t="s">
        <v>177</v>
      </c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9">
        <v>132.30000000000001</v>
      </c>
      <c r="Q177" s="59"/>
      <c r="R177" s="59"/>
      <c r="S177" s="59"/>
      <c r="T177" s="59"/>
      <c r="U177" s="59"/>
      <c r="V177" s="59"/>
      <c r="W177" s="41">
        <v>132.75</v>
      </c>
      <c r="X177" s="41"/>
      <c r="Y177" s="41"/>
      <c r="Z177" s="41"/>
      <c r="AA177" s="41"/>
      <c r="AB177" s="41">
        <v>-0.45</v>
      </c>
      <c r="AC177" s="41"/>
      <c r="AD177" s="41"/>
      <c r="AE177" s="41"/>
      <c r="AF177" s="41"/>
      <c r="AG177" s="9"/>
      <c r="AH177" s="10"/>
      <c r="AI177" s="10"/>
      <c r="AJ177" s="11"/>
    </row>
    <row r="178" spans="1:36" ht="11.25" hidden="1" customHeight="1" outlineLevel="2" x14ac:dyDescent="0.2">
      <c r="A178" s="57" t="s">
        <v>178</v>
      </c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9">
        <v>80.099999999999994</v>
      </c>
      <c r="Q178" s="59"/>
      <c r="R178" s="59"/>
      <c r="S178" s="59"/>
      <c r="T178" s="59"/>
      <c r="U178" s="59"/>
      <c r="V178" s="59"/>
      <c r="W178" s="41">
        <v>79.650000000000006</v>
      </c>
      <c r="X178" s="41"/>
      <c r="Y178" s="41"/>
      <c r="Z178" s="41"/>
      <c r="AA178" s="41"/>
      <c r="AB178" s="41">
        <v>0.45</v>
      </c>
      <c r="AC178" s="41"/>
      <c r="AD178" s="41"/>
      <c r="AE178" s="41"/>
      <c r="AF178" s="41"/>
      <c r="AG178" s="41">
        <v>0.45</v>
      </c>
      <c r="AH178" s="41"/>
      <c r="AI178" s="41"/>
      <c r="AJ178" s="41"/>
    </row>
    <row r="179" spans="1:36" ht="11.25" hidden="1" customHeight="1" outlineLevel="2" x14ac:dyDescent="0.2">
      <c r="A179" s="57" t="s">
        <v>179</v>
      </c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9">
        <v>29.7</v>
      </c>
      <c r="Q179" s="59"/>
      <c r="R179" s="59"/>
      <c r="S179" s="59"/>
      <c r="T179" s="59"/>
      <c r="U179" s="59"/>
      <c r="V179" s="59"/>
      <c r="W179" s="59">
        <v>29.7</v>
      </c>
      <c r="X179" s="59"/>
      <c r="Y179" s="59"/>
      <c r="Z179" s="59"/>
      <c r="AA179" s="59"/>
      <c r="AB179" s="12"/>
      <c r="AC179" s="13"/>
      <c r="AD179" s="13"/>
      <c r="AE179" s="13"/>
      <c r="AF179" s="14"/>
      <c r="AG179" s="9"/>
      <c r="AH179" s="10"/>
      <c r="AI179" s="10"/>
      <c r="AJ179" s="11"/>
    </row>
    <row r="180" spans="1:36" ht="11.25" hidden="1" customHeight="1" outlineLevel="2" x14ac:dyDescent="0.2">
      <c r="A180" s="57" t="s">
        <v>180</v>
      </c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41">
        <v>85.95</v>
      </c>
      <c r="Q180" s="41"/>
      <c r="R180" s="41"/>
      <c r="S180" s="41"/>
      <c r="T180" s="41"/>
      <c r="U180" s="41"/>
      <c r="V180" s="41"/>
      <c r="W180" s="41">
        <v>85.95</v>
      </c>
      <c r="X180" s="41"/>
      <c r="Y180" s="41"/>
      <c r="Z180" s="41"/>
      <c r="AA180" s="41"/>
      <c r="AB180" s="12"/>
      <c r="AC180" s="13"/>
      <c r="AD180" s="13"/>
      <c r="AE180" s="13"/>
      <c r="AF180" s="14"/>
      <c r="AG180" s="9"/>
      <c r="AH180" s="10"/>
      <c r="AI180" s="10"/>
      <c r="AJ180" s="11"/>
    </row>
    <row r="181" spans="1:36" ht="11.25" hidden="1" customHeight="1" outlineLevel="2" x14ac:dyDescent="0.2">
      <c r="A181" s="57" t="s">
        <v>181</v>
      </c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9">
        <v>39.200000000000003</v>
      </c>
      <c r="Q181" s="59"/>
      <c r="R181" s="59"/>
      <c r="S181" s="59"/>
      <c r="T181" s="59"/>
      <c r="U181" s="59"/>
      <c r="V181" s="59"/>
      <c r="W181" s="59">
        <v>39.200000000000003</v>
      </c>
      <c r="X181" s="59"/>
      <c r="Y181" s="59"/>
      <c r="Z181" s="59"/>
      <c r="AA181" s="59"/>
      <c r="AB181" s="12"/>
      <c r="AC181" s="13"/>
      <c r="AD181" s="13"/>
      <c r="AE181" s="13"/>
      <c r="AF181" s="14"/>
      <c r="AG181" s="9"/>
      <c r="AH181" s="10"/>
      <c r="AI181" s="10"/>
      <c r="AJ181" s="11"/>
    </row>
    <row r="182" spans="1:36" ht="11.25" hidden="1" customHeight="1" outlineLevel="2" x14ac:dyDescent="0.2">
      <c r="A182" s="57" t="s">
        <v>182</v>
      </c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8">
        <v>3</v>
      </c>
      <c r="Q182" s="58"/>
      <c r="R182" s="58"/>
      <c r="S182" s="58"/>
      <c r="T182" s="58"/>
      <c r="U182" s="58"/>
      <c r="V182" s="58"/>
      <c r="W182" s="59">
        <v>0.6</v>
      </c>
      <c r="X182" s="59"/>
      <c r="Y182" s="59"/>
      <c r="Z182" s="59"/>
      <c r="AA182" s="59"/>
      <c r="AB182" s="59">
        <v>2.4</v>
      </c>
      <c r="AC182" s="59"/>
      <c r="AD182" s="59"/>
      <c r="AE182" s="59"/>
      <c r="AF182" s="59"/>
      <c r="AG182" s="59">
        <v>2.4</v>
      </c>
      <c r="AH182" s="59"/>
      <c r="AI182" s="59"/>
      <c r="AJ182" s="59"/>
    </row>
    <row r="183" spans="1:36" ht="11.25" hidden="1" customHeight="1" outlineLevel="2" x14ac:dyDescent="0.2">
      <c r="A183" s="57" t="s">
        <v>183</v>
      </c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8">
        <v>10</v>
      </c>
      <c r="Q183" s="58"/>
      <c r="R183" s="58"/>
      <c r="S183" s="58"/>
      <c r="T183" s="58"/>
      <c r="U183" s="58"/>
      <c r="V183" s="58"/>
      <c r="W183" s="58">
        <v>8</v>
      </c>
      <c r="X183" s="58"/>
      <c r="Y183" s="58"/>
      <c r="Z183" s="58"/>
      <c r="AA183" s="58"/>
      <c r="AB183" s="58">
        <v>2</v>
      </c>
      <c r="AC183" s="58"/>
      <c r="AD183" s="58"/>
      <c r="AE183" s="58"/>
      <c r="AF183" s="58"/>
      <c r="AG183" s="58">
        <v>2</v>
      </c>
      <c r="AH183" s="58"/>
      <c r="AI183" s="58"/>
      <c r="AJ183" s="58"/>
    </row>
    <row r="184" spans="1:36" ht="11.25" hidden="1" customHeight="1" outlineLevel="2" x14ac:dyDescent="0.2">
      <c r="A184" s="57" t="s">
        <v>184</v>
      </c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41">
        <v>9.57</v>
      </c>
      <c r="Q184" s="41"/>
      <c r="R184" s="41"/>
      <c r="S184" s="41"/>
      <c r="T184" s="41"/>
      <c r="U184" s="41"/>
      <c r="V184" s="41"/>
      <c r="W184" s="41">
        <v>9.57</v>
      </c>
      <c r="X184" s="41"/>
      <c r="Y184" s="41"/>
      <c r="Z184" s="41"/>
      <c r="AA184" s="41"/>
      <c r="AB184" s="12"/>
      <c r="AC184" s="13"/>
      <c r="AD184" s="13"/>
      <c r="AE184" s="13"/>
      <c r="AF184" s="14"/>
      <c r="AG184" s="9"/>
      <c r="AH184" s="10"/>
      <c r="AI184" s="10"/>
      <c r="AJ184" s="11"/>
    </row>
    <row r="185" spans="1:36" ht="11.25" hidden="1" customHeight="1" outlineLevel="2" x14ac:dyDescent="0.2">
      <c r="A185" s="57" t="s">
        <v>185</v>
      </c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41">
        <v>48.84</v>
      </c>
      <c r="Q185" s="41"/>
      <c r="R185" s="41"/>
      <c r="S185" s="41"/>
      <c r="T185" s="41"/>
      <c r="U185" s="41"/>
      <c r="V185" s="41"/>
      <c r="W185" s="41">
        <v>48.84</v>
      </c>
      <c r="X185" s="41"/>
      <c r="Y185" s="41"/>
      <c r="Z185" s="41"/>
      <c r="AA185" s="41"/>
      <c r="AB185" s="12"/>
      <c r="AC185" s="13"/>
      <c r="AD185" s="13"/>
      <c r="AE185" s="13"/>
      <c r="AF185" s="14"/>
      <c r="AG185" s="9"/>
      <c r="AH185" s="10"/>
      <c r="AI185" s="10"/>
      <c r="AJ185" s="11"/>
    </row>
    <row r="186" spans="1:36" ht="11.25" hidden="1" customHeight="1" outlineLevel="2" x14ac:dyDescent="0.2">
      <c r="A186" s="57" t="s">
        <v>186</v>
      </c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41">
        <v>2.64</v>
      </c>
      <c r="Q186" s="41"/>
      <c r="R186" s="41"/>
      <c r="S186" s="41"/>
      <c r="T186" s="41"/>
      <c r="U186" s="41"/>
      <c r="V186" s="41"/>
      <c r="W186" s="41">
        <v>2.64</v>
      </c>
      <c r="X186" s="41"/>
      <c r="Y186" s="41"/>
      <c r="Z186" s="41"/>
      <c r="AA186" s="41"/>
      <c r="AB186" s="12"/>
      <c r="AC186" s="13"/>
      <c r="AD186" s="13"/>
      <c r="AE186" s="13"/>
      <c r="AF186" s="14"/>
      <c r="AG186" s="9"/>
      <c r="AH186" s="10"/>
      <c r="AI186" s="10"/>
      <c r="AJ186" s="11"/>
    </row>
    <row r="187" spans="1:36" ht="11.25" hidden="1" customHeight="1" outlineLevel="2" x14ac:dyDescent="0.2">
      <c r="A187" s="57" t="s">
        <v>187</v>
      </c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9">
        <v>42.4</v>
      </c>
      <c r="Q187" s="59"/>
      <c r="R187" s="59"/>
      <c r="S187" s="59"/>
      <c r="T187" s="59"/>
      <c r="U187" s="59"/>
      <c r="V187" s="59"/>
      <c r="W187" s="59">
        <v>42.4</v>
      </c>
      <c r="X187" s="59"/>
      <c r="Y187" s="59"/>
      <c r="Z187" s="59"/>
      <c r="AA187" s="59"/>
      <c r="AB187" s="12"/>
      <c r="AC187" s="13"/>
      <c r="AD187" s="13"/>
      <c r="AE187" s="13"/>
      <c r="AF187" s="14"/>
      <c r="AG187" s="9"/>
      <c r="AH187" s="10"/>
      <c r="AI187" s="10"/>
      <c r="AJ187" s="11"/>
    </row>
    <row r="188" spans="1:36" ht="21.75" hidden="1" customHeight="1" outlineLevel="2" x14ac:dyDescent="0.2">
      <c r="A188" s="57" t="s">
        <v>188</v>
      </c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8">
        <v>21</v>
      </c>
      <c r="Q188" s="58"/>
      <c r="R188" s="58"/>
      <c r="S188" s="58"/>
      <c r="T188" s="58"/>
      <c r="U188" s="58"/>
      <c r="V188" s="58"/>
      <c r="W188" s="41">
        <v>1.68</v>
      </c>
      <c r="X188" s="41"/>
      <c r="Y188" s="41"/>
      <c r="Z188" s="41"/>
      <c r="AA188" s="41"/>
      <c r="AB188" s="41">
        <v>19.32</v>
      </c>
      <c r="AC188" s="41"/>
      <c r="AD188" s="41"/>
      <c r="AE188" s="41"/>
      <c r="AF188" s="41"/>
      <c r="AG188" s="41">
        <v>19.32</v>
      </c>
      <c r="AH188" s="41"/>
      <c r="AI188" s="41"/>
      <c r="AJ188" s="41"/>
    </row>
    <row r="189" spans="1:36" ht="21.75" hidden="1" customHeight="1" outlineLevel="2" x14ac:dyDescent="0.2">
      <c r="A189" s="57" t="s">
        <v>189</v>
      </c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41">
        <v>20.440000000000001</v>
      </c>
      <c r="Q189" s="41"/>
      <c r="R189" s="41"/>
      <c r="S189" s="41"/>
      <c r="T189" s="41"/>
      <c r="U189" s="41"/>
      <c r="V189" s="41"/>
      <c r="W189" s="41">
        <v>20.440000000000001</v>
      </c>
      <c r="X189" s="41"/>
      <c r="Y189" s="41"/>
      <c r="Z189" s="41"/>
      <c r="AA189" s="41"/>
      <c r="AB189" s="12"/>
      <c r="AC189" s="13"/>
      <c r="AD189" s="13"/>
      <c r="AE189" s="13"/>
      <c r="AF189" s="14"/>
      <c r="AG189" s="9"/>
      <c r="AH189" s="10"/>
      <c r="AI189" s="10"/>
      <c r="AJ189" s="11"/>
    </row>
    <row r="190" spans="1:36" ht="11.25" hidden="1" customHeight="1" outlineLevel="2" x14ac:dyDescent="0.2">
      <c r="A190" s="57" t="s">
        <v>190</v>
      </c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41">
        <v>0.72</v>
      </c>
      <c r="Q190" s="41"/>
      <c r="R190" s="41"/>
      <c r="S190" s="41"/>
      <c r="T190" s="41"/>
      <c r="U190" s="41"/>
      <c r="V190" s="41"/>
      <c r="W190" s="41">
        <v>0.72</v>
      </c>
      <c r="X190" s="41"/>
      <c r="Y190" s="41"/>
      <c r="Z190" s="41"/>
      <c r="AA190" s="41"/>
      <c r="AB190" s="12"/>
      <c r="AC190" s="13"/>
      <c r="AD190" s="13"/>
      <c r="AE190" s="13"/>
      <c r="AF190" s="14"/>
      <c r="AG190" s="9"/>
      <c r="AH190" s="10"/>
      <c r="AI190" s="10"/>
      <c r="AJ190" s="11"/>
    </row>
    <row r="191" spans="1:36" ht="11.25" hidden="1" customHeight="1" outlineLevel="2" x14ac:dyDescent="0.2">
      <c r="A191" s="57" t="s">
        <v>191</v>
      </c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41">
        <v>0.36</v>
      </c>
      <c r="Q191" s="41"/>
      <c r="R191" s="41"/>
      <c r="S191" s="41"/>
      <c r="T191" s="41"/>
      <c r="U191" s="41"/>
      <c r="V191" s="41"/>
      <c r="W191" s="41">
        <v>0.36</v>
      </c>
      <c r="X191" s="41"/>
      <c r="Y191" s="41"/>
      <c r="Z191" s="41"/>
      <c r="AA191" s="41"/>
      <c r="AB191" s="12"/>
      <c r="AC191" s="13"/>
      <c r="AD191" s="13"/>
      <c r="AE191" s="13"/>
      <c r="AF191" s="14"/>
      <c r="AG191" s="9"/>
      <c r="AH191" s="10"/>
      <c r="AI191" s="10"/>
      <c r="AJ191" s="11"/>
    </row>
    <row r="192" spans="1:36" ht="11.25" hidden="1" customHeight="1" outlineLevel="1" x14ac:dyDescent="0.2">
      <c r="A192" s="63" t="s">
        <v>192</v>
      </c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85">
        <v>484.7</v>
      </c>
      <c r="Q192" s="85"/>
      <c r="R192" s="85"/>
      <c r="S192" s="85"/>
      <c r="T192" s="85"/>
      <c r="U192" s="85"/>
      <c r="V192" s="85"/>
      <c r="W192" s="85">
        <v>470.1</v>
      </c>
      <c r="X192" s="85"/>
      <c r="Y192" s="85"/>
      <c r="Z192" s="85"/>
      <c r="AA192" s="85"/>
      <c r="AB192" s="85">
        <v>14.6</v>
      </c>
      <c r="AC192" s="85"/>
      <c r="AD192" s="85"/>
      <c r="AE192" s="85"/>
      <c r="AF192" s="85"/>
      <c r="AG192" s="85">
        <v>14.8</v>
      </c>
      <c r="AH192" s="85"/>
      <c r="AI192" s="85"/>
      <c r="AJ192" s="85"/>
    </row>
    <row r="193" spans="1:36" ht="11.25" hidden="1" customHeight="1" outlineLevel="2" x14ac:dyDescent="0.2">
      <c r="A193" s="57" t="s">
        <v>193</v>
      </c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9">
        <v>14.8</v>
      </c>
      <c r="Q193" s="59"/>
      <c r="R193" s="59"/>
      <c r="S193" s="59"/>
      <c r="T193" s="59"/>
      <c r="U193" s="59"/>
      <c r="V193" s="59"/>
      <c r="W193" s="12"/>
      <c r="X193" s="13"/>
      <c r="Y193" s="13"/>
      <c r="Z193" s="13"/>
      <c r="AA193" s="14"/>
      <c r="AB193" s="59">
        <v>14.8</v>
      </c>
      <c r="AC193" s="59"/>
      <c r="AD193" s="59"/>
      <c r="AE193" s="59"/>
      <c r="AF193" s="59"/>
      <c r="AG193" s="59">
        <v>14.8</v>
      </c>
      <c r="AH193" s="59"/>
      <c r="AI193" s="59"/>
      <c r="AJ193" s="59"/>
    </row>
    <row r="194" spans="1:36" ht="11.25" hidden="1" customHeight="1" outlineLevel="2" x14ac:dyDescent="0.2">
      <c r="A194" s="57" t="s">
        <v>194</v>
      </c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9">
        <v>84.9</v>
      </c>
      <c r="Q194" s="59"/>
      <c r="R194" s="59"/>
      <c r="S194" s="59"/>
      <c r="T194" s="59"/>
      <c r="U194" s="59"/>
      <c r="V194" s="59"/>
      <c r="W194" s="59">
        <v>85.1</v>
      </c>
      <c r="X194" s="59"/>
      <c r="Y194" s="59"/>
      <c r="Z194" s="59"/>
      <c r="AA194" s="59"/>
      <c r="AB194" s="59">
        <v>-0.2</v>
      </c>
      <c r="AC194" s="59"/>
      <c r="AD194" s="59"/>
      <c r="AE194" s="59"/>
      <c r="AF194" s="59"/>
      <c r="AG194" s="9"/>
      <c r="AH194" s="10"/>
      <c r="AI194" s="10"/>
      <c r="AJ194" s="11"/>
    </row>
    <row r="195" spans="1:36" ht="11.25" hidden="1" customHeight="1" outlineLevel="2" x14ac:dyDescent="0.2">
      <c r="A195" s="57" t="s">
        <v>195</v>
      </c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8">
        <v>6</v>
      </c>
      <c r="Q195" s="58"/>
      <c r="R195" s="58"/>
      <c r="S195" s="58"/>
      <c r="T195" s="58"/>
      <c r="U195" s="58"/>
      <c r="V195" s="58"/>
      <c r="W195" s="58">
        <v>6</v>
      </c>
      <c r="X195" s="58"/>
      <c r="Y195" s="58"/>
      <c r="Z195" s="58"/>
      <c r="AA195" s="58"/>
      <c r="AB195" s="12"/>
      <c r="AC195" s="13"/>
      <c r="AD195" s="13"/>
      <c r="AE195" s="13"/>
      <c r="AF195" s="14"/>
      <c r="AG195" s="9"/>
      <c r="AH195" s="10"/>
      <c r="AI195" s="10"/>
      <c r="AJ195" s="11"/>
    </row>
    <row r="196" spans="1:36" ht="11.25" hidden="1" customHeight="1" outlineLevel="2" x14ac:dyDescent="0.2">
      <c r="A196" s="57" t="s">
        <v>196</v>
      </c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8">
        <v>6</v>
      </c>
      <c r="Q196" s="58"/>
      <c r="R196" s="58"/>
      <c r="S196" s="58"/>
      <c r="T196" s="58"/>
      <c r="U196" s="58"/>
      <c r="V196" s="58"/>
      <c r="W196" s="58">
        <v>6</v>
      </c>
      <c r="X196" s="58"/>
      <c r="Y196" s="58"/>
      <c r="Z196" s="58"/>
      <c r="AA196" s="58"/>
      <c r="AB196" s="12"/>
      <c r="AC196" s="13"/>
      <c r="AD196" s="13"/>
      <c r="AE196" s="13"/>
      <c r="AF196" s="14"/>
      <c r="AG196" s="9"/>
      <c r="AH196" s="10"/>
      <c r="AI196" s="10"/>
      <c r="AJ196" s="11"/>
    </row>
    <row r="197" spans="1:36" ht="11.25" hidden="1" customHeight="1" outlineLevel="2" x14ac:dyDescent="0.2">
      <c r="A197" s="57" t="s">
        <v>197</v>
      </c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9">
        <v>3.7</v>
      </c>
      <c r="Q197" s="59"/>
      <c r="R197" s="59"/>
      <c r="S197" s="59"/>
      <c r="T197" s="59"/>
      <c r="U197" s="59"/>
      <c r="V197" s="59"/>
      <c r="W197" s="59">
        <v>3.7</v>
      </c>
      <c r="X197" s="59"/>
      <c r="Y197" s="59"/>
      <c r="Z197" s="59"/>
      <c r="AA197" s="59"/>
      <c r="AB197" s="12"/>
      <c r="AC197" s="13"/>
      <c r="AD197" s="13"/>
      <c r="AE197" s="13"/>
      <c r="AF197" s="14"/>
      <c r="AG197" s="9"/>
      <c r="AH197" s="10"/>
      <c r="AI197" s="10"/>
      <c r="AJ197" s="11"/>
    </row>
    <row r="198" spans="1:36" ht="11.25" hidden="1" customHeight="1" outlineLevel="2" x14ac:dyDescent="0.2">
      <c r="A198" s="57" t="s">
        <v>198</v>
      </c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9">
        <v>24.3</v>
      </c>
      <c r="Q198" s="59"/>
      <c r="R198" s="59"/>
      <c r="S198" s="59"/>
      <c r="T198" s="59"/>
      <c r="U198" s="59"/>
      <c r="V198" s="59"/>
      <c r="W198" s="59">
        <v>24.3</v>
      </c>
      <c r="X198" s="59"/>
      <c r="Y198" s="59"/>
      <c r="Z198" s="59"/>
      <c r="AA198" s="59"/>
      <c r="AB198" s="12"/>
      <c r="AC198" s="13"/>
      <c r="AD198" s="13"/>
      <c r="AE198" s="13"/>
      <c r="AF198" s="14"/>
      <c r="AG198" s="9"/>
      <c r="AH198" s="10"/>
      <c r="AI198" s="10"/>
      <c r="AJ198" s="11"/>
    </row>
    <row r="199" spans="1:36" ht="11.25" hidden="1" customHeight="1" outlineLevel="2" x14ac:dyDescent="0.2">
      <c r="A199" s="57" t="s">
        <v>199</v>
      </c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8">
        <v>345</v>
      </c>
      <c r="Q199" s="58"/>
      <c r="R199" s="58"/>
      <c r="S199" s="58"/>
      <c r="T199" s="58"/>
      <c r="U199" s="58"/>
      <c r="V199" s="58"/>
      <c r="W199" s="58">
        <v>345</v>
      </c>
      <c r="X199" s="58"/>
      <c r="Y199" s="58"/>
      <c r="Z199" s="58"/>
      <c r="AA199" s="58"/>
      <c r="AB199" s="12"/>
      <c r="AC199" s="13"/>
      <c r="AD199" s="13"/>
      <c r="AE199" s="13"/>
      <c r="AF199" s="14"/>
      <c r="AG199" s="9"/>
      <c r="AH199" s="10"/>
      <c r="AI199" s="10"/>
      <c r="AJ199" s="11"/>
    </row>
    <row r="200" spans="1:36" ht="11.25" hidden="1" customHeight="1" outlineLevel="1" x14ac:dyDescent="0.2">
      <c r="A200" s="63" t="s">
        <v>200</v>
      </c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85">
        <v>4.2</v>
      </c>
      <c r="Q200" s="85"/>
      <c r="R200" s="85"/>
      <c r="S200" s="85"/>
      <c r="T200" s="85"/>
      <c r="U200" s="85"/>
      <c r="V200" s="85"/>
      <c r="W200" s="85">
        <v>4.2</v>
      </c>
      <c r="X200" s="85"/>
      <c r="Y200" s="85"/>
      <c r="Z200" s="85"/>
      <c r="AA200" s="85"/>
      <c r="AB200" s="15"/>
      <c r="AC200" s="16"/>
      <c r="AD200" s="16"/>
      <c r="AE200" s="16"/>
      <c r="AF200" s="17"/>
      <c r="AG200" s="18"/>
      <c r="AH200" s="19"/>
      <c r="AI200" s="19"/>
      <c r="AJ200" s="20"/>
    </row>
    <row r="201" spans="1:36" ht="21.75" hidden="1" customHeight="1" outlineLevel="2" x14ac:dyDescent="0.2">
      <c r="A201" s="57" t="s">
        <v>201</v>
      </c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9">
        <v>4.2</v>
      </c>
      <c r="Q201" s="59"/>
      <c r="R201" s="59"/>
      <c r="S201" s="59"/>
      <c r="T201" s="59"/>
      <c r="U201" s="59"/>
      <c r="V201" s="59"/>
      <c r="W201" s="59">
        <v>4.2</v>
      </c>
      <c r="X201" s="59"/>
      <c r="Y201" s="59"/>
      <c r="Z201" s="59"/>
      <c r="AA201" s="59"/>
      <c r="AB201" s="12"/>
      <c r="AC201" s="13"/>
      <c r="AD201" s="13"/>
      <c r="AE201" s="13"/>
      <c r="AF201" s="14"/>
      <c r="AG201" s="9"/>
      <c r="AH201" s="10"/>
      <c r="AI201" s="10"/>
      <c r="AJ201" s="11"/>
    </row>
    <row r="202" spans="1:36" ht="11.25" hidden="1" customHeight="1" outlineLevel="1" x14ac:dyDescent="0.2">
      <c r="A202" s="63" t="s">
        <v>202</v>
      </c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1">
        <v>7742.4449999999997</v>
      </c>
      <c r="Q202" s="61"/>
      <c r="R202" s="61"/>
      <c r="S202" s="61"/>
      <c r="T202" s="61"/>
      <c r="U202" s="61"/>
      <c r="V202" s="61"/>
      <c r="W202" s="61">
        <v>7899.2929999999997</v>
      </c>
      <c r="X202" s="61"/>
      <c r="Y202" s="61"/>
      <c r="Z202" s="61"/>
      <c r="AA202" s="61"/>
      <c r="AB202" s="62">
        <v>-156.84800000000001</v>
      </c>
      <c r="AC202" s="62"/>
      <c r="AD202" s="62"/>
      <c r="AE202" s="62"/>
      <c r="AF202" s="62"/>
      <c r="AG202" s="62">
        <v>81.611000000000004</v>
      </c>
      <c r="AH202" s="62"/>
      <c r="AI202" s="62"/>
      <c r="AJ202" s="62"/>
    </row>
    <row r="203" spans="1:36" ht="11.25" hidden="1" customHeight="1" outlineLevel="2" x14ac:dyDescent="0.2">
      <c r="A203" s="57" t="s">
        <v>203</v>
      </c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41">
        <v>313.20999999999998</v>
      </c>
      <c r="Q203" s="41"/>
      <c r="R203" s="41"/>
      <c r="S203" s="41"/>
      <c r="T203" s="41"/>
      <c r="U203" s="41"/>
      <c r="V203" s="41"/>
      <c r="W203" s="43">
        <v>321.36099999999999</v>
      </c>
      <c r="X203" s="43"/>
      <c r="Y203" s="43"/>
      <c r="Z203" s="43"/>
      <c r="AA203" s="43"/>
      <c r="AB203" s="43">
        <v>-8.1509999999999998</v>
      </c>
      <c r="AC203" s="43"/>
      <c r="AD203" s="43"/>
      <c r="AE203" s="43"/>
      <c r="AF203" s="43"/>
      <c r="AG203" s="43">
        <v>6.2750000000000004</v>
      </c>
      <c r="AH203" s="43"/>
      <c r="AI203" s="43"/>
      <c r="AJ203" s="43"/>
    </row>
    <row r="204" spans="1:36" ht="11.25" hidden="1" customHeight="1" outlineLevel="2" x14ac:dyDescent="0.2">
      <c r="A204" s="57" t="s">
        <v>204</v>
      </c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9">
        <v>926.8</v>
      </c>
      <c r="Q204" s="59"/>
      <c r="R204" s="59"/>
      <c r="S204" s="59"/>
      <c r="T204" s="59"/>
      <c r="U204" s="59"/>
      <c r="V204" s="59"/>
      <c r="W204" s="41">
        <v>931.62</v>
      </c>
      <c r="X204" s="41"/>
      <c r="Y204" s="41"/>
      <c r="Z204" s="41"/>
      <c r="AA204" s="41"/>
      <c r="AB204" s="41">
        <v>-4.82</v>
      </c>
      <c r="AC204" s="41"/>
      <c r="AD204" s="41"/>
      <c r="AE204" s="41"/>
      <c r="AF204" s="41"/>
      <c r="AG204" s="43">
        <v>1.8180000000000001</v>
      </c>
      <c r="AH204" s="43"/>
      <c r="AI204" s="43"/>
      <c r="AJ204" s="43"/>
    </row>
    <row r="205" spans="1:36" ht="11.25" hidden="1" customHeight="1" outlineLevel="2" x14ac:dyDescent="0.2">
      <c r="A205" s="57" t="s">
        <v>205</v>
      </c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41">
        <v>16.95</v>
      </c>
      <c r="Q205" s="41"/>
      <c r="R205" s="41"/>
      <c r="S205" s="41"/>
      <c r="T205" s="41"/>
      <c r="U205" s="41"/>
      <c r="V205" s="41"/>
      <c r="W205" s="43">
        <v>17.564</v>
      </c>
      <c r="X205" s="43"/>
      <c r="Y205" s="43"/>
      <c r="Z205" s="43"/>
      <c r="AA205" s="43"/>
      <c r="AB205" s="43">
        <v>-0.61399999999999999</v>
      </c>
      <c r="AC205" s="43"/>
      <c r="AD205" s="43"/>
      <c r="AE205" s="43"/>
      <c r="AF205" s="43"/>
      <c r="AG205" s="43">
        <v>7.3999999999999996E-2</v>
      </c>
      <c r="AH205" s="43"/>
      <c r="AI205" s="43"/>
      <c r="AJ205" s="43"/>
    </row>
    <row r="206" spans="1:36" ht="11.25" hidden="1" customHeight="1" outlineLevel="2" x14ac:dyDescent="0.2">
      <c r="A206" s="57" t="s">
        <v>206</v>
      </c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9">
        <v>20.5</v>
      </c>
      <c r="Q206" s="59"/>
      <c r="R206" s="59"/>
      <c r="S206" s="59"/>
      <c r="T206" s="59"/>
      <c r="U206" s="59"/>
      <c r="V206" s="59"/>
      <c r="W206" s="43">
        <v>20.888000000000002</v>
      </c>
      <c r="X206" s="43"/>
      <c r="Y206" s="43"/>
      <c r="Z206" s="43"/>
      <c r="AA206" s="43"/>
      <c r="AB206" s="43">
        <v>-0.38800000000000001</v>
      </c>
      <c r="AC206" s="43"/>
      <c r="AD206" s="43"/>
      <c r="AE206" s="43"/>
      <c r="AF206" s="43"/>
      <c r="AG206" s="43">
        <v>3.4000000000000002E-2</v>
      </c>
      <c r="AH206" s="43"/>
      <c r="AI206" s="43"/>
      <c r="AJ206" s="43"/>
    </row>
    <row r="207" spans="1:36" ht="21.75" hidden="1" customHeight="1" outlineLevel="2" x14ac:dyDescent="0.2">
      <c r="A207" s="57" t="s">
        <v>207</v>
      </c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41">
        <v>1.1100000000000001</v>
      </c>
      <c r="Q207" s="41"/>
      <c r="R207" s="41"/>
      <c r="S207" s="41"/>
      <c r="T207" s="41"/>
      <c r="U207" s="41"/>
      <c r="V207" s="41"/>
      <c r="W207" s="43">
        <v>1.0129999999999999</v>
      </c>
      <c r="X207" s="43"/>
      <c r="Y207" s="43"/>
      <c r="Z207" s="43"/>
      <c r="AA207" s="43"/>
      <c r="AB207" s="43">
        <v>9.7000000000000003E-2</v>
      </c>
      <c r="AC207" s="43"/>
      <c r="AD207" s="43"/>
      <c r="AE207" s="43"/>
      <c r="AF207" s="43"/>
      <c r="AG207" s="43">
        <v>9.7000000000000003E-2</v>
      </c>
      <c r="AH207" s="43"/>
      <c r="AI207" s="43"/>
      <c r="AJ207" s="43"/>
    </row>
    <row r="208" spans="1:36" ht="11.25" hidden="1" customHeight="1" outlineLevel="2" x14ac:dyDescent="0.2">
      <c r="A208" s="57" t="s">
        <v>208</v>
      </c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41">
        <v>385.19</v>
      </c>
      <c r="Q208" s="41"/>
      <c r="R208" s="41"/>
      <c r="S208" s="41"/>
      <c r="T208" s="41"/>
      <c r="U208" s="41"/>
      <c r="V208" s="41"/>
      <c r="W208" s="43">
        <v>399.20100000000002</v>
      </c>
      <c r="X208" s="43"/>
      <c r="Y208" s="43"/>
      <c r="Z208" s="43"/>
      <c r="AA208" s="43"/>
      <c r="AB208" s="43">
        <v>-14.010999999999999</v>
      </c>
      <c r="AC208" s="43"/>
      <c r="AD208" s="43"/>
      <c r="AE208" s="43"/>
      <c r="AF208" s="43"/>
      <c r="AG208" s="43">
        <v>5.5720000000000001</v>
      </c>
      <c r="AH208" s="43"/>
      <c r="AI208" s="43"/>
      <c r="AJ208" s="43"/>
    </row>
    <row r="209" spans="1:36" ht="11.25" hidden="1" customHeight="1" outlineLevel="2" x14ac:dyDescent="0.2">
      <c r="A209" s="57" t="s">
        <v>209</v>
      </c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9">
        <v>41.6</v>
      </c>
      <c r="Q209" s="59"/>
      <c r="R209" s="59"/>
      <c r="S209" s="59"/>
      <c r="T209" s="59"/>
      <c r="U209" s="59"/>
      <c r="V209" s="59"/>
      <c r="W209" s="43">
        <v>43.085000000000001</v>
      </c>
      <c r="X209" s="43"/>
      <c r="Y209" s="43"/>
      <c r="Z209" s="43"/>
      <c r="AA209" s="43"/>
      <c r="AB209" s="43">
        <v>-1.4850000000000001</v>
      </c>
      <c r="AC209" s="43"/>
      <c r="AD209" s="43"/>
      <c r="AE209" s="43"/>
      <c r="AF209" s="43"/>
      <c r="AG209" s="41">
        <v>0.03</v>
      </c>
      <c r="AH209" s="41"/>
      <c r="AI209" s="41"/>
      <c r="AJ209" s="41"/>
    </row>
    <row r="210" spans="1:36" ht="21.75" hidden="1" customHeight="1" outlineLevel="2" x14ac:dyDescent="0.2">
      <c r="A210" s="57" t="s">
        <v>210</v>
      </c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41">
        <v>118.57</v>
      </c>
      <c r="Q210" s="41"/>
      <c r="R210" s="41"/>
      <c r="S210" s="41"/>
      <c r="T210" s="41"/>
      <c r="U210" s="41"/>
      <c r="V210" s="41"/>
      <c r="W210" s="43">
        <v>124.708</v>
      </c>
      <c r="X210" s="43"/>
      <c r="Y210" s="43"/>
      <c r="Z210" s="43"/>
      <c r="AA210" s="43"/>
      <c r="AB210" s="43">
        <v>-6.1379999999999999</v>
      </c>
      <c r="AC210" s="43"/>
      <c r="AD210" s="43"/>
      <c r="AE210" s="43"/>
      <c r="AF210" s="43"/>
      <c r="AG210" s="43">
        <v>0.251</v>
      </c>
      <c r="AH210" s="43"/>
      <c r="AI210" s="43"/>
      <c r="AJ210" s="43"/>
    </row>
    <row r="211" spans="1:36" ht="11.25" hidden="1" customHeight="1" outlineLevel="2" x14ac:dyDescent="0.2">
      <c r="A211" s="57" t="s">
        <v>211</v>
      </c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41">
        <v>139.41999999999999</v>
      </c>
      <c r="Q211" s="41"/>
      <c r="R211" s="41"/>
      <c r="S211" s="41"/>
      <c r="T211" s="41"/>
      <c r="U211" s="41"/>
      <c r="V211" s="41"/>
      <c r="W211" s="43">
        <v>145.17599999999999</v>
      </c>
      <c r="X211" s="43"/>
      <c r="Y211" s="43"/>
      <c r="Z211" s="43"/>
      <c r="AA211" s="43"/>
      <c r="AB211" s="43">
        <v>-5.7560000000000002</v>
      </c>
      <c r="AC211" s="43"/>
      <c r="AD211" s="43"/>
      <c r="AE211" s="43"/>
      <c r="AF211" s="43"/>
      <c r="AG211" s="43">
        <v>1.1950000000000001</v>
      </c>
      <c r="AH211" s="43"/>
      <c r="AI211" s="43"/>
      <c r="AJ211" s="43"/>
    </row>
    <row r="212" spans="1:36" ht="11.25" hidden="1" customHeight="1" outlineLevel="2" x14ac:dyDescent="0.2">
      <c r="A212" s="57" t="s">
        <v>212</v>
      </c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8">
        <v>48</v>
      </c>
      <c r="Q212" s="58"/>
      <c r="R212" s="58"/>
      <c r="S212" s="58"/>
      <c r="T212" s="58"/>
      <c r="U212" s="58"/>
      <c r="V212" s="58"/>
      <c r="W212" s="43">
        <v>47.832000000000001</v>
      </c>
      <c r="X212" s="43"/>
      <c r="Y212" s="43"/>
      <c r="Z212" s="43"/>
      <c r="AA212" s="43"/>
      <c r="AB212" s="43">
        <v>0.16800000000000001</v>
      </c>
      <c r="AC212" s="43"/>
      <c r="AD212" s="43"/>
      <c r="AE212" s="43"/>
      <c r="AF212" s="43"/>
      <c r="AG212" s="43">
        <v>0.35799999999999998</v>
      </c>
      <c r="AH212" s="43"/>
      <c r="AI212" s="43"/>
      <c r="AJ212" s="43"/>
    </row>
    <row r="213" spans="1:36" ht="11.25" hidden="1" customHeight="1" outlineLevel="2" x14ac:dyDescent="0.2">
      <c r="A213" s="57" t="s">
        <v>213</v>
      </c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9">
        <v>63.8</v>
      </c>
      <c r="Q213" s="59"/>
      <c r="R213" s="59"/>
      <c r="S213" s="59"/>
      <c r="T213" s="59"/>
      <c r="U213" s="59"/>
      <c r="V213" s="59"/>
      <c r="W213" s="43">
        <v>67.947999999999993</v>
      </c>
      <c r="X213" s="43"/>
      <c r="Y213" s="43"/>
      <c r="Z213" s="43"/>
      <c r="AA213" s="43"/>
      <c r="AB213" s="43">
        <v>-4.1479999999999997</v>
      </c>
      <c r="AC213" s="43"/>
      <c r="AD213" s="43"/>
      <c r="AE213" s="43"/>
      <c r="AF213" s="43"/>
      <c r="AG213" s="43">
        <v>0.13900000000000001</v>
      </c>
      <c r="AH213" s="43"/>
      <c r="AI213" s="43"/>
      <c r="AJ213" s="43"/>
    </row>
    <row r="214" spans="1:36" ht="11.25" hidden="1" customHeight="1" outlineLevel="2" x14ac:dyDescent="0.2">
      <c r="A214" s="57" t="s">
        <v>214</v>
      </c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9">
        <v>35.299999999999997</v>
      </c>
      <c r="Q214" s="59"/>
      <c r="R214" s="59"/>
      <c r="S214" s="59"/>
      <c r="T214" s="59"/>
      <c r="U214" s="59"/>
      <c r="V214" s="59"/>
      <c r="W214" s="43">
        <v>36.098999999999997</v>
      </c>
      <c r="X214" s="43"/>
      <c r="Y214" s="43"/>
      <c r="Z214" s="43"/>
      <c r="AA214" s="43"/>
      <c r="AB214" s="43">
        <v>-0.79900000000000004</v>
      </c>
      <c r="AC214" s="43"/>
      <c r="AD214" s="43"/>
      <c r="AE214" s="43"/>
      <c r="AF214" s="43"/>
      <c r="AG214" s="59">
        <v>2.7</v>
      </c>
      <c r="AH214" s="59"/>
      <c r="AI214" s="59"/>
      <c r="AJ214" s="59"/>
    </row>
    <row r="215" spans="1:36" ht="11.25" hidden="1" customHeight="1" outlineLevel="2" x14ac:dyDescent="0.2">
      <c r="A215" s="57" t="s">
        <v>215</v>
      </c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9">
        <v>382.1</v>
      </c>
      <c r="Q215" s="59"/>
      <c r="R215" s="59"/>
      <c r="S215" s="59"/>
      <c r="T215" s="59"/>
      <c r="U215" s="59"/>
      <c r="V215" s="59"/>
      <c r="W215" s="43">
        <v>402.30599999999998</v>
      </c>
      <c r="X215" s="43"/>
      <c r="Y215" s="43"/>
      <c r="Z215" s="43"/>
      <c r="AA215" s="43"/>
      <c r="AB215" s="43">
        <v>-20.206</v>
      </c>
      <c r="AC215" s="43"/>
      <c r="AD215" s="43"/>
      <c r="AE215" s="43"/>
      <c r="AF215" s="43"/>
      <c r="AG215" s="43">
        <v>3.165</v>
      </c>
      <c r="AH215" s="43"/>
      <c r="AI215" s="43"/>
      <c r="AJ215" s="43"/>
    </row>
    <row r="216" spans="1:36" ht="11.25" hidden="1" customHeight="1" outlineLevel="2" x14ac:dyDescent="0.2">
      <c r="A216" s="57" t="s">
        <v>216</v>
      </c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9">
        <v>10.9</v>
      </c>
      <c r="Q216" s="59"/>
      <c r="R216" s="59"/>
      <c r="S216" s="59"/>
      <c r="T216" s="59"/>
      <c r="U216" s="59"/>
      <c r="V216" s="59"/>
      <c r="W216" s="43">
        <v>10.930999999999999</v>
      </c>
      <c r="X216" s="43"/>
      <c r="Y216" s="43"/>
      <c r="Z216" s="43"/>
      <c r="AA216" s="43"/>
      <c r="AB216" s="43">
        <v>-3.1E-2</v>
      </c>
      <c r="AC216" s="43"/>
      <c r="AD216" s="43"/>
      <c r="AE216" s="43"/>
      <c r="AF216" s="43"/>
      <c r="AG216" s="9"/>
      <c r="AH216" s="10"/>
      <c r="AI216" s="10"/>
      <c r="AJ216" s="11"/>
    </row>
    <row r="217" spans="1:36" ht="21.75" hidden="1" customHeight="1" outlineLevel="2" x14ac:dyDescent="0.2">
      <c r="A217" s="57" t="s">
        <v>217</v>
      </c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8">
        <v>476</v>
      </c>
      <c r="Q217" s="58"/>
      <c r="R217" s="58"/>
      <c r="S217" s="58"/>
      <c r="T217" s="58"/>
      <c r="U217" s="58"/>
      <c r="V217" s="58"/>
      <c r="W217" s="43">
        <v>512.71600000000001</v>
      </c>
      <c r="X217" s="43"/>
      <c r="Y217" s="43"/>
      <c r="Z217" s="43"/>
      <c r="AA217" s="43"/>
      <c r="AB217" s="43">
        <v>-36.716000000000001</v>
      </c>
      <c r="AC217" s="43"/>
      <c r="AD217" s="43"/>
      <c r="AE217" s="43"/>
      <c r="AF217" s="43"/>
      <c r="AG217" s="43">
        <v>4.1319999999999997</v>
      </c>
      <c r="AH217" s="43"/>
      <c r="AI217" s="43"/>
      <c r="AJ217" s="43"/>
    </row>
    <row r="218" spans="1:36" ht="11.25" hidden="1" customHeight="1" outlineLevel="2" x14ac:dyDescent="0.2">
      <c r="A218" s="57" t="s">
        <v>218</v>
      </c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9">
        <v>43.6</v>
      </c>
      <c r="Q218" s="59"/>
      <c r="R218" s="59"/>
      <c r="S218" s="59"/>
      <c r="T218" s="59"/>
      <c r="U218" s="59"/>
      <c r="V218" s="59"/>
      <c r="W218" s="43">
        <v>48.081000000000003</v>
      </c>
      <c r="X218" s="43"/>
      <c r="Y218" s="43"/>
      <c r="Z218" s="43"/>
      <c r="AA218" s="43"/>
      <c r="AB218" s="43">
        <v>-4.4809999999999999</v>
      </c>
      <c r="AC218" s="43"/>
      <c r="AD218" s="43"/>
      <c r="AE218" s="43"/>
      <c r="AF218" s="43"/>
      <c r="AG218" s="9"/>
      <c r="AH218" s="10"/>
      <c r="AI218" s="10"/>
      <c r="AJ218" s="11"/>
    </row>
    <row r="219" spans="1:36" ht="11.25" hidden="1" customHeight="1" outlineLevel="2" x14ac:dyDescent="0.2">
      <c r="A219" s="57" t="s">
        <v>219</v>
      </c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9">
        <v>22.5</v>
      </c>
      <c r="Q219" s="59"/>
      <c r="R219" s="59"/>
      <c r="S219" s="59"/>
      <c r="T219" s="59"/>
      <c r="U219" s="59"/>
      <c r="V219" s="59"/>
      <c r="W219" s="43">
        <v>24.346</v>
      </c>
      <c r="X219" s="43"/>
      <c r="Y219" s="43"/>
      <c r="Z219" s="43"/>
      <c r="AA219" s="43"/>
      <c r="AB219" s="43">
        <v>-1.8460000000000001</v>
      </c>
      <c r="AC219" s="43"/>
      <c r="AD219" s="43"/>
      <c r="AE219" s="43"/>
      <c r="AF219" s="43"/>
      <c r="AG219" s="9"/>
      <c r="AH219" s="10"/>
      <c r="AI219" s="10"/>
      <c r="AJ219" s="11"/>
    </row>
    <row r="220" spans="1:36" ht="11.25" hidden="1" customHeight="1" outlineLevel="2" x14ac:dyDescent="0.2">
      <c r="A220" s="57" t="s">
        <v>220</v>
      </c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41">
        <v>14.75</v>
      </c>
      <c r="Q220" s="41"/>
      <c r="R220" s="41"/>
      <c r="S220" s="41"/>
      <c r="T220" s="41"/>
      <c r="U220" s="41"/>
      <c r="V220" s="41"/>
      <c r="W220" s="43">
        <v>14.571</v>
      </c>
      <c r="X220" s="43"/>
      <c r="Y220" s="43"/>
      <c r="Z220" s="43"/>
      <c r="AA220" s="43"/>
      <c r="AB220" s="43">
        <v>0.17899999999999999</v>
      </c>
      <c r="AC220" s="43"/>
      <c r="AD220" s="43"/>
      <c r="AE220" s="43"/>
      <c r="AF220" s="43"/>
      <c r="AG220" s="43">
        <v>0.69299999999999995</v>
      </c>
      <c r="AH220" s="43"/>
      <c r="AI220" s="43"/>
      <c r="AJ220" s="43"/>
    </row>
    <row r="221" spans="1:36" ht="21.75" hidden="1" customHeight="1" outlineLevel="2" x14ac:dyDescent="0.2">
      <c r="A221" s="57" t="s">
        <v>221</v>
      </c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41">
        <v>42.65</v>
      </c>
      <c r="Q221" s="41"/>
      <c r="R221" s="41"/>
      <c r="S221" s="41"/>
      <c r="T221" s="41"/>
      <c r="U221" s="41"/>
      <c r="V221" s="41"/>
      <c r="W221" s="43">
        <v>42.780999999999999</v>
      </c>
      <c r="X221" s="43"/>
      <c r="Y221" s="43"/>
      <c r="Z221" s="43"/>
      <c r="AA221" s="43"/>
      <c r="AB221" s="43">
        <v>-0.13100000000000001</v>
      </c>
      <c r="AC221" s="43"/>
      <c r="AD221" s="43"/>
      <c r="AE221" s="43"/>
      <c r="AF221" s="43"/>
      <c r="AG221" s="43">
        <v>0.76500000000000001</v>
      </c>
      <c r="AH221" s="43"/>
      <c r="AI221" s="43"/>
      <c r="AJ221" s="43"/>
    </row>
    <row r="222" spans="1:36" ht="11.25" hidden="1" customHeight="1" outlineLevel="2" x14ac:dyDescent="0.2">
      <c r="A222" s="57" t="s">
        <v>222</v>
      </c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9">
        <v>86.9</v>
      </c>
      <c r="Q222" s="59"/>
      <c r="R222" s="59"/>
      <c r="S222" s="59"/>
      <c r="T222" s="59"/>
      <c r="U222" s="59"/>
      <c r="V222" s="59"/>
      <c r="W222" s="43">
        <v>84.626000000000005</v>
      </c>
      <c r="X222" s="43"/>
      <c r="Y222" s="43"/>
      <c r="Z222" s="43"/>
      <c r="AA222" s="43"/>
      <c r="AB222" s="43">
        <v>2.274</v>
      </c>
      <c r="AC222" s="43"/>
      <c r="AD222" s="43"/>
      <c r="AE222" s="43"/>
      <c r="AF222" s="43"/>
      <c r="AG222" s="43">
        <v>3.9329999999999998</v>
      </c>
      <c r="AH222" s="43"/>
      <c r="AI222" s="43"/>
      <c r="AJ222" s="43"/>
    </row>
    <row r="223" spans="1:36" ht="11.25" hidden="1" customHeight="1" outlineLevel="2" x14ac:dyDescent="0.2">
      <c r="A223" s="57" t="s">
        <v>223</v>
      </c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41">
        <v>94.85</v>
      </c>
      <c r="Q223" s="41"/>
      <c r="R223" s="41"/>
      <c r="S223" s="41"/>
      <c r="T223" s="41"/>
      <c r="U223" s="41"/>
      <c r="V223" s="41"/>
      <c r="W223" s="43">
        <v>99.634</v>
      </c>
      <c r="X223" s="43"/>
      <c r="Y223" s="43"/>
      <c r="Z223" s="43"/>
      <c r="AA223" s="43"/>
      <c r="AB223" s="43">
        <v>-4.7839999999999998</v>
      </c>
      <c r="AC223" s="43"/>
      <c r="AD223" s="43"/>
      <c r="AE223" s="43"/>
      <c r="AF223" s="43"/>
      <c r="AG223" s="43">
        <v>0.14299999999999999</v>
      </c>
      <c r="AH223" s="43"/>
      <c r="AI223" s="43"/>
      <c r="AJ223" s="43"/>
    </row>
    <row r="224" spans="1:36" ht="21.75" hidden="1" customHeight="1" outlineLevel="2" x14ac:dyDescent="0.2">
      <c r="A224" s="57" t="s">
        <v>224</v>
      </c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41">
        <v>109.35</v>
      </c>
      <c r="Q224" s="41"/>
      <c r="R224" s="41"/>
      <c r="S224" s="41"/>
      <c r="T224" s="41"/>
      <c r="U224" s="41"/>
      <c r="V224" s="41"/>
      <c r="W224" s="43">
        <v>116.137</v>
      </c>
      <c r="X224" s="43"/>
      <c r="Y224" s="43"/>
      <c r="Z224" s="43"/>
      <c r="AA224" s="43"/>
      <c r="AB224" s="43">
        <v>-6.7869999999999999</v>
      </c>
      <c r="AC224" s="43"/>
      <c r="AD224" s="43"/>
      <c r="AE224" s="43"/>
      <c r="AF224" s="43"/>
      <c r="AG224" s="43">
        <v>1.4E-2</v>
      </c>
      <c r="AH224" s="43"/>
      <c r="AI224" s="43"/>
      <c r="AJ224" s="43"/>
    </row>
    <row r="225" spans="1:36" ht="11.25" hidden="1" customHeight="1" outlineLevel="2" x14ac:dyDescent="0.2">
      <c r="A225" s="57" t="s">
        <v>225</v>
      </c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9">
        <v>97.2</v>
      </c>
      <c r="Q225" s="59"/>
      <c r="R225" s="59"/>
      <c r="S225" s="59"/>
      <c r="T225" s="59"/>
      <c r="U225" s="59"/>
      <c r="V225" s="59"/>
      <c r="W225" s="43">
        <v>104.004</v>
      </c>
      <c r="X225" s="43"/>
      <c r="Y225" s="43"/>
      <c r="Z225" s="43"/>
      <c r="AA225" s="43"/>
      <c r="AB225" s="43">
        <v>-6.8040000000000003</v>
      </c>
      <c r="AC225" s="43"/>
      <c r="AD225" s="43"/>
      <c r="AE225" s="43"/>
      <c r="AF225" s="43"/>
      <c r="AG225" s="9"/>
      <c r="AH225" s="10"/>
      <c r="AI225" s="10"/>
      <c r="AJ225" s="11"/>
    </row>
    <row r="226" spans="1:36" ht="11.25" hidden="1" customHeight="1" outlineLevel="2" x14ac:dyDescent="0.2">
      <c r="A226" s="57" t="s">
        <v>226</v>
      </c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9">
        <v>253.6</v>
      </c>
      <c r="Q226" s="59"/>
      <c r="R226" s="59"/>
      <c r="S226" s="59"/>
      <c r="T226" s="59"/>
      <c r="U226" s="59"/>
      <c r="V226" s="59"/>
      <c r="W226" s="43">
        <v>265.38299999999998</v>
      </c>
      <c r="X226" s="43"/>
      <c r="Y226" s="43"/>
      <c r="Z226" s="43"/>
      <c r="AA226" s="43"/>
      <c r="AB226" s="43">
        <v>-11.782999999999999</v>
      </c>
      <c r="AC226" s="43"/>
      <c r="AD226" s="43"/>
      <c r="AE226" s="43"/>
      <c r="AF226" s="43"/>
      <c r="AG226" s="41">
        <v>0.17</v>
      </c>
      <c r="AH226" s="41"/>
      <c r="AI226" s="41"/>
      <c r="AJ226" s="41"/>
    </row>
    <row r="227" spans="1:36" ht="11.25" hidden="1" customHeight="1" outlineLevel="2" x14ac:dyDescent="0.2">
      <c r="A227" s="57" t="s">
        <v>227</v>
      </c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9">
        <v>59.1</v>
      </c>
      <c r="Q227" s="59"/>
      <c r="R227" s="59"/>
      <c r="S227" s="59"/>
      <c r="T227" s="59"/>
      <c r="U227" s="59"/>
      <c r="V227" s="59"/>
      <c r="W227" s="43">
        <v>62.475000000000001</v>
      </c>
      <c r="X227" s="43"/>
      <c r="Y227" s="43"/>
      <c r="Z227" s="43"/>
      <c r="AA227" s="43"/>
      <c r="AB227" s="43">
        <v>-3.375</v>
      </c>
      <c r="AC227" s="43"/>
      <c r="AD227" s="43"/>
      <c r="AE227" s="43"/>
      <c r="AF227" s="43"/>
      <c r="AG227" s="43">
        <v>0.80200000000000005</v>
      </c>
      <c r="AH227" s="43"/>
      <c r="AI227" s="43"/>
      <c r="AJ227" s="43"/>
    </row>
    <row r="228" spans="1:36" ht="11.25" hidden="1" customHeight="1" outlineLevel="2" x14ac:dyDescent="0.2">
      <c r="A228" s="57" t="s">
        <v>228</v>
      </c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9">
        <v>28.8</v>
      </c>
      <c r="Q228" s="59"/>
      <c r="R228" s="59"/>
      <c r="S228" s="59"/>
      <c r="T228" s="59"/>
      <c r="U228" s="59"/>
      <c r="V228" s="59"/>
      <c r="W228" s="41">
        <v>31.87</v>
      </c>
      <c r="X228" s="41"/>
      <c r="Y228" s="41"/>
      <c r="Z228" s="41"/>
      <c r="AA228" s="41"/>
      <c r="AB228" s="41">
        <v>-3.07</v>
      </c>
      <c r="AC228" s="41"/>
      <c r="AD228" s="41"/>
      <c r="AE228" s="41"/>
      <c r="AF228" s="41"/>
      <c r="AG228" s="9"/>
      <c r="AH228" s="10"/>
      <c r="AI228" s="10"/>
      <c r="AJ228" s="11"/>
    </row>
    <row r="229" spans="1:36" ht="11.25" hidden="1" customHeight="1" outlineLevel="2" x14ac:dyDescent="0.2">
      <c r="A229" s="57" t="s">
        <v>229</v>
      </c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43">
        <v>188.79499999999999</v>
      </c>
      <c r="Q229" s="43"/>
      <c r="R229" s="43"/>
      <c r="S229" s="43"/>
      <c r="T229" s="43"/>
      <c r="U229" s="43"/>
      <c r="V229" s="43"/>
      <c r="W229" s="43">
        <v>192.09399999999999</v>
      </c>
      <c r="X229" s="43"/>
      <c r="Y229" s="43"/>
      <c r="Z229" s="43"/>
      <c r="AA229" s="43"/>
      <c r="AB229" s="43">
        <v>-3.2989999999999999</v>
      </c>
      <c r="AC229" s="43"/>
      <c r="AD229" s="43"/>
      <c r="AE229" s="43"/>
      <c r="AF229" s="43"/>
      <c r="AG229" s="41">
        <v>1.54</v>
      </c>
      <c r="AH229" s="41"/>
      <c r="AI229" s="41"/>
      <c r="AJ229" s="41"/>
    </row>
    <row r="230" spans="1:36" ht="11.25" hidden="1" customHeight="1" outlineLevel="2" x14ac:dyDescent="0.2">
      <c r="A230" s="57" t="s">
        <v>230</v>
      </c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9">
        <v>918.2</v>
      </c>
      <c r="Q230" s="59"/>
      <c r="R230" s="59"/>
      <c r="S230" s="59"/>
      <c r="T230" s="59"/>
      <c r="U230" s="59"/>
      <c r="V230" s="59"/>
      <c r="W230" s="43">
        <v>923.12800000000004</v>
      </c>
      <c r="X230" s="43"/>
      <c r="Y230" s="43"/>
      <c r="Z230" s="43"/>
      <c r="AA230" s="43"/>
      <c r="AB230" s="43">
        <v>-4.9279999999999999</v>
      </c>
      <c r="AC230" s="43"/>
      <c r="AD230" s="43"/>
      <c r="AE230" s="43"/>
      <c r="AF230" s="43"/>
      <c r="AG230" s="43">
        <v>3.2469999999999999</v>
      </c>
      <c r="AH230" s="43"/>
      <c r="AI230" s="43"/>
      <c r="AJ230" s="43"/>
    </row>
    <row r="231" spans="1:36" ht="11.25" hidden="1" customHeight="1" outlineLevel="2" x14ac:dyDescent="0.2">
      <c r="A231" s="57" t="s">
        <v>231</v>
      </c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8">
        <v>590</v>
      </c>
      <c r="Q231" s="58"/>
      <c r="R231" s="58"/>
      <c r="S231" s="58"/>
      <c r="T231" s="58"/>
      <c r="U231" s="58"/>
      <c r="V231" s="58"/>
      <c r="W231" s="43">
        <v>589.54600000000005</v>
      </c>
      <c r="X231" s="43"/>
      <c r="Y231" s="43"/>
      <c r="Z231" s="43"/>
      <c r="AA231" s="43"/>
      <c r="AB231" s="43">
        <v>0.45400000000000001</v>
      </c>
      <c r="AC231" s="43"/>
      <c r="AD231" s="43"/>
      <c r="AE231" s="43"/>
      <c r="AF231" s="43"/>
      <c r="AG231" s="43">
        <v>1.7729999999999999</v>
      </c>
      <c r="AH231" s="43"/>
      <c r="AI231" s="43"/>
      <c r="AJ231" s="43"/>
    </row>
    <row r="232" spans="1:36" ht="11.25" hidden="1" customHeight="1" outlineLevel="2" x14ac:dyDescent="0.2">
      <c r="A232" s="57" t="s">
        <v>232</v>
      </c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40">
        <v>1012.05</v>
      </c>
      <c r="Q232" s="40"/>
      <c r="R232" s="40"/>
      <c r="S232" s="40"/>
      <c r="T232" s="40"/>
      <c r="U232" s="40"/>
      <c r="V232" s="40"/>
      <c r="W232" s="56">
        <v>1029.396</v>
      </c>
      <c r="X232" s="56"/>
      <c r="Y232" s="56"/>
      <c r="Z232" s="56"/>
      <c r="AA232" s="56"/>
      <c r="AB232" s="43">
        <v>-17.346</v>
      </c>
      <c r="AC232" s="43"/>
      <c r="AD232" s="43"/>
      <c r="AE232" s="43"/>
      <c r="AF232" s="43"/>
      <c r="AG232" s="43">
        <v>2.5379999999999998</v>
      </c>
      <c r="AH232" s="43"/>
      <c r="AI232" s="43"/>
      <c r="AJ232" s="43"/>
    </row>
    <row r="233" spans="1:36" ht="21.75" hidden="1" customHeight="1" outlineLevel="2" x14ac:dyDescent="0.2">
      <c r="A233" s="57" t="s">
        <v>233</v>
      </c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9">
        <v>20.9</v>
      </c>
      <c r="Q233" s="59"/>
      <c r="R233" s="59"/>
      <c r="S233" s="59"/>
      <c r="T233" s="59"/>
      <c r="U233" s="59"/>
      <c r="V233" s="59"/>
      <c r="W233" s="12"/>
      <c r="X233" s="13"/>
      <c r="Y233" s="13"/>
      <c r="Z233" s="13"/>
      <c r="AA233" s="14"/>
      <c r="AB233" s="59">
        <v>20.9</v>
      </c>
      <c r="AC233" s="59"/>
      <c r="AD233" s="59"/>
      <c r="AE233" s="59"/>
      <c r="AF233" s="59"/>
      <c r="AG233" s="59">
        <v>20.9</v>
      </c>
      <c r="AH233" s="59"/>
      <c r="AI233" s="59"/>
      <c r="AJ233" s="59"/>
    </row>
    <row r="234" spans="1:36" ht="21.75" hidden="1" customHeight="1" outlineLevel="2" x14ac:dyDescent="0.2">
      <c r="A234" s="57" t="s">
        <v>234</v>
      </c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9">
        <v>426.7</v>
      </c>
      <c r="Q234" s="59"/>
      <c r="R234" s="59"/>
      <c r="S234" s="59"/>
      <c r="T234" s="59"/>
      <c r="U234" s="59"/>
      <c r="V234" s="59"/>
      <c r="W234" s="43">
        <v>421.108</v>
      </c>
      <c r="X234" s="43"/>
      <c r="Y234" s="43"/>
      <c r="Z234" s="43"/>
      <c r="AA234" s="43"/>
      <c r="AB234" s="43">
        <v>5.5919999999999996</v>
      </c>
      <c r="AC234" s="43"/>
      <c r="AD234" s="43"/>
      <c r="AE234" s="43"/>
      <c r="AF234" s="43"/>
      <c r="AG234" s="43">
        <v>17.212</v>
      </c>
      <c r="AH234" s="43"/>
      <c r="AI234" s="43"/>
      <c r="AJ234" s="43"/>
    </row>
    <row r="235" spans="1:36" ht="21.75" hidden="1" customHeight="1" outlineLevel="2" x14ac:dyDescent="0.2">
      <c r="A235" s="57" t="s">
        <v>235</v>
      </c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9">
        <v>7.5</v>
      </c>
      <c r="Q235" s="59"/>
      <c r="R235" s="59"/>
      <c r="S235" s="59"/>
      <c r="T235" s="59"/>
      <c r="U235" s="59"/>
      <c r="V235" s="59"/>
      <c r="W235" s="43">
        <v>7.4950000000000001</v>
      </c>
      <c r="X235" s="43"/>
      <c r="Y235" s="43"/>
      <c r="Z235" s="43"/>
      <c r="AA235" s="43"/>
      <c r="AB235" s="43">
        <v>5.0000000000000001E-3</v>
      </c>
      <c r="AC235" s="43"/>
      <c r="AD235" s="43"/>
      <c r="AE235" s="43"/>
      <c r="AF235" s="43"/>
      <c r="AG235" s="43">
        <v>1.4999999999999999E-2</v>
      </c>
      <c r="AH235" s="43"/>
      <c r="AI235" s="43"/>
      <c r="AJ235" s="43"/>
    </row>
    <row r="236" spans="1:36" ht="11.25" hidden="1" customHeight="1" outlineLevel="2" x14ac:dyDescent="0.2">
      <c r="A236" s="57" t="s">
        <v>236</v>
      </c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8">
        <v>101</v>
      </c>
      <c r="Q236" s="58"/>
      <c r="R236" s="58"/>
      <c r="S236" s="58"/>
      <c r="T236" s="58"/>
      <c r="U236" s="58"/>
      <c r="V236" s="58"/>
      <c r="W236" s="41">
        <v>107.46</v>
      </c>
      <c r="X236" s="41"/>
      <c r="Y236" s="41"/>
      <c r="Z236" s="41"/>
      <c r="AA236" s="41"/>
      <c r="AB236" s="41">
        <v>-6.46</v>
      </c>
      <c r="AC236" s="41"/>
      <c r="AD236" s="41"/>
      <c r="AE236" s="41"/>
      <c r="AF236" s="41"/>
      <c r="AG236" s="41">
        <v>0.09</v>
      </c>
      <c r="AH236" s="41"/>
      <c r="AI236" s="41"/>
      <c r="AJ236" s="41"/>
    </row>
    <row r="237" spans="1:36" ht="11.25" hidden="1" customHeight="1" outlineLevel="2" x14ac:dyDescent="0.2">
      <c r="A237" s="57" t="s">
        <v>237</v>
      </c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8">
        <v>99</v>
      </c>
      <c r="Q237" s="58"/>
      <c r="R237" s="58"/>
      <c r="S237" s="58"/>
      <c r="T237" s="58"/>
      <c r="U237" s="58"/>
      <c r="V237" s="58"/>
      <c r="W237" s="43">
        <v>104.438</v>
      </c>
      <c r="X237" s="43"/>
      <c r="Y237" s="43"/>
      <c r="Z237" s="43"/>
      <c r="AA237" s="43"/>
      <c r="AB237" s="43">
        <v>-5.4379999999999997</v>
      </c>
      <c r="AC237" s="43"/>
      <c r="AD237" s="43"/>
      <c r="AE237" s="43"/>
      <c r="AF237" s="43"/>
      <c r="AG237" s="43">
        <v>0.114</v>
      </c>
      <c r="AH237" s="43"/>
      <c r="AI237" s="43"/>
      <c r="AJ237" s="43"/>
    </row>
    <row r="238" spans="1:36" ht="11.25" hidden="1" customHeight="1" outlineLevel="2" x14ac:dyDescent="0.2">
      <c r="A238" s="57" t="s">
        <v>238</v>
      </c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9">
        <v>23.7</v>
      </c>
      <c r="Q238" s="59"/>
      <c r="R238" s="59"/>
      <c r="S238" s="59"/>
      <c r="T238" s="59"/>
      <c r="U238" s="59"/>
      <c r="V238" s="59"/>
      <c r="W238" s="43">
        <v>24.914999999999999</v>
      </c>
      <c r="X238" s="43"/>
      <c r="Y238" s="43"/>
      <c r="Z238" s="43"/>
      <c r="AA238" s="43"/>
      <c r="AB238" s="43">
        <v>-1.2150000000000001</v>
      </c>
      <c r="AC238" s="43"/>
      <c r="AD238" s="43"/>
      <c r="AE238" s="43"/>
      <c r="AF238" s="43"/>
      <c r="AG238" s="43">
        <v>4.9000000000000002E-2</v>
      </c>
      <c r="AH238" s="43"/>
      <c r="AI238" s="43"/>
      <c r="AJ238" s="43"/>
    </row>
    <row r="239" spans="1:36" ht="11.25" hidden="1" customHeight="1" outlineLevel="2" x14ac:dyDescent="0.2">
      <c r="A239" s="57" t="s">
        <v>239</v>
      </c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41">
        <v>521.85</v>
      </c>
      <c r="Q239" s="41"/>
      <c r="R239" s="41"/>
      <c r="S239" s="41"/>
      <c r="T239" s="41"/>
      <c r="U239" s="41"/>
      <c r="V239" s="41"/>
      <c r="W239" s="43">
        <v>523.35699999999997</v>
      </c>
      <c r="X239" s="43"/>
      <c r="Y239" s="43"/>
      <c r="Z239" s="43"/>
      <c r="AA239" s="43"/>
      <c r="AB239" s="43">
        <v>-1.5069999999999999</v>
      </c>
      <c r="AC239" s="43"/>
      <c r="AD239" s="43"/>
      <c r="AE239" s="43"/>
      <c r="AF239" s="43"/>
      <c r="AG239" s="43">
        <v>1.7729999999999999</v>
      </c>
      <c r="AH239" s="43"/>
      <c r="AI239" s="43"/>
      <c r="AJ239" s="43"/>
    </row>
    <row r="240" spans="1:36" ht="11.25" hidden="1" customHeight="1" outlineLevel="1" x14ac:dyDescent="0.2">
      <c r="A240" s="63" t="s">
        <v>240</v>
      </c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86">
        <v>1437.3</v>
      </c>
      <c r="Q240" s="86"/>
      <c r="R240" s="86"/>
      <c r="S240" s="86"/>
      <c r="T240" s="86"/>
      <c r="U240" s="86"/>
      <c r="V240" s="86"/>
      <c r="W240" s="64">
        <v>1401.55</v>
      </c>
      <c r="X240" s="64"/>
      <c r="Y240" s="64"/>
      <c r="Z240" s="64"/>
      <c r="AA240" s="64"/>
      <c r="AB240" s="65">
        <v>35.75</v>
      </c>
      <c r="AC240" s="65"/>
      <c r="AD240" s="65"/>
      <c r="AE240" s="65"/>
      <c r="AF240" s="65"/>
      <c r="AG240" s="65">
        <v>38.03</v>
      </c>
      <c r="AH240" s="65"/>
      <c r="AI240" s="65"/>
      <c r="AJ240" s="65"/>
    </row>
    <row r="241" spans="1:36" ht="21.75" hidden="1" customHeight="1" outlineLevel="2" x14ac:dyDescent="0.2">
      <c r="A241" s="57" t="s">
        <v>241</v>
      </c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41">
        <v>8.16</v>
      </c>
      <c r="Q241" s="41"/>
      <c r="R241" s="41"/>
      <c r="S241" s="41"/>
      <c r="T241" s="41"/>
      <c r="U241" s="41"/>
      <c r="V241" s="41"/>
      <c r="W241" s="41">
        <v>8.16</v>
      </c>
      <c r="X241" s="41"/>
      <c r="Y241" s="41"/>
      <c r="Z241" s="41"/>
      <c r="AA241" s="41"/>
      <c r="AB241" s="12"/>
      <c r="AC241" s="13"/>
      <c r="AD241" s="13"/>
      <c r="AE241" s="13"/>
      <c r="AF241" s="14"/>
      <c r="AG241" s="9"/>
      <c r="AH241" s="10"/>
      <c r="AI241" s="10"/>
      <c r="AJ241" s="11"/>
    </row>
    <row r="242" spans="1:36" ht="11.25" hidden="1" customHeight="1" outlineLevel="2" x14ac:dyDescent="0.2">
      <c r="A242" s="57" t="s">
        <v>242</v>
      </c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9">
        <v>0.6</v>
      </c>
      <c r="Q242" s="59"/>
      <c r="R242" s="59"/>
      <c r="S242" s="59"/>
      <c r="T242" s="59"/>
      <c r="U242" s="59"/>
      <c r="V242" s="59"/>
      <c r="W242" s="12"/>
      <c r="X242" s="13"/>
      <c r="Y242" s="13"/>
      <c r="Z242" s="13"/>
      <c r="AA242" s="14"/>
      <c r="AB242" s="59">
        <v>0.6</v>
      </c>
      <c r="AC242" s="59"/>
      <c r="AD242" s="59"/>
      <c r="AE242" s="59"/>
      <c r="AF242" s="59"/>
      <c r="AG242" s="59">
        <v>0.6</v>
      </c>
      <c r="AH242" s="59"/>
      <c r="AI242" s="59"/>
      <c r="AJ242" s="59"/>
    </row>
    <row r="243" spans="1:36" ht="11.25" hidden="1" customHeight="1" outlineLevel="2" x14ac:dyDescent="0.2">
      <c r="A243" s="57" t="s">
        <v>243</v>
      </c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41">
        <v>11.05</v>
      </c>
      <c r="Q243" s="41"/>
      <c r="R243" s="41"/>
      <c r="S243" s="41"/>
      <c r="T243" s="41"/>
      <c r="U243" s="41"/>
      <c r="V243" s="41"/>
      <c r="W243" s="41">
        <v>11.05</v>
      </c>
      <c r="X243" s="41"/>
      <c r="Y243" s="41"/>
      <c r="Z243" s="41"/>
      <c r="AA243" s="41"/>
      <c r="AB243" s="12"/>
      <c r="AC243" s="13"/>
      <c r="AD243" s="13"/>
      <c r="AE243" s="13"/>
      <c r="AF243" s="14"/>
      <c r="AG243" s="9"/>
      <c r="AH243" s="10"/>
      <c r="AI243" s="10"/>
      <c r="AJ243" s="11"/>
    </row>
    <row r="244" spans="1:36" ht="11.25" hidden="1" customHeight="1" outlineLevel="2" x14ac:dyDescent="0.2">
      <c r="A244" s="57" t="s">
        <v>244</v>
      </c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9">
        <v>518.79999999999995</v>
      </c>
      <c r="Q244" s="59"/>
      <c r="R244" s="59"/>
      <c r="S244" s="59"/>
      <c r="T244" s="59"/>
      <c r="U244" s="59"/>
      <c r="V244" s="59"/>
      <c r="W244" s="59">
        <v>514.79999999999995</v>
      </c>
      <c r="X244" s="59"/>
      <c r="Y244" s="59"/>
      <c r="Z244" s="59"/>
      <c r="AA244" s="59"/>
      <c r="AB244" s="58">
        <v>4</v>
      </c>
      <c r="AC244" s="58"/>
      <c r="AD244" s="58"/>
      <c r="AE244" s="58"/>
      <c r="AF244" s="58"/>
      <c r="AG244" s="59">
        <v>4.4000000000000004</v>
      </c>
      <c r="AH244" s="59"/>
      <c r="AI244" s="59"/>
      <c r="AJ244" s="59"/>
    </row>
    <row r="245" spans="1:36" ht="11.25" hidden="1" customHeight="1" outlineLevel="2" x14ac:dyDescent="0.2">
      <c r="A245" s="57" t="s">
        <v>245</v>
      </c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9">
        <v>139.19999999999999</v>
      </c>
      <c r="Q245" s="59"/>
      <c r="R245" s="59"/>
      <c r="S245" s="59"/>
      <c r="T245" s="59"/>
      <c r="U245" s="59"/>
      <c r="V245" s="59"/>
      <c r="W245" s="59">
        <v>139.19999999999999</v>
      </c>
      <c r="X245" s="59"/>
      <c r="Y245" s="59"/>
      <c r="Z245" s="59"/>
      <c r="AA245" s="59"/>
      <c r="AB245" s="12"/>
      <c r="AC245" s="13"/>
      <c r="AD245" s="13"/>
      <c r="AE245" s="13"/>
      <c r="AF245" s="14"/>
      <c r="AG245" s="9"/>
      <c r="AH245" s="10"/>
      <c r="AI245" s="10"/>
      <c r="AJ245" s="11"/>
    </row>
    <row r="246" spans="1:36" ht="11.25" hidden="1" customHeight="1" outlineLevel="2" x14ac:dyDescent="0.2">
      <c r="A246" s="57" t="s">
        <v>246</v>
      </c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9">
        <v>0.8</v>
      </c>
      <c r="Q246" s="59"/>
      <c r="R246" s="59"/>
      <c r="S246" s="59"/>
      <c r="T246" s="59"/>
      <c r="U246" s="59"/>
      <c r="V246" s="59"/>
      <c r="W246" s="12"/>
      <c r="X246" s="13"/>
      <c r="Y246" s="13"/>
      <c r="Z246" s="13"/>
      <c r="AA246" s="14"/>
      <c r="AB246" s="59">
        <v>0.8</v>
      </c>
      <c r="AC246" s="59"/>
      <c r="AD246" s="59"/>
      <c r="AE246" s="59"/>
      <c r="AF246" s="59"/>
      <c r="AG246" s="59">
        <v>0.8</v>
      </c>
      <c r="AH246" s="59"/>
      <c r="AI246" s="59"/>
      <c r="AJ246" s="59"/>
    </row>
    <row r="247" spans="1:36" ht="11.25" hidden="1" customHeight="1" outlineLevel="2" x14ac:dyDescent="0.2">
      <c r="A247" s="57" t="s">
        <v>247</v>
      </c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8">
        <v>6</v>
      </c>
      <c r="Q247" s="58"/>
      <c r="R247" s="58"/>
      <c r="S247" s="58"/>
      <c r="T247" s="58"/>
      <c r="U247" s="58"/>
      <c r="V247" s="58"/>
      <c r="W247" s="58">
        <v>6</v>
      </c>
      <c r="X247" s="58"/>
      <c r="Y247" s="58"/>
      <c r="Z247" s="58"/>
      <c r="AA247" s="58"/>
      <c r="AB247" s="12"/>
      <c r="AC247" s="13"/>
      <c r="AD247" s="13"/>
      <c r="AE247" s="13"/>
      <c r="AF247" s="14"/>
      <c r="AG247" s="9"/>
      <c r="AH247" s="10"/>
      <c r="AI247" s="10"/>
      <c r="AJ247" s="11"/>
    </row>
    <row r="248" spans="1:36" ht="21.75" hidden="1" customHeight="1" outlineLevel="2" x14ac:dyDescent="0.2">
      <c r="A248" s="57" t="s">
        <v>248</v>
      </c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41">
        <v>43.75</v>
      </c>
      <c r="Q248" s="41"/>
      <c r="R248" s="41"/>
      <c r="S248" s="41"/>
      <c r="T248" s="41"/>
      <c r="U248" s="41"/>
      <c r="V248" s="41"/>
      <c r="W248" s="41">
        <v>43.75</v>
      </c>
      <c r="X248" s="41"/>
      <c r="Y248" s="41"/>
      <c r="Z248" s="41"/>
      <c r="AA248" s="41"/>
      <c r="AB248" s="12"/>
      <c r="AC248" s="13"/>
      <c r="AD248" s="13"/>
      <c r="AE248" s="13"/>
      <c r="AF248" s="14"/>
      <c r="AG248" s="9"/>
      <c r="AH248" s="10"/>
      <c r="AI248" s="10"/>
      <c r="AJ248" s="11"/>
    </row>
    <row r="249" spans="1:36" ht="11.25" hidden="1" customHeight="1" outlineLevel="2" x14ac:dyDescent="0.2">
      <c r="A249" s="57" t="s">
        <v>249</v>
      </c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9">
        <v>40.799999999999997</v>
      </c>
      <c r="Q249" s="59"/>
      <c r="R249" s="59"/>
      <c r="S249" s="59"/>
      <c r="T249" s="59"/>
      <c r="U249" s="59"/>
      <c r="V249" s="59"/>
      <c r="W249" s="59">
        <v>28.8</v>
      </c>
      <c r="X249" s="59"/>
      <c r="Y249" s="59"/>
      <c r="Z249" s="59"/>
      <c r="AA249" s="59"/>
      <c r="AB249" s="58">
        <v>12</v>
      </c>
      <c r="AC249" s="58"/>
      <c r="AD249" s="58"/>
      <c r="AE249" s="58"/>
      <c r="AF249" s="58"/>
      <c r="AG249" s="58">
        <v>12</v>
      </c>
      <c r="AH249" s="58"/>
      <c r="AI249" s="58"/>
      <c r="AJ249" s="58"/>
    </row>
    <row r="250" spans="1:36" ht="11.25" hidden="1" customHeight="1" outlineLevel="2" x14ac:dyDescent="0.2">
      <c r="A250" s="57" t="s">
        <v>250</v>
      </c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9">
        <v>23.2</v>
      </c>
      <c r="Q250" s="59"/>
      <c r="R250" s="59"/>
      <c r="S250" s="59"/>
      <c r="T250" s="59"/>
      <c r="U250" s="59"/>
      <c r="V250" s="59"/>
      <c r="W250" s="59">
        <v>23.2</v>
      </c>
      <c r="X250" s="59"/>
      <c r="Y250" s="59"/>
      <c r="Z250" s="59"/>
      <c r="AA250" s="59"/>
      <c r="AB250" s="12"/>
      <c r="AC250" s="13"/>
      <c r="AD250" s="13"/>
      <c r="AE250" s="13"/>
      <c r="AF250" s="14"/>
      <c r="AG250" s="9"/>
      <c r="AH250" s="10"/>
      <c r="AI250" s="10"/>
      <c r="AJ250" s="11"/>
    </row>
    <row r="251" spans="1:36" ht="21.75" hidden="1" customHeight="1" outlineLevel="2" x14ac:dyDescent="0.2">
      <c r="A251" s="57" t="s">
        <v>251</v>
      </c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41">
        <v>143.85</v>
      </c>
      <c r="Q251" s="41"/>
      <c r="R251" s="41"/>
      <c r="S251" s="41"/>
      <c r="T251" s="41"/>
      <c r="U251" s="41"/>
      <c r="V251" s="41"/>
      <c r="W251" s="41">
        <v>143.85</v>
      </c>
      <c r="X251" s="41"/>
      <c r="Y251" s="41"/>
      <c r="Z251" s="41"/>
      <c r="AA251" s="41"/>
      <c r="AB251" s="12"/>
      <c r="AC251" s="13"/>
      <c r="AD251" s="13"/>
      <c r="AE251" s="13"/>
      <c r="AF251" s="14"/>
      <c r="AG251" s="9"/>
      <c r="AH251" s="10"/>
      <c r="AI251" s="10"/>
      <c r="AJ251" s="11"/>
    </row>
    <row r="252" spans="1:36" ht="11.25" hidden="1" customHeight="1" outlineLevel="2" x14ac:dyDescent="0.2">
      <c r="A252" s="57" t="s">
        <v>252</v>
      </c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9">
        <v>64.8</v>
      </c>
      <c r="Q252" s="59"/>
      <c r="R252" s="59"/>
      <c r="S252" s="59"/>
      <c r="T252" s="59"/>
      <c r="U252" s="59"/>
      <c r="V252" s="59"/>
      <c r="W252" s="59">
        <v>64.8</v>
      </c>
      <c r="X252" s="59"/>
      <c r="Y252" s="59"/>
      <c r="Z252" s="59"/>
      <c r="AA252" s="59"/>
      <c r="AB252" s="12"/>
      <c r="AC252" s="13"/>
      <c r="AD252" s="13"/>
      <c r="AE252" s="13"/>
      <c r="AF252" s="14"/>
      <c r="AG252" s="9"/>
      <c r="AH252" s="10"/>
      <c r="AI252" s="10"/>
      <c r="AJ252" s="11"/>
    </row>
    <row r="253" spans="1:36" ht="11.25" hidden="1" customHeight="1" outlineLevel="2" x14ac:dyDescent="0.2">
      <c r="A253" s="57" t="s">
        <v>253</v>
      </c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9">
        <v>6.8</v>
      </c>
      <c r="Q253" s="59"/>
      <c r="R253" s="59"/>
      <c r="S253" s="59"/>
      <c r="T253" s="59"/>
      <c r="U253" s="59"/>
      <c r="V253" s="59"/>
      <c r="W253" s="59">
        <v>6.8</v>
      </c>
      <c r="X253" s="59"/>
      <c r="Y253" s="59"/>
      <c r="Z253" s="59"/>
      <c r="AA253" s="59"/>
      <c r="AB253" s="12"/>
      <c r="AC253" s="13"/>
      <c r="AD253" s="13"/>
      <c r="AE253" s="13"/>
      <c r="AF253" s="14"/>
      <c r="AG253" s="9"/>
      <c r="AH253" s="10"/>
      <c r="AI253" s="10"/>
      <c r="AJ253" s="11"/>
    </row>
    <row r="254" spans="1:36" ht="11.25" hidden="1" customHeight="1" outlineLevel="2" x14ac:dyDescent="0.2">
      <c r="A254" s="57" t="s">
        <v>254</v>
      </c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9">
        <v>16.399999999999999</v>
      </c>
      <c r="Q254" s="59"/>
      <c r="R254" s="59"/>
      <c r="S254" s="59"/>
      <c r="T254" s="59"/>
      <c r="U254" s="59"/>
      <c r="V254" s="59"/>
      <c r="W254" s="59">
        <v>16.399999999999999</v>
      </c>
      <c r="X254" s="59"/>
      <c r="Y254" s="59"/>
      <c r="Z254" s="59"/>
      <c r="AA254" s="59"/>
      <c r="AB254" s="12"/>
      <c r="AC254" s="13"/>
      <c r="AD254" s="13"/>
      <c r="AE254" s="13"/>
      <c r="AF254" s="14"/>
      <c r="AG254" s="9"/>
      <c r="AH254" s="10"/>
      <c r="AI254" s="10"/>
      <c r="AJ254" s="11"/>
    </row>
    <row r="255" spans="1:36" ht="11.25" hidden="1" customHeight="1" outlineLevel="2" x14ac:dyDescent="0.2">
      <c r="A255" s="57" t="s">
        <v>255</v>
      </c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9">
        <v>4.3</v>
      </c>
      <c r="Q255" s="59"/>
      <c r="R255" s="59"/>
      <c r="S255" s="59"/>
      <c r="T255" s="59"/>
      <c r="U255" s="59"/>
      <c r="V255" s="59"/>
      <c r="W255" s="59">
        <v>4.3</v>
      </c>
      <c r="X255" s="59"/>
      <c r="Y255" s="59"/>
      <c r="Z255" s="59"/>
      <c r="AA255" s="59"/>
      <c r="AB255" s="12"/>
      <c r="AC255" s="13"/>
      <c r="AD255" s="13"/>
      <c r="AE255" s="13"/>
      <c r="AF255" s="14"/>
      <c r="AG255" s="9"/>
      <c r="AH255" s="10"/>
      <c r="AI255" s="10"/>
      <c r="AJ255" s="11"/>
    </row>
    <row r="256" spans="1:36" ht="11.25" hidden="1" customHeight="1" outlineLevel="2" x14ac:dyDescent="0.2">
      <c r="A256" s="57" t="s">
        <v>256</v>
      </c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9">
        <v>4.0999999999999996</v>
      </c>
      <c r="Q256" s="59"/>
      <c r="R256" s="59"/>
      <c r="S256" s="59"/>
      <c r="T256" s="59"/>
      <c r="U256" s="59"/>
      <c r="V256" s="59"/>
      <c r="W256" s="59">
        <v>4.0999999999999996</v>
      </c>
      <c r="X256" s="59"/>
      <c r="Y256" s="59"/>
      <c r="Z256" s="59"/>
      <c r="AA256" s="59"/>
      <c r="AB256" s="12"/>
      <c r="AC256" s="13"/>
      <c r="AD256" s="13"/>
      <c r="AE256" s="13"/>
      <c r="AF256" s="14"/>
      <c r="AG256" s="9"/>
      <c r="AH256" s="10"/>
      <c r="AI256" s="10"/>
      <c r="AJ256" s="11"/>
    </row>
    <row r="257" spans="1:36" ht="11.25" hidden="1" customHeight="1" outlineLevel="2" x14ac:dyDescent="0.2">
      <c r="A257" s="57" t="s">
        <v>257</v>
      </c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8">
        <v>104</v>
      </c>
      <c r="Q257" s="58"/>
      <c r="R257" s="58"/>
      <c r="S257" s="58"/>
      <c r="T257" s="58"/>
      <c r="U257" s="58"/>
      <c r="V257" s="58"/>
      <c r="W257" s="59">
        <v>101.2</v>
      </c>
      <c r="X257" s="59"/>
      <c r="Y257" s="59"/>
      <c r="Z257" s="59"/>
      <c r="AA257" s="59"/>
      <c r="AB257" s="59">
        <v>2.8</v>
      </c>
      <c r="AC257" s="59"/>
      <c r="AD257" s="59"/>
      <c r="AE257" s="59"/>
      <c r="AF257" s="59"/>
      <c r="AG257" s="59">
        <v>2.8</v>
      </c>
      <c r="AH257" s="59"/>
      <c r="AI257" s="59"/>
      <c r="AJ257" s="59"/>
    </row>
    <row r="258" spans="1:36" ht="11.25" hidden="1" customHeight="1" outlineLevel="2" x14ac:dyDescent="0.2">
      <c r="A258" s="57" t="s">
        <v>258</v>
      </c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9">
        <v>71.2</v>
      </c>
      <c r="Q258" s="59"/>
      <c r="R258" s="59"/>
      <c r="S258" s="59"/>
      <c r="T258" s="59"/>
      <c r="U258" s="59"/>
      <c r="V258" s="59"/>
      <c r="W258" s="59">
        <v>71.2</v>
      </c>
      <c r="X258" s="59"/>
      <c r="Y258" s="59"/>
      <c r="Z258" s="59"/>
      <c r="AA258" s="59"/>
      <c r="AB258" s="12"/>
      <c r="AC258" s="13"/>
      <c r="AD258" s="13"/>
      <c r="AE258" s="13"/>
      <c r="AF258" s="14"/>
      <c r="AG258" s="9"/>
      <c r="AH258" s="10"/>
      <c r="AI258" s="10"/>
      <c r="AJ258" s="11"/>
    </row>
    <row r="259" spans="1:36" ht="11.25" hidden="1" customHeight="1" outlineLevel="2" x14ac:dyDescent="0.2">
      <c r="A259" s="57" t="s">
        <v>259</v>
      </c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9">
        <v>15.6</v>
      </c>
      <c r="Q259" s="59"/>
      <c r="R259" s="59"/>
      <c r="S259" s="59"/>
      <c r="T259" s="59"/>
      <c r="U259" s="59"/>
      <c r="V259" s="59"/>
      <c r="W259" s="59">
        <v>15.6</v>
      </c>
      <c r="X259" s="59"/>
      <c r="Y259" s="59"/>
      <c r="Z259" s="59"/>
      <c r="AA259" s="59"/>
      <c r="AB259" s="12"/>
      <c r="AC259" s="13"/>
      <c r="AD259" s="13"/>
      <c r="AE259" s="13"/>
      <c r="AF259" s="14"/>
      <c r="AG259" s="59">
        <v>1.2</v>
      </c>
      <c r="AH259" s="59"/>
      <c r="AI259" s="59"/>
      <c r="AJ259" s="59"/>
    </row>
    <row r="260" spans="1:36" ht="11.25" hidden="1" customHeight="1" outlineLevel="2" x14ac:dyDescent="0.2">
      <c r="A260" s="57" t="s">
        <v>260</v>
      </c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9">
        <v>5.4</v>
      </c>
      <c r="Q260" s="59"/>
      <c r="R260" s="59"/>
      <c r="S260" s="59"/>
      <c r="T260" s="59"/>
      <c r="U260" s="59"/>
      <c r="V260" s="59"/>
      <c r="W260" s="59">
        <v>4.2</v>
      </c>
      <c r="X260" s="59"/>
      <c r="Y260" s="59"/>
      <c r="Z260" s="59"/>
      <c r="AA260" s="59"/>
      <c r="AB260" s="59">
        <v>1.2</v>
      </c>
      <c r="AC260" s="59"/>
      <c r="AD260" s="59"/>
      <c r="AE260" s="59"/>
      <c r="AF260" s="59"/>
      <c r="AG260" s="59">
        <v>1.2</v>
      </c>
      <c r="AH260" s="59"/>
      <c r="AI260" s="59"/>
      <c r="AJ260" s="59"/>
    </row>
    <row r="261" spans="1:36" ht="21.75" hidden="1" customHeight="1" outlineLevel="2" x14ac:dyDescent="0.2">
      <c r="A261" s="57" t="s">
        <v>261</v>
      </c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41">
        <v>6.65</v>
      </c>
      <c r="Q261" s="41"/>
      <c r="R261" s="41"/>
      <c r="S261" s="41"/>
      <c r="T261" s="41"/>
      <c r="U261" s="41"/>
      <c r="V261" s="41"/>
      <c r="W261" s="41">
        <v>6.65</v>
      </c>
      <c r="X261" s="41"/>
      <c r="Y261" s="41"/>
      <c r="Z261" s="41"/>
      <c r="AA261" s="41"/>
      <c r="AB261" s="12"/>
      <c r="AC261" s="13"/>
      <c r="AD261" s="13"/>
      <c r="AE261" s="13"/>
      <c r="AF261" s="14"/>
      <c r="AG261" s="9"/>
      <c r="AH261" s="10"/>
      <c r="AI261" s="10"/>
      <c r="AJ261" s="11"/>
    </row>
    <row r="262" spans="1:36" ht="21.75" hidden="1" customHeight="1" outlineLevel="2" x14ac:dyDescent="0.2">
      <c r="A262" s="57" t="s">
        <v>262</v>
      </c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8">
        <v>24</v>
      </c>
      <c r="Q262" s="58"/>
      <c r="R262" s="58"/>
      <c r="S262" s="58"/>
      <c r="T262" s="58"/>
      <c r="U262" s="58"/>
      <c r="V262" s="58"/>
      <c r="W262" s="58">
        <v>24</v>
      </c>
      <c r="X262" s="58"/>
      <c r="Y262" s="58"/>
      <c r="Z262" s="58"/>
      <c r="AA262" s="58"/>
      <c r="AB262" s="12"/>
      <c r="AC262" s="13"/>
      <c r="AD262" s="13"/>
      <c r="AE262" s="13"/>
      <c r="AF262" s="14"/>
      <c r="AG262" s="9"/>
      <c r="AH262" s="10"/>
      <c r="AI262" s="10"/>
      <c r="AJ262" s="11"/>
    </row>
    <row r="263" spans="1:36" ht="11.25" hidden="1" customHeight="1" outlineLevel="2" x14ac:dyDescent="0.2">
      <c r="A263" s="57" t="s">
        <v>263</v>
      </c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8">
        <v>21</v>
      </c>
      <c r="Q263" s="58"/>
      <c r="R263" s="58"/>
      <c r="S263" s="58"/>
      <c r="T263" s="58"/>
      <c r="U263" s="58"/>
      <c r="V263" s="58"/>
      <c r="W263" s="59">
        <v>16.8</v>
      </c>
      <c r="X263" s="59"/>
      <c r="Y263" s="59"/>
      <c r="Z263" s="59"/>
      <c r="AA263" s="59"/>
      <c r="AB263" s="59">
        <v>4.2</v>
      </c>
      <c r="AC263" s="59"/>
      <c r="AD263" s="59"/>
      <c r="AE263" s="59"/>
      <c r="AF263" s="59"/>
      <c r="AG263" s="59">
        <v>4.2</v>
      </c>
      <c r="AH263" s="59"/>
      <c r="AI263" s="59"/>
      <c r="AJ263" s="59"/>
    </row>
    <row r="264" spans="1:36" ht="21.75" hidden="1" customHeight="1" outlineLevel="2" x14ac:dyDescent="0.2">
      <c r="A264" s="57" t="s">
        <v>264</v>
      </c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8">
        <v>30</v>
      </c>
      <c r="Q264" s="58"/>
      <c r="R264" s="58"/>
      <c r="S264" s="58"/>
      <c r="T264" s="58"/>
      <c r="U264" s="58"/>
      <c r="V264" s="58"/>
      <c r="W264" s="58">
        <v>22</v>
      </c>
      <c r="X264" s="58"/>
      <c r="Y264" s="58"/>
      <c r="Z264" s="58"/>
      <c r="AA264" s="58"/>
      <c r="AB264" s="58">
        <v>8</v>
      </c>
      <c r="AC264" s="58"/>
      <c r="AD264" s="58"/>
      <c r="AE264" s="58"/>
      <c r="AF264" s="58"/>
      <c r="AG264" s="58">
        <v>8</v>
      </c>
      <c r="AH264" s="58"/>
      <c r="AI264" s="58"/>
      <c r="AJ264" s="58"/>
    </row>
    <row r="265" spans="1:36" ht="11.25" hidden="1" customHeight="1" outlineLevel="2" x14ac:dyDescent="0.2">
      <c r="A265" s="57" t="s">
        <v>265</v>
      </c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9">
        <v>25.8</v>
      </c>
      <c r="Q265" s="59"/>
      <c r="R265" s="59"/>
      <c r="S265" s="59"/>
      <c r="T265" s="59"/>
      <c r="U265" s="59"/>
      <c r="V265" s="59"/>
      <c r="W265" s="59">
        <v>25.8</v>
      </c>
      <c r="X265" s="59"/>
      <c r="Y265" s="59"/>
      <c r="Z265" s="59"/>
      <c r="AA265" s="59"/>
      <c r="AB265" s="12"/>
      <c r="AC265" s="13"/>
      <c r="AD265" s="13"/>
      <c r="AE265" s="13"/>
      <c r="AF265" s="14"/>
      <c r="AG265" s="59">
        <v>0.3</v>
      </c>
      <c r="AH265" s="59"/>
      <c r="AI265" s="59"/>
      <c r="AJ265" s="59"/>
    </row>
    <row r="266" spans="1:36" ht="11.25" hidden="1" customHeight="1" outlineLevel="2" x14ac:dyDescent="0.2">
      <c r="A266" s="57" t="s">
        <v>266</v>
      </c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41">
        <v>4.62</v>
      </c>
      <c r="Q266" s="41"/>
      <c r="R266" s="41"/>
      <c r="S266" s="41"/>
      <c r="T266" s="41"/>
      <c r="U266" s="41"/>
      <c r="V266" s="41"/>
      <c r="W266" s="41">
        <v>3.99</v>
      </c>
      <c r="X266" s="41"/>
      <c r="Y266" s="41"/>
      <c r="Z266" s="41"/>
      <c r="AA266" s="41"/>
      <c r="AB266" s="41">
        <v>0.63</v>
      </c>
      <c r="AC266" s="41"/>
      <c r="AD266" s="41"/>
      <c r="AE266" s="41"/>
      <c r="AF266" s="41"/>
      <c r="AG266" s="41">
        <v>0.63</v>
      </c>
      <c r="AH266" s="41"/>
      <c r="AI266" s="41"/>
      <c r="AJ266" s="41"/>
    </row>
    <row r="267" spans="1:36" ht="11.25" hidden="1" customHeight="1" outlineLevel="2" x14ac:dyDescent="0.2">
      <c r="A267" s="57" t="s">
        <v>267</v>
      </c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41">
        <v>2.52</v>
      </c>
      <c r="Q267" s="41"/>
      <c r="R267" s="41"/>
      <c r="S267" s="41"/>
      <c r="T267" s="41"/>
      <c r="U267" s="41"/>
      <c r="V267" s="41"/>
      <c r="W267" s="41">
        <v>2.52</v>
      </c>
      <c r="X267" s="41"/>
      <c r="Y267" s="41"/>
      <c r="Z267" s="41"/>
      <c r="AA267" s="41"/>
      <c r="AB267" s="12"/>
      <c r="AC267" s="13"/>
      <c r="AD267" s="13"/>
      <c r="AE267" s="13"/>
      <c r="AF267" s="14"/>
      <c r="AG267" s="9"/>
      <c r="AH267" s="10"/>
      <c r="AI267" s="10"/>
      <c r="AJ267" s="11"/>
    </row>
    <row r="268" spans="1:36" ht="11.25" hidden="1" customHeight="1" outlineLevel="2" x14ac:dyDescent="0.2">
      <c r="A268" s="57" t="s">
        <v>268</v>
      </c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9">
        <v>13.8</v>
      </c>
      <c r="Q268" s="59"/>
      <c r="R268" s="59"/>
      <c r="S268" s="59"/>
      <c r="T268" s="59"/>
      <c r="U268" s="59"/>
      <c r="V268" s="59"/>
      <c r="W268" s="59">
        <v>13.8</v>
      </c>
      <c r="X268" s="59"/>
      <c r="Y268" s="59"/>
      <c r="Z268" s="59"/>
      <c r="AA268" s="59"/>
      <c r="AB268" s="12"/>
      <c r="AC268" s="13"/>
      <c r="AD268" s="13"/>
      <c r="AE268" s="13"/>
      <c r="AF268" s="14"/>
      <c r="AG268" s="9"/>
      <c r="AH268" s="10"/>
      <c r="AI268" s="10"/>
      <c r="AJ268" s="11"/>
    </row>
    <row r="269" spans="1:36" ht="21.75" hidden="1" customHeight="1" outlineLevel="2" x14ac:dyDescent="0.2">
      <c r="A269" s="57" t="s">
        <v>269</v>
      </c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41">
        <v>4.08</v>
      </c>
      <c r="Q269" s="41"/>
      <c r="R269" s="41"/>
      <c r="S269" s="41"/>
      <c r="T269" s="41"/>
      <c r="U269" s="41"/>
      <c r="V269" s="41"/>
      <c r="W269" s="41">
        <v>4.16</v>
      </c>
      <c r="X269" s="41"/>
      <c r="Y269" s="41"/>
      <c r="Z269" s="41"/>
      <c r="AA269" s="41"/>
      <c r="AB269" s="41">
        <v>-0.08</v>
      </c>
      <c r="AC269" s="41"/>
      <c r="AD269" s="41"/>
      <c r="AE269" s="41"/>
      <c r="AF269" s="41"/>
      <c r="AG269" s="9"/>
      <c r="AH269" s="10"/>
      <c r="AI269" s="10"/>
      <c r="AJ269" s="11"/>
    </row>
    <row r="270" spans="1:36" ht="21.75" hidden="1" customHeight="1" outlineLevel="2" x14ac:dyDescent="0.2">
      <c r="A270" s="57" t="s">
        <v>270</v>
      </c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41">
        <v>3.84</v>
      </c>
      <c r="Q270" s="41"/>
      <c r="R270" s="41"/>
      <c r="S270" s="41"/>
      <c r="T270" s="41"/>
      <c r="U270" s="41"/>
      <c r="V270" s="41"/>
      <c r="W270" s="41">
        <v>3.84</v>
      </c>
      <c r="X270" s="41"/>
      <c r="Y270" s="41"/>
      <c r="Z270" s="41"/>
      <c r="AA270" s="41"/>
      <c r="AB270" s="12"/>
      <c r="AC270" s="13"/>
      <c r="AD270" s="13"/>
      <c r="AE270" s="13"/>
      <c r="AF270" s="14"/>
      <c r="AG270" s="9"/>
      <c r="AH270" s="10"/>
      <c r="AI270" s="10"/>
      <c r="AJ270" s="11"/>
    </row>
    <row r="271" spans="1:36" ht="21.75" hidden="1" customHeight="1" outlineLevel="2" x14ac:dyDescent="0.2">
      <c r="A271" s="57" t="s">
        <v>271</v>
      </c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8">
        <v>3</v>
      </c>
      <c r="Q271" s="58"/>
      <c r="R271" s="58"/>
      <c r="S271" s="58"/>
      <c r="T271" s="58"/>
      <c r="U271" s="58"/>
      <c r="V271" s="58"/>
      <c r="W271" s="58">
        <v>3</v>
      </c>
      <c r="X271" s="58"/>
      <c r="Y271" s="58"/>
      <c r="Z271" s="58"/>
      <c r="AA271" s="58"/>
      <c r="AB271" s="12"/>
      <c r="AC271" s="13"/>
      <c r="AD271" s="13"/>
      <c r="AE271" s="13"/>
      <c r="AF271" s="14"/>
      <c r="AG271" s="9"/>
      <c r="AH271" s="10"/>
      <c r="AI271" s="10"/>
      <c r="AJ271" s="11"/>
    </row>
    <row r="272" spans="1:36" ht="11.25" hidden="1" customHeight="1" outlineLevel="2" x14ac:dyDescent="0.2">
      <c r="A272" s="57" t="s">
        <v>272</v>
      </c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41">
        <v>0.65</v>
      </c>
      <c r="Q272" s="41"/>
      <c r="R272" s="41"/>
      <c r="S272" s="41"/>
      <c r="T272" s="41"/>
      <c r="U272" s="41"/>
      <c r="V272" s="41"/>
      <c r="W272" s="41">
        <v>0.65</v>
      </c>
      <c r="X272" s="41"/>
      <c r="Y272" s="41"/>
      <c r="Z272" s="41"/>
      <c r="AA272" s="41"/>
      <c r="AB272" s="12"/>
      <c r="AC272" s="13"/>
      <c r="AD272" s="13"/>
      <c r="AE272" s="13"/>
      <c r="AF272" s="14"/>
      <c r="AG272" s="9"/>
      <c r="AH272" s="10"/>
      <c r="AI272" s="10"/>
      <c r="AJ272" s="11"/>
    </row>
    <row r="273" spans="1:36" ht="21.75" hidden="1" customHeight="1" outlineLevel="2" x14ac:dyDescent="0.2">
      <c r="A273" s="57" t="s">
        <v>273</v>
      </c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41">
        <v>1.75</v>
      </c>
      <c r="Q273" s="41"/>
      <c r="R273" s="41"/>
      <c r="S273" s="41"/>
      <c r="T273" s="41"/>
      <c r="U273" s="41"/>
      <c r="V273" s="41"/>
      <c r="W273" s="41">
        <v>1.75</v>
      </c>
      <c r="X273" s="41"/>
      <c r="Y273" s="41"/>
      <c r="Z273" s="41"/>
      <c r="AA273" s="41"/>
      <c r="AB273" s="12"/>
      <c r="AC273" s="13"/>
      <c r="AD273" s="13"/>
      <c r="AE273" s="13"/>
      <c r="AF273" s="14"/>
      <c r="AG273" s="9"/>
      <c r="AH273" s="10"/>
      <c r="AI273" s="10"/>
      <c r="AJ273" s="11"/>
    </row>
    <row r="274" spans="1:36" ht="21.75" hidden="1" customHeight="1" outlineLevel="2" x14ac:dyDescent="0.2">
      <c r="A274" s="57" t="s">
        <v>274</v>
      </c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9">
        <v>21.6</v>
      </c>
      <c r="Q274" s="59"/>
      <c r="R274" s="59"/>
      <c r="S274" s="59"/>
      <c r="T274" s="59"/>
      <c r="U274" s="59"/>
      <c r="V274" s="59"/>
      <c r="W274" s="59">
        <v>20.100000000000001</v>
      </c>
      <c r="X274" s="59"/>
      <c r="Y274" s="59"/>
      <c r="Z274" s="59"/>
      <c r="AA274" s="59"/>
      <c r="AB274" s="59">
        <v>1.5</v>
      </c>
      <c r="AC274" s="59"/>
      <c r="AD274" s="59"/>
      <c r="AE274" s="59"/>
      <c r="AF274" s="59"/>
      <c r="AG274" s="59">
        <v>1.5</v>
      </c>
      <c r="AH274" s="59"/>
      <c r="AI274" s="59"/>
      <c r="AJ274" s="59"/>
    </row>
    <row r="275" spans="1:36" ht="11.25" hidden="1" customHeight="1" outlineLevel="2" x14ac:dyDescent="0.2">
      <c r="A275" s="57" t="s">
        <v>275</v>
      </c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9">
        <v>24.3</v>
      </c>
      <c r="Q275" s="59"/>
      <c r="R275" s="59"/>
      <c r="S275" s="59"/>
      <c r="T275" s="59"/>
      <c r="U275" s="59"/>
      <c r="V275" s="59"/>
      <c r="W275" s="59">
        <v>24.6</v>
      </c>
      <c r="X275" s="59"/>
      <c r="Y275" s="59"/>
      <c r="Z275" s="59"/>
      <c r="AA275" s="59"/>
      <c r="AB275" s="59">
        <v>-0.3</v>
      </c>
      <c r="AC275" s="59"/>
      <c r="AD275" s="59"/>
      <c r="AE275" s="59"/>
      <c r="AF275" s="59"/>
      <c r="AG275" s="9"/>
      <c r="AH275" s="10"/>
      <c r="AI275" s="10"/>
      <c r="AJ275" s="11"/>
    </row>
    <row r="276" spans="1:36" ht="11.25" hidden="1" customHeight="1" outlineLevel="2" x14ac:dyDescent="0.2">
      <c r="A276" s="57" t="s">
        <v>276</v>
      </c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9">
        <v>17.399999999999999</v>
      </c>
      <c r="Q276" s="59"/>
      <c r="R276" s="59"/>
      <c r="S276" s="59"/>
      <c r="T276" s="59"/>
      <c r="U276" s="59"/>
      <c r="V276" s="59"/>
      <c r="W276" s="59">
        <v>17.100000000000001</v>
      </c>
      <c r="X276" s="59"/>
      <c r="Y276" s="59"/>
      <c r="Z276" s="59"/>
      <c r="AA276" s="59"/>
      <c r="AB276" s="59">
        <v>0.3</v>
      </c>
      <c r="AC276" s="59"/>
      <c r="AD276" s="59"/>
      <c r="AE276" s="59"/>
      <c r="AF276" s="59"/>
      <c r="AG276" s="59">
        <v>0.3</v>
      </c>
      <c r="AH276" s="59"/>
      <c r="AI276" s="59"/>
      <c r="AJ276" s="59"/>
    </row>
    <row r="277" spans="1:36" ht="11.25" hidden="1" customHeight="1" outlineLevel="2" x14ac:dyDescent="0.2">
      <c r="A277" s="57" t="s">
        <v>277</v>
      </c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41">
        <v>2.2799999999999998</v>
      </c>
      <c r="Q277" s="41"/>
      <c r="R277" s="41"/>
      <c r="S277" s="41"/>
      <c r="T277" s="41"/>
      <c r="U277" s="41"/>
      <c r="V277" s="41"/>
      <c r="W277" s="41">
        <v>2.2799999999999998</v>
      </c>
      <c r="X277" s="41"/>
      <c r="Y277" s="41"/>
      <c r="Z277" s="41"/>
      <c r="AA277" s="41"/>
      <c r="AB277" s="12"/>
      <c r="AC277" s="13"/>
      <c r="AD277" s="13"/>
      <c r="AE277" s="13"/>
      <c r="AF277" s="14"/>
      <c r="AG277" s="9"/>
      <c r="AH277" s="10"/>
      <c r="AI277" s="10"/>
      <c r="AJ277" s="11"/>
    </row>
    <row r="278" spans="1:36" ht="11.25" hidden="1" customHeight="1" outlineLevel="2" x14ac:dyDescent="0.2">
      <c r="A278" s="57" t="s">
        <v>278</v>
      </c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9">
        <v>1.2</v>
      </c>
      <c r="Q278" s="59"/>
      <c r="R278" s="59"/>
      <c r="S278" s="59"/>
      <c r="T278" s="59"/>
      <c r="U278" s="59"/>
      <c r="V278" s="59"/>
      <c r="W278" s="59">
        <v>1.1000000000000001</v>
      </c>
      <c r="X278" s="59"/>
      <c r="Y278" s="59"/>
      <c r="Z278" s="59"/>
      <c r="AA278" s="59"/>
      <c r="AB278" s="59">
        <v>0.1</v>
      </c>
      <c r="AC278" s="59"/>
      <c r="AD278" s="59"/>
      <c r="AE278" s="59"/>
      <c r="AF278" s="59"/>
      <c r="AG278" s="59">
        <v>0.1</v>
      </c>
      <c r="AH278" s="59"/>
      <c r="AI278" s="59"/>
      <c r="AJ278" s="59"/>
    </row>
    <row r="279" spans="1:36" ht="11.25" hidden="1" customHeight="1" outlineLevel="1" x14ac:dyDescent="0.2">
      <c r="A279" s="63" t="s">
        <v>279</v>
      </c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4">
        <v>2570.61</v>
      </c>
      <c r="Q279" s="64"/>
      <c r="R279" s="64"/>
      <c r="S279" s="64"/>
      <c r="T279" s="64"/>
      <c r="U279" s="64"/>
      <c r="V279" s="64"/>
      <c r="W279" s="64">
        <v>2540.5100000000002</v>
      </c>
      <c r="X279" s="64"/>
      <c r="Y279" s="64"/>
      <c r="Z279" s="64"/>
      <c r="AA279" s="64"/>
      <c r="AB279" s="85">
        <v>30.1</v>
      </c>
      <c r="AC279" s="85"/>
      <c r="AD279" s="85"/>
      <c r="AE279" s="85"/>
      <c r="AF279" s="85"/>
      <c r="AG279" s="85">
        <v>33.200000000000003</v>
      </c>
      <c r="AH279" s="85"/>
      <c r="AI279" s="85"/>
      <c r="AJ279" s="85"/>
    </row>
    <row r="280" spans="1:36" ht="21.75" hidden="1" customHeight="1" outlineLevel="2" x14ac:dyDescent="0.2">
      <c r="A280" s="57" t="s">
        <v>280</v>
      </c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8">
        <v>24</v>
      </c>
      <c r="Q280" s="58"/>
      <c r="R280" s="58"/>
      <c r="S280" s="58"/>
      <c r="T280" s="58"/>
      <c r="U280" s="58"/>
      <c r="V280" s="58"/>
      <c r="W280" s="58">
        <v>24</v>
      </c>
      <c r="X280" s="58"/>
      <c r="Y280" s="58"/>
      <c r="Z280" s="58"/>
      <c r="AA280" s="58"/>
      <c r="AB280" s="12"/>
      <c r="AC280" s="13"/>
      <c r="AD280" s="13"/>
      <c r="AE280" s="13"/>
      <c r="AF280" s="14"/>
      <c r="AG280" s="9"/>
      <c r="AH280" s="10"/>
      <c r="AI280" s="10"/>
      <c r="AJ280" s="11"/>
    </row>
    <row r="281" spans="1:36" ht="11.25" hidden="1" customHeight="1" outlineLevel="2" x14ac:dyDescent="0.2">
      <c r="A281" s="57" t="s">
        <v>281</v>
      </c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41">
        <v>9.25</v>
      </c>
      <c r="Q281" s="41"/>
      <c r="R281" s="41"/>
      <c r="S281" s="41"/>
      <c r="T281" s="41"/>
      <c r="U281" s="41"/>
      <c r="V281" s="41"/>
      <c r="W281" s="41">
        <v>9.25</v>
      </c>
      <c r="X281" s="41"/>
      <c r="Y281" s="41"/>
      <c r="Z281" s="41"/>
      <c r="AA281" s="41"/>
      <c r="AB281" s="12"/>
      <c r="AC281" s="13"/>
      <c r="AD281" s="13"/>
      <c r="AE281" s="13"/>
      <c r="AF281" s="14"/>
      <c r="AG281" s="9"/>
      <c r="AH281" s="10"/>
      <c r="AI281" s="10"/>
      <c r="AJ281" s="11"/>
    </row>
    <row r="282" spans="1:36" ht="21.75" hidden="1" customHeight="1" outlineLevel="2" x14ac:dyDescent="0.2">
      <c r="A282" s="57" t="s">
        <v>282</v>
      </c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41">
        <v>6.38</v>
      </c>
      <c r="Q282" s="41"/>
      <c r="R282" s="41"/>
      <c r="S282" s="41"/>
      <c r="T282" s="41"/>
      <c r="U282" s="41"/>
      <c r="V282" s="41"/>
      <c r="W282" s="41">
        <v>6.38</v>
      </c>
      <c r="X282" s="41"/>
      <c r="Y282" s="41"/>
      <c r="Z282" s="41"/>
      <c r="AA282" s="41"/>
      <c r="AB282" s="12"/>
      <c r="AC282" s="13"/>
      <c r="AD282" s="13"/>
      <c r="AE282" s="13"/>
      <c r="AF282" s="14"/>
      <c r="AG282" s="9"/>
      <c r="AH282" s="10"/>
      <c r="AI282" s="10"/>
      <c r="AJ282" s="11"/>
    </row>
    <row r="283" spans="1:36" ht="21.75" hidden="1" customHeight="1" outlineLevel="2" x14ac:dyDescent="0.2">
      <c r="A283" s="57" t="s">
        <v>283</v>
      </c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9">
        <v>14.4</v>
      </c>
      <c r="Q283" s="59"/>
      <c r="R283" s="59"/>
      <c r="S283" s="59"/>
      <c r="T283" s="59"/>
      <c r="U283" s="59"/>
      <c r="V283" s="59"/>
      <c r="W283" s="59">
        <v>14.4</v>
      </c>
      <c r="X283" s="59"/>
      <c r="Y283" s="59"/>
      <c r="Z283" s="59"/>
      <c r="AA283" s="59"/>
      <c r="AB283" s="12"/>
      <c r="AC283" s="13"/>
      <c r="AD283" s="13"/>
      <c r="AE283" s="13"/>
      <c r="AF283" s="14"/>
      <c r="AG283" s="9"/>
      <c r="AH283" s="10"/>
      <c r="AI283" s="10"/>
      <c r="AJ283" s="11"/>
    </row>
    <row r="284" spans="1:36" ht="11.25" hidden="1" customHeight="1" outlineLevel="2" x14ac:dyDescent="0.2">
      <c r="A284" s="57" t="s">
        <v>284</v>
      </c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41">
        <v>40.75</v>
      </c>
      <c r="Q284" s="41"/>
      <c r="R284" s="41"/>
      <c r="S284" s="41"/>
      <c r="T284" s="41"/>
      <c r="U284" s="41"/>
      <c r="V284" s="41"/>
      <c r="W284" s="41">
        <v>40.75</v>
      </c>
      <c r="X284" s="41"/>
      <c r="Y284" s="41"/>
      <c r="Z284" s="41"/>
      <c r="AA284" s="41"/>
      <c r="AB284" s="12"/>
      <c r="AC284" s="13"/>
      <c r="AD284" s="13"/>
      <c r="AE284" s="13"/>
      <c r="AF284" s="14"/>
      <c r="AG284" s="9"/>
      <c r="AH284" s="10"/>
      <c r="AI284" s="10"/>
      <c r="AJ284" s="11"/>
    </row>
    <row r="285" spans="1:36" ht="11.25" hidden="1" customHeight="1" outlineLevel="2" x14ac:dyDescent="0.2">
      <c r="A285" s="57" t="s">
        <v>285</v>
      </c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8">
        <v>20</v>
      </c>
      <c r="Q285" s="58"/>
      <c r="R285" s="58"/>
      <c r="S285" s="58"/>
      <c r="T285" s="58"/>
      <c r="U285" s="58"/>
      <c r="V285" s="58"/>
      <c r="W285" s="58">
        <v>20</v>
      </c>
      <c r="X285" s="58"/>
      <c r="Y285" s="58"/>
      <c r="Z285" s="58"/>
      <c r="AA285" s="58"/>
      <c r="AB285" s="12"/>
      <c r="AC285" s="13"/>
      <c r="AD285" s="13"/>
      <c r="AE285" s="13"/>
      <c r="AF285" s="14"/>
      <c r="AG285" s="9"/>
      <c r="AH285" s="10"/>
      <c r="AI285" s="10"/>
      <c r="AJ285" s="11"/>
    </row>
    <row r="286" spans="1:36" ht="21.75" hidden="1" customHeight="1" outlineLevel="2" x14ac:dyDescent="0.2">
      <c r="A286" s="57" t="s">
        <v>286</v>
      </c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8">
        <v>8</v>
      </c>
      <c r="Q286" s="58"/>
      <c r="R286" s="58"/>
      <c r="S286" s="58"/>
      <c r="T286" s="58"/>
      <c r="U286" s="58"/>
      <c r="V286" s="58"/>
      <c r="W286" s="58">
        <v>8</v>
      </c>
      <c r="X286" s="58"/>
      <c r="Y286" s="58"/>
      <c r="Z286" s="58"/>
      <c r="AA286" s="58"/>
      <c r="AB286" s="12"/>
      <c r="AC286" s="13"/>
      <c r="AD286" s="13"/>
      <c r="AE286" s="13"/>
      <c r="AF286" s="14"/>
      <c r="AG286" s="9"/>
      <c r="AH286" s="10"/>
      <c r="AI286" s="10"/>
      <c r="AJ286" s="11"/>
    </row>
    <row r="287" spans="1:36" ht="21.75" hidden="1" customHeight="1" outlineLevel="2" x14ac:dyDescent="0.2">
      <c r="A287" s="57" t="s">
        <v>287</v>
      </c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41">
        <v>14.75</v>
      </c>
      <c r="Q287" s="41"/>
      <c r="R287" s="41"/>
      <c r="S287" s="41"/>
      <c r="T287" s="41"/>
      <c r="U287" s="41"/>
      <c r="V287" s="41"/>
      <c r="W287" s="41">
        <v>14.75</v>
      </c>
      <c r="X287" s="41"/>
      <c r="Y287" s="41"/>
      <c r="Z287" s="41"/>
      <c r="AA287" s="41"/>
      <c r="AB287" s="12"/>
      <c r="AC287" s="13"/>
      <c r="AD287" s="13"/>
      <c r="AE287" s="13"/>
      <c r="AF287" s="14"/>
      <c r="AG287" s="9"/>
      <c r="AH287" s="10"/>
      <c r="AI287" s="10"/>
      <c r="AJ287" s="11"/>
    </row>
    <row r="288" spans="1:36" ht="11.25" hidden="1" customHeight="1" outlineLevel="2" x14ac:dyDescent="0.2">
      <c r="A288" s="57" t="s">
        <v>288</v>
      </c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8">
        <v>32</v>
      </c>
      <c r="Q288" s="58"/>
      <c r="R288" s="58"/>
      <c r="S288" s="58"/>
      <c r="T288" s="58"/>
      <c r="U288" s="58"/>
      <c r="V288" s="58"/>
      <c r="W288" s="58">
        <v>32</v>
      </c>
      <c r="X288" s="58"/>
      <c r="Y288" s="58"/>
      <c r="Z288" s="58"/>
      <c r="AA288" s="58"/>
      <c r="AB288" s="12"/>
      <c r="AC288" s="13"/>
      <c r="AD288" s="13"/>
      <c r="AE288" s="13"/>
      <c r="AF288" s="14"/>
      <c r="AG288" s="9"/>
      <c r="AH288" s="10"/>
      <c r="AI288" s="10"/>
      <c r="AJ288" s="11"/>
    </row>
    <row r="289" spans="1:36" ht="11.25" hidden="1" customHeight="1" outlineLevel="2" x14ac:dyDescent="0.2">
      <c r="A289" s="57" t="s">
        <v>289</v>
      </c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41">
        <v>0.56000000000000005</v>
      </c>
      <c r="Q289" s="41"/>
      <c r="R289" s="41"/>
      <c r="S289" s="41"/>
      <c r="T289" s="41"/>
      <c r="U289" s="41"/>
      <c r="V289" s="41"/>
      <c r="W289" s="41">
        <v>0.56000000000000005</v>
      </c>
      <c r="X289" s="41"/>
      <c r="Y289" s="41"/>
      <c r="Z289" s="41"/>
      <c r="AA289" s="41"/>
      <c r="AB289" s="12"/>
      <c r="AC289" s="13"/>
      <c r="AD289" s="13"/>
      <c r="AE289" s="13"/>
      <c r="AF289" s="14"/>
      <c r="AG289" s="9"/>
      <c r="AH289" s="10"/>
      <c r="AI289" s="10"/>
      <c r="AJ289" s="11"/>
    </row>
    <row r="290" spans="1:36" ht="11.25" hidden="1" customHeight="1" outlineLevel="2" x14ac:dyDescent="0.2">
      <c r="A290" s="57" t="s">
        <v>290</v>
      </c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41">
        <v>41.04</v>
      </c>
      <c r="Q290" s="41"/>
      <c r="R290" s="41"/>
      <c r="S290" s="41"/>
      <c r="T290" s="41"/>
      <c r="U290" s="41"/>
      <c r="V290" s="41"/>
      <c r="W290" s="41">
        <v>41.04</v>
      </c>
      <c r="X290" s="41"/>
      <c r="Y290" s="41"/>
      <c r="Z290" s="41"/>
      <c r="AA290" s="41"/>
      <c r="AB290" s="12"/>
      <c r="AC290" s="13"/>
      <c r="AD290" s="13"/>
      <c r="AE290" s="13"/>
      <c r="AF290" s="14"/>
      <c r="AG290" s="9"/>
      <c r="AH290" s="10"/>
      <c r="AI290" s="10"/>
      <c r="AJ290" s="11"/>
    </row>
    <row r="291" spans="1:36" ht="11.25" hidden="1" customHeight="1" outlineLevel="2" x14ac:dyDescent="0.2">
      <c r="A291" s="57" t="s">
        <v>291</v>
      </c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41">
        <v>47.52</v>
      </c>
      <c r="Q291" s="41"/>
      <c r="R291" s="41"/>
      <c r="S291" s="41"/>
      <c r="T291" s="41"/>
      <c r="U291" s="41"/>
      <c r="V291" s="41"/>
      <c r="W291" s="41">
        <v>47.52</v>
      </c>
      <c r="X291" s="41"/>
      <c r="Y291" s="41"/>
      <c r="Z291" s="41"/>
      <c r="AA291" s="41"/>
      <c r="AB291" s="12"/>
      <c r="AC291" s="13"/>
      <c r="AD291" s="13"/>
      <c r="AE291" s="13"/>
      <c r="AF291" s="14"/>
      <c r="AG291" s="9"/>
      <c r="AH291" s="10"/>
      <c r="AI291" s="10"/>
      <c r="AJ291" s="11"/>
    </row>
    <row r="292" spans="1:36" ht="11.25" hidden="1" customHeight="1" outlineLevel="2" x14ac:dyDescent="0.2">
      <c r="A292" s="57" t="s">
        <v>292</v>
      </c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41">
        <v>55.68</v>
      </c>
      <c r="Q292" s="41"/>
      <c r="R292" s="41"/>
      <c r="S292" s="41"/>
      <c r="T292" s="41"/>
      <c r="U292" s="41"/>
      <c r="V292" s="41"/>
      <c r="W292" s="41">
        <v>55.68</v>
      </c>
      <c r="X292" s="41"/>
      <c r="Y292" s="41"/>
      <c r="Z292" s="41"/>
      <c r="AA292" s="41"/>
      <c r="AB292" s="12"/>
      <c r="AC292" s="13"/>
      <c r="AD292" s="13"/>
      <c r="AE292" s="13"/>
      <c r="AF292" s="14"/>
      <c r="AG292" s="9"/>
      <c r="AH292" s="10"/>
      <c r="AI292" s="10"/>
      <c r="AJ292" s="11"/>
    </row>
    <row r="293" spans="1:36" ht="21.75" hidden="1" customHeight="1" outlineLevel="2" x14ac:dyDescent="0.2">
      <c r="A293" s="57" t="s">
        <v>293</v>
      </c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41">
        <v>49.92</v>
      </c>
      <c r="Q293" s="41"/>
      <c r="R293" s="41"/>
      <c r="S293" s="41"/>
      <c r="T293" s="41"/>
      <c r="U293" s="41"/>
      <c r="V293" s="41"/>
      <c r="W293" s="41">
        <v>49.92</v>
      </c>
      <c r="X293" s="41"/>
      <c r="Y293" s="41"/>
      <c r="Z293" s="41"/>
      <c r="AA293" s="41"/>
      <c r="AB293" s="12"/>
      <c r="AC293" s="13"/>
      <c r="AD293" s="13"/>
      <c r="AE293" s="13"/>
      <c r="AF293" s="14"/>
      <c r="AG293" s="9"/>
      <c r="AH293" s="10"/>
      <c r="AI293" s="10"/>
      <c r="AJ293" s="11"/>
    </row>
    <row r="294" spans="1:36" ht="21.75" hidden="1" customHeight="1" outlineLevel="2" x14ac:dyDescent="0.2">
      <c r="A294" s="57" t="s">
        <v>294</v>
      </c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41">
        <v>11.52</v>
      </c>
      <c r="Q294" s="41"/>
      <c r="R294" s="41"/>
      <c r="S294" s="41"/>
      <c r="T294" s="41"/>
      <c r="U294" s="41"/>
      <c r="V294" s="41"/>
      <c r="W294" s="41">
        <v>11.52</v>
      </c>
      <c r="X294" s="41"/>
      <c r="Y294" s="41"/>
      <c r="Z294" s="41"/>
      <c r="AA294" s="41"/>
      <c r="AB294" s="12"/>
      <c r="AC294" s="13"/>
      <c r="AD294" s="13"/>
      <c r="AE294" s="13"/>
      <c r="AF294" s="14"/>
      <c r="AG294" s="9"/>
      <c r="AH294" s="10"/>
      <c r="AI294" s="10"/>
      <c r="AJ294" s="11"/>
    </row>
    <row r="295" spans="1:36" ht="11.25" hidden="1" customHeight="1" outlineLevel="2" x14ac:dyDescent="0.2">
      <c r="A295" s="57" t="s">
        <v>295</v>
      </c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41">
        <v>19.62</v>
      </c>
      <c r="Q295" s="41"/>
      <c r="R295" s="41"/>
      <c r="S295" s="41"/>
      <c r="T295" s="41"/>
      <c r="U295" s="41"/>
      <c r="V295" s="41"/>
      <c r="W295" s="41">
        <v>19.62</v>
      </c>
      <c r="X295" s="41"/>
      <c r="Y295" s="41"/>
      <c r="Z295" s="41"/>
      <c r="AA295" s="41"/>
      <c r="AB295" s="12"/>
      <c r="AC295" s="13"/>
      <c r="AD295" s="13"/>
      <c r="AE295" s="13"/>
      <c r="AF295" s="14"/>
      <c r="AG295" s="9"/>
      <c r="AH295" s="10"/>
      <c r="AI295" s="10"/>
      <c r="AJ295" s="11"/>
    </row>
    <row r="296" spans="1:36" ht="11.25" hidden="1" customHeight="1" outlineLevel="2" x14ac:dyDescent="0.2">
      <c r="A296" s="57" t="s">
        <v>296</v>
      </c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9">
        <v>54.5</v>
      </c>
      <c r="Q296" s="59"/>
      <c r="R296" s="59"/>
      <c r="S296" s="59"/>
      <c r="T296" s="59"/>
      <c r="U296" s="59"/>
      <c r="V296" s="59"/>
      <c r="W296" s="59">
        <v>54.5</v>
      </c>
      <c r="X296" s="59"/>
      <c r="Y296" s="59"/>
      <c r="Z296" s="59"/>
      <c r="AA296" s="59"/>
      <c r="AB296" s="12"/>
      <c r="AC296" s="13"/>
      <c r="AD296" s="13"/>
      <c r="AE296" s="13"/>
      <c r="AF296" s="14"/>
      <c r="AG296" s="9"/>
      <c r="AH296" s="10"/>
      <c r="AI296" s="10"/>
      <c r="AJ296" s="11"/>
    </row>
    <row r="297" spans="1:36" ht="11.25" hidden="1" customHeight="1" outlineLevel="2" x14ac:dyDescent="0.2">
      <c r="A297" s="57" t="s">
        <v>297</v>
      </c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41">
        <v>23.25</v>
      </c>
      <c r="Q297" s="41"/>
      <c r="R297" s="41"/>
      <c r="S297" s="41"/>
      <c r="T297" s="41"/>
      <c r="U297" s="41"/>
      <c r="V297" s="41"/>
      <c r="W297" s="41">
        <v>23.25</v>
      </c>
      <c r="X297" s="41"/>
      <c r="Y297" s="41"/>
      <c r="Z297" s="41"/>
      <c r="AA297" s="41"/>
      <c r="AB297" s="12"/>
      <c r="AC297" s="13"/>
      <c r="AD297" s="13"/>
      <c r="AE297" s="13"/>
      <c r="AF297" s="14"/>
      <c r="AG297" s="9"/>
      <c r="AH297" s="10"/>
      <c r="AI297" s="10"/>
      <c r="AJ297" s="11"/>
    </row>
    <row r="298" spans="1:36" ht="21.75" hidden="1" customHeight="1" outlineLevel="2" x14ac:dyDescent="0.2">
      <c r="A298" s="57" t="s">
        <v>298</v>
      </c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41">
        <v>15.25</v>
      </c>
      <c r="Q298" s="41"/>
      <c r="R298" s="41"/>
      <c r="S298" s="41"/>
      <c r="T298" s="41"/>
      <c r="U298" s="41"/>
      <c r="V298" s="41"/>
      <c r="W298" s="41">
        <v>15.25</v>
      </c>
      <c r="X298" s="41"/>
      <c r="Y298" s="41"/>
      <c r="Z298" s="41"/>
      <c r="AA298" s="41"/>
      <c r="AB298" s="12"/>
      <c r="AC298" s="13"/>
      <c r="AD298" s="13"/>
      <c r="AE298" s="13"/>
      <c r="AF298" s="14"/>
      <c r="AG298" s="9"/>
      <c r="AH298" s="10"/>
      <c r="AI298" s="10"/>
      <c r="AJ298" s="11"/>
    </row>
    <row r="299" spans="1:36" ht="11.25" hidden="1" customHeight="1" outlineLevel="2" x14ac:dyDescent="0.2">
      <c r="A299" s="57" t="s">
        <v>299</v>
      </c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8">
        <v>16</v>
      </c>
      <c r="Q299" s="58"/>
      <c r="R299" s="58"/>
      <c r="S299" s="58"/>
      <c r="T299" s="58"/>
      <c r="U299" s="58"/>
      <c r="V299" s="58"/>
      <c r="W299" s="58">
        <v>16</v>
      </c>
      <c r="X299" s="58"/>
      <c r="Y299" s="58"/>
      <c r="Z299" s="58"/>
      <c r="AA299" s="58"/>
      <c r="AB299" s="12"/>
      <c r="AC299" s="13"/>
      <c r="AD299" s="13"/>
      <c r="AE299" s="13"/>
      <c r="AF299" s="14"/>
      <c r="AG299" s="9"/>
      <c r="AH299" s="10"/>
      <c r="AI299" s="10"/>
      <c r="AJ299" s="11"/>
    </row>
    <row r="300" spans="1:36" ht="11.25" hidden="1" customHeight="1" outlineLevel="2" x14ac:dyDescent="0.2">
      <c r="A300" s="57" t="s">
        <v>300</v>
      </c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9">
        <v>29.5</v>
      </c>
      <c r="Q300" s="59"/>
      <c r="R300" s="59"/>
      <c r="S300" s="59"/>
      <c r="T300" s="59"/>
      <c r="U300" s="59"/>
      <c r="V300" s="59"/>
      <c r="W300" s="59">
        <v>29.5</v>
      </c>
      <c r="X300" s="59"/>
      <c r="Y300" s="59"/>
      <c r="Z300" s="59"/>
      <c r="AA300" s="59"/>
      <c r="AB300" s="12"/>
      <c r="AC300" s="13"/>
      <c r="AD300" s="13"/>
      <c r="AE300" s="13"/>
      <c r="AF300" s="14"/>
      <c r="AG300" s="9"/>
      <c r="AH300" s="10"/>
      <c r="AI300" s="10"/>
      <c r="AJ300" s="11"/>
    </row>
    <row r="301" spans="1:36" ht="11.25" hidden="1" customHeight="1" outlineLevel="2" x14ac:dyDescent="0.2">
      <c r="A301" s="57" t="s">
        <v>301</v>
      </c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41">
        <v>18.75</v>
      </c>
      <c r="Q301" s="41"/>
      <c r="R301" s="41"/>
      <c r="S301" s="41"/>
      <c r="T301" s="41"/>
      <c r="U301" s="41"/>
      <c r="V301" s="41"/>
      <c r="W301" s="41">
        <v>18.75</v>
      </c>
      <c r="X301" s="41"/>
      <c r="Y301" s="41"/>
      <c r="Z301" s="41"/>
      <c r="AA301" s="41"/>
      <c r="AB301" s="12"/>
      <c r="AC301" s="13"/>
      <c r="AD301" s="13"/>
      <c r="AE301" s="13"/>
      <c r="AF301" s="14"/>
      <c r="AG301" s="9"/>
      <c r="AH301" s="10"/>
      <c r="AI301" s="10"/>
      <c r="AJ301" s="11"/>
    </row>
    <row r="302" spans="1:36" ht="11.25" hidden="1" customHeight="1" outlineLevel="2" x14ac:dyDescent="0.2">
      <c r="A302" s="57" t="s">
        <v>302</v>
      </c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41">
        <v>7.36</v>
      </c>
      <c r="Q302" s="41"/>
      <c r="R302" s="41"/>
      <c r="S302" s="41"/>
      <c r="T302" s="41"/>
      <c r="U302" s="41"/>
      <c r="V302" s="41"/>
      <c r="W302" s="41">
        <v>7.36</v>
      </c>
      <c r="X302" s="41"/>
      <c r="Y302" s="41"/>
      <c r="Z302" s="41"/>
      <c r="AA302" s="41"/>
      <c r="AB302" s="12"/>
      <c r="AC302" s="13"/>
      <c r="AD302" s="13"/>
      <c r="AE302" s="13"/>
      <c r="AF302" s="14"/>
      <c r="AG302" s="9"/>
      <c r="AH302" s="10"/>
      <c r="AI302" s="10"/>
      <c r="AJ302" s="11"/>
    </row>
    <row r="303" spans="1:36" ht="11.25" hidden="1" customHeight="1" outlineLevel="2" x14ac:dyDescent="0.2">
      <c r="A303" s="57" t="s">
        <v>303</v>
      </c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8">
        <v>135</v>
      </c>
      <c r="Q303" s="58"/>
      <c r="R303" s="58"/>
      <c r="S303" s="58"/>
      <c r="T303" s="58"/>
      <c r="U303" s="58"/>
      <c r="V303" s="58"/>
      <c r="W303" s="58">
        <v>137</v>
      </c>
      <c r="X303" s="58"/>
      <c r="Y303" s="58"/>
      <c r="Z303" s="58"/>
      <c r="AA303" s="58"/>
      <c r="AB303" s="58">
        <v>-2</v>
      </c>
      <c r="AC303" s="58"/>
      <c r="AD303" s="58"/>
      <c r="AE303" s="58"/>
      <c r="AF303" s="58"/>
      <c r="AG303" s="9"/>
      <c r="AH303" s="10"/>
      <c r="AI303" s="10"/>
      <c r="AJ303" s="11"/>
    </row>
    <row r="304" spans="1:36" ht="11.25" hidden="1" customHeight="1" outlineLevel="2" x14ac:dyDescent="0.2">
      <c r="A304" s="57" t="s">
        <v>304</v>
      </c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41">
        <v>19.09</v>
      </c>
      <c r="Q304" s="41"/>
      <c r="R304" s="41"/>
      <c r="S304" s="41"/>
      <c r="T304" s="41"/>
      <c r="U304" s="41"/>
      <c r="V304" s="41"/>
      <c r="W304" s="41">
        <v>5.29</v>
      </c>
      <c r="X304" s="41"/>
      <c r="Y304" s="41"/>
      <c r="Z304" s="41"/>
      <c r="AA304" s="41"/>
      <c r="AB304" s="59">
        <v>13.8</v>
      </c>
      <c r="AC304" s="59"/>
      <c r="AD304" s="59"/>
      <c r="AE304" s="59"/>
      <c r="AF304" s="59"/>
      <c r="AG304" s="59">
        <v>13.8</v>
      </c>
      <c r="AH304" s="59"/>
      <c r="AI304" s="59"/>
      <c r="AJ304" s="59"/>
    </row>
    <row r="305" spans="1:36" ht="11.25" hidden="1" customHeight="1" outlineLevel="2" x14ac:dyDescent="0.2">
      <c r="A305" s="57" t="s">
        <v>305</v>
      </c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8">
        <v>6</v>
      </c>
      <c r="Q305" s="58"/>
      <c r="R305" s="58"/>
      <c r="S305" s="58"/>
      <c r="T305" s="58"/>
      <c r="U305" s="58"/>
      <c r="V305" s="58"/>
      <c r="W305" s="58">
        <v>6</v>
      </c>
      <c r="X305" s="58"/>
      <c r="Y305" s="58"/>
      <c r="Z305" s="58"/>
      <c r="AA305" s="58"/>
      <c r="AB305" s="12"/>
      <c r="AC305" s="13"/>
      <c r="AD305" s="13"/>
      <c r="AE305" s="13"/>
      <c r="AF305" s="14"/>
      <c r="AG305" s="9"/>
      <c r="AH305" s="10"/>
      <c r="AI305" s="10"/>
      <c r="AJ305" s="11"/>
    </row>
    <row r="306" spans="1:36" ht="21.75" hidden="1" customHeight="1" outlineLevel="2" x14ac:dyDescent="0.2">
      <c r="A306" s="57" t="s">
        <v>306</v>
      </c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9">
        <v>30.1</v>
      </c>
      <c r="Q306" s="59"/>
      <c r="R306" s="59"/>
      <c r="S306" s="59"/>
      <c r="T306" s="59"/>
      <c r="U306" s="59"/>
      <c r="V306" s="59"/>
      <c r="W306" s="59">
        <v>30.1</v>
      </c>
      <c r="X306" s="59"/>
      <c r="Y306" s="59"/>
      <c r="Z306" s="59"/>
      <c r="AA306" s="59"/>
      <c r="AB306" s="12"/>
      <c r="AC306" s="13"/>
      <c r="AD306" s="13"/>
      <c r="AE306" s="13"/>
      <c r="AF306" s="14"/>
      <c r="AG306" s="9"/>
      <c r="AH306" s="10"/>
      <c r="AI306" s="10"/>
      <c r="AJ306" s="11"/>
    </row>
    <row r="307" spans="1:36" ht="11.25" hidden="1" customHeight="1" outlineLevel="2" x14ac:dyDescent="0.2">
      <c r="A307" s="57" t="s">
        <v>307</v>
      </c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9">
        <v>32.9</v>
      </c>
      <c r="Q307" s="59"/>
      <c r="R307" s="59"/>
      <c r="S307" s="59"/>
      <c r="T307" s="59"/>
      <c r="U307" s="59"/>
      <c r="V307" s="59"/>
      <c r="W307" s="59">
        <v>32.9</v>
      </c>
      <c r="X307" s="59"/>
      <c r="Y307" s="59"/>
      <c r="Z307" s="59"/>
      <c r="AA307" s="59"/>
      <c r="AB307" s="12"/>
      <c r="AC307" s="13"/>
      <c r="AD307" s="13"/>
      <c r="AE307" s="13"/>
      <c r="AF307" s="14"/>
      <c r="AG307" s="9"/>
      <c r="AH307" s="10"/>
      <c r="AI307" s="10"/>
      <c r="AJ307" s="11"/>
    </row>
    <row r="308" spans="1:36" ht="21.75" hidden="1" customHeight="1" outlineLevel="2" x14ac:dyDescent="0.2">
      <c r="A308" s="57" t="s">
        <v>308</v>
      </c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9">
        <v>86.8</v>
      </c>
      <c r="Q308" s="59"/>
      <c r="R308" s="59"/>
      <c r="S308" s="59"/>
      <c r="T308" s="59"/>
      <c r="U308" s="59"/>
      <c r="V308" s="59"/>
      <c r="W308" s="59">
        <v>85.4</v>
      </c>
      <c r="X308" s="59"/>
      <c r="Y308" s="59"/>
      <c r="Z308" s="59"/>
      <c r="AA308" s="59"/>
      <c r="AB308" s="59">
        <v>1.4</v>
      </c>
      <c r="AC308" s="59"/>
      <c r="AD308" s="59"/>
      <c r="AE308" s="59"/>
      <c r="AF308" s="59"/>
      <c r="AG308" s="59">
        <v>1.4</v>
      </c>
      <c r="AH308" s="59"/>
      <c r="AI308" s="59"/>
      <c r="AJ308" s="59"/>
    </row>
    <row r="309" spans="1:36" ht="21.75" hidden="1" customHeight="1" outlineLevel="2" x14ac:dyDescent="0.2">
      <c r="A309" s="57" t="s">
        <v>309</v>
      </c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9">
        <v>5.6</v>
      </c>
      <c r="Q309" s="59"/>
      <c r="R309" s="59"/>
      <c r="S309" s="59"/>
      <c r="T309" s="59"/>
      <c r="U309" s="59"/>
      <c r="V309" s="59"/>
      <c r="W309" s="59">
        <v>5.6</v>
      </c>
      <c r="X309" s="59"/>
      <c r="Y309" s="59"/>
      <c r="Z309" s="59"/>
      <c r="AA309" s="59"/>
      <c r="AB309" s="12"/>
      <c r="AC309" s="13"/>
      <c r="AD309" s="13"/>
      <c r="AE309" s="13"/>
      <c r="AF309" s="14"/>
      <c r="AG309" s="9"/>
      <c r="AH309" s="10"/>
      <c r="AI309" s="10"/>
      <c r="AJ309" s="11"/>
    </row>
    <row r="310" spans="1:36" ht="21.75" hidden="1" customHeight="1" outlineLevel="2" x14ac:dyDescent="0.2">
      <c r="A310" s="57" t="s">
        <v>310</v>
      </c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9">
        <v>26.6</v>
      </c>
      <c r="Q310" s="59"/>
      <c r="R310" s="59"/>
      <c r="S310" s="59"/>
      <c r="T310" s="59"/>
      <c r="U310" s="59"/>
      <c r="V310" s="59"/>
      <c r="W310" s="59">
        <v>26.6</v>
      </c>
      <c r="X310" s="59"/>
      <c r="Y310" s="59"/>
      <c r="Z310" s="59"/>
      <c r="AA310" s="59"/>
      <c r="AB310" s="12"/>
      <c r="AC310" s="13"/>
      <c r="AD310" s="13"/>
      <c r="AE310" s="13"/>
      <c r="AF310" s="14"/>
      <c r="AG310" s="9"/>
      <c r="AH310" s="10"/>
      <c r="AI310" s="10"/>
      <c r="AJ310" s="11"/>
    </row>
    <row r="311" spans="1:36" ht="21.75" hidden="1" customHeight="1" outlineLevel="2" x14ac:dyDescent="0.2">
      <c r="A311" s="57" t="s">
        <v>311</v>
      </c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9">
        <v>16.8</v>
      </c>
      <c r="Q311" s="59"/>
      <c r="R311" s="59"/>
      <c r="S311" s="59"/>
      <c r="T311" s="59"/>
      <c r="U311" s="59"/>
      <c r="V311" s="59"/>
      <c r="W311" s="59">
        <v>16.8</v>
      </c>
      <c r="X311" s="59"/>
      <c r="Y311" s="59"/>
      <c r="Z311" s="59"/>
      <c r="AA311" s="59"/>
      <c r="AB311" s="12"/>
      <c r="AC311" s="13"/>
      <c r="AD311" s="13"/>
      <c r="AE311" s="13"/>
      <c r="AF311" s="14"/>
      <c r="AG311" s="9"/>
      <c r="AH311" s="10"/>
      <c r="AI311" s="10"/>
      <c r="AJ311" s="11"/>
    </row>
    <row r="312" spans="1:36" ht="21.75" hidden="1" customHeight="1" outlineLevel="2" x14ac:dyDescent="0.2">
      <c r="A312" s="57" t="s">
        <v>312</v>
      </c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8">
        <v>155</v>
      </c>
      <c r="Q312" s="58"/>
      <c r="R312" s="58"/>
      <c r="S312" s="58"/>
      <c r="T312" s="58"/>
      <c r="U312" s="58"/>
      <c r="V312" s="58"/>
      <c r="W312" s="58">
        <v>155</v>
      </c>
      <c r="X312" s="58"/>
      <c r="Y312" s="58"/>
      <c r="Z312" s="58"/>
      <c r="AA312" s="58"/>
      <c r="AB312" s="12"/>
      <c r="AC312" s="13"/>
      <c r="AD312" s="13"/>
      <c r="AE312" s="13"/>
      <c r="AF312" s="14"/>
      <c r="AG312" s="9"/>
      <c r="AH312" s="10"/>
      <c r="AI312" s="10"/>
      <c r="AJ312" s="11"/>
    </row>
    <row r="313" spans="1:36" ht="21.75" hidden="1" customHeight="1" outlineLevel="2" x14ac:dyDescent="0.2">
      <c r="A313" s="57" t="s">
        <v>313</v>
      </c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8">
        <v>32</v>
      </c>
      <c r="Q313" s="58"/>
      <c r="R313" s="58"/>
      <c r="S313" s="58"/>
      <c r="T313" s="58"/>
      <c r="U313" s="58"/>
      <c r="V313" s="58"/>
      <c r="W313" s="58">
        <v>32</v>
      </c>
      <c r="X313" s="58"/>
      <c r="Y313" s="58"/>
      <c r="Z313" s="58"/>
      <c r="AA313" s="58"/>
      <c r="AB313" s="12"/>
      <c r="AC313" s="13"/>
      <c r="AD313" s="13"/>
      <c r="AE313" s="13"/>
      <c r="AF313" s="14"/>
      <c r="AG313" s="9"/>
      <c r="AH313" s="10"/>
      <c r="AI313" s="10"/>
      <c r="AJ313" s="11"/>
    </row>
    <row r="314" spans="1:36" ht="21.75" hidden="1" customHeight="1" outlineLevel="2" x14ac:dyDescent="0.2">
      <c r="A314" s="57" t="s">
        <v>314</v>
      </c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9">
        <v>35.700000000000003</v>
      </c>
      <c r="Q314" s="59"/>
      <c r="R314" s="59"/>
      <c r="S314" s="59"/>
      <c r="T314" s="59"/>
      <c r="U314" s="59"/>
      <c r="V314" s="59"/>
      <c r="W314" s="59">
        <v>35.700000000000003</v>
      </c>
      <c r="X314" s="59"/>
      <c r="Y314" s="59"/>
      <c r="Z314" s="59"/>
      <c r="AA314" s="59"/>
      <c r="AB314" s="12"/>
      <c r="AC314" s="13"/>
      <c r="AD314" s="13"/>
      <c r="AE314" s="13"/>
      <c r="AF314" s="14"/>
      <c r="AG314" s="9"/>
      <c r="AH314" s="10"/>
      <c r="AI314" s="10"/>
      <c r="AJ314" s="11"/>
    </row>
    <row r="315" spans="1:36" ht="21.75" hidden="1" customHeight="1" outlineLevel="2" x14ac:dyDescent="0.2">
      <c r="A315" s="57" t="s">
        <v>315</v>
      </c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9">
        <v>35.200000000000003</v>
      </c>
      <c r="Q315" s="59"/>
      <c r="R315" s="59"/>
      <c r="S315" s="59"/>
      <c r="T315" s="59"/>
      <c r="U315" s="59"/>
      <c r="V315" s="59"/>
      <c r="W315" s="59">
        <v>35.200000000000003</v>
      </c>
      <c r="X315" s="59"/>
      <c r="Y315" s="59"/>
      <c r="Z315" s="59"/>
      <c r="AA315" s="59"/>
      <c r="AB315" s="12"/>
      <c r="AC315" s="13"/>
      <c r="AD315" s="13"/>
      <c r="AE315" s="13"/>
      <c r="AF315" s="14"/>
      <c r="AG315" s="9"/>
      <c r="AH315" s="10"/>
      <c r="AI315" s="10"/>
      <c r="AJ315" s="11"/>
    </row>
    <row r="316" spans="1:36" ht="21.75" hidden="1" customHeight="1" outlineLevel="2" x14ac:dyDescent="0.2">
      <c r="A316" s="57" t="s">
        <v>316</v>
      </c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9">
        <v>119.7</v>
      </c>
      <c r="Q316" s="59"/>
      <c r="R316" s="59"/>
      <c r="S316" s="59"/>
      <c r="T316" s="59"/>
      <c r="U316" s="59"/>
      <c r="V316" s="59"/>
      <c r="W316" s="59">
        <v>119.7</v>
      </c>
      <c r="X316" s="59"/>
      <c r="Y316" s="59"/>
      <c r="Z316" s="59"/>
      <c r="AA316" s="59"/>
      <c r="AB316" s="12"/>
      <c r="AC316" s="13"/>
      <c r="AD316" s="13"/>
      <c r="AE316" s="13"/>
      <c r="AF316" s="14"/>
      <c r="AG316" s="9"/>
      <c r="AH316" s="10"/>
      <c r="AI316" s="10"/>
      <c r="AJ316" s="11"/>
    </row>
    <row r="317" spans="1:36" ht="21.75" hidden="1" customHeight="1" outlineLevel="2" x14ac:dyDescent="0.2">
      <c r="A317" s="57" t="s">
        <v>317</v>
      </c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9">
        <v>80.8</v>
      </c>
      <c r="Q317" s="59"/>
      <c r="R317" s="59"/>
      <c r="S317" s="59"/>
      <c r="T317" s="59"/>
      <c r="U317" s="59"/>
      <c r="V317" s="59"/>
      <c r="W317" s="59">
        <v>80.8</v>
      </c>
      <c r="X317" s="59"/>
      <c r="Y317" s="59"/>
      <c r="Z317" s="59"/>
      <c r="AA317" s="59"/>
      <c r="AB317" s="12"/>
      <c r="AC317" s="13"/>
      <c r="AD317" s="13"/>
      <c r="AE317" s="13"/>
      <c r="AF317" s="14"/>
      <c r="AG317" s="9"/>
      <c r="AH317" s="10"/>
      <c r="AI317" s="10"/>
      <c r="AJ317" s="11"/>
    </row>
    <row r="318" spans="1:36" ht="21.75" hidden="1" customHeight="1" outlineLevel="2" x14ac:dyDescent="0.2">
      <c r="A318" s="57" t="s">
        <v>318</v>
      </c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8">
        <v>4</v>
      </c>
      <c r="Q318" s="58"/>
      <c r="R318" s="58"/>
      <c r="S318" s="58"/>
      <c r="T318" s="58"/>
      <c r="U318" s="58"/>
      <c r="V318" s="58"/>
      <c r="W318" s="58">
        <v>4</v>
      </c>
      <c r="X318" s="58"/>
      <c r="Y318" s="58"/>
      <c r="Z318" s="58"/>
      <c r="AA318" s="58"/>
      <c r="AB318" s="12"/>
      <c r="AC318" s="13"/>
      <c r="AD318" s="13"/>
      <c r="AE318" s="13"/>
      <c r="AF318" s="14"/>
      <c r="AG318" s="9"/>
      <c r="AH318" s="10"/>
      <c r="AI318" s="10"/>
      <c r="AJ318" s="11"/>
    </row>
    <row r="319" spans="1:36" ht="21.75" hidden="1" customHeight="1" outlineLevel="2" x14ac:dyDescent="0.2">
      <c r="A319" s="57" t="s">
        <v>319</v>
      </c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8">
        <v>20</v>
      </c>
      <c r="Q319" s="58"/>
      <c r="R319" s="58"/>
      <c r="S319" s="58"/>
      <c r="T319" s="58"/>
      <c r="U319" s="58"/>
      <c r="V319" s="58"/>
      <c r="W319" s="58">
        <v>20</v>
      </c>
      <c r="X319" s="58"/>
      <c r="Y319" s="58"/>
      <c r="Z319" s="58"/>
      <c r="AA319" s="58"/>
      <c r="AB319" s="12"/>
      <c r="AC319" s="13"/>
      <c r="AD319" s="13"/>
      <c r="AE319" s="13"/>
      <c r="AF319" s="14"/>
      <c r="AG319" s="9"/>
      <c r="AH319" s="10"/>
      <c r="AI319" s="10"/>
      <c r="AJ319" s="11"/>
    </row>
    <row r="320" spans="1:36" ht="11.25" hidden="1" customHeight="1" outlineLevel="2" x14ac:dyDescent="0.2">
      <c r="A320" s="57" t="s">
        <v>320</v>
      </c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8">
        <v>238</v>
      </c>
      <c r="Q320" s="58"/>
      <c r="R320" s="58"/>
      <c r="S320" s="58"/>
      <c r="T320" s="58"/>
      <c r="U320" s="58"/>
      <c r="V320" s="58"/>
      <c r="W320" s="58">
        <v>238</v>
      </c>
      <c r="X320" s="58"/>
      <c r="Y320" s="58"/>
      <c r="Z320" s="58"/>
      <c r="AA320" s="58"/>
      <c r="AB320" s="12"/>
      <c r="AC320" s="13"/>
      <c r="AD320" s="13"/>
      <c r="AE320" s="13"/>
      <c r="AF320" s="14"/>
      <c r="AG320" s="9"/>
      <c r="AH320" s="10"/>
      <c r="AI320" s="10"/>
      <c r="AJ320" s="11"/>
    </row>
    <row r="321" spans="1:36" ht="21.75" hidden="1" customHeight="1" outlineLevel="2" x14ac:dyDescent="0.2">
      <c r="A321" s="57" t="s">
        <v>321</v>
      </c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9">
        <v>36.9</v>
      </c>
      <c r="Q321" s="59"/>
      <c r="R321" s="59"/>
      <c r="S321" s="59"/>
      <c r="T321" s="59"/>
      <c r="U321" s="59"/>
      <c r="V321" s="59"/>
      <c r="W321" s="59">
        <v>36.9</v>
      </c>
      <c r="X321" s="59"/>
      <c r="Y321" s="59"/>
      <c r="Z321" s="59"/>
      <c r="AA321" s="59"/>
      <c r="AB321" s="12"/>
      <c r="AC321" s="13"/>
      <c r="AD321" s="13"/>
      <c r="AE321" s="13"/>
      <c r="AF321" s="14"/>
      <c r="AG321" s="9"/>
      <c r="AH321" s="10"/>
      <c r="AI321" s="10"/>
      <c r="AJ321" s="11"/>
    </row>
    <row r="322" spans="1:36" ht="21.75" hidden="1" customHeight="1" outlineLevel="2" x14ac:dyDescent="0.2">
      <c r="A322" s="57" t="s">
        <v>322</v>
      </c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8">
        <v>18</v>
      </c>
      <c r="Q322" s="58"/>
      <c r="R322" s="58"/>
      <c r="S322" s="58"/>
      <c r="T322" s="58"/>
      <c r="U322" s="58"/>
      <c r="V322" s="58"/>
      <c r="W322" s="12"/>
      <c r="X322" s="13"/>
      <c r="Y322" s="13"/>
      <c r="Z322" s="13"/>
      <c r="AA322" s="14"/>
      <c r="AB322" s="58">
        <v>18</v>
      </c>
      <c r="AC322" s="58"/>
      <c r="AD322" s="58"/>
      <c r="AE322" s="58"/>
      <c r="AF322" s="58"/>
      <c r="AG322" s="58">
        <v>18</v>
      </c>
      <c r="AH322" s="58"/>
      <c r="AI322" s="58"/>
      <c r="AJ322" s="58"/>
    </row>
    <row r="323" spans="1:36" ht="11.25" hidden="1" customHeight="1" outlineLevel="2" x14ac:dyDescent="0.2">
      <c r="A323" s="57" t="s">
        <v>323</v>
      </c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8">
        <v>45</v>
      </c>
      <c r="Q323" s="58"/>
      <c r="R323" s="58"/>
      <c r="S323" s="58"/>
      <c r="T323" s="58"/>
      <c r="U323" s="58"/>
      <c r="V323" s="58"/>
      <c r="W323" s="58">
        <v>45</v>
      </c>
      <c r="X323" s="58"/>
      <c r="Y323" s="58"/>
      <c r="Z323" s="58"/>
      <c r="AA323" s="58"/>
      <c r="AB323" s="12"/>
      <c r="AC323" s="13"/>
      <c r="AD323" s="13"/>
      <c r="AE323" s="13"/>
      <c r="AF323" s="14"/>
      <c r="AG323" s="9"/>
      <c r="AH323" s="10"/>
      <c r="AI323" s="10"/>
      <c r="AJ323" s="11"/>
    </row>
    <row r="324" spans="1:36" ht="11.25" hidden="1" customHeight="1" outlineLevel="2" x14ac:dyDescent="0.2">
      <c r="A324" s="57" t="s">
        <v>324</v>
      </c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8">
        <v>158</v>
      </c>
      <c r="Q324" s="58"/>
      <c r="R324" s="58"/>
      <c r="S324" s="58"/>
      <c r="T324" s="58"/>
      <c r="U324" s="58"/>
      <c r="V324" s="58"/>
      <c r="W324" s="58">
        <v>158</v>
      </c>
      <c r="X324" s="58"/>
      <c r="Y324" s="58"/>
      <c r="Z324" s="58"/>
      <c r="AA324" s="58"/>
      <c r="AB324" s="12"/>
      <c r="AC324" s="13"/>
      <c r="AD324" s="13"/>
      <c r="AE324" s="13"/>
      <c r="AF324" s="14"/>
      <c r="AG324" s="9"/>
      <c r="AH324" s="10"/>
      <c r="AI324" s="10"/>
      <c r="AJ324" s="11"/>
    </row>
    <row r="325" spans="1:36" ht="11.25" hidden="1" customHeight="1" outlineLevel="2" x14ac:dyDescent="0.2">
      <c r="A325" s="57" t="s">
        <v>325</v>
      </c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9">
        <v>92.3</v>
      </c>
      <c r="Q325" s="59"/>
      <c r="R325" s="59"/>
      <c r="S325" s="59"/>
      <c r="T325" s="59"/>
      <c r="U325" s="59"/>
      <c r="V325" s="59"/>
      <c r="W325" s="59">
        <v>92.5</v>
      </c>
      <c r="X325" s="59"/>
      <c r="Y325" s="59"/>
      <c r="Z325" s="59"/>
      <c r="AA325" s="59"/>
      <c r="AB325" s="59">
        <v>-0.2</v>
      </c>
      <c r="AC325" s="59"/>
      <c r="AD325" s="59"/>
      <c r="AE325" s="59"/>
      <c r="AF325" s="59"/>
      <c r="AG325" s="9"/>
      <c r="AH325" s="10"/>
      <c r="AI325" s="10"/>
      <c r="AJ325" s="11"/>
    </row>
    <row r="326" spans="1:36" ht="11.25" hidden="1" customHeight="1" outlineLevel="2" x14ac:dyDescent="0.2">
      <c r="A326" s="57" t="s">
        <v>326</v>
      </c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9">
        <v>9.3000000000000007</v>
      </c>
      <c r="Q326" s="59"/>
      <c r="R326" s="59"/>
      <c r="S326" s="59"/>
      <c r="T326" s="59"/>
      <c r="U326" s="59"/>
      <c r="V326" s="59"/>
      <c r="W326" s="59">
        <v>9.3000000000000007</v>
      </c>
      <c r="X326" s="59"/>
      <c r="Y326" s="59"/>
      <c r="Z326" s="59"/>
      <c r="AA326" s="59"/>
      <c r="AB326" s="12"/>
      <c r="AC326" s="13"/>
      <c r="AD326" s="13"/>
      <c r="AE326" s="13"/>
      <c r="AF326" s="14"/>
      <c r="AG326" s="9"/>
      <c r="AH326" s="10"/>
      <c r="AI326" s="10"/>
      <c r="AJ326" s="11"/>
    </row>
    <row r="327" spans="1:36" ht="11.25" hidden="1" customHeight="1" outlineLevel="2" x14ac:dyDescent="0.2">
      <c r="A327" s="57" t="s">
        <v>327</v>
      </c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9">
        <v>19.600000000000001</v>
      </c>
      <c r="Q327" s="59"/>
      <c r="R327" s="59"/>
      <c r="S327" s="59"/>
      <c r="T327" s="59"/>
      <c r="U327" s="59"/>
      <c r="V327" s="59"/>
      <c r="W327" s="59">
        <v>19.600000000000001</v>
      </c>
      <c r="X327" s="59"/>
      <c r="Y327" s="59"/>
      <c r="Z327" s="59"/>
      <c r="AA327" s="59"/>
      <c r="AB327" s="12"/>
      <c r="AC327" s="13"/>
      <c r="AD327" s="13"/>
      <c r="AE327" s="13"/>
      <c r="AF327" s="14"/>
      <c r="AG327" s="9"/>
      <c r="AH327" s="10"/>
      <c r="AI327" s="10"/>
      <c r="AJ327" s="11"/>
    </row>
    <row r="328" spans="1:36" ht="21.75" hidden="1" customHeight="1" outlineLevel="2" x14ac:dyDescent="0.2">
      <c r="A328" s="57" t="s">
        <v>328</v>
      </c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8">
        <v>18</v>
      </c>
      <c r="Q328" s="58"/>
      <c r="R328" s="58"/>
      <c r="S328" s="58"/>
      <c r="T328" s="58"/>
      <c r="U328" s="58"/>
      <c r="V328" s="58"/>
      <c r="W328" s="58">
        <v>18</v>
      </c>
      <c r="X328" s="58"/>
      <c r="Y328" s="58"/>
      <c r="Z328" s="58"/>
      <c r="AA328" s="58"/>
      <c r="AB328" s="12"/>
      <c r="AC328" s="13"/>
      <c r="AD328" s="13"/>
      <c r="AE328" s="13"/>
      <c r="AF328" s="14"/>
      <c r="AG328" s="9"/>
      <c r="AH328" s="10"/>
      <c r="AI328" s="10"/>
      <c r="AJ328" s="11"/>
    </row>
    <row r="329" spans="1:36" ht="11.25" hidden="1" customHeight="1" outlineLevel="2" x14ac:dyDescent="0.2">
      <c r="A329" s="57" t="s">
        <v>329</v>
      </c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9">
        <v>86.8</v>
      </c>
      <c r="Q329" s="59"/>
      <c r="R329" s="59"/>
      <c r="S329" s="59"/>
      <c r="T329" s="59"/>
      <c r="U329" s="59"/>
      <c r="V329" s="59"/>
      <c r="W329" s="59">
        <v>87.7</v>
      </c>
      <c r="X329" s="59"/>
      <c r="Y329" s="59"/>
      <c r="Z329" s="59"/>
      <c r="AA329" s="59"/>
      <c r="AB329" s="59">
        <v>-0.9</v>
      </c>
      <c r="AC329" s="59"/>
      <c r="AD329" s="59"/>
      <c r="AE329" s="59"/>
      <c r="AF329" s="59"/>
      <c r="AG329" s="9"/>
      <c r="AH329" s="10"/>
      <c r="AI329" s="10"/>
      <c r="AJ329" s="11"/>
    </row>
    <row r="330" spans="1:36" ht="21.75" hidden="1" customHeight="1" outlineLevel="2" x14ac:dyDescent="0.2">
      <c r="A330" s="57" t="s">
        <v>330</v>
      </c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9">
        <v>8.1999999999999993</v>
      </c>
      <c r="Q330" s="59"/>
      <c r="R330" s="59"/>
      <c r="S330" s="59"/>
      <c r="T330" s="59"/>
      <c r="U330" s="59"/>
      <c r="V330" s="59"/>
      <c r="W330" s="59">
        <v>8.1999999999999993</v>
      </c>
      <c r="X330" s="59"/>
      <c r="Y330" s="59"/>
      <c r="Z330" s="59"/>
      <c r="AA330" s="59"/>
      <c r="AB330" s="12"/>
      <c r="AC330" s="13"/>
      <c r="AD330" s="13"/>
      <c r="AE330" s="13"/>
      <c r="AF330" s="14"/>
      <c r="AG330" s="9"/>
      <c r="AH330" s="10"/>
      <c r="AI330" s="10"/>
      <c r="AJ330" s="11"/>
    </row>
    <row r="331" spans="1:36" ht="11.25" hidden="1" customHeight="1" outlineLevel="2" x14ac:dyDescent="0.2">
      <c r="A331" s="57" t="s">
        <v>331</v>
      </c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41">
        <v>11.07</v>
      </c>
      <c r="Q331" s="41"/>
      <c r="R331" s="41"/>
      <c r="S331" s="41"/>
      <c r="T331" s="41"/>
      <c r="U331" s="41"/>
      <c r="V331" s="41"/>
      <c r="W331" s="41">
        <v>11.07</v>
      </c>
      <c r="X331" s="41"/>
      <c r="Y331" s="41"/>
      <c r="Z331" s="41"/>
      <c r="AA331" s="41"/>
      <c r="AB331" s="12"/>
      <c r="AC331" s="13"/>
      <c r="AD331" s="13"/>
      <c r="AE331" s="13"/>
      <c r="AF331" s="14"/>
      <c r="AG331" s="9"/>
      <c r="AH331" s="10"/>
      <c r="AI331" s="10"/>
      <c r="AJ331" s="11"/>
    </row>
    <row r="332" spans="1:36" ht="11.25" hidden="1" customHeight="1" outlineLevel="2" x14ac:dyDescent="0.2">
      <c r="A332" s="57" t="s">
        <v>332</v>
      </c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41">
        <v>9.66</v>
      </c>
      <c r="Q332" s="41"/>
      <c r="R332" s="41"/>
      <c r="S332" s="41"/>
      <c r="T332" s="41"/>
      <c r="U332" s="41"/>
      <c r="V332" s="41"/>
      <c r="W332" s="41">
        <v>9.66</v>
      </c>
      <c r="X332" s="41"/>
      <c r="Y332" s="41"/>
      <c r="Z332" s="41"/>
      <c r="AA332" s="41"/>
      <c r="AB332" s="12"/>
      <c r="AC332" s="13"/>
      <c r="AD332" s="13"/>
      <c r="AE332" s="13"/>
      <c r="AF332" s="14"/>
      <c r="AG332" s="9"/>
      <c r="AH332" s="10"/>
      <c r="AI332" s="10"/>
      <c r="AJ332" s="11"/>
    </row>
    <row r="333" spans="1:36" ht="11.25" hidden="1" customHeight="1" outlineLevel="2" x14ac:dyDescent="0.2">
      <c r="A333" s="57" t="s">
        <v>333</v>
      </c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41">
        <v>2.25</v>
      </c>
      <c r="Q333" s="41"/>
      <c r="R333" s="41"/>
      <c r="S333" s="41"/>
      <c r="T333" s="41"/>
      <c r="U333" s="41"/>
      <c r="V333" s="41"/>
      <c r="W333" s="41">
        <v>2.25</v>
      </c>
      <c r="X333" s="41"/>
      <c r="Y333" s="41"/>
      <c r="Z333" s="41"/>
      <c r="AA333" s="41"/>
      <c r="AB333" s="12"/>
      <c r="AC333" s="13"/>
      <c r="AD333" s="13"/>
      <c r="AE333" s="13"/>
      <c r="AF333" s="14"/>
      <c r="AG333" s="9"/>
      <c r="AH333" s="10"/>
      <c r="AI333" s="10"/>
      <c r="AJ333" s="11"/>
    </row>
    <row r="334" spans="1:36" ht="11.25" hidden="1" customHeight="1" outlineLevel="2" x14ac:dyDescent="0.2">
      <c r="A334" s="57" t="s">
        <v>334</v>
      </c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8">
        <v>9</v>
      </c>
      <c r="Q334" s="58"/>
      <c r="R334" s="58"/>
      <c r="S334" s="58"/>
      <c r="T334" s="58"/>
      <c r="U334" s="58"/>
      <c r="V334" s="58"/>
      <c r="W334" s="58">
        <v>9</v>
      </c>
      <c r="X334" s="58"/>
      <c r="Y334" s="58"/>
      <c r="Z334" s="58"/>
      <c r="AA334" s="58"/>
      <c r="AB334" s="12"/>
      <c r="AC334" s="13"/>
      <c r="AD334" s="13"/>
      <c r="AE334" s="13"/>
      <c r="AF334" s="14"/>
      <c r="AG334" s="9"/>
      <c r="AH334" s="10"/>
      <c r="AI334" s="10"/>
      <c r="AJ334" s="11"/>
    </row>
    <row r="335" spans="1:36" ht="11.25" hidden="1" customHeight="1" outlineLevel="2" x14ac:dyDescent="0.2">
      <c r="A335" s="57" t="s">
        <v>335</v>
      </c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41">
        <v>0.36</v>
      </c>
      <c r="Q335" s="41"/>
      <c r="R335" s="41"/>
      <c r="S335" s="41"/>
      <c r="T335" s="41"/>
      <c r="U335" s="41"/>
      <c r="V335" s="41"/>
      <c r="W335" s="41">
        <v>0.36</v>
      </c>
      <c r="X335" s="41"/>
      <c r="Y335" s="41"/>
      <c r="Z335" s="41"/>
      <c r="AA335" s="41"/>
      <c r="AB335" s="12"/>
      <c r="AC335" s="13"/>
      <c r="AD335" s="13"/>
      <c r="AE335" s="13"/>
      <c r="AF335" s="14"/>
      <c r="AG335" s="9"/>
      <c r="AH335" s="10"/>
      <c r="AI335" s="10"/>
      <c r="AJ335" s="11"/>
    </row>
    <row r="336" spans="1:36" ht="11.25" hidden="1" customHeight="1" outlineLevel="2" x14ac:dyDescent="0.2">
      <c r="A336" s="57" t="s">
        <v>336</v>
      </c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9">
        <v>30.3</v>
      </c>
      <c r="Q336" s="59"/>
      <c r="R336" s="59"/>
      <c r="S336" s="59"/>
      <c r="T336" s="59"/>
      <c r="U336" s="59"/>
      <c r="V336" s="59"/>
      <c r="W336" s="59">
        <v>30.3</v>
      </c>
      <c r="X336" s="59"/>
      <c r="Y336" s="59"/>
      <c r="Z336" s="59"/>
      <c r="AA336" s="59"/>
      <c r="AB336" s="12"/>
      <c r="AC336" s="13"/>
      <c r="AD336" s="13"/>
      <c r="AE336" s="13"/>
      <c r="AF336" s="14"/>
      <c r="AG336" s="9"/>
      <c r="AH336" s="10"/>
      <c r="AI336" s="10"/>
      <c r="AJ336" s="11"/>
    </row>
    <row r="337" spans="1:36" ht="11.25" hidden="1" customHeight="1" outlineLevel="2" x14ac:dyDescent="0.2">
      <c r="A337" s="57" t="s">
        <v>337</v>
      </c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9">
        <v>34.799999999999997</v>
      </c>
      <c r="Q337" s="59"/>
      <c r="R337" s="59"/>
      <c r="S337" s="59"/>
      <c r="T337" s="59"/>
      <c r="U337" s="59"/>
      <c r="V337" s="59"/>
      <c r="W337" s="59">
        <v>34.799999999999997</v>
      </c>
      <c r="X337" s="59"/>
      <c r="Y337" s="59"/>
      <c r="Z337" s="59"/>
      <c r="AA337" s="59"/>
      <c r="AB337" s="12"/>
      <c r="AC337" s="13"/>
      <c r="AD337" s="13"/>
      <c r="AE337" s="13"/>
      <c r="AF337" s="14"/>
      <c r="AG337" s="9"/>
      <c r="AH337" s="10"/>
      <c r="AI337" s="10"/>
      <c r="AJ337" s="11"/>
    </row>
    <row r="338" spans="1:36" ht="11.25" hidden="1" customHeight="1" outlineLevel="2" x14ac:dyDescent="0.2">
      <c r="A338" s="57" t="s">
        <v>338</v>
      </c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41">
        <v>38.06</v>
      </c>
      <c r="Q338" s="41"/>
      <c r="R338" s="41"/>
      <c r="S338" s="41"/>
      <c r="T338" s="41"/>
      <c r="U338" s="41"/>
      <c r="V338" s="41"/>
      <c r="W338" s="41">
        <v>38.06</v>
      </c>
      <c r="X338" s="41"/>
      <c r="Y338" s="41"/>
      <c r="Z338" s="41"/>
      <c r="AA338" s="41"/>
      <c r="AB338" s="12"/>
      <c r="AC338" s="13"/>
      <c r="AD338" s="13"/>
      <c r="AE338" s="13"/>
      <c r="AF338" s="14"/>
      <c r="AG338" s="9"/>
      <c r="AH338" s="10"/>
      <c r="AI338" s="10"/>
      <c r="AJ338" s="11"/>
    </row>
    <row r="339" spans="1:36" ht="11.25" hidden="1" customHeight="1" outlineLevel="2" x14ac:dyDescent="0.2">
      <c r="A339" s="57" t="s">
        <v>339</v>
      </c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41">
        <v>27.75</v>
      </c>
      <c r="Q339" s="41"/>
      <c r="R339" s="41"/>
      <c r="S339" s="41"/>
      <c r="T339" s="41"/>
      <c r="U339" s="41"/>
      <c r="V339" s="41"/>
      <c r="W339" s="41">
        <v>27.75</v>
      </c>
      <c r="X339" s="41"/>
      <c r="Y339" s="41"/>
      <c r="Z339" s="41"/>
      <c r="AA339" s="41"/>
      <c r="AB339" s="12"/>
      <c r="AC339" s="13"/>
      <c r="AD339" s="13"/>
      <c r="AE339" s="13"/>
      <c r="AF339" s="14"/>
      <c r="AG339" s="9"/>
      <c r="AH339" s="10"/>
      <c r="AI339" s="10"/>
      <c r="AJ339" s="11"/>
    </row>
    <row r="340" spans="1:36" ht="11.25" hidden="1" customHeight="1" outlineLevel="2" x14ac:dyDescent="0.2">
      <c r="A340" s="57" t="s">
        <v>340</v>
      </c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8">
        <v>129</v>
      </c>
      <c r="Q340" s="58"/>
      <c r="R340" s="58"/>
      <c r="S340" s="58"/>
      <c r="T340" s="58"/>
      <c r="U340" s="58"/>
      <c r="V340" s="58"/>
      <c r="W340" s="58">
        <v>129</v>
      </c>
      <c r="X340" s="58"/>
      <c r="Y340" s="58"/>
      <c r="Z340" s="58"/>
      <c r="AA340" s="58"/>
      <c r="AB340" s="12"/>
      <c r="AC340" s="13"/>
      <c r="AD340" s="13"/>
      <c r="AE340" s="13"/>
      <c r="AF340" s="14"/>
      <c r="AG340" s="9"/>
      <c r="AH340" s="10"/>
      <c r="AI340" s="10"/>
      <c r="AJ340" s="11"/>
    </row>
    <row r="341" spans="1:36" ht="21.75" hidden="1" customHeight="1" outlineLevel="2" x14ac:dyDescent="0.2">
      <c r="A341" s="57" t="s">
        <v>341</v>
      </c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41">
        <v>62.56</v>
      </c>
      <c r="Q341" s="41"/>
      <c r="R341" s="41"/>
      <c r="S341" s="41"/>
      <c r="T341" s="41"/>
      <c r="U341" s="41"/>
      <c r="V341" s="41"/>
      <c r="W341" s="41">
        <v>62.56</v>
      </c>
      <c r="X341" s="41"/>
      <c r="Y341" s="41"/>
      <c r="Z341" s="41"/>
      <c r="AA341" s="41"/>
      <c r="AB341" s="12"/>
      <c r="AC341" s="13"/>
      <c r="AD341" s="13"/>
      <c r="AE341" s="13"/>
      <c r="AF341" s="14"/>
      <c r="AG341" s="9"/>
      <c r="AH341" s="10"/>
      <c r="AI341" s="10"/>
      <c r="AJ341" s="11"/>
    </row>
    <row r="342" spans="1:36" ht="21.75" hidden="1" customHeight="1" outlineLevel="2" x14ac:dyDescent="0.2">
      <c r="A342" s="57" t="s">
        <v>342</v>
      </c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41">
        <v>84.41</v>
      </c>
      <c r="Q342" s="41"/>
      <c r="R342" s="41"/>
      <c r="S342" s="41"/>
      <c r="T342" s="41"/>
      <c r="U342" s="41"/>
      <c r="V342" s="41"/>
      <c r="W342" s="41">
        <v>84.41</v>
      </c>
      <c r="X342" s="41"/>
      <c r="Y342" s="41"/>
      <c r="Z342" s="41"/>
      <c r="AA342" s="41"/>
      <c r="AB342" s="12"/>
      <c r="AC342" s="13"/>
      <c r="AD342" s="13"/>
      <c r="AE342" s="13"/>
      <c r="AF342" s="14"/>
      <c r="AG342" s="9"/>
      <c r="AH342" s="10"/>
      <c r="AI342" s="10"/>
      <c r="AJ342" s="11"/>
    </row>
    <row r="343" spans="1:36" ht="12.75" hidden="1" customHeight="1" x14ac:dyDescent="0.2">
      <c r="A343" s="52" t="s">
        <v>6</v>
      </c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4">
        <v>19617.499</v>
      </c>
      <c r="Q343" s="54"/>
      <c r="R343" s="54"/>
      <c r="S343" s="54"/>
      <c r="T343" s="54"/>
      <c r="U343" s="54"/>
      <c r="V343" s="54"/>
      <c r="W343" s="54">
        <v>19550.260999999999</v>
      </c>
      <c r="X343" s="54"/>
      <c r="Y343" s="54"/>
      <c r="Z343" s="54"/>
      <c r="AA343" s="54"/>
      <c r="AB343" s="55">
        <v>67.238</v>
      </c>
      <c r="AC343" s="55"/>
      <c r="AD343" s="55"/>
      <c r="AE343" s="55"/>
      <c r="AF343" s="55"/>
      <c r="AG343" s="55">
        <v>516.74199999999996</v>
      </c>
      <c r="AH343" s="55"/>
      <c r="AI343" s="55"/>
      <c r="AJ343" s="55"/>
    </row>
    <row r="344" spans="1:36" ht="10.15" hidden="1" customHeight="1" x14ac:dyDescent="0.2"/>
    <row r="345" spans="1:36" ht="21" hidden="1" customHeight="1" x14ac:dyDescent="0.2">
      <c r="A345" s="2" t="s">
        <v>343</v>
      </c>
      <c r="B345" s="2"/>
      <c r="C345" s="2"/>
      <c r="D345" s="2"/>
    </row>
    <row r="346" spans="1:36" ht="12.75" hidden="1" customHeight="1" x14ac:dyDescent="0.2">
      <c r="A346" s="1" t="s">
        <v>344</v>
      </c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spans="1:36" ht="10.15" hidden="1" customHeight="1" x14ac:dyDescent="0.2"/>
    <row r="348" spans="1:36" ht="24.75" hidden="1" customHeight="1" x14ac:dyDescent="0.2">
      <c r="A348" s="45" t="s">
        <v>345</v>
      </c>
      <c r="B348" s="45"/>
      <c r="C348" s="45"/>
      <c r="D348" s="45"/>
      <c r="E348" s="45"/>
      <c r="F348" s="45"/>
      <c r="G348" s="45"/>
      <c r="H348" s="45"/>
      <c r="I348" s="45"/>
      <c r="J348" s="45"/>
      <c r="K348" s="53" t="s">
        <v>7</v>
      </c>
      <c r="L348" s="53"/>
      <c r="M348" s="53"/>
      <c r="N348" s="53" t="s">
        <v>8</v>
      </c>
      <c r="O348" s="53"/>
      <c r="P348" s="53"/>
      <c r="Q348" s="53"/>
      <c r="R348" s="53"/>
      <c r="S348" s="53"/>
      <c r="T348" s="53"/>
      <c r="U348" s="53"/>
      <c r="V348" s="53" t="s">
        <v>9</v>
      </c>
      <c r="W348" s="53"/>
      <c r="X348" s="53"/>
      <c r="Y348" s="53"/>
      <c r="Z348" s="53"/>
      <c r="AA348" s="45" t="s">
        <v>10</v>
      </c>
      <c r="AB348" s="45"/>
      <c r="AC348" s="45"/>
      <c r="AD348" s="45"/>
      <c r="AE348" s="45"/>
    </row>
    <row r="349" spans="1:36" ht="24.75" hidden="1" customHeight="1" x14ac:dyDescent="0.2">
      <c r="A349" s="49"/>
      <c r="B349" s="50"/>
      <c r="C349" s="50"/>
      <c r="D349" s="50"/>
      <c r="E349" s="50"/>
      <c r="F349" s="50"/>
      <c r="G349" s="50"/>
      <c r="H349" s="50"/>
      <c r="I349" s="50"/>
      <c r="J349" s="51"/>
      <c r="K349" s="53" t="s">
        <v>11</v>
      </c>
      <c r="L349" s="53"/>
      <c r="M349" s="53"/>
      <c r="N349" s="53" t="s">
        <v>12</v>
      </c>
      <c r="O349" s="53"/>
      <c r="P349" s="53"/>
      <c r="Q349" s="53"/>
      <c r="R349" s="53"/>
      <c r="S349" s="53"/>
      <c r="T349" s="53"/>
      <c r="U349" s="53"/>
      <c r="V349" s="53" t="s">
        <v>13</v>
      </c>
      <c r="W349" s="53"/>
      <c r="X349" s="53"/>
      <c r="Y349" s="53"/>
      <c r="Z349" s="53"/>
      <c r="AA349" s="49"/>
      <c r="AB349" s="50"/>
      <c r="AC349" s="50"/>
      <c r="AD349" s="50"/>
      <c r="AE349" s="51"/>
    </row>
    <row r="350" spans="1:36" ht="11.25" hidden="1" customHeight="1" x14ac:dyDescent="0.2">
      <c r="A350" s="39" t="s">
        <v>346</v>
      </c>
      <c r="B350" s="39"/>
      <c r="C350" s="39"/>
      <c r="D350" s="39"/>
      <c r="E350" s="39"/>
      <c r="F350" s="39"/>
      <c r="G350" s="39"/>
      <c r="H350" s="39"/>
      <c r="I350" s="39"/>
      <c r="J350" s="39"/>
      <c r="K350" s="41">
        <v>638.32000000000005</v>
      </c>
      <c r="L350" s="41"/>
      <c r="M350" s="41"/>
      <c r="N350" s="43">
        <v>621.26700000000005</v>
      </c>
      <c r="O350" s="43"/>
      <c r="P350" s="43"/>
      <c r="Q350" s="43"/>
      <c r="R350" s="43"/>
      <c r="S350" s="43"/>
      <c r="T350" s="43"/>
      <c r="U350" s="43"/>
      <c r="V350" s="43">
        <v>17.053000000000001</v>
      </c>
      <c r="W350" s="43"/>
      <c r="X350" s="43"/>
      <c r="Y350" s="43"/>
      <c r="Z350" s="43"/>
      <c r="AA350" s="43">
        <v>35.731000000000002</v>
      </c>
      <c r="AB350" s="43"/>
      <c r="AC350" s="43"/>
      <c r="AD350" s="43"/>
      <c r="AE350" s="43"/>
    </row>
    <row r="351" spans="1:36" ht="12.75" hidden="1" customHeight="1" x14ac:dyDescent="0.2">
      <c r="A351" s="52" t="s">
        <v>6</v>
      </c>
      <c r="B351" s="52"/>
      <c r="C351" s="52"/>
      <c r="D351" s="52"/>
      <c r="E351" s="52"/>
      <c r="F351" s="52"/>
      <c r="G351" s="52"/>
      <c r="H351" s="52"/>
      <c r="I351" s="52"/>
      <c r="J351" s="52"/>
      <c r="K351" s="87">
        <v>638.32000000000005</v>
      </c>
      <c r="L351" s="87"/>
      <c r="M351" s="87"/>
      <c r="N351" s="55">
        <v>621.26700000000005</v>
      </c>
      <c r="O351" s="55"/>
      <c r="P351" s="55"/>
      <c r="Q351" s="55"/>
      <c r="R351" s="55"/>
      <c r="S351" s="55"/>
      <c r="T351" s="55"/>
      <c r="U351" s="55"/>
      <c r="V351" s="55">
        <v>17.053000000000001</v>
      </c>
      <c r="W351" s="55"/>
      <c r="X351" s="55"/>
      <c r="Y351" s="55"/>
      <c r="Z351" s="55"/>
      <c r="AA351" s="55">
        <v>35.731000000000002</v>
      </c>
      <c r="AB351" s="55"/>
      <c r="AC351" s="55"/>
      <c r="AD351" s="55"/>
      <c r="AE351" s="55"/>
    </row>
    <row r="352" spans="1:36" ht="10.15" hidden="1" customHeight="1" x14ac:dyDescent="0.2"/>
    <row r="353" spans="1:38" ht="21" hidden="1" customHeight="1" x14ac:dyDescent="0.2">
      <c r="A353" s="2" t="s">
        <v>347</v>
      </c>
      <c r="B353" s="2"/>
      <c r="C353" s="2"/>
      <c r="D353" s="2"/>
      <c r="E353" s="2"/>
      <c r="F353" s="2"/>
      <c r="G353" s="2"/>
    </row>
    <row r="354" spans="1:38" ht="10.15" hidden="1" customHeight="1" x14ac:dyDescent="0.2"/>
    <row r="355" spans="1:38" ht="12.75" hidden="1" customHeight="1" x14ac:dyDescent="0.2">
      <c r="A355" s="53" t="s">
        <v>348</v>
      </c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 t="s">
        <v>7</v>
      </c>
      <c r="U355" s="53"/>
      <c r="V355" s="53"/>
      <c r="W355" s="53"/>
      <c r="X355" s="53"/>
      <c r="Y355" s="53" t="s">
        <v>8</v>
      </c>
      <c r="Z355" s="53"/>
      <c r="AA355" s="53"/>
      <c r="AB355" s="53"/>
      <c r="AC355" s="53"/>
      <c r="AD355" s="53" t="s">
        <v>9</v>
      </c>
      <c r="AE355" s="53"/>
      <c r="AF355" s="53"/>
      <c r="AG355" s="53"/>
      <c r="AH355" s="53"/>
      <c r="AI355" s="53"/>
      <c r="AJ355" s="45" t="s">
        <v>10</v>
      </c>
      <c r="AK355" s="45"/>
      <c r="AL355" s="45"/>
    </row>
    <row r="356" spans="1:38" ht="24.75" hidden="1" customHeight="1" x14ac:dyDescent="0.2">
      <c r="A356" s="4" t="s">
        <v>349</v>
      </c>
      <c r="B356" s="53" t="s">
        <v>345</v>
      </c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 t="s">
        <v>11</v>
      </c>
      <c r="U356" s="53"/>
      <c r="V356" s="53"/>
      <c r="W356" s="53"/>
      <c r="X356" s="53"/>
      <c r="Y356" s="53" t="s">
        <v>12</v>
      </c>
      <c r="Z356" s="53"/>
      <c r="AA356" s="53"/>
      <c r="AB356" s="53"/>
      <c r="AC356" s="53"/>
      <c r="AD356" s="53" t="s">
        <v>13</v>
      </c>
      <c r="AE356" s="53"/>
      <c r="AF356" s="53"/>
      <c r="AG356" s="53"/>
      <c r="AH356" s="53"/>
      <c r="AI356" s="53"/>
      <c r="AJ356" s="49"/>
      <c r="AK356" s="50"/>
      <c r="AL356" s="51"/>
    </row>
    <row r="357" spans="1:38" ht="11.25" hidden="1" customHeight="1" collapsed="1" x14ac:dyDescent="0.2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85">
        <v>35.799999999999997</v>
      </c>
      <c r="U357" s="85"/>
      <c r="V357" s="85"/>
      <c r="W357" s="85"/>
      <c r="X357" s="85"/>
      <c r="Y357" s="15"/>
      <c r="Z357" s="16"/>
      <c r="AA357" s="16"/>
      <c r="AB357" s="16"/>
      <c r="AC357" s="17"/>
      <c r="AD357" s="85">
        <v>35.799999999999997</v>
      </c>
      <c r="AE357" s="85"/>
      <c r="AF357" s="85"/>
      <c r="AG357" s="85"/>
      <c r="AH357" s="85"/>
      <c r="AI357" s="85"/>
      <c r="AJ357" s="85">
        <v>35.799999999999997</v>
      </c>
      <c r="AK357" s="85"/>
      <c r="AL357" s="85"/>
    </row>
    <row r="358" spans="1:38" ht="21.75" hidden="1" customHeight="1" outlineLevel="1" x14ac:dyDescent="0.2">
      <c r="A358" s="21">
        <v>1</v>
      </c>
      <c r="B358" s="88" t="s">
        <v>350</v>
      </c>
      <c r="C358" s="88"/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59">
        <v>24.3</v>
      </c>
      <c r="U358" s="59"/>
      <c r="V358" s="59"/>
      <c r="W358" s="59"/>
      <c r="X358" s="59"/>
      <c r="Y358" s="12"/>
      <c r="Z358" s="13"/>
      <c r="AA358" s="13"/>
      <c r="AB358" s="13"/>
      <c r="AC358" s="14"/>
      <c r="AD358" s="59">
        <v>24.3</v>
      </c>
      <c r="AE358" s="59"/>
      <c r="AF358" s="59"/>
      <c r="AG358" s="59"/>
      <c r="AH358" s="59"/>
      <c r="AI358" s="59"/>
      <c r="AJ358" s="9"/>
      <c r="AK358" s="10"/>
      <c r="AL358" s="11"/>
    </row>
    <row r="359" spans="1:38" ht="11.25" hidden="1" customHeight="1" outlineLevel="1" x14ac:dyDescent="0.2">
      <c r="A359" s="21">
        <v>2</v>
      </c>
      <c r="B359" s="88" t="s">
        <v>351</v>
      </c>
      <c r="C359" s="88"/>
      <c r="D359" s="88"/>
      <c r="E359" s="88"/>
      <c r="F359" s="88"/>
      <c r="G359" s="88"/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59">
        <v>1.9</v>
      </c>
      <c r="U359" s="59"/>
      <c r="V359" s="59"/>
      <c r="W359" s="59"/>
      <c r="X359" s="59"/>
      <c r="Y359" s="12"/>
      <c r="Z359" s="13"/>
      <c r="AA359" s="13"/>
      <c r="AB359" s="13"/>
      <c r="AC359" s="14"/>
      <c r="AD359" s="59">
        <v>1.9</v>
      </c>
      <c r="AE359" s="59"/>
      <c r="AF359" s="59"/>
      <c r="AG359" s="59"/>
      <c r="AH359" s="59"/>
      <c r="AI359" s="59"/>
      <c r="AJ359" s="9"/>
      <c r="AK359" s="10"/>
      <c r="AL359" s="11"/>
    </row>
    <row r="360" spans="1:38" ht="11.25" hidden="1" customHeight="1" outlineLevel="1" x14ac:dyDescent="0.2">
      <c r="A360" s="21">
        <v>3</v>
      </c>
      <c r="B360" s="88" t="s">
        <v>352</v>
      </c>
      <c r="C360" s="88"/>
      <c r="D360" s="88"/>
      <c r="E360" s="88"/>
      <c r="F360" s="88"/>
      <c r="G360" s="88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41">
        <v>1.1100000000000001</v>
      </c>
      <c r="U360" s="41"/>
      <c r="V360" s="41"/>
      <c r="W360" s="41"/>
      <c r="X360" s="41"/>
      <c r="Y360" s="12"/>
      <c r="Z360" s="13"/>
      <c r="AA360" s="13"/>
      <c r="AB360" s="13"/>
      <c r="AC360" s="14"/>
      <c r="AD360" s="41">
        <v>1.1100000000000001</v>
      </c>
      <c r="AE360" s="41"/>
      <c r="AF360" s="41"/>
      <c r="AG360" s="41"/>
      <c r="AH360" s="41"/>
      <c r="AI360" s="41"/>
      <c r="AJ360" s="9"/>
      <c r="AK360" s="10"/>
      <c r="AL360" s="11"/>
    </row>
    <row r="361" spans="1:38" ht="11.25" hidden="1" customHeight="1" outlineLevel="1" x14ac:dyDescent="0.2">
      <c r="A361" s="21">
        <v>4</v>
      </c>
      <c r="B361" s="88" t="s">
        <v>353</v>
      </c>
      <c r="C361" s="88"/>
      <c r="D361" s="88"/>
      <c r="E361" s="88"/>
      <c r="F361" s="88"/>
      <c r="G361" s="88"/>
      <c r="H361" s="88"/>
      <c r="I361" s="88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41">
        <v>1.05</v>
      </c>
      <c r="U361" s="41"/>
      <c r="V361" s="41"/>
      <c r="W361" s="41"/>
      <c r="X361" s="41"/>
      <c r="Y361" s="12"/>
      <c r="Z361" s="13"/>
      <c r="AA361" s="13"/>
      <c r="AB361" s="13"/>
      <c r="AC361" s="14"/>
      <c r="AD361" s="41">
        <v>1.05</v>
      </c>
      <c r="AE361" s="41"/>
      <c r="AF361" s="41"/>
      <c r="AG361" s="41"/>
      <c r="AH361" s="41"/>
      <c r="AI361" s="41"/>
      <c r="AJ361" s="9"/>
      <c r="AK361" s="10"/>
      <c r="AL361" s="11"/>
    </row>
    <row r="362" spans="1:38" ht="11.25" hidden="1" customHeight="1" outlineLevel="1" x14ac:dyDescent="0.2">
      <c r="A362" s="21">
        <v>5</v>
      </c>
      <c r="B362" s="88" t="s">
        <v>354</v>
      </c>
      <c r="C362" s="88"/>
      <c r="D362" s="88"/>
      <c r="E362" s="88"/>
      <c r="F362" s="88"/>
      <c r="G362" s="88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41">
        <v>1.05</v>
      </c>
      <c r="U362" s="41"/>
      <c r="V362" s="41"/>
      <c r="W362" s="41"/>
      <c r="X362" s="41"/>
      <c r="Y362" s="12"/>
      <c r="Z362" s="13"/>
      <c r="AA362" s="13"/>
      <c r="AB362" s="13"/>
      <c r="AC362" s="14"/>
      <c r="AD362" s="41">
        <v>1.05</v>
      </c>
      <c r="AE362" s="41"/>
      <c r="AF362" s="41"/>
      <c r="AG362" s="41"/>
      <c r="AH362" s="41"/>
      <c r="AI362" s="41"/>
      <c r="AJ362" s="9"/>
      <c r="AK362" s="10"/>
      <c r="AL362" s="11"/>
    </row>
    <row r="363" spans="1:38" ht="11.25" hidden="1" customHeight="1" outlineLevel="1" x14ac:dyDescent="0.2">
      <c r="A363" s="21">
        <v>6</v>
      </c>
      <c r="B363" s="88" t="s">
        <v>355</v>
      </c>
      <c r="C363" s="88"/>
      <c r="D363" s="88"/>
      <c r="E363" s="88"/>
      <c r="F363" s="88"/>
      <c r="G363" s="88"/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41">
        <v>1.05</v>
      </c>
      <c r="U363" s="41"/>
      <c r="V363" s="41"/>
      <c r="W363" s="41"/>
      <c r="X363" s="41"/>
      <c r="Y363" s="12"/>
      <c r="Z363" s="13"/>
      <c r="AA363" s="13"/>
      <c r="AB363" s="13"/>
      <c r="AC363" s="14"/>
      <c r="AD363" s="41">
        <v>1.05</v>
      </c>
      <c r="AE363" s="41"/>
      <c r="AF363" s="41"/>
      <c r="AG363" s="41"/>
      <c r="AH363" s="41"/>
      <c r="AI363" s="41"/>
      <c r="AJ363" s="9"/>
      <c r="AK363" s="10"/>
      <c r="AL363" s="11"/>
    </row>
    <row r="364" spans="1:38" ht="11.25" hidden="1" customHeight="1" outlineLevel="1" x14ac:dyDescent="0.2">
      <c r="A364" s="21">
        <v>7</v>
      </c>
      <c r="B364" s="88" t="s">
        <v>356</v>
      </c>
      <c r="C364" s="88"/>
      <c r="D364" s="88"/>
      <c r="E364" s="88"/>
      <c r="F364" s="88"/>
      <c r="G364" s="88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58">
        <v>1</v>
      </c>
      <c r="U364" s="58"/>
      <c r="V364" s="58"/>
      <c r="W364" s="58"/>
      <c r="X364" s="58"/>
      <c r="Y364" s="12"/>
      <c r="Z364" s="13"/>
      <c r="AA364" s="13"/>
      <c r="AB364" s="13"/>
      <c r="AC364" s="14"/>
      <c r="AD364" s="58">
        <v>1</v>
      </c>
      <c r="AE364" s="58"/>
      <c r="AF364" s="58"/>
      <c r="AG364" s="58"/>
      <c r="AH364" s="58"/>
      <c r="AI364" s="58"/>
      <c r="AJ364" s="9"/>
      <c r="AK364" s="10"/>
      <c r="AL364" s="11"/>
    </row>
    <row r="365" spans="1:38" ht="11.25" hidden="1" customHeight="1" outlineLevel="1" x14ac:dyDescent="0.2">
      <c r="A365" s="21">
        <v>8</v>
      </c>
      <c r="B365" s="88" t="s">
        <v>357</v>
      </c>
      <c r="C365" s="88"/>
      <c r="D365" s="88"/>
      <c r="E365" s="88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41">
        <v>0.93</v>
      </c>
      <c r="U365" s="41"/>
      <c r="V365" s="41"/>
      <c r="W365" s="41"/>
      <c r="X365" s="41"/>
      <c r="Y365" s="12"/>
      <c r="Z365" s="13"/>
      <c r="AA365" s="13"/>
      <c r="AB365" s="13"/>
      <c r="AC365" s="14"/>
      <c r="AD365" s="41">
        <v>0.93</v>
      </c>
      <c r="AE365" s="41"/>
      <c r="AF365" s="41"/>
      <c r="AG365" s="41"/>
      <c r="AH365" s="41"/>
      <c r="AI365" s="41"/>
      <c r="AJ365" s="9"/>
      <c r="AK365" s="10"/>
      <c r="AL365" s="11"/>
    </row>
    <row r="366" spans="1:38" ht="11.25" hidden="1" customHeight="1" outlineLevel="1" x14ac:dyDescent="0.2">
      <c r="A366" s="21">
        <v>9</v>
      </c>
      <c r="B366" s="88" t="s">
        <v>358</v>
      </c>
      <c r="C366" s="88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59">
        <v>0.9</v>
      </c>
      <c r="U366" s="59"/>
      <c r="V366" s="59"/>
      <c r="W366" s="59"/>
      <c r="X366" s="59"/>
      <c r="Y366" s="12"/>
      <c r="Z366" s="13"/>
      <c r="AA366" s="13"/>
      <c r="AB366" s="13"/>
      <c r="AC366" s="14"/>
      <c r="AD366" s="59">
        <v>0.9</v>
      </c>
      <c r="AE366" s="59"/>
      <c r="AF366" s="59"/>
      <c r="AG366" s="59"/>
      <c r="AH366" s="59"/>
      <c r="AI366" s="59"/>
      <c r="AJ366" s="9"/>
      <c r="AK366" s="10"/>
      <c r="AL366" s="11"/>
    </row>
    <row r="367" spans="1:38" ht="21.75" hidden="1" customHeight="1" outlineLevel="1" x14ac:dyDescent="0.2">
      <c r="A367" s="21">
        <v>10</v>
      </c>
      <c r="B367" s="88" t="s">
        <v>359</v>
      </c>
      <c r="C367" s="88"/>
      <c r="D367" s="88"/>
      <c r="E367" s="88"/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59">
        <v>0.9</v>
      </c>
      <c r="U367" s="59"/>
      <c r="V367" s="59"/>
      <c r="W367" s="59"/>
      <c r="X367" s="59"/>
      <c r="Y367" s="12"/>
      <c r="Z367" s="13"/>
      <c r="AA367" s="13"/>
      <c r="AB367" s="13"/>
      <c r="AC367" s="14"/>
      <c r="AD367" s="59">
        <v>0.9</v>
      </c>
      <c r="AE367" s="59"/>
      <c r="AF367" s="59"/>
      <c r="AG367" s="59"/>
      <c r="AH367" s="59"/>
      <c r="AI367" s="59"/>
      <c r="AJ367" s="9"/>
      <c r="AK367" s="10"/>
      <c r="AL367" s="11"/>
    </row>
    <row r="368" spans="1:38" ht="11.25" hidden="1" customHeight="1" outlineLevel="1" x14ac:dyDescent="0.2">
      <c r="A368" s="21">
        <v>11</v>
      </c>
      <c r="B368" s="88" t="s">
        <v>360</v>
      </c>
      <c r="C368" s="88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41">
        <v>0.87</v>
      </c>
      <c r="U368" s="41"/>
      <c r="V368" s="41"/>
      <c r="W368" s="41"/>
      <c r="X368" s="41"/>
      <c r="Y368" s="12"/>
      <c r="Z368" s="13"/>
      <c r="AA368" s="13"/>
      <c r="AB368" s="13"/>
      <c r="AC368" s="14"/>
      <c r="AD368" s="41">
        <v>0.87</v>
      </c>
      <c r="AE368" s="41"/>
      <c r="AF368" s="41"/>
      <c r="AG368" s="41"/>
      <c r="AH368" s="41"/>
      <c r="AI368" s="41"/>
      <c r="AJ368" s="9"/>
      <c r="AK368" s="10"/>
      <c r="AL368" s="11"/>
    </row>
    <row r="369" spans="1:38" ht="11.25" hidden="1" customHeight="1" outlineLevel="1" x14ac:dyDescent="0.2">
      <c r="A369" s="21">
        <v>12</v>
      </c>
      <c r="B369" s="88" t="s">
        <v>361</v>
      </c>
      <c r="C369" s="88"/>
      <c r="D369" s="88"/>
      <c r="E369" s="88"/>
      <c r="F369" s="88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41">
        <v>0.74</v>
      </c>
      <c r="U369" s="41"/>
      <c r="V369" s="41"/>
      <c r="W369" s="41"/>
      <c r="X369" s="41"/>
      <c r="Y369" s="12"/>
      <c r="Z369" s="13"/>
      <c r="AA369" s="13"/>
      <c r="AB369" s="13"/>
      <c r="AC369" s="14"/>
      <c r="AD369" s="41">
        <v>0.74</v>
      </c>
      <c r="AE369" s="41"/>
      <c r="AF369" s="41"/>
      <c r="AG369" s="41"/>
      <c r="AH369" s="41"/>
      <c r="AI369" s="41"/>
      <c r="AJ369" s="9"/>
      <c r="AK369" s="10"/>
      <c r="AL369" s="11"/>
    </row>
    <row r="370" spans="1:38" ht="11.25" hidden="1" customHeight="1" collapsed="1" x14ac:dyDescent="0.2">
      <c r="A370" s="60" t="s">
        <v>362</v>
      </c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4">
        <v>2821.32</v>
      </c>
      <c r="U370" s="64"/>
      <c r="V370" s="64"/>
      <c r="W370" s="64"/>
      <c r="X370" s="64"/>
      <c r="Y370" s="64">
        <v>2842.85</v>
      </c>
      <c r="Z370" s="64"/>
      <c r="AA370" s="64"/>
      <c r="AB370" s="64"/>
      <c r="AC370" s="64"/>
      <c r="AD370" s="65">
        <v>-21.53</v>
      </c>
      <c r="AE370" s="65"/>
      <c r="AF370" s="65"/>
      <c r="AG370" s="65"/>
      <c r="AH370" s="65"/>
      <c r="AI370" s="65"/>
      <c r="AJ370" s="62">
        <v>37.776000000000003</v>
      </c>
      <c r="AK370" s="62"/>
      <c r="AL370" s="62"/>
    </row>
    <row r="371" spans="1:38" ht="11.25" hidden="1" customHeight="1" outlineLevel="1" x14ac:dyDescent="0.2">
      <c r="A371" s="21">
        <v>1</v>
      </c>
      <c r="B371" s="88" t="s">
        <v>346</v>
      </c>
      <c r="C371" s="88"/>
      <c r="D371" s="88"/>
      <c r="E371" s="88"/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41">
        <v>638.32000000000005</v>
      </c>
      <c r="U371" s="41"/>
      <c r="V371" s="41"/>
      <c r="W371" s="41"/>
      <c r="X371" s="41"/>
      <c r="Y371" s="43">
        <v>621.26700000000005</v>
      </c>
      <c r="Z371" s="43"/>
      <c r="AA371" s="43"/>
      <c r="AB371" s="43"/>
      <c r="AC371" s="43"/>
      <c r="AD371" s="43">
        <v>17.053000000000001</v>
      </c>
      <c r="AE371" s="43"/>
      <c r="AF371" s="43"/>
      <c r="AG371" s="43"/>
      <c r="AH371" s="43"/>
      <c r="AI371" s="43"/>
      <c r="AJ371" s="9"/>
      <c r="AK371" s="10"/>
      <c r="AL371" s="11"/>
    </row>
    <row r="372" spans="1:38" ht="11.25" hidden="1" customHeight="1" outlineLevel="1" x14ac:dyDescent="0.2">
      <c r="A372" s="21">
        <v>2</v>
      </c>
      <c r="B372" s="88" t="s">
        <v>363</v>
      </c>
      <c r="C372" s="88"/>
      <c r="D372" s="88"/>
      <c r="E372" s="88"/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58">
        <v>755</v>
      </c>
      <c r="U372" s="58"/>
      <c r="V372" s="58"/>
      <c r="W372" s="58"/>
      <c r="X372" s="58"/>
      <c r="Y372" s="43">
        <v>770.43200000000002</v>
      </c>
      <c r="Z372" s="43"/>
      <c r="AA372" s="43"/>
      <c r="AB372" s="43"/>
      <c r="AC372" s="43"/>
      <c r="AD372" s="43">
        <v>-15.432</v>
      </c>
      <c r="AE372" s="43"/>
      <c r="AF372" s="43"/>
      <c r="AG372" s="43"/>
      <c r="AH372" s="43"/>
      <c r="AI372" s="43"/>
      <c r="AJ372" s="9"/>
      <c r="AK372" s="10"/>
      <c r="AL372" s="11"/>
    </row>
    <row r="373" spans="1:38" ht="11.25" hidden="1" customHeight="1" outlineLevel="1" x14ac:dyDescent="0.2">
      <c r="A373" s="21">
        <v>3</v>
      </c>
      <c r="B373" s="88" t="s">
        <v>364</v>
      </c>
      <c r="C373" s="88"/>
      <c r="D373" s="88"/>
      <c r="E373" s="88"/>
      <c r="F373" s="88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9">
        <v>1428</v>
      </c>
      <c r="U373" s="89"/>
      <c r="V373" s="89"/>
      <c r="W373" s="89"/>
      <c r="X373" s="89"/>
      <c r="Y373" s="56">
        <v>1451.1510000000001</v>
      </c>
      <c r="Z373" s="56"/>
      <c r="AA373" s="56"/>
      <c r="AB373" s="56"/>
      <c r="AC373" s="56"/>
      <c r="AD373" s="43">
        <v>-23.151</v>
      </c>
      <c r="AE373" s="43"/>
      <c r="AF373" s="43"/>
      <c r="AG373" s="43"/>
      <c r="AH373" s="43"/>
      <c r="AI373" s="43"/>
      <c r="AJ373" s="9"/>
      <c r="AK373" s="10"/>
      <c r="AL373" s="11"/>
    </row>
    <row r="374" spans="1:38" ht="11.25" hidden="1" customHeight="1" collapsed="1" x14ac:dyDescent="0.2">
      <c r="A374" s="60" t="s">
        <v>365</v>
      </c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4">
        <v>1046.8599999999999</v>
      </c>
      <c r="U374" s="64"/>
      <c r="V374" s="64"/>
      <c r="W374" s="64"/>
      <c r="X374" s="64"/>
      <c r="Y374" s="61">
        <v>1032.7159999999999</v>
      </c>
      <c r="Z374" s="61"/>
      <c r="AA374" s="61"/>
      <c r="AB374" s="61"/>
      <c r="AC374" s="61"/>
      <c r="AD374" s="62">
        <v>14.144</v>
      </c>
      <c r="AE374" s="62"/>
      <c r="AF374" s="62"/>
      <c r="AG374" s="62"/>
      <c r="AH374" s="62"/>
      <c r="AI374" s="62"/>
      <c r="AJ374" s="62">
        <v>40.009</v>
      </c>
      <c r="AK374" s="62"/>
      <c r="AL374" s="62"/>
    </row>
    <row r="375" spans="1:38" ht="11.25" hidden="1" customHeight="1" outlineLevel="1" x14ac:dyDescent="0.2">
      <c r="A375" s="21">
        <v>1</v>
      </c>
      <c r="B375" s="88" t="s">
        <v>366</v>
      </c>
      <c r="C375" s="88"/>
      <c r="D375" s="88"/>
      <c r="E375" s="88"/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41">
        <v>419.56</v>
      </c>
      <c r="U375" s="41"/>
      <c r="V375" s="41"/>
      <c r="W375" s="41"/>
      <c r="X375" s="41"/>
      <c r="Y375" s="43">
        <v>392.89299999999997</v>
      </c>
      <c r="Z375" s="43"/>
      <c r="AA375" s="43"/>
      <c r="AB375" s="43"/>
      <c r="AC375" s="43"/>
      <c r="AD375" s="43">
        <v>26.667000000000002</v>
      </c>
      <c r="AE375" s="43"/>
      <c r="AF375" s="43"/>
      <c r="AG375" s="43"/>
      <c r="AH375" s="43"/>
      <c r="AI375" s="43"/>
      <c r="AJ375" s="9"/>
      <c r="AK375" s="10"/>
      <c r="AL375" s="11"/>
    </row>
    <row r="376" spans="1:38" ht="21.75" hidden="1" customHeight="1" outlineLevel="1" x14ac:dyDescent="0.2">
      <c r="A376" s="21">
        <v>2</v>
      </c>
      <c r="B376" s="88" t="s">
        <v>367</v>
      </c>
      <c r="C376" s="88"/>
      <c r="D376" s="88"/>
      <c r="E376" s="88"/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59">
        <v>65.7</v>
      </c>
      <c r="U376" s="59"/>
      <c r="V376" s="59"/>
      <c r="W376" s="59"/>
      <c r="X376" s="59"/>
      <c r="Y376" s="43">
        <v>65.867999999999995</v>
      </c>
      <c r="Z376" s="43"/>
      <c r="AA376" s="43"/>
      <c r="AB376" s="43"/>
      <c r="AC376" s="43"/>
      <c r="AD376" s="43">
        <v>-0.16800000000000001</v>
      </c>
      <c r="AE376" s="43"/>
      <c r="AF376" s="43"/>
      <c r="AG376" s="43"/>
      <c r="AH376" s="43"/>
      <c r="AI376" s="43"/>
      <c r="AJ376" s="9"/>
      <c r="AK376" s="10"/>
      <c r="AL376" s="11"/>
    </row>
    <row r="377" spans="1:38" ht="11.25" hidden="1" customHeight="1" outlineLevel="1" x14ac:dyDescent="0.2">
      <c r="A377" s="21">
        <v>3</v>
      </c>
      <c r="B377" s="88" t="s">
        <v>368</v>
      </c>
      <c r="C377" s="88"/>
      <c r="D377" s="88"/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59">
        <v>64.599999999999994</v>
      </c>
      <c r="U377" s="59"/>
      <c r="V377" s="59"/>
      <c r="W377" s="59"/>
      <c r="X377" s="59"/>
      <c r="Y377" s="43">
        <v>63.365000000000002</v>
      </c>
      <c r="Z377" s="43"/>
      <c r="AA377" s="43"/>
      <c r="AB377" s="43"/>
      <c r="AC377" s="43"/>
      <c r="AD377" s="43">
        <v>1.2350000000000001</v>
      </c>
      <c r="AE377" s="43"/>
      <c r="AF377" s="43"/>
      <c r="AG377" s="43"/>
      <c r="AH377" s="43"/>
      <c r="AI377" s="43"/>
      <c r="AJ377" s="9"/>
      <c r="AK377" s="10"/>
      <c r="AL377" s="11"/>
    </row>
    <row r="378" spans="1:38" ht="21.75" hidden="1" customHeight="1" outlineLevel="1" x14ac:dyDescent="0.2">
      <c r="A378" s="21">
        <v>4</v>
      </c>
      <c r="B378" s="88" t="s">
        <v>369</v>
      </c>
      <c r="C378" s="88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41">
        <v>49.35</v>
      </c>
      <c r="U378" s="41"/>
      <c r="V378" s="41"/>
      <c r="W378" s="41"/>
      <c r="X378" s="41"/>
      <c r="Y378" s="41">
        <v>48.59</v>
      </c>
      <c r="Z378" s="41"/>
      <c r="AA378" s="41"/>
      <c r="AB378" s="41"/>
      <c r="AC378" s="41"/>
      <c r="AD378" s="41">
        <v>0.76</v>
      </c>
      <c r="AE378" s="41"/>
      <c r="AF378" s="41"/>
      <c r="AG378" s="41"/>
      <c r="AH378" s="41"/>
      <c r="AI378" s="41"/>
      <c r="AJ378" s="9"/>
      <c r="AK378" s="10"/>
      <c r="AL378" s="11"/>
    </row>
    <row r="379" spans="1:38" ht="21.75" hidden="1" customHeight="1" outlineLevel="1" x14ac:dyDescent="0.2">
      <c r="A379" s="21">
        <v>5</v>
      </c>
      <c r="B379" s="88" t="s">
        <v>370</v>
      </c>
      <c r="C379" s="88"/>
      <c r="D379" s="88"/>
      <c r="E379" s="88"/>
      <c r="F379" s="88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41">
        <v>75.239999999999995</v>
      </c>
      <c r="U379" s="41"/>
      <c r="V379" s="41"/>
      <c r="W379" s="41"/>
      <c r="X379" s="41"/>
      <c r="Y379" s="43">
        <v>81.414000000000001</v>
      </c>
      <c r="Z379" s="43"/>
      <c r="AA379" s="43"/>
      <c r="AB379" s="43"/>
      <c r="AC379" s="43"/>
      <c r="AD379" s="43">
        <v>-6.1740000000000004</v>
      </c>
      <c r="AE379" s="43"/>
      <c r="AF379" s="43"/>
      <c r="AG379" s="43"/>
      <c r="AH379" s="43"/>
      <c r="AI379" s="43"/>
      <c r="AJ379" s="9"/>
      <c r="AK379" s="10"/>
      <c r="AL379" s="11"/>
    </row>
    <row r="380" spans="1:38" ht="11.25" hidden="1" customHeight="1" outlineLevel="1" x14ac:dyDescent="0.2">
      <c r="A380" s="21">
        <v>6</v>
      </c>
      <c r="B380" s="88" t="s">
        <v>371</v>
      </c>
      <c r="C380" s="88"/>
      <c r="D380" s="88"/>
      <c r="E380" s="88"/>
      <c r="F380" s="88"/>
      <c r="G380" s="88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59">
        <v>30.5</v>
      </c>
      <c r="U380" s="59"/>
      <c r="V380" s="59"/>
      <c r="W380" s="59"/>
      <c r="X380" s="59"/>
      <c r="Y380" s="43">
        <v>30.292000000000002</v>
      </c>
      <c r="Z380" s="43"/>
      <c r="AA380" s="43"/>
      <c r="AB380" s="43"/>
      <c r="AC380" s="43"/>
      <c r="AD380" s="43">
        <v>0.20799999999999999</v>
      </c>
      <c r="AE380" s="43"/>
      <c r="AF380" s="43"/>
      <c r="AG380" s="43"/>
      <c r="AH380" s="43"/>
      <c r="AI380" s="43"/>
      <c r="AJ380" s="9"/>
      <c r="AK380" s="10"/>
      <c r="AL380" s="11"/>
    </row>
    <row r="381" spans="1:38" ht="21.75" hidden="1" customHeight="1" outlineLevel="1" x14ac:dyDescent="0.2">
      <c r="A381" s="21">
        <v>7</v>
      </c>
      <c r="B381" s="88" t="s">
        <v>372</v>
      </c>
      <c r="C381" s="88"/>
      <c r="D381" s="88"/>
      <c r="E381" s="88"/>
      <c r="F381" s="88"/>
      <c r="G381" s="88"/>
      <c r="H381" s="88"/>
      <c r="I381" s="88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41">
        <v>13.45</v>
      </c>
      <c r="U381" s="41"/>
      <c r="V381" s="41"/>
      <c r="W381" s="41"/>
      <c r="X381" s="41"/>
      <c r="Y381" s="43">
        <v>13.606999999999999</v>
      </c>
      <c r="Z381" s="43"/>
      <c r="AA381" s="43"/>
      <c r="AB381" s="43"/>
      <c r="AC381" s="43"/>
      <c r="AD381" s="43">
        <v>-0.157</v>
      </c>
      <c r="AE381" s="43"/>
      <c r="AF381" s="43"/>
      <c r="AG381" s="43"/>
      <c r="AH381" s="43"/>
      <c r="AI381" s="43"/>
      <c r="AJ381" s="9"/>
      <c r="AK381" s="10"/>
      <c r="AL381" s="11"/>
    </row>
    <row r="382" spans="1:38" ht="11.25" hidden="1" customHeight="1" outlineLevel="1" x14ac:dyDescent="0.2">
      <c r="A382" s="21">
        <v>8</v>
      </c>
      <c r="B382" s="88" t="s">
        <v>373</v>
      </c>
      <c r="C382" s="88"/>
      <c r="D382" s="88"/>
      <c r="E382" s="88"/>
      <c r="F382" s="88"/>
      <c r="G382" s="88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59">
        <v>37.1</v>
      </c>
      <c r="U382" s="59"/>
      <c r="V382" s="59"/>
      <c r="W382" s="59"/>
      <c r="X382" s="59"/>
      <c r="Y382" s="43">
        <v>39.084000000000003</v>
      </c>
      <c r="Z382" s="43"/>
      <c r="AA382" s="43"/>
      <c r="AB382" s="43"/>
      <c r="AC382" s="43"/>
      <c r="AD382" s="43">
        <v>-1.984</v>
      </c>
      <c r="AE382" s="43"/>
      <c r="AF382" s="43"/>
      <c r="AG382" s="43"/>
      <c r="AH382" s="43"/>
      <c r="AI382" s="43"/>
      <c r="AJ382" s="9"/>
      <c r="AK382" s="10"/>
      <c r="AL382" s="11"/>
    </row>
    <row r="383" spans="1:38" ht="11.25" hidden="1" customHeight="1" outlineLevel="1" x14ac:dyDescent="0.2">
      <c r="A383" s="21">
        <v>9</v>
      </c>
      <c r="B383" s="88" t="s">
        <v>374</v>
      </c>
      <c r="C383" s="88"/>
      <c r="D383" s="88"/>
      <c r="E383" s="88"/>
      <c r="F383" s="88"/>
      <c r="G383" s="88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41">
        <v>13.62</v>
      </c>
      <c r="U383" s="41"/>
      <c r="V383" s="41"/>
      <c r="W383" s="41"/>
      <c r="X383" s="41"/>
      <c r="Y383" s="41">
        <v>13.46</v>
      </c>
      <c r="Z383" s="41"/>
      <c r="AA383" s="41"/>
      <c r="AB383" s="41"/>
      <c r="AC383" s="41"/>
      <c r="AD383" s="41">
        <v>0.16</v>
      </c>
      <c r="AE383" s="41"/>
      <c r="AF383" s="41"/>
      <c r="AG383" s="41"/>
      <c r="AH383" s="41"/>
      <c r="AI383" s="41"/>
      <c r="AJ383" s="9"/>
      <c r="AK383" s="10"/>
      <c r="AL383" s="11"/>
    </row>
    <row r="384" spans="1:38" ht="21.75" hidden="1" customHeight="1" outlineLevel="1" x14ac:dyDescent="0.2">
      <c r="A384" s="21">
        <v>10</v>
      </c>
      <c r="B384" s="88" t="s">
        <v>375</v>
      </c>
      <c r="C384" s="88"/>
      <c r="D384" s="88"/>
      <c r="E384" s="88"/>
      <c r="F384" s="88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41">
        <v>31.28</v>
      </c>
      <c r="U384" s="41"/>
      <c r="V384" s="41"/>
      <c r="W384" s="41"/>
      <c r="X384" s="41"/>
      <c r="Y384" s="43">
        <v>31.616</v>
      </c>
      <c r="Z384" s="43"/>
      <c r="AA384" s="43"/>
      <c r="AB384" s="43"/>
      <c r="AC384" s="43"/>
      <c r="AD384" s="43">
        <v>-0.33600000000000002</v>
      </c>
      <c r="AE384" s="43"/>
      <c r="AF384" s="43"/>
      <c r="AG384" s="43"/>
      <c r="AH384" s="43"/>
      <c r="AI384" s="43"/>
      <c r="AJ384" s="9"/>
      <c r="AK384" s="10"/>
      <c r="AL384" s="11"/>
    </row>
    <row r="385" spans="1:38" ht="11.25" hidden="1" customHeight="1" outlineLevel="1" x14ac:dyDescent="0.2">
      <c r="A385" s="21">
        <v>11</v>
      </c>
      <c r="B385" s="88" t="s">
        <v>376</v>
      </c>
      <c r="C385" s="88"/>
      <c r="D385" s="88"/>
      <c r="E385" s="88"/>
      <c r="F385" s="88"/>
      <c r="G385" s="88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41">
        <v>34.76</v>
      </c>
      <c r="U385" s="41"/>
      <c r="V385" s="41"/>
      <c r="W385" s="41"/>
      <c r="X385" s="41"/>
      <c r="Y385" s="43">
        <v>35.052999999999997</v>
      </c>
      <c r="Z385" s="43"/>
      <c r="AA385" s="43"/>
      <c r="AB385" s="43"/>
      <c r="AC385" s="43"/>
      <c r="AD385" s="43">
        <v>-0.29299999999999998</v>
      </c>
      <c r="AE385" s="43"/>
      <c r="AF385" s="43"/>
      <c r="AG385" s="43"/>
      <c r="AH385" s="43"/>
      <c r="AI385" s="43"/>
      <c r="AJ385" s="9"/>
      <c r="AK385" s="10"/>
      <c r="AL385" s="11"/>
    </row>
    <row r="386" spans="1:38" ht="11.25" hidden="1" customHeight="1" outlineLevel="1" x14ac:dyDescent="0.2">
      <c r="A386" s="21">
        <v>12</v>
      </c>
      <c r="B386" s="88" t="s">
        <v>377</v>
      </c>
      <c r="C386" s="88"/>
      <c r="D386" s="88"/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59">
        <v>35.4</v>
      </c>
      <c r="U386" s="59"/>
      <c r="V386" s="59"/>
      <c r="W386" s="59"/>
      <c r="X386" s="59"/>
      <c r="Y386" s="41">
        <v>37.369999999999997</v>
      </c>
      <c r="Z386" s="41"/>
      <c r="AA386" s="41"/>
      <c r="AB386" s="41"/>
      <c r="AC386" s="41"/>
      <c r="AD386" s="41">
        <v>-1.97</v>
      </c>
      <c r="AE386" s="41"/>
      <c r="AF386" s="41"/>
      <c r="AG386" s="41"/>
      <c r="AH386" s="41"/>
      <c r="AI386" s="41"/>
      <c r="AJ386" s="9"/>
      <c r="AK386" s="10"/>
      <c r="AL386" s="11"/>
    </row>
    <row r="387" spans="1:38" ht="11.25" hidden="1" customHeight="1" outlineLevel="1" x14ac:dyDescent="0.2">
      <c r="A387" s="21">
        <v>13</v>
      </c>
      <c r="B387" s="88" t="s">
        <v>378</v>
      </c>
      <c r="C387" s="88"/>
      <c r="D387" s="88"/>
      <c r="E387" s="88"/>
      <c r="F387" s="88"/>
      <c r="G387" s="88"/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41">
        <v>11.48</v>
      </c>
      <c r="U387" s="41"/>
      <c r="V387" s="41"/>
      <c r="W387" s="41"/>
      <c r="X387" s="41"/>
      <c r="Y387" s="43">
        <v>11.654</v>
      </c>
      <c r="Z387" s="43"/>
      <c r="AA387" s="43"/>
      <c r="AB387" s="43"/>
      <c r="AC387" s="43"/>
      <c r="AD387" s="43">
        <v>-0.17399999999999999</v>
      </c>
      <c r="AE387" s="43"/>
      <c r="AF387" s="43"/>
      <c r="AG387" s="43"/>
      <c r="AH387" s="43"/>
      <c r="AI387" s="43"/>
      <c r="AJ387" s="9"/>
      <c r="AK387" s="10"/>
      <c r="AL387" s="11"/>
    </row>
    <row r="388" spans="1:38" ht="21.75" hidden="1" customHeight="1" outlineLevel="1" x14ac:dyDescent="0.2">
      <c r="A388" s="21">
        <v>14</v>
      </c>
      <c r="B388" s="88" t="s">
        <v>379</v>
      </c>
      <c r="C388" s="88"/>
      <c r="D388" s="88"/>
      <c r="E388" s="88"/>
      <c r="F388" s="88"/>
      <c r="G388" s="88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59">
        <v>12.4</v>
      </c>
      <c r="U388" s="59"/>
      <c r="V388" s="59"/>
      <c r="W388" s="59"/>
      <c r="X388" s="59"/>
      <c r="Y388" s="43">
        <v>12.510999999999999</v>
      </c>
      <c r="Z388" s="43"/>
      <c r="AA388" s="43"/>
      <c r="AB388" s="43"/>
      <c r="AC388" s="43"/>
      <c r="AD388" s="43">
        <v>-0.111</v>
      </c>
      <c r="AE388" s="43"/>
      <c r="AF388" s="43"/>
      <c r="AG388" s="43"/>
      <c r="AH388" s="43"/>
      <c r="AI388" s="43"/>
      <c r="AJ388" s="9"/>
      <c r="AK388" s="10"/>
      <c r="AL388" s="11"/>
    </row>
    <row r="389" spans="1:38" ht="21.75" hidden="1" customHeight="1" outlineLevel="1" x14ac:dyDescent="0.2">
      <c r="A389" s="21">
        <v>15</v>
      </c>
      <c r="B389" s="88" t="s">
        <v>380</v>
      </c>
      <c r="C389" s="88"/>
      <c r="D389" s="88"/>
      <c r="E389" s="88"/>
      <c r="F389" s="88"/>
      <c r="G389" s="88"/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59">
        <v>16.3</v>
      </c>
      <c r="U389" s="59"/>
      <c r="V389" s="59"/>
      <c r="W389" s="59"/>
      <c r="X389" s="59"/>
      <c r="Y389" s="43">
        <v>16.289000000000001</v>
      </c>
      <c r="Z389" s="43"/>
      <c r="AA389" s="43"/>
      <c r="AB389" s="43"/>
      <c r="AC389" s="43"/>
      <c r="AD389" s="43">
        <v>1.0999999999999999E-2</v>
      </c>
      <c r="AE389" s="43"/>
      <c r="AF389" s="43"/>
      <c r="AG389" s="43"/>
      <c r="AH389" s="43"/>
      <c r="AI389" s="43"/>
      <c r="AJ389" s="9"/>
      <c r="AK389" s="10"/>
      <c r="AL389" s="11"/>
    </row>
    <row r="390" spans="1:38" ht="21.75" hidden="1" customHeight="1" outlineLevel="1" x14ac:dyDescent="0.2">
      <c r="A390" s="21">
        <v>16</v>
      </c>
      <c r="B390" s="88" t="s">
        <v>381</v>
      </c>
      <c r="C390" s="88"/>
      <c r="D390" s="88"/>
      <c r="E390" s="88"/>
      <c r="F390" s="88"/>
      <c r="G390" s="88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59">
        <v>6.8</v>
      </c>
      <c r="U390" s="59"/>
      <c r="V390" s="59"/>
      <c r="W390" s="59"/>
      <c r="X390" s="59"/>
      <c r="Y390" s="41">
        <v>6.97</v>
      </c>
      <c r="Z390" s="41"/>
      <c r="AA390" s="41"/>
      <c r="AB390" s="41"/>
      <c r="AC390" s="41"/>
      <c r="AD390" s="41">
        <v>-0.17</v>
      </c>
      <c r="AE390" s="41"/>
      <c r="AF390" s="41"/>
      <c r="AG390" s="41"/>
      <c r="AH390" s="41"/>
      <c r="AI390" s="41"/>
      <c r="AJ390" s="9"/>
      <c r="AK390" s="10"/>
      <c r="AL390" s="11"/>
    </row>
    <row r="391" spans="1:38" ht="11.25" hidden="1" customHeight="1" outlineLevel="1" x14ac:dyDescent="0.2">
      <c r="A391" s="21">
        <v>17</v>
      </c>
      <c r="B391" s="88" t="s">
        <v>382</v>
      </c>
      <c r="C391" s="88"/>
      <c r="D391" s="88"/>
      <c r="E391" s="88"/>
      <c r="F391" s="88"/>
      <c r="G391" s="88"/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59">
        <v>21.3</v>
      </c>
      <c r="U391" s="59"/>
      <c r="V391" s="59"/>
      <c r="W391" s="59"/>
      <c r="X391" s="59"/>
      <c r="Y391" s="43">
        <v>21.420999999999999</v>
      </c>
      <c r="Z391" s="43"/>
      <c r="AA391" s="43"/>
      <c r="AB391" s="43"/>
      <c r="AC391" s="43"/>
      <c r="AD391" s="43">
        <v>-0.121</v>
      </c>
      <c r="AE391" s="43"/>
      <c r="AF391" s="43"/>
      <c r="AG391" s="43"/>
      <c r="AH391" s="43"/>
      <c r="AI391" s="43"/>
      <c r="AJ391" s="9"/>
      <c r="AK391" s="10"/>
      <c r="AL391" s="11"/>
    </row>
    <row r="392" spans="1:38" ht="11.25" hidden="1" customHeight="1" outlineLevel="1" x14ac:dyDescent="0.2">
      <c r="A392" s="21">
        <v>18</v>
      </c>
      <c r="B392" s="88" t="s">
        <v>383</v>
      </c>
      <c r="C392" s="88"/>
      <c r="D392" s="88"/>
      <c r="E392" s="88"/>
      <c r="F392" s="88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59">
        <v>15.4</v>
      </c>
      <c r="U392" s="59"/>
      <c r="V392" s="59"/>
      <c r="W392" s="59"/>
      <c r="X392" s="59"/>
      <c r="Y392" s="43">
        <v>15.738</v>
      </c>
      <c r="Z392" s="43"/>
      <c r="AA392" s="43"/>
      <c r="AB392" s="43"/>
      <c r="AC392" s="43"/>
      <c r="AD392" s="43">
        <v>-0.33800000000000002</v>
      </c>
      <c r="AE392" s="43"/>
      <c r="AF392" s="43"/>
      <c r="AG392" s="43"/>
      <c r="AH392" s="43"/>
      <c r="AI392" s="43"/>
      <c r="AJ392" s="9"/>
      <c r="AK392" s="10"/>
      <c r="AL392" s="11"/>
    </row>
    <row r="393" spans="1:38" ht="21.75" hidden="1" customHeight="1" outlineLevel="1" x14ac:dyDescent="0.2">
      <c r="A393" s="21">
        <v>19</v>
      </c>
      <c r="B393" s="88" t="s">
        <v>384</v>
      </c>
      <c r="C393" s="88"/>
      <c r="D393" s="88"/>
      <c r="E393" s="88"/>
      <c r="F393" s="88"/>
      <c r="G393" s="88"/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59">
        <v>15.2</v>
      </c>
      <c r="U393" s="59"/>
      <c r="V393" s="59"/>
      <c r="W393" s="59"/>
      <c r="X393" s="59"/>
      <c r="Y393" s="43">
        <v>15.734999999999999</v>
      </c>
      <c r="Z393" s="43"/>
      <c r="AA393" s="43"/>
      <c r="AB393" s="43"/>
      <c r="AC393" s="43"/>
      <c r="AD393" s="43">
        <v>-0.53500000000000003</v>
      </c>
      <c r="AE393" s="43"/>
      <c r="AF393" s="43"/>
      <c r="AG393" s="43"/>
      <c r="AH393" s="43"/>
      <c r="AI393" s="43"/>
      <c r="AJ393" s="9"/>
      <c r="AK393" s="10"/>
      <c r="AL393" s="11"/>
    </row>
    <row r="394" spans="1:38" ht="11.25" hidden="1" customHeight="1" outlineLevel="1" x14ac:dyDescent="0.2">
      <c r="A394" s="21">
        <v>20</v>
      </c>
      <c r="B394" s="88" t="s">
        <v>385</v>
      </c>
      <c r="C394" s="88"/>
      <c r="D394" s="88"/>
      <c r="E394" s="88"/>
      <c r="F394" s="88"/>
      <c r="G394" s="88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59">
        <v>10.5</v>
      </c>
      <c r="U394" s="59"/>
      <c r="V394" s="59"/>
      <c r="W394" s="59"/>
      <c r="X394" s="59"/>
      <c r="Y394" s="43">
        <v>10.747</v>
      </c>
      <c r="Z394" s="43"/>
      <c r="AA394" s="43"/>
      <c r="AB394" s="43"/>
      <c r="AC394" s="43"/>
      <c r="AD394" s="43">
        <v>-0.247</v>
      </c>
      <c r="AE394" s="43"/>
      <c r="AF394" s="43"/>
      <c r="AG394" s="43"/>
      <c r="AH394" s="43"/>
      <c r="AI394" s="43"/>
      <c r="AJ394" s="9"/>
      <c r="AK394" s="10"/>
      <c r="AL394" s="11"/>
    </row>
    <row r="395" spans="1:38" ht="21.75" hidden="1" customHeight="1" outlineLevel="1" x14ac:dyDescent="0.2">
      <c r="A395" s="21">
        <v>21</v>
      </c>
      <c r="B395" s="88" t="s">
        <v>386</v>
      </c>
      <c r="C395" s="88"/>
      <c r="D395" s="88"/>
      <c r="E395" s="88"/>
      <c r="F395" s="88"/>
      <c r="G395" s="88"/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59">
        <v>10.8</v>
      </c>
      <c r="U395" s="59"/>
      <c r="V395" s="59"/>
      <c r="W395" s="59"/>
      <c r="X395" s="59"/>
      <c r="Y395" s="41">
        <v>11.25</v>
      </c>
      <c r="Z395" s="41"/>
      <c r="AA395" s="41"/>
      <c r="AB395" s="41"/>
      <c r="AC395" s="41"/>
      <c r="AD395" s="41">
        <v>-0.45</v>
      </c>
      <c r="AE395" s="41"/>
      <c r="AF395" s="41"/>
      <c r="AG395" s="41"/>
      <c r="AH395" s="41"/>
      <c r="AI395" s="41"/>
      <c r="AJ395" s="9"/>
      <c r="AK395" s="10"/>
      <c r="AL395" s="11"/>
    </row>
    <row r="396" spans="1:38" ht="21.75" hidden="1" customHeight="1" outlineLevel="1" x14ac:dyDescent="0.2">
      <c r="A396" s="21">
        <v>22</v>
      </c>
      <c r="B396" s="88" t="s">
        <v>387</v>
      </c>
      <c r="C396" s="88"/>
      <c r="D396" s="88"/>
      <c r="E396" s="88"/>
      <c r="F396" s="88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59">
        <v>9.6999999999999993</v>
      </c>
      <c r="U396" s="59"/>
      <c r="V396" s="59"/>
      <c r="W396" s="59"/>
      <c r="X396" s="59"/>
      <c r="Y396" s="43">
        <v>9.8130000000000006</v>
      </c>
      <c r="Z396" s="43"/>
      <c r="AA396" s="43"/>
      <c r="AB396" s="43"/>
      <c r="AC396" s="43"/>
      <c r="AD396" s="43">
        <v>-0.113</v>
      </c>
      <c r="AE396" s="43"/>
      <c r="AF396" s="43"/>
      <c r="AG396" s="43"/>
      <c r="AH396" s="43"/>
      <c r="AI396" s="43"/>
      <c r="AJ396" s="9"/>
      <c r="AK396" s="10"/>
      <c r="AL396" s="11"/>
    </row>
    <row r="397" spans="1:38" ht="11.25" hidden="1" customHeight="1" outlineLevel="1" x14ac:dyDescent="0.2">
      <c r="A397" s="21">
        <v>23</v>
      </c>
      <c r="B397" s="88" t="s">
        <v>388</v>
      </c>
      <c r="C397" s="88"/>
      <c r="D397" s="88"/>
      <c r="E397" s="88"/>
      <c r="F397" s="88"/>
      <c r="G397" s="88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59">
        <v>6.4</v>
      </c>
      <c r="U397" s="59"/>
      <c r="V397" s="59"/>
      <c r="W397" s="59"/>
      <c r="X397" s="59"/>
      <c r="Y397" s="43">
        <v>6.9829999999999997</v>
      </c>
      <c r="Z397" s="43"/>
      <c r="AA397" s="43"/>
      <c r="AB397" s="43"/>
      <c r="AC397" s="43"/>
      <c r="AD397" s="43">
        <v>-0.58299999999999996</v>
      </c>
      <c r="AE397" s="43"/>
      <c r="AF397" s="43"/>
      <c r="AG397" s="43"/>
      <c r="AH397" s="43"/>
      <c r="AI397" s="43"/>
      <c r="AJ397" s="9"/>
      <c r="AK397" s="10"/>
      <c r="AL397" s="11"/>
    </row>
    <row r="398" spans="1:38" ht="11.25" hidden="1" customHeight="1" outlineLevel="1" x14ac:dyDescent="0.2">
      <c r="A398" s="21">
        <v>24</v>
      </c>
      <c r="B398" s="88" t="s">
        <v>389</v>
      </c>
      <c r="C398" s="88"/>
      <c r="D398" s="88"/>
      <c r="E398" s="88"/>
      <c r="F398" s="88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59">
        <v>9.3000000000000007</v>
      </c>
      <c r="U398" s="59"/>
      <c r="V398" s="59"/>
      <c r="W398" s="59"/>
      <c r="X398" s="59"/>
      <c r="Y398" s="43">
        <v>9.7789999999999999</v>
      </c>
      <c r="Z398" s="43"/>
      <c r="AA398" s="43"/>
      <c r="AB398" s="43"/>
      <c r="AC398" s="43"/>
      <c r="AD398" s="43">
        <v>-0.47899999999999998</v>
      </c>
      <c r="AE398" s="43"/>
      <c r="AF398" s="43"/>
      <c r="AG398" s="43"/>
      <c r="AH398" s="43"/>
      <c r="AI398" s="43"/>
      <c r="AJ398" s="9"/>
      <c r="AK398" s="10"/>
      <c r="AL398" s="11"/>
    </row>
    <row r="399" spans="1:38" ht="11.25" hidden="1" customHeight="1" outlineLevel="1" x14ac:dyDescent="0.2">
      <c r="A399" s="21">
        <v>25</v>
      </c>
      <c r="B399" s="88" t="s">
        <v>390</v>
      </c>
      <c r="C399" s="88"/>
      <c r="D399" s="88"/>
      <c r="E399" s="88"/>
      <c r="F399" s="88"/>
      <c r="G399" s="88"/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59">
        <v>4.3</v>
      </c>
      <c r="U399" s="59"/>
      <c r="V399" s="59"/>
      <c r="W399" s="59"/>
      <c r="X399" s="59"/>
      <c r="Y399" s="43">
        <v>4.3460000000000001</v>
      </c>
      <c r="Z399" s="43"/>
      <c r="AA399" s="43"/>
      <c r="AB399" s="43"/>
      <c r="AC399" s="43"/>
      <c r="AD399" s="43">
        <v>-4.5999999999999999E-2</v>
      </c>
      <c r="AE399" s="43"/>
      <c r="AF399" s="43"/>
      <c r="AG399" s="43"/>
      <c r="AH399" s="43"/>
      <c r="AI399" s="43"/>
      <c r="AJ399" s="9"/>
      <c r="AK399" s="10"/>
      <c r="AL399" s="11"/>
    </row>
    <row r="400" spans="1:38" ht="11.25" hidden="1" customHeight="1" outlineLevel="1" x14ac:dyDescent="0.2">
      <c r="A400" s="21">
        <v>26</v>
      </c>
      <c r="B400" s="88" t="s">
        <v>391</v>
      </c>
      <c r="C400" s="88"/>
      <c r="D400" s="88"/>
      <c r="E400" s="88"/>
      <c r="F400" s="88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41">
        <v>1.48</v>
      </c>
      <c r="U400" s="41"/>
      <c r="V400" s="41"/>
      <c r="W400" s="41"/>
      <c r="X400" s="41"/>
      <c r="Y400" s="41">
        <v>1.48</v>
      </c>
      <c r="Z400" s="41"/>
      <c r="AA400" s="41"/>
      <c r="AB400" s="41"/>
      <c r="AC400" s="41"/>
      <c r="AD400" s="12"/>
      <c r="AE400" s="13"/>
      <c r="AF400" s="13"/>
      <c r="AG400" s="13"/>
      <c r="AH400" s="13"/>
      <c r="AI400" s="14"/>
      <c r="AJ400" s="9"/>
      <c r="AK400" s="10"/>
      <c r="AL400" s="11"/>
    </row>
    <row r="401" spans="1:38" ht="11.25" hidden="1" customHeight="1" outlineLevel="1" x14ac:dyDescent="0.2">
      <c r="A401" s="21">
        <v>27</v>
      </c>
      <c r="B401" s="88" t="s">
        <v>392</v>
      </c>
      <c r="C401" s="88"/>
      <c r="D401" s="88"/>
      <c r="E401" s="88"/>
      <c r="F401" s="88"/>
      <c r="G401" s="88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58">
        <v>6</v>
      </c>
      <c r="U401" s="58"/>
      <c r="V401" s="58"/>
      <c r="W401" s="58"/>
      <c r="X401" s="58"/>
      <c r="Y401" s="58">
        <v>6</v>
      </c>
      <c r="Z401" s="58"/>
      <c r="AA401" s="58"/>
      <c r="AB401" s="58"/>
      <c r="AC401" s="58"/>
      <c r="AD401" s="12"/>
      <c r="AE401" s="13"/>
      <c r="AF401" s="13"/>
      <c r="AG401" s="13"/>
      <c r="AH401" s="13"/>
      <c r="AI401" s="14"/>
      <c r="AJ401" s="9"/>
      <c r="AK401" s="10"/>
      <c r="AL401" s="11"/>
    </row>
    <row r="402" spans="1:38" ht="11.25" hidden="1" customHeight="1" outlineLevel="1" x14ac:dyDescent="0.2">
      <c r="A402" s="21">
        <v>28</v>
      </c>
      <c r="B402" s="88" t="s">
        <v>393</v>
      </c>
      <c r="C402" s="88"/>
      <c r="D402" s="88"/>
      <c r="E402" s="88"/>
      <c r="F402" s="88"/>
      <c r="G402" s="88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41">
        <v>10.19</v>
      </c>
      <c r="U402" s="41"/>
      <c r="V402" s="41"/>
      <c r="W402" s="41"/>
      <c r="X402" s="41"/>
      <c r="Y402" s="41">
        <v>10.19</v>
      </c>
      <c r="Z402" s="41"/>
      <c r="AA402" s="41"/>
      <c r="AB402" s="41"/>
      <c r="AC402" s="41"/>
      <c r="AD402" s="12"/>
      <c r="AE402" s="13"/>
      <c r="AF402" s="13"/>
      <c r="AG402" s="13"/>
      <c r="AH402" s="13"/>
      <c r="AI402" s="14"/>
      <c r="AJ402" s="9"/>
      <c r="AK402" s="10"/>
      <c r="AL402" s="11"/>
    </row>
    <row r="403" spans="1:38" ht="11.25" hidden="1" customHeight="1" outlineLevel="1" x14ac:dyDescent="0.2">
      <c r="A403" s="21">
        <v>29</v>
      </c>
      <c r="B403" s="88" t="s">
        <v>394</v>
      </c>
      <c r="C403" s="88"/>
      <c r="D403" s="88"/>
      <c r="E403" s="88"/>
      <c r="F403" s="88"/>
      <c r="G403" s="88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41">
        <v>3.55</v>
      </c>
      <c r="U403" s="41"/>
      <c r="V403" s="41"/>
      <c r="W403" s="41"/>
      <c r="X403" s="41"/>
      <c r="Y403" s="41">
        <v>3.55</v>
      </c>
      <c r="Z403" s="41"/>
      <c r="AA403" s="41"/>
      <c r="AB403" s="41"/>
      <c r="AC403" s="41"/>
      <c r="AD403" s="12"/>
      <c r="AE403" s="13"/>
      <c r="AF403" s="13"/>
      <c r="AG403" s="13"/>
      <c r="AH403" s="13"/>
      <c r="AI403" s="14"/>
      <c r="AJ403" s="9"/>
      <c r="AK403" s="10"/>
      <c r="AL403" s="11"/>
    </row>
    <row r="404" spans="1:38" ht="11.25" hidden="1" customHeight="1" outlineLevel="1" x14ac:dyDescent="0.2">
      <c r="A404" s="21">
        <v>30</v>
      </c>
      <c r="B404" s="88" t="s">
        <v>395</v>
      </c>
      <c r="C404" s="88"/>
      <c r="D404" s="88"/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59">
        <v>5.2</v>
      </c>
      <c r="U404" s="59"/>
      <c r="V404" s="59"/>
      <c r="W404" s="59"/>
      <c r="X404" s="59"/>
      <c r="Y404" s="43">
        <v>5.6479999999999997</v>
      </c>
      <c r="Z404" s="43"/>
      <c r="AA404" s="43"/>
      <c r="AB404" s="43"/>
      <c r="AC404" s="43"/>
      <c r="AD404" s="43">
        <v>-0.44800000000000001</v>
      </c>
      <c r="AE404" s="43"/>
      <c r="AF404" s="43"/>
      <c r="AG404" s="43"/>
      <c r="AH404" s="43"/>
      <c r="AI404" s="43"/>
      <c r="AJ404" s="9"/>
      <c r="AK404" s="10"/>
      <c r="AL404" s="11"/>
    </row>
    <row r="405" spans="1:38" ht="11.25" hidden="1" customHeight="1" collapsed="1" x14ac:dyDescent="0.2">
      <c r="A405" s="60" t="s">
        <v>396</v>
      </c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4">
        <v>1139.55</v>
      </c>
      <c r="U405" s="64"/>
      <c r="V405" s="64"/>
      <c r="W405" s="64"/>
      <c r="X405" s="64"/>
      <c r="Y405" s="61">
        <v>1116.6410000000001</v>
      </c>
      <c r="Z405" s="61"/>
      <c r="AA405" s="61"/>
      <c r="AB405" s="61"/>
      <c r="AC405" s="61"/>
      <c r="AD405" s="62">
        <v>22.908999999999999</v>
      </c>
      <c r="AE405" s="62"/>
      <c r="AF405" s="62"/>
      <c r="AG405" s="62"/>
      <c r="AH405" s="62"/>
      <c r="AI405" s="62"/>
      <c r="AJ405" s="62">
        <v>46.816000000000003</v>
      </c>
      <c r="AK405" s="62"/>
      <c r="AL405" s="62"/>
    </row>
    <row r="406" spans="1:38" ht="11.25" hidden="1" customHeight="1" outlineLevel="1" x14ac:dyDescent="0.2">
      <c r="A406" s="21">
        <v>1</v>
      </c>
      <c r="B406" s="88" t="s">
        <v>397</v>
      </c>
      <c r="C406" s="88"/>
      <c r="D406" s="88"/>
      <c r="E406" s="88"/>
      <c r="F406" s="88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58">
        <v>139</v>
      </c>
      <c r="U406" s="58"/>
      <c r="V406" s="58"/>
      <c r="W406" s="58"/>
      <c r="X406" s="58"/>
      <c r="Y406" s="41">
        <v>119.83</v>
      </c>
      <c r="Z406" s="41"/>
      <c r="AA406" s="41"/>
      <c r="AB406" s="41"/>
      <c r="AC406" s="41"/>
      <c r="AD406" s="41">
        <v>19.170000000000002</v>
      </c>
      <c r="AE406" s="41"/>
      <c r="AF406" s="41"/>
      <c r="AG406" s="41"/>
      <c r="AH406" s="41"/>
      <c r="AI406" s="41"/>
      <c r="AJ406" s="9"/>
      <c r="AK406" s="10"/>
      <c r="AL406" s="11"/>
    </row>
    <row r="407" spans="1:38" ht="11.25" hidden="1" customHeight="1" outlineLevel="1" x14ac:dyDescent="0.2">
      <c r="A407" s="21">
        <v>2</v>
      </c>
      <c r="B407" s="88" t="s">
        <v>398</v>
      </c>
      <c r="C407" s="88"/>
      <c r="D407" s="88"/>
      <c r="E407" s="88"/>
      <c r="F407" s="88"/>
      <c r="G407" s="88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59">
        <v>254.8</v>
      </c>
      <c r="U407" s="59"/>
      <c r="V407" s="59"/>
      <c r="W407" s="59"/>
      <c r="X407" s="59"/>
      <c r="Y407" s="43">
        <v>241.10499999999999</v>
      </c>
      <c r="Z407" s="43"/>
      <c r="AA407" s="43"/>
      <c r="AB407" s="43"/>
      <c r="AC407" s="43"/>
      <c r="AD407" s="43">
        <v>13.695</v>
      </c>
      <c r="AE407" s="43"/>
      <c r="AF407" s="43"/>
      <c r="AG407" s="43"/>
      <c r="AH407" s="43"/>
      <c r="AI407" s="43"/>
      <c r="AJ407" s="9"/>
      <c r="AK407" s="10"/>
      <c r="AL407" s="11"/>
    </row>
    <row r="408" spans="1:38" ht="11.25" hidden="1" customHeight="1" outlineLevel="1" x14ac:dyDescent="0.2">
      <c r="A408" s="21">
        <v>3</v>
      </c>
      <c r="B408" s="88" t="s">
        <v>399</v>
      </c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41">
        <v>63.54</v>
      </c>
      <c r="U408" s="41"/>
      <c r="V408" s="41"/>
      <c r="W408" s="41"/>
      <c r="X408" s="41"/>
      <c r="Y408" s="43">
        <v>61.722000000000001</v>
      </c>
      <c r="Z408" s="43"/>
      <c r="AA408" s="43"/>
      <c r="AB408" s="43"/>
      <c r="AC408" s="43"/>
      <c r="AD408" s="43">
        <v>1.8180000000000001</v>
      </c>
      <c r="AE408" s="43"/>
      <c r="AF408" s="43"/>
      <c r="AG408" s="43"/>
      <c r="AH408" s="43"/>
      <c r="AI408" s="43"/>
      <c r="AJ408" s="9"/>
      <c r="AK408" s="10"/>
      <c r="AL408" s="11"/>
    </row>
    <row r="409" spans="1:38" ht="11.25" hidden="1" customHeight="1" outlineLevel="1" x14ac:dyDescent="0.2">
      <c r="A409" s="21">
        <v>4</v>
      </c>
      <c r="B409" s="88" t="s">
        <v>400</v>
      </c>
      <c r="C409" s="88"/>
      <c r="D409" s="88"/>
      <c r="E409" s="88"/>
      <c r="F409" s="88"/>
      <c r="G409" s="88"/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41">
        <v>10.38</v>
      </c>
      <c r="U409" s="41"/>
      <c r="V409" s="41"/>
      <c r="W409" s="41"/>
      <c r="X409" s="41"/>
      <c r="Y409" s="41">
        <v>9.09</v>
      </c>
      <c r="Z409" s="41"/>
      <c r="AA409" s="41"/>
      <c r="AB409" s="41"/>
      <c r="AC409" s="41"/>
      <c r="AD409" s="41">
        <v>1.29</v>
      </c>
      <c r="AE409" s="41"/>
      <c r="AF409" s="41"/>
      <c r="AG409" s="41"/>
      <c r="AH409" s="41"/>
      <c r="AI409" s="41"/>
      <c r="AJ409" s="9"/>
      <c r="AK409" s="10"/>
      <c r="AL409" s="11"/>
    </row>
    <row r="410" spans="1:38" ht="11.25" hidden="1" customHeight="1" outlineLevel="1" x14ac:dyDescent="0.2">
      <c r="A410" s="21">
        <v>5</v>
      </c>
      <c r="B410" s="88" t="s">
        <v>401</v>
      </c>
      <c r="C410" s="88"/>
      <c r="D410" s="88"/>
      <c r="E410" s="88"/>
      <c r="F410" s="88"/>
      <c r="G410" s="88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41">
        <v>18.760000000000002</v>
      </c>
      <c r="U410" s="41"/>
      <c r="V410" s="41"/>
      <c r="W410" s="41"/>
      <c r="X410" s="41"/>
      <c r="Y410" s="43">
        <v>18.311</v>
      </c>
      <c r="Z410" s="43"/>
      <c r="AA410" s="43"/>
      <c r="AB410" s="43"/>
      <c r="AC410" s="43"/>
      <c r="AD410" s="43">
        <v>0.44900000000000001</v>
      </c>
      <c r="AE410" s="43"/>
      <c r="AF410" s="43"/>
      <c r="AG410" s="43"/>
      <c r="AH410" s="43"/>
      <c r="AI410" s="43"/>
      <c r="AJ410" s="9"/>
      <c r="AK410" s="10"/>
      <c r="AL410" s="11"/>
    </row>
    <row r="411" spans="1:38" ht="11.25" hidden="1" customHeight="1" outlineLevel="1" x14ac:dyDescent="0.2">
      <c r="A411" s="21">
        <v>6</v>
      </c>
      <c r="B411" s="88" t="s">
        <v>402</v>
      </c>
      <c r="C411" s="88"/>
      <c r="D411" s="88"/>
      <c r="E411" s="88"/>
      <c r="F411" s="88"/>
      <c r="G411" s="88"/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59">
        <v>35.9</v>
      </c>
      <c r="U411" s="59"/>
      <c r="V411" s="59"/>
      <c r="W411" s="59"/>
      <c r="X411" s="59"/>
      <c r="Y411" s="43">
        <v>36.084000000000003</v>
      </c>
      <c r="Z411" s="43"/>
      <c r="AA411" s="43"/>
      <c r="AB411" s="43"/>
      <c r="AC411" s="43"/>
      <c r="AD411" s="43">
        <v>-0.184</v>
      </c>
      <c r="AE411" s="43"/>
      <c r="AF411" s="43"/>
      <c r="AG411" s="43"/>
      <c r="AH411" s="43"/>
      <c r="AI411" s="43"/>
      <c r="AJ411" s="9"/>
      <c r="AK411" s="10"/>
      <c r="AL411" s="11"/>
    </row>
    <row r="412" spans="1:38" ht="11.25" hidden="1" customHeight="1" outlineLevel="1" x14ac:dyDescent="0.2">
      <c r="A412" s="21">
        <v>7</v>
      </c>
      <c r="B412" s="88" t="s">
        <v>403</v>
      </c>
      <c r="C412" s="88"/>
      <c r="D412" s="88"/>
      <c r="E412" s="88"/>
      <c r="F412" s="88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41">
        <v>9.52</v>
      </c>
      <c r="U412" s="41"/>
      <c r="V412" s="41"/>
      <c r="W412" s="41"/>
      <c r="X412" s="41"/>
      <c r="Y412" s="43">
        <v>9.3780000000000001</v>
      </c>
      <c r="Z412" s="43"/>
      <c r="AA412" s="43"/>
      <c r="AB412" s="43"/>
      <c r="AC412" s="43"/>
      <c r="AD412" s="43">
        <v>0.14199999999999999</v>
      </c>
      <c r="AE412" s="43"/>
      <c r="AF412" s="43"/>
      <c r="AG412" s="43"/>
      <c r="AH412" s="43"/>
      <c r="AI412" s="43"/>
      <c r="AJ412" s="9"/>
      <c r="AK412" s="10"/>
      <c r="AL412" s="11"/>
    </row>
    <row r="413" spans="1:38" ht="21.75" hidden="1" customHeight="1" outlineLevel="1" x14ac:dyDescent="0.2">
      <c r="A413" s="21">
        <v>8</v>
      </c>
      <c r="B413" s="88" t="s">
        <v>404</v>
      </c>
      <c r="C413" s="88"/>
      <c r="D413" s="88"/>
      <c r="E413" s="88"/>
      <c r="F413" s="88"/>
      <c r="G413" s="88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41">
        <v>4.74</v>
      </c>
      <c r="U413" s="41"/>
      <c r="V413" s="41"/>
      <c r="W413" s="41"/>
      <c r="X413" s="41"/>
      <c r="Y413" s="43">
        <v>4.758</v>
      </c>
      <c r="Z413" s="43"/>
      <c r="AA413" s="43"/>
      <c r="AB413" s="43"/>
      <c r="AC413" s="43"/>
      <c r="AD413" s="43">
        <v>-1.7999999999999999E-2</v>
      </c>
      <c r="AE413" s="43"/>
      <c r="AF413" s="43"/>
      <c r="AG413" s="43"/>
      <c r="AH413" s="43"/>
      <c r="AI413" s="43"/>
      <c r="AJ413" s="9"/>
      <c r="AK413" s="10"/>
      <c r="AL413" s="11"/>
    </row>
    <row r="414" spans="1:38" ht="11.25" hidden="1" customHeight="1" outlineLevel="1" x14ac:dyDescent="0.2">
      <c r="A414" s="21">
        <v>9</v>
      </c>
      <c r="B414" s="88" t="s">
        <v>405</v>
      </c>
      <c r="C414" s="88"/>
      <c r="D414" s="88"/>
      <c r="E414" s="88"/>
      <c r="F414" s="88"/>
      <c r="G414" s="88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41">
        <v>14.86</v>
      </c>
      <c r="U414" s="41"/>
      <c r="V414" s="41"/>
      <c r="W414" s="41"/>
      <c r="X414" s="41"/>
      <c r="Y414" s="43">
        <v>14.817</v>
      </c>
      <c r="Z414" s="43"/>
      <c r="AA414" s="43"/>
      <c r="AB414" s="43"/>
      <c r="AC414" s="43"/>
      <c r="AD414" s="43">
        <v>4.2999999999999997E-2</v>
      </c>
      <c r="AE414" s="43"/>
      <c r="AF414" s="43"/>
      <c r="AG414" s="43"/>
      <c r="AH414" s="43"/>
      <c r="AI414" s="43"/>
      <c r="AJ414" s="9"/>
      <c r="AK414" s="10"/>
      <c r="AL414" s="11"/>
    </row>
    <row r="415" spans="1:38" ht="11.25" hidden="1" customHeight="1" outlineLevel="1" x14ac:dyDescent="0.2">
      <c r="A415" s="21">
        <v>10</v>
      </c>
      <c r="B415" s="88" t="s">
        <v>406</v>
      </c>
      <c r="C415" s="88"/>
      <c r="D415" s="88"/>
      <c r="E415" s="88"/>
      <c r="F415" s="88"/>
      <c r="G415" s="88"/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41">
        <v>11.37</v>
      </c>
      <c r="U415" s="41"/>
      <c r="V415" s="41"/>
      <c r="W415" s="41"/>
      <c r="X415" s="41"/>
      <c r="Y415" s="41">
        <v>11.09</v>
      </c>
      <c r="Z415" s="41"/>
      <c r="AA415" s="41"/>
      <c r="AB415" s="41"/>
      <c r="AC415" s="41"/>
      <c r="AD415" s="41">
        <v>0.28000000000000003</v>
      </c>
      <c r="AE415" s="41"/>
      <c r="AF415" s="41"/>
      <c r="AG415" s="41"/>
      <c r="AH415" s="41"/>
      <c r="AI415" s="41"/>
      <c r="AJ415" s="9"/>
      <c r="AK415" s="10"/>
      <c r="AL415" s="11"/>
    </row>
    <row r="416" spans="1:38" ht="21.75" hidden="1" customHeight="1" outlineLevel="1" x14ac:dyDescent="0.2">
      <c r="A416" s="21">
        <v>11</v>
      </c>
      <c r="B416" s="88" t="s">
        <v>407</v>
      </c>
      <c r="C416" s="88"/>
      <c r="D416" s="88"/>
      <c r="E416" s="88"/>
      <c r="F416" s="88"/>
      <c r="G416" s="88"/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59">
        <v>195.7</v>
      </c>
      <c r="U416" s="59"/>
      <c r="V416" s="59"/>
      <c r="W416" s="59"/>
      <c r="X416" s="59"/>
      <c r="Y416" s="43">
        <v>200.22499999999999</v>
      </c>
      <c r="Z416" s="43"/>
      <c r="AA416" s="43"/>
      <c r="AB416" s="43"/>
      <c r="AC416" s="43"/>
      <c r="AD416" s="43">
        <v>-4.5250000000000004</v>
      </c>
      <c r="AE416" s="43"/>
      <c r="AF416" s="43"/>
      <c r="AG416" s="43"/>
      <c r="AH416" s="43"/>
      <c r="AI416" s="43"/>
      <c r="AJ416" s="9"/>
      <c r="AK416" s="10"/>
      <c r="AL416" s="11"/>
    </row>
    <row r="417" spans="1:38" ht="11.25" hidden="1" customHeight="1" outlineLevel="1" x14ac:dyDescent="0.2">
      <c r="A417" s="21">
        <v>12</v>
      </c>
      <c r="B417" s="88" t="s">
        <v>408</v>
      </c>
      <c r="C417" s="88"/>
      <c r="D417" s="88"/>
      <c r="E417" s="88"/>
      <c r="F417" s="88"/>
      <c r="G417" s="88"/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59">
        <v>128.80000000000001</v>
      </c>
      <c r="U417" s="59"/>
      <c r="V417" s="59"/>
      <c r="W417" s="59"/>
      <c r="X417" s="59"/>
      <c r="Y417" s="43">
        <v>134.05199999999999</v>
      </c>
      <c r="Z417" s="43"/>
      <c r="AA417" s="43"/>
      <c r="AB417" s="43"/>
      <c r="AC417" s="43"/>
      <c r="AD417" s="43">
        <v>-5.2519999999999998</v>
      </c>
      <c r="AE417" s="43"/>
      <c r="AF417" s="43"/>
      <c r="AG417" s="43"/>
      <c r="AH417" s="43"/>
      <c r="AI417" s="43"/>
      <c r="AJ417" s="9"/>
      <c r="AK417" s="10"/>
      <c r="AL417" s="11"/>
    </row>
    <row r="418" spans="1:38" ht="11.25" hidden="1" customHeight="1" outlineLevel="1" x14ac:dyDescent="0.2">
      <c r="A418" s="21">
        <v>13</v>
      </c>
      <c r="B418" s="88" t="s">
        <v>409</v>
      </c>
      <c r="C418" s="88"/>
      <c r="D418" s="88"/>
      <c r="E418" s="88"/>
      <c r="F418" s="88"/>
      <c r="G418" s="88"/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41">
        <v>23.59</v>
      </c>
      <c r="U418" s="41"/>
      <c r="V418" s="41"/>
      <c r="W418" s="41"/>
      <c r="X418" s="41"/>
      <c r="Y418" s="43">
        <v>23.638000000000002</v>
      </c>
      <c r="Z418" s="43"/>
      <c r="AA418" s="43"/>
      <c r="AB418" s="43"/>
      <c r="AC418" s="43"/>
      <c r="AD418" s="43">
        <v>-4.8000000000000001E-2</v>
      </c>
      <c r="AE418" s="43"/>
      <c r="AF418" s="43"/>
      <c r="AG418" s="43"/>
      <c r="AH418" s="43"/>
      <c r="AI418" s="43"/>
      <c r="AJ418" s="9"/>
      <c r="AK418" s="10"/>
      <c r="AL418" s="11"/>
    </row>
    <row r="419" spans="1:38" ht="11.25" hidden="1" customHeight="1" outlineLevel="1" x14ac:dyDescent="0.2">
      <c r="A419" s="21">
        <v>14</v>
      </c>
      <c r="B419" s="88" t="s">
        <v>410</v>
      </c>
      <c r="C419" s="88"/>
      <c r="D419" s="88"/>
      <c r="E419" s="88"/>
      <c r="F419" s="88"/>
      <c r="G419" s="88"/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59">
        <v>48.7</v>
      </c>
      <c r="U419" s="59"/>
      <c r="V419" s="59"/>
      <c r="W419" s="59"/>
      <c r="X419" s="59"/>
      <c r="Y419" s="43">
        <v>49.122999999999998</v>
      </c>
      <c r="Z419" s="43"/>
      <c r="AA419" s="43"/>
      <c r="AB419" s="43"/>
      <c r="AC419" s="43"/>
      <c r="AD419" s="43">
        <v>-0.42299999999999999</v>
      </c>
      <c r="AE419" s="43"/>
      <c r="AF419" s="43"/>
      <c r="AG419" s="43"/>
      <c r="AH419" s="43"/>
      <c r="AI419" s="43"/>
      <c r="AJ419" s="9"/>
      <c r="AK419" s="10"/>
      <c r="AL419" s="11"/>
    </row>
    <row r="420" spans="1:38" ht="11.25" hidden="1" customHeight="1" outlineLevel="1" x14ac:dyDescent="0.2">
      <c r="A420" s="21">
        <v>15</v>
      </c>
      <c r="B420" s="88" t="s">
        <v>411</v>
      </c>
      <c r="C420" s="88"/>
      <c r="D420" s="88"/>
      <c r="E420" s="88"/>
      <c r="F420" s="88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59">
        <v>38.4</v>
      </c>
      <c r="U420" s="59"/>
      <c r="V420" s="59"/>
      <c r="W420" s="59"/>
      <c r="X420" s="59"/>
      <c r="Y420" s="43">
        <v>39.401000000000003</v>
      </c>
      <c r="Z420" s="43"/>
      <c r="AA420" s="43"/>
      <c r="AB420" s="43"/>
      <c r="AC420" s="43"/>
      <c r="AD420" s="43">
        <v>-1.0009999999999999</v>
      </c>
      <c r="AE420" s="43"/>
      <c r="AF420" s="43"/>
      <c r="AG420" s="43"/>
      <c r="AH420" s="43"/>
      <c r="AI420" s="43"/>
      <c r="AJ420" s="9"/>
      <c r="AK420" s="10"/>
      <c r="AL420" s="11"/>
    </row>
    <row r="421" spans="1:38" ht="11.25" hidden="1" customHeight="1" outlineLevel="1" x14ac:dyDescent="0.2">
      <c r="A421" s="21">
        <v>16</v>
      </c>
      <c r="B421" s="88" t="s">
        <v>412</v>
      </c>
      <c r="C421" s="88"/>
      <c r="D421" s="88"/>
      <c r="E421" s="88"/>
      <c r="F421" s="88"/>
      <c r="G421" s="88"/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59">
        <v>12.3</v>
      </c>
      <c r="U421" s="59"/>
      <c r="V421" s="59"/>
      <c r="W421" s="59"/>
      <c r="X421" s="59"/>
      <c r="Y421" s="43">
        <v>12.722</v>
      </c>
      <c r="Z421" s="43"/>
      <c r="AA421" s="43"/>
      <c r="AB421" s="43"/>
      <c r="AC421" s="43"/>
      <c r="AD421" s="43">
        <v>-0.42199999999999999</v>
      </c>
      <c r="AE421" s="43"/>
      <c r="AF421" s="43"/>
      <c r="AG421" s="43"/>
      <c r="AH421" s="43"/>
      <c r="AI421" s="43"/>
      <c r="AJ421" s="9"/>
      <c r="AK421" s="10"/>
      <c r="AL421" s="11"/>
    </row>
    <row r="422" spans="1:38" ht="11.25" hidden="1" customHeight="1" outlineLevel="1" x14ac:dyDescent="0.2">
      <c r="A422" s="21">
        <v>17</v>
      </c>
      <c r="B422" s="88" t="s">
        <v>413</v>
      </c>
      <c r="C422" s="88"/>
      <c r="D422" s="88"/>
      <c r="E422" s="88"/>
      <c r="F422" s="88"/>
      <c r="G422" s="88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41">
        <v>18.25</v>
      </c>
      <c r="U422" s="41"/>
      <c r="V422" s="41"/>
      <c r="W422" s="41"/>
      <c r="X422" s="41"/>
      <c r="Y422" s="43">
        <v>18.693000000000001</v>
      </c>
      <c r="Z422" s="43"/>
      <c r="AA422" s="43"/>
      <c r="AB422" s="43"/>
      <c r="AC422" s="43"/>
      <c r="AD422" s="43">
        <v>-0.443</v>
      </c>
      <c r="AE422" s="43"/>
      <c r="AF422" s="43"/>
      <c r="AG422" s="43"/>
      <c r="AH422" s="43"/>
      <c r="AI422" s="43"/>
      <c r="AJ422" s="9"/>
      <c r="AK422" s="10"/>
      <c r="AL422" s="11"/>
    </row>
    <row r="423" spans="1:38" ht="11.25" hidden="1" customHeight="1" outlineLevel="1" x14ac:dyDescent="0.2">
      <c r="A423" s="21">
        <v>18</v>
      </c>
      <c r="B423" s="88" t="s">
        <v>414</v>
      </c>
      <c r="C423" s="88"/>
      <c r="D423" s="88"/>
      <c r="E423" s="88"/>
      <c r="F423" s="88"/>
      <c r="G423" s="88"/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41">
        <v>10.23</v>
      </c>
      <c r="U423" s="41"/>
      <c r="V423" s="41"/>
      <c r="W423" s="41"/>
      <c r="X423" s="41"/>
      <c r="Y423" s="43">
        <v>10.656000000000001</v>
      </c>
      <c r="Z423" s="43"/>
      <c r="AA423" s="43"/>
      <c r="AB423" s="43"/>
      <c r="AC423" s="43"/>
      <c r="AD423" s="43">
        <v>-0.42599999999999999</v>
      </c>
      <c r="AE423" s="43"/>
      <c r="AF423" s="43"/>
      <c r="AG423" s="43"/>
      <c r="AH423" s="43"/>
      <c r="AI423" s="43"/>
      <c r="AJ423" s="9"/>
      <c r="AK423" s="10"/>
      <c r="AL423" s="11"/>
    </row>
    <row r="424" spans="1:38" ht="11.25" hidden="1" customHeight="1" outlineLevel="1" x14ac:dyDescent="0.2">
      <c r="A424" s="21">
        <v>19</v>
      </c>
      <c r="B424" s="88" t="s">
        <v>415</v>
      </c>
      <c r="C424" s="88"/>
      <c r="D424" s="88"/>
      <c r="E424" s="88"/>
      <c r="F424" s="88"/>
      <c r="G424" s="88"/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41">
        <v>28.12</v>
      </c>
      <c r="U424" s="41"/>
      <c r="V424" s="41"/>
      <c r="W424" s="41"/>
      <c r="X424" s="41"/>
      <c r="Y424" s="43">
        <v>28.228000000000002</v>
      </c>
      <c r="Z424" s="43"/>
      <c r="AA424" s="43"/>
      <c r="AB424" s="43"/>
      <c r="AC424" s="43"/>
      <c r="AD424" s="43">
        <v>-0.108</v>
      </c>
      <c r="AE424" s="43"/>
      <c r="AF424" s="43"/>
      <c r="AG424" s="43"/>
      <c r="AH424" s="43"/>
      <c r="AI424" s="43"/>
      <c r="AJ424" s="9"/>
      <c r="AK424" s="10"/>
      <c r="AL424" s="11"/>
    </row>
    <row r="425" spans="1:38" ht="11.25" hidden="1" customHeight="1" outlineLevel="1" x14ac:dyDescent="0.2">
      <c r="A425" s="21">
        <v>20</v>
      </c>
      <c r="B425" s="88" t="s">
        <v>416</v>
      </c>
      <c r="C425" s="88"/>
      <c r="D425" s="88"/>
      <c r="E425" s="88"/>
      <c r="F425" s="88"/>
      <c r="G425" s="88"/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58">
        <v>24</v>
      </c>
      <c r="U425" s="58"/>
      <c r="V425" s="58"/>
      <c r="W425" s="58"/>
      <c r="X425" s="58"/>
      <c r="Y425" s="43">
        <v>24.306999999999999</v>
      </c>
      <c r="Z425" s="43"/>
      <c r="AA425" s="43"/>
      <c r="AB425" s="43"/>
      <c r="AC425" s="43"/>
      <c r="AD425" s="43">
        <v>-0.307</v>
      </c>
      <c r="AE425" s="43"/>
      <c r="AF425" s="43"/>
      <c r="AG425" s="43"/>
      <c r="AH425" s="43"/>
      <c r="AI425" s="43"/>
      <c r="AJ425" s="9"/>
      <c r="AK425" s="10"/>
      <c r="AL425" s="11"/>
    </row>
    <row r="426" spans="1:38" ht="21.75" hidden="1" customHeight="1" outlineLevel="1" x14ac:dyDescent="0.2">
      <c r="A426" s="21">
        <v>21</v>
      </c>
      <c r="B426" s="88" t="s">
        <v>417</v>
      </c>
      <c r="C426" s="88"/>
      <c r="D426" s="88"/>
      <c r="E426" s="88"/>
      <c r="F426" s="88"/>
      <c r="G426" s="88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58">
        <v>9</v>
      </c>
      <c r="U426" s="58"/>
      <c r="V426" s="58"/>
      <c r="W426" s="58"/>
      <c r="X426" s="58"/>
      <c r="Y426" s="43">
        <v>9.577</v>
      </c>
      <c r="Z426" s="43"/>
      <c r="AA426" s="43"/>
      <c r="AB426" s="43"/>
      <c r="AC426" s="43"/>
      <c r="AD426" s="43">
        <v>-0.57699999999999996</v>
      </c>
      <c r="AE426" s="43"/>
      <c r="AF426" s="43"/>
      <c r="AG426" s="43"/>
      <c r="AH426" s="43"/>
      <c r="AI426" s="43"/>
      <c r="AJ426" s="9"/>
      <c r="AK426" s="10"/>
      <c r="AL426" s="11"/>
    </row>
    <row r="427" spans="1:38" ht="11.25" hidden="1" customHeight="1" outlineLevel="1" x14ac:dyDescent="0.2">
      <c r="A427" s="21">
        <v>22</v>
      </c>
      <c r="B427" s="88" t="s">
        <v>418</v>
      </c>
      <c r="C427" s="88"/>
      <c r="D427" s="88"/>
      <c r="E427" s="88"/>
      <c r="F427" s="88"/>
      <c r="G427" s="88"/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59">
        <v>7.5</v>
      </c>
      <c r="U427" s="59"/>
      <c r="V427" s="59"/>
      <c r="W427" s="59"/>
      <c r="X427" s="59"/>
      <c r="Y427" s="43">
        <v>7.5739999999999998</v>
      </c>
      <c r="Z427" s="43"/>
      <c r="AA427" s="43"/>
      <c r="AB427" s="43"/>
      <c r="AC427" s="43"/>
      <c r="AD427" s="43">
        <v>-7.3999999999999996E-2</v>
      </c>
      <c r="AE427" s="43"/>
      <c r="AF427" s="43"/>
      <c r="AG427" s="43"/>
      <c r="AH427" s="43"/>
      <c r="AI427" s="43"/>
      <c r="AJ427" s="9"/>
      <c r="AK427" s="10"/>
      <c r="AL427" s="11"/>
    </row>
    <row r="428" spans="1:38" ht="11.25" hidden="1" customHeight="1" outlineLevel="1" x14ac:dyDescent="0.2">
      <c r="A428" s="21">
        <v>23</v>
      </c>
      <c r="B428" s="88" t="s">
        <v>419</v>
      </c>
      <c r="C428" s="88"/>
      <c r="D428" s="88"/>
      <c r="E428" s="88"/>
      <c r="F428" s="88"/>
      <c r="G428" s="88"/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59">
        <v>9.6</v>
      </c>
      <c r="U428" s="59"/>
      <c r="V428" s="59"/>
      <c r="W428" s="59"/>
      <c r="X428" s="59"/>
      <c r="Y428" s="41">
        <v>9.77</v>
      </c>
      <c r="Z428" s="41"/>
      <c r="AA428" s="41"/>
      <c r="AB428" s="41"/>
      <c r="AC428" s="41"/>
      <c r="AD428" s="41">
        <v>-0.17</v>
      </c>
      <c r="AE428" s="41"/>
      <c r="AF428" s="41"/>
      <c r="AG428" s="41"/>
      <c r="AH428" s="41"/>
      <c r="AI428" s="41"/>
      <c r="AJ428" s="9"/>
      <c r="AK428" s="10"/>
      <c r="AL428" s="11"/>
    </row>
    <row r="429" spans="1:38" ht="11.25" hidden="1" customHeight="1" outlineLevel="1" x14ac:dyDescent="0.2">
      <c r="A429" s="21">
        <v>24</v>
      </c>
      <c r="B429" s="88" t="s">
        <v>420</v>
      </c>
      <c r="C429" s="88"/>
      <c r="D429" s="88"/>
      <c r="E429" s="88"/>
      <c r="F429" s="88"/>
      <c r="G429" s="88"/>
      <c r="H429" s="88"/>
      <c r="I429" s="88"/>
      <c r="J429" s="88"/>
      <c r="K429" s="88"/>
      <c r="L429" s="88"/>
      <c r="M429" s="88"/>
      <c r="N429" s="88"/>
      <c r="O429" s="88"/>
      <c r="P429" s="88"/>
      <c r="Q429" s="88"/>
      <c r="R429" s="88"/>
      <c r="S429" s="88"/>
      <c r="T429" s="59">
        <v>8.6999999999999993</v>
      </c>
      <c r="U429" s="59"/>
      <c r="V429" s="59"/>
      <c r="W429" s="59"/>
      <c r="X429" s="59"/>
      <c r="Y429" s="59">
        <v>8.6999999999999993</v>
      </c>
      <c r="Z429" s="59"/>
      <c r="AA429" s="59"/>
      <c r="AB429" s="59"/>
      <c r="AC429" s="59"/>
      <c r="AD429" s="12"/>
      <c r="AE429" s="13"/>
      <c r="AF429" s="13"/>
      <c r="AG429" s="13"/>
      <c r="AH429" s="13"/>
      <c r="AI429" s="14"/>
      <c r="AJ429" s="9"/>
      <c r="AK429" s="10"/>
      <c r="AL429" s="11"/>
    </row>
    <row r="430" spans="1:38" ht="11.25" hidden="1" customHeight="1" outlineLevel="1" x14ac:dyDescent="0.2">
      <c r="A430" s="21">
        <v>25</v>
      </c>
      <c r="B430" s="88" t="s">
        <v>421</v>
      </c>
      <c r="C430" s="88"/>
      <c r="D430" s="88"/>
      <c r="E430" s="88"/>
      <c r="F430" s="88"/>
      <c r="G430" s="88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41">
        <v>13.79</v>
      </c>
      <c r="U430" s="41"/>
      <c r="V430" s="41"/>
      <c r="W430" s="41"/>
      <c r="X430" s="41"/>
      <c r="Y430" s="41">
        <v>13.79</v>
      </c>
      <c r="Z430" s="41"/>
      <c r="AA430" s="41"/>
      <c r="AB430" s="41"/>
      <c r="AC430" s="41"/>
      <c r="AD430" s="12"/>
      <c r="AE430" s="13"/>
      <c r="AF430" s="13"/>
      <c r="AG430" s="13"/>
      <c r="AH430" s="13"/>
      <c r="AI430" s="14"/>
      <c r="AJ430" s="9"/>
      <c r="AK430" s="10"/>
      <c r="AL430" s="11"/>
    </row>
    <row r="431" spans="1:38" ht="11.25" hidden="1" customHeight="1" collapsed="1" x14ac:dyDescent="0.2">
      <c r="A431" s="60" t="s">
        <v>422</v>
      </c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1">
        <v>1221.076</v>
      </c>
      <c r="U431" s="61"/>
      <c r="V431" s="61"/>
      <c r="W431" s="61"/>
      <c r="X431" s="61"/>
      <c r="Y431" s="61">
        <v>1227.386</v>
      </c>
      <c r="Z431" s="61"/>
      <c r="AA431" s="61"/>
      <c r="AB431" s="61"/>
      <c r="AC431" s="61"/>
      <c r="AD431" s="65">
        <v>-6.31</v>
      </c>
      <c r="AE431" s="65"/>
      <c r="AF431" s="65"/>
      <c r="AG431" s="65"/>
      <c r="AH431" s="65"/>
      <c r="AI431" s="65"/>
      <c r="AJ431" s="62">
        <v>30.396999999999998</v>
      </c>
      <c r="AK431" s="62"/>
      <c r="AL431" s="62"/>
    </row>
    <row r="432" spans="1:38" ht="11.25" hidden="1" customHeight="1" outlineLevel="1" x14ac:dyDescent="0.2">
      <c r="A432" s="21">
        <v>1</v>
      </c>
      <c r="B432" s="88" t="s">
        <v>423</v>
      </c>
      <c r="C432" s="88"/>
      <c r="D432" s="88"/>
      <c r="E432" s="88"/>
      <c r="F432" s="88"/>
      <c r="G432" s="88"/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41">
        <v>112.27</v>
      </c>
      <c r="U432" s="41"/>
      <c r="V432" s="41"/>
      <c r="W432" s="41"/>
      <c r="X432" s="41"/>
      <c r="Y432" s="43">
        <v>101.696</v>
      </c>
      <c r="Z432" s="43"/>
      <c r="AA432" s="43"/>
      <c r="AB432" s="43"/>
      <c r="AC432" s="43"/>
      <c r="AD432" s="43">
        <v>10.574</v>
      </c>
      <c r="AE432" s="43"/>
      <c r="AF432" s="43"/>
      <c r="AG432" s="43"/>
      <c r="AH432" s="43"/>
      <c r="AI432" s="43"/>
      <c r="AJ432" s="9"/>
      <c r="AK432" s="10"/>
      <c r="AL432" s="11"/>
    </row>
    <row r="433" spans="1:38" ht="11.25" hidden="1" customHeight="1" outlineLevel="1" x14ac:dyDescent="0.2">
      <c r="A433" s="21">
        <v>2</v>
      </c>
      <c r="B433" s="88" t="s">
        <v>424</v>
      </c>
      <c r="C433" s="88"/>
      <c r="D433" s="88"/>
      <c r="E433" s="88"/>
      <c r="F433" s="88"/>
      <c r="G433" s="88"/>
      <c r="H433" s="88"/>
      <c r="I433" s="88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41">
        <v>73.53</v>
      </c>
      <c r="U433" s="41"/>
      <c r="V433" s="41"/>
      <c r="W433" s="41"/>
      <c r="X433" s="41"/>
      <c r="Y433" s="43">
        <v>69.936999999999998</v>
      </c>
      <c r="Z433" s="43"/>
      <c r="AA433" s="43"/>
      <c r="AB433" s="43"/>
      <c r="AC433" s="43"/>
      <c r="AD433" s="43">
        <v>3.593</v>
      </c>
      <c r="AE433" s="43"/>
      <c r="AF433" s="43"/>
      <c r="AG433" s="43"/>
      <c r="AH433" s="43"/>
      <c r="AI433" s="43"/>
      <c r="AJ433" s="9"/>
      <c r="AK433" s="10"/>
      <c r="AL433" s="11"/>
    </row>
    <row r="434" spans="1:38" ht="11.25" hidden="1" customHeight="1" outlineLevel="1" x14ac:dyDescent="0.2">
      <c r="A434" s="21">
        <v>3</v>
      </c>
      <c r="B434" s="88" t="s">
        <v>425</v>
      </c>
      <c r="C434" s="88"/>
      <c r="D434" s="88"/>
      <c r="E434" s="88"/>
      <c r="F434" s="88"/>
      <c r="G434" s="88"/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41">
        <v>99.32</v>
      </c>
      <c r="U434" s="41"/>
      <c r="V434" s="41"/>
      <c r="W434" s="41"/>
      <c r="X434" s="41"/>
      <c r="Y434" s="43">
        <v>96.108999999999995</v>
      </c>
      <c r="Z434" s="43"/>
      <c r="AA434" s="43"/>
      <c r="AB434" s="43"/>
      <c r="AC434" s="43"/>
      <c r="AD434" s="43">
        <v>3.2109999999999999</v>
      </c>
      <c r="AE434" s="43"/>
      <c r="AF434" s="43"/>
      <c r="AG434" s="43"/>
      <c r="AH434" s="43"/>
      <c r="AI434" s="43"/>
      <c r="AJ434" s="9"/>
      <c r="AK434" s="10"/>
      <c r="AL434" s="11"/>
    </row>
    <row r="435" spans="1:38" ht="11.25" hidden="1" customHeight="1" outlineLevel="1" x14ac:dyDescent="0.2">
      <c r="A435" s="21">
        <v>4</v>
      </c>
      <c r="B435" s="88" t="s">
        <v>426</v>
      </c>
      <c r="C435" s="88"/>
      <c r="D435" s="88"/>
      <c r="E435" s="88"/>
      <c r="F435" s="88"/>
      <c r="G435" s="88"/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59">
        <v>11.7</v>
      </c>
      <c r="U435" s="59"/>
      <c r="V435" s="59"/>
      <c r="W435" s="59"/>
      <c r="X435" s="59"/>
      <c r="Y435" s="43">
        <v>10.252000000000001</v>
      </c>
      <c r="Z435" s="43"/>
      <c r="AA435" s="43"/>
      <c r="AB435" s="43"/>
      <c r="AC435" s="43"/>
      <c r="AD435" s="43">
        <v>1.448</v>
      </c>
      <c r="AE435" s="43"/>
      <c r="AF435" s="43"/>
      <c r="AG435" s="43"/>
      <c r="AH435" s="43"/>
      <c r="AI435" s="43"/>
      <c r="AJ435" s="9"/>
      <c r="AK435" s="10"/>
      <c r="AL435" s="11"/>
    </row>
    <row r="436" spans="1:38" ht="21.75" hidden="1" customHeight="1" outlineLevel="1" x14ac:dyDescent="0.2">
      <c r="A436" s="21">
        <v>5</v>
      </c>
      <c r="B436" s="88" t="s">
        <v>427</v>
      </c>
      <c r="C436" s="88"/>
      <c r="D436" s="88"/>
      <c r="E436" s="88"/>
      <c r="F436" s="88"/>
      <c r="G436" s="88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41">
        <v>16.649999999999999</v>
      </c>
      <c r="U436" s="41"/>
      <c r="V436" s="41"/>
      <c r="W436" s="41"/>
      <c r="X436" s="41"/>
      <c r="Y436" s="43">
        <v>14.896000000000001</v>
      </c>
      <c r="Z436" s="43"/>
      <c r="AA436" s="43"/>
      <c r="AB436" s="43"/>
      <c r="AC436" s="43"/>
      <c r="AD436" s="43">
        <v>1.754</v>
      </c>
      <c r="AE436" s="43"/>
      <c r="AF436" s="43"/>
      <c r="AG436" s="43"/>
      <c r="AH436" s="43"/>
      <c r="AI436" s="43"/>
      <c r="AJ436" s="9"/>
      <c r="AK436" s="10"/>
      <c r="AL436" s="11"/>
    </row>
    <row r="437" spans="1:38" ht="11.25" hidden="1" customHeight="1" outlineLevel="1" x14ac:dyDescent="0.2">
      <c r="A437" s="21">
        <v>6</v>
      </c>
      <c r="B437" s="88" t="s">
        <v>428</v>
      </c>
      <c r="C437" s="88"/>
      <c r="D437" s="88"/>
      <c r="E437" s="88"/>
      <c r="F437" s="88"/>
      <c r="G437" s="88"/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41">
        <v>6.56</v>
      </c>
      <c r="U437" s="41"/>
      <c r="V437" s="41"/>
      <c r="W437" s="41"/>
      <c r="X437" s="41"/>
      <c r="Y437" s="43">
        <v>5.6769999999999996</v>
      </c>
      <c r="Z437" s="43"/>
      <c r="AA437" s="43"/>
      <c r="AB437" s="43"/>
      <c r="AC437" s="43"/>
      <c r="AD437" s="43">
        <v>0.88300000000000001</v>
      </c>
      <c r="AE437" s="43"/>
      <c r="AF437" s="43"/>
      <c r="AG437" s="43"/>
      <c r="AH437" s="43"/>
      <c r="AI437" s="43"/>
      <c r="AJ437" s="9"/>
      <c r="AK437" s="10"/>
      <c r="AL437" s="11"/>
    </row>
    <row r="438" spans="1:38" ht="11.25" hidden="1" customHeight="1" outlineLevel="1" x14ac:dyDescent="0.2">
      <c r="A438" s="21">
        <v>7</v>
      </c>
      <c r="B438" s="88" t="s">
        <v>429</v>
      </c>
      <c r="C438" s="88"/>
      <c r="D438" s="88"/>
      <c r="E438" s="88"/>
      <c r="F438" s="88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41">
        <v>17.920000000000002</v>
      </c>
      <c r="U438" s="41"/>
      <c r="V438" s="41"/>
      <c r="W438" s="41"/>
      <c r="X438" s="41"/>
      <c r="Y438" s="43">
        <v>17.154</v>
      </c>
      <c r="Z438" s="43"/>
      <c r="AA438" s="43"/>
      <c r="AB438" s="43"/>
      <c r="AC438" s="43"/>
      <c r="AD438" s="43">
        <v>0.76600000000000001</v>
      </c>
      <c r="AE438" s="43"/>
      <c r="AF438" s="43"/>
      <c r="AG438" s="43"/>
      <c r="AH438" s="43"/>
      <c r="AI438" s="43"/>
      <c r="AJ438" s="9"/>
      <c r="AK438" s="10"/>
      <c r="AL438" s="11"/>
    </row>
    <row r="439" spans="1:38" ht="11.25" hidden="1" customHeight="1" outlineLevel="1" x14ac:dyDescent="0.2">
      <c r="A439" s="21">
        <v>8</v>
      </c>
      <c r="B439" s="88" t="s">
        <v>430</v>
      </c>
      <c r="C439" s="88"/>
      <c r="D439" s="88"/>
      <c r="E439" s="88"/>
      <c r="F439" s="88"/>
      <c r="G439" s="88"/>
      <c r="H439" s="88"/>
      <c r="I439" s="88"/>
      <c r="J439" s="88"/>
      <c r="K439" s="88"/>
      <c r="L439" s="88"/>
      <c r="M439" s="88"/>
      <c r="N439" s="88"/>
      <c r="O439" s="88"/>
      <c r="P439" s="88"/>
      <c r="Q439" s="88"/>
      <c r="R439" s="88"/>
      <c r="S439" s="88"/>
      <c r="T439" s="59">
        <v>59.6</v>
      </c>
      <c r="U439" s="59"/>
      <c r="V439" s="59"/>
      <c r="W439" s="59"/>
      <c r="X439" s="59"/>
      <c r="Y439" s="43">
        <v>59.954999999999998</v>
      </c>
      <c r="Z439" s="43"/>
      <c r="AA439" s="43"/>
      <c r="AB439" s="43"/>
      <c r="AC439" s="43"/>
      <c r="AD439" s="43">
        <v>-0.35499999999999998</v>
      </c>
      <c r="AE439" s="43"/>
      <c r="AF439" s="43"/>
      <c r="AG439" s="43"/>
      <c r="AH439" s="43"/>
      <c r="AI439" s="43"/>
      <c r="AJ439" s="9"/>
      <c r="AK439" s="10"/>
      <c r="AL439" s="11"/>
    </row>
    <row r="440" spans="1:38" ht="11.25" hidden="1" customHeight="1" outlineLevel="1" x14ac:dyDescent="0.2">
      <c r="A440" s="21">
        <v>9</v>
      </c>
      <c r="B440" s="88" t="s">
        <v>431</v>
      </c>
      <c r="C440" s="88"/>
      <c r="D440" s="88"/>
      <c r="E440" s="88"/>
      <c r="F440" s="88"/>
      <c r="G440" s="88"/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41">
        <v>24.67</v>
      </c>
      <c r="U440" s="41"/>
      <c r="V440" s="41"/>
      <c r="W440" s="41"/>
      <c r="X440" s="41"/>
      <c r="Y440" s="43">
        <v>28.073</v>
      </c>
      <c r="Z440" s="43"/>
      <c r="AA440" s="43"/>
      <c r="AB440" s="43"/>
      <c r="AC440" s="43"/>
      <c r="AD440" s="43">
        <v>-3.403</v>
      </c>
      <c r="AE440" s="43"/>
      <c r="AF440" s="43"/>
      <c r="AG440" s="43"/>
      <c r="AH440" s="43"/>
      <c r="AI440" s="43"/>
      <c r="AJ440" s="9"/>
      <c r="AK440" s="10"/>
      <c r="AL440" s="11"/>
    </row>
    <row r="441" spans="1:38" ht="11.25" hidden="1" customHeight="1" outlineLevel="1" x14ac:dyDescent="0.2">
      <c r="A441" s="21">
        <v>10</v>
      </c>
      <c r="B441" s="88" t="s">
        <v>432</v>
      </c>
      <c r="C441" s="88"/>
      <c r="D441" s="88"/>
      <c r="E441" s="88"/>
      <c r="F441" s="88"/>
      <c r="G441" s="88"/>
      <c r="H441" s="88"/>
      <c r="I441" s="88"/>
      <c r="J441" s="88"/>
      <c r="K441" s="88"/>
      <c r="L441" s="88"/>
      <c r="M441" s="88"/>
      <c r="N441" s="88"/>
      <c r="O441" s="88"/>
      <c r="P441" s="88"/>
      <c r="Q441" s="88"/>
      <c r="R441" s="88"/>
      <c r="S441" s="88"/>
      <c r="T441" s="41">
        <v>10.050000000000001</v>
      </c>
      <c r="U441" s="41"/>
      <c r="V441" s="41"/>
      <c r="W441" s="41"/>
      <c r="X441" s="41"/>
      <c r="Y441" s="43">
        <v>9.6910000000000007</v>
      </c>
      <c r="Z441" s="43"/>
      <c r="AA441" s="43"/>
      <c r="AB441" s="43"/>
      <c r="AC441" s="43"/>
      <c r="AD441" s="43">
        <v>0.35899999999999999</v>
      </c>
      <c r="AE441" s="43"/>
      <c r="AF441" s="43"/>
      <c r="AG441" s="43"/>
      <c r="AH441" s="43"/>
      <c r="AI441" s="43"/>
      <c r="AJ441" s="9"/>
      <c r="AK441" s="10"/>
      <c r="AL441" s="11"/>
    </row>
    <row r="442" spans="1:38" ht="11.25" hidden="1" customHeight="1" outlineLevel="1" x14ac:dyDescent="0.2">
      <c r="A442" s="21">
        <v>11</v>
      </c>
      <c r="B442" s="88" t="s">
        <v>433</v>
      </c>
      <c r="C442" s="88"/>
      <c r="D442" s="88"/>
      <c r="E442" s="88"/>
      <c r="F442" s="88"/>
      <c r="G442" s="88"/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41">
        <v>1.05</v>
      </c>
      <c r="U442" s="41"/>
      <c r="V442" s="41"/>
      <c r="W442" s="41"/>
      <c r="X442" s="41"/>
      <c r="Y442" s="59">
        <v>0.7</v>
      </c>
      <c r="Z442" s="59"/>
      <c r="AA442" s="59"/>
      <c r="AB442" s="59"/>
      <c r="AC442" s="59"/>
      <c r="AD442" s="41">
        <v>0.35</v>
      </c>
      <c r="AE442" s="41"/>
      <c r="AF442" s="41"/>
      <c r="AG442" s="41"/>
      <c r="AH442" s="41"/>
      <c r="AI442" s="41"/>
      <c r="AJ442" s="9"/>
      <c r="AK442" s="10"/>
      <c r="AL442" s="11"/>
    </row>
    <row r="443" spans="1:38" ht="21.75" hidden="1" customHeight="1" outlineLevel="1" x14ac:dyDescent="0.2">
      <c r="A443" s="21">
        <v>12</v>
      </c>
      <c r="B443" s="88" t="s">
        <v>434</v>
      </c>
      <c r="C443" s="88"/>
      <c r="D443" s="88"/>
      <c r="E443" s="88"/>
      <c r="F443" s="88"/>
      <c r="G443" s="88"/>
      <c r="H443" s="88"/>
      <c r="I443" s="88"/>
      <c r="J443" s="88"/>
      <c r="K443" s="88"/>
      <c r="L443" s="88"/>
      <c r="M443" s="88"/>
      <c r="N443" s="88"/>
      <c r="O443" s="88"/>
      <c r="P443" s="88"/>
      <c r="Q443" s="88"/>
      <c r="R443" s="88"/>
      <c r="S443" s="88"/>
      <c r="T443" s="41">
        <v>9.32</v>
      </c>
      <c r="U443" s="41"/>
      <c r="V443" s="41"/>
      <c r="W443" s="41"/>
      <c r="X443" s="41"/>
      <c r="Y443" s="43">
        <v>9.1270000000000007</v>
      </c>
      <c r="Z443" s="43"/>
      <c r="AA443" s="43"/>
      <c r="AB443" s="43"/>
      <c r="AC443" s="43"/>
      <c r="AD443" s="43">
        <v>0.193</v>
      </c>
      <c r="AE443" s="43"/>
      <c r="AF443" s="43"/>
      <c r="AG443" s="43"/>
      <c r="AH443" s="43"/>
      <c r="AI443" s="43"/>
      <c r="AJ443" s="9"/>
      <c r="AK443" s="10"/>
      <c r="AL443" s="11"/>
    </row>
    <row r="444" spans="1:38" ht="11.25" hidden="1" customHeight="1" outlineLevel="1" x14ac:dyDescent="0.2">
      <c r="A444" s="21">
        <v>13</v>
      </c>
      <c r="B444" s="88" t="s">
        <v>435</v>
      </c>
      <c r="C444" s="88"/>
      <c r="D444" s="88"/>
      <c r="E444" s="88"/>
      <c r="F444" s="88"/>
      <c r="G444" s="88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41">
        <v>18.079999999999998</v>
      </c>
      <c r="U444" s="41"/>
      <c r="V444" s="41"/>
      <c r="W444" s="41"/>
      <c r="X444" s="41"/>
      <c r="Y444" s="41">
        <v>18.38</v>
      </c>
      <c r="Z444" s="41"/>
      <c r="AA444" s="41"/>
      <c r="AB444" s="41"/>
      <c r="AC444" s="41"/>
      <c r="AD444" s="59">
        <v>-0.3</v>
      </c>
      <c r="AE444" s="59"/>
      <c r="AF444" s="59"/>
      <c r="AG444" s="59"/>
      <c r="AH444" s="59"/>
      <c r="AI444" s="59"/>
      <c r="AJ444" s="9"/>
      <c r="AK444" s="10"/>
      <c r="AL444" s="11"/>
    </row>
    <row r="445" spans="1:38" ht="11.25" hidden="1" customHeight="1" outlineLevel="1" x14ac:dyDescent="0.2">
      <c r="A445" s="21">
        <v>14</v>
      </c>
      <c r="B445" s="88" t="s">
        <v>436</v>
      </c>
      <c r="C445" s="88"/>
      <c r="D445" s="88"/>
      <c r="E445" s="88"/>
      <c r="F445" s="88"/>
      <c r="G445" s="88"/>
      <c r="H445" s="88"/>
      <c r="I445" s="88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41">
        <v>12.36</v>
      </c>
      <c r="U445" s="41"/>
      <c r="V445" s="41"/>
      <c r="W445" s="41"/>
      <c r="X445" s="41"/>
      <c r="Y445" s="43">
        <v>12.372999999999999</v>
      </c>
      <c r="Z445" s="43"/>
      <c r="AA445" s="43"/>
      <c r="AB445" s="43"/>
      <c r="AC445" s="43"/>
      <c r="AD445" s="43">
        <v>-1.2999999999999999E-2</v>
      </c>
      <c r="AE445" s="43"/>
      <c r="AF445" s="43"/>
      <c r="AG445" s="43"/>
      <c r="AH445" s="43"/>
      <c r="AI445" s="43"/>
      <c r="AJ445" s="9"/>
      <c r="AK445" s="10"/>
      <c r="AL445" s="11"/>
    </row>
    <row r="446" spans="1:38" ht="11.25" hidden="1" customHeight="1" outlineLevel="1" x14ac:dyDescent="0.2">
      <c r="A446" s="21">
        <v>15</v>
      </c>
      <c r="B446" s="88" t="s">
        <v>437</v>
      </c>
      <c r="C446" s="88"/>
      <c r="D446" s="88"/>
      <c r="E446" s="88"/>
      <c r="F446" s="88"/>
      <c r="G446" s="88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59">
        <v>46.4</v>
      </c>
      <c r="U446" s="59"/>
      <c r="V446" s="59"/>
      <c r="W446" s="59"/>
      <c r="X446" s="59"/>
      <c r="Y446" s="43">
        <v>46.713000000000001</v>
      </c>
      <c r="Z446" s="43"/>
      <c r="AA446" s="43"/>
      <c r="AB446" s="43"/>
      <c r="AC446" s="43"/>
      <c r="AD446" s="43">
        <v>-0.313</v>
      </c>
      <c r="AE446" s="43"/>
      <c r="AF446" s="43"/>
      <c r="AG446" s="43"/>
      <c r="AH446" s="43"/>
      <c r="AI446" s="43"/>
      <c r="AJ446" s="9"/>
      <c r="AK446" s="10"/>
      <c r="AL446" s="11"/>
    </row>
    <row r="447" spans="1:38" ht="11.25" hidden="1" customHeight="1" outlineLevel="1" x14ac:dyDescent="0.2">
      <c r="A447" s="21">
        <v>16</v>
      </c>
      <c r="B447" s="88" t="s">
        <v>438</v>
      </c>
      <c r="C447" s="88"/>
      <c r="D447" s="88"/>
      <c r="E447" s="88"/>
      <c r="F447" s="88"/>
      <c r="G447" s="88"/>
      <c r="H447" s="88"/>
      <c r="I447" s="88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59">
        <v>26.8</v>
      </c>
      <c r="U447" s="59"/>
      <c r="V447" s="59"/>
      <c r="W447" s="59"/>
      <c r="X447" s="59"/>
      <c r="Y447" s="43">
        <v>27.276</v>
      </c>
      <c r="Z447" s="43"/>
      <c r="AA447" s="43"/>
      <c r="AB447" s="43"/>
      <c r="AC447" s="43"/>
      <c r="AD447" s="43">
        <v>-0.47599999999999998</v>
      </c>
      <c r="AE447" s="43"/>
      <c r="AF447" s="43"/>
      <c r="AG447" s="43"/>
      <c r="AH447" s="43"/>
      <c r="AI447" s="43"/>
      <c r="AJ447" s="9"/>
      <c r="AK447" s="10"/>
      <c r="AL447" s="11"/>
    </row>
    <row r="448" spans="1:38" ht="11.25" hidden="1" customHeight="1" outlineLevel="1" x14ac:dyDescent="0.2">
      <c r="A448" s="21">
        <v>17</v>
      </c>
      <c r="B448" s="88" t="s">
        <v>439</v>
      </c>
      <c r="C448" s="88"/>
      <c r="D448" s="88"/>
      <c r="E448" s="88"/>
      <c r="F448" s="88"/>
      <c r="G448" s="88"/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59">
        <v>119.6</v>
      </c>
      <c r="U448" s="59"/>
      <c r="V448" s="59"/>
      <c r="W448" s="59"/>
      <c r="X448" s="59"/>
      <c r="Y448" s="43">
        <v>127.64700000000001</v>
      </c>
      <c r="Z448" s="43"/>
      <c r="AA448" s="43"/>
      <c r="AB448" s="43"/>
      <c r="AC448" s="43"/>
      <c r="AD448" s="43">
        <v>-8.0470000000000006</v>
      </c>
      <c r="AE448" s="43"/>
      <c r="AF448" s="43"/>
      <c r="AG448" s="43"/>
      <c r="AH448" s="43"/>
      <c r="AI448" s="43"/>
      <c r="AJ448" s="9"/>
      <c r="AK448" s="10"/>
      <c r="AL448" s="11"/>
    </row>
    <row r="449" spans="1:38" ht="11.25" hidden="1" customHeight="1" outlineLevel="1" x14ac:dyDescent="0.2">
      <c r="A449" s="21">
        <v>18</v>
      </c>
      <c r="B449" s="88" t="s">
        <v>440</v>
      </c>
      <c r="C449" s="88"/>
      <c r="D449" s="88"/>
      <c r="E449" s="88"/>
      <c r="F449" s="88"/>
      <c r="G449" s="88"/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41">
        <v>27.26</v>
      </c>
      <c r="U449" s="41"/>
      <c r="V449" s="41"/>
      <c r="W449" s="41"/>
      <c r="X449" s="41"/>
      <c r="Y449" s="43">
        <v>27.707000000000001</v>
      </c>
      <c r="Z449" s="43"/>
      <c r="AA449" s="43"/>
      <c r="AB449" s="43"/>
      <c r="AC449" s="43"/>
      <c r="AD449" s="43">
        <v>-0.44700000000000001</v>
      </c>
      <c r="AE449" s="43"/>
      <c r="AF449" s="43"/>
      <c r="AG449" s="43"/>
      <c r="AH449" s="43"/>
      <c r="AI449" s="43"/>
      <c r="AJ449" s="9"/>
      <c r="AK449" s="10"/>
      <c r="AL449" s="11"/>
    </row>
    <row r="450" spans="1:38" ht="11.25" hidden="1" customHeight="1" outlineLevel="1" x14ac:dyDescent="0.2">
      <c r="A450" s="21">
        <v>19</v>
      </c>
      <c r="B450" s="88" t="s">
        <v>441</v>
      </c>
      <c r="C450" s="88"/>
      <c r="D450" s="88"/>
      <c r="E450" s="88"/>
      <c r="F450" s="88"/>
      <c r="G450" s="88"/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41">
        <v>102.56</v>
      </c>
      <c r="U450" s="41"/>
      <c r="V450" s="41"/>
      <c r="W450" s="41"/>
      <c r="X450" s="41"/>
      <c r="Y450" s="43">
        <v>109.995</v>
      </c>
      <c r="Z450" s="43"/>
      <c r="AA450" s="43"/>
      <c r="AB450" s="43"/>
      <c r="AC450" s="43"/>
      <c r="AD450" s="43">
        <v>-7.4349999999999996</v>
      </c>
      <c r="AE450" s="43"/>
      <c r="AF450" s="43"/>
      <c r="AG450" s="43"/>
      <c r="AH450" s="43"/>
      <c r="AI450" s="43"/>
      <c r="AJ450" s="9"/>
      <c r="AK450" s="10"/>
      <c r="AL450" s="11"/>
    </row>
    <row r="451" spans="1:38" ht="11.25" hidden="1" customHeight="1" outlineLevel="1" x14ac:dyDescent="0.2">
      <c r="A451" s="21">
        <v>20</v>
      </c>
      <c r="B451" s="88" t="s">
        <v>442</v>
      </c>
      <c r="C451" s="88"/>
      <c r="D451" s="88"/>
      <c r="E451" s="88"/>
      <c r="F451" s="88"/>
      <c r="G451" s="88"/>
      <c r="H451" s="88"/>
      <c r="I451" s="88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41">
        <v>39.54</v>
      </c>
      <c r="U451" s="41"/>
      <c r="V451" s="41"/>
      <c r="W451" s="41"/>
      <c r="X451" s="41"/>
      <c r="Y451" s="43">
        <v>39.500999999999998</v>
      </c>
      <c r="Z451" s="43"/>
      <c r="AA451" s="43"/>
      <c r="AB451" s="43"/>
      <c r="AC451" s="43"/>
      <c r="AD451" s="43">
        <v>3.9E-2</v>
      </c>
      <c r="AE451" s="43"/>
      <c r="AF451" s="43"/>
      <c r="AG451" s="43"/>
      <c r="AH451" s="43"/>
      <c r="AI451" s="43"/>
      <c r="AJ451" s="9"/>
      <c r="AK451" s="10"/>
      <c r="AL451" s="11"/>
    </row>
    <row r="452" spans="1:38" ht="11.25" hidden="1" customHeight="1" outlineLevel="1" x14ac:dyDescent="0.2">
      <c r="A452" s="21">
        <v>21</v>
      </c>
      <c r="B452" s="88" t="s">
        <v>443</v>
      </c>
      <c r="C452" s="88"/>
      <c r="D452" s="88"/>
      <c r="E452" s="88"/>
      <c r="F452" s="88"/>
      <c r="G452" s="88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41">
        <v>42.72</v>
      </c>
      <c r="U452" s="41"/>
      <c r="V452" s="41"/>
      <c r="W452" s="41"/>
      <c r="X452" s="41"/>
      <c r="Y452" s="43">
        <v>44.119</v>
      </c>
      <c r="Z452" s="43"/>
      <c r="AA452" s="43"/>
      <c r="AB452" s="43"/>
      <c r="AC452" s="43"/>
      <c r="AD452" s="43">
        <v>-1.399</v>
      </c>
      <c r="AE452" s="43"/>
      <c r="AF452" s="43"/>
      <c r="AG452" s="43"/>
      <c r="AH452" s="43"/>
      <c r="AI452" s="43"/>
      <c r="AJ452" s="9"/>
      <c r="AK452" s="10"/>
      <c r="AL452" s="11"/>
    </row>
    <row r="453" spans="1:38" ht="21.75" hidden="1" customHeight="1" outlineLevel="1" x14ac:dyDescent="0.2">
      <c r="A453" s="21">
        <v>22</v>
      </c>
      <c r="B453" s="88" t="s">
        <v>444</v>
      </c>
      <c r="C453" s="88"/>
      <c r="D453" s="88"/>
      <c r="E453" s="88"/>
      <c r="F453" s="88"/>
      <c r="G453" s="88"/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59">
        <v>20.7</v>
      </c>
      <c r="U453" s="59"/>
      <c r="V453" s="59"/>
      <c r="W453" s="59"/>
      <c r="X453" s="59"/>
      <c r="Y453" s="41">
        <v>21.85</v>
      </c>
      <c r="Z453" s="41"/>
      <c r="AA453" s="41"/>
      <c r="AB453" s="41"/>
      <c r="AC453" s="41"/>
      <c r="AD453" s="41">
        <v>-1.1499999999999999</v>
      </c>
      <c r="AE453" s="41"/>
      <c r="AF453" s="41"/>
      <c r="AG453" s="41"/>
      <c r="AH453" s="41"/>
      <c r="AI453" s="41"/>
      <c r="AJ453" s="9"/>
      <c r="AK453" s="10"/>
      <c r="AL453" s="11"/>
    </row>
    <row r="454" spans="1:38" ht="21.75" hidden="1" customHeight="1" outlineLevel="1" x14ac:dyDescent="0.2">
      <c r="A454" s="21">
        <v>23</v>
      </c>
      <c r="B454" s="88" t="s">
        <v>445</v>
      </c>
      <c r="C454" s="88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59">
        <v>15.6</v>
      </c>
      <c r="U454" s="59"/>
      <c r="V454" s="59"/>
      <c r="W454" s="59"/>
      <c r="X454" s="59"/>
      <c r="Y454" s="43">
        <v>15.936</v>
      </c>
      <c r="Z454" s="43"/>
      <c r="AA454" s="43"/>
      <c r="AB454" s="43"/>
      <c r="AC454" s="43"/>
      <c r="AD454" s="43">
        <v>-0.33600000000000002</v>
      </c>
      <c r="AE454" s="43"/>
      <c r="AF454" s="43"/>
      <c r="AG454" s="43"/>
      <c r="AH454" s="43"/>
      <c r="AI454" s="43"/>
      <c r="AJ454" s="9"/>
      <c r="AK454" s="10"/>
      <c r="AL454" s="11"/>
    </row>
    <row r="455" spans="1:38" ht="21.75" hidden="1" customHeight="1" outlineLevel="1" x14ac:dyDescent="0.2">
      <c r="A455" s="21">
        <v>24</v>
      </c>
      <c r="B455" s="88" t="s">
        <v>446</v>
      </c>
      <c r="C455" s="88"/>
      <c r="D455" s="88"/>
      <c r="E455" s="88"/>
      <c r="F455" s="88"/>
      <c r="G455" s="88"/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59">
        <v>27.5</v>
      </c>
      <c r="U455" s="59"/>
      <c r="V455" s="59"/>
      <c r="W455" s="59"/>
      <c r="X455" s="59"/>
      <c r="Y455" s="43">
        <v>27.486999999999998</v>
      </c>
      <c r="Z455" s="43"/>
      <c r="AA455" s="43"/>
      <c r="AB455" s="43"/>
      <c r="AC455" s="43"/>
      <c r="AD455" s="43">
        <v>1.2999999999999999E-2</v>
      </c>
      <c r="AE455" s="43"/>
      <c r="AF455" s="43"/>
      <c r="AG455" s="43"/>
      <c r="AH455" s="43"/>
      <c r="AI455" s="43"/>
      <c r="AJ455" s="9"/>
      <c r="AK455" s="10"/>
      <c r="AL455" s="11"/>
    </row>
    <row r="456" spans="1:38" ht="11.25" hidden="1" customHeight="1" outlineLevel="1" x14ac:dyDescent="0.2">
      <c r="A456" s="21">
        <v>25</v>
      </c>
      <c r="B456" s="88" t="s">
        <v>447</v>
      </c>
      <c r="C456" s="88"/>
      <c r="D456" s="88"/>
      <c r="E456" s="88"/>
      <c r="F456" s="88"/>
      <c r="G456" s="88"/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59">
        <v>18.3</v>
      </c>
      <c r="U456" s="59"/>
      <c r="V456" s="59"/>
      <c r="W456" s="59"/>
      <c r="X456" s="59"/>
      <c r="Y456" s="43">
        <v>19.178999999999998</v>
      </c>
      <c r="Z456" s="43"/>
      <c r="AA456" s="43"/>
      <c r="AB456" s="43"/>
      <c r="AC456" s="43"/>
      <c r="AD456" s="43">
        <v>-0.879</v>
      </c>
      <c r="AE456" s="43"/>
      <c r="AF456" s="43"/>
      <c r="AG456" s="43"/>
      <c r="AH456" s="43"/>
      <c r="AI456" s="43"/>
      <c r="AJ456" s="9"/>
      <c r="AK456" s="10"/>
      <c r="AL456" s="11"/>
    </row>
    <row r="457" spans="1:38" ht="11.25" hidden="1" customHeight="1" outlineLevel="1" x14ac:dyDescent="0.2">
      <c r="A457" s="21">
        <v>26</v>
      </c>
      <c r="B457" s="88" t="s">
        <v>448</v>
      </c>
      <c r="C457" s="88"/>
      <c r="D457" s="88"/>
      <c r="E457" s="88"/>
      <c r="F457" s="88"/>
      <c r="G457" s="88"/>
      <c r="H457" s="88"/>
      <c r="I457" s="88"/>
      <c r="J457" s="88"/>
      <c r="K457" s="88"/>
      <c r="L457" s="88"/>
      <c r="M457" s="88"/>
      <c r="N457" s="88"/>
      <c r="O457" s="88"/>
      <c r="P457" s="88"/>
      <c r="Q457" s="88"/>
      <c r="R457" s="88"/>
      <c r="S457" s="88"/>
      <c r="T457" s="41">
        <v>14.75</v>
      </c>
      <c r="U457" s="41"/>
      <c r="V457" s="41"/>
      <c r="W457" s="41"/>
      <c r="X457" s="41"/>
      <c r="Y457" s="43">
        <v>15.295999999999999</v>
      </c>
      <c r="Z457" s="43"/>
      <c r="AA457" s="43"/>
      <c r="AB457" s="43"/>
      <c r="AC457" s="43"/>
      <c r="AD457" s="43">
        <v>-0.54600000000000004</v>
      </c>
      <c r="AE457" s="43"/>
      <c r="AF457" s="43"/>
      <c r="AG457" s="43"/>
      <c r="AH457" s="43"/>
      <c r="AI457" s="43"/>
      <c r="AJ457" s="9"/>
      <c r="AK457" s="10"/>
      <c r="AL457" s="11"/>
    </row>
    <row r="458" spans="1:38" ht="11.25" hidden="1" customHeight="1" outlineLevel="1" x14ac:dyDescent="0.2">
      <c r="A458" s="21">
        <v>27</v>
      </c>
      <c r="B458" s="88" t="s">
        <v>449</v>
      </c>
      <c r="C458" s="88"/>
      <c r="D458" s="88"/>
      <c r="E458" s="88"/>
      <c r="F458" s="88"/>
      <c r="G458" s="88"/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41">
        <v>42.25</v>
      </c>
      <c r="U458" s="41"/>
      <c r="V458" s="41"/>
      <c r="W458" s="41"/>
      <c r="X458" s="41"/>
      <c r="Y458" s="43">
        <v>43.290999999999997</v>
      </c>
      <c r="Z458" s="43"/>
      <c r="AA458" s="43"/>
      <c r="AB458" s="43"/>
      <c r="AC458" s="43"/>
      <c r="AD458" s="43">
        <v>-1.0409999999999999</v>
      </c>
      <c r="AE458" s="43"/>
      <c r="AF458" s="43"/>
      <c r="AG458" s="43"/>
      <c r="AH458" s="43"/>
      <c r="AI458" s="43"/>
      <c r="AJ458" s="9"/>
      <c r="AK458" s="10"/>
      <c r="AL458" s="11"/>
    </row>
    <row r="459" spans="1:38" ht="11.25" hidden="1" customHeight="1" outlineLevel="1" x14ac:dyDescent="0.2">
      <c r="A459" s="21">
        <v>28</v>
      </c>
      <c r="B459" s="88" t="s">
        <v>450</v>
      </c>
      <c r="C459" s="88"/>
      <c r="D459" s="88"/>
      <c r="E459" s="88"/>
      <c r="F459" s="88"/>
      <c r="G459" s="88"/>
      <c r="H459" s="88"/>
      <c r="I459" s="88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41">
        <v>18.25</v>
      </c>
      <c r="U459" s="41"/>
      <c r="V459" s="41"/>
      <c r="W459" s="41"/>
      <c r="X459" s="41"/>
      <c r="Y459" s="43">
        <v>18.702000000000002</v>
      </c>
      <c r="Z459" s="43"/>
      <c r="AA459" s="43"/>
      <c r="AB459" s="43"/>
      <c r="AC459" s="43"/>
      <c r="AD459" s="43">
        <v>-0.45200000000000001</v>
      </c>
      <c r="AE459" s="43"/>
      <c r="AF459" s="43"/>
      <c r="AG459" s="43"/>
      <c r="AH459" s="43"/>
      <c r="AI459" s="43"/>
      <c r="AJ459" s="9"/>
      <c r="AK459" s="10"/>
      <c r="AL459" s="11"/>
    </row>
    <row r="460" spans="1:38" ht="11.25" hidden="1" customHeight="1" outlineLevel="1" x14ac:dyDescent="0.2">
      <c r="A460" s="21">
        <v>29</v>
      </c>
      <c r="B460" s="88" t="s">
        <v>451</v>
      </c>
      <c r="C460" s="88"/>
      <c r="D460" s="88"/>
      <c r="E460" s="88"/>
      <c r="F460" s="88"/>
      <c r="G460" s="88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43">
        <v>16.315999999999999</v>
      </c>
      <c r="U460" s="43"/>
      <c r="V460" s="43"/>
      <c r="W460" s="43"/>
      <c r="X460" s="43"/>
      <c r="Y460" s="43">
        <v>16.657</v>
      </c>
      <c r="Z460" s="43"/>
      <c r="AA460" s="43"/>
      <c r="AB460" s="43"/>
      <c r="AC460" s="43"/>
      <c r="AD460" s="43">
        <v>-0.34100000000000003</v>
      </c>
      <c r="AE460" s="43"/>
      <c r="AF460" s="43"/>
      <c r="AG460" s="43"/>
      <c r="AH460" s="43"/>
      <c r="AI460" s="43"/>
      <c r="AJ460" s="9"/>
      <c r="AK460" s="10"/>
      <c r="AL460" s="11"/>
    </row>
    <row r="461" spans="1:38" ht="21.75" hidden="1" customHeight="1" outlineLevel="1" x14ac:dyDescent="0.2">
      <c r="A461" s="21">
        <v>30</v>
      </c>
      <c r="B461" s="88" t="s">
        <v>452</v>
      </c>
      <c r="C461" s="88"/>
      <c r="D461" s="88"/>
      <c r="E461" s="88"/>
      <c r="F461" s="88"/>
      <c r="G461" s="88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41">
        <v>11.33</v>
      </c>
      <c r="U461" s="41"/>
      <c r="V461" s="41"/>
      <c r="W461" s="41"/>
      <c r="X461" s="41"/>
      <c r="Y461" s="43">
        <v>11.592000000000001</v>
      </c>
      <c r="Z461" s="43"/>
      <c r="AA461" s="43"/>
      <c r="AB461" s="43"/>
      <c r="AC461" s="43"/>
      <c r="AD461" s="43">
        <v>-0.26200000000000001</v>
      </c>
      <c r="AE461" s="43"/>
      <c r="AF461" s="43"/>
      <c r="AG461" s="43"/>
      <c r="AH461" s="43"/>
      <c r="AI461" s="43"/>
      <c r="AJ461" s="9"/>
      <c r="AK461" s="10"/>
      <c r="AL461" s="11"/>
    </row>
    <row r="462" spans="1:38" ht="21.75" hidden="1" customHeight="1" outlineLevel="1" x14ac:dyDescent="0.2">
      <c r="A462" s="21">
        <v>31</v>
      </c>
      <c r="B462" s="88" t="s">
        <v>453</v>
      </c>
      <c r="C462" s="88"/>
      <c r="D462" s="88"/>
      <c r="E462" s="88"/>
      <c r="F462" s="88"/>
      <c r="G462" s="88"/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41">
        <v>50.51</v>
      </c>
      <c r="U462" s="41"/>
      <c r="V462" s="41"/>
      <c r="W462" s="41"/>
      <c r="X462" s="41"/>
      <c r="Y462" s="43">
        <v>50.969000000000001</v>
      </c>
      <c r="Z462" s="43"/>
      <c r="AA462" s="43"/>
      <c r="AB462" s="43"/>
      <c r="AC462" s="43"/>
      <c r="AD462" s="43">
        <v>-0.45900000000000002</v>
      </c>
      <c r="AE462" s="43"/>
      <c r="AF462" s="43"/>
      <c r="AG462" s="43"/>
      <c r="AH462" s="43"/>
      <c r="AI462" s="43"/>
      <c r="AJ462" s="9"/>
      <c r="AK462" s="10"/>
      <c r="AL462" s="11"/>
    </row>
    <row r="463" spans="1:38" ht="11.25" hidden="1" customHeight="1" outlineLevel="1" x14ac:dyDescent="0.2">
      <c r="A463" s="21">
        <v>32</v>
      </c>
      <c r="B463" s="88" t="s">
        <v>454</v>
      </c>
      <c r="C463" s="88"/>
      <c r="D463" s="88"/>
      <c r="E463" s="88"/>
      <c r="F463" s="88"/>
      <c r="G463" s="88"/>
      <c r="H463" s="88"/>
      <c r="I463" s="88"/>
      <c r="J463" s="88"/>
      <c r="K463" s="88"/>
      <c r="L463" s="88"/>
      <c r="M463" s="88"/>
      <c r="N463" s="88"/>
      <c r="O463" s="88"/>
      <c r="P463" s="88"/>
      <c r="Q463" s="88"/>
      <c r="R463" s="88"/>
      <c r="S463" s="88"/>
      <c r="T463" s="41">
        <v>4.72</v>
      </c>
      <c r="U463" s="41"/>
      <c r="V463" s="41"/>
      <c r="W463" s="41"/>
      <c r="X463" s="41"/>
      <c r="Y463" s="59">
        <v>4.8</v>
      </c>
      <c r="Z463" s="59"/>
      <c r="AA463" s="59"/>
      <c r="AB463" s="59"/>
      <c r="AC463" s="59"/>
      <c r="AD463" s="41">
        <v>-0.08</v>
      </c>
      <c r="AE463" s="41"/>
      <c r="AF463" s="41"/>
      <c r="AG463" s="41"/>
      <c r="AH463" s="41"/>
      <c r="AI463" s="41"/>
      <c r="AJ463" s="9"/>
      <c r="AK463" s="10"/>
      <c r="AL463" s="11"/>
    </row>
    <row r="464" spans="1:38" ht="21.75" hidden="1" customHeight="1" outlineLevel="1" x14ac:dyDescent="0.2">
      <c r="A464" s="21">
        <v>33</v>
      </c>
      <c r="B464" s="88" t="s">
        <v>455</v>
      </c>
      <c r="C464" s="88"/>
      <c r="D464" s="88"/>
      <c r="E464" s="88"/>
      <c r="F464" s="88"/>
      <c r="G464" s="88"/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41">
        <v>20.76</v>
      </c>
      <c r="U464" s="41"/>
      <c r="V464" s="41"/>
      <c r="W464" s="41"/>
      <c r="X464" s="41"/>
      <c r="Y464" s="41">
        <v>20.76</v>
      </c>
      <c r="Z464" s="41"/>
      <c r="AA464" s="41"/>
      <c r="AB464" s="41"/>
      <c r="AC464" s="41"/>
      <c r="AD464" s="12"/>
      <c r="AE464" s="13"/>
      <c r="AF464" s="13"/>
      <c r="AG464" s="13"/>
      <c r="AH464" s="13"/>
      <c r="AI464" s="14"/>
      <c r="AJ464" s="9"/>
      <c r="AK464" s="10"/>
      <c r="AL464" s="11"/>
    </row>
    <row r="465" spans="1:38" ht="11.25" hidden="1" customHeight="1" outlineLevel="1" x14ac:dyDescent="0.2">
      <c r="A465" s="21">
        <v>34</v>
      </c>
      <c r="B465" s="88" t="s">
        <v>456</v>
      </c>
      <c r="C465" s="88"/>
      <c r="D465" s="88"/>
      <c r="E465" s="88"/>
      <c r="F465" s="88"/>
      <c r="G465" s="88"/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41">
        <v>28.87</v>
      </c>
      <c r="U465" s="41"/>
      <c r="V465" s="41"/>
      <c r="W465" s="41"/>
      <c r="X465" s="41"/>
      <c r="Y465" s="41">
        <v>29.73</v>
      </c>
      <c r="Z465" s="41"/>
      <c r="AA465" s="41"/>
      <c r="AB465" s="41"/>
      <c r="AC465" s="41"/>
      <c r="AD465" s="41">
        <v>-0.86</v>
      </c>
      <c r="AE465" s="41"/>
      <c r="AF465" s="41"/>
      <c r="AG465" s="41"/>
      <c r="AH465" s="41"/>
      <c r="AI465" s="41"/>
      <c r="AJ465" s="9"/>
      <c r="AK465" s="10"/>
      <c r="AL465" s="11"/>
    </row>
    <row r="466" spans="1:38" ht="21.75" hidden="1" customHeight="1" outlineLevel="1" x14ac:dyDescent="0.2">
      <c r="A466" s="21">
        <v>35</v>
      </c>
      <c r="B466" s="88" t="s">
        <v>457</v>
      </c>
      <c r="C466" s="88"/>
      <c r="D466" s="88"/>
      <c r="E466" s="88"/>
      <c r="F466" s="88"/>
      <c r="G466" s="88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41">
        <v>47.21</v>
      </c>
      <c r="U466" s="41"/>
      <c r="V466" s="41"/>
      <c r="W466" s="41"/>
      <c r="X466" s="41"/>
      <c r="Y466" s="43">
        <v>48.109000000000002</v>
      </c>
      <c r="Z466" s="43"/>
      <c r="AA466" s="43"/>
      <c r="AB466" s="43"/>
      <c r="AC466" s="43"/>
      <c r="AD466" s="43">
        <v>-0.89900000000000002</v>
      </c>
      <c r="AE466" s="43"/>
      <c r="AF466" s="43"/>
      <c r="AG466" s="43"/>
      <c r="AH466" s="43"/>
      <c r="AI466" s="43"/>
      <c r="AJ466" s="9"/>
      <c r="AK466" s="10"/>
      <c r="AL466" s="11"/>
    </row>
    <row r="467" spans="1:38" ht="21.75" hidden="1" customHeight="1" outlineLevel="1" x14ac:dyDescent="0.2">
      <c r="A467" s="21">
        <v>36</v>
      </c>
      <c r="B467" s="88" t="s">
        <v>458</v>
      </c>
      <c r="C467" s="88"/>
      <c r="D467" s="88"/>
      <c r="E467" s="88"/>
      <c r="F467" s="88"/>
      <c r="G467" s="88"/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41">
        <v>1.05</v>
      </c>
      <c r="U467" s="41"/>
      <c r="V467" s="41"/>
      <c r="W467" s="41"/>
      <c r="X467" s="41"/>
      <c r="Y467" s="41">
        <v>1.05</v>
      </c>
      <c r="Z467" s="41"/>
      <c r="AA467" s="41"/>
      <c r="AB467" s="41"/>
      <c r="AC467" s="41"/>
      <c r="AD467" s="12"/>
      <c r="AE467" s="13"/>
      <c r="AF467" s="13"/>
      <c r="AG467" s="13"/>
      <c r="AH467" s="13"/>
      <c r="AI467" s="14"/>
      <c r="AJ467" s="9"/>
      <c r="AK467" s="10"/>
      <c r="AL467" s="11"/>
    </row>
    <row r="468" spans="1:38" ht="11.25" hidden="1" customHeight="1" outlineLevel="1" x14ac:dyDescent="0.2">
      <c r="A468" s="21">
        <v>37</v>
      </c>
      <c r="B468" s="88" t="s">
        <v>459</v>
      </c>
      <c r="C468" s="88"/>
      <c r="D468" s="88"/>
      <c r="E468" s="88"/>
      <c r="F468" s="88"/>
      <c r="G468" s="88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58">
        <v>1</v>
      </c>
      <c r="U468" s="58"/>
      <c r="V468" s="58"/>
      <c r="W468" s="58"/>
      <c r="X468" s="58"/>
      <c r="Y468" s="58">
        <v>1</v>
      </c>
      <c r="Z468" s="58"/>
      <c r="AA468" s="58"/>
      <c r="AB468" s="58"/>
      <c r="AC468" s="58"/>
      <c r="AD468" s="12"/>
      <c r="AE468" s="13"/>
      <c r="AF468" s="13"/>
      <c r="AG468" s="13"/>
      <c r="AH468" s="13"/>
      <c r="AI468" s="14"/>
      <c r="AJ468" s="9"/>
      <c r="AK468" s="10"/>
      <c r="AL468" s="11"/>
    </row>
    <row r="469" spans="1:38" ht="11.25" hidden="1" customHeight="1" outlineLevel="1" x14ac:dyDescent="0.2">
      <c r="A469" s="21">
        <v>38</v>
      </c>
      <c r="B469" s="88" t="s">
        <v>460</v>
      </c>
      <c r="C469" s="88"/>
      <c r="D469" s="88"/>
      <c r="E469" s="88"/>
      <c r="F469" s="88"/>
      <c r="G469" s="88"/>
      <c r="H469" s="88"/>
      <c r="I469" s="88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58">
        <v>1</v>
      </c>
      <c r="U469" s="58"/>
      <c r="V469" s="58"/>
      <c r="W469" s="58"/>
      <c r="X469" s="58"/>
      <c r="Y469" s="58">
        <v>1</v>
      </c>
      <c r="Z469" s="58"/>
      <c r="AA469" s="58"/>
      <c r="AB469" s="58"/>
      <c r="AC469" s="58"/>
      <c r="AD469" s="12"/>
      <c r="AE469" s="13"/>
      <c r="AF469" s="13"/>
      <c r="AG469" s="13"/>
      <c r="AH469" s="13"/>
      <c r="AI469" s="14"/>
      <c r="AJ469" s="9"/>
      <c r="AK469" s="10"/>
      <c r="AL469" s="11"/>
    </row>
    <row r="470" spans="1:38" ht="11.25" hidden="1" customHeight="1" outlineLevel="1" x14ac:dyDescent="0.2">
      <c r="A470" s="21">
        <v>39</v>
      </c>
      <c r="B470" s="88" t="s">
        <v>461</v>
      </c>
      <c r="C470" s="88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58">
        <v>1</v>
      </c>
      <c r="U470" s="58"/>
      <c r="V470" s="58"/>
      <c r="W470" s="58"/>
      <c r="X470" s="58"/>
      <c r="Y470" s="58">
        <v>1</v>
      </c>
      <c r="Z470" s="58"/>
      <c r="AA470" s="58"/>
      <c r="AB470" s="58"/>
      <c r="AC470" s="58"/>
      <c r="AD470" s="12"/>
      <c r="AE470" s="13"/>
      <c r="AF470" s="13"/>
      <c r="AG470" s="13"/>
      <c r="AH470" s="13"/>
      <c r="AI470" s="14"/>
      <c r="AJ470" s="9"/>
      <c r="AK470" s="10"/>
      <c r="AL470" s="11"/>
    </row>
    <row r="471" spans="1:38" ht="21.75" hidden="1" customHeight="1" outlineLevel="1" x14ac:dyDescent="0.2">
      <c r="A471" s="21">
        <v>40</v>
      </c>
      <c r="B471" s="88" t="s">
        <v>462</v>
      </c>
      <c r="C471" s="88"/>
      <c r="D471" s="88"/>
      <c r="E471" s="88"/>
      <c r="F471" s="88"/>
      <c r="G471" s="88"/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58">
        <v>2</v>
      </c>
      <c r="U471" s="58"/>
      <c r="V471" s="58"/>
      <c r="W471" s="58"/>
      <c r="X471" s="58"/>
      <c r="Y471" s="58">
        <v>2</v>
      </c>
      <c r="Z471" s="58"/>
      <c r="AA471" s="58"/>
      <c r="AB471" s="58"/>
      <c r="AC471" s="58"/>
      <c r="AD471" s="12"/>
      <c r="AE471" s="13"/>
      <c r="AF471" s="13"/>
      <c r="AG471" s="13"/>
      <c r="AH471" s="13"/>
      <c r="AI471" s="14"/>
      <c r="AJ471" s="9"/>
      <c r="AK471" s="10"/>
      <c r="AL471" s="11"/>
    </row>
    <row r="472" spans="1:38" ht="11.25" hidden="1" customHeight="1" collapsed="1" x14ac:dyDescent="0.2">
      <c r="A472" s="60" t="s">
        <v>463</v>
      </c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4">
        <v>1047.57</v>
      </c>
      <c r="U472" s="64"/>
      <c r="V472" s="64"/>
      <c r="W472" s="64"/>
      <c r="X472" s="64"/>
      <c r="Y472" s="61">
        <v>1044.729</v>
      </c>
      <c r="Z472" s="61"/>
      <c r="AA472" s="61"/>
      <c r="AB472" s="61"/>
      <c r="AC472" s="61"/>
      <c r="AD472" s="62">
        <v>2.8410000000000002</v>
      </c>
      <c r="AE472" s="62"/>
      <c r="AF472" s="62"/>
      <c r="AG472" s="62"/>
      <c r="AH472" s="62"/>
      <c r="AI472" s="62"/>
      <c r="AJ472" s="62">
        <v>21.265000000000001</v>
      </c>
      <c r="AK472" s="62"/>
      <c r="AL472" s="62"/>
    </row>
    <row r="473" spans="1:38" ht="11.25" hidden="1" customHeight="1" outlineLevel="1" x14ac:dyDescent="0.2">
      <c r="A473" s="21">
        <v>1</v>
      </c>
      <c r="B473" s="88" t="s">
        <v>464</v>
      </c>
      <c r="C473" s="88"/>
      <c r="D473" s="88"/>
      <c r="E473" s="88"/>
      <c r="F473" s="88"/>
      <c r="G473" s="88"/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41">
        <v>141.28</v>
      </c>
      <c r="U473" s="41"/>
      <c r="V473" s="41"/>
      <c r="W473" s="41"/>
      <c r="X473" s="41"/>
      <c r="Y473" s="43">
        <v>132.01400000000001</v>
      </c>
      <c r="Z473" s="43"/>
      <c r="AA473" s="43"/>
      <c r="AB473" s="43"/>
      <c r="AC473" s="43"/>
      <c r="AD473" s="43">
        <v>9.266</v>
      </c>
      <c r="AE473" s="43"/>
      <c r="AF473" s="43"/>
      <c r="AG473" s="43"/>
      <c r="AH473" s="43"/>
      <c r="AI473" s="43"/>
      <c r="AJ473" s="9"/>
      <c r="AK473" s="10"/>
      <c r="AL473" s="11"/>
    </row>
    <row r="474" spans="1:38" ht="11.25" hidden="1" customHeight="1" outlineLevel="1" x14ac:dyDescent="0.2">
      <c r="A474" s="21">
        <v>2</v>
      </c>
      <c r="B474" s="88" t="s">
        <v>465</v>
      </c>
      <c r="C474" s="88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58">
        <v>146</v>
      </c>
      <c r="U474" s="58"/>
      <c r="V474" s="58"/>
      <c r="W474" s="58"/>
      <c r="X474" s="58"/>
      <c r="Y474" s="43">
        <v>147.352</v>
      </c>
      <c r="Z474" s="43"/>
      <c r="AA474" s="43"/>
      <c r="AB474" s="43"/>
      <c r="AC474" s="43"/>
      <c r="AD474" s="43">
        <v>-1.3520000000000001</v>
      </c>
      <c r="AE474" s="43"/>
      <c r="AF474" s="43"/>
      <c r="AG474" s="43"/>
      <c r="AH474" s="43"/>
      <c r="AI474" s="43"/>
      <c r="AJ474" s="9"/>
      <c r="AK474" s="10"/>
      <c r="AL474" s="11"/>
    </row>
    <row r="475" spans="1:38" ht="11.25" hidden="1" customHeight="1" outlineLevel="1" x14ac:dyDescent="0.2">
      <c r="A475" s="21">
        <v>3</v>
      </c>
      <c r="B475" s="88" t="s">
        <v>466</v>
      </c>
      <c r="C475" s="88"/>
      <c r="D475" s="88"/>
      <c r="E475" s="88"/>
      <c r="F475" s="88"/>
      <c r="G475" s="88"/>
      <c r="H475" s="88"/>
      <c r="I475" s="88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59">
        <v>392.4</v>
      </c>
      <c r="U475" s="59"/>
      <c r="V475" s="59"/>
      <c r="W475" s="59"/>
      <c r="X475" s="59"/>
      <c r="Y475" s="43">
        <v>395.22899999999998</v>
      </c>
      <c r="Z475" s="43"/>
      <c r="AA475" s="43"/>
      <c r="AB475" s="43"/>
      <c r="AC475" s="43"/>
      <c r="AD475" s="43">
        <v>-2.8290000000000002</v>
      </c>
      <c r="AE475" s="43"/>
      <c r="AF475" s="43"/>
      <c r="AG475" s="43"/>
      <c r="AH475" s="43"/>
      <c r="AI475" s="43"/>
      <c r="AJ475" s="9"/>
      <c r="AK475" s="10"/>
      <c r="AL475" s="11"/>
    </row>
    <row r="476" spans="1:38" ht="11.25" hidden="1" customHeight="1" outlineLevel="1" x14ac:dyDescent="0.2">
      <c r="A476" s="21">
        <v>4</v>
      </c>
      <c r="B476" s="88" t="s">
        <v>467</v>
      </c>
      <c r="C476" s="88"/>
      <c r="D476" s="88"/>
      <c r="E476" s="88"/>
      <c r="F476" s="88"/>
      <c r="G476" s="88"/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41">
        <v>5.99</v>
      </c>
      <c r="U476" s="41"/>
      <c r="V476" s="41"/>
      <c r="W476" s="41"/>
      <c r="X476" s="41"/>
      <c r="Y476" s="43">
        <v>6.8630000000000004</v>
      </c>
      <c r="Z476" s="43"/>
      <c r="AA476" s="43"/>
      <c r="AB476" s="43"/>
      <c r="AC476" s="43"/>
      <c r="AD476" s="43">
        <v>-0.873</v>
      </c>
      <c r="AE476" s="43"/>
      <c r="AF476" s="43"/>
      <c r="AG476" s="43"/>
      <c r="AH476" s="43"/>
      <c r="AI476" s="43"/>
      <c r="AJ476" s="9"/>
      <c r="AK476" s="10"/>
      <c r="AL476" s="11"/>
    </row>
    <row r="477" spans="1:38" ht="11.25" hidden="1" customHeight="1" outlineLevel="1" x14ac:dyDescent="0.2">
      <c r="A477" s="21">
        <v>5</v>
      </c>
      <c r="B477" s="88" t="s">
        <v>468</v>
      </c>
      <c r="C477" s="88"/>
      <c r="D477" s="88"/>
      <c r="E477" s="88"/>
      <c r="F477" s="88"/>
      <c r="G477" s="88"/>
      <c r="H477" s="88"/>
      <c r="I477" s="88"/>
      <c r="J477" s="88"/>
      <c r="K477" s="88"/>
      <c r="L477" s="88"/>
      <c r="M477" s="88"/>
      <c r="N477" s="88"/>
      <c r="O477" s="88"/>
      <c r="P477" s="88"/>
      <c r="Q477" s="88"/>
      <c r="R477" s="88"/>
      <c r="S477" s="88"/>
      <c r="T477" s="41">
        <v>94.28</v>
      </c>
      <c r="U477" s="41"/>
      <c r="V477" s="41"/>
      <c r="W477" s="41"/>
      <c r="X477" s="41"/>
      <c r="Y477" s="43">
        <v>94.290999999999997</v>
      </c>
      <c r="Z477" s="43"/>
      <c r="AA477" s="43"/>
      <c r="AB477" s="43"/>
      <c r="AC477" s="43"/>
      <c r="AD477" s="43">
        <v>-1.0999999999999999E-2</v>
      </c>
      <c r="AE477" s="43"/>
      <c r="AF477" s="43"/>
      <c r="AG477" s="43"/>
      <c r="AH477" s="43"/>
      <c r="AI477" s="43"/>
      <c r="AJ477" s="9"/>
      <c r="AK477" s="10"/>
      <c r="AL477" s="11"/>
    </row>
    <row r="478" spans="1:38" ht="11.25" hidden="1" customHeight="1" outlineLevel="1" x14ac:dyDescent="0.2">
      <c r="A478" s="21">
        <v>6</v>
      </c>
      <c r="B478" s="88" t="s">
        <v>469</v>
      </c>
      <c r="C478" s="88"/>
      <c r="D478" s="88"/>
      <c r="E478" s="88"/>
      <c r="F478" s="88"/>
      <c r="G478" s="88"/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41">
        <v>80.14</v>
      </c>
      <c r="U478" s="41"/>
      <c r="V478" s="41"/>
      <c r="W478" s="41"/>
      <c r="X478" s="41"/>
      <c r="Y478" s="41">
        <v>80.14</v>
      </c>
      <c r="Z478" s="41"/>
      <c r="AA478" s="41"/>
      <c r="AB478" s="41"/>
      <c r="AC478" s="41"/>
      <c r="AD478" s="12"/>
      <c r="AE478" s="13"/>
      <c r="AF478" s="13"/>
      <c r="AG478" s="13"/>
      <c r="AH478" s="13"/>
      <c r="AI478" s="14"/>
      <c r="AJ478" s="9"/>
      <c r="AK478" s="10"/>
      <c r="AL478" s="11"/>
    </row>
    <row r="479" spans="1:38" ht="11.25" hidden="1" customHeight="1" outlineLevel="1" x14ac:dyDescent="0.2">
      <c r="A479" s="21">
        <v>7</v>
      </c>
      <c r="B479" s="88" t="s">
        <v>470</v>
      </c>
      <c r="C479" s="88"/>
      <c r="D479" s="88"/>
      <c r="E479" s="88"/>
      <c r="F479" s="88"/>
      <c r="G479" s="88"/>
      <c r="H479" s="88"/>
      <c r="I479" s="88"/>
      <c r="J479" s="88"/>
      <c r="K479" s="88"/>
      <c r="L479" s="88"/>
      <c r="M479" s="88"/>
      <c r="N479" s="88"/>
      <c r="O479" s="88"/>
      <c r="P479" s="88"/>
      <c r="Q479" s="88"/>
      <c r="R479" s="88"/>
      <c r="S479" s="88"/>
      <c r="T479" s="41">
        <v>93.74</v>
      </c>
      <c r="U479" s="41"/>
      <c r="V479" s="41"/>
      <c r="W479" s="41"/>
      <c r="X479" s="41"/>
      <c r="Y479" s="59">
        <v>95.1</v>
      </c>
      <c r="Z479" s="59"/>
      <c r="AA479" s="59"/>
      <c r="AB479" s="59"/>
      <c r="AC479" s="59"/>
      <c r="AD479" s="41">
        <v>-1.36</v>
      </c>
      <c r="AE479" s="41"/>
      <c r="AF479" s="41"/>
      <c r="AG479" s="41"/>
      <c r="AH479" s="41"/>
      <c r="AI479" s="41"/>
      <c r="AJ479" s="9"/>
      <c r="AK479" s="10"/>
      <c r="AL479" s="11"/>
    </row>
    <row r="480" spans="1:38" ht="11.25" hidden="1" customHeight="1" outlineLevel="1" x14ac:dyDescent="0.2">
      <c r="A480" s="21">
        <v>8</v>
      </c>
      <c r="B480" s="88" t="s">
        <v>471</v>
      </c>
      <c r="C480" s="88"/>
      <c r="D480" s="88"/>
      <c r="E480" s="88"/>
      <c r="F480" s="88"/>
      <c r="G480" s="88"/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41">
        <v>93.74</v>
      </c>
      <c r="U480" s="41"/>
      <c r="V480" s="41"/>
      <c r="W480" s="41"/>
      <c r="X480" s="41"/>
      <c r="Y480" s="41">
        <v>93.74</v>
      </c>
      <c r="Z480" s="41"/>
      <c r="AA480" s="41"/>
      <c r="AB480" s="41"/>
      <c r="AC480" s="41"/>
      <c r="AD480" s="12"/>
      <c r="AE480" s="13"/>
      <c r="AF480" s="13"/>
      <c r="AG480" s="13"/>
      <c r="AH480" s="13"/>
      <c r="AI480" s="14"/>
      <c r="AJ480" s="9"/>
      <c r="AK480" s="10"/>
      <c r="AL480" s="11"/>
    </row>
    <row r="481" spans="1:38" ht="11.25" hidden="1" customHeight="1" collapsed="1" x14ac:dyDescent="0.2">
      <c r="A481" s="60" t="s">
        <v>472</v>
      </c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1">
        <v>1012.436</v>
      </c>
      <c r="U481" s="61"/>
      <c r="V481" s="61"/>
      <c r="W481" s="61"/>
      <c r="X481" s="61"/>
      <c r="Y481" s="62">
        <v>991.07899999999995</v>
      </c>
      <c r="Z481" s="62"/>
      <c r="AA481" s="62"/>
      <c r="AB481" s="62"/>
      <c r="AC481" s="62"/>
      <c r="AD481" s="62">
        <v>21.356999999999999</v>
      </c>
      <c r="AE481" s="62"/>
      <c r="AF481" s="62"/>
      <c r="AG481" s="62"/>
      <c r="AH481" s="62"/>
      <c r="AI481" s="62"/>
      <c r="AJ481" s="62">
        <v>40.368000000000002</v>
      </c>
      <c r="AK481" s="62"/>
      <c r="AL481" s="62"/>
    </row>
    <row r="482" spans="1:38" ht="21.75" hidden="1" customHeight="1" outlineLevel="1" x14ac:dyDescent="0.2">
      <c r="A482" s="21">
        <v>1</v>
      </c>
      <c r="B482" s="88" t="s">
        <v>473</v>
      </c>
      <c r="C482" s="88"/>
      <c r="D482" s="88"/>
      <c r="E482" s="88"/>
      <c r="F482" s="88"/>
      <c r="G482" s="88"/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41">
        <v>148.44</v>
      </c>
      <c r="U482" s="41"/>
      <c r="V482" s="41"/>
      <c r="W482" s="41"/>
      <c r="X482" s="41"/>
      <c r="Y482" s="41">
        <v>125.76</v>
      </c>
      <c r="Z482" s="41"/>
      <c r="AA482" s="41"/>
      <c r="AB482" s="41"/>
      <c r="AC482" s="41"/>
      <c r="AD482" s="41">
        <v>22.68</v>
      </c>
      <c r="AE482" s="41"/>
      <c r="AF482" s="41"/>
      <c r="AG482" s="41"/>
      <c r="AH482" s="41"/>
      <c r="AI482" s="41"/>
      <c r="AJ482" s="9"/>
      <c r="AK482" s="10"/>
      <c r="AL482" s="11"/>
    </row>
    <row r="483" spans="1:38" ht="11.25" hidden="1" customHeight="1" outlineLevel="1" x14ac:dyDescent="0.2">
      <c r="A483" s="21">
        <v>2</v>
      </c>
      <c r="B483" s="88" t="s">
        <v>474</v>
      </c>
      <c r="C483" s="88"/>
      <c r="D483" s="88"/>
      <c r="E483" s="88"/>
      <c r="F483" s="88"/>
      <c r="G483" s="88"/>
      <c r="H483" s="88"/>
      <c r="I483" s="88"/>
      <c r="J483" s="88"/>
      <c r="K483" s="88"/>
      <c r="L483" s="88"/>
      <c r="M483" s="88"/>
      <c r="N483" s="88"/>
      <c r="O483" s="88"/>
      <c r="P483" s="88"/>
      <c r="Q483" s="88"/>
      <c r="R483" s="88"/>
      <c r="S483" s="88"/>
      <c r="T483" s="41">
        <v>41.31</v>
      </c>
      <c r="U483" s="41"/>
      <c r="V483" s="41"/>
      <c r="W483" s="41"/>
      <c r="X483" s="41"/>
      <c r="Y483" s="43">
        <v>38.046999999999997</v>
      </c>
      <c r="Z483" s="43"/>
      <c r="AA483" s="43"/>
      <c r="AB483" s="43"/>
      <c r="AC483" s="43"/>
      <c r="AD483" s="43">
        <v>3.2629999999999999</v>
      </c>
      <c r="AE483" s="43"/>
      <c r="AF483" s="43"/>
      <c r="AG483" s="43"/>
      <c r="AH483" s="43"/>
      <c r="AI483" s="43"/>
      <c r="AJ483" s="9"/>
      <c r="AK483" s="10"/>
      <c r="AL483" s="11"/>
    </row>
    <row r="484" spans="1:38" ht="11.25" hidden="1" customHeight="1" outlineLevel="1" x14ac:dyDescent="0.2">
      <c r="A484" s="21">
        <v>3</v>
      </c>
      <c r="B484" s="88" t="s">
        <v>475</v>
      </c>
      <c r="C484" s="88"/>
      <c r="D484" s="88"/>
      <c r="E484" s="88"/>
      <c r="F484" s="88"/>
      <c r="G484" s="88"/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59">
        <v>144.6</v>
      </c>
      <c r="U484" s="59"/>
      <c r="V484" s="59"/>
      <c r="W484" s="59"/>
      <c r="X484" s="59"/>
      <c r="Y484" s="43">
        <v>146.49799999999999</v>
      </c>
      <c r="Z484" s="43"/>
      <c r="AA484" s="43"/>
      <c r="AB484" s="43"/>
      <c r="AC484" s="43"/>
      <c r="AD484" s="43">
        <v>-1.8979999999999999</v>
      </c>
      <c r="AE484" s="43"/>
      <c r="AF484" s="43"/>
      <c r="AG484" s="43"/>
      <c r="AH484" s="43"/>
      <c r="AI484" s="43"/>
      <c r="AJ484" s="9"/>
      <c r="AK484" s="10"/>
      <c r="AL484" s="11"/>
    </row>
    <row r="485" spans="1:38" ht="11.25" hidden="1" customHeight="1" outlineLevel="1" x14ac:dyDescent="0.2">
      <c r="A485" s="21">
        <v>4</v>
      </c>
      <c r="B485" s="88" t="s">
        <v>476</v>
      </c>
      <c r="C485" s="88"/>
      <c r="D485" s="88"/>
      <c r="E485" s="88"/>
      <c r="F485" s="88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41">
        <v>47.29</v>
      </c>
      <c r="U485" s="41"/>
      <c r="V485" s="41"/>
      <c r="W485" s="41"/>
      <c r="X485" s="41"/>
      <c r="Y485" s="43">
        <v>46.121000000000002</v>
      </c>
      <c r="Z485" s="43"/>
      <c r="AA485" s="43"/>
      <c r="AB485" s="43"/>
      <c r="AC485" s="43"/>
      <c r="AD485" s="43">
        <v>1.169</v>
      </c>
      <c r="AE485" s="43"/>
      <c r="AF485" s="43"/>
      <c r="AG485" s="43"/>
      <c r="AH485" s="43"/>
      <c r="AI485" s="43"/>
      <c r="AJ485" s="9"/>
      <c r="AK485" s="10"/>
      <c r="AL485" s="11"/>
    </row>
    <row r="486" spans="1:38" ht="21.75" hidden="1" customHeight="1" outlineLevel="1" x14ac:dyDescent="0.2">
      <c r="A486" s="21">
        <v>5</v>
      </c>
      <c r="B486" s="88" t="s">
        <v>477</v>
      </c>
      <c r="C486" s="88"/>
      <c r="D486" s="88"/>
      <c r="E486" s="88"/>
      <c r="F486" s="88"/>
      <c r="G486" s="88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59">
        <v>37.799999999999997</v>
      </c>
      <c r="U486" s="59"/>
      <c r="V486" s="59"/>
      <c r="W486" s="59"/>
      <c r="X486" s="59"/>
      <c r="Y486" s="43">
        <v>38.777999999999999</v>
      </c>
      <c r="Z486" s="43"/>
      <c r="AA486" s="43"/>
      <c r="AB486" s="43"/>
      <c r="AC486" s="43"/>
      <c r="AD486" s="43">
        <v>-0.97799999999999998</v>
      </c>
      <c r="AE486" s="43"/>
      <c r="AF486" s="43"/>
      <c r="AG486" s="43"/>
      <c r="AH486" s="43"/>
      <c r="AI486" s="43"/>
      <c r="AJ486" s="9"/>
      <c r="AK486" s="10"/>
      <c r="AL486" s="11"/>
    </row>
    <row r="487" spans="1:38" ht="11.25" hidden="1" customHeight="1" outlineLevel="1" x14ac:dyDescent="0.2">
      <c r="A487" s="21">
        <v>6</v>
      </c>
      <c r="B487" s="88" t="s">
        <v>478</v>
      </c>
      <c r="C487" s="88"/>
      <c r="D487" s="88"/>
      <c r="E487" s="88"/>
      <c r="F487" s="88"/>
      <c r="G487" s="88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41">
        <v>18.84</v>
      </c>
      <c r="U487" s="41"/>
      <c r="V487" s="41"/>
      <c r="W487" s="41"/>
      <c r="X487" s="41"/>
      <c r="Y487" s="43">
        <v>17.521000000000001</v>
      </c>
      <c r="Z487" s="43"/>
      <c r="AA487" s="43"/>
      <c r="AB487" s="43"/>
      <c r="AC487" s="43"/>
      <c r="AD487" s="43">
        <v>1.319</v>
      </c>
      <c r="AE487" s="43"/>
      <c r="AF487" s="43"/>
      <c r="AG487" s="43"/>
      <c r="AH487" s="43"/>
      <c r="AI487" s="43"/>
      <c r="AJ487" s="9"/>
      <c r="AK487" s="10"/>
      <c r="AL487" s="11"/>
    </row>
    <row r="488" spans="1:38" ht="11.25" hidden="1" customHeight="1" outlineLevel="1" x14ac:dyDescent="0.2">
      <c r="A488" s="21">
        <v>7</v>
      </c>
      <c r="B488" s="88" t="s">
        <v>479</v>
      </c>
      <c r="C488" s="88"/>
      <c r="D488" s="88"/>
      <c r="E488" s="88"/>
      <c r="F488" s="88"/>
      <c r="G488" s="88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41">
        <v>21.51</v>
      </c>
      <c r="U488" s="41"/>
      <c r="V488" s="41"/>
      <c r="W488" s="41"/>
      <c r="X488" s="41"/>
      <c r="Y488" s="43">
        <v>20.652999999999999</v>
      </c>
      <c r="Z488" s="43"/>
      <c r="AA488" s="43"/>
      <c r="AB488" s="43"/>
      <c r="AC488" s="43"/>
      <c r="AD488" s="43">
        <v>0.85699999999999998</v>
      </c>
      <c r="AE488" s="43"/>
      <c r="AF488" s="43"/>
      <c r="AG488" s="43"/>
      <c r="AH488" s="43"/>
      <c r="AI488" s="43"/>
      <c r="AJ488" s="9"/>
      <c r="AK488" s="10"/>
      <c r="AL488" s="11"/>
    </row>
    <row r="489" spans="1:38" ht="11.25" hidden="1" customHeight="1" outlineLevel="1" x14ac:dyDescent="0.2">
      <c r="A489" s="21">
        <v>8</v>
      </c>
      <c r="B489" s="88" t="s">
        <v>480</v>
      </c>
      <c r="C489" s="88"/>
      <c r="D489" s="88"/>
      <c r="E489" s="88"/>
      <c r="F489" s="88"/>
      <c r="G489" s="88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41">
        <v>20.29</v>
      </c>
      <c r="U489" s="41"/>
      <c r="V489" s="41"/>
      <c r="W489" s="41"/>
      <c r="X489" s="41"/>
      <c r="Y489" s="43">
        <v>19.326000000000001</v>
      </c>
      <c r="Z489" s="43"/>
      <c r="AA489" s="43"/>
      <c r="AB489" s="43"/>
      <c r="AC489" s="43"/>
      <c r="AD489" s="43">
        <v>0.96399999999999997</v>
      </c>
      <c r="AE489" s="43"/>
      <c r="AF489" s="43"/>
      <c r="AG489" s="43"/>
      <c r="AH489" s="43"/>
      <c r="AI489" s="43"/>
      <c r="AJ489" s="9"/>
      <c r="AK489" s="10"/>
      <c r="AL489" s="11"/>
    </row>
    <row r="490" spans="1:38" ht="11.25" hidden="1" customHeight="1" outlineLevel="1" x14ac:dyDescent="0.2">
      <c r="A490" s="21">
        <v>9</v>
      </c>
      <c r="B490" s="88" t="s">
        <v>355</v>
      </c>
      <c r="C490" s="88"/>
      <c r="D490" s="88"/>
      <c r="E490" s="88"/>
      <c r="F490" s="88"/>
      <c r="G490" s="88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41">
        <v>64.89</v>
      </c>
      <c r="U490" s="41"/>
      <c r="V490" s="41"/>
      <c r="W490" s="41"/>
      <c r="X490" s="41"/>
      <c r="Y490" s="43">
        <v>63.981000000000002</v>
      </c>
      <c r="Z490" s="43"/>
      <c r="AA490" s="43"/>
      <c r="AB490" s="43"/>
      <c r="AC490" s="43"/>
      <c r="AD490" s="43">
        <v>0.90900000000000003</v>
      </c>
      <c r="AE490" s="43"/>
      <c r="AF490" s="43"/>
      <c r="AG490" s="43"/>
      <c r="AH490" s="43"/>
      <c r="AI490" s="43"/>
      <c r="AJ490" s="9"/>
      <c r="AK490" s="10"/>
      <c r="AL490" s="11"/>
    </row>
    <row r="491" spans="1:38" ht="21.75" hidden="1" customHeight="1" outlineLevel="1" x14ac:dyDescent="0.2">
      <c r="A491" s="21">
        <v>10</v>
      </c>
      <c r="B491" s="88" t="s">
        <v>481</v>
      </c>
      <c r="C491" s="88"/>
      <c r="D491" s="88"/>
      <c r="E491" s="88"/>
      <c r="F491" s="88"/>
      <c r="G491" s="88"/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41">
        <v>8.1199999999999992</v>
      </c>
      <c r="U491" s="41"/>
      <c r="V491" s="41"/>
      <c r="W491" s="41"/>
      <c r="X491" s="41"/>
      <c r="Y491" s="41">
        <v>7.32</v>
      </c>
      <c r="Z491" s="41"/>
      <c r="AA491" s="41"/>
      <c r="AB491" s="41"/>
      <c r="AC491" s="41"/>
      <c r="AD491" s="59">
        <v>0.8</v>
      </c>
      <c r="AE491" s="59"/>
      <c r="AF491" s="59"/>
      <c r="AG491" s="59"/>
      <c r="AH491" s="59"/>
      <c r="AI491" s="59"/>
      <c r="AJ491" s="9"/>
      <c r="AK491" s="10"/>
      <c r="AL491" s="11"/>
    </row>
    <row r="492" spans="1:38" ht="11.25" hidden="1" customHeight="1" outlineLevel="1" x14ac:dyDescent="0.2">
      <c r="A492" s="21">
        <v>11</v>
      </c>
      <c r="B492" s="88" t="s">
        <v>482</v>
      </c>
      <c r="C492" s="88"/>
      <c r="D492" s="88"/>
      <c r="E492" s="88"/>
      <c r="F492" s="88"/>
      <c r="G492" s="88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41">
        <v>18.059999999999999</v>
      </c>
      <c r="U492" s="41"/>
      <c r="V492" s="41"/>
      <c r="W492" s="41"/>
      <c r="X492" s="41"/>
      <c r="Y492" s="59">
        <v>17.5</v>
      </c>
      <c r="Z492" s="59"/>
      <c r="AA492" s="59"/>
      <c r="AB492" s="59"/>
      <c r="AC492" s="59"/>
      <c r="AD492" s="41">
        <v>0.56000000000000005</v>
      </c>
      <c r="AE492" s="41"/>
      <c r="AF492" s="41"/>
      <c r="AG492" s="41"/>
      <c r="AH492" s="41"/>
      <c r="AI492" s="41"/>
      <c r="AJ492" s="9"/>
      <c r="AK492" s="10"/>
      <c r="AL492" s="11"/>
    </row>
    <row r="493" spans="1:38" ht="11.25" hidden="1" customHeight="1" outlineLevel="1" x14ac:dyDescent="0.2">
      <c r="A493" s="21">
        <v>12</v>
      </c>
      <c r="B493" s="88" t="s">
        <v>483</v>
      </c>
      <c r="C493" s="88"/>
      <c r="D493" s="88"/>
      <c r="E493" s="88"/>
      <c r="F493" s="88"/>
      <c r="G493" s="88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41">
        <v>51.43</v>
      </c>
      <c r="U493" s="41"/>
      <c r="V493" s="41"/>
      <c r="W493" s="41"/>
      <c r="X493" s="41"/>
      <c r="Y493" s="43">
        <v>52.929000000000002</v>
      </c>
      <c r="Z493" s="43"/>
      <c r="AA493" s="43"/>
      <c r="AB493" s="43"/>
      <c r="AC493" s="43"/>
      <c r="AD493" s="43">
        <v>-1.4990000000000001</v>
      </c>
      <c r="AE493" s="43"/>
      <c r="AF493" s="43"/>
      <c r="AG493" s="43"/>
      <c r="AH493" s="43"/>
      <c r="AI493" s="43"/>
      <c r="AJ493" s="9"/>
      <c r="AK493" s="10"/>
      <c r="AL493" s="11"/>
    </row>
    <row r="494" spans="1:38" ht="11.25" hidden="1" customHeight="1" outlineLevel="1" x14ac:dyDescent="0.2">
      <c r="A494" s="21">
        <v>13</v>
      </c>
      <c r="B494" s="88" t="s">
        <v>484</v>
      </c>
      <c r="C494" s="88"/>
      <c r="D494" s="88"/>
      <c r="E494" s="88"/>
      <c r="F494" s="88"/>
      <c r="G494" s="88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41">
        <v>10.050000000000001</v>
      </c>
      <c r="U494" s="41"/>
      <c r="V494" s="41"/>
      <c r="W494" s="41"/>
      <c r="X494" s="41"/>
      <c r="Y494" s="41">
        <v>9.77</v>
      </c>
      <c r="Z494" s="41"/>
      <c r="AA494" s="41"/>
      <c r="AB494" s="41"/>
      <c r="AC494" s="41"/>
      <c r="AD494" s="41">
        <v>0.28000000000000003</v>
      </c>
      <c r="AE494" s="41"/>
      <c r="AF494" s="41"/>
      <c r="AG494" s="41"/>
      <c r="AH494" s="41"/>
      <c r="AI494" s="41"/>
      <c r="AJ494" s="9"/>
      <c r="AK494" s="10"/>
      <c r="AL494" s="11"/>
    </row>
    <row r="495" spans="1:38" ht="21.75" hidden="1" customHeight="1" outlineLevel="1" x14ac:dyDescent="0.2">
      <c r="A495" s="21">
        <v>14</v>
      </c>
      <c r="B495" s="88" t="s">
        <v>485</v>
      </c>
      <c r="C495" s="88"/>
      <c r="D495" s="88"/>
      <c r="E495" s="88"/>
      <c r="F495" s="88"/>
      <c r="G495" s="88"/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41">
        <v>4.49</v>
      </c>
      <c r="U495" s="41"/>
      <c r="V495" s="41"/>
      <c r="W495" s="41"/>
      <c r="X495" s="41"/>
      <c r="Y495" s="43">
        <v>4.4269999999999996</v>
      </c>
      <c r="Z495" s="43"/>
      <c r="AA495" s="43"/>
      <c r="AB495" s="43"/>
      <c r="AC495" s="43"/>
      <c r="AD495" s="43">
        <v>6.3E-2</v>
      </c>
      <c r="AE495" s="43"/>
      <c r="AF495" s="43"/>
      <c r="AG495" s="43"/>
      <c r="AH495" s="43"/>
      <c r="AI495" s="43"/>
      <c r="AJ495" s="9"/>
      <c r="AK495" s="10"/>
      <c r="AL495" s="11"/>
    </row>
    <row r="496" spans="1:38" ht="21.75" hidden="1" customHeight="1" outlineLevel="1" x14ac:dyDescent="0.2">
      <c r="A496" s="21">
        <v>15</v>
      </c>
      <c r="B496" s="88" t="s">
        <v>486</v>
      </c>
      <c r="C496" s="88"/>
      <c r="D496" s="88"/>
      <c r="E496" s="88"/>
      <c r="F496" s="88"/>
      <c r="G496" s="88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59">
        <v>45.8</v>
      </c>
      <c r="U496" s="59"/>
      <c r="V496" s="59"/>
      <c r="W496" s="59"/>
      <c r="X496" s="59"/>
      <c r="Y496" s="43">
        <v>46.619</v>
      </c>
      <c r="Z496" s="43"/>
      <c r="AA496" s="43"/>
      <c r="AB496" s="43"/>
      <c r="AC496" s="43"/>
      <c r="AD496" s="43">
        <v>-0.81899999999999995</v>
      </c>
      <c r="AE496" s="43"/>
      <c r="AF496" s="43"/>
      <c r="AG496" s="43"/>
      <c r="AH496" s="43"/>
      <c r="AI496" s="43"/>
      <c r="AJ496" s="9"/>
      <c r="AK496" s="10"/>
      <c r="AL496" s="11"/>
    </row>
    <row r="497" spans="1:38" ht="11.25" hidden="1" customHeight="1" outlineLevel="1" x14ac:dyDescent="0.2">
      <c r="A497" s="21">
        <v>16</v>
      </c>
      <c r="B497" s="88" t="s">
        <v>487</v>
      </c>
      <c r="C497" s="88"/>
      <c r="D497" s="88"/>
      <c r="E497" s="88"/>
      <c r="F497" s="88"/>
      <c r="G497" s="88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41">
        <v>28.56</v>
      </c>
      <c r="U497" s="41"/>
      <c r="V497" s="41"/>
      <c r="W497" s="41"/>
      <c r="X497" s="41"/>
      <c r="Y497" s="43">
        <v>29.024000000000001</v>
      </c>
      <c r="Z497" s="43"/>
      <c r="AA497" s="43"/>
      <c r="AB497" s="43"/>
      <c r="AC497" s="43"/>
      <c r="AD497" s="43">
        <v>-0.46400000000000002</v>
      </c>
      <c r="AE497" s="43"/>
      <c r="AF497" s="43"/>
      <c r="AG497" s="43"/>
      <c r="AH497" s="43"/>
      <c r="AI497" s="43"/>
      <c r="AJ497" s="9"/>
      <c r="AK497" s="10"/>
      <c r="AL497" s="11"/>
    </row>
    <row r="498" spans="1:38" ht="11.25" hidden="1" customHeight="1" outlineLevel="1" x14ac:dyDescent="0.2">
      <c r="A498" s="21">
        <v>17</v>
      </c>
      <c r="B498" s="88" t="s">
        <v>488</v>
      </c>
      <c r="C498" s="88"/>
      <c r="D498" s="88"/>
      <c r="E498" s="88"/>
      <c r="F498" s="88"/>
      <c r="G498" s="88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58">
        <v>10</v>
      </c>
      <c r="U498" s="58"/>
      <c r="V498" s="58"/>
      <c r="W498" s="58"/>
      <c r="X498" s="58"/>
      <c r="Y498" s="43">
        <v>9.9550000000000001</v>
      </c>
      <c r="Z498" s="43"/>
      <c r="AA498" s="43"/>
      <c r="AB498" s="43"/>
      <c r="AC498" s="43"/>
      <c r="AD498" s="43">
        <v>4.4999999999999998E-2</v>
      </c>
      <c r="AE498" s="43"/>
      <c r="AF498" s="43"/>
      <c r="AG498" s="43"/>
      <c r="AH498" s="43"/>
      <c r="AI498" s="43"/>
      <c r="AJ498" s="9"/>
      <c r="AK498" s="10"/>
      <c r="AL498" s="11"/>
    </row>
    <row r="499" spans="1:38" ht="11.25" hidden="1" customHeight="1" outlineLevel="1" x14ac:dyDescent="0.2">
      <c r="A499" s="21">
        <v>18</v>
      </c>
      <c r="B499" s="88" t="s">
        <v>489</v>
      </c>
      <c r="C499" s="88"/>
      <c r="D499" s="88"/>
      <c r="E499" s="88"/>
      <c r="F499" s="88"/>
      <c r="G499" s="88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58">
        <v>10</v>
      </c>
      <c r="U499" s="58"/>
      <c r="V499" s="58"/>
      <c r="W499" s="58"/>
      <c r="X499" s="58"/>
      <c r="Y499" s="43">
        <v>9.9870000000000001</v>
      </c>
      <c r="Z499" s="43"/>
      <c r="AA499" s="43"/>
      <c r="AB499" s="43"/>
      <c r="AC499" s="43"/>
      <c r="AD499" s="43">
        <v>1.2999999999999999E-2</v>
      </c>
      <c r="AE499" s="43"/>
      <c r="AF499" s="43"/>
      <c r="AG499" s="43"/>
      <c r="AH499" s="43"/>
      <c r="AI499" s="43"/>
      <c r="AJ499" s="9"/>
      <c r="AK499" s="10"/>
      <c r="AL499" s="11"/>
    </row>
    <row r="500" spans="1:38" ht="21.75" hidden="1" customHeight="1" outlineLevel="1" x14ac:dyDescent="0.2">
      <c r="A500" s="21">
        <v>19</v>
      </c>
      <c r="B500" s="88" t="s">
        <v>490</v>
      </c>
      <c r="C500" s="88"/>
      <c r="D500" s="88"/>
      <c r="E500" s="88"/>
      <c r="F500" s="88"/>
      <c r="G500" s="88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41">
        <v>17.25</v>
      </c>
      <c r="U500" s="41"/>
      <c r="V500" s="41"/>
      <c r="W500" s="41"/>
      <c r="X500" s="41"/>
      <c r="Y500" s="43">
        <v>17.504000000000001</v>
      </c>
      <c r="Z500" s="43"/>
      <c r="AA500" s="43"/>
      <c r="AB500" s="43"/>
      <c r="AC500" s="43"/>
      <c r="AD500" s="43">
        <v>-0.254</v>
      </c>
      <c r="AE500" s="43"/>
      <c r="AF500" s="43"/>
      <c r="AG500" s="43"/>
      <c r="AH500" s="43"/>
      <c r="AI500" s="43"/>
      <c r="AJ500" s="9"/>
      <c r="AK500" s="10"/>
      <c r="AL500" s="11"/>
    </row>
    <row r="501" spans="1:38" ht="11.25" hidden="1" customHeight="1" outlineLevel="1" x14ac:dyDescent="0.2">
      <c r="A501" s="21">
        <v>20</v>
      </c>
      <c r="B501" s="88" t="s">
        <v>491</v>
      </c>
      <c r="C501" s="88"/>
      <c r="D501" s="88"/>
      <c r="E501" s="88"/>
      <c r="F501" s="88"/>
      <c r="G501" s="88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41">
        <v>37.24</v>
      </c>
      <c r="U501" s="41"/>
      <c r="V501" s="41"/>
      <c r="W501" s="41"/>
      <c r="X501" s="41"/>
      <c r="Y501" s="43">
        <v>37.994</v>
      </c>
      <c r="Z501" s="43"/>
      <c r="AA501" s="43"/>
      <c r="AB501" s="43"/>
      <c r="AC501" s="43"/>
      <c r="AD501" s="43">
        <v>-0.754</v>
      </c>
      <c r="AE501" s="43"/>
      <c r="AF501" s="43"/>
      <c r="AG501" s="43"/>
      <c r="AH501" s="43"/>
      <c r="AI501" s="43"/>
      <c r="AJ501" s="9"/>
      <c r="AK501" s="10"/>
      <c r="AL501" s="11"/>
    </row>
    <row r="502" spans="1:38" ht="21.75" hidden="1" customHeight="1" outlineLevel="1" x14ac:dyDescent="0.2">
      <c r="A502" s="21">
        <v>21</v>
      </c>
      <c r="B502" s="88" t="s">
        <v>492</v>
      </c>
      <c r="C502" s="88"/>
      <c r="D502" s="88"/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41">
        <v>13.75</v>
      </c>
      <c r="U502" s="41"/>
      <c r="V502" s="41"/>
      <c r="W502" s="41"/>
      <c r="X502" s="41"/>
      <c r="Y502" s="43">
        <v>13.976000000000001</v>
      </c>
      <c r="Z502" s="43"/>
      <c r="AA502" s="43"/>
      <c r="AB502" s="43"/>
      <c r="AC502" s="43"/>
      <c r="AD502" s="43">
        <v>-0.22600000000000001</v>
      </c>
      <c r="AE502" s="43"/>
      <c r="AF502" s="43"/>
      <c r="AG502" s="43"/>
      <c r="AH502" s="43"/>
      <c r="AI502" s="43"/>
      <c r="AJ502" s="9"/>
      <c r="AK502" s="10"/>
      <c r="AL502" s="11"/>
    </row>
    <row r="503" spans="1:38" ht="21.75" hidden="1" customHeight="1" outlineLevel="1" x14ac:dyDescent="0.2">
      <c r="A503" s="21">
        <v>22</v>
      </c>
      <c r="B503" s="88" t="s">
        <v>493</v>
      </c>
      <c r="C503" s="88"/>
      <c r="D503" s="88"/>
      <c r="E503" s="88"/>
      <c r="F503" s="88"/>
      <c r="G503" s="88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59">
        <v>19.600000000000001</v>
      </c>
      <c r="U503" s="59"/>
      <c r="V503" s="59"/>
      <c r="W503" s="59"/>
      <c r="X503" s="59"/>
      <c r="Y503" s="43">
        <v>20.148</v>
      </c>
      <c r="Z503" s="43"/>
      <c r="AA503" s="43"/>
      <c r="AB503" s="43"/>
      <c r="AC503" s="43"/>
      <c r="AD503" s="43">
        <v>-0.54800000000000004</v>
      </c>
      <c r="AE503" s="43"/>
      <c r="AF503" s="43"/>
      <c r="AG503" s="43"/>
      <c r="AH503" s="43"/>
      <c r="AI503" s="43"/>
      <c r="AJ503" s="9"/>
      <c r="AK503" s="10"/>
      <c r="AL503" s="11"/>
    </row>
    <row r="504" spans="1:38" ht="11.25" hidden="1" customHeight="1" outlineLevel="1" x14ac:dyDescent="0.2">
      <c r="A504" s="21">
        <v>23</v>
      </c>
      <c r="B504" s="88" t="s">
        <v>494</v>
      </c>
      <c r="C504" s="88"/>
      <c r="D504" s="88"/>
      <c r="E504" s="88"/>
      <c r="F504" s="88"/>
      <c r="G504" s="88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41">
        <v>12.55</v>
      </c>
      <c r="U504" s="41"/>
      <c r="V504" s="41"/>
      <c r="W504" s="41"/>
      <c r="X504" s="41"/>
      <c r="Y504" s="43">
        <v>12.849</v>
      </c>
      <c r="Z504" s="43"/>
      <c r="AA504" s="43"/>
      <c r="AB504" s="43"/>
      <c r="AC504" s="43"/>
      <c r="AD504" s="43">
        <v>-0.29899999999999999</v>
      </c>
      <c r="AE504" s="43"/>
      <c r="AF504" s="43"/>
      <c r="AG504" s="43"/>
      <c r="AH504" s="43"/>
      <c r="AI504" s="43"/>
      <c r="AJ504" s="9"/>
      <c r="AK504" s="10"/>
      <c r="AL504" s="11"/>
    </row>
    <row r="505" spans="1:38" ht="11.25" hidden="1" customHeight="1" outlineLevel="1" x14ac:dyDescent="0.2">
      <c r="A505" s="21">
        <v>24</v>
      </c>
      <c r="B505" s="88" t="s">
        <v>495</v>
      </c>
      <c r="C505" s="88"/>
      <c r="D505" s="88"/>
      <c r="E505" s="88"/>
      <c r="F505" s="88"/>
      <c r="G505" s="88"/>
      <c r="H505" s="88"/>
      <c r="I505" s="88"/>
      <c r="J505" s="88"/>
      <c r="K505" s="88"/>
      <c r="L505" s="88"/>
      <c r="M505" s="88"/>
      <c r="N505" s="88"/>
      <c r="O505" s="88"/>
      <c r="P505" s="88"/>
      <c r="Q505" s="88"/>
      <c r="R505" s="88"/>
      <c r="S505" s="88"/>
      <c r="T505" s="59">
        <v>10.3</v>
      </c>
      <c r="U505" s="59"/>
      <c r="V505" s="59"/>
      <c r="W505" s="59"/>
      <c r="X505" s="59"/>
      <c r="Y505" s="43">
        <v>10.816000000000001</v>
      </c>
      <c r="Z505" s="43"/>
      <c r="AA505" s="43"/>
      <c r="AB505" s="43"/>
      <c r="AC505" s="43"/>
      <c r="AD505" s="43">
        <v>-0.51600000000000001</v>
      </c>
      <c r="AE505" s="43"/>
      <c r="AF505" s="43"/>
      <c r="AG505" s="43"/>
      <c r="AH505" s="43"/>
      <c r="AI505" s="43"/>
      <c r="AJ505" s="9"/>
      <c r="AK505" s="10"/>
      <c r="AL505" s="11"/>
    </row>
    <row r="506" spans="1:38" ht="11.25" hidden="1" customHeight="1" outlineLevel="1" x14ac:dyDescent="0.2">
      <c r="A506" s="21">
        <v>25</v>
      </c>
      <c r="B506" s="88" t="s">
        <v>496</v>
      </c>
      <c r="C506" s="88"/>
      <c r="D506" s="88"/>
      <c r="E506" s="88"/>
      <c r="F506" s="88"/>
      <c r="G506" s="88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41">
        <v>12.95</v>
      </c>
      <c r="U506" s="41"/>
      <c r="V506" s="41"/>
      <c r="W506" s="41"/>
      <c r="X506" s="41"/>
      <c r="Y506" s="43">
        <v>13.076000000000001</v>
      </c>
      <c r="Z506" s="43"/>
      <c r="AA506" s="43"/>
      <c r="AB506" s="43"/>
      <c r="AC506" s="43"/>
      <c r="AD506" s="43">
        <v>-0.126</v>
      </c>
      <c r="AE506" s="43"/>
      <c r="AF506" s="43"/>
      <c r="AG506" s="43"/>
      <c r="AH506" s="43"/>
      <c r="AI506" s="43"/>
      <c r="AJ506" s="9"/>
      <c r="AK506" s="10"/>
      <c r="AL506" s="11"/>
    </row>
    <row r="507" spans="1:38" ht="11.25" hidden="1" customHeight="1" outlineLevel="1" x14ac:dyDescent="0.2">
      <c r="A507" s="21">
        <v>26</v>
      </c>
      <c r="B507" s="88" t="s">
        <v>497</v>
      </c>
      <c r="C507" s="88"/>
      <c r="D507" s="88"/>
      <c r="E507" s="88"/>
      <c r="F507" s="88"/>
      <c r="G507" s="88"/>
      <c r="H507" s="88"/>
      <c r="I507" s="88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59">
        <v>16.8</v>
      </c>
      <c r="U507" s="59"/>
      <c r="V507" s="59"/>
      <c r="W507" s="59"/>
      <c r="X507" s="59"/>
      <c r="Y507" s="43">
        <v>16.971</v>
      </c>
      <c r="Z507" s="43"/>
      <c r="AA507" s="43"/>
      <c r="AB507" s="43"/>
      <c r="AC507" s="43"/>
      <c r="AD507" s="43">
        <v>-0.17100000000000001</v>
      </c>
      <c r="AE507" s="43"/>
      <c r="AF507" s="43"/>
      <c r="AG507" s="43"/>
      <c r="AH507" s="43"/>
      <c r="AI507" s="43"/>
      <c r="AJ507" s="9"/>
      <c r="AK507" s="10"/>
      <c r="AL507" s="11"/>
    </row>
    <row r="508" spans="1:38" ht="11.25" hidden="1" customHeight="1" outlineLevel="1" x14ac:dyDescent="0.2">
      <c r="A508" s="21">
        <v>27</v>
      </c>
      <c r="B508" s="88" t="s">
        <v>498</v>
      </c>
      <c r="C508" s="88"/>
      <c r="D508" s="88"/>
      <c r="E508" s="88"/>
      <c r="F508" s="88"/>
      <c r="G508" s="88"/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41">
        <v>9.93</v>
      </c>
      <c r="U508" s="41"/>
      <c r="V508" s="41"/>
      <c r="W508" s="41"/>
      <c r="X508" s="41"/>
      <c r="Y508" s="43">
        <v>10.048</v>
      </c>
      <c r="Z508" s="43"/>
      <c r="AA508" s="43"/>
      <c r="AB508" s="43"/>
      <c r="AC508" s="43"/>
      <c r="AD508" s="43">
        <v>-0.11799999999999999</v>
      </c>
      <c r="AE508" s="43"/>
      <c r="AF508" s="43"/>
      <c r="AG508" s="43"/>
      <c r="AH508" s="43"/>
      <c r="AI508" s="43"/>
      <c r="AJ508" s="9"/>
      <c r="AK508" s="10"/>
      <c r="AL508" s="11"/>
    </row>
    <row r="509" spans="1:38" ht="11.25" hidden="1" customHeight="1" outlineLevel="1" x14ac:dyDescent="0.2">
      <c r="A509" s="21">
        <v>28</v>
      </c>
      <c r="B509" s="88" t="s">
        <v>499</v>
      </c>
      <c r="C509" s="88"/>
      <c r="D509" s="88"/>
      <c r="E509" s="88"/>
      <c r="F509" s="88"/>
      <c r="G509" s="88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41">
        <v>11.29</v>
      </c>
      <c r="U509" s="41"/>
      <c r="V509" s="41"/>
      <c r="W509" s="41"/>
      <c r="X509" s="41"/>
      <c r="Y509" s="43">
        <v>11.545999999999999</v>
      </c>
      <c r="Z509" s="43"/>
      <c r="AA509" s="43"/>
      <c r="AB509" s="43"/>
      <c r="AC509" s="43"/>
      <c r="AD509" s="43">
        <v>-0.25600000000000001</v>
      </c>
      <c r="AE509" s="43"/>
      <c r="AF509" s="43"/>
      <c r="AG509" s="43"/>
      <c r="AH509" s="43"/>
      <c r="AI509" s="43"/>
      <c r="AJ509" s="9"/>
      <c r="AK509" s="10"/>
      <c r="AL509" s="11"/>
    </row>
    <row r="510" spans="1:38" ht="11.25" hidden="1" customHeight="1" outlineLevel="1" x14ac:dyDescent="0.2">
      <c r="A510" s="21">
        <v>29</v>
      </c>
      <c r="B510" s="88" t="s">
        <v>500</v>
      </c>
      <c r="C510" s="88"/>
      <c r="D510" s="88"/>
      <c r="E510" s="88"/>
      <c r="F510" s="88"/>
      <c r="G510" s="88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59">
        <v>79.599999999999994</v>
      </c>
      <c r="U510" s="59"/>
      <c r="V510" s="59"/>
      <c r="W510" s="59"/>
      <c r="X510" s="59"/>
      <c r="Y510" s="43">
        <v>81.198999999999998</v>
      </c>
      <c r="Z510" s="43"/>
      <c r="AA510" s="43"/>
      <c r="AB510" s="43"/>
      <c r="AC510" s="43"/>
      <c r="AD510" s="43">
        <v>-1.599</v>
      </c>
      <c r="AE510" s="43"/>
      <c r="AF510" s="43"/>
      <c r="AG510" s="43"/>
      <c r="AH510" s="43"/>
      <c r="AI510" s="43"/>
      <c r="AJ510" s="9"/>
      <c r="AK510" s="10"/>
      <c r="AL510" s="11"/>
    </row>
    <row r="511" spans="1:38" ht="11.25" hidden="1" customHeight="1" outlineLevel="1" x14ac:dyDescent="0.2">
      <c r="A511" s="21">
        <v>30</v>
      </c>
      <c r="B511" s="88" t="s">
        <v>501</v>
      </c>
      <c r="C511" s="88"/>
      <c r="D511" s="88"/>
      <c r="E511" s="88"/>
      <c r="F511" s="88"/>
      <c r="G511" s="88"/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43">
        <v>7.0960000000000001</v>
      </c>
      <c r="U511" s="43"/>
      <c r="V511" s="43"/>
      <c r="W511" s="43"/>
      <c r="X511" s="43"/>
      <c r="Y511" s="43">
        <v>7.3860000000000001</v>
      </c>
      <c r="Z511" s="43"/>
      <c r="AA511" s="43"/>
      <c r="AB511" s="43"/>
      <c r="AC511" s="43"/>
      <c r="AD511" s="41">
        <v>-0.28999999999999998</v>
      </c>
      <c r="AE511" s="41"/>
      <c r="AF511" s="41"/>
      <c r="AG511" s="41"/>
      <c r="AH511" s="41"/>
      <c r="AI511" s="41"/>
      <c r="AJ511" s="9"/>
      <c r="AK511" s="10"/>
      <c r="AL511" s="11"/>
    </row>
    <row r="512" spans="1:38" ht="11.25" hidden="1" customHeight="1" outlineLevel="1" x14ac:dyDescent="0.2">
      <c r="A512" s="21">
        <v>31</v>
      </c>
      <c r="B512" s="88" t="s">
        <v>502</v>
      </c>
      <c r="C512" s="88"/>
      <c r="D512" s="88"/>
      <c r="E512" s="88"/>
      <c r="F512" s="88"/>
      <c r="G512" s="88"/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59">
        <v>10.199999999999999</v>
      </c>
      <c r="U512" s="59"/>
      <c r="V512" s="59"/>
      <c r="W512" s="59"/>
      <c r="X512" s="59"/>
      <c r="Y512" s="43">
        <v>10.564</v>
      </c>
      <c r="Z512" s="43"/>
      <c r="AA512" s="43"/>
      <c r="AB512" s="43"/>
      <c r="AC512" s="43"/>
      <c r="AD512" s="43">
        <v>-0.36399999999999999</v>
      </c>
      <c r="AE512" s="43"/>
      <c r="AF512" s="43"/>
      <c r="AG512" s="43"/>
      <c r="AH512" s="43"/>
      <c r="AI512" s="43"/>
      <c r="AJ512" s="9"/>
      <c r="AK512" s="10"/>
      <c r="AL512" s="11"/>
    </row>
    <row r="513" spans="1:38" ht="11.25" hidden="1" customHeight="1" outlineLevel="1" x14ac:dyDescent="0.2">
      <c r="A513" s="21">
        <v>32</v>
      </c>
      <c r="B513" s="88" t="s">
        <v>503</v>
      </c>
      <c r="C513" s="88"/>
      <c r="D513" s="88"/>
      <c r="E513" s="88"/>
      <c r="F513" s="88"/>
      <c r="G513" s="88"/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59">
        <v>7.7</v>
      </c>
      <c r="U513" s="59"/>
      <c r="V513" s="59"/>
      <c r="W513" s="59"/>
      <c r="X513" s="59"/>
      <c r="Y513" s="43">
        <v>8.0169999999999995</v>
      </c>
      <c r="Z513" s="43"/>
      <c r="AA513" s="43"/>
      <c r="AB513" s="43"/>
      <c r="AC513" s="43"/>
      <c r="AD513" s="43">
        <v>-0.317</v>
      </c>
      <c r="AE513" s="43"/>
      <c r="AF513" s="43"/>
      <c r="AG513" s="43"/>
      <c r="AH513" s="43"/>
      <c r="AI513" s="43"/>
      <c r="AJ513" s="9"/>
      <c r="AK513" s="10"/>
      <c r="AL513" s="11"/>
    </row>
    <row r="514" spans="1:38" ht="11.25" hidden="1" customHeight="1" outlineLevel="1" x14ac:dyDescent="0.2">
      <c r="A514" s="21">
        <v>33</v>
      </c>
      <c r="B514" s="88" t="s">
        <v>504</v>
      </c>
      <c r="C514" s="88"/>
      <c r="D514" s="88"/>
      <c r="E514" s="88"/>
      <c r="F514" s="88"/>
      <c r="G514" s="88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59">
        <v>14.7</v>
      </c>
      <c r="U514" s="59"/>
      <c r="V514" s="59"/>
      <c r="W514" s="59"/>
      <c r="X514" s="59"/>
      <c r="Y514" s="43">
        <v>14.769</v>
      </c>
      <c r="Z514" s="43"/>
      <c r="AA514" s="43"/>
      <c r="AB514" s="43"/>
      <c r="AC514" s="43"/>
      <c r="AD514" s="43">
        <v>-6.9000000000000006E-2</v>
      </c>
      <c r="AE514" s="43"/>
      <c r="AF514" s="43"/>
      <c r="AG514" s="43"/>
      <c r="AH514" s="43"/>
      <c r="AI514" s="43"/>
      <c r="AJ514" s="9"/>
      <c r="AK514" s="10"/>
      <c r="AL514" s="11"/>
    </row>
    <row r="515" spans="1:38" ht="11.25" hidden="1" customHeight="1" collapsed="1" x14ac:dyDescent="0.2">
      <c r="A515" s="60" t="s">
        <v>505</v>
      </c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2">
        <v>704.98400000000004</v>
      </c>
      <c r="U515" s="62"/>
      <c r="V515" s="62"/>
      <c r="W515" s="62"/>
      <c r="X515" s="62"/>
      <c r="Y515" s="62">
        <v>686.50400000000002</v>
      </c>
      <c r="Z515" s="62"/>
      <c r="AA515" s="62"/>
      <c r="AB515" s="62"/>
      <c r="AC515" s="62"/>
      <c r="AD515" s="65">
        <v>18.48</v>
      </c>
      <c r="AE515" s="65"/>
      <c r="AF515" s="65"/>
      <c r="AG515" s="65"/>
      <c r="AH515" s="65"/>
      <c r="AI515" s="65"/>
      <c r="AJ515" s="62">
        <v>29.670999999999999</v>
      </c>
      <c r="AK515" s="62"/>
      <c r="AL515" s="62"/>
    </row>
    <row r="516" spans="1:38" ht="11.25" hidden="1" customHeight="1" outlineLevel="1" x14ac:dyDescent="0.2">
      <c r="A516" s="21">
        <v>1</v>
      </c>
      <c r="B516" s="88" t="s">
        <v>506</v>
      </c>
      <c r="C516" s="88"/>
      <c r="D516" s="88"/>
      <c r="E516" s="88"/>
      <c r="F516" s="88"/>
      <c r="G516" s="88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41">
        <v>67.23</v>
      </c>
      <c r="U516" s="41"/>
      <c r="V516" s="41"/>
      <c r="W516" s="41"/>
      <c r="X516" s="41"/>
      <c r="Y516" s="43">
        <v>57.084000000000003</v>
      </c>
      <c r="Z516" s="43"/>
      <c r="AA516" s="43"/>
      <c r="AB516" s="43"/>
      <c r="AC516" s="43"/>
      <c r="AD516" s="43">
        <v>10.146000000000001</v>
      </c>
      <c r="AE516" s="43"/>
      <c r="AF516" s="43"/>
      <c r="AG516" s="43"/>
      <c r="AH516" s="43"/>
      <c r="AI516" s="43"/>
      <c r="AJ516" s="9"/>
      <c r="AK516" s="10"/>
      <c r="AL516" s="11"/>
    </row>
    <row r="517" spans="1:38" ht="11.25" hidden="1" customHeight="1" outlineLevel="1" x14ac:dyDescent="0.2">
      <c r="A517" s="21">
        <v>2</v>
      </c>
      <c r="B517" s="88" t="s">
        <v>507</v>
      </c>
      <c r="C517" s="88"/>
      <c r="D517" s="88"/>
      <c r="E517" s="88"/>
      <c r="F517" s="88"/>
      <c r="G517" s="88"/>
      <c r="H517" s="88"/>
      <c r="I517" s="88"/>
      <c r="J517" s="88"/>
      <c r="K517" s="88"/>
      <c r="L517" s="88"/>
      <c r="M517" s="88"/>
      <c r="N517" s="88"/>
      <c r="O517" s="88"/>
      <c r="P517" s="88"/>
      <c r="Q517" s="88"/>
      <c r="R517" s="88"/>
      <c r="S517" s="88"/>
      <c r="T517" s="43">
        <v>66.001999999999995</v>
      </c>
      <c r="U517" s="43"/>
      <c r="V517" s="43"/>
      <c r="W517" s="43"/>
      <c r="X517" s="43"/>
      <c r="Y517" s="43">
        <v>60.555</v>
      </c>
      <c r="Z517" s="43"/>
      <c r="AA517" s="43"/>
      <c r="AB517" s="43"/>
      <c r="AC517" s="43"/>
      <c r="AD517" s="43">
        <v>5.4470000000000001</v>
      </c>
      <c r="AE517" s="43"/>
      <c r="AF517" s="43"/>
      <c r="AG517" s="43"/>
      <c r="AH517" s="43"/>
      <c r="AI517" s="43"/>
      <c r="AJ517" s="9"/>
      <c r="AK517" s="10"/>
      <c r="AL517" s="11"/>
    </row>
    <row r="518" spans="1:38" ht="11.25" hidden="1" customHeight="1" outlineLevel="1" x14ac:dyDescent="0.2">
      <c r="A518" s="21">
        <v>3</v>
      </c>
      <c r="B518" s="88" t="s">
        <v>508</v>
      </c>
      <c r="C518" s="88"/>
      <c r="D518" s="88"/>
      <c r="E518" s="88"/>
      <c r="F518" s="88"/>
      <c r="G518" s="88"/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59">
        <v>20.399999999999999</v>
      </c>
      <c r="U518" s="59"/>
      <c r="V518" s="59"/>
      <c r="W518" s="59"/>
      <c r="X518" s="59"/>
      <c r="Y518" s="43">
        <v>19.035</v>
      </c>
      <c r="Z518" s="43"/>
      <c r="AA518" s="43"/>
      <c r="AB518" s="43"/>
      <c r="AC518" s="43"/>
      <c r="AD518" s="43">
        <v>1.365</v>
      </c>
      <c r="AE518" s="43"/>
      <c r="AF518" s="43"/>
      <c r="AG518" s="43"/>
      <c r="AH518" s="43"/>
      <c r="AI518" s="43"/>
      <c r="AJ518" s="9"/>
      <c r="AK518" s="10"/>
      <c r="AL518" s="11"/>
    </row>
    <row r="519" spans="1:38" ht="11.25" hidden="1" customHeight="1" outlineLevel="1" x14ac:dyDescent="0.2">
      <c r="A519" s="21">
        <v>4</v>
      </c>
      <c r="B519" s="88" t="s">
        <v>509</v>
      </c>
      <c r="C519" s="88"/>
      <c r="D519" s="88"/>
      <c r="E519" s="88"/>
      <c r="F519" s="88"/>
      <c r="G519" s="88"/>
      <c r="H519" s="88"/>
      <c r="I519" s="88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59">
        <v>28.2</v>
      </c>
      <c r="U519" s="59"/>
      <c r="V519" s="59"/>
      <c r="W519" s="59"/>
      <c r="X519" s="59"/>
      <c r="Y519" s="43">
        <v>27.422999999999998</v>
      </c>
      <c r="Z519" s="43"/>
      <c r="AA519" s="43"/>
      <c r="AB519" s="43"/>
      <c r="AC519" s="43"/>
      <c r="AD519" s="43">
        <v>0.77700000000000002</v>
      </c>
      <c r="AE519" s="43"/>
      <c r="AF519" s="43"/>
      <c r="AG519" s="43"/>
      <c r="AH519" s="43"/>
      <c r="AI519" s="43"/>
      <c r="AJ519" s="9"/>
      <c r="AK519" s="10"/>
      <c r="AL519" s="11"/>
    </row>
    <row r="520" spans="1:38" ht="11.25" hidden="1" customHeight="1" outlineLevel="1" x14ac:dyDescent="0.2">
      <c r="A520" s="21">
        <v>5</v>
      </c>
      <c r="B520" s="88" t="s">
        <v>510</v>
      </c>
      <c r="C520" s="88"/>
      <c r="D520" s="88"/>
      <c r="E520" s="88"/>
      <c r="F520" s="88"/>
      <c r="G520" s="88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41">
        <v>71.25</v>
      </c>
      <c r="U520" s="41"/>
      <c r="V520" s="41"/>
      <c r="W520" s="41"/>
      <c r="X520" s="41"/>
      <c r="Y520" s="43">
        <v>71.162000000000006</v>
      </c>
      <c r="Z520" s="43"/>
      <c r="AA520" s="43"/>
      <c r="AB520" s="43"/>
      <c r="AC520" s="43"/>
      <c r="AD520" s="43">
        <v>8.7999999999999995E-2</v>
      </c>
      <c r="AE520" s="43"/>
      <c r="AF520" s="43"/>
      <c r="AG520" s="43"/>
      <c r="AH520" s="43"/>
      <c r="AI520" s="43"/>
      <c r="AJ520" s="9"/>
      <c r="AK520" s="10"/>
      <c r="AL520" s="11"/>
    </row>
    <row r="521" spans="1:38" ht="11.25" hidden="1" customHeight="1" outlineLevel="1" x14ac:dyDescent="0.2">
      <c r="A521" s="21">
        <v>6</v>
      </c>
      <c r="B521" s="88" t="s">
        <v>511</v>
      </c>
      <c r="C521" s="88"/>
      <c r="D521" s="88"/>
      <c r="E521" s="88"/>
      <c r="F521" s="88"/>
      <c r="G521" s="88"/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43">
        <v>83.531999999999996</v>
      </c>
      <c r="U521" s="43"/>
      <c r="V521" s="43"/>
      <c r="W521" s="43"/>
      <c r="X521" s="43"/>
      <c r="Y521" s="43">
        <v>84.379000000000005</v>
      </c>
      <c r="Z521" s="43"/>
      <c r="AA521" s="43"/>
      <c r="AB521" s="43"/>
      <c r="AC521" s="43"/>
      <c r="AD521" s="43">
        <v>-0.84699999999999998</v>
      </c>
      <c r="AE521" s="43"/>
      <c r="AF521" s="43"/>
      <c r="AG521" s="43"/>
      <c r="AH521" s="43"/>
      <c r="AI521" s="43"/>
      <c r="AJ521" s="9"/>
      <c r="AK521" s="10"/>
      <c r="AL521" s="11"/>
    </row>
    <row r="522" spans="1:38" ht="11.25" hidden="1" customHeight="1" outlineLevel="1" x14ac:dyDescent="0.2">
      <c r="A522" s="21">
        <v>7</v>
      </c>
      <c r="B522" s="88" t="s">
        <v>512</v>
      </c>
      <c r="C522" s="88"/>
      <c r="D522" s="88"/>
      <c r="E522" s="88"/>
      <c r="F522" s="88"/>
      <c r="G522" s="88"/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41">
        <v>158.35</v>
      </c>
      <c r="U522" s="41"/>
      <c r="V522" s="41"/>
      <c r="W522" s="41"/>
      <c r="X522" s="41"/>
      <c r="Y522" s="43">
        <v>158.31399999999999</v>
      </c>
      <c r="Z522" s="43"/>
      <c r="AA522" s="43"/>
      <c r="AB522" s="43"/>
      <c r="AC522" s="43"/>
      <c r="AD522" s="43">
        <v>3.5999999999999997E-2</v>
      </c>
      <c r="AE522" s="43"/>
      <c r="AF522" s="43"/>
      <c r="AG522" s="43"/>
      <c r="AH522" s="43"/>
      <c r="AI522" s="43"/>
      <c r="AJ522" s="9"/>
      <c r="AK522" s="10"/>
      <c r="AL522" s="11"/>
    </row>
    <row r="523" spans="1:38" ht="11.25" hidden="1" customHeight="1" outlineLevel="1" x14ac:dyDescent="0.2">
      <c r="A523" s="21">
        <v>8</v>
      </c>
      <c r="B523" s="88" t="s">
        <v>513</v>
      </c>
      <c r="C523" s="88"/>
      <c r="D523" s="88"/>
      <c r="E523" s="88"/>
      <c r="F523" s="88"/>
      <c r="G523" s="88"/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59">
        <v>19.600000000000001</v>
      </c>
      <c r="U523" s="59"/>
      <c r="V523" s="59"/>
      <c r="W523" s="59"/>
      <c r="X523" s="59"/>
      <c r="Y523" s="43">
        <v>18.763000000000002</v>
      </c>
      <c r="Z523" s="43"/>
      <c r="AA523" s="43"/>
      <c r="AB523" s="43"/>
      <c r="AC523" s="43"/>
      <c r="AD523" s="43">
        <v>0.83699999999999997</v>
      </c>
      <c r="AE523" s="43"/>
      <c r="AF523" s="43"/>
      <c r="AG523" s="43"/>
      <c r="AH523" s="43"/>
      <c r="AI523" s="43"/>
      <c r="AJ523" s="9"/>
      <c r="AK523" s="10"/>
      <c r="AL523" s="11"/>
    </row>
    <row r="524" spans="1:38" ht="11.25" hidden="1" customHeight="1" outlineLevel="1" x14ac:dyDescent="0.2">
      <c r="A524" s="21">
        <v>9</v>
      </c>
      <c r="B524" s="88" t="s">
        <v>514</v>
      </c>
      <c r="C524" s="88"/>
      <c r="D524" s="88"/>
      <c r="E524" s="88"/>
      <c r="F524" s="88"/>
      <c r="G524" s="88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41">
        <v>17.23</v>
      </c>
      <c r="U524" s="41"/>
      <c r="V524" s="41"/>
      <c r="W524" s="41"/>
      <c r="X524" s="41"/>
      <c r="Y524" s="43">
        <v>16.574999999999999</v>
      </c>
      <c r="Z524" s="43"/>
      <c r="AA524" s="43"/>
      <c r="AB524" s="43"/>
      <c r="AC524" s="43"/>
      <c r="AD524" s="43">
        <v>0.65500000000000003</v>
      </c>
      <c r="AE524" s="43"/>
      <c r="AF524" s="43"/>
      <c r="AG524" s="43"/>
      <c r="AH524" s="43"/>
      <c r="AI524" s="43"/>
      <c r="AJ524" s="9"/>
      <c r="AK524" s="10"/>
      <c r="AL524" s="11"/>
    </row>
    <row r="525" spans="1:38" ht="11.25" hidden="1" customHeight="1" outlineLevel="1" x14ac:dyDescent="0.2">
      <c r="A525" s="21">
        <v>10</v>
      </c>
      <c r="B525" s="88" t="s">
        <v>356</v>
      </c>
      <c r="C525" s="88"/>
      <c r="D525" s="88"/>
      <c r="E525" s="88"/>
      <c r="F525" s="88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41">
        <v>8.4499999999999993</v>
      </c>
      <c r="U525" s="41"/>
      <c r="V525" s="41"/>
      <c r="W525" s="41"/>
      <c r="X525" s="41"/>
      <c r="Y525" s="43">
        <v>7.843</v>
      </c>
      <c r="Z525" s="43"/>
      <c r="AA525" s="43"/>
      <c r="AB525" s="43"/>
      <c r="AC525" s="43"/>
      <c r="AD525" s="43">
        <v>0.60699999999999998</v>
      </c>
      <c r="AE525" s="43"/>
      <c r="AF525" s="43"/>
      <c r="AG525" s="43"/>
      <c r="AH525" s="43"/>
      <c r="AI525" s="43"/>
      <c r="AJ525" s="9"/>
      <c r="AK525" s="10"/>
      <c r="AL525" s="11"/>
    </row>
    <row r="526" spans="1:38" ht="11.25" hidden="1" customHeight="1" outlineLevel="1" x14ac:dyDescent="0.2">
      <c r="A526" s="21">
        <v>11</v>
      </c>
      <c r="B526" s="88" t="s">
        <v>515</v>
      </c>
      <c r="C526" s="88"/>
      <c r="D526" s="88"/>
      <c r="E526" s="88"/>
      <c r="F526" s="88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59">
        <v>33.5</v>
      </c>
      <c r="U526" s="59"/>
      <c r="V526" s="59"/>
      <c r="W526" s="59"/>
      <c r="X526" s="59"/>
      <c r="Y526" s="43">
        <v>34.036999999999999</v>
      </c>
      <c r="Z526" s="43"/>
      <c r="AA526" s="43"/>
      <c r="AB526" s="43"/>
      <c r="AC526" s="43"/>
      <c r="AD526" s="43">
        <v>-0.53700000000000003</v>
      </c>
      <c r="AE526" s="43"/>
      <c r="AF526" s="43"/>
      <c r="AG526" s="43"/>
      <c r="AH526" s="43"/>
      <c r="AI526" s="43"/>
      <c r="AJ526" s="9"/>
      <c r="AK526" s="10"/>
      <c r="AL526" s="11"/>
    </row>
    <row r="527" spans="1:38" ht="11.25" hidden="1" customHeight="1" outlineLevel="1" x14ac:dyDescent="0.2">
      <c r="A527" s="21">
        <v>12</v>
      </c>
      <c r="B527" s="88" t="s">
        <v>516</v>
      </c>
      <c r="C527" s="88"/>
      <c r="D527" s="88"/>
      <c r="E527" s="88"/>
      <c r="F527" s="88"/>
      <c r="G527" s="88"/>
      <c r="H527" s="88"/>
      <c r="I527" s="88"/>
      <c r="J527" s="88"/>
      <c r="K527" s="88"/>
      <c r="L527" s="88"/>
      <c r="M527" s="88"/>
      <c r="N527" s="88"/>
      <c r="O527" s="88"/>
      <c r="P527" s="88"/>
      <c r="Q527" s="88"/>
      <c r="R527" s="88"/>
      <c r="S527" s="88"/>
      <c r="T527" s="41">
        <v>10.76</v>
      </c>
      <c r="U527" s="41"/>
      <c r="V527" s="41"/>
      <c r="W527" s="41"/>
      <c r="X527" s="41"/>
      <c r="Y527" s="43">
        <v>10.305</v>
      </c>
      <c r="Z527" s="43"/>
      <c r="AA527" s="43"/>
      <c r="AB527" s="43"/>
      <c r="AC527" s="43"/>
      <c r="AD527" s="43">
        <v>0.45500000000000002</v>
      </c>
      <c r="AE527" s="43"/>
      <c r="AF527" s="43"/>
      <c r="AG527" s="43"/>
      <c r="AH527" s="43"/>
      <c r="AI527" s="43"/>
      <c r="AJ527" s="9"/>
      <c r="AK527" s="10"/>
      <c r="AL527" s="11"/>
    </row>
    <row r="528" spans="1:38" ht="11.25" hidden="1" customHeight="1" outlineLevel="1" x14ac:dyDescent="0.2">
      <c r="A528" s="21">
        <v>13</v>
      </c>
      <c r="B528" s="88" t="s">
        <v>517</v>
      </c>
      <c r="C528" s="88"/>
      <c r="D528" s="88"/>
      <c r="E528" s="88"/>
      <c r="F528" s="88"/>
      <c r="G528" s="88"/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41">
        <v>12.54</v>
      </c>
      <c r="U528" s="41"/>
      <c r="V528" s="41"/>
      <c r="W528" s="41"/>
      <c r="X528" s="41"/>
      <c r="Y528" s="43">
        <v>12.170999999999999</v>
      </c>
      <c r="Z528" s="43"/>
      <c r="AA528" s="43"/>
      <c r="AB528" s="43"/>
      <c r="AC528" s="43"/>
      <c r="AD528" s="43">
        <v>0.36899999999999999</v>
      </c>
      <c r="AE528" s="43"/>
      <c r="AF528" s="43"/>
      <c r="AG528" s="43"/>
      <c r="AH528" s="43"/>
      <c r="AI528" s="43"/>
      <c r="AJ528" s="9"/>
      <c r="AK528" s="10"/>
      <c r="AL528" s="11"/>
    </row>
    <row r="529" spans="1:38" ht="11.25" hidden="1" customHeight="1" outlineLevel="1" x14ac:dyDescent="0.2">
      <c r="A529" s="21">
        <v>14</v>
      </c>
      <c r="B529" s="88" t="s">
        <v>518</v>
      </c>
      <c r="C529" s="88"/>
      <c r="D529" s="88"/>
      <c r="E529" s="88"/>
      <c r="F529" s="88"/>
      <c r="G529" s="88"/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59">
        <v>8.3000000000000007</v>
      </c>
      <c r="U529" s="59"/>
      <c r="V529" s="59"/>
      <c r="W529" s="59"/>
      <c r="X529" s="59"/>
      <c r="Y529" s="43">
        <v>8.2029999999999994</v>
      </c>
      <c r="Z529" s="43"/>
      <c r="AA529" s="43"/>
      <c r="AB529" s="43"/>
      <c r="AC529" s="43"/>
      <c r="AD529" s="43">
        <v>9.7000000000000003E-2</v>
      </c>
      <c r="AE529" s="43"/>
      <c r="AF529" s="43"/>
      <c r="AG529" s="43"/>
      <c r="AH529" s="43"/>
      <c r="AI529" s="43"/>
      <c r="AJ529" s="9"/>
      <c r="AK529" s="10"/>
      <c r="AL529" s="11"/>
    </row>
    <row r="530" spans="1:38" ht="11.25" hidden="1" customHeight="1" outlineLevel="1" x14ac:dyDescent="0.2">
      <c r="A530" s="21">
        <v>15</v>
      </c>
      <c r="B530" s="88" t="s">
        <v>519</v>
      </c>
      <c r="C530" s="88"/>
      <c r="D530" s="88"/>
      <c r="E530" s="88"/>
      <c r="F530" s="88"/>
      <c r="G530" s="88"/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41">
        <v>12.26</v>
      </c>
      <c r="U530" s="41"/>
      <c r="V530" s="41"/>
      <c r="W530" s="41"/>
      <c r="X530" s="41"/>
      <c r="Y530" s="43">
        <v>12.257999999999999</v>
      </c>
      <c r="Z530" s="43"/>
      <c r="AA530" s="43"/>
      <c r="AB530" s="43"/>
      <c r="AC530" s="43"/>
      <c r="AD530" s="43">
        <v>2E-3</v>
      </c>
      <c r="AE530" s="43"/>
      <c r="AF530" s="43"/>
      <c r="AG530" s="43"/>
      <c r="AH530" s="43"/>
      <c r="AI530" s="43"/>
      <c r="AJ530" s="9"/>
      <c r="AK530" s="10"/>
      <c r="AL530" s="11"/>
    </row>
    <row r="531" spans="1:38" ht="11.25" hidden="1" customHeight="1" outlineLevel="1" x14ac:dyDescent="0.2">
      <c r="A531" s="21">
        <v>16</v>
      </c>
      <c r="B531" s="88" t="s">
        <v>520</v>
      </c>
      <c r="C531" s="88"/>
      <c r="D531" s="88"/>
      <c r="E531" s="88"/>
      <c r="F531" s="88"/>
      <c r="G531" s="88"/>
      <c r="H531" s="88"/>
      <c r="I531" s="88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41">
        <v>16.690000000000001</v>
      </c>
      <c r="U531" s="41"/>
      <c r="V531" s="41"/>
      <c r="W531" s="41"/>
      <c r="X531" s="41"/>
      <c r="Y531" s="43">
        <v>16.515000000000001</v>
      </c>
      <c r="Z531" s="43"/>
      <c r="AA531" s="43"/>
      <c r="AB531" s="43"/>
      <c r="AC531" s="43"/>
      <c r="AD531" s="43">
        <v>0.17499999999999999</v>
      </c>
      <c r="AE531" s="43"/>
      <c r="AF531" s="43"/>
      <c r="AG531" s="43"/>
      <c r="AH531" s="43"/>
      <c r="AI531" s="43"/>
      <c r="AJ531" s="9"/>
      <c r="AK531" s="10"/>
      <c r="AL531" s="11"/>
    </row>
    <row r="532" spans="1:38" ht="11.25" hidden="1" customHeight="1" outlineLevel="1" x14ac:dyDescent="0.2">
      <c r="A532" s="21">
        <v>17</v>
      </c>
      <c r="B532" s="88" t="s">
        <v>521</v>
      </c>
      <c r="C532" s="88"/>
      <c r="D532" s="88"/>
      <c r="E532" s="88"/>
      <c r="F532" s="88"/>
      <c r="G532" s="88"/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59">
        <v>18.100000000000001</v>
      </c>
      <c r="U532" s="59"/>
      <c r="V532" s="59"/>
      <c r="W532" s="59"/>
      <c r="X532" s="59"/>
      <c r="Y532" s="43">
        <v>17.917000000000002</v>
      </c>
      <c r="Z532" s="43"/>
      <c r="AA532" s="43"/>
      <c r="AB532" s="43"/>
      <c r="AC532" s="43"/>
      <c r="AD532" s="43">
        <v>0.183</v>
      </c>
      <c r="AE532" s="43"/>
      <c r="AF532" s="43"/>
      <c r="AG532" s="43"/>
      <c r="AH532" s="43"/>
      <c r="AI532" s="43"/>
      <c r="AJ532" s="9"/>
      <c r="AK532" s="10"/>
      <c r="AL532" s="11"/>
    </row>
    <row r="533" spans="1:38" ht="11.25" hidden="1" customHeight="1" outlineLevel="1" x14ac:dyDescent="0.2">
      <c r="A533" s="21">
        <v>18</v>
      </c>
      <c r="B533" s="88" t="s">
        <v>522</v>
      </c>
      <c r="C533" s="88"/>
      <c r="D533" s="88"/>
      <c r="E533" s="88"/>
      <c r="F533" s="88"/>
      <c r="G533" s="88"/>
      <c r="H533" s="88"/>
      <c r="I533" s="88"/>
      <c r="J533" s="88"/>
      <c r="K533" s="88"/>
      <c r="L533" s="88"/>
      <c r="M533" s="88"/>
      <c r="N533" s="88"/>
      <c r="O533" s="88"/>
      <c r="P533" s="88"/>
      <c r="Q533" s="88"/>
      <c r="R533" s="88"/>
      <c r="S533" s="88"/>
      <c r="T533" s="59">
        <v>6.7</v>
      </c>
      <c r="U533" s="59"/>
      <c r="V533" s="59"/>
      <c r="W533" s="59"/>
      <c r="X533" s="59"/>
      <c r="Y533" s="43">
        <v>6.8380000000000001</v>
      </c>
      <c r="Z533" s="43"/>
      <c r="AA533" s="43"/>
      <c r="AB533" s="43"/>
      <c r="AC533" s="43"/>
      <c r="AD533" s="43">
        <v>-0.13800000000000001</v>
      </c>
      <c r="AE533" s="43"/>
      <c r="AF533" s="43"/>
      <c r="AG533" s="43"/>
      <c r="AH533" s="43"/>
      <c r="AI533" s="43"/>
      <c r="AJ533" s="9"/>
      <c r="AK533" s="10"/>
      <c r="AL533" s="11"/>
    </row>
    <row r="534" spans="1:38" ht="11.25" hidden="1" customHeight="1" outlineLevel="1" x14ac:dyDescent="0.2">
      <c r="A534" s="21">
        <v>19</v>
      </c>
      <c r="B534" s="88" t="s">
        <v>523</v>
      </c>
      <c r="C534" s="88"/>
      <c r="D534" s="88"/>
      <c r="E534" s="88"/>
      <c r="F534" s="88"/>
      <c r="G534" s="88"/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41">
        <v>0.49</v>
      </c>
      <c r="U534" s="41"/>
      <c r="V534" s="41"/>
      <c r="W534" s="41"/>
      <c r="X534" s="41"/>
      <c r="Y534" s="41">
        <v>0.39</v>
      </c>
      <c r="Z534" s="41"/>
      <c r="AA534" s="41"/>
      <c r="AB534" s="41"/>
      <c r="AC534" s="41"/>
      <c r="AD534" s="59">
        <v>0.1</v>
      </c>
      <c r="AE534" s="59"/>
      <c r="AF534" s="59"/>
      <c r="AG534" s="59"/>
      <c r="AH534" s="59"/>
      <c r="AI534" s="59"/>
      <c r="AJ534" s="9"/>
      <c r="AK534" s="10"/>
      <c r="AL534" s="11"/>
    </row>
    <row r="535" spans="1:38" ht="11.25" hidden="1" customHeight="1" outlineLevel="1" x14ac:dyDescent="0.2">
      <c r="A535" s="21">
        <v>20</v>
      </c>
      <c r="B535" s="88" t="s">
        <v>352</v>
      </c>
      <c r="C535" s="88"/>
      <c r="D535" s="88"/>
      <c r="E535" s="88"/>
      <c r="F535" s="88"/>
      <c r="G535" s="88"/>
      <c r="H535" s="88"/>
      <c r="I535" s="88"/>
      <c r="J535" s="88"/>
      <c r="K535" s="88"/>
      <c r="L535" s="88"/>
      <c r="M535" s="88"/>
      <c r="N535" s="88"/>
      <c r="O535" s="88"/>
      <c r="P535" s="88"/>
      <c r="Q535" s="88"/>
      <c r="R535" s="88"/>
      <c r="S535" s="88"/>
      <c r="T535" s="59">
        <v>27.2</v>
      </c>
      <c r="U535" s="59"/>
      <c r="V535" s="59"/>
      <c r="W535" s="59"/>
      <c r="X535" s="59"/>
      <c r="Y535" s="43">
        <v>28.298999999999999</v>
      </c>
      <c r="Z535" s="43"/>
      <c r="AA535" s="43"/>
      <c r="AB535" s="43"/>
      <c r="AC535" s="43"/>
      <c r="AD535" s="43">
        <v>-1.099</v>
      </c>
      <c r="AE535" s="43"/>
      <c r="AF535" s="43"/>
      <c r="AG535" s="43"/>
      <c r="AH535" s="43"/>
      <c r="AI535" s="43"/>
      <c r="AJ535" s="9"/>
      <c r="AK535" s="10"/>
      <c r="AL535" s="11"/>
    </row>
    <row r="536" spans="1:38" ht="11.25" hidden="1" customHeight="1" outlineLevel="1" x14ac:dyDescent="0.2">
      <c r="A536" s="21">
        <v>21</v>
      </c>
      <c r="B536" s="88" t="s">
        <v>524</v>
      </c>
      <c r="C536" s="88"/>
      <c r="D536" s="88"/>
      <c r="E536" s="88"/>
      <c r="F536" s="88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59">
        <v>18.2</v>
      </c>
      <c r="U536" s="59"/>
      <c r="V536" s="59"/>
      <c r="W536" s="59"/>
      <c r="X536" s="59"/>
      <c r="Y536" s="43">
        <v>18.437999999999999</v>
      </c>
      <c r="Z536" s="43"/>
      <c r="AA536" s="43"/>
      <c r="AB536" s="43"/>
      <c r="AC536" s="43"/>
      <c r="AD536" s="43">
        <v>-0.23799999999999999</v>
      </c>
      <c r="AE536" s="43"/>
      <c r="AF536" s="43"/>
      <c r="AG536" s="43"/>
      <c r="AH536" s="43"/>
      <c r="AI536" s="43"/>
      <c r="AJ536" s="9"/>
      <c r="AK536" s="10"/>
      <c r="AL536" s="11"/>
    </row>
    <row r="537" spans="1:38" ht="11.25" hidden="1" customHeight="1" collapsed="1" x14ac:dyDescent="0.2">
      <c r="A537" s="60" t="s">
        <v>525</v>
      </c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4">
        <v>1064.99</v>
      </c>
      <c r="U537" s="64"/>
      <c r="V537" s="64"/>
      <c r="W537" s="64"/>
      <c r="X537" s="64"/>
      <c r="Y537" s="61">
        <v>1085.6179999999999</v>
      </c>
      <c r="Z537" s="61"/>
      <c r="AA537" s="61"/>
      <c r="AB537" s="61"/>
      <c r="AC537" s="61"/>
      <c r="AD537" s="62">
        <v>-20.628</v>
      </c>
      <c r="AE537" s="62"/>
      <c r="AF537" s="62"/>
      <c r="AG537" s="62"/>
      <c r="AH537" s="62"/>
      <c r="AI537" s="62"/>
      <c r="AJ537" s="62">
        <v>11.997999999999999</v>
      </c>
      <c r="AK537" s="62"/>
      <c r="AL537" s="62"/>
    </row>
    <row r="538" spans="1:38" ht="21.75" hidden="1" customHeight="1" outlineLevel="1" x14ac:dyDescent="0.2">
      <c r="A538" s="21">
        <v>1</v>
      </c>
      <c r="B538" s="88" t="s">
        <v>526</v>
      </c>
      <c r="C538" s="88"/>
      <c r="D538" s="88"/>
      <c r="E538" s="88"/>
      <c r="F538" s="88"/>
      <c r="G538" s="88"/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58">
        <v>9</v>
      </c>
      <c r="U538" s="58"/>
      <c r="V538" s="58"/>
      <c r="W538" s="58"/>
      <c r="X538" s="58"/>
      <c r="Y538" s="43">
        <v>7.1879999999999997</v>
      </c>
      <c r="Z538" s="43"/>
      <c r="AA538" s="43"/>
      <c r="AB538" s="43"/>
      <c r="AC538" s="43"/>
      <c r="AD538" s="43">
        <v>1.8120000000000001</v>
      </c>
      <c r="AE538" s="43"/>
      <c r="AF538" s="43"/>
      <c r="AG538" s="43"/>
      <c r="AH538" s="43"/>
      <c r="AI538" s="43"/>
      <c r="AJ538" s="9"/>
      <c r="AK538" s="10"/>
      <c r="AL538" s="11"/>
    </row>
    <row r="539" spans="1:38" ht="21.75" hidden="1" customHeight="1" outlineLevel="1" x14ac:dyDescent="0.2">
      <c r="A539" s="21">
        <v>2</v>
      </c>
      <c r="B539" s="88" t="s">
        <v>527</v>
      </c>
      <c r="C539" s="88"/>
      <c r="D539" s="88"/>
      <c r="E539" s="88"/>
      <c r="F539" s="88"/>
      <c r="G539" s="88"/>
      <c r="H539" s="88"/>
      <c r="I539" s="88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41">
        <v>54.55</v>
      </c>
      <c r="U539" s="41"/>
      <c r="V539" s="41"/>
      <c r="W539" s="41"/>
      <c r="X539" s="41"/>
      <c r="Y539" s="43">
        <v>58.667000000000002</v>
      </c>
      <c r="Z539" s="43"/>
      <c r="AA539" s="43"/>
      <c r="AB539" s="43"/>
      <c r="AC539" s="43"/>
      <c r="AD539" s="43">
        <v>-4.117</v>
      </c>
      <c r="AE539" s="43"/>
      <c r="AF539" s="43"/>
      <c r="AG539" s="43"/>
      <c r="AH539" s="43"/>
      <c r="AI539" s="43"/>
      <c r="AJ539" s="9"/>
      <c r="AK539" s="10"/>
      <c r="AL539" s="11"/>
    </row>
    <row r="540" spans="1:38" ht="11.25" hidden="1" customHeight="1" outlineLevel="1" x14ac:dyDescent="0.2">
      <c r="A540" s="21">
        <v>3</v>
      </c>
      <c r="B540" s="88" t="s">
        <v>528</v>
      </c>
      <c r="C540" s="88"/>
      <c r="D540" s="88"/>
      <c r="E540" s="88"/>
      <c r="F540" s="88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41">
        <v>31.81</v>
      </c>
      <c r="U540" s="41"/>
      <c r="V540" s="41"/>
      <c r="W540" s="41"/>
      <c r="X540" s="41"/>
      <c r="Y540" s="41">
        <v>32.03</v>
      </c>
      <c r="Z540" s="41"/>
      <c r="AA540" s="41"/>
      <c r="AB540" s="41"/>
      <c r="AC540" s="41"/>
      <c r="AD540" s="41">
        <v>-0.22</v>
      </c>
      <c r="AE540" s="41"/>
      <c r="AF540" s="41"/>
      <c r="AG540" s="41"/>
      <c r="AH540" s="41"/>
      <c r="AI540" s="41"/>
      <c r="AJ540" s="9"/>
      <c r="AK540" s="10"/>
      <c r="AL540" s="11"/>
    </row>
    <row r="541" spans="1:38" ht="21.75" hidden="1" customHeight="1" outlineLevel="1" x14ac:dyDescent="0.2">
      <c r="A541" s="21">
        <v>4</v>
      </c>
      <c r="B541" s="88" t="s">
        <v>529</v>
      </c>
      <c r="C541" s="88"/>
      <c r="D541" s="88"/>
      <c r="E541" s="88"/>
      <c r="F541" s="88"/>
      <c r="G541" s="88"/>
      <c r="H541" s="88"/>
      <c r="I541" s="88"/>
      <c r="J541" s="88"/>
      <c r="K541" s="88"/>
      <c r="L541" s="88"/>
      <c r="M541" s="88"/>
      <c r="N541" s="88"/>
      <c r="O541" s="88"/>
      <c r="P541" s="88"/>
      <c r="Q541" s="88"/>
      <c r="R541" s="88"/>
      <c r="S541" s="88"/>
      <c r="T541" s="41">
        <v>18.98</v>
      </c>
      <c r="U541" s="41"/>
      <c r="V541" s="41"/>
      <c r="W541" s="41"/>
      <c r="X541" s="41"/>
      <c r="Y541" s="43">
        <v>19.280999999999999</v>
      </c>
      <c r="Z541" s="43"/>
      <c r="AA541" s="43"/>
      <c r="AB541" s="43"/>
      <c r="AC541" s="43"/>
      <c r="AD541" s="43">
        <v>-0.30099999999999999</v>
      </c>
      <c r="AE541" s="43"/>
      <c r="AF541" s="43"/>
      <c r="AG541" s="43"/>
      <c r="AH541" s="43"/>
      <c r="AI541" s="43"/>
      <c r="AJ541" s="9"/>
      <c r="AK541" s="10"/>
      <c r="AL541" s="11"/>
    </row>
    <row r="542" spans="1:38" ht="21.75" hidden="1" customHeight="1" outlineLevel="1" x14ac:dyDescent="0.2">
      <c r="A542" s="21">
        <v>5</v>
      </c>
      <c r="B542" s="88" t="s">
        <v>530</v>
      </c>
      <c r="C542" s="88"/>
      <c r="D542" s="88"/>
      <c r="E542" s="88"/>
      <c r="F542" s="88"/>
      <c r="G542" s="88"/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41">
        <v>26.34</v>
      </c>
      <c r="U542" s="41"/>
      <c r="V542" s="41"/>
      <c r="W542" s="41"/>
      <c r="X542" s="41"/>
      <c r="Y542" s="43">
        <v>25.599</v>
      </c>
      <c r="Z542" s="43"/>
      <c r="AA542" s="43"/>
      <c r="AB542" s="43"/>
      <c r="AC542" s="43"/>
      <c r="AD542" s="43">
        <v>0.74099999999999999</v>
      </c>
      <c r="AE542" s="43"/>
      <c r="AF542" s="43"/>
      <c r="AG542" s="43"/>
      <c r="AH542" s="43"/>
      <c r="AI542" s="43"/>
      <c r="AJ542" s="9"/>
      <c r="AK542" s="10"/>
      <c r="AL542" s="11"/>
    </row>
    <row r="543" spans="1:38" ht="21.75" hidden="1" customHeight="1" outlineLevel="1" x14ac:dyDescent="0.2">
      <c r="A543" s="21">
        <v>6</v>
      </c>
      <c r="B543" s="88" t="s">
        <v>531</v>
      </c>
      <c r="C543" s="88"/>
      <c r="D543" s="88"/>
      <c r="E543" s="88"/>
      <c r="F543" s="88"/>
      <c r="G543" s="88"/>
      <c r="H543" s="88"/>
      <c r="I543" s="88"/>
      <c r="J543" s="88"/>
      <c r="K543" s="88"/>
      <c r="L543" s="88"/>
      <c r="M543" s="88"/>
      <c r="N543" s="88"/>
      <c r="O543" s="88"/>
      <c r="P543" s="88"/>
      <c r="Q543" s="88"/>
      <c r="R543" s="88"/>
      <c r="S543" s="88"/>
      <c r="T543" s="59">
        <v>12.5</v>
      </c>
      <c r="U543" s="59"/>
      <c r="V543" s="59"/>
      <c r="W543" s="59"/>
      <c r="X543" s="59"/>
      <c r="Y543" s="43">
        <v>11.778</v>
      </c>
      <c r="Z543" s="43"/>
      <c r="AA543" s="43"/>
      <c r="AB543" s="43"/>
      <c r="AC543" s="43"/>
      <c r="AD543" s="43">
        <v>0.72199999999999998</v>
      </c>
      <c r="AE543" s="43"/>
      <c r="AF543" s="43"/>
      <c r="AG543" s="43"/>
      <c r="AH543" s="43"/>
      <c r="AI543" s="43"/>
      <c r="AJ543" s="9"/>
      <c r="AK543" s="10"/>
      <c r="AL543" s="11"/>
    </row>
    <row r="544" spans="1:38" ht="11.25" hidden="1" customHeight="1" outlineLevel="1" x14ac:dyDescent="0.2">
      <c r="A544" s="21">
        <v>7</v>
      </c>
      <c r="B544" s="88" t="s">
        <v>532</v>
      </c>
      <c r="C544" s="88"/>
      <c r="D544" s="88"/>
      <c r="E544" s="88"/>
      <c r="F544" s="88"/>
      <c r="G544" s="88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41">
        <v>9.7100000000000009</v>
      </c>
      <c r="U544" s="41"/>
      <c r="V544" s="41"/>
      <c r="W544" s="41"/>
      <c r="X544" s="41"/>
      <c r="Y544" s="41">
        <v>9.49</v>
      </c>
      <c r="Z544" s="41"/>
      <c r="AA544" s="41"/>
      <c r="AB544" s="41"/>
      <c r="AC544" s="41"/>
      <c r="AD544" s="41">
        <v>0.22</v>
      </c>
      <c r="AE544" s="41"/>
      <c r="AF544" s="41"/>
      <c r="AG544" s="41"/>
      <c r="AH544" s="41"/>
      <c r="AI544" s="41"/>
      <c r="AJ544" s="9"/>
      <c r="AK544" s="10"/>
      <c r="AL544" s="11"/>
    </row>
    <row r="545" spans="1:38" ht="21.75" hidden="1" customHeight="1" outlineLevel="1" x14ac:dyDescent="0.2">
      <c r="A545" s="21">
        <v>8</v>
      </c>
      <c r="B545" s="88" t="s">
        <v>533</v>
      </c>
      <c r="C545" s="88"/>
      <c r="D545" s="88"/>
      <c r="E545" s="88"/>
      <c r="F545" s="88"/>
      <c r="G545" s="88"/>
      <c r="H545" s="88"/>
      <c r="I545" s="88"/>
      <c r="J545" s="88"/>
      <c r="K545" s="88"/>
      <c r="L545" s="88"/>
      <c r="M545" s="88"/>
      <c r="N545" s="88"/>
      <c r="O545" s="88"/>
      <c r="P545" s="88"/>
      <c r="Q545" s="88"/>
      <c r="R545" s="88"/>
      <c r="S545" s="88"/>
      <c r="T545" s="41">
        <v>10.82</v>
      </c>
      <c r="U545" s="41"/>
      <c r="V545" s="41"/>
      <c r="W545" s="41"/>
      <c r="X545" s="41"/>
      <c r="Y545" s="43">
        <v>10.727</v>
      </c>
      <c r="Z545" s="43"/>
      <c r="AA545" s="43"/>
      <c r="AB545" s="43"/>
      <c r="AC545" s="43"/>
      <c r="AD545" s="43">
        <v>9.2999999999999999E-2</v>
      </c>
      <c r="AE545" s="43"/>
      <c r="AF545" s="43"/>
      <c r="AG545" s="43"/>
      <c r="AH545" s="43"/>
      <c r="AI545" s="43"/>
      <c r="AJ545" s="9"/>
      <c r="AK545" s="10"/>
      <c r="AL545" s="11"/>
    </row>
    <row r="546" spans="1:38" ht="21.75" hidden="1" customHeight="1" outlineLevel="1" x14ac:dyDescent="0.2">
      <c r="A546" s="21">
        <v>9</v>
      </c>
      <c r="B546" s="88" t="s">
        <v>534</v>
      </c>
      <c r="C546" s="88"/>
      <c r="D546" s="88"/>
      <c r="E546" s="88"/>
      <c r="F546" s="88"/>
      <c r="G546" s="88"/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41">
        <v>3.78</v>
      </c>
      <c r="U546" s="41"/>
      <c r="V546" s="41"/>
      <c r="W546" s="41"/>
      <c r="X546" s="41"/>
      <c r="Y546" s="41">
        <v>3.32</v>
      </c>
      <c r="Z546" s="41"/>
      <c r="AA546" s="41"/>
      <c r="AB546" s="41"/>
      <c r="AC546" s="41"/>
      <c r="AD546" s="41">
        <v>0.46</v>
      </c>
      <c r="AE546" s="41"/>
      <c r="AF546" s="41"/>
      <c r="AG546" s="41"/>
      <c r="AH546" s="41"/>
      <c r="AI546" s="41"/>
      <c r="AJ546" s="9"/>
      <c r="AK546" s="10"/>
      <c r="AL546" s="11"/>
    </row>
    <row r="547" spans="1:38" ht="21.75" hidden="1" customHeight="1" outlineLevel="1" x14ac:dyDescent="0.2">
      <c r="A547" s="21">
        <v>10</v>
      </c>
      <c r="B547" s="88" t="s">
        <v>535</v>
      </c>
      <c r="C547" s="88"/>
      <c r="D547" s="88"/>
      <c r="E547" s="88"/>
      <c r="F547" s="88"/>
      <c r="G547" s="88"/>
      <c r="H547" s="88"/>
      <c r="I547" s="88"/>
      <c r="J547" s="88"/>
      <c r="K547" s="88"/>
      <c r="L547" s="88"/>
      <c r="M547" s="88"/>
      <c r="N547" s="88"/>
      <c r="O547" s="88"/>
      <c r="P547" s="88"/>
      <c r="Q547" s="88"/>
      <c r="R547" s="88"/>
      <c r="S547" s="88"/>
      <c r="T547" s="59">
        <v>23.3</v>
      </c>
      <c r="U547" s="59"/>
      <c r="V547" s="59"/>
      <c r="W547" s="59"/>
      <c r="X547" s="59"/>
      <c r="Y547" s="43">
        <v>24.303000000000001</v>
      </c>
      <c r="Z547" s="43"/>
      <c r="AA547" s="43"/>
      <c r="AB547" s="43"/>
      <c r="AC547" s="43"/>
      <c r="AD547" s="43">
        <v>-1.0029999999999999</v>
      </c>
      <c r="AE547" s="43"/>
      <c r="AF547" s="43"/>
      <c r="AG547" s="43"/>
      <c r="AH547" s="43"/>
      <c r="AI547" s="43"/>
      <c r="AJ547" s="9"/>
      <c r="AK547" s="10"/>
      <c r="AL547" s="11"/>
    </row>
    <row r="548" spans="1:38" ht="21.75" hidden="1" customHeight="1" outlineLevel="1" x14ac:dyDescent="0.2">
      <c r="A548" s="21">
        <v>11</v>
      </c>
      <c r="B548" s="88" t="s">
        <v>536</v>
      </c>
      <c r="C548" s="88"/>
      <c r="D548" s="88"/>
      <c r="E548" s="88"/>
      <c r="F548" s="88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41">
        <v>6.23</v>
      </c>
      <c r="U548" s="41"/>
      <c r="V548" s="41"/>
      <c r="W548" s="41"/>
      <c r="X548" s="41"/>
      <c r="Y548" s="41">
        <v>5.82</v>
      </c>
      <c r="Z548" s="41"/>
      <c r="AA548" s="41"/>
      <c r="AB548" s="41"/>
      <c r="AC548" s="41"/>
      <c r="AD548" s="41">
        <v>0.41</v>
      </c>
      <c r="AE548" s="41"/>
      <c r="AF548" s="41"/>
      <c r="AG548" s="41"/>
      <c r="AH548" s="41"/>
      <c r="AI548" s="41"/>
      <c r="AJ548" s="9"/>
      <c r="AK548" s="10"/>
      <c r="AL548" s="11"/>
    </row>
    <row r="549" spans="1:38" ht="11.25" hidden="1" customHeight="1" outlineLevel="1" x14ac:dyDescent="0.2">
      <c r="A549" s="21">
        <v>12</v>
      </c>
      <c r="B549" s="88" t="s">
        <v>537</v>
      </c>
      <c r="C549" s="88"/>
      <c r="D549" s="88"/>
      <c r="E549" s="88"/>
      <c r="F549" s="88"/>
      <c r="G549" s="88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41">
        <v>5.45</v>
      </c>
      <c r="U549" s="41"/>
      <c r="V549" s="41"/>
      <c r="W549" s="41"/>
      <c r="X549" s="41"/>
      <c r="Y549" s="43">
        <v>5.141</v>
      </c>
      <c r="Z549" s="43"/>
      <c r="AA549" s="43"/>
      <c r="AB549" s="43"/>
      <c r="AC549" s="43"/>
      <c r="AD549" s="43">
        <v>0.309</v>
      </c>
      <c r="AE549" s="43"/>
      <c r="AF549" s="43"/>
      <c r="AG549" s="43"/>
      <c r="AH549" s="43"/>
      <c r="AI549" s="43"/>
      <c r="AJ549" s="9"/>
      <c r="AK549" s="10"/>
      <c r="AL549" s="11"/>
    </row>
    <row r="550" spans="1:38" ht="21.75" hidden="1" customHeight="1" outlineLevel="1" x14ac:dyDescent="0.2">
      <c r="A550" s="21">
        <v>13</v>
      </c>
      <c r="B550" s="88" t="s">
        <v>538</v>
      </c>
      <c r="C550" s="88"/>
      <c r="D550" s="88"/>
      <c r="E550" s="88"/>
      <c r="F550" s="88"/>
      <c r="G550" s="88"/>
      <c r="H550" s="88"/>
      <c r="I550" s="88"/>
      <c r="J550" s="88"/>
      <c r="K550" s="88"/>
      <c r="L550" s="88"/>
      <c r="M550" s="88"/>
      <c r="N550" s="88"/>
      <c r="O550" s="88"/>
      <c r="P550" s="88"/>
      <c r="Q550" s="88"/>
      <c r="R550" s="88"/>
      <c r="S550" s="88"/>
      <c r="T550" s="59">
        <v>154.1</v>
      </c>
      <c r="U550" s="59"/>
      <c r="V550" s="59"/>
      <c r="W550" s="59"/>
      <c r="X550" s="59"/>
      <c r="Y550" s="43">
        <v>159.333</v>
      </c>
      <c r="Z550" s="43"/>
      <c r="AA550" s="43"/>
      <c r="AB550" s="43"/>
      <c r="AC550" s="43"/>
      <c r="AD550" s="43">
        <v>-5.2329999999999997</v>
      </c>
      <c r="AE550" s="43"/>
      <c r="AF550" s="43"/>
      <c r="AG550" s="43"/>
      <c r="AH550" s="43"/>
      <c r="AI550" s="43"/>
      <c r="AJ550" s="9"/>
      <c r="AK550" s="10"/>
      <c r="AL550" s="11"/>
    </row>
    <row r="551" spans="1:38" ht="21.75" hidden="1" customHeight="1" outlineLevel="1" x14ac:dyDescent="0.2">
      <c r="A551" s="21">
        <v>14</v>
      </c>
      <c r="B551" s="88" t="s">
        <v>539</v>
      </c>
      <c r="C551" s="88"/>
      <c r="D551" s="88"/>
      <c r="E551" s="88"/>
      <c r="F551" s="88"/>
      <c r="G551" s="88"/>
      <c r="H551" s="88"/>
      <c r="I551" s="88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58">
        <v>76</v>
      </c>
      <c r="U551" s="58"/>
      <c r="V551" s="58"/>
      <c r="W551" s="58"/>
      <c r="X551" s="58"/>
      <c r="Y551" s="43">
        <v>76.917000000000002</v>
      </c>
      <c r="Z551" s="43"/>
      <c r="AA551" s="43"/>
      <c r="AB551" s="43"/>
      <c r="AC551" s="43"/>
      <c r="AD551" s="43">
        <v>-0.91700000000000004</v>
      </c>
      <c r="AE551" s="43"/>
      <c r="AF551" s="43"/>
      <c r="AG551" s="43"/>
      <c r="AH551" s="43"/>
      <c r="AI551" s="43"/>
      <c r="AJ551" s="9"/>
      <c r="AK551" s="10"/>
      <c r="AL551" s="11"/>
    </row>
    <row r="552" spans="1:38" ht="21.75" hidden="1" customHeight="1" outlineLevel="1" x14ac:dyDescent="0.2">
      <c r="A552" s="21">
        <v>15</v>
      </c>
      <c r="B552" s="88" t="s">
        <v>540</v>
      </c>
      <c r="C552" s="88"/>
      <c r="D552" s="88"/>
      <c r="E552" s="88"/>
      <c r="F552" s="88"/>
      <c r="G552" s="88"/>
      <c r="H552" s="88"/>
      <c r="I552" s="88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41">
        <v>3.86</v>
      </c>
      <c r="U552" s="41"/>
      <c r="V552" s="41"/>
      <c r="W552" s="41"/>
      <c r="X552" s="41"/>
      <c r="Y552" s="43">
        <v>3.508</v>
      </c>
      <c r="Z552" s="43"/>
      <c r="AA552" s="43"/>
      <c r="AB552" s="43"/>
      <c r="AC552" s="43"/>
      <c r="AD552" s="43">
        <v>0.35199999999999998</v>
      </c>
      <c r="AE552" s="43"/>
      <c r="AF552" s="43"/>
      <c r="AG552" s="43"/>
      <c r="AH552" s="43"/>
      <c r="AI552" s="43"/>
      <c r="AJ552" s="9"/>
      <c r="AK552" s="10"/>
      <c r="AL552" s="11"/>
    </row>
    <row r="553" spans="1:38" ht="11.25" hidden="1" customHeight="1" outlineLevel="1" x14ac:dyDescent="0.2">
      <c r="A553" s="21">
        <v>16</v>
      </c>
      <c r="B553" s="88" t="s">
        <v>541</v>
      </c>
      <c r="C553" s="88"/>
      <c r="D553" s="88"/>
      <c r="E553" s="88"/>
      <c r="F553" s="88"/>
      <c r="G553" s="88"/>
      <c r="H553" s="88"/>
      <c r="I553" s="88"/>
      <c r="J553" s="88"/>
      <c r="K553" s="88"/>
      <c r="L553" s="88"/>
      <c r="M553" s="88"/>
      <c r="N553" s="88"/>
      <c r="O553" s="88"/>
      <c r="P553" s="88"/>
      <c r="Q553" s="88"/>
      <c r="R553" s="88"/>
      <c r="S553" s="88"/>
      <c r="T553" s="59">
        <v>21.3</v>
      </c>
      <c r="U553" s="59"/>
      <c r="V553" s="59"/>
      <c r="W553" s="59"/>
      <c r="X553" s="59"/>
      <c r="Y553" s="43">
        <v>21.539000000000001</v>
      </c>
      <c r="Z553" s="43"/>
      <c r="AA553" s="43"/>
      <c r="AB553" s="43"/>
      <c r="AC553" s="43"/>
      <c r="AD553" s="43">
        <v>-0.23899999999999999</v>
      </c>
      <c r="AE553" s="43"/>
      <c r="AF553" s="43"/>
      <c r="AG553" s="43"/>
      <c r="AH553" s="43"/>
      <c r="AI553" s="43"/>
      <c r="AJ553" s="9"/>
      <c r="AK553" s="10"/>
      <c r="AL553" s="11"/>
    </row>
    <row r="554" spans="1:38" ht="21.75" hidden="1" customHeight="1" outlineLevel="1" x14ac:dyDescent="0.2">
      <c r="A554" s="21">
        <v>17</v>
      </c>
      <c r="B554" s="88" t="s">
        <v>542</v>
      </c>
      <c r="C554" s="88"/>
      <c r="D554" s="88"/>
      <c r="E554" s="88"/>
      <c r="F554" s="88"/>
      <c r="G554" s="88"/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41">
        <v>93.35</v>
      </c>
      <c r="U554" s="41"/>
      <c r="V554" s="41"/>
      <c r="W554" s="41"/>
      <c r="X554" s="41"/>
      <c r="Y554" s="43">
        <v>97.572999999999993</v>
      </c>
      <c r="Z554" s="43"/>
      <c r="AA554" s="43"/>
      <c r="AB554" s="43"/>
      <c r="AC554" s="43"/>
      <c r="AD554" s="43">
        <v>-4.2229999999999999</v>
      </c>
      <c r="AE554" s="43"/>
      <c r="AF554" s="43"/>
      <c r="AG554" s="43"/>
      <c r="AH554" s="43"/>
      <c r="AI554" s="43"/>
      <c r="AJ554" s="9"/>
      <c r="AK554" s="10"/>
      <c r="AL554" s="11"/>
    </row>
    <row r="555" spans="1:38" ht="21.75" hidden="1" customHeight="1" outlineLevel="1" x14ac:dyDescent="0.2">
      <c r="A555" s="21">
        <v>18</v>
      </c>
      <c r="B555" s="88" t="s">
        <v>543</v>
      </c>
      <c r="C555" s="88"/>
      <c r="D555" s="88"/>
      <c r="E555" s="88"/>
      <c r="F555" s="88"/>
      <c r="G555" s="88"/>
      <c r="H555" s="88"/>
      <c r="I555" s="88"/>
      <c r="J555" s="88"/>
      <c r="K555" s="88"/>
      <c r="L555" s="88"/>
      <c r="M555" s="88"/>
      <c r="N555" s="88"/>
      <c r="O555" s="88"/>
      <c r="P555" s="88"/>
      <c r="Q555" s="88"/>
      <c r="R555" s="88"/>
      <c r="S555" s="88"/>
      <c r="T555" s="41">
        <v>6.44</v>
      </c>
      <c r="U555" s="41"/>
      <c r="V555" s="41"/>
      <c r="W555" s="41"/>
      <c r="X555" s="41"/>
      <c r="Y555" s="41">
        <v>6.16</v>
      </c>
      <c r="Z555" s="41"/>
      <c r="AA555" s="41"/>
      <c r="AB555" s="41"/>
      <c r="AC555" s="41"/>
      <c r="AD555" s="41">
        <v>0.28000000000000003</v>
      </c>
      <c r="AE555" s="41"/>
      <c r="AF555" s="41"/>
      <c r="AG555" s="41"/>
      <c r="AH555" s="41"/>
      <c r="AI555" s="41"/>
      <c r="AJ555" s="9"/>
      <c r="AK555" s="10"/>
      <c r="AL555" s="11"/>
    </row>
    <row r="556" spans="1:38" ht="21.75" hidden="1" customHeight="1" outlineLevel="1" x14ac:dyDescent="0.2">
      <c r="A556" s="21">
        <v>19</v>
      </c>
      <c r="B556" s="88" t="s">
        <v>544</v>
      </c>
      <c r="C556" s="88"/>
      <c r="D556" s="88"/>
      <c r="E556" s="88"/>
      <c r="F556" s="88"/>
      <c r="G556" s="88"/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41">
        <v>25.24</v>
      </c>
      <c r="U556" s="41"/>
      <c r="V556" s="41"/>
      <c r="W556" s="41"/>
      <c r="X556" s="41"/>
      <c r="Y556" s="43">
        <v>25.539000000000001</v>
      </c>
      <c r="Z556" s="43"/>
      <c r="AA556" s="43"/>
      <c r="AB556" s="43"/>
      <c r="AC556" s="43"/>
      <c r="AD556" s="43">
        <v>-0.29899999999999999</v>
      </c>
      <c r="AE556" s="43"/>
      <c r="AF556" s="43"/>
      <c r="AG556" s="43"/>
      <c r="AH556" s="43"/>
      <c r="AI556" s="43"/>
      <c r="AJ556" s="9"/>
      <c r="AK556" s="10"/>
      <c r="AL556" s="11"/>
    </row>
    <row r="557" spans="1:38" ht="11.25" hidden="1" customHeight="1" outlineLevel="1" x14ac:dyDescent="0.2">
      <c r="A557" s="21">
        <v>20</v>
      </c>
      <c r="B557" s="88" t="s">
        <v>545</v>
      </c>
      <c r="C557" s="88"/>
      <c r="D557" s="88"/>
      <c r="E557" s="88"/>
      <c r="F557" s="88"/>
      <c r="G557" s="88"/>
      <c r="H557" s="88"/>
      <c r="I557" s="88"/>
      <c r="J557" s="88"/>
      <c r="K557" s="88"/>
      <c r="L557" s="88"/>
      <c r="M557" s="88"/>
      <c r="N557" s="88"/>
      <c r="O557" s="88"/>
      <c r="P557" s="88"/>
      <c r="Q557" s="88"/>
      <c r="R557" s="88"/>
      <c r="S557" s="88"/>
      <c r="T557" s="41">
        <v>20.56</v>
      </c>
      <c r="U557" s="41"/>
      <c r="V557" s="41"/>
      <c r="W557" s="41"/>
      <c r="X557" s="41"/>
      <c r="Y557" s="43">
        <v>20.812999999999999</v>
      </c>
      <c r="Z557" s="43"/>
      <c r="AA557" s="43"/>
      <c r="AB557" s="43"/>
      <c r="AC557" s="43"/>
      <c r="AD557" s="43">
        <v>-0.253</v>
      </c>
      <c r="AE557" s="43"/>
      <c r="AF557" s="43"/>
      <c r="AG557" s="43"/>
      <c r="AH557" s="43"/>
      <c r="AI557" s="43"/>
      <c r="AJ557" s="9"/>
      <c r="AK557" s="10"/>
      <c r="AL557" s="11"/>
    </row>
    <row r="558" spans="1:38" ht="11.25" hidden="1" customHeight="1" outlineLevel="1" x14ac:dyDescent="0.2">
      <c r="A558" s="21">
        <v>21</v>
      </c>
      <c r="B558" s="88" t="s">
        <v>546</v>
      </c>
      <c r="C558" s="88"/>
      <c r="D558" s="88"/>
      <c r="E558" s="88"/>
      <c r="F558" s="88"/>
      <c r="G558" s="88"/>
      <c r="H558" s="88"/>
      <c r="I558" s="88"/>
      <c r="J558" s="88"/>
      <c r="K558" s="88"/>
      <c r="L558" s="88"/>
      <c r="M558" s="88"/>
      <c r="N558" s="88"/>
      <c r="O558" s="88"/>
      <c r="P558" s="88"/>
      <c r="Q558" s="88"/>
      <c r="R558" s="88"/>
      <c r="S558" s="88"/>
      <c r="T558" s="41">
        <v>11.66</v>
      </c>
      <c r="U558" s="41"/>
      <c r="V558" s="41"/>
      <c r="W558" s="41"/>
      <c r="X558" s="41"/>
      <c r="Y558" s="43">
        <v>11.782</v>
      </c>
      <c r="Z558" s="43"/>
      <c r="AA558" s="43"/>
      <c r="AB558" s="43"/>
      <c r="AC558" s="43"/>
      <c r="AD558" s="43">
        <v>-0.122</v>
      </c>
      <c r="AE558" s="43"/>
      <c r="AF558" s="43"/>
      <c r="AG558" s="43"/>
      <c r="AH558" s="43"/>
      <c r="AI558" s="43"/>
      <c r="AJ558" s="9"/>
      <c r="AK558" s="10"/>
      <c r="AL558" s="11"/>
    </row>
    <row r="559" spans="1:38" ht="21.75" hidden="1" customHeight="1" outlineLevel="1" x14ac:dyDescent="0.2">
      <c r="A559" s="21">
        <v>22</v>
      </c>
      <c r="B559" s="88" t="s">
        <v>547</v>
      </c>
      <c r="C559" s="88"/>
      <c r="D559" s="88"/>
      <c r="E559" s="88"/>
      <c r="F559" s="88"/>
      <c r="G559" s="88"/>
      <c r="H559" s="88"/>
      <c r="I559" s="88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59">
        <v>16.100000000000001</v>
      </c>
      <c r="U559" s="59"/>
      <c r="V559" s="59"/>
      <c r="W559" s="59"/>
      <c r="X559" s="59"/>
      <c r="Y559" s="43">
        <v>16.577999999999999</v>
      </c>
      <c r="Z559" s="43"/>
      <c r="AA559" s="43"/>
      <c r="AB559" s="43"/>
      <c r="AC559" s="43"/>
      <c r="AD559" s="43">
        <v>-0.47799999999999998</v>
      </c>
      <c r="AE559" s="43"/>
      <c r="AF559" s="43"/>
      <c r="AG559" s="43"/>
      <c r="AH559" s="43"/>
      <c r="AI559" s="43"/>
      <c r="AJ559" s="9"/>
      <c r="AK559" s="10"/>
      <c r="AL559" s="11"/>
    </row>
    <row r="560" spans="1:38" ht="21.75" hidden="1" customHeight="1" outlineLevel="1" x14ac:dyDescent="0.2">
      <c r="A560" s="21">
        <v>23</v>
      </c>
      <c r="B560" s="88" t="s">
        <v>548</v>
      </c>
      <c r="C560" s="88"/>
      <c r="D560" s="88"/>
      <c r="E560" s="88"/>
      <c r="F560" s="88"/>
      <c r="G560" s="88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59">
        <v>23.2</v>
      </c>
      <c r="U560" s="59"/>
      <c r="V560" s="59"/>
      <c r="W560" s="59"/>
      <c r="X560" s="59"/>
      <c r="Y560" s="43">
        <v>23.744</v>
      </c>
      <c r="Z560" s="43"/>
      <c r="AA560" s="43"/>
      <c r="AB560" s="43"/>
      <c r="AC560" s="43"/>
      <c r="AD560" s="43">
        <v>-0.54400000000000004</v>
      </c>
      <c r="AE560" s="43"/>
      <c r="AF560" s="43"/>
      <c r="AG560" s="43"/>
      <c r="AH560" s="43"/>
      <c r="AI560" s="43"/>
      <c r="AJ560" s="9"/>
      <c r="AK560" s="10"/>
      <c r="AL560" s="11"/>
    </row>
    <row r="561" spans="1:38" ht="21.75" hidden="1" customHeight="1" outlineLevel="1" x14ac:dyDescent="0.2">
      <c r="A561" s="21">
        <v>24</v>
      </c>
      <c r="B561" s="88" t="s">
        <v>549</v>
      </c>
      <c r="C561" s="88"/>
      <c r="D561" s="88"/>
      <c r="E561" s="88"/>
      <c r="F561" s="88"/>
      <c r="G561" s="88"/>
      <c r="H561" s="88"/>
      <c r="I561" s="88"/>
      <c r="J561" s="88"/>
      <c r="K561" s="88"/>
      <c r="L561" s="88"/>
      <c r="M561" s="88"/>
      <c r="N561" s="88"/>
      <c r="O561" s="88"/>
      <c r="P561" s="88"/>
      <c r="Q561" s="88"/>
      <c r="R561" s="88"/>
      <c r="S561" s="88"/>
      <c r="T561" s="59">
        <v>2.5</v>
      </c>
      <c r="U561" s="59"/>
      <c r="V561" s="59"/>
      <c r="W561" s="59"/>
      <c r="X561" s="59"/>
      <c r="Y561" s="43">
        <v>2.4820000000000002</v>
      </c>
      <c r="Z561" s="43"/>
      <c r="AA561" s="43"/>
      <c r="AB561" s="43"/>
      <c r="AC561" s="43"/>
      <c r="AD561" s="43">
        <v>1.7999999999999999E-2</v>
      </c>
      <c r="AE561" s="43"/>
      <c r="AF561" s="43"/>
      <c r="AG561" s="43"/>
      <c r="AH561" s="43"/>
      <c r="AI561" s="43"/>
      <c r="AJ561" s="9"/>
      <c r="AK561" s="10"/>
      <c r="AL561" s="11"/>
    </row>
    <row r="562" spans="1:38" ht="21.75" hidden="1" customHeight="1" outlineLevel="1" x14ac:dyDescent="0.2">
      <c r="A562" s="21">
        <v>25</v>
      </c>
      <c r="B562" s="88" t="s">
        <v>550</v>
      </c>
      <c r="C562" s="88"/>
      <c r="D562" s="88"/>
      <c r="E562" s="88"/>
      <c r="F562" s="88"/>
      <c r="G562" s="88"/>
      <c r="H562" s="88"/>
      <c r="I562" s="88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58">
        <v>13</v>
      </c>
      <c r="U562" s="58"/>
      <c r="V562" s="58"/>
      <c r="W562" s="58"/>
      <c r="X562" s="58"/>
      <c r="Y562" s="43">
        <v>13.289</v>
      </c>
      <c r="Z562" s="43"/>
      <c r="AA562" s="43"/>
      <c r="AB562" s="43"/>
      <c r="AC562" s="43"/>
      <c r="AD562" s="43">
        <v>-0.28899999999999998</v>
      </c>
      <c r="AE562" s="43"/>
      <c r="AF562" s="43"/>
      <c r="AG562" s="43"/>
      <c r="AH562" s="43"/>
      <c r="AI562" s="43"/>
      <c r="AJ562" s="9"/>
      <c r="AK562" s="10"/>
      <c r="AL562" s="11"/>
    </row>
    <row r="563" spans="1:38" ht="21.75" hidden="1" customHeight="1" outlineLevel="1" x14ac:dyDescent="0.2">
      <c r="A563" s="21">
        <v>26</v>
      </c>
      <c r="B563" s="88" t="s">
        <v>551</v>
      </c>
      <c r="C563" s="88"/>
      <c r="D563" s="88"/>
      <c r="E563" s="88"/>
      <c r="F563" s="88"/>
      <c r="G563" s="88"/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41">
        <v>14.08</v>
      </c>
      <c r="U563" s="41"/>
      <c r="V563" s="41"/>
      <c r="W563" s="41"/>
      <c r="X563" s="41"/>
      <c r="Y563" s="43">
        <v>14.284000000000001</v>
      </c>
      <c r="Z563" s="43"/>
      <c r="AA563" s="43"/>
      <c r="AB563" s="43"/>
      <c r="AC563" s="43"/>
      <c r="AD563" s="43">
        <v>-0.20399999999999999</v>
      </c>
      <c r="AE563" s="43"/>
      <c r="AF563" s="43"/>
      <c r="AG563" s="43"/>
      <c r="AH563" s="43"/>
      <c r="AI563" s="43"/>
      <c r="AJ563" s="9"/>
      <c r="AK563" s="10"/>
      <c r="AL563" s="11"/>
    </row>
    <row r="564" spans="1:38" ht="21.75" hidden="1" customHeight="1" outlineLevel="1" x14ac:dyDescent="0.2">
      <c r="A564" s="21">
        <v>27</v>
      </c>
      <c r="B564" s="88" t="s">
        <v>552</v>
      </c>
      <c r="C564" s="88"/>
      <c r="D564" s="88"/>
      <c r="E564" s="88"/>
      <c r="F564" s="88"/>
      <c r="G564" s="88"/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59">
        <v>14.2</v>
      </c>
      <c r="U564" s="59"/>
      <c r="V564" s="59"/>
      <c r="W564" s="59"/>
      <c r="X564" s="59"/>
      <c r="Y564" s="43">
        <v>14.858000000000001</v>
      </c>
      <c r="Z564" s="43"/>
      <c r="AA564" s="43"/>
      <c r="AB564" s="43"/>
      <c r="AC564" s="43"/>
      <c r="AD564" s="43">
        <v>-0.65800000000000003</v>
      </c>
      <c r="AE564" s="43"/>
      <c r="AF564" s="43"/>
      <c r="AG564" s="43"/>
      <c r="AH564" s="43"/>
      <c r="AI564" s="43"/>
      <c r="AJ564" s="9"/>
      <c r="AK564" s="10"/>
      <c r="AL564" s="11"/>
    </row>
    <row r="565" spans="1:38" ht="21.75" hidden="1" customHeight="1" outlineLevel="1" x14ac:dyDescent="0.2">
      <c r="A565" s="21">
        <v>28</v>
      </c>
      <c r="B565" s="88" t="s">
        <v>553</v>
      </c>
      <c r="C565" s="88"/>
      <c r="D565" s="88"/>
      <c r="E565" s="88"/>
      <c r="F565" s="88"/>
      <c r="G565" s="88"/>
      <c r="H565" s="88"/>
      <c r="I565" s="88"/>
      <c r="J565" s="88"/>
      <c r="K565" s="88"/>
      <c r="L565" s="88"/>
      <c r="M565" s="88"/>
      <c r="N565" s="88"/>
      <c r="O565" s="88"/>
      <c r="P565" s="88"/>
      <c r="Q565" s="88"/>
      <c r="R565" s="88"/>
      <c r="S565" s="88"/>
      <c r="T565" s="59">
        <v>14.5</v>
      </c>
      <c r="U565" s="59"/>
      <c r="V565" s="59"/>
      <c r="W565" s="59"/>
      <c r="X565" s="59"/>
      <c r="Y565" s="43">
        <v>14.878</v>
      </c>
      <c r="Z565" s="43"/>
      <c r="AA565" s="43"/>
      <c r="AB565" s="43"/>
      <c r="AC565" s="43"/>
      <c r="AD565" s="43">
        <v>-0.378</v>
      </c>
      <c r="AE565" s="43"/>
      <c r="AF565" s="43"/>
      <c r="AG565" s="43"/>
      <c r="AH565" s="43"/>
      <c r="AI565" s="43"/>
      <c r="AJ565" s="9"/>
      <c r="AK565" s="10"/>
      <c r="AL565" s="11"/>
    </row>
    <row r="566" spans="1:38" ht="21.75" hidden="1" customHeight="1" outlineLevel="1" x14ac:dyDescent="0.2">
      <c r="A566" s="21">
        <v>29</v>
      </c>
      <c r="B566" s="88" t="s">
        <v>554</v>
      </c>
      <c r="C566" s="88"/>
      <c r="D566" s="88"/>
      <c r="E566" s="88"/>
      <c r="F566" s="88"/>
      <c r="G566" s="88"/>
      <c r="H566" s="88"/>
      <c r="I566" s="88"/>
      <c r="J566" s="88"/>
      <c r="K566" s="88"/>
      <c r="L566" s="88"/>
      <c r="M566" s="88"/>
      <c r="N566" s="88"/>
      <c r="O566" s="88"/>
      <c r="P566" s="88"/>
      <c r="Q566" s="88"/>
      <c r="R566" s="88"/>
      <c r="S566" s="88"/>
      <c r="T566" s="59">
        <v>13.3</v>
      </c>
      <c r="U566" s="59"/>
      <c r="V566" s="59"/>
      <c r="W566" s="59"/>
      <c r="X566" s="59"/>
      <c r="Y566" s="43">
        <v>13.712999999999999</v>
      </c>
      <c r="Z566" s="43"/>
      <c r="AA566" s="43"/>
      <c r="AB566" s="43"/>
      <c r="AC566" s="43"/>
      <c r="AD566" s="43">
        <v>-0.41299999999999998</v>
      </c>
      <c r="AE566" s="43"/>
      <c r="AF566" s="43"/>
      <c r="AG566" s="43"/>
      <c r="AH566" s="43"/>
      <c r="AI566" s="43"/>
      <c r="AJ566" s="9"/>
      <c r="AK566" s="10"/>
      <c r="AL566" s="11"/>
    </row>
    <row r="567" spans="1:38" ht="21.75" hidden="1" customHeight="1" outlineLevel="1" x14ac:dyDescent="0.2">
      <c r="A567" s="21">
        <v>30</v>
      </c>
      <c r="B567" s="88" t="s">
        <v>555</v>
      </c>
      <c r="C567" s="88"/>
      <c r="D567" s="88"/>
      <c r="E567" s="88"/>
      <c r="F567" s="88"/>
      <c r="G567" s="88"/>
      <c r="H567" s="88"/>
      <c r="I567" s="88"/>
      <c r="J567" s="88"/>
      <c r="K567" s="88"/>
      <c r="L567" s="88"/>
      <c r="M567" s="88"/>
      <c r="N567" s="88"/>
      <c r="O567" s="88"/>
      <c r="P567" s="88"/>
      <c r="Q567" s="88"/>
      <c r="R567" s="88"/>
      <c r="S567" s="88"/>
      <c r="T567" s="59">
        <v>28.8</v>
      </c>
      <c r="U567" s="59"/>
      <c r="V567" s="59"/>
      <c r="W567" s="59"/>
      <c r="X567" s="59"/>
      <c r="Y567" s="43">
        <v>28.846</v>
      </c>
      <c r="Z567" s="43"/>
      <c r="AA567" s="43"/>
      <c r="AB567" s="43"/>
      <c r="AC567" s="43"/>
      <c r="AD567" s="43">
        <v>-4.5999999999999999E-2</v>
      </c>
      <c r="AE567" s="43"/>
      <c r="AF567" s="43"/>
      <c r="AG567" s="43"/>
      <c r="AH567" s="43"/>
      <c r="AI567" s="43"/>
      <c r="AJ567" s="9"/>
      <c r="AK567" s="10"/>
      <c r="AL567" s="11"/>
    </row>
    <row r="568" spans="1:38" ht="11.25" hidden="1" customHeight="1" outlineLevel="1" x14ac:dyDescent="0.2">
      <c r="A568" s="21">
        <v>31</v>
      </c>
      <c r="B568" s="88" t="s">
        <v>556</v>
      </c>
      <c r="C568" s="88"/>
      <c r="D568" s="88"/>
      <c r="E568" s="88"/>
      <c r="F568" s="88"/>
      <c r="G568" s="88"/>
      <c r="H568" s="88"/>
      <c r="I568" s="88"/>
      <c r="J568" s="88"/>
      <c r="K568" s="88"/>
      <c r="L568" s="88"/>
      <c r="M568" s="88"/>
      <c r="N568" s="88"/>
      <c r="O568" s="88"/>
      <c r="P568" s="88"/>
      <c r="Q568" s="88"/>
      <c r="R568" s="88"/>
      <c r="S568" s="88"/>
      <c r="T568" s="59">
        <v>23.2</v>
      </c>
      <c r="U568" s="59"/>
      <c r="V568" s="59"/>
      <c r="W568" s="59"/>
      <c r="X568" s="59"/>
      <c r="Y568" s="43">
        <v>23.599</v>
      </c>
      <c r="Z568" s="43"/>
      <c r="AA568" s="43"/>
      <c r="AB568" s="43"/>
      <c r="AC568" s="43"/>
      <c r="AD568" s="43">
        <v>-0.39900000000000002</v>
      </c>
      <c r="AE568" s="43"/>
      <c r="AF568" s="43"/>
      <c r="AG568" s="43"/>
      <c r="AH568" s="43"/>
      <c r="AI568" s="43"/>
      <c r="AJ568" s="9"/>
      <c r="AK568" s="10"/>
      <c r="AL568" s="11"/>
    </row>
    <row r="569" spans="1:38" ht="21.75" hidden="1" customHeight="1" outlineLevel="1" x14ac:dyDescent="0.2">
      <c r="A569" s="21">
        <v>32</v>
      </c>
      <c r="B569" s="88" t="s">
        <v>557</v>
      </c>
      <c r="C569" s="88"/>
      <c r="D569" s="88"/>
      <c r="E569" s="88"/>
      <c r="F569" s="88"/>
      <c r="G569" s="88"/>
      <c r="H569" s="88"/>
      <c r="I569" s="88"/>
      <c r="J569" s="88"/>
      <c r="K569" s="88"/>
      <c r="L569" s="88"/>
      <c r="M569" s="88"/>
      <c r="N569" s="88"/>
      <c r="O569" s="88"/>
      <c r="P569" s="88"/>
      <c r="Q569" s="88"/>
      <c r="R569" s="88"/>
      <c r="S569" s="88"/>
      <c r="T569" s="41">
        <v>11.82</v>
      </c>
      <c r="U569" s="41"/>
      <c r="V569" s="41"/>
      <c r="W569" s="41"/>
      <c r="X569" s="41"/>
      <c r="Y569" s="43">
        <v>11.922000000000001</v>
      </c>
      <c r="Z569" s="43"/>
      <c r="AA569" s="43"/>
      <c r="AB569" s="43"/>
      <c r="AC569" s="43"/>
      <c r="AD569" s="43">
        <v>-0.10199999999999999</v>
      </c>
      <c r="AE569" s="43"/>
      <c r="AF569" s="43"/>
      <c r="AG569" s="43"/>
      <c r="AH569" s="43"/>
      <c r="AI569" s="43"/>
      <c r="AJ569" s="9"/>
      <c r="AK569" s="10"/>
      <c r="AL569" s="11"/>
    </row>
    <row r="570" spans="1:38" ht="21.75" hidden="1" customHeight="1" outlineLevel="1" x14ac:dyDescent="0.2">
      <c r="A570" s="21">
        <v>33</v>
      </c>
      <c r="B570" s="88" t="s">
        <v>558</v>
      </c>
      <c r="C570" s="88"/>
      <c r="D570" s="88"/>
      <c r="E570" s="88"/>
      <c r="F570" s="88"/>
      <c r="G570" s="88"/>
      <c r="H570" s="88"/>
      <c r="I570" s="88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59">
        <v>6.8</v>
      </c>
      <c r="U570" s="59"/>
      <c r="V570" s="59"/>
      <c r="W570" s="59"/>
      <c r="X570" s="59"/>
      <c r="Y570" s="43">
        <v>7.2629999999999999</v>
      </c>
      <c r="Z570" s="43"/>
      <c r="AA570" s="43"/>
      <c r="AB570" s="43"/>
      <c r="AC570" s="43"/>
      <c r="AD570" s="43">
        <v>-0.46300000000000002</v>
      </c>
      <c r="AE570" s="43"/>
      <c r="AF570" s="43"/>
      <c r="AG570" s="43"/>
      <c r="AH570" s="43"/>
      <c r="AI570" s="43"/>
      <c r="AJ570" s="9"/>
      <c r="AK570" s="10"/>
      <c r="AL570" s="11"/>
    </row>
    <row r="571" spans="1:38" ht="11.25" hidden="1" customHeight="1" outlineLevel="1" x14ac:dyDescent="0.2">
      <c r="A571" s="21">
        <v>34</v>
      </c>
      <c r="B571" s="88" t="s">
        <v>559</v>
      </c>
      <c r="C571" s="88"/>
      <c r="D571" s="88"/>
      <c r="E571" s="88"/>
      <c r="F571" s="88"/>
      <c r="G571" s="88"/>
      <c r="H571" s="88"/>
      <c r="I571" s="88"/>
      <c r="J571" s="88"/>
      <c r="K571" s="88"/>
      <c r="L571" s="88"/>
      <c r="M571" s="88"/>
      <c r="N571" s="88"/>
      <c r="O571" s="88"/>
      <c r="P571" s="88"/>
      <c r="Q571" s="88"/>
      <c r="R571" s="88"/>
      <c r="S571" s="88"/>
      <c r="T571" s="41">
        <v>22.91</v>
      </c>
      <c r="U571" s="41"/>
      <c r="V571" s="41"/>
      <c r="W571" s="41"/>
      <c r="X571" s="41"/>
      <c r="Y571" s="43">
        <v>23.308</v>
      </c>
      <c r="Z571" s="43"/>
      <c r="AA571" s="43"/>
      <c r="AB571" s="43"/>
      <c r="AC571" s="43"/>
      <c r="AD571" s="43">
        <v>-0.39800000000000002</v>
      </c>
      <c r="AE571" s="43"/>
      <c r="AF571" s="43"/>
      <c r="AG571" s="43"/>
      <c r="AH571" s="43"/>
      <c r="AI571" s="43"/>
      <c r="AJ571" s="9"/>
      <c r="AK571" s="10"/>
      <c r="AL571" s="11"/>
    </row>
    <row r="572" spans="1:38" ht="11.25" hidden="1" customHeight="1" outlineLevel="1" x14ac:dyDescent="0.2">
      <c r="A572" s="21">
        <v>35</v>
      </c>
      <c r="B572" s="88" t="s">
        <v>560</v>
      </c>
      <c r="C572" s="88"/>
      <c r="D572" s="88"/>
      <c r="E572" s="88"/>
      <c r="F572" s="88"/>
      <c r="G572" s="88"/>
      <c r="H572" s="88"/>
      <c r="I572" s="88"/>
      <c r="J572" s="88"/>
      <c r="K572" s="88"/>
      <c r="L572" s="88"/>
      <c r="M572" s="88"/>
      <c r="N572" s="88"/>
      <c r="O572" s="88"/>
      <c r="P572" s="88"/>
      <c r="Q572" s="88"/>
      <c r="R572" s="88"/>
      <c r="S572" s="88"/>
      <c r="T572" s="59">
        <v>14.9</v>
      </c>
      <c r="U572" s="59"/>
      <c r="V572" s="59"/>
      <c r="W572" s="59"/>
      <c r="X572" s="59"/>
      <c r="Y572" s="43">
        <v>15.137</v>
      </c>
      <c r="Z572" s="43"/>
      <c r="AA572" s="43"/>
      <c r="AB572" s="43"/>
      <c r="AC572" s="43"/>
      <c r="AD572" s="43">
        <v>-0.23699999999999999</v>
      </c>
      <c r="AE572" s="43"/>
      <c r="AF572" s="43"/>
      <c r="AG572" s="43"/>
      <c r="AH572" s="43"/>
      <c r="AI572" s="43"/>
      <c r="AJ572" s="9"/>
      <c r="AK572" s="10"/>
      <c r="AL572" s="11"/>
    </row>
    <row r="573" spans="1:38" ht="11.25" hidden="1" customHeight="1" outlineLevel="1" x14ac:dyDescent="0.2">
      <c r="A573" s="21">
        <v>36</v>
      </c>
      <c r="B573" s="88" t="s">
        <v>561</v>
      </c>
      <c r="C573" s="88"/>
      <c r="D573" s="88"/>
      <c r="E573" s="88"/>
      <c r="F573" s="88"/>
      <c r="G573" s="88"/>
      <c r="H573" s="88"/>
      <c r="I573" s="88"/>
      <c r="J573" s="88"/>
      <c r="K573" s="88"/>
      <c r="L573" s="88"/>
      <c r="M573" s="88"/>
      <c r="N573" s="88"/>
      <c r="O573" s="88"/>
      <c r="P573" s="88"/>
      <c r="Q573" s="88"/>
      <c r="R573" s="88"/>
      <c r="S573" s="88"/>
      <c r="T573" s="41">
        <v>12.44</v>
      </c>
      <c r="U573" s="41"/>
      <c r="V573" s="41"/>
      <c r="W573" s="41"/>
      <c r="X573" s="41"/>
      <c r="Y573" s="43">
        <v>12.596</v>
      </c>
      <c r="Z573" s="43"/>
      <c r="AA573" s="43"/>
      <c r="AB573" s="43"/>
      <c r="AC573" s="43"/>
      <c r="AD573" s="43">
        <v>-0.156</v>
      </c>
      <c r="AE573" s="43"/>
      <c r="AF573" s="43"/>
      <c r="AG573" s="43"/>
      <c r="AH573" s="43"/>
      <c r="AI573" s="43"/>
      <c r="AJ573" s="9"/>
      <c r="AK573" s="10"/>
      <c r="AL573" s="11"/>
    </row>
    <row r="574" spans="1:38" ht="21.75" hidden="1" customHeight="1" outlineLevel="1" x14ac:dyDescent="0.2">
      <c r="A574" s="21">
        <v>37</v>
      </c>
      <c r="B574" s="88" t="s">
        <v>562</v>
      </c>
      <c r="C574" s="88"/>
      <c r="D574" s="88"/>
      <c r="E574" s="88"/>
      <c r="F574" s="88"/>
      <c r="G574" s="88"/>
      <c r="H574" s="88"/>
      <c r="I574" s="88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59">
        <v>18.3</v>
      </c>
      <c r="U574" s="59"/>
      <c r="V574" s="59"/>
      <c r="W574" s="59"/>
      <c r="X574" s="59"/>
      <c r="Y574" s="43">
        <v>18.963000000000001</v>
      </c>
      <c r="Z574" s="43"/>
      <c r="AA574" s="43"/>
      <c r="AB574" s="43"/>
      <c r="AC574" s="43"/>
      <c r="AD574" s="43">
        <v>-0.66300000000000003</v>
      </c>
      <c r="AE574" s="43"/>
      <c r="AF574" s="43"/>
      <c r="AG574" s="43"/>
      <c r="AH574" s="43"/>
      <c r="AI574" s="43"/>
      <c r="AJ574" s="9"/>
      <c r="AK574" s="10"/>
      <c r="AL574" s="11"/>
    </row>
    <row r="575" spans="1:38" ht="11.25" hidden="1" customHeight="1" outlineLevel="1" x14ac:dyDescent="0.2">
      <c r="A575" s="21">
        <v>38</v>
      </c>
      <c r="B575" s="88" t="s">
        <v>563</v>
      </c>
      <c r="C575" s="88"/>
      <c r="D575" s="88"/>
      <c r="E575" s="88"/>
      <c r="F575" s="88"/>
      <c r="G575" s="88"/>
      <c r="H575" s="88"/>
      <c r="I575" s="88"/>
      <c r="J575" s="88"/>
      <c r="K575" s="88"/>
      <c r="L575" s="88"/>
      <c r="M575" s="88"/>
      <c r="N575" s="88"/>
      <c r="O575" s="88"/>
      <c r="P575" s="88"/>
      <c r="Q575" s="88"/>
      <c r="R575" s="88"/>
      <c r="S575" s="88"/>
      <c r="T575" s="59">
        <v>7.3</v>
      </c>
      <c r="U575" s="59"/>
      <c r="V575" s="59"/>
      <c r="W575" s="59"/>
      <c r="X575" s="59"/>
      <c r="Y575" s="43">
        <v>7.5439999999999996</v>
      </c>
      <c r="Z575" s="43"/>
      <c r="AA575" s="43"/>
      <c r="AB575" s="43"/>
      <c r="AC575" s="43"/>
      <c r="AD575" s="43">
        <v>-0.24399999999999999</v>
      </c>
      <c r="AE575" s="43"/>
      <c r="AF575" s="43"/>
      <c r="AG575" s="43"/>
      <c r="AH575" s="43"/>
      <c r="AI575" s="43"/>
      <c r="AJ575" s="9"/>
      <c r="AK575" s="10"/>
      <c r="AL575" s="11"/>
    </row>
    <row r="576" spans="1:38" ht="21.75" hidden="1" customHeight="1" outlineLevel="1" x14ac:dyDescent="0.2">
      <c r="A576" s="21">
        <v>39</v>
      </c>
      <c r="B576" s="88" t="s">
        <v>564</v>
      </c>
      <c r="C576" s="88"/>
      <c r="D576" s="88"/>
      <c r="E576" s="88"/>
      <c r="F576" s="88"/>
      <c r="G576" s="88"/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41">
        <v>5.75</v>
      </c>
      <c r="U576" s="41"/>
      <c r="V576" s="41"/>
      <c r="W576" s="41"/>
      <c r="X576" s="41"/>
      <c r="Y576" s="43">
        <v>6.056</v>
      </c>
      <c r="Z576" s="43"/>
      <c r="AA576" s="43"/>
      <c r="AB576" s="43"/>
      <c r="AC576" s="43"/>
      <c r="AD576" s="43">
        <v>-0.30599999999999999</v>
      </c>
      <c r="AE576" s="43"/>
      <c r="AF576" s="43"/>
      <c r="AG576" s="43"/>
      <c r="AH576" s="43"/>
      <c r="AI576" s="43"/>
      <c r="AJ576" s="9"/>
      <c r="AK576" s="10"/>
      <c r="AL576" s="11"/>
    </row>
    <row r="577" spans="1:38" ht="11.25" hidden="1" customHeight="1" outlineLevel="1" x14ac:dyDescent="0.2">
      <c r="A577" s="21">
        <v>40</v>
      </c>
      <c r="B577" s="88" t="s">
        <v>565</v>
      </c>
      <c r="C577" s="88"/>
      <c r="D577" s="88"/>
      <c r="E577" s="88"/>
      <c r="F577" s="88"/>
      <c r="G577" s="88"/>
      <c r="H577" s="88"/>
      <c r="I577" s="88"/>
      <c r="J577" s="88"/>
      <c r="K577" s="88"/>
      <c r="L577" s="88"/>
      <c r="M577" s="88"/>
      <c r="N577" s="88"/>
      <c r="O577" s="88"/>
      <c r="P577" s="88"/>
      <c r="Q577" s="88"/>
      <c r="R577" s="88"/>
      <c r="S577" s="88"/>
      <c r="T577" s="41">
        <v>4.29</v>
      </c>
      <c r="U577" s="41"/>
      <c r="V577" s="41"/>
      <c r="W577" s="41"/>
      <c r="X577" s="41"/>
      <c r="Y577" s="43">
        <v>4.3239999999999998</v>
      </c>
      <c r="Z577" s="43"/>
      <c r="AA577" s="43"/>
      <c r="AB577" s="43"/>
      <c r="AC577" s="43"/>
      <c r="AD577" s="43">
        <v>-3.4000000000000002E-2</v>
      </c>
      <c r="AE577" s="43"/>
      <c r="AF577" s="43"/>
      <c r="AG577" s="43"/>
      <c r="AH577" s="43"/>
      <c r="AI577" s="43"/>
      <c r="AJ577" s="9"/>
      <c r="AK577" s="10"/>
      <c r="AL577" s="11"/>
    </row>
    <row r="578" spans="1:38" ht="21.75" hidden="1" customHeight="1" outlineLevel="1" x14ac:dyDescent="0.2">
      <c r="A578" s="21">
        <v>41</v>
      </c>
      <c r="B578" s="88" t="s">
        <v>566</v>
      </c>
      <c r="C578" s="88"/>
      <c r="D578" s="88"/>
      <c r="E578" s="88"/>
      <c r="F578" s="88"/>
      <c r="G578" s="88"/>
      <c r="H578" s="88"/>
      <c r="I578" s="88"/>
      <c r="J578" s="88"/>
      <c r="K578" s="88"/>
      <c r="L578" s="88"/>
      <c r="M578" s="88"/>
      <c r="N578" s="88"/>
      <c r="O578" s="88"/>
      <c r="P578" s="88"/>
      <c r="Q578" s="88"/>
      <c r="R578" s="88"/>
      <c r="S578" s="88"/>
      <c r="T578" s="59">
        <v>16.8</v>
      </c>
      <c r="U578" s="59"/>
      <c r="V578" s="59"/>
      <c r="W578" s="59"/>
      <c r="X578" s="59"/>
      <c r="Y578" s="41">
        <v>17.46</v>
      </c>
      <c r="Z578" s="41"/>
      <c r="AA578" s="41"/>
      <c r="AB578" s="41"/>
      <c r="AC578" s="41"/>
      <c r="AD578" s="41">
        <v>-0.66</v>
      </c>
      <c r="AE578" s="41"/>
      <c r="AF578" s="41"/>
      <c r="AG578" s="41"/>
      <c r="AH578" s="41"/>
      <c r="AI578" s="41"/>
      <c r="AJ578" s="9"/>
      <c r="AK578" s="10"/>
      <c r="AL578" s="11"/>
    </row>
    <row r="579" spans="1:38" ht="11.25" hidden="1" customHeight="1" outlineLevel="1" x14ac:dyDescent="0.2">
      <c r="A579" s="21">
        <v>42</v>
      </c>
      <c r="B579" s="88" t="s">
        <v>567</v>
      </c>
      <c r="C579" s="88"/>
      <c r="D579" s="88"/>
      <c r="E579" s="88"/>
      <c r="F579" s="88"/>
      <c r="G579" s="88"/>
      <c r="H579" s="88"/>
      <c r="I579" s="88"/>
      <c r="J579" s="88"/>
      <c r="K579" s="88"/>
      <c r="L579" s="88"/>
      <c r="M579" s="88"/>
      <c r="N579" s="88"/>
      <c r="O579" s="88"/>
      <c r="P579" s="88"/>
      <c r="Q579" s="88"/>
      <c r="R579" s="88"/>
      <c r="S579" s="88"/>
      <c r="T579" s="41">
        <v>13.64</v>
      </c>
      <c r="U579" s="41"/>
      <c r="V579" s="41"/>
      <c r="W579" s="41"/>
      <c r="X579" s="41"/>
      <c r="Y579" s="43">
        <v>14.212999999999999</v>
      </c>
      <c r="Z579" s="43"/>
      <c r="AA579" s="43"/>
      <c r="AB579" s="43"/>
      <c r="AC579" s="43"/>
      <c r="AD579" s="43">
        <v>-0.57299999999999995</v>
      </c>
      <c r="AE579" s="43"/>
      <c r="AF579" s="43"/>
      <c r="AG579" s="43"/>
      <c r="AH579" s="43"/>
      <c r="AI579" s="43"/>
      <c r="AJ579" s="9"/>
      <c r="AK579" s="10"/>
      <c r="AL579" s="11"/>
    </row>
    <row r="580" spans="1:38" ht="21.75" hidden="1" customHeight="1" outlineLevel="1" x14ac:dyDescent="0.2">
      <c r="A580" s="21">
        <v>43</v>
      </c>
      <c r="B580" s="88" t="s">
        <v>568</v>
      </c>
      <c r="C580" s="88"/>
      <c r="D580" s="88"/>
      <c r="E580" s="88"/>
      <c r="F580" s="88"/>
      <c r="G580" s="88"/>
      <c r="H580" s="88"/>
      <c r="I580" s="88"/>
      <c r="J580" s="88"/>
      <c r="K580" s="88"/>
      <c r="L580" s="88"/>
      <c r="M580" s="88"/>
      <c r="N580" s="88"/>
      <c r="O580" s="88"/>
      <c r="P580" s="88"/>
      <c r="Q580" s="88"/>
      <c r="R580" s="88"/>
      <c r="S580" s="88"/>
      <c r="T580" s="41">
        <v>9.93</v>
      </c>
      <c r="U580" s="41"/>
      <c r="V580" s="41"/>
      <c r="W580" s="41"/>
      <c r="X580" s="41"/>
      <c r="Y580" s="43">
        <v>9.952</v>
      </c>
      <c r="Z580" s="43"/>
      <c r="AA580" s="43"/>
      <c r="AB580" s="43"/>
      <c r="AC580" s="43"/>
      <c r="AD580" s="43">
        <v>-2.1999999999999999E-2</v>
      </c>
      <c r="AE580" s="43"/>
      <c r="AF580" s="43"/>
      <c r="AG580" s="43"/>
      <c r="AH580" s="43"/>
      <c r="AI580" s="43"/>
      <c r="AJ580" s="9"/>
      <c r="AK580" s="10"/>
      <c r="AL580" s="11"/>
    </row>
    <row r="581" spans="1:38" ht="11.25" hidden="1" customHeight="1" outlineLevel="1" x14ac:dyDescent="0.2">
      <c r="A581" s="21">
        <v>44</v>
      </c>
      <c r="B581" s="88" t="s">
        <v>569</v>
      </c>
      <c r="C581" s="88"/>
      <c r="D581" s="88"/>
      <c r="E581" s="88"/>
      <c r="F581" s="88"/>
      <c r="G581" s="88"/>
      <c r="H581" s="88"/>
      <c r="I581" s="88"/>
      <c r="J581" s="88"/>
      <c r="K581" s="88"/>
      <c r="L581" s="88"/>
      <c r="M581" s="88"/>
      <c r="N581" s="88"/>
      <c r="O581" s="88"/>
      <c r="P581" s="88"/>
      <c r="Q581" s="88"/>
      <c r="R581" s="88"/>
      <c r="S581" s="88"/>
      <c r="T581" s="59">
        <v>9.6</v>
      </c>
      <c r="U581" s="59"/>
      <c r="V581" s="59"/>
      <c r="W581" s="59"/>
      <c r="X581" s="59"/>
      <c r="Y581" s="43">
        <v>9.7210000000000001</v>
      </c>
      <c r="Z581" s="43"/>
      <c r="AA581" s="43"/>
      <c r="AB581" s="43"/>
      <c r="AC581" s="43"/>
      <c r="AD581" s="43">
        <v>-0.121</v>
      </c>
      <c r="AE581" s="43"/>
      <c r="AF581" s="43"/>
      <c r="AG581" s="43"/>
      <c r="AH581" s="43"/>
      <c r="AI581" s="43"/>
      <c r="AJ581" s="9"/>
      <c r="AK581" s="10"/>
      <c r="AL581" s="11"/>
    </row>
    <row r="582" spans="1:38" ht="11.25" hidden="1" customHeight="1" outlineLevel="1" x14ac:dyDescent="0.2">
      <c r="A582" s="21">
        <v>45</v>
      </c>
      <c r="B582" s="88" t="s">
        <v>570</v>
      </c>
      <c r="C582" s="88"/>
      <c r="D582" s="88"/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59">
        <v>11.8</v>
      </c>
      <c r="U582" s="59"/>
      <c r="V582" s="59"/>
      <c r="W582" s="59"/>
      <c r="X582" s="59"/>
      <c r="Y582" s="43">
        <v>12.038</v>
      </c>
      <c r="Z582" s="43"/>
      <c r="AA582" s="43"/>
      <c r="AB582" s="43"/>
      <c r="AC582" s="43"/>
      <c r="AD582" s="43">
        <v>-0.23799999999999999</v>
      </c>
      <c r="AE582" s="43"/>
      <c r="AF582" s="43"/>
      <c r="AG582" s="43"/>
      <c r="AH582" s="43"/>
      <c r="AI582" s="43"/>
      <c r="AJ582" s="9"/>
      <c r="AK582" s="10"/>
      <c r="AL582" s="11"/>
    </row>
    <row r="583" spans="1:38" ht="11.25" hidden="1" customHeight="1" outlineLevel="1" x14ac:dyDescent="0.2">
      <c r="A583" s="21">
        <v>46</v>
      </c>
      <c r="B583" s="88" t="s">
        <v>571</v>
      </c>
      <c r="C583" s="88"/>
      <c r="D583" s="88"/>
      <c r="E583" s="88"/>
      <c r="F583" s="88"/>
      <c r="G583" s="88"/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T583" s="41">
        <v>12.55</v>
      </c>
      <c r="U583" s="41"/>
      <c r="V583" s="41"/>
      <c r="W583" s="41"/>
      <c r="X583" s="41"/>
      <c r="Y583" s="41">
        <v>12.55</v>
      </c>
      <c r="Z583" s="41"/>
      <c r="AA583" s="41"/>
      <c r="AB583" s="41"/>
      <c r="AC583" s="41"/>
      <c r="AD583" s="12"/>
      <c r="AE583" s="13"/>
      <c r="AF583" s="13"/>
      <c r="AG583" s="13"/>
      <c r="AH583" s="13"/>
      <c r="AI583" s="14"/>
      <c r="AJ583" s="9"/>
      <c r="AK583" s="10"/>
      <c r="AL583" s="11"/>
    </row>
    <row r="584" spans="1:38" ht="21.75" hidden="1" customHeight="1" outlineLevel="1" x14ac:dyDescent="0.2">
      <c r="A584" s="21">
        <v>47</v>
      </c>
      <c r="B584" s="88" t="s">
        <v>572</v>
      </c>
      <c r="C584" s="88"/>
      <c r="D584" s="88"/>
      <c r="E584" s="88"/>
      <c r="F584" s="88"/>
      <c r="G584" s="88"/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59">
        <v>33.4</v>
      </c>
      <c r="U584" s="59"/>
      <c r="V584" s="59"/>
      <c r="W584" s="59"/>
      <c r="X584" s="59"/>
      <c r="Y584" s="43">
        <v>34.127000000000002</v>
      </c>
      <c r="Z584" s="43"/>
      <c r="AA584" s="43"/>
      <c r="AB584" s="43"/>
      <c r="AC584" s="43"/>
      <c r="AD584" s="43">
        <v>-0.72699999999999998</v>
      </c>
      <c r="AE584" s="43"/>
      <c r="AF584" s="43"/>
      <c r="AG584" s="43"/>
      <c r="AH584" s="43"/>
      <c r="AI584" s="43"/>
      <c r="AJ584" s="9"/>
      <c r="AK584" s="10"/>
      <c r="AL584" s="11"/>
    </row>
    <row r="585" spans="1:38" ht="11.25" hidden="1" customHeight="1" outlineLevel="1" x14ac:dyDescent="0.2">
      <c r="A585" s="21">
        <v>48</v>
      </c>
      <c r="B585" s="88" t="s">
        <v>573</v>
      </c>
      <c r="C585" s="88"/>
      <c r="D585" s="88"/>
      <c r="E585" s="88"/>
      <c r="F585" s="88"/>
      <c r="G585" s="88"/>
      <c r="H585" s="88"/>
      <c r="I585" s="88"/>
      <c r="J585" s="88"/>
      <c r="K585" s="88"/>
      <c r="L585" s="88"/>
      <c r="M585" s="88"/>
      <c r="N585" s="88"/>
      <c r="O585" s="88"/>
      <c r="P585" s="88"/>
      <c r="Q585" s="88"/>
      <c r="R585" s="88"/>
      <c r="S585" s="88"/>
      <c r="T585" s="59">
        <v>8.4</v>
      </c>
      <c r="U585" s="59"/>
      <c r="V585" s="59"/>
      <c r="W585" s="59"/>
      <c r="X585" s="59"/>
      <c r="Y585" s="43">
        <v>8.8170000000000002</v>
      </c>
      <c r="Z585" s="43"/>
      <c r="AA585" s="43"/>
      <c r="AB585" s="43"/>
      <c r="AC585" s="43"/>
      <c r="AD585" s="43">
        <v>-0.41699999999999998</v>
      </c>
      <c r="AE585" s="43"/>
      <c r="AF585" s="43"/>
      <c r="AG585" s="43"/>
      <c r="AH585" s="43"/>
      <c r="AI585" s="43"/>
      <c r="AJ585" s="9"/>
      <c r="AK585" s="10"/>
      <c r="AL585" s="11"/>
    </row>
    <row r="586" spans="1:38" ht="11.25" hidden="1" customHeight="1" outlineLevel="1" x14ac:dyDescent="0.2">
      <c r="A586" s="21">
        <v>49</v>
      </c>
      <c r="B586" s="88" t="s">
        <v>574</v>
      </c>
      <c r="C586" s="88"/>
      <c r="D586" s="88"/>
      <c r="E586" s="88"/>
      <c r="F586" s="88"/>
      <c r="G586" s="88"/>
      <c r="H586" s="88"/>
      <c r="I586" s="88"/>
      <c r="J586" s="88"/>
      <c r="K586" s="88"/>
      <c r="L586" s="88"/>
      <c r="M586" s="88"/>
      <c r="N586" s="88"/>
      <c r="O586" s="88"/>
      <c r="P586" s="88"/>
      <c r="Q586" s="88"/>
      <c r="R586" s="88"/>
      <c r="S586" s="88"/>
      <c r="T586" s="59">
        <v>12.6</v>
      </c>
      <c r="U586" s="59"/>
      <c r="V586" s="59"/>
      <c r="W586" s="59"/>
      <c r="X586" s="59"/>
      <c r="Y586" s="43">
        <v>12.948</v>
      </c>
      <c r="Z586" s="43"/>
      <c r="AA586" s="43"/>
      <c r="AB586" s="43"/>
      <c r="AC586" s="43"/>
      <c r="AD586" s="43">
        <v>-0.34799999999999998</v>
      </c>
      <c r="AE586" s="43"/>
      <c r="AF586" s="43"/>
      <c r="AG586" s="43"/>
      <c r="AH586" s="43"/>
      <c r="AI586" s="43"/>
      <c r="AJ586" s="9"/>
      <c r="AK586" s="10"/>
      <c r="AL586" s="11"/>
    </row>
    <row r="587" spans="1:38" ht="21.75" hidden="1" customHeight="1" outlineLevel="1" x14ac:dyDescent="0.2">
      <c r="A587" s="21">
        <v>50</v>
      </c>
      <c r="B587" s="88" t="s">
        <v>575</v>
      </c>
      <c r="C587" s="88"/>
      <c r="D587" s="88"/>
      <c r="E587" s="88"/>
      <c r="F587" s="88"/>
      <c r="G587" s="88"/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58">
        <v>37</v>
      </c>
      <c r="U587" s="58"/>
      <c r="V587" s="58"/>
      <c r="W587" s="58"/>
      <c r="X587" s="58"/>
      <c r="Y587" s="58">
        <v>37</v>
      </c>
      <c r="Z587" s="58"/>
      <c r="AA587" s="58"/>
      <c r="AB587" s="58"/>
      <c r="AC587" s="58"/>
      <c r="AD587" s="12"/>
      <c r="AE587" s="13"/>
      <c r="AF587" s="13"/>
      <c r="AG587" s="13"/>
      <c r="AH587" s="13"/>
      <c r="AI587" s="14"/>
      <c r="AJ587" s="9"/>
      <c r="AK587" s="10"/>
      <c r="AL587" s="11"/>
    </row>
    <row r="588" spans="1:38" ht="11.25" hidden="1" customHeight="1" outlineLevel="1" x14ac:dyDescent="0.2">
      <c r="A588" s="21">
        <v>51</v>
      </c>
      <c r="B588" s="88" t="s">
        <v>576</v>
      </c>
      <c r="C588" s="88"/>
      <c r="D588" s="88"/>
      <c r="E588" s="88"/>
      <c r="F588" s="88"/>
      <c r="G588" s="88"/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59">
        <v>6.9</v>
      </c>
      <c r="U588" s="59"/>
      <c r="V588" s="59"/>
      <c r="W588" s="59"/>
      <c r="X588" s="59"/>
      <c r="Y588" s="59">
        <v>6.9</v>
      </c>
      <c r="Z588" s="59"/>
      <c r="AA588" s="59"/>
      <c r="AB588" s="59"/>
      <c r="AC588" s="59"/>
      <c r="AD588" s="12"/>
      <c r="AE588" s="13"/>
      <c r="AF588" s="13"/>
      <c r="AG588" s="13"/>
      <c r="AH588" s="13"/>
      <c r="AI588" s="14"/>
      <c r="AJ588" s="9"/>
      <c r="AK588" s="10"/>
      <c r="AL588" s="11"/>
    </row>
    <row r="589" spans="1:38" ht="11.25" hidden="1" customHeight="1" collapsed="1" x14ac:dyDescent="0.2">
      <c r="A589" s="60" t="s">
        <v>577</v>
      </c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2">
        <v>843.52499999999998</v>
      </c>
      <c r="U589" s="62"/>
      <c r="V589" s="62"/>
      <c r="W589" s="62"/>
      <c r="X589" s="62"/>
      <c r="Y589" s="62">
        <v>849.20299999999997</v>
      </c>
      <c r="Z589" s="62"/>
      <c r="AA589" s="62"/>
      <c r="AB589" s="62"/>
      <c r="AC589" s="62"/>
      <c r="AD589" s="62">
        <v>-5.6779999999999999</v>
      </c>
      <c r="AE589" s="62"/>
      <c r="AF589" s="62"/>
      <c r="AG589" s="62"/>
      <c r="AH589" s="62"/>
      <c r="AI589" s="62"/>
      <c r="AJ589" s="62">
        <v>14.747999999999999</v>
      </c>
      <c r="AK589" s="62"/>
      <c r="AL589" s="62"/>
    </row>
    <row r="590" spans="1:38" ht="21.75" hidden="1" customHeight="1" outlineLevel="1" x14ac:dyDescent="0.2">
      <c r="A590" s="21">
        <v>1</v>
      </c>
      <c r="B590" s="88" t="s">
        <v>578</v>
      </c>
      <c r="C590" s="88"/>
      <c r="D590" s="88"/>
      <c r="E590" s="88"/>
      <c r="F590" s="88"/>
      <c r="G590" s="88"/>
      <c r="H590" s="88"/>
      <c r="I590" s="88"/>
      <c r="J590" s="88"/>
      <c r="K590" s="88"/>
      <c r="L590" s="88"/>
      <c r="M590" s="88"/>
      <c r="N590" s="88"/>
      <c r="O590" s="88"/>
      <c r="P590" s="88"/>
      <c r="Q590" s="88"/>
      <c r="R590" s="88"/>
      <c r="S590" s="88"/>
      <c r="T590" s="41">
        <v>200.96</v>
      </c>
      <c r="U590" s="41"/>
      <c r="V590" s="41"/>
      <c r="W590" s="41"/>
      <c r="X590" s="41"/>
      <c r="Y590" s="43">
        <v>197.78100000000001</v>
      </c>
      <c r="Z590" s="43"/>
      <c r="AA590" s="43"/>
      <c r="AB590" s="43"/>
      <c r="AC590" s="43"/>
      <c r="AD590" s="43">
        <v>3.1789999999999998</v>
      </c>
      <c r="AE590" s="43"/>
      <c r="AF590" s="43"/>
      <c r="AG590" s="43"/>
      <c r="AH590" s="43"/>
      <c r="AI590" s="43"/>
      <c r="AJ590" s="9"/>
      <c r="AK590" s="10"/>
      <c r="AL590" s="11"/>
    </row>
    <row r="591" spans="1:38" ht="11.25" hidden="1" customHeight="1" outlineLevel="1" x14ac:dyDescent="0.2">
      <c r="A591" s="21">
        <v>2</v>
      </c>
      <c r="B591" s="88" t="s">
        <v>579</v>
      </c>
      <c r="C591" s="88"/>
      <c r="D591" s="88"/>
      <c r="E591" s="88"/>
      <c r="F591" s="88"/>
      <c r="G591" s="88"/>
      <c r="H591" s="88"/>
      <c r="I591" s="88"/>
      <c r="J591" s="88"/>
      <c r="K591" s="88"/>
      <c r="L591" s="88"/>
      <c r="M591" s="88"/>
      <c r="N591" s="88"/>
      <c r="O591" s="88"/>
      <c r="P591" s="88"/>
      <c r="Q591" s="88"/>
      <c r="R591" s="88"/>
      <c r="S591" s="88"/>
      <c r="T591" s="41">
        <v>34.25</v>
      </c>
      <c r="U591" s="41"/>
      <c r="V591" s="41"/>
      <c r="W591" s="41"/>
      <c r="X591" s="41"/>
      <c r="Y591" s="41">
        <v>33.65</v>
      </c>
      <c r="Z591" s="41"/>
      <c r="AA591" s="41"/>
      <c r="AB591" s="41"/>
      <c r="AC591" s="41"/>
      <c r="AD591" s="59">
        <v>0.6</v>
      </c>
      <c r="AE591" s="59"/>
      <c r="AF591" s="59"/>
      <c r="AG591" s="59"/>
      <c r="AH591" s="59"/>
      <c r="AI591" s="59"/>
      <c r="AJ591" s="9"/>
      <c r="AK591" s="10"/>
      <c r="AL591" s="11"/>
    </row>
    <row r="592" spans="1:38" ht="11.25" hidden="1" customHeight="1" outlineLevel="1" x14ac:dyDescent="0.2">
      <c r="A592" s="21">
        <v>3</v>
      </c>
      <c r="B592" s="88" t="s">
        <v>580</v>
      </c>
      <c r="C592" s="88"/>
      <c r="D592" s="88"/>
      <c r="E592" s="88"/>
      <c r="F592" s="88"/>
      <c r="G592" s="88"/>
      <c r="H592" s="88"/>
      <c r="I592" s="88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59">
        <v>70.900000000000006</v>
      </c>
      <c r="U592" s="59"/>
      <c r="V592" s="59"/>
      <c r="W592" s="59"/>
      <c r="X592" s="59"/>
      <c r="Y592" s="43">
        <v>70.503</v>
      </c>
      <c r="Z592" s="43"/>
      <c r="AA592" s="43"/>
      <c r="AB592" s="43"/>
      <c r="AC592" s="43"/>
      <c r="AD592" s="43">
        <v>0.39700000000000002</v>
      </c>
      <c r="AE592" s="43"/>
      <c r="AF592" s="43"/>
      <c r="AG592" s="43"/>
      <c r="AH592" s="43"/>
      <c r="AI592" s="43"/>
      <c r="AJ592" s="9"/>
      <c r="AK592" s="10"/>
      <c r="AL592" s="11"/>
    </row>
    <row r="593" spans="1:38" ht="11.25" hidden="1" customHeight="1" outlineLevel="1" x14ac:dyDescent="0.2">
      <c r="A593" s="21">
        <v>4</v>
      </c>
      <c r="B593" s="88" t="s">
        <v>581</v>
      </c>
      <c r="C593" s="88"/>
      <c r="D593" s="88"/>
      <c r="E593" s="88"/>
      <c r="F593" s="88"/>
      <c r="G593" s="88"/>
      <c r="H593" s="88"/>
      <c r="I593" s="88"/>
      <c r="J593" s="88"/>
      <c r="K593" s="88"/>
      <c r="L593" s="88"/>
      <c r="M593" s="88"/>
      <c r="N593" s="88"/>
      <c r="O593" s="88"/>
      <c r="P593" s="88"/>
      <c r="Q593" s="88"/>
      <c r="R593" s="88"/>
      <c r="S593" s="88"/>
      <c r="T593" s="41">
        <v>33.94</v>
      </c>
      <c r="U593" s="41"/>
      <c r="V593" s="41"/>
      <c r="W593" s="41"/>
      <c r="X593" s="41"/>
      <c r="Y593" s="41">
        <v>33.409999999999997</v>
      </c>
      <c r="Z593" s="41"/>
      <c r="AA593" s="41"/>
      <c r="AB593" s="41"/>
      <c r="AC593" s="41"/>
      <c r="AD593" s="41">
        <v>0.53</v>
      </c>
      <c r="AE593" s="41"/>
      <c r="AF593" s="41"/>
      <c r="AG593" s="41"/>
      <c r="AH593" s="41"/>
      <c r="AI593" s="41"/>
      <c r="AJ593" s="9"/>
      <c r="AK593" s="10"/>
      <c r="AL593" s="11"/>
    </row>
    <row r="594" spans="1:38" ht="11.25" hidden="1" customHeight="1" outlineLevel="1" x14ac:dyDescent="0.2">
      <c r="A594" s="21">
        <v>5</v>
      </c>
      <c r="B594" s="88" t="s">
        <v>582</v>
      </c>
      <c r="C594" s="88"/>
      <c r="D594" s="88"/>
      <c r="E594" s="88"/>
      <c r="F594" s="88"/>
      <c r="G594" s="88"/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41">
        <v>15.56</v>
      </c>
      <c r="U594" s="41"/>
      <c r="V594" s="41"/>
      <c r="W594" s="41"/>
      <c r="X594" s="41"/>
      <c r="Y594" s="43">
        <v>15.138999999999999</v>
      </c>
      <c r="Z594" s="43"/>
      <c r="AA594" s="43"/>
      <c r="AB594" s="43"/>
      <c r="AC594" s="43"/>
      <c r="AD594" s="43">
        <v>0.42099999999999999</v>
      </c>
      <c r="AE594" s="43"/>
      <c r="AF594" s="43"/>
      <c r="AG594" s="43"/>
      <c r="AH594" s="43"/>
      <c r="AI594" s="43"/>
      <c r="AJ594" s="9"/>
      <c r="AK594" s="10"/>
      <c r="AL594" s="11"/>
    </row>
    <row r="595" spans="1:38" ht="11.25" hidden="1" customHeight="1" outlineLevel="1" x14ac:dyDescent="0.2">
      <c r="A595" s="21">
        <v>6</v>
      </c>
      <c r="B595" s="88" t="s">
        <v>583</v>
      </c>
      <c r="C595" s="88"/>
      <c r="D595" s="88"/>
      <c r="E595" s="88"/>
      <c r="F595" s="88"/>
      <c r="G595" s="88"/>
      <c r="H595" s="88"/>
      <c r="I595" s="88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59">
        <v>34.799999999999997</v>
      </c>
      <c r="U595" s="59"/>
      <c r="V595" s="59"/>
      <c r="W595" s="59"/>
      <c r="X595" s="59"/>
      <c r="Y595" s="43">
        <v>34.610999999999997</v>
      </c>
      <c r="Z595" s="43"/>
      <c r="AA595" s="43"/>
      <c r="AB595" s="43"/>
      <c r="AC595" s="43"/>
      <c r="AD595" s="43">
        <v>0.189</v>
      </c>
      <c r="AE595" s="43"/>
      <c r="AF595" s="43"/>
      <c r="AG595" s="43"/>
      <c r="AH595" s="43"/>
      <c r="AI595" s="43"/>
      <c r="AJ595" s="9"/>
      <c r="AK595" s="10"/>
      <c r="AL595" s="11"/>
    </row>
    <row r="596" spans="1:38" ht="11.25" hidden="1" customHeight="1" outlineLevel="1" x14ac:dyDescent="0.2">
      <c r="A596" s="21">
        <v>7</v>
      </c>
      <c r="B596" s="88" t="s">
        <v>584</v>
      </c>
      <c r="C596" s="88"/>
      <c r="D596" s="88"/>
      <c r="E596" s="88"/>
      <c r="F596" s="88"/>
      <c r="G596" s="88"/>
      <c r="H596" s="88"/>
      <c r="I596" s="88"/>
      <c r="J596" s="88"/>
      <c r="K596" s="88"/>
      <c r="L596" s="88"/>
      <c r="M596" s="88"/>
      <c r="N596" s="88"/>
      <c r="O596" s="88"/>
      <c r="P596" s="88"/>
      <c r="Q596" s="88"/>
      <c r="R596" s="88"/>
      <c r="S596" s="88"/>
      <c r="T596" s="59">
        <v>19.899999999999999</v>
      </c>
      <c r="U596" s="59"/>
      <c r="V596" s="59"/>
      <c r="W596" s="59"/>
      <c r="X596" s="59"/>
      <c r="Y596" s="43">
        <v>19.811</v>
      </c>
      <c r="Z596" s="43"/>
      <c r="AA596" s="43"/>
      <c r="AB596" s="43"/>
      <c r="AC596" s="43"/>
      <c r="AD596" s="43">
        <v>8.8999999999999996E-2</v>
      </c>
      <c r="AE596" s="43"/>
      <c r="AF596" s="43"/>
      <c r="AG596" s="43"/>
      <c r="AH596" s="43"/>
      <c r="AI596" s="43"/>
      <c r="AJ596" s="9"/>
      <c r="AK596" s="10"/>
      <c r="AL596" s="11"/>
    </row>
    <row r="597" spans="1:38" ht="21.75" hidden="1" customHeight="1" outlineLevel="1" x14ac:dyDescent="0.2">
      <c r="A597" s="21">
        <v>8</v>
      </c>
      <c r="B597" s="88" t="s">
        <v>585</v>
      </c>
      <c r="C597" s="88"/>
      <c r="D597" s="88"/>
      <c r="E597" s="88"/>
      <c r="F597" s="88"/>
      <c r="G597" s="88"/>
      <c r="H597" s="88"/>
      <c r="I597" s="88"/>
      <c r="J597" s="88"/>
      <c r="K597" s="88"/>
      <c r="L597" s="88"/>
      <c r="M597" s="88"/>
      <c r="N597" s="88"/>
      <c r="O597" s="88"/>
      <c r="P597" s="88"/>
      <c r="Q597" s="88"/>
      <c r="R597" s="88"/>
      <c r="S597" s="88"/>
      <c r="T597" s="59">
        <v>12.7</v>
      </c>
      <c r="U597" s="59"/>
      <c r="V597" s="59"/>
      <c r="W597" s="59"/>
      <c r="X597" s="59"/>
      <c r="Y597" s="43">
        <v>12.648</v>
      </c>
      <c r="Z597" s="43"/>
      <c r="AA597" s="43"/>
      <c r="AB597" s="43"/>
      <c r="AC597" s="43"/>
      <c r="AD597" s="43">
        <v>5.1999999999999998E-2</v>
      </c>
      <c r="AE597" s="43"/>
      <c r="AF597" s="43"/>
      <c r="AG597" s="43"/>
      <c r="AH597" s="43"/>
      <c r="AI597" s="43"/>
      <c r="AJ597" s="9"/>
      <c r="AK597" s="10"/>
      <c r="AL597" s="11"/>
    </row>
    <row r="598" spans="1:38" ht="11.25" hidden="1" customHeight="1" outlineLevel="1" x14ac:dyDescent="0.2">
      <c r="A598" s="21">
        <v>9</v>
      </c>
      <c r="B598" s="88" t="s">
        <v>586</v>
      </c>
      <c r="C598" s="88"/>
      <c r="D598" s="88"/>
      <c r="E598" s="88"/>
      <c r="F598" s="88"/>
      <c r="G598" s="88"/>
      <c r="H598" s="88"/>
      <c r="I598" s="88"/>
      <c r="J598" s="88"/>
      <c r="K598" s="88"/>
      <c r="L598" s="88"/>
      <c r="M598" s="88"/>
      <c r="N598" s="88"/>
      <c r="O598" s="88"/>
      <c r="P598" s="88"/>
      <c r="Q598" s="88"/>
      <c r="R598" s="88"/>
      <c r="S598" s="88"/>
      <c r="T598" s="41">
        <v>13.08</v>
      </c>
      <c r="U598" s="41"/>
      <c r="V598" s="41"/>
      <c r="W598" s="41"/>
      <c r="X598" s="41"/>
      <c r="Y598" s="43">
        <v>12.984</v>
      </c>
      <c r="Z598" s="43"/>
      <c r="AA598" s="43"/>
      <c r="AB598" s="43"/>
      <c r="AC598" s="43"/>
      <c r="AD598" s="43">
        <v>9.6000000000000002E-2</v>
      </c>
      <c r="AE598" s="43"/>
      <c r="AF598" s="43"/>
      <c r="AG598" s="43"/>
      <c r="AH598" s="43"/>
      <c r="AI598" s="43"/>
      <c r="AJ598" s="9"/>
      <c r="AK598" s="10"/>
      <c r="AL598" s="11"/>
    </row>
    <row r="599" spans="1:38" ht="11.25" hidden="1" customHeight="1" outlineLevel="1" x14ac:dyDescent="0.2">
      <c r="A599" s="21">
        <v>10</v>
      </c>
      <c r="B599" s="88" t="s">
        <v>587</v>
      </c>
      <c r="C599" s="88"/>
      <c r="D599" s="88"/>
      <c r="E599" s="88"/>
      <c r="F599" s="88"/>
      <c r="G599" s="88"/>
      <c r="H599" s="88"/>
      <c r="I599" s="88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41">
        <v>19.440000000000001</v>
      </c>
      <c r="U599" s="41"/>
      <c r="V599" s="41"/>
      <c r="W599" s="41"/>
      <c r="X599" s="41"/>
      <c r="Y599" s="43">
        <v>19.951000000000001</v>
      </c>
      <c r="Z599" s="43"/>
      <c r="AA599" s="43"/>
      <c r="AB599" s="43"/>
      <c r="AC599" s="43"/>
      <c r="AD599" s="43">
        <v>-0.51100000000000001</v>
      </c>
      <c r="AE599" s="43"/>
      <c r="AF599" s="43"/>
      <c r="AG599" s="43"/>
      <c r="AH599" s="43"/>
      <c r="AI599" s="43"/>
      <c r="AJ599" s="9"/>
      <c r="AK599" s="10"/>
      <c r="AL599" s="11"/>
    </row>
    <row r="600" spans="1:38" ht="21.75" hidden="1" customHeight="1" outlineLevel="1" x14ac:dyDescent="0.2">
      <c r="A600" s="21">
        <v>11</v>
      </c>
      <c r="B600" s="88" t="s">
        <v>588</v>
      </c>
      <c r="C600" s="88"/>
      <c r="D600" s="88"/>
      <c r="E600" s="88"/>
      <c r="F600" s="88"/>
      <c r="G600" s="88"/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59">
        <v>12.7</v>
      </c>
      <c r="U600" s="59"/>
      <c r="V600" s="59"/>
      <c r="W600" s="59"/>
      <c r="X600" s="59"/>
      <c r="Y600" s="43">
        <v>12.965</v>
      </c>
      <c r="Z600" s="43"/>
      <c r="AA600" s="43"/>
      <c r="AB600" s="43"/>
      <c r="AC600" s="43"/>
      <c r="AD600" s="43">
        <v>-0.26500000000000001</v>
      </c>
      <c r="AE600" s="43"/>
      <c r="AF600" s="43"/>
      <c r="AG600" s="43"/>
      <c r="AH600" s="43"/>
      <c r="AI600" s="43"/>
      <c r="AJ600" s="9"/>
      <c r="AK600" s="10"/>
      <c r="AL600" s="11"/>
    </row>
    <row r="601" spans="1:38" ht="11.25" hidden="1" customHeight="1" outlineLevel="1" x14ac:dyDescent="0.2">
      <c r="A601" s="21">
        <v>12</v>
      </c>
      <c r="B601" s="88" t="s">
        <v>589</v>
      </c>
      <c r="C601" s="88"/>
      <c r="D601" s="88"/>
      <c r="E601" s="88"/>
      <c r="F601" s="88"/>
      <c r="G601" s="88"/>
      <c r="H601" s="88"/>
      <c r="I601" s="88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58">
        <v>10</v>
      </c>
      <c r="U601" s="58"/>
      <c r="V601" s="58"/>
      <c r="W601" s="58"/>
      <c r="X601" s="58"/>
      <c r="Y601" s="43">
        <v>10.093</v>
      </c>
      <c r="Z601" s="43"/>
      <c r="AA601" s="43"/>
      <c r="AB601" s="43"/>
      <c r="AC601" s="43"/>
      <c r="AD601" s="43">
        <v>-9.2999999999999999E-2</v>
      </c>
      <c r="AE601" s="43"/>
      <c r="AF601" s="43"/>
      <c r="AG601" s="43"/>
      <c r="AH601" s="43"/>
      <c r="AI601" s="43"/>
      <c r="AJ601" s="9"/>
      <c r="AK601" s="10"/>
      <c r="AL601" s="11"/>
    </row>
    <row r="602" spans="1:38" ht="11.25" hidden="1" customHeight="1" outlineLevel="1" x14ac:dyDescent="0.2">
      <c r="A602" s="21">
        <v>13</v>
      </c>
      <c r="B602" s="88" t="s">
        <v>590</v>
      </c>
      <c r="C602" s="88"/>
      <c r="D602" s="88"/>
      <c r="E602" s="88"/>
      <c r="F602" s="88"/>
      <c r="G602" s="88"/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59">
        <v>20.7</v>
      </c>
      <c r="U602" s="59"/>
      <c r="V602" s="59"/>
      <c r="W602" s="59"/>
      <c r="X602" s="59"/>
      <c r="Y602" s="43">
        <v>21.103999999999999</v>
      </c>
      <c r="Z602" s="43"/>
      <c r="AA602" s="43"/>
      <c r="AB602" s="43"/>
      <c r="AC602" s="43"/>
      <c r="AD602" s="43">
        <v>-0.40400000000000003</v>
      </c>
      <c r="AE602" s="43"/>
      <c r="AF602" s="43"/>
      <c r="AG602" s="43"/>
      <c r="AH602" s="43"/>
      <c r="AI602" s="43"/>
      <c r="AJ602" s="9"/>
      <c r="AK602" s="10"/>
      <c r="AL602" s="11"/>
    </row>
    <row r="603" spans="1:38" ht="11.25" hidden="1" customHeight="1" outlineLevel="1" x14ac:dyDescent="0.2">
      <c r="A603" s="21">
        <v>14</v>
      </c>
      <c r="B603" s="88" t="s">
        <v>591</v>
      </c>
      <c r="C603" s="88"/>
      <c r="D603" s="88"/>
      <c r="E603" s="88"/>
      <c r="F603" s="88"/>
      <c r="G603" s="88"/>
      <c r="H603" s="88"/>
      <c r="I603" s="88"/>
      <c r="J603" s="88"/>
      <c r="K603" s="88"/>
      <c r="L603" s="88"/>
      <c r="M603" s="88"/>
      <c r="N603" s="88"/>
      <c r="O603" s="88"/>
      <c r="P603" s="88"/>
      <c r="Q603" s="88"/>
      <c r="R603" s="88"/>
      <c r="S603" s="88"/>
      <c r="T603" s="59">
        <v>12.5</v>
      </c>
      <c r="U603" s="59"/>
      <c r="V603" s="59"/>
      <c r="W603" s="59"/>
      <c r="X603" s="59"/>
      <c r="Y603" s="43">
        <v>12.481999999999999</v>
      </c>
      <c r="Z603" s="43"/>
      <c r="AA603" s="43"/>
      <c r="AB603" s="43"/>
      <c r="AC603" s="43"/>
      <c r="AD603" s="43">
        <v>1.7999999999999999E-2</v>
      </c>
      <c r="AE603" s="43"/>
      <c r="AF603" s="43"/>
      <c r="AG603" s="43"/>
      <c r="AH603" s="43"/>
      <c r="AI603" s="43"/>
      <c r="AJ603" s="9"/>
      <c r="AK603" s="10"/>
      <c r="AL603" s="11"/>
    </row>
    <row r="604" spans="1:38" ht="11.25" hidden="1" customHeight="1" outlineLevel="1" x14ac:dyDescent="0.2">
      <c r="A604" s="21">
        <v>15</v>
      </c>
      <c r="B604" s="88" t="s">
        <v>592</v>
      </c>
      <c r="C604" s="88"/>
      <c r="D604" s="88"/>
      <c r="E604" s="88"/>
      <c r="F604" s="88"/>
      <c r="G604" s="88"/>
      <c r="H604" s="88"/>
      <c r="I604" s="88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59">
        <v>15.6</v>
      </c>
      <c r="U604" s="59"/>
      <c r="V604" s="59"/>
      <c r="W604" s="59"/>
      <c r="X604" s="59"/>
      <c r="Y604" s="43">
        <v>16.050999999999998</v>
      </c>
      <c r="Z604" s="43"/>
      <c r="AA604" s="43"/>
      <c r="AB604" s="43"/>
      <c r="AC604" s="43"/>
      <c r="AD604" s="43">
        <v>-0.45100000000000001</v>
      </c>
      <c r="AE604" s="43"/>
      <c r="AF604" s="43"/>
      <c r="AG604" s="43"/>
      <c r="AH604" s="43"/>
      <c r="AI604" s="43"/>
      <c r="AJ604" s="9"/>
      <c r="AK604" s="10"/>
      <c r="AL604" s="11"/>
    </row>
    <row r="605" spans="1:38" ht="11.25" hidden="1" customHeight="1" outlineLevel="1" x14ac:dyDescent="0.2">
      <c r="A605" s="21">
        <v>16</v>
      </c>
      <c r="B605" s="88" t="s">
        <v>593</v>
      </c>
      <c r="C605" s="88"/>
      <c r="D605" s="88"/>
      <c r="E605" s="88"/>
      <c r="F605" s="88"/>
      <c r="G605" s="88"/>
      <c r="H605" s="88"/>
      <c r="I605" s="88"/>
      <c r="J605" s="88"/>
      <c r="K605" s="88"/>
      <c r="L605" s="88"/>
      <c r="M605" s="88"/>
      <c r="N605" s="88"/>
      <c r="O605" s="88"/>
      <c r="P605" s="88"/>
      <c r="Q605" s="88"/>
      <c r="R605" s="88"/>
      <c r="S605" s="88"/>
      <c r="T605" s="59">
        <v>8.5</v>
      </c>
      <c r="U605" s="59"/>
      <c r="V605" s="59"/>
      <c r="W605" s="59"/>
      <c r="X605" s="59"/>
      <c r="Y605" s="43">
        <v>9.4130000000000003</v>
      </c>
      <c r="Z605" s="43"/>
      <c r="AA605" s="43"/>
      <c r="AB605" s="43"/>
      <c r="AC605" s="43"/>
      <c r="AD605" s="43">
        <v>-0.91300000000000003</v>
      </c>
      <c r="AE605" s="43"/>
      <c r="AF605" s="43"/>
      <c r="AG605" s="43"/>
      <c r="AH605" s="43"/>
      <c r="AI605" s="43"/>
      <c r="AJ605" s="9"/>
      <c r="AK605" s="10"/>
      <c r="AL605" s="11"/>
    </row>
    <row r="606" spans="1:38" ht="21.75" hidden="1" customHeight="1" outlineLevel="1" x14ac:dyDescent="0.2">
      <c r="A606" s="21">
        <v>17</v>
      </c>
      <c r="B606" s="88" t="s">
        <v>594</v>
      </c>
      <c r="C606" s="88"/>
      <c r="D606" s="88"/>
      <c r="E606" s="88"/>
      <c r="F606" s="88"/>
      <c r="G606" s="88"/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41">
        <v>43.15</v>
      </c>
      <c r="U606" s="41"/>
      <c r="V606" s="41"/>
      <c r="W606" s="41"/>
      <c r="X606" s="41"/>
      <c r="Y606" s="43">
        <v>45.140999999999998</v>
      </c>
      <c r="Z606" s="43"/>
      <c r="AA606" s="43"/>
      <c r="AB606" s="43"/>
      <c r="AC606" s="43"/>
      <c r="AD606" s="43">
        <v>-1.9910000000000001</v>
      </c>
      <c r="AE606" s="43"/>
      <c r="AF606" s="43"/>
      <c r="AG606" s="43"/>
      <c r="AH606" s="43"/>
      <c r="AI606" s="43"/>
      <c r="AJ606" s="9"/>
      <c r="AK606" s="10"/>
      <c r="AL606" s="11"/>
    </row>
    <row r="607" spans="1:38" ht="11.25" hidden="1" customHeight="1" outlineLevel="1" x14ac:dyDescent="0.2">
      <c r="A607" s="21">
        <v>18</v>
      </c>
      <c r="B607" s="88" t="s">
        <v>595</v>
      </c>
      <c r="C607" s="88"/>
      <c r="D607" s="88"/>
      <c r="E607" s="88"/>
      <c r="F607" s="88"/>
      <c r="G607" s="88"/>
      <c r="H607" s="88"/>
      <c r="I607" s="88"/>
      <c r="J607" s="88"/>
      <c r="K607" s="88"/>
      <c r="L607" s="88"/>
      <c r="M607" s="88"/>
      <c r="N607" s="88"/>
      <c r="O607" s="88"/>
      <c r="P607" s="88"/>
      <c r="Q607" s="88"/>
      <c r="R607" s="88"/>
      <c r="S607" s="88"/>
      <c r="T607" s="59">
        <v>23.5</v>
      </c>
      <c r="U607" s="59"/>
      <c r="V607" s="59"/>
      <c r="W607" s="59"/>
      <c r="X607" s="59"/>
      <c r="Y607" s="43">
        <v>24.295000000000002</v>
      </c>
      <c r="Z607" s="43"/>
      <c r="AA607" s="43"/>
      <c r="AB607" s="43"/>
      <c r="AC607" s="43"/>
      <c r="AD607" s="43">
        <v>-0.79500000000000004</v>
      </c>
      <c r="AE607" s="43"/>
      <c r="AF607" s="43"/>
      <c r="AG607" s="43"/>
      <c r="AH607" s="43"/>
      <c r="AI607" s="43"/>
      <c r="AJ607" s="9"/>
      <c r="AK607" s="10"/>
      <c r="AL607" s="11"/>
    </row>
    <row r="608" spans="1:38" ht="21.75" hidden="1" customHeight="1" outlineLevel="1" x14ac:dyDescent="0.2">
      <c r="A608" s="21">
        <v>19</v>
      </c>
      <c r="B608" s="88" t="s">
        <v>596</v>
      </c>
      <c r="C608" s="88"/>
      <c r="D608" s="88"/>
      <c r="E608" s="88"/>
      <c r="F608" s="88"/>
      <c r="G608" s="88"/>
      <c r="H608" s="88"/>
      <c r="I608" s="88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43">
        <v>15.875</v>
      </c>
      <c r="U608" s="43"/>
      <c r="V608" s="43"/>
      <c r="W608" s="43"/>
      <c r="X608" s="43"/>
      <c r="Y608" s="43">
        <v>16.803999999999998</v>
      </c>
      <c r="Z608" s="43"/>
      <c r="AA608" s="43"/>
      <c r="AB608" s="43"/>
      <c r="AC608" s="43"/>
      <c r="AD608" s="43">
        <v>-0.92900000000000005</v>
      </c>
      <c r="AE608" s="43"/>
      <c r="AF608" s="43"/>
      <c r="AG608" s="43"/>
      <c r="AH608" s="43"/>
      <c r="AI608" s="43"/>
      <c r="AJ608" s="9"/>
      <c r="AK608" s="10"/>
      <c r="AL608" s="11"/>
    </row>
    <row r="609" spans="1:38" ht="21.75" hidden="1" customHeight="1" outlineLevel="1" x14ac:dyDescent="0.2">
      <c r="A609" s="21">
        <v>20</v>
      </c>
      <c r="B609" s="88" t="s">
        <v>597</v>
      </c>
      <c r="C609" s="88"/>
      <c r="D609" s="88"/>
      <c r="E609" s="88"/>
      <c r="F609" s="88"/>
      <c r="G609" s="88"/>
      <c r="H609" s="88"/>
      <c r="I609" s="88"/>
      <c r="J609" s="88"/>
      <c r="K609" s="88"/>
      <c r="L609" s="88"/>
      <c r="M609" s="88"/>
      <c r="N609" s="88"/>
      <c r="O609" s="88"/>
      <c r="P609" s="88"/>
      <c r="Q609" s="88"/>
      <c r="R609" s="88"/>
      <c r="S609" s="88"/>
      <c r="T609" s="41">
        <v>21.35</v>
      </c>
      <c r="U609" s="41"/>
      <c r="V609" s="41"/>
      <c r="W609" s="41"/>
      <c r="X609" s="41"/>
      <c r="Y609" s="43">
        <v>22.405000000000001</v>
      </c>
      <c r="Z609" s="43"/>
      <c r="AA609" s="43"/>
      <c r="AB609" s="43"/>
      <c r="AC609" s="43"/>
      <c r="AD609" s="43">
        <v>-1.0549999999999999</v>
      </c>
      <c r="AE609" s="43"/>
      <c r="AF609" s="43"/>
      <c r="AG609" s="43"/>
      <c r="AH609" s="43"/>
      <c r="AI609" s="43"/>
      <c r="AJ609" s="9"/>
      <c r="AK609" s="10"/>
      <c r="AL609" s="11"/>
    </row>
    <row r="610" spans="1:38" ht="11.25" hidden="1" customHeight="1" outlineLevel="1" x14ac:dyDescent="0.2">
      <c r="A610" s="21">
        <v>21</v>
      </c>
      <c r="B610" s="88" t="s">
        <v>598</v>
      </c>
      <c r="C610" s="88"/>
      <c r="D610" s="88"/>
      <c r="E610" s="88"/>
      <c r="F610" s="88"/>
      <c r="G610" s="88"/>
      <c r="H610" s="88"/>
      <c r="I610" s="88"/>
      <c r="J610" s="88"/>
      <c r="K610" s="88"/>
      <c r="L610" s="88"/>
      <c r="M610" s="88"/>
      <c r="N610" s="88"/>
      <c r="O610" s="88"/>
      <c r="P610" s="88"/>
      <c r="Q610" s="88"/>
      <c r="R610" s="88"/>
      <c r="S610" s="88"/>
      <c r="T610" s="41">
        <v>24.36</v>
      </c>
      <c r="U610" s="41"/>
      <c r="V610" s="41"/>
      <c r="W610" s="41"/>
      <c r="X610" s="41"/>
      <c r="Y610" s="43">
        <v>24.393000000000001</v>
      </c>
      <c r="Z610" s="43"/>
      <c r="AA610" s="43"/>
      <c r="AB610" s="43"/>
      <c r="AC610" s="43"/>
      <c r="AD610" s="43">
        <v>-3.3000000000000002E-2</v>
      </c>
      <c r="AE610" s="43"/>
      <c r="AF610" s="43"/>
      <c r="AG610" s="43"/>
      <c r="AH610" s="43"/>
      <c r="AI610" s="43"/>
      <c r="AJ610" s="9"/>
      <c r="AK610" s="10"/>
      <c r="AL610" s="11"/>
    </row>
    <row r="611" spans="1:38" ht="21.75" hidden="1" customHeight="1" outlineLevel="1" x14ac:dyDescent="0.2">
      <c r="A611" s="21">
        <v>22</v>
      </c>
      <c r="B611" s="88" t="s">
        <v>599</v>
      </c>
      <c r="C611" s="88"/>
      <c r="D611" s="88"/>
      <c r="E611" s="88"/>
      <c r="F611" s="88"/>
      <c r="G611" s="88"/>
      <c r="H611" s="88"/>
      <c r="I611" s="88"/>
      <c r="J611" s="88"/>
      <c r="K611" s="88"/>
      <c r="L611" s="88"/>
      <c r="M611" s="88"/>
      <c r="N611" s="88"/>
      <c r="O611" s="88"/>
      <c r="P611" s="88"/>
      <c r="Q611" s="88"/>
      <c r="R611" s="88"/>
      <c r="S611" s="88"/>
      <c r="T611" s="41">
        <v>9.26</v>
      </c>
      <c r="U611" s="41"/>
      <c r="V611" s="41"/>
      <c r="W611" s="41"/>
      <c r="X611" s="41"/>
      <c r="Y611" s="43">
        <v>9.8049999999999997</v>
      </c>
      <c r="Z611" s="43"/>
      <c r="AA611" s="43"/>
      <c r="AB611" s="43"/>
      <c r="AC611" s="43"/>
      <c r="AD611" s="43">
        <v>-0.54500000000000004</v>
      </c>
      <c r="AE611" s="43"/>
      <c r="AF611" s="43"/>
      <c r="AG611" s="43"/>
      <c r="AH611" s="43"/>
      <c r="AI611" s="43"/>
      <c r="AJ611" s="9"/>
      <c r="AK611" s="10"/>
      <c r="AL611" s="11"/>
    </row>
    <row r="612" spans="1:38" ht="21.75" hidden="1" customHeight="1" outlineLevel="1" x14ac:dyDescent="0.2">
      <c r="A612" s="21">
        <v>23</v>
      </c>
      <c r="B612" s="88" t="s">
        <v>600</v>
      </c>
      <c r="C612" s="88"/>
      <c r="D612" s="88"/>
      <c r="E612" s="88"/>
      <c r="F612" s="88"/>
      <c r="G612" s="88"/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41">
        <v>15.96</v>
      </c>
      <c r="U612" s="41"/>
      <c r="V612" s="41"/>
      <c r="W612" s="41"/>
      <c r="X612" s="41"/>
      <c r="Y612" s="43">
        <v>16.402000000000001</v>
      </c>
      <c r="Z612" s="43"/>
      <c r="AA612" s="43"/>
      <c r="AB612" s="43"/>
      <c r="AC612" s="43"/>
      <c r="AD612" s="43">
        <v>-0.442</v>
      </c>
      <c r="AE612" s="43"/>
      <c r="AF612" s="43"/>
      <c r="AG612" s="43"/>
      <c r="AH612" s="43"/>
      <c r="AI612" s="43"/>
      <c r="AJ612" s="9"/>
      <c r="AK612" s="10"/>
      <c r="AL612" s="11"/>
    </row>
    <row r="613" spans="1:38" ht="21.75" hidden="1" customHeight="1" outlineLevel="1" x14ac:dyDescent="0.2">
      <c r="A613" s="21">
        <v>24</v>
      </c>
      <c r="B613" s="88" t="s">
        <v>601</v>
      </c>
      <c r="C613" s="88"/>
      <c r="D613" s="88"/>
      <c r="E613" s="88"/>
      <c r="F613" s="88"/>
      <c r="G613" s="88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59">
        <v>16.3</v>
      </c>
      <c r="U613" s="59"/>
      <c r="V613" s="59"/>
      <c r="W613" s="59"/>
      <c r="X613" s="59"/>
      <c r="Y613" s="43">
        <v>17.245999999999999</v>
      </c>
      <c r="Z613" s="43"/>
      <c r="AA613" s="43"/>
      <c r="AB613" s="43"/>
      <c r="AC613" s="43"/>
      <c r="AD613" s="43">
        <v>-0.94599999999999995</v>
      </c>
      <c r="AE613" s="43"/>
      <c r="AF613" s="43"/>
      <c r="AG613" s="43"/>
      <c r="AH613" s="43"/>
      <c r="AI613" s="43"/>
      <c r="AJ613" s="9"/>
      <c r="AK613" s="10"/>
      <c r="AL613" s="11"/>
    </row>
    <row r="614" spans="1:38" ht="11.25" hidden="1" customHeight="1" outlineLevel="1" x14ac:dyDescent="0.2">
      <c r="A614" s="21">
        <v>25</v>
      </c>
      <c r="B614" s="88" t="s">
        <v>602</v>
      </c>
      <c r="C614" s="88"/>
      <c r="D614" s="88"/>
      <c r="E614" s="88"/>
      <c r="F614" s="88"/>
      <c r="G614" s="88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41">
        <v>8.67</v>
      </c>
      <c r="U614" s="41"/>
      <c r="V614" s="41"/>
      <c r="W614" s="41"/>
      <c r="X614" s="41"/>
      <c r="Y614" s="43">
        <v>8.7449999999999992</v>
      </c>
      <c r="Z614" s="43"/>
      <c r="AA614" s="43"/>
      <c r="AB614" s="43"/>
      <c r="AC614" s="43"/>
      <c r="AD614" s="43">
        <v>-7.4999999999999997E-2</v>
      </c>
      <c r="AE614" s="43"/>
      <c r="AF614" s="43"/>
      <c r="AG614" s="43"/>
      <c r="AH614" s="43"/>
      <c r="AI614" s="43"/>
      <c r="AJ614" s="9"/>
      <c r="AK614" s="10"/>
      <c r="AL614" s="11"/>
    </row>
    <row r="615" spans="1:38" ht="11.25" hidden="1" customHeight="1" outlineLevel="1" x14ac:dyDescent="0.2">
      <c r="A615" s="21">
        <v>26</v>
      </c>
      <c r="B615" s="88" t="s">
        <v>603</v>
      </c>
      <c r="C615" s="88"/>
      <c r="D615" s="88"/>
      <c r="E615" s="88"/>
      <c r="F615" s="88"/>
      <c r="G615" s="88"/>
      <c r="H615" s="88"/>
      <c r="I615" s="88"/>
      <c r="J615" s="88"/>
      <c r="K615" s="88"/>
      <c r="L615" s="88"/>
      <c r="M615" s="88"/>
      <c r="N615" s="88"/>
      <c r="O615" s="88"/>
      <c r="P615" s="88"/>
      <c r="Q615" s="88"/>
      <c r="R615" s="88"/>
      <c r="S615" s="88"/>
      <c r="T615" s="41">
        <v>12.67</v>
      </c>
      <c r="U615" s="41"/>
      <c r="V615" s="41"/>
      <c r="W615" s="41"/>
      <c r="X615" s="41"/>
      <c r="Y615" s="43">
        <v>13.166</v>
      </c>
      <c r="Z615" s="43"/>
      <c r="AA615" s="43"/>
      <c r="AB615" s="43"/>
      <c r="AC615" s="43"/>
      <c r="AD615" s="43">
        <v>-0.496</v>
      </c>
      <c r="AE615" s="43"/>
      <c r="AF615" s="43"/>
      <c r="AG615" s="43"/>
      <c r="AH615" s="43"/>
      <c r="AI615" s="43"/>
      <c r="AJ615" s="9"/>
      <c r="AK615" s="10"/>
      <c r="AL615" s="11"/>
    </row>
    <row r="616" spans="1:38" ht="21.75" hidden="1" customHeight="1" outlineLevel="1" x14ac:dyDescent="0.2">
      <c r="A616" s="21">
        <v>27</v>
      </c>
      <c r="B616" s="88" t="s">
        <v>604</v>
      </c>
      <c r="C616" s="88"/>
      <c r="D616" s="88"/>
      <c r="E616" s="88"/>
      <c r="F616" s="88"/>
      <c r="G616" s="88"/>
      <c r="H616" s="88"/>
      <c r="I616" s="88"/>
      <c r="J616" s="88"/>
      <c r="K616" s="88"/>
      <c r="L616" s="88"/>
      <c r="M616" s="88"/>
      <c r="N616" s="88"/>
      <c r="O616" s="88"/>
      <c r="P616" s="88"/>
      <c r="Q616" s="88"/>
      <c r="R616" s="88"/>
      <c r="S616" s="88"/>
      <c r="T616" s="59">
        <v>13.1</v>
      </c>
      <c r="U616" s="59"/>
      <c r="V616" s="59"/>
      <c r="W616" s="59"/>
      <c r="X616" s="59"/>
      <c r="Y616" s="43">
        <v>13.724</v>
      </c>
      <c r="Z616" s="43"/>
      <c r="AA616" s="43"/>
      <c r="AB616" s="43"/>
      <c r="AC616" s="43"/>
      <c r="AD616" s="43">
        <v>-0.624</v>
      </c>
      <c r="AE616" s="43"/>
      <c r="AF616" s="43"/>
      <c r="AG616" s="43"/>
      <c r="AH616" s="43"/>
      <c r="AI616" s="43"/>
      <c r="AJ616" s="9"/>
      <c r="AK616" s="10"/>
      <c r="AL616" s="11"/>
    </row>
    <row r="617" spans="1:38" ht="11.25" hidden="1" customHeight="1" outlineLevel="1" x14ac:dyDescent="0.2">
      <c r="A617" s="21">
        <v>28</v>
      </c>
      <c r="B617" s="88" t="s">
        <v>605</v>
      </c>
      <c r="C617" s="88"/>
      <c r="D617" s="88"/>
      <c r="E617" s="88"/>
      <c r="F617" s="88"/>
      <c r="G617" s="88"/>
      <c r="H617" s="88"/>
      <c r="I617" s="88"/>
      <c r="J617" s="88"/>
      <c r="K617" s="88"/>
      <c r="L617" s="88"/>
      <c r="M617" s="88"/>
      <c r="N617" s="88"/>
      <c r="O617" s="88"/>
      <c r="P617" s="88"/>
      <c r="Q617" s="88"/>
      <c r="R617" s="88"/>
      <c r="S617" s="88"/>
      <c r="T617" s="59">
        <v>25.5</v>
      </c>
      <c r="U617" s="59"/>
      <c r="V617" s="59"/>
      <c r="W617" s="59"/>
      <c r="X617" s="59"/>
      <c r="Y617" s="43">
        <v>25.629000000000001</v>
      </c>
      <c r="Z617" s="43"/>
      <c r="AA617" s="43"/>
      <c r="AB617" s="43"/>
      <c r="AC617" s="43"/>
      <c r="AD617" s="43">
        <v>-0.129</v>
      </c>
      <c r="AE617" s="43"/>
      <c r="AF617" s="43"/>
      <c r="AG617" s="43"/>
      <c r="AH617" s="43"/>
      <c r="AI617" s="43"/>
      <c r="AJ617" s="9"/>
      <c r="AK617" s="10"/>
      <c r="AL617" s="11"/>
    </row>
    <row r="618" spans="1:38" ht="21.75" hidden="1" customHeight="1" outlineLevel="1" x14ac:dyDescent="0.2">
      <c r="A618" s="21">
        <v>29</v>
      </c>
      <c r="B618" s="88" t="s">
        <v>606</v>
      </c>
      <c r="C618" s="88"/>
      <c r="D618" s="88"/>
      <c r="E618" s="88"/>
      <c r="F618" s="88"/>
      <c r="G618" s="88"/>
      <c r="H618" s="88"/>
      <c r="I618" s="88"/>
      <c r="J618" s="88"/>
      <c r="K618" s="88"/>
      <c r="L618" s="88"/>
      <c r="M618" s="88"/>
      <c r="N618" s="88"/>
      <c r="O618" s="88"/>
      <c r="P618" s="88"/>
      <c r="Q618" s="88"/>
      <c r="R618" s="88"/>
      <c r="S618" s="88"/>
      <c r="T618" s="41">
        <v>8.85</v>
      </c>
      <c r="U618" s="41"/>
      <c r="V618" s="41"/>
      <c r="W618" s="41"/>
      <c r="X618" s="41"/>
      <c r="Y618" s="43">
        <v>9.0609999999999999</v>
      </c>
      <c r="Z618" s="43"/>
      <c r="AA618" s="43"/>
      <c r="AB618" s="43"/>
      <c r="AC618" s="43"/>
      <c r="AD618" s="43">
        <v>-0.21099999999999999</v>
      </c>
      <c r="AE618" s="43"/>
      <c r="AF618" s="43"/>
      <c r="AG618" s="43"/>
      <c r="AH618" s="43"/>
      <c r="AI618" s="43"/>
      <c r="AJ618" s="9"/>
      <c r="AK618" s="10"/>
      <c r="AL618" s="11"/>
    </row>
    <row r="619" spans="1:38" ht="21.75" hidden="1" customHeight="1" outlineLevel="1" x14ac:dyDescent="0.2">
      <c r="A619" s="21">
        <v>30</v>
      </c>
      <c r="B619" s="88" t="s">
        <v>607</v>
      </c>
      <c r="C619" s="88"/>
      <c r="D619" s="88"/>
      <c r="E619" s="88"/>
      <c r="F619" s="88"/>
      <c r="G619" s="88"/>
      <c r="H619" s="88"/>
      <c r="I619" s="88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41">
        <v>7.16</v>
      </c>
      <c r="U619" s="41"/>
      <c r="V619" s="41"/>
      <c r="W619" s="41"/>
      <c r="X619" s="41"/>
      <c r="Y619" s="43">
        <v>7.4379999999999997</v>
      </c>
      <c r="Z619" s="43"/>
      <c r="AA619" s="43"/>
      <c r="AB619" s="43"/>
      <c r="AC619" s="43"/>
      <c r="AD619" s="43">
        <v>-0.27800000000000002</v>
      </c>
      <c r="AE619" s="43"/>
      <c r="AF619" s="43"/>
      <c r="AG619" s="43"/>
      <c r="AH619" s="43"/>
      <c r="AI619" s="43"/>
      <c r="AJ619" s="9"/>
      <c r="AK619" s="10"/>
      <c r="AL619" s="11"/>
    </row>
    <row r="620" spans="1:38" ht="11.25" hidden="1" customHeight="1" outlineLevel="1" x14ac:dyDescent="0.2">
      <c r="A620" s="21">
        <v>31</v>
      </c>
      <c r="B620" s="88" t="s">
        <v>608</v>
      </c>
      <c r="C620" s="88"/>
      <c r="D620" s="88"/>
      <c r="E620" s="88"/>
      <c r="F620" s="88"/>
      <c r="G620" s="88"/>
      <c r="H620" s="88"/>
      <c r="I620" s="88"/>
      <c r="J620" s="88"/>
      <c r="K620" s="88"/>
      <c r="L620" s="88"/>
      <c r="M620" s="88"/>
      <c r="N620" s="88"/>
      <c r="O620" s="88"/>
      <c r="P620" s="88"/>
      <c r="Q620" s="88"/>
      <c r="R620" s="88"/>
      <c r="S620" s="88"/>
      <c r="T620" s="41">
        <v>4.33</v>
      </c>
      <c r="U620" s="41"/>
      <c r="V620" s="41"/>
      <c r="W620" s="41"/>
      <c r="X620" s="41"/>
      <c r="Y620" s="41">
        <v>4.33</v>
      </c>
      <c r="Z620" s="41"/>
      <c r="AA620" s="41"/>
      <c r="AB620" s="41"/>
      <c r="AC620" s="41"/>
      <c r="AD620" s="12"/>
      <c r="AE620" s="13"/>
      <c r="AF620" s="13"/>
      <c r="AG620" s="13"/>
      <c r="AH620" s="13"/>
      <c r="AI620" s="14"/>
      <c r="AJ620" s="9"/>
      <c r="AK620" s="10"/>
      <c r="AL620" s="11"/>
    </row>
    <row r="621" spans="1:38" ht="21.75" hidden="1" customHeight="1" outlineLevel="1" x14ac:dyDescent="0.2">
      <c r="A621" s="21">
        <v>32</v>
      </c>
      <c r="B621" s="88" t="s">
        <v>609</v>
      </c>
      <c r="C621" s="88"/>
      <c r="D621" s="88"/>
      <c r="E621" s="88"/>
      <c r="F621" s="88"/>
      <c r="G621" s="88"/>
      <c r="H621" s="88"/>
      <c r="I621" s="88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59">
        <v>21.4</v>
      </c>
      <c r="U621" s="59"/>
      <c r="V621" s="59"/>
      <c r="W621" s="59"/>
      <c r="X621" s="59"/>
      <c r="Y621" s="59">
        <v>21.4</v>
      </c>
      <c r="Z621" s="59"/>
      <c r="AA621" s="59"/>
      <c r="AB621" s="59"/>
      <c r="AC621" s="59"/>
      <c r="AD621" s="12"/>
      <c r="AE621" s="13"/>
      <c r="AF621" s="13"/>
      <c r="AG621" s="13"/>
      <c r="AH621" s="13"/>
      <c r="AI621" s="14"/>
      <c r="AJ621" s="9"/>
      <c r="AK621" s="10"/>
      <c r="AL621" s="11"/>
    </row>
    <row r="622" spans="1:38" ht="11.25" hidden="1" customHeight="1" outlineLevel="1" x14ac:dyDescent="0.2">
      <c r="A622" s="21">
        <v>33</v>
      </c>
      <c r="B622" s="88" t="s">
        <v>610</v>
      </c>
      <c r="C622" s="88"/>
      <c r="D622" s="88"/>
      <c r="E622" s="88"/>
      <c r="F622" s="88"/>
      <c r="G622" s="88"/>
      <c r="H622" s="88"/>
      <c r="I622" s="88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58">
        <v>15</v>
      </c>
      <c r="U622" s="58"/>
      <c r="V622" s="58"/>
      <c r="W622" s="58"/>
      <c r="X622" s="58"/>
      <c r="Y622" s="43">
        <v>15.002000000000001</v>
      </c>
      <c r="Z622" s="43"/>
      <c r="AA622" s="43"/>
      <c r="AB622" s="43"/>
      <c r="AC622" s="43"/>
      <c r="AD622" s="43">
        <v>-2E-3</v>
      </c>
      <c r="AE622" s="43"/>
      <c r="AF622" s="43"/>
      <c r="AG622" s="43"/>
      <c r="AH622" s="43"/>
      <c r="AI622" s="43"/>
      <c r="AJ622" s="9"/>
      <c r="AK622" s="10"/>
      <c r="AL622" s="11"/>
    </row>
    <row r="623" spans="1:38" ht="11.25" hidden="1" customHeight="1" outlineLevel="1" x14ac:dyDescent="0.2">
      <c r="A623" s="21">
        <v>34</v>
      </c>
      <c r="B623" s="88" t="s">
        <v>611</v>
      </c>
      <c r="C623" s="88"/>
      <c r="D623" s="88"/>
      <c r="E623" s="88"/>
      <c r="F623" s="88"/>
      <c r="G623" s="88"/>
      <c r="H623" s="88"/>
      <c r="I623" s="88"/>
      <c r="J623" s="88"/>
      <c r="K623" s="88"/>
      <c r="L623" s="88"/>
      <c r="M623" s="88"/>
      <c r="N623" s="88"/>
      <c r="O623" s="88"/>
      <c r="P623" s="88"/>
      <c r="Q623" s="88"/>
      <c r="R623" s="88"/>
      <c r="S623" s="88"/>
      <c r="T623" s="58">
        <v>15</v>
      </c>
      <c r="U623" s="58"/>
      <c r="V623" s="58"/>
      <c r="W623" s="58"/>
      <c r="X623" s="58"/>
      <c r="Y623" s="43">
        <v>15.061</v>
      </c>
      <c r="Z623" s="43"/>
      <c r="AA623" s="43"/>
      <c r="AB623" s="43"/>
      <c r="AC623" s="43"/>
      <c r="AD623" s="43">
        <v>-6.0999999999999999E-2</v>
      </c>
      <c r="AE623" s="43"/>
      <c r="AF623" s="43"/>
      <c r="AG623" s="43"/>
      <c r="AH623" s="43"/>
      <c r="AI623" s="43"/>
      <c r="AJ623" s="9"/>
      <c r="AK623" s="10"/>
      <c r="AL623" s="11"/>
    </row>
    <row r="624" spans="1:38" ht="11.25" hidden="1" customHeight="1" outlineLevel="1" x14ac:dyDescent="0.2">
      <c r="A624" s="21">
        <v>35</v>
      </c>
      <c r="B624" s="88" t="s">
        <v>612</v>
      </c>
      <c r="C624" s="88"/>
      <c r="D624" s="88"/>
      <c r="E624" s="88"/>
      <c r="F624" s="88"/>
      <c r="G624" s="88"/>
      <c r="H624" s="88"/>
      <c r="I624" s="88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41">
        <v>6.56</v>
      </c>
      <c r="U624" s="41"/>
      <c r="V624" s="41"/>
      <c r="W624" s="41"/>
      <c r="X624" s="41"/>
      <c r="Y624" s="41">
        <v>6.56</v>
      </c>
      <c r="Z624" s="41"/>
      <c r="AA624" s="41"/>
      <c r="AB624" s="41"/>
      <c r="AC624" s="41"/>
      <c r="AD624" s="12"/>
      <c r="AE624" s="13"/>
      <c r="AF624" s="13"/>
      <c r="AG624" s="13"/>
      <c r="AH624" s="13"/>
      <c r="AI624" s="14"/>
      <c r="AJ624" s="9"/>
      <c r="AK624" s="10"/>
      <c r="AL624" s="11"/>
    </row>
    <row r="625" spans="1:38" ht="11.25" hidden="1" customHeight="1" collapsed="1" x14ac:dyDescent="0.2">
      <c r="A625" s="60" t="s">
        <v>613</v>
      </c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5">
        <v>956.31</v>
      </c>
      <c r="U625" s="65"/>
      <c r="V625" s="65"/>
      <c r="W625" s="65"/>
      <c r="X625" s="65"/>
      <c r="Y625" s="65">
        <v>947.93</v>
      </c>
      <c r="Z625" s="65"/>
      <c r="AA625" s="65"/>
      <c r="AB625" s="65"/>
      <c r="AC625" s="65"/>
      <c r="AD625" s="65">
        <v>8.3800000000000008</v>
      </c>
      <c r="AE625" s="65"/>
      <c r="AF625" s="65"/>
      <c r="AG625" s="65"/>
      <c r="AH625" s="65"/>
      <c r="AI625" s="65"/>
      <c r="AJ625" s="62">
        <v>23.956</v>
      </c>
      <c r="AK625" s="62"/>
      <c r="AL625" s="62"/>
    </row>
    <row r="626" spans="1:38" ht="11.25" hidden="1" customHeight="1" outlineLevel="1" x14ac:dyDescent="0.2">
      <c r="A626" s="21">
        <v>1</v>
      </c>
      <c r="B626" s="88" t="s">
        <v>614</v>
      </c>
      <c r="C626" s="88"/>
      <c r="D626" s="88"/>
      <c r="E626" s="88"/>
      <c r="F626" s="88"/>
      <c r="G626" s="88"/>
      <c r="H626" s="88"/>
      <c r="I626" s="88"/>
      <c r="J626" s="88"/>
      <c r="K626" s="88"/>
      <c r="L626" s="88"/>
      <c r="M626" s="88"/>
      <c r="N626" s="88"/>
      <c r="O626" s="88"/>
      <c r="P626" s="88"/>
      <c r="Q626" s="88"/>
      <c r="R626" s="88"/>
      <c r="S626" s="88"/>
      <c r="T626" s="59">
        <v>83.8</v>
      </c>
      <c r="U626" s="59"/>
      <c r="V626" s="59"/>
      <c r="W626" s="59"/>
      <c r="X626" s="59"/>
      <c r="Y626" s="43">
        <v>81.064999999999998</v>
      </c>
      <c r="Z626" s="43"/>
      <c r="AA626" s="43"/>
      <c r="AB626" s="43"/>
      <c r="AC626" s="43"/>
      <c r="AD626" s="43">
        <v>2.7349999999999999</v>
      </c>
      <c r="AE626" s="43"/>
      <c r="AF626" s="43"/>
      <c r="AG626" s="43"/>
      <c r="AH626" s="43"/>
      <c r="AI626" s="43"/>
      <c r="AJ626" s="9"/>
      <c r="AK626" s="10"/>
      <c r="AL626" s="11"/>
    </row>
    <row r="627" spans="1:38" ht="11.25" hidden="1" customHeight="1" outlineLevel="1" x14ac:dyDescent="0.2">
      <c r="A627" s="21">
        <v>2</v>
      </c>
      <c r="B627" s="88" t="s">
        <v>615</v>
      </c>
      <c r="C627" s="88"/>
      <c r="D627" s="88"/>
      <c r="E627" s="88"/>
      <c r="F627" s="88"/>
      <c r="G627" s="88"/>
      <c r="H627" s="88"/>
      <c r="I627" s="88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59">
        <v>26.4</v>
      </c>
      <c r="U627" s="59"/>
      <c r="V627" s="59"/>
      <c r="W627" s="59"/>
      <c r="X627" s="59"/>
      <c r="Y627" s="43">
        <v>22.417000000000002</v>
      </c>
      <c r="Z627" s="43"/>
      <c r="AA627" s="43"/>
      <c r="AB627" s="43"/>
      <c r="AC627" s="43"/>
      <c r="AD627" s="43">
        <v>3.9830000000000001</v>
      </c>
      <c r="AE627" s="43"/>
      <c r="AF627" s="43"/>
      <c r="AG627" s="43"/>
      <c r="AH627" s="43"/>
      <c r="AI627" s="43"/>
      <c r="AJ627" s="9"/>
      <c r="AK627" s="10"/>
      <c r="AL627" s="11"/>
    </row>
    <row r="628" spans="1:38" ht="11.25" hidden="1" customHeight="1" outlineLevel="1" x14ac:dyDescent="0.2">
      <c r="A628" s="21">
        <v>3</v>
      </c>
      <c r="B628" s="88" t="s">
        <v>616</v>
      </c>
      <c r="C628" s="88"/>
      <c r="D628" s="88"/>
      <c r="E628" s="88"/>
      <c r="F628" s="88"/>
      <c r="G628" s="88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41">
        <v>145.68</v>
      </c>
      <c r="U628" s="41"/>
      <c r="V628" s="41"/>
      <c r="W628" s="41"/>
      <c r="X628" s="41"/>
      <c r="Y628" s="43">
        <v>142.566</v>
      </c>
      <c r="Z628" s="43"/>
      <c r="AA628" s="43"/>
      <c r="AB628" s="43"/>
      <c r="AC628" s="43"/>
      <c r="AD628" s="43">
        <v>3.1139999999999999</v>
      </c>
      <c r="AE628" s="43"/>
      <c r="AF628" s="43"/>
      <c r="AG628" s="43"/>
      <c r="AH628" s="43"/>
      <c r="AI628" s="43"/>
      <c r="AJ628" s="9"/>
      <c r="AK628" s="10"/>
      <c r="AL628" s="11"/>
    </row>
    <row r="629" spans="1:38" ht="11.25" hidden="1" customHeight="1" outlineLevel="1" x14ac:dyDescent="0.2">
      <c r="A629" s="21">
        <v>4</v>
      </c>
      <c r="B629" s="88" t="s">
        <v>617</v>
      </c>
      <c r="C629" s="88"/>
      <c r="D629" s="88"/>
      <c r="E629" s="88"/>
      <c r="F629" s="88"/>
      <c r="G629" s="88"/>
      <c r="H629" s="88"/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41">
        <v>26.14</v>
      </c>
      <c r="U629" s="41"/>
      <c r="V629" s="41"/>
      <c r="W629" s="41"/>
      <c r="X629" s="41"/>
      <c r="Y629" s="43">
        <v>23.760999999999999</v>
      </c>
      <c r="Z629" s="43"/>
      <c r="AA629" s="43"/>
      <c r="AB629" s="43"/>
      <c r="AC629" s="43"/>
      <c r="AD629" s="43">
        <v>2.379</v>
      </c>
      <c r="AE629" s="43"/>
      <c r="AF629" s="43"/>
      <c r="AG629" s="43"/>
      <c r="AH629" s="43"/>
      <c r="AI629" s="43"/>
      <c r="AJ629" s="9"/>
      <c r="AK629" s="10"/>
      <c r="AL629" s="11"/>
    </row>
    <row r="630" spans="1:38" ht="11.25" hidden="1" customHeight="1" outlineLevel="1" x14ac:dyDescent="0.2">
      <c r="A630" s="21">
        <v>5</v>
      </c>
      <c r="B630" s="88" t="s">
        <v>618</v>
      </c>
      <c r="C630" s="88"/>
      <c r="D630" s="88"/>
      <c r="E630" s="88"/>
      <c r="F630" s="88"/>
      <c r="G630" s="88"/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41">
        <v>26.99</v>
      </c>
      <c r="U630" s="41"/>
      <c r="V630" s="41"/>
      <c r="W630" s="41"/>
      <c r="X630" s="41"/>
      <c r="Y630" s="43">
        <v>24.626999999999999</v>
      </c>
      <c r="Z630" s="43"/>
      <c r="AA630" s="43"/>
      <c r="AB630" s="43"/>
      <c r="AC630" s="43"/>
      <c r="AD630" s="43">
        <v>2.363</v>
      </c>
      <c r="AE630" s="43"/>
      <c r="AF630" s="43"/>
      <c r="AG630" s="43"/>
      <c r="AH630" s="43"/>
      <c r="AI630" s="43"/>
      <c r="AJ630" s="9"/>
      <c r="AK630" s="10"/>
      <c r="AL630" s="11"/>
    </row>
    <row r="631" spans="1:38" ht="11.25" hidden="1" customHeight="1" outlineLevel="1" x14ac:dyDescent="0.2">
      <c r="A631" s="21">
        <v>6</v>
      </c>
      <c r="B631" s="88" t="s">
        <v>619</v>
      </c>
      <c r="C631" s="88"/>
      <c r="D631" s="88"/>
      <c r="E631" s="88"/>
      <c r="F631" s="88"/>
      <c r="G631" s="88"/>
      <c r="H631" s="88"/>
      <c r="I631" s="88"/>
      <c r="J631" s="88"/>
      <c r="K631" s="88"/>
      <c r="L631" s="88"/>
      <c r="M631" s="88"/>
      <c r="N631" s="88"/>
      <c r="O631" s="88"/>
      <c r="P631" s="88"/>
      <c r="Q631" s="88"/>
      <c r="R631" s="88"/>
      <c r="S631" s="88"/>
      <c r="T631" s="41">
        <v>22.69</v>
      </c>
      <c r="U631" s="41"/>
      <c r="V631" s="41"/>
      <c r="W631" s="41"/>
      <c r="X631" s="41"/>
      <c r="Y631" s="43">
        <v>22.201000000000001</v>
      </c>
      <c r="Z631" s="43"/>
      <c r="AA631" s="43"/>
      <c r="AB631" s="43"/>
      <c r="AC631" s="43"/>
      <c r="AD631" s="43">
        <v>0.48899999999999999</v>
      </c>
      <c r="AE631" s="43"/>
      <c r="AF631" s="43"/>
      <c r="AG631" s="43"/>
      <c r="AH631" s="43"/>
      <c r="AI631" s="43"/>
      <c r="AJ631" s="9"/>
      <c r="AK631" s="10"/>
      <c r="AL631" s="11"/>
    </row>
    <row r="632" spans="1:38" ht="21.75" hidden="1" customHeight="1" outlineLevel="1" x14ac:dyDescent="0.2">
      <c r="A632" s="21">
        <v>7</v>
      </c>
      <c r="B632" s="88" t="s">
        <v>620</v>
      </c>
      <c r="C632" s="88"/>
      <c r="D632" s="88"/>
      <c r="E632" s="88"/>
      <c r="F632" s="88"/>
      <c r="G632" s="88"/>
      <c r="H632" s="88"/>
      <c r="I632" s="88"/>
      <c r="J632" s="88"/>
      <c r="K632" s="88"/>
      <c r="L632" s="88"/>
      <c r="M632" s="88"/>
      <c r="N632" s="88"/>
      <c r="O632" s="88"/>
      <c r="P632" s="88"/>
      <c r="Q632" s="88"/>
      <c r="R632" s="88"/>
      <c r="S632" s="88"/>
      <c r="T632" s="59">
        <v>33.6</v>
      </c>
      <c r="U632" s="59"/>
      <c r="V632" s="59"/>
      <c r="W632" s="59"/>
      <c r="X632" s="59"/>
      <c r="Y632" s="43">
        <v>32.994999999999997</v>
      </c>
      <c r="Z632" s="43"/>
      <c r="AA632" s="43"/>
      <c r="AB632" s="43"/>
      <c r="AC632" s="43"/>
      <c r="AD632" s="43">
        <v>0.60499999999999998</v>
      </c>
      <c r="AE632" s="43"/>
      <c r="AF632" s="43"/>
      <c r="AG632" s="43"/>
      <c r="AH632" s="43"/>
      <c r="AI632" s="43"/>
      <c r="AJ632" s="9"/>
      <c r="AK632" s="10"/>
      <c r="AL632" s="11"/>
    </row>
    <row r="633" spans="1:38" ht="11.25" hidden="1" customHeight="1" outlineLevel="1" x14ac:dyDescent="0.2">
      <c r="A633" s="21">
        <v>8</v>
      </c>
      <c r="B633" s="88" t="s">
        <v>621</v>
      </c>
      <c r="C633" s="88"/>
      <c r="D633" s="88"/>
      <c r="E633" s="88"/>
      <c r="F633" s="88"/>
      <c r="G633" s="88"/>
      <c r="H633" s="88"/>
      <c r="I633" s="88"/>
      <c r="J633" s="88"/>
      <c r="K633" s="88"/>
      <c r="L633" s="88"/>
      <c r="M633" s="88"/>
      <c r="N633" s="88"/>
      <c r="O633" s="88"/>
      <c r="P633" s="88"/>
      <c r="Q633" s="88"/>
      <c r="R633" s="88"/>
      <c r="S633" s="88"/>
      <c r="T633" s="41">
        <v>19.37</v>
      </c>
      <c r="U633" s="41"/>
      <c r="V633" s="41"/>
      <c r="W633" s="41"/>
      <c r="X633" s="41"/>
      <c r="Y633" s="43">
        <v>18.803000000000001</v>
      </c>
      <c r="Z633" s="43"/>
      <c r="AA633" s="43"/>
      <c r="AB633" s="43"/>
      <c r="AC633" s="43"/>
      <c r="AD633" s="43">
        <v>0.56699999999999995</v>
      </c>
      <c r="AE633" s="43"/>
      <c r="AF633" s="43"/>
      <c r="AG633" s="43"/>
      <c r="AH633" s="43"/>
      <c r="AI633" s="43"/>
      <c r="AJ633" s="9"/>
      <c r="AK633" s="10"/>
      <c r="AL633" s="11"/>
    </row>
    <row r="634" spans="1:38" ht="11.25" hidden="1" customHeight="1" outlineLevel="1" x14ac:dyDescent="0.2">
      <c r="A634" s="21">
        <v>9</v>
      </c>
      <c r="B634" s="88" t="s">
        <v>622</v>
      </c>
      <c r="C634" s="88"/>
      <c r="D634" s="88"/>
      <c r="E634" s="88"/>
      <c r="F634" s="88"/>
      <c r="G634" s="88"/>
      <c r="H634" s="88"/>
      <c r="I634" s="88"/>
      <c r="J634" s="88"/>
      <c r="K634" s="88"/>
      <c r="L634" s="88"/>
      <c r="M634" s="88"/>
      <c r="N634" s="88"/>
      <c r="O634" s="88"/>
      <c r="P634" s="88"/>
      <c r="Q634" s="88"/>
      <c r="R634" s="88"/>
      <c r="S634" s="88"/>
      <c r="T634" s="41">
        <v>9.65</v>
      </c>
      <c r="U634" s="41"/>
      <c r="V634" s="41"/>
      <c r="W634" s="41"/>
      <c r="X634" s="41"/>
      <c r="Y634" s="43">
        <v>9.2309999999999999</v>
      </c>
      <c r="Z634" s="43"/>
      <c r="AA634" s="43"/>
      <c r="AB634" s="43"/>
      <c r="AC634" s="43"/>
      <c r="AD634" s="43">
        <v>0.41899999999999998</v>
      </c>
      <c r="AE634" s="43"/>
      <c r="AF634" s="43"/>
      <c r="AG634" s="43"/>
      <c r="AH634" s="43"/>
      <c r="AI634" s="43"/>
      <c r="AJ634" s="9"/>
      <c r="AK634" s="10"/>
      <c r="AL634" s="11"/>
    </row>
    <row r="635" spans="1:38" ht="11.25" hidden="1" customHeight="1" outlineLevel="1" x14ac:dyDescent="0.2">
      <c r="A635" s="21">
        <v>10</v>
      </c>
      <c r="B635" s="88" t="s">
        <v>623</v>
      </c>
      <c r="C635" s="88"/>
      <c r="D635" s="88"/>
      <c r="E635" s="88"/>
      <c r="F635" s="88"/>
      <c r="G635" s="88"/>
      <c r="H635" s="88"/>
      <c r="I635" s="88"/>
      <c r="J635" s="88"/>
      <c r="K635" s="88"/>
      <c r="L635" s="88"/>
      <c r="M635" s="88"/>
      <c r="N635" s="88"/>
      <c r="O635" s="88"/>
      <c r="P635" s="88"/>
      <c r="Q635" s="88"/>
      <c r="R635" s="88"/>
      <c r="S635" s="88"/>
      <c r="T635" s="41">
        <v>28.55</v>
      </c>
      <c r="U635" s="41"/>
      <c r="V635" s="41"/>
      <c r="W635" s="41"/>
      <c r="X635" s="41"/>
      <c r="Y635" s="43">
        <v>29.204000000000001</v>
      </c>
      <c r="Z635" s="43"/>
      <c r="AA635" s="43"/>
      <c r="AB635" s="43"/>
      <c r="AC635" s="43"/>
      <c r="AD635" s="43">
        <v>-0.65400000000000003</v>
      </c>
      <c r="AE635" s="43"/>
      <c r="AF635" s="43"/>
      <c r="AG635" s="43"/>
      <c r="AH635" s="43"/>
      <c r="AI635" s="43"/>
      <c r="AJ635" s="9"/>
      <c r="AK635" s="10"/>
      <c r="AL635" s="11"/>
    </row>
    <row r="636" spans="1:38" ht="21.75" hidden="1" customHeight="1" outlineLevel="1" x14ac:dyDescent="0.2">
      <c r="A636" s="21">
        <v>11</v>
      </c>
      <c r="B636" s="88" t="s">
        <v>624</v>
      </c>
      <c r="C636" s="88"/>
      <c r="D636" s="88"/>
      <c r="E636" s="88"/>
      <c r="F636" s="88"/>
      <c r="G636" s="88"/>
      <c r="H636" s="88"/>
      <c r="I636" s="88"/>
      <c r="J636" s="88"/>
      <c r="K636" s="88"/>
      <c r="L636" s="88"/>
      <c r="M636" s="88"/>
      <c r="N636" s="88"/>
      <c r="O636" s="88"/>
      <c r="P636" s="88"/>
      <c r="Q636" s="88"/>
      <c r="R636" s="88"/>
      <c r="S636" s="88"/>
      <c r="T636" s="59">
        <v>13.7</v>
      </c>
      <c r="U636" s="59"/>
      <c r="V636" s="59"/>
      <c r="W636" s="59"/>
      <c r="X636" s="59"/>
      <c r="Y636" s="43">
        <v>13.608000000000001</v>
      </c>
      <c r="Z636" s="43"/>
      <c r="AA636" s="43"/>
      <c r="AB636" s="43"/>
      <c r="AC636" s="43"/>
      <c r="AD636" s="43">
        <v>9.1999999999999998E-2</v>
      </c>
      <c r="AE636" s="43"/>
      <c r="AF636" s="43"/>
      <c r="AG636" s="43"/>
      <c r="AH636" s="43"/>
      <c r="AI636" s="43"/>
      <c r="AJ636" s="9"/>
      <c r="AK636" s="10"/>
      <c r="AL636" s="11"/>
    </row>
    <row r="637" spans="1:38" ht="11.25" hidden="1" customHeight="1" outlineLevel="1" x14ac:dyDescent="0.2">
      <c r="A637" s="21">
        <v>12</v>
      </c>
      <c r="B637" s="88" t="s">
        <v>625</v>
      </c>
      <c r="C637" s="88"/>
      <c r="D637" s="88"/>
      <c r="E637" s="88"/>
      <c r="F637" s="88"/>
      <c r="G637" s="88"/>
      <c r="H637" s="88"/>
      <c r="I637" s="88"/>
      <c r="J637" s="88"/>
      <c r="K637" s="88"/>
      <c r="L637" s="88"/>
      <c r="M637" s="88"/>
      <c r="N637" s="88"/>
      <c r="O637" s="88"/>
      <c r="P637" s="88"/>
      <c r="Q637" s="88"/>
      <c r="R637" s="88"/>
      <c r="S637" s="88"/>
      <c r="T637" s="41">
        <v>14.79</v>
      </c>
      <c r="U637" s="41"/>
      <c r="V637" s="41"/>
      <c r="W637" s="41"/>
      <c r="X637" s="41"/>
      <c r="Y637" s="43">
        <v>14.877000000000001</v>
      </c>
      <c r="Z637" s="43"/>
      <c r="AA637" s="43"/>
      <c r="AB637" s="43"/>
      <c r="AC637" s="43"/>
      <c r="AD637" s="43">
        <v>-8.6999999999999994E-2</v>
      </c>
      <c r="AE637" s="43"/>
      <c r="AF637" s="43"/>
      <c r="AG637" s="43"/>
      <c r="AH637" s="43"/>
      <c r="AI637" s="43"/>
      <c r="AJ637" s="9"/>
      <c r="AK637" s="10"/>
      <c r="AL637" s="11"/>
    </row>
    <row r="638" spans="1:38" ht="21.75" hidden="1" customHeight="1" outlineLevel="1" x14ac:dyDescent="0.2">
      <c r="A638" s="21">
        <v>13</v>
      </c>
      <c r="B638" s="88" t="s">
        <v>626</v>
      </c>
      <c r="C638" s="88"/>
      <c r="D638" s="88"/>
      <c r="E638" s="88"/>
      <c r="F638" s="88"/>
      <c r="G638" s="88"/>
      <c r="H638" s="88"/>
      <c r="I638" s="88"/>
      <c r="J638" s="88"/>
      <c r="K638" s="88"/>
      <c r="L638" s="88"/>
      <c r="M638" s="88"/>
      <c r="N638" s="88"/>
      <c r="O638" s="88"/>
      <c r="P638" s="88"/>
      <c r="Q638" s="88"/>
      <c r="R638" s="88"/>
      <c r="S638" s="88"/>
      <c r="T638" s="59">
        <v>11.4</v>
      </c>
      <c r="U638" s="59"/>
      <c r="V638" s="59"/>
      <c r="W638" s="59"/>
      <c r="X638" s="59"/>
      <c r="Y638" s="41">
        <v>11.71</v>
      </c>
      <c r="Z638" s="41"/>
      <c r="AA638" s="41"/>
      <c r="AB638" s="41"/>
      <c r="AC638" s="41"/>
      <c r="AD638" s="41">
        <v>-0.31</v>
      </c>
      <c r="AE638" s="41"/>
      <c r="AF638" s="41"/>
      <c r="AG638" s="41"/>
      <c r="AH638" s="41"/>
      <c r="AI638" s="41"/>
      <c r="AJ638" s="9"/>
      <c r="AK638" s="10"/>
      <c r="AL638" s="11"/>
    </row>
    <row r="639" spans="1:38" ht="11.25" hidden="1" customHeight="1" outlineLevel="1" x14ac:dyDescent="0.2">
      <c r="A639" s="21">
        <v>14</v>
      </c>
      <c r="B639" s="88" t="s">
        <v>627</v>
      </c>
      <c r="C639" s="88"/>
      <c r="D639" s="88"/>
      <c r="E639" s="88"/>
      <c r="F639" s="88"/>
      <c r="G639" s="88"/>
      <c r="H639" s="88"/>
      <c r="I639" s="88"/>
      <c r="J639" s="88"/>
      <c r="K639" s="88"/>
      <c r="L639" s="88"/>
      <c r="M639" s="88"/>
      <c r="N639" s="88"/>
      <c r="O639" s="88"/>
      <c r="P639" s="88"/>
      <c r="Q639" s="88"/>
      <c r="R639" s="88"/>
      <c r="S639" s="88"/>
      <c r="T639" s="59">
        <v>13.1</v>
      </c>
      <c r="U639" s="59"/>
      <c r="V639" s="59"/>
      <c r="W639" s="59"/>
      <c r="X639" s="59"/>
      <c r="Y639" s="41">
        <v>13.36</v>
      </c>
      <c r="Z639" s="41"/>
      <c r="AA639" s="41"/>
      <c r="AB639" s="41"/>
      <c r="AC639" s="41"/>
      <c r="AD639" s="41">
        <v>-0.26</v>
      </c>
      <c r="AE639" s="41"/>
      <c r="AF639" s="41"/>
      <c r="AG639" s="41"/>
      <c r="AH639" s="41"/>
      <c r="AI639" s="41"/>
      <c r="AJ639" s="9"/>
      <c r="AK639" s="10"/>
      <c r="AL639" s="11"/>
    </row>
    <row r="640" spans="1:38" ht="11.25" hidden="1" customHeight="1" outlineLevel="1" x14ac:dyDescent="0.2">
      <c r="A640" s="21">
        <v>15</v>
      </c>
      <c r="B640" s="88" t="s">
        <v>628</v>
      </c>
      <c r="C640" s="88"/>
      <c r="D640" s="88"/>
      <c r="E640" s="88"/>
      <c r="F640" s="88"/>
      <c r="G640" s="88"/>
      <c r="H640" s="88"/>
      <c r="I640" s="88"/>
      <c r="J640" s="88"/>
      <c r="K640" s="88"/>
      <c r="L640" s="88"/>
      <c r="M640" s="88"/>
      <c r="N640" s="88"/>
      <c r="O640" s="88"/>
      <c r="P640" s="88"/>
      <c r="Q640" s="88"/>
      <c r="R640" s="88"/>
      <c r="S640" s="88"/>
      <c r="T640" s="59">
        <v>20.3</v>
      </c>
      <c r="U640" s="59"/>
      <c r="V640" s="59"/>
      <c r="W640" s="59"/>
      <c r="X640" s="59"/>
      <c r="Y640" s="43">
        <v>20.718</v>
      </c>
      <c r="Z640" s="43"/>
      <c r="AA640" s="43"/>
      <c r="AB640" s="43"/>
      <c r="AC640" s="43"/>
      <c r="AD640" s="43">
        <v>-0.41799999999999998</v>
      </c>
      <c r="AE640" s="43"/>
      <c r="AF640" s="43"/>
      <c r="AG640" s="43"/>
      <c r="AH640" s="43"/>
      <c r="AI640" s="43"/>
      <c r="AJ640" s="9"/>
      <c r="AK640" s="10"/>
      <c r="AL640" s="11"/>
    </row>
    <row r="641" spans="1:38" ht="11.25" hidden="1" customHeight="1" outlineLevel="1" x14ac:dyDescent="0.2">
      <c r="A641" s="21">
        <v>16</v>
      </c>
      <c r="B641" s="88" t="s">
        <v>629</v>
      </c>
      <c r="C641" s="88"/>
      <c r="D641" s="88"/>
      <c r="E641" s="88"/>
      <c r="F641" s="88"/>
      <c r="G641" s="88"/>
      <c r="H641" s="88"/>
      <c r="I641" s="88"/>
      <c r="J641" s="88"/>
      <c r="K641" s="88"/>
      <c r="L641" s="88"/>
      <c r="M641" s="88"/>
      <c r="N641" s="88"/>
      <c r="O641" s="88"/>
      <c r="P641" s="88"/>
      <c r="Q641" s="88"/>
      <c r="R641" s="88"/>
      <c r="S641" s="88"/>
      <c r="T641" s="41">
        <v>21.25</v>
      </c>
      <c r="U641" s="41"/>
      <c r="V641" s="41"/>
      <c r="W641" s="41"/>
      <c r="X641" s="41"/>
      <c r="Y641" s="43">
        <v>21.532</v>
      </c>
      <c r="Z641" s="43"/>
      <c r="AA641" s="43"/>
      <c r="AB641" s="43"/>
      <c r="AC641" s="43"/>
      <c r="AD641" s="43">
        <v>-0.28199999999999997</v>
      </c>
      <c r="AE641" s="43"/>
      <c r="AF641" s="43"/>
      <c r="AG641" s="43"/>
      <c r="AH641" s="43"/>
      <c r="AI641" s="43"/>
      <c r="AJ641" s="9"/>
      <c r="AK641" s="10"/>
      <c r="AL641" s="11"/>
    </row>
    <row r="642" spans="1:38" ht="11.25" hidden="1" customHeight="1" outlineLevel="1" x14ac:dyDescent="0.2">
      <c r="A642" s="21">
        <v>17</v>
      </c>
      <c r="B642" s="88" t="s">
        <v>630</v>
      </c>
      <c r="C642" s="88"/>
      <c r="D642" s="88"/>
      <c r="E642" s="88"/>
      <c r="F642" s="88"/>
      <c r="G642" s="88"/>
      <c r="H642" s="88"/>
      <c r="I642" s="88"/>
      <c r="J642" s="88"/>
      <c r="K642" s="88"/>
      <c r="L642" s="88"/>
      <c r="M642" s="88"/>
      <c r="N642" s="88"/>
      <c r="O642" s="88"/>
      <c r="P642" s="88"/>
      <c r="Q642" s="88"/>
      <c r="R642" s="88"/>
      <c r="S642" s="88"/>
      <c r="T642" s="41">
        <v>24.23</v>
      </c>
      <c r="U642" s="41"/>
      <c r="V642" s="41"/>
      <c r="W642" s="41"/>
      <c r="X642" s="41"/>
      <c r="Y642" s="43">
        <v>24.236000000000001</v>
      </c>
      <c r="Z642" s="43"/>
      <c r="AA642" s="43"/>
      <c r="AB642" s="43"/>
      <c r="AC642" s="43"/>
      <c r="AD642" s="43">
        <v>-6.0000000000000001E-3</v>
      </c>
      <c r="AE642" s="43"/>
      <c r="AF642" s="43"/>
      <c r="AG642" s="43"/>
      <c r="AH642" s="43"/>
      <c r="AI642" s="43"/>
      <c r="AJ642" s="9"/>
      <c r="AK642" s="10"/>
      <c r="AL642" s="11"/>
    </row>
    <row r="643" spans="1:38" ht="11.25" hidden="1" customHeight="1" outlineLevel="1" x14ac:dyDescent="0.2">
      <c r="A643" s="21">
        <v>18</v>
      </c>
      <c r="B643" s="88" t="s">
        <v>631</v>
      </c>
      <c r="C643" s="88"/>
      <c r="D643" s="88"/>
      <c r="E643" s="88"/>
      <c r="F643" s="88"/>
      <c r="G643" s="88"/>
      <c r="H643" s="88"/>
      <c r="I643" s="88"/>
      <c r="J643" s="88"/>
      <c r="K643" s="88"/>
      <c r="L643" s="88"/>
      <c r="M643" s="88"/>
      <c r="N643" s="88"/>
      <c r="O643" s="88"/>
      <c r="P643" s="88"/>
      <c r="Q643" s="88"/>
      <c r="R643" s="88"/>
      <c r="S643" s="88"/>
      <c r="T643" s="41">
        <v>93.13</v>
      </c>
      <c r="U643" s="41"/>
      <c r="V643" s="41"/>
      <c r="W643" s="41"/>
      <c r="X643" s="41"/>
      <c r="Y643" s="43">
        <v>93.594999999999999</v>
      </c>
      <c r="Z643" s="43"/>
      <c r="AA643" s="43"/>
      <c r="AB643" s="43"/>
      <c r="AC643" s="43"/>
      <c r="AD643" s="43">
        <v>-0.46500000000000002</v>
      </c>
      <c r="AE643" s="43"/>
      <c r="AF643" s="43"/>
      <c r="AG643" s="43"/>
      <c r="AH643" s="43"/>
      <c r="AI643" s="43"/>
      <c r="AJ643" s="9"/>
      <c r="AK643" s="10"/>
      <c r="AL643" s="11"/>
    </row>
    <row r="644" spans="1:38" ht="11.25" hidden="1" customHeight="1" outlineLevel="1" x14ac:dyDescent="0.2">
      <c r="A644" s="21">
        <v>19</v>
      </c>
      <c r="B644" s="88" t="s">
        <v>632</v>
      </c>
      <c r="C644" s="88"/>
      <c r="D644" s="88"/>
      <c r="E644" s="88"/>
      <c r="F644" s="88"/>
      <c r="G644" s="88"/>
      <c r="H644" s="88"/>
      <c r="I644" s="88"/>
      <c r="J644" s="88"/>
      <c r="K644" s="88"/>
      <c r="L644" s="88"/>
      <c r="M644" s="88"/>
      <c r="N644" s="88"/>
      <c r="O644" s="88"/>
      <c r="P644" s="88"/>
      <c r="Q644" s="88"/>
      <c r="R644" s="88"/>
      <c r="S644" s="88"/>
      <c r="T644" s="59">
        <v>18.399999999999999</v>
      </c>
      <c r="U644" s="59"/>
      <c r="V644" s="59"/>
      <c r="W644" s="59"/>
      <c r="X644" s="59"/>
      <c r="Y644" s="41">
        <v>18.52</v>
      </c>
      <c r="Z644" s="41"/>
      <c r="AA644" s="41"/>
      <c r="AB644" s="41"/>
      <c r="AC644" s="41"/>
      <c r="AD644" s="41">
        <v>-0.12</v>
      </c>
      <c r="AE644" s="41"/>
      <c r="AF644" s="41"/>
      <c r="AG644" s="41"/>
      <c r="AH644" s="41"/>
      <c r="AI644" s="41"/>
      <c r="AJ644" s="9"/>
      <c r="AK644" s="10"/>
      <c r="AL644" s="11"/>
    </row>
    <row r="645" spans="1:38" ht="11.25" hidden="1" customHeight="1" outlineLevel="1" x14ac:dyDescent="0.2">
      <c r="A645" s="21">
        <v>20</v>
      </c>
      <c r="B645" s="88" t="s">
        <v>633</v>
      </c>
      <c r="C645" s="88"/>
      <c r="D645" s="88"/>
      <c r="E645" s="88"/>
      <c r="F645" s="88"/>
      <c r="G645" s="88"/>
      <c r="H645" s="88"/>
      <c r="I645" s="88"/>
      <c r="J645" s="88"/>
      <c r="K645" s="88"/>
      <c r="L645" s="88"/>
      <c r="M645" s="88"/>
      <c r="N645" s="88"/>
      <c r="O645" s="88"/>
      <c r="P645" s="88"/>
      <c r="Q645" s="88"/>
      <c r="R645" s="88"/>
      <c r="S645" s="88"/>
      <c r="T645" s="41">
        <v>9.85</v>
      </c>
      <c r="U645" s="41"/>
      <c r="V645" s="41"/>
      <c r="W645" s="41"/>
      <c r="X645" s="41"/>
      <c r="Y645" s="43">
        <v>9.9280000000000008</v>
      </c>
      <c r="Z645" s="43"/>
      <c r="AA645" s="43"/>
      <c r="AB645" s="43"/>
      <c r="AC645" s="43"/>
      <c r="AD645" s="43">
        <v>-7.8E-2</v>
      </c>
      <c r="AE645" s="43"/>
      <c r="AF645" s="43"/>
      <c r="AG645" s="43"/>
      <c r="AH645" s="43"/>
      <c r="AI645" s="43"/>
      <c r="AJ645" s="9"/>
      <c r="AK645" s="10"/>
      <c r="AL645" s="11"/>
    </row>
    <row r="646" spans="1:38" ht="11.25" hidden="1" customHeight="1" outlineLevel="1" x14ac:dyDescent="0.2">
      <c r="A646" s="21">
        <v>21</v>
      </c>
      <c r="B646" s="88" t="s">
        <v>634</v>
      </c>
      <c r="C646" s="88"/>
      <c r="D646" s="88"/>
      <c r="E646" s="88"/>
      <c r="F646" s="88"/>
      <c r="G646" s="88"/>
      <c r="H646" s="88"/>
      <c r="I646" s="88"/>
      <c r="J646" s="88"/>
      <c r="K646" s="88"/>
      <c r="L646" s="88"/>
      <c r="M646" s="88"/>
      <c r="N646" s="88"/>
      <c r="O646" s="88"/>
      <c r="P646" s="88"/>
      <c r="Q646" s="88"/>
      <c r="R646" s="88"/>
      <c r="S646" s="88"/>
      <c r="T646" s="59">
        <v>62.8</v>
      </c>
      <c r="U646" s="59"/>
      <c r="V646" s="59"/>
      <c r="W646" s="59"/>
      <c r="X646" s="59"/>
      <c r="Y646" s="43">
        <v>63.177999999999997</v>
      </c>
      <c r="Z646" s="43"/>
      <c r="AA646" s="43"/>
      <c r="AB646" s="43"/>
      <c r="AC646" s="43"/>
      <c r="AD646" s="43">
        <v>-0.378</v>
      </c>
      <c r="AE646" s="43"/>
      <c r="AF646" s="43"/>
      <c r="AG646" s="43"/>
      <c r="AH646" s="43"/>
      <c r="AI646" s="43"/>
      <c r="AJ646" s="9"/>
      <c r="AK646" s="10"/>
      <c r="AL646" s="11"/>
    </row>
    <row r="647" spans="1:38" ht="11.25" hidden="1" customHeight="1" outlineLevel="1" x14ac:dyDescent="0.2">
      <c r="A647" s="21">
        <v>22</v>
      </c>
      <c r="B647" s="88" t="s">
        <v>635</v>
      </c>
      <c r="C647" s="88"/>
      <c r="D647" s="88"/>
      <c r="E647" s="88"/>
      <c r="F647" s="88"/>
      <c r="G647" s="88"/>
      <c r="H647" s="88"/>
      <c r="I647" s="88"/>
      <c r="J647" s="88"/>
      <c r="K647" s="88"/>
      <c r="L647" s="88"/>
      <c r="M647" s="88"/>
      <c r="N647" s="88"/>
      <c r="O647" s="88"/>
      <c r="P647" s="88"/>
      <c r="Q647" s="88"/>
      <c r="R647" s="88"/>
      <c r="S647" s="88"/>
      <c r="T647" s="59">
        <v>12.8</v>
      </c>
      <c r="U647" s="59"/>
      <c r="V647" s="59"/>
      <c r="W647" s="59"/>
      <c r="X647" s="59"/>
      <c r="Y647" s="43">
        <v>12.971</v>
      </c>
      <c r="Z647" s="43"/>
      <c r="AA647" s="43"/>
      <c r="AB647" s="43"/>
      <c r="AC647" s="43"/>
      <c r="AD647" s="43">
        <v>-0.17100000000000001</v>
      </c>
      <c r="AE647" s="43"/>
      <c r="AF647" s="43"/>
      <c r="AG647" s="43"/>
      <c r="AH647" s="43"/>
      <c r="AI647" s="43"/>
      <c r="AJ647" s="9"/>
      <c r="AK647" s="10"/>
      <c r="AL647" s="11"/>
    </row>
    <row r="648" spans="1:38" ht="11.25" hidden="1" customHeight="1" outlineLevel="1" x14ac:dyDescent="0.2">
      <c r="A648" s="21">
        <v>23</v>
      </c>
      <c r="B648" s="88" t="s">
        <v>636</v>
      </c>
      <c r="C648" s="88"/>
      <c r="D648" s="88"/>
      <c r="E648" s="88"/>
      <c r="F648" s="88"/>
      <c r="G648" s="88"/>
      <c r="H648" s="88"/>
      <c r="I648" s="88"/>
      <c r="J648" s="88"/>
      <c r="K648" s="88"/>
      <c r="L648" s="88"/>
      <c r="M648" s="88"/>
      <c r="N648" s="88"/>
      <c r="O648" s="88"/>
      <c r="P648" s="88"/>
      <c r="Q648" s="88"/>
      <c r="R648" s="88"/>
      <c r="S648" s="88"/>
      <c r="T648" s="59">
        <v>16.600000000000001</v>
      </c>
      <c r="U648" s="59"/>
      <c r="V648" s="59"/>
      <c r="W648" s="59"/>
      <c r="X648" s="59"/>
      <c r="Y648" s="43">
        <v>17.407</v>
      </c>
      <c r="Z648" s="43"/>
      <c r="AA648" s="43"/>
      <c r="AB648" s="43"/>
      <c r="AC648" s="43"/>
      <c r="AD648" s="43">
        <v>-0.80700000000000005</v>
      </c>
      <c r="AE648" s="43"/>
      <c r="AF648" s="43"/>
      <c r="AG648" s="43"/>
      <c r="AH648" s="43"/>
      <c r="AI648" s="43"/>
      <c r="AJ648" s="9"/>
      <c r="AK648" s="10"/>
      <c r="AL648" s="11"/>
    </row>
    <row r="649" spans="1:38" ht="11.25" hidden="1" customHeight="1" outlineLevel="1" x14ac:dyDescent="0.2">
      <c r="A649" s="21">
        <v>24</v>
      </c>
      <c r="B649" s="88" t="s">
        <v>637</v>
      </c>
      <c r="C649" s="88"/>
      <c r="D649" s="88"/>
      <c r="E649" s="88"/>
      <c r="F649" s="88"/>
      <c r="G649" s="88"/>
      <c r="H649" s="88"/>
      <c r="I649" s="88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41">
        <v>37.81</v>
      </c>
      <c r="U649" s="41"/>
      <c r="V649" s="41"/>
      <c r="W649" s="41"/>
      <c r="X649" s="41"/>
      <c r="Y649" s="43">
        <v>39.164000000000001</v>
      </c>
      <c r="Z649" s="43"/>
      <c r="AA649" s="43"/>
      <c r="AB649" s="43"/>
      <c r="AC649" s="43"/>
      <c r="AD649" s="43">
        <v>-1.3540000000000001</v>
      </c>
      <c r="AE649" s="43"/>
      <c r="AF649" s="43"/>
      <c r="AG649" s="43"/>
      <c r="AH649" s="43"/>
      <c r="AI649" s="43"/>
      <c r="AJ649" s="9"/>
      <c r="AK649" s="10"/>
      <c r="AL649" s="11"/>
    </row>
    <row r="650" spans="1:38" ht="11.25" hidden="1" customHeight="1" outlineLevel="1" x14ac:dyDescent="0.2">
      <c r="A650" s="21">
        <v>25</v>
      </c>
      <c r="B650" s="88" t="s">
        <v>638</v>
      </c>
      <c r="C650" s="88"/>
      <c r="D650" s="88"/>
      <c r="E650" s="88"/>
      <c r="F650" s="88"/>
      <c r="G650" s="88"/>
      <c r="H650" s="88"/>
      <c r="I650" s="88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41">
        <v>10.45</v>
      </c>
      <c r="U650" s="41"/>
      <c r="V650" s="41"/>
      <c r="W650" s="41"/>
      <c r="X650" s="41"/>
      <c r="Y650" s="43">
        <v>10.763</v>
      </c>
      <c r="Z650" s="43"/>
      <c r="AA650" s="43"/>
      <c r="AB650" s="43"/>
      <c r="AC650" s="43"/>
      <c r="AD650" s="43">
        <v>-0.313</v>
      </c>
      <c r="AE650" s="43"/>
      <c r="AF650" s="43"/>
      <c r="AG650" s="43"/>
      <c r="AH650" s="43"/>
      <c r="AI650" s="43"/>
      <c r="AJ650" s="9"/>
      <c r="AK650" s="10"/>
      <c r="AL650" s="11"/>
    </row>
    <row r="651" spans="1:38" ht="21.75" hidden="1" customHeight="1" outlineLevel="1" x14ac:dyDescent="0.2">
      <c r="A651" s="21">
        <v>26</v>
      </c>
      <c r="B651" s="88" t="s">
        <v>639</v>
      </c>
      <c r="C651" s="88"/>
      <c r="D651" s="88"/>
      <c r="E651" s="88"/>
      <c r="F651" s="88"/>
      <c r="G651" s="88"/>
      <c r="H651" s="88"/>
      <c r="I651" s="88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41">
        <v>26.25</v>
      </c>
      <c r="U651" s="41"/>
      <c r="V651" s="41"/>
      <c r="W651" s="41"/>
      <c r="X651" s="41"/>
      <c r="Y651" s="41">
        <v>27.07</v>
      </c>
      <c r="Z651" s="41"/>
      <c r="AA651" s="41"/>
      <c r="AB651" s="41"/>
      <c r="AC651" s="41"/>
      <c r="AD651" s="41">
        <v>-0.82</v>
      </c>
      <c r="AE651" s="41"/>
      <c r="AF651" s="41"/>
      <c r="AG651" s="41"/>
      <c r="AH651" s="41"/>
      <c r="AI651" s="41"/>
      <c r="AJ651" s="9"/>
      <c r="AK651" s="10"/>
      <c r="AL651" s="11"/>
    </row>
    <row r="652" spans="1:38" ht="11.25" hidden="1" customHeight="1" outlineLevel="1" x14ac:dyDescent="0.2">
      <c r="A652" s="21">
        <v>27</v>
      </c>
      <c r="B652" s="88" t="s">
        <v>640</v>
      </c>
      <c r="C652" s="88"/>
      <c r="D652" s="88"/>
      <c r="E652" s="88"/>
      <c r="F652" s="88"/>
      <c r="G652" s="88"/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41">
        <v>26.95</v>
      </c>
      <c r="U652" s="41"/>
      <c r="V652" s="41"/>
      <c r="W652" s="41"/>
      <c r="X652" s="41"/>
      <c r="Y652" s="43">
        <v>27.067</v>
      </c>
      <c r="Z652" s="43"/>
      <c r="AA652" s="43"/>
      <c r="AB652" s="43"/>
      <c r="AC652" s="43"/>
      <c r="AD652" s="43">
        <v>-0.11700000000000001</v>
      </c>
      <c r="AE652" s="43"/>
      <c r="AF652" s="43"/>
      <c r="AG652" s="43"/>
      <c r="AH652" s="43"/>
      <c r="AI652" s="43"/>
      <c r="AJ652" s="9"/>
      <c r="AK652" s="10"/>
      <c r="AL652" s="11"/>
    </row>
    <row r="653" spans="1:38" ht="11.25" hidden="1" customHeight="1" outlineLevel="1" x14ac:dyDescent="0.2">
      <c r="A653" s="21">
        <v>28</v>
      </c>
      <c r="B653" s="88" t="s">
        <v>641</v>
      </c>
      <c r="C653" s="88"/>
      <c r="D653" s="88"/>
      <c r="E653" s="88"/>
      <c r="F653" s="88"/>
      <c r="G653" s="88"/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59">
        <v>8.8000000000000007</v>
      </c>
      <c r="U653" s="59"/>
      <c r="V653" s="59"/>
      <c r="W653" s="59"/>
      <c r="X653" s="59"/>
      <c r="Y653" s="43">
        <v>9.0760000000000005</v>
      </c>
      <c r="Z653" s="43"/>
      <c r="AA653" s="43"/>
      <c r="AB653" s="43"/>
      <c r="AC653" s="43"/>
      <c r="AD653" s="43">
        <v>-0.27600000000000002</v>
      </c>
      <c r="AE653" s="43"/>
      <c r="AF653" s="43"/>
      <c r="AG653" s="43"/>
      <c r="AH653" s="43"/>
      <c r="AI653" s="43"/>
      <c r="AJ653" s="9"/>
      <c r="AK653" s="10"/>
      <c r="AL653" s="11"/>
    </row>
    <row r="654" spans="1:38" ht="21.75" hidden="1" customHeight="1" outlineLevel="1" x14ac:dyDescent="0.2">
      <c r="A654" s="21">
        <v>29</v>
      </c>
      <c r="B654" s="88" t="s">
        <v>642</v>
      </c>
      <c r="C654" s="88"/>
      <c r="D654" s="88"/>
      <c r="E654" s="88"/>
      <c r="F654" s="88"/>
      <c r="G654" s="88"/>
      <c r="H654" s="88"/>
      <c r="I654" s="88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41">
        <v>9.0500000000000007</v>
      </c>
      <c r="U654" s="41"/>
      <c r="V654" s="41"/>
      <c r="W654" s="41"/>
      <c r="X654" s="41"/>
      <c r="Y654" s="43">
        <v>9.5630000000000006</v>
      </c>
      <c r="Z654" s="43"/>
      <c r="AA654" s="43"/>
      <c r="AB654" s="43"/>
      <c r="AC654" s="43"/>
      <c r="AD654" s="43">
        <v>-0.51300000000000001</v>
      </c>
      <c r="AE654" s="43"/>
      <c r="AF654" s="43"/>
      <c r="AG654" s="43"/>
      <c r="AH654" s="43"/>
      <c r="AI654" s="43"/>
      <c r="AJ654" s="9"/>
      <c r="AK654" s="10"/>
      <c r="AL654" s="11"/>
    </row>
    <row r="655" spans="1:38" ht="11.25" hidden="1" customHeight="1" outlineLevel="1" x14ac:dyDescent="0.2">
      <c r="A655" s="21">
        <v>30</v>
      </c>
      <c r="B655" s="88" t="s">
        <v>643</v>
      </c>
      <c r="C655" s="88"/>
      <c r="D655" s="88"/>
      <c r="E655" s="88"/>
      <c r="F655" s="88"/>
      <c r="G655" s="88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41">
        <v>11.94</v>
      </c>
      <c r="U655" s="41"/>
      <c r="V655" s="41"/>
      <c r="W655" s="41"/>
      <c r="X655" s="41"/>
      <c r="Y655" s="43">
        <v>12.195</v>
      </c>
      <c r="Z655" s="43"/>
      <c r="AA655" s="43"/>
      <c r="AB655" s="43"/>
      <c r="AC655" s="43"/>
      <c r="AD655" s="43">
        <v>-0.255</v>
      </c>
      <c r="AE655" s="43"/>
      <c r="AF655" s="43"/>
      <c r="AG655" s="43"/>
      <c r="AH655" s="43"/>
      <c r="AI655" s="43"/>
      <c r="AJ655" s="9"/>
      <c r="AK655" s="10"/>
      <c r="AL655" s="11"/>
    </row>
    <row r="656" spans="1:38" ht="21.75" hidden="1" customHeight="1" outlineLevel="1" x14ac:dyDescent="0.2">
      <c r="A656" s="21">
        <v>31</v>
      </c>
      <c r="B656" s="88" t="s">
        <v>644</v>
      </c>
      <c r="C656" s="88"/>
      <c r="D656" s="88"/>
      <c r="E656" s="88"/>
      <c r="F656" s="88"/>
      <c r="G656" s="88"/>
      <c r="H656" s="88"/>
      <c r="I656" s="88"/>
      <c r="J656" s="88"/>
      <c r="K656" s="88"/>
      <c r="L656" s="88"/>
      <c r="M656" s="88"/>
      <c r="N656" s="88"/>
      <c r="O656" s="88"/>
      <c r="P656" s="88"/>
      <c r="Q656" s="88"/>
      <c r="R656" s="88"/>
      <c r="S656" s="88"/>
      <c r="T656" s="41">
        <v>12.36</v>
      </c>
      <c r="U656" s="41"/>
      <c r="V656" s="41"/>
      <c r="W656" s="41"/>
      <c r="X656" s="41"/>
      <c r="Y656" s="41">
        <v>12.36</v>
      </c>
      <c r="Z656" s="41"/>
      <c r="AA656" s="41"/>
      <c r="AB656" s="41"/>
      <c r="AC656" s="41"/>
      <c r="AD656" s="12"/>
      <c r="AE656" s="13"/>
      <c r="AF656" s="13"/>
      <c r="AG656" s="13"/>
      <c r="AH656" s="13"/>
      <c r="AI656" s="14"/>
      <c r="AJ656" s="9"/>
      <c r="AK656" s="10"/>
      <c r="AL656" s="11"/>
    </row>
    <row r="657" spans="1:38" ht="21.75" hidden="1" customHeight="1" outlineLevel="1" x14ac:dyDescent="0.2">
      <c r="A657" s="21">
        <v>32</v>
      </c>
      <c r="B657" s="88" t="s">
        <v>645</v>
      </c>
      <c r="C657" s="88"/>
      <c r="D657" s="88"/>
      <c r="E657" s="88"/>
      <c r="F657" s="88"/>
      <c r="G657" s="88"/>
      <c r="H657" s="88"/>
      <c r="I657" s="88"/>
      <c r="J657" s="88"/>
      <c r="K657" s="88"/>
      <c r="L657" s="88"/>
      <c r="M657" s="88"/>
      <c r="N657" s="88"/>
      <c r="O657" s="88"/>
      <c r="P657" s="88"/>
      <c r="Q657" s="88"/>
      <c r="R657" s="88"/>
      <c r="S657" s="88"/>
      <c r="T657" s="41">
        <v>4.82</v>
      </c>
      <c r="U657" s="41"/>
      <c r="V657" s="41"/>
      <c r="W657" s="41"/>
      <c r="X657" s="41"/>
      <c r="Y657" s="43">
        <v>5.0259999999999998</v>
      </c>
      <c r="Z657" s="43"/>
      <c r="AA657" s="43"/>
      <c r="AB657" s="43"/>
      <c r="AC657" s="43"/>
      <c r="AD657" s="43">
        <v>-0.20599999999999999</v>
      </c>
      <c r="AE657" s="43"/>
      <c r="AF657" s="43"/>
      <c r="AG657" s="43"/>
      <c r="AH657" s="43"/>
      <c r="AI657" s="43"/>
      <c r="AJ657" s="9"/>
      <c r="AK657" s="10"/>
      <c r="AL657" s="11"/>
    </row>
    <row r="658" spans="1:38" ht="21.75" hidden="1" customHeight="1" outlineLevel="1" x14ac:dyDescent="0.2">
      <c r="A658" s="21">
        <v>33</v>
      </c>
      <c r="B658" s="88" t="s">
        <v>646</v>
      </c>
      <c r="C658" s="88"/>
      <c r="D658" s="88"/>
      <c r="E658" s="88"/>
      <c r="F658" s="88"/>
      <c r="G658" s="88"/>
      <c r="H658" s="88"/>
      <c r="I658" s="88"/>
      <c r="J658" s="88"/>
      <c r="K658" s="88"/>
      <c r="L658" s="88"/>
      <c r="M658" s="88"/>
      <c r="N658" s="88"/>
      <c r="O658" s="88"/>
      <c r="P658" s="88"/>
      <c r="Q658" s="88"/>
      <c r="R658" s="88"/>
      <c r="S658" s="88"/>
      <c r="T658" s="41">
        <v>5.05</v>
      </c>
      <c r="U658" s="41"/>
      <c r="V658" s="41"/>
      <c r="W658" s="41"/>
      <c r="X658" s="41"/>
      <c r="Y658" s="43">
        <v>5.1890000000000001</v>
      </c>
      <c r="Z658" s="43"/>
      <c r="AA658" s="43"/>
      <c r="AB658" s="43"/>
      <c r="AC658" s="43"/>
      <c r="AD658" s="43">
        <v>-0.13900000000000001</v>
      </c>
      <c r="AE658" s="43"/>
      <c r="AF658" s="43"/>
      <c r="AG658" s="43"/>
      <c r="AH658" s="43"/>
      <c r="AI658" s="43"/>
      <c r="AJ658" s="9"/>
      <c r="AK658" s="10"/>
      <c r="AL658" s="11"/>
    </row>
    <row r="659" spans="1:38" ht="11.25" hidden="1" customHeight="1" outlineLevel="1" x14ac:dyDescent="0.2">
      <c r="A659" s="21">
        <v>34</v>
      </c>
      <c r="B659" s="88" t="s">
        <v>647</v>
      </c>
      <c r="C659" s="88"/>
      <c r="D659" s="88"/>
      <c r="E659" s="88"/>
      <c r="F659" s="88"/>
      <c r="G659" s="88"/>
      <c r="H659" s="88"/>
      <c r="I659" s="88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59">
        <v>11.9</v>
      </c>
      <c r="U659" s="59"/>
      <c r="V659" s="59"/>
      <c r="W659" s="59"/>
      <c r="X659" s="59"/>
      <c r="Y659" s="43">
        <v>12.192</v>
      </c>
      <c r="Z659" s="43"/>
      <c r="AA659" s="43"/>
      <c r="AB659" s="43"/>
      <c r="AC659" s="43"/>
      <c r="AD659" s="43">
        <v>-0.29199999999999998</v>
      </c>
      <c r="AE659" s="43"/>
      <c r="AF659" s="43"/>
      <c r="AG659" s="43"/>
      <c r="AH659" s="43"/>
      <c r="AI659" s="43"/>
      <c r="AJ659" s="9"/>
      <c r="AK659" s="10"/>
      <c r="AL659" s="11"/>
    </row>
    <row r="660" spans="1:38" ht="11.25" hidden="1" customHeight="1" outlineLevel="1" x14ac:dyDescent="0.2">
      <c r="A660" s="21">
        <v>35</v>
      </c>
      <c r="B660" s="88" t="s">
        <v>648</v>
      </c>
      <c r="C660" s="88"/>
      <c r="D660" s="88"/>
      <c r="E660" s="88"/>
      <c r="F660" s="88"/>
      <c r="G660" s="88"/>
      <c r="H660" s="88"/>
      <c r="I660" s="88"/>
      <c r="J660" s="88"/>
      <c r="K660" s="88"/>
      <c r="L660" s="88"/>
      <c r="M660" s="88"/>
      <c r="N660" s="88"/>
      <c r="O660" s="88"/>
      <c r="P660" s="88"/>
      <c r="Q660" s="88"/>
      <c r="R660" s="88"/>
      <c r="S660" s="88"/>
      <c r="T660" s="59">
        <v>6.5</v>
      </c>
      <c r="U660" s="59"/>
      <c r="V660" s="59"/>
      <c r="W660" s="59"/>
      <c r="X660" s="59"/>
      <c r="Y660" s="43">
        <v>6.5229999999999997</v>
      </c>
      <c r="Z660" s="43"/>
      <c r="AA660" s="43"/>
      <c r="AB660" s="43"/>
      <c r="AC660" s="43"/>
      <c r="AD660" s="43">
        <v>-2.3E-2</v>
      </c>
      <c r="AE660" s="43"/>
      <c r="AF660" s="43"/>
      <c r="AG660" s="43"/>
      <c r="AH660" s="43"/>
      <c r="AI660" s="43"/>
      <c r="AJ660" s="9"/>
      <c r="AK660" s="10"/>
      <c r="AL660" s="11"/>
    </row>
    <row r="661" spans="1:38" ht="11.25" hidden="1" customHeight="1" outlineLevel="1" x14ac:dyDescent="0.2">
      <c r="A661" s="21">
        <v>36</v>
      </c>
      <c r="B661" s="88" t="s">
        <v>649</v>
      </c>
      <c r="C661" s="88"/>
      <c r="D661" s="88"/>
      <c r="E661" s="88"/>
      <c r="F661" s="88"/>
      <c r="G661" s="88"/>
      <c r="H661" s="88"/>
      <c r="I661" s="88"/>
      <c r="J661" s="88"/>
      <c r="K661" s="88"/>
      <c r="L661" s="88"/>
      <c r="M661" s="88"/>
      <c r="N661" s="88"/>
      <c r="O661" s="88"/>
      <c r="P661" s="88"/>
      <c r="Q661" s="88"/>
      <c r="R661" s="88"/>
      <c r="S661" s="88"/>
      <c r="T661" s="41">
        <v>7.86</v>
      </c>
      <c r="U661" s="41"/>
      <c r="V661" s="41"/>
      <c r="W661" s="41"/>
      <c r="X661" s="41"/>
      <c r="Y661" s="43">
        <v>7.8819999999999997</v>
      </c>
      <c r="Z661" s="43"/>
      <c r="AA661" s="43"/>
      <c r="AB661" s="43"/>
      <c r="AC661" s="43"/>
      <c r="AD661" s="43">
        <v>-2.1999999999999999E-2</v>
      </c>
      <c r="AE661" s="43"/>
      <c r="AF661" s="43"/>
      <c r="AG661" s="43"/>
      <c r="AH661" s="43"/>
      <c r="AI661" s="43"/>
      <c r="AJ661" s="9"/>
      <c r="AK661" s="10"/>
      <c r="AL661" s="11"/>
    </row>
    <row r="662" spans="1:38" ht="11.25" hidden="1" customHeight="1" outlineLevel="1" x14ac:dyDescent="0.2">
      <c r="A662" s="21">
        <v>37</v>
      </c>
      <c r="B662" s="88" t="s">
        <v>650</v>
      </c>
      <c r="C662" s="88"/>
      <c r="D662" s="88"/>
      <c r="E662" s="88"/>
      <c r="F662" s="88"/>
      <c r="G662" s="88"/>
      <c r="H662" s="88"/>
      <c r="I662" s="88"/>
      <c r="J662" s="88"/>
      <c r="K662" s="88"/>
      <c r="L662" s="88"/>
      <c r="M662" s="88"/>
      <c r="N662" s="88"/>
      <c r="O662" s="88"/>
      <c r="P662" s="88"/>
      <c r="Q662" s="88"/>
      <c r="R662" s="88"/>
      <c r="S662" s="88"/>
      <c r="T662" s="59">
        <v>9.1999999999999993</v>
      </c>
      <c r="U662" s="59"/>
      <c r="V662" s="59"/>
      <c r="W662" s="59"/>
      <c r="X662" s="59"/>
      <c r="Y662" s="59">
        <v>9.1999999999999993</v>
      </c>
      <c r="Z662" s="59"/>
      <c r="AA662" s="59"/>
      <c r="AB662" s="59"/>
      <c r="AC662" s="59"/>
      <c r="AD662" s="12"/>
      <c r="AE662" s="13"/>
      <c r="AF662" s="13"/>
      <c r="AG662" s="13"/>
      <c r="AH662" s="13"/>
      <c r="AI662" s="14"/>
      <c r="AJ662" s="9"/>
      <c r="AK662" s="10"/>
      <c r="AL662" s="11"/>
    </row>
    <row r="663" spans="1:38" ht="11.25" hidden="1" customHeight="1" outlineLevel="1" x14ac:dyDescent="0.2">
      <c r="A663" s="21">
        <v>38</v>
      </c>
      <c r="B663" s="88" t="s">
        <v>651</v>
      </c>
      <c r="C663" s="88"/>
      <c r="D663" s="88"/>
      <c r="E663" s="88"/>
      <c r="F663" s="88"/>
      <c r="G663" s="88"/>
      <c r="H663" s="88"/>
      <c r="I663" s="88"/>
      <c r="J663" s="88"/>
      <c r="K663" s="88"/>
      <c r="L663" s="88"/>
      <c r="M663" s="88"/>
      <c r="N663" s="88"/>
      <c r="O663" s="88"/>
      <c r="P663" s="88"/>
      <c r="Q663" s="88"/>
      <c r="R663" s="88"/>
      <c r="S663" s="88"/>
      <c r="T663" s="41">
        <v>12.15</v>
      </c>
      <c r="U663" s="41"/>
      <c r="V663" s="41"/>
      <c r="W663" s="41"/>
      <c r="X663" s="41"/>
      <c r="Y663" s="41">
        <v>12.15</v>
      </c>
      <c r="Z663" s="41"/>
      <c r="AA663" s="41"/>
      <c r="AB663" s="41"/>
      <c r="AC663" s="41"/>
      <c r="AD663" s="12"/>
      <c r="AE663" s="13"/>
      <c r="AF663" s="13"/>
      <c r="AG663" s="13"/>
      <c r="AH663" s="13"/>
      <c r="AI663" s="14"/>
      <c r="AJ663" s="9"/>
      <c r="AK663" s="10"/>
      <c r="AL663" s="11"/>
    </row>
    <row r="664" spans="1:38" ht="11.25" hidden="1" customHeight="1" collapsed="1" x14ac:dyDescent="0.2">
      <c r="A664" s="60" t="s">
        <v>652</v>
      </c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85">
        <v>3.4</v>
      </c>
      <c r="U664" s="85"/>
      <c r="V664" s="85"/>
      <c r="W664" s="85"/>
      <c r="X664" s="85"/>
      <c r="Y664" s="62">
        <v>3.419</v>
      </c>
      <c r="Z664" s="62"/>
      <c r="AA664" s="62"/>
      <c r="AB664" s="62"/>
      <c r="AC664" s="62"/>
      <c r="AD664" s="62">
        <v>-1.9E-2</v>
      </c>
      <c r="AE664" s="62"/>
      <c r="AF664" s="62"/>
      <c r="AG664" s="62"/>
      <c r="AH664" s="62"/>
      <c r="AI664" s="62"/>
      <c r="AJ664" s="62">
        <v>1.4E-2</v>
      </c>
      <c r="AK664" s="62"/>
      <c r="AL664" s="62"/>
    </row>
    <row r="665" spans="1:38" ht="21.75" hidden="1" customHeight="1" outlineLevel="1" x14ac:dyDescent="0.2">
      <c r="A665" s="21">
        <v>1</v>
      </c>
      <c r="B665" s="88" t="s">
        <v>653</v>
      </c>
      <c r="C665" s="88"/>
      <c r="D665" s="88"/>
      <c r="E665" s="88"/>
      <c r="F665" s="88"/>
      <c r="G665" s="88"/>
      <c r="H665" s="88"/>
      <c r="I665" s="88"/>
      <c r="J665" s="88"/>
      <c r="K665" s="88"/>
      <c r="L665" s="88"/>
      <c r="M665" s="88"/>
      <c r="N665" s="88"/>
      <c r="O665" s="88"/>
      <c r="P665" s="88"/>
      <c r="Q665" s="88"/>
      <c r="R665" s="88"/>
      <c r="S665" s="88"/>
      <c r="T665" s="59">
        <v>3.4</v>
      </c>
      <c r="U665" s="59"/>
      <c r="V665" s="59"/>
      <c r="W665" s="59"/>
      <c r="X665" s="59"/>
      <c r="Y665" s="43">
        <v>3.419</v>
      </c>
      <c r="Z665" s="43"/>
      <c r="AA665" s="43"/>
      <c r="AB665" s="43"/>
      <c r="AC665" s="43"/>
      <c r="AD665" s="43">
        <v>-1.9E-2</v>
      </c>
      <c r="AE665" s="43"/>
      <c r="AF665" s="43"/>
      <c r="AG665" s="43"/>
      <c r="AH665" s="43"/>
      <c r="AI665" s="43"/>
      <c r="AJ665" s="9"/>
      <c r="AK665" s="10"/>
      <c r="AL665" s="11"/>
    </row>
    <row r="666" spans="1:38" ht="11.25" hidden="1" customHeight="1" collapsed="1" x14ac:dyDescent="0.2">
      <c r="A666" s="60" t="s">
        <v>654</v>
      </c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5">
        <v>959.77</v>
      </c>
      <c r="U666" s="65"/>
      <c r="V666" s="65"/>
      <c r="W666" s="65"/>
      <c r="X666" s="65"/>
      <c r="Y666" s="62">
        <v>967.697</v>
      </c>
      <c r="Z666" s="62"/>
      <c r="AA666" s="62"/>
      <c r="AB666" s="62"/>
      <c r="AC666" s="62"/>
      <c r="AD666" s="62">
        <v>-7.9269999999999996</v>
      </c>
      <c r="AE666" s="62"/>
      <c r="AF666" s="62"/>
      <c r="AG666" s="62"/>
      <c r="AH666" s="62"/>
      <c r="AI666" s="62"/>
      <c r="AJ666" s="65">
        <v>12.77</v>
      </c>
      <c r="AK666" s="65"/>
      <c r="AL666" s="65"/>
    </row>
    <row r="667" spans="1:38" ht="11.25" hidden="1" customHeight="1" outlineLevel="1" x14ac:dyDescent="0.2">
      <c r="A667" s="21">
        <v>1</v>
      </c>
      <c r="B667" s="88" t="s">
        <v>655</v>
      </c>
      <c r="C667" s="88"/>
      <c r="D667" s="88"/>
      <c r="E667" s="88"/>
      <c r="F667" s="88"/>
      <c r="G667" s="88"/>
      <c r="H667" s="88"/>
      <c r="I667" s="88"/>
      <c r="J667" s="88"/>
      <c r="K667" s="88"/>
      <c r="L667" s="88"/>
      <c r="M667" s="88"/>
      <c r="N667" s="88"/>
      <c r="O667" s="88"/>
      <c r="P667" s="88"/>
      <c r="Q667" s="88"/>
      <c r="R667" s="88"/>
      <c r="S667" s="88"/>
      <c r="T667" s="41">
        <v>216.57</v>
      </c>
      <c r="U667" s="41"/>
      <c r="V667" s="41"/>
      <c r="W667" s="41"/>
      <c r="X667" s="41"/>
      <c r="Y667" s="43">
        <v>221.33500000000001</v>
      </c>
      <c r="Z667" s="43"/>
      <c r="AA667" s="43"/>
      <c r="AB667" s="43"/>
      <c r="AC667" s="43"/>
      <c r="AD667" s="43">
        <v>-4.7649999999999997</v>
      </c>
      <c r="AE667" s="43"/>
      <c r="AF667" s="43"/>
      <c r="AG667" s="43"/>
      <c r="AH667" s="43"/>
      <c r="AI667" s="43"/>
      <c r="AJ667" s="9"/>
      <c r="AK667" s="10"/>
      <c r="AL667" s="11"/>
    </row>
    <row r="668" spans="1:38" ht="11.25" hidden="1" customHeight="1" outlineLevel="1" x14ac:dyDescent="0.2">
      <c r="A668" s="21">
        <v>2</v>
      </c>
      <c r="B668" s="88" t="s">
        <v>656</v>
      </c>
      <c r="C668" s="88"/>
      <c r="D668" s="88"/>
      <c r="E668" s="88"/>
      <c r="F668" s="88"/>
      <c r="G668" s="88"/>
      <c r="H668" s="88"/>
      <c r="I668" s="88"/>
      <c r="J668" s="88"/>
      <c r="K668" s="88"/>
      <c r="L668" s="88"/>
      <c r="M668" s="88"/>
      <c r="N668" s="88"/>
      <c r="O668" s="88"/>
      <c r="P668" s="88"/>
      <c r="Q668" s="88"/>
      <c r="R668" s="88"/>
      <c r="S668" s="88"/>
      <c r="T668" s="41">
        <v>46.56</v>
      </c>
      <c r="U668" s="41"/>
      <c r="V668" s="41"/>
      <c r="W668" s="41"/>
      <c r="X668" s="41"/>
      <c r="Y668" s="43">
        <v>43.432000000000002</v>
      </c>
      <c r="Z668" s="43"/>
      <c r="AA668" s="43"/>
      <c r="AB668" s="43"/>
      <c r="AC668" s="43"/>
      <c r="AD668" s="43">
        <v>3.1280000000000001</v>
      </c>
      <c r="AE668" s="43"/>
      <c r="AF668" s="43"/>
      <c r="AG668" s="43"/>
      <c r="AH668" s="43"/>
      <c r="AI668" s="43"/>
      <c r="AJ668" s="9"/>
      <c r="AK668" s="10"/>
      <c r="AL668" s="11"/>
    </row>
    <row r="669" spans="1:38" ht="21.75" hidden="1" customHeight="1" outlineLevel="1" x14ac:dyDescent="0.2">
      <c r="A669" s="21">
        <v>3</v>
      </c>
      <c r="B669" s="88" t="s">
        <v>657</v>
      </c>
      <c r="C669" s="88"/>
      <c r="D669" s="88"/>
      <c r="E669" s="88"/>
      <c r="F669" s="88"/>
      <c r="G669" s="88"/>
      <c r="H669" s="88"/>
      <c r="I669" s="88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59">
        <v>28.2</v>
      </c>
      <c r="U669" s="59"/>
      <c r="V669" s="59"/>
      <c r="W669" s="59"/>
      <c r="X669" s="59"/>
      <c r="Y669" s="43">
        <v>26.201000000000001</v>
      </c>
      <c r="Z669" s="43"/>
      <c r="AA669" s="43"/>
      <c r="AB669" s="43"/>
      <c r="AC669" s="43"/>
      <c r="AD669" s="43">
        <v>1.9990000000000001</v>
      </c>
      <c r="AE669" s="43"/>
      <c r="AF669" s="43"/>
      <c r="AG669" s="43"/>
      <c r="AH669" s="43"/>
      <c r="AI669" s="43"/>
      <c r="AJ669" s="9"/>
      <c r="AK669" s="10"/>
      <c r="AL669" s="11"/>
    </row>
    <row r="670" spans="1:38" ht="21.75" hidden="1" customHeight="1" outlineLevel="1" x14ac:dyDescent="0.2">
      <c r="A670" s="21">
        <v>4</v>
      </c>
      <c r="B670" s="88" t="s">
        <v>658</v>
      </c>
      <c r="C670" s="88"/>
      <c r="D670" s="88"/>
      <c r="E670" s="88"/>
      <c r="F670" s="88"/>
      <c r="G670" s="88"/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88"/>
      <c r="S670" s="88"/>
      <c r="T670" s="41">
        <v>28.84</v>
      </c>
      <c r="U670" s="41"/>
      <c r="V670" s="41"/>
      <c r="W670" s="41"/>
      <c r="X670" s="41"/>
      <c r="Y670" s="43">
        <v>28.417999999999999</v>
      </c>
      <c r="Z670" s="43"/>
      <c r="AA670" s="43"/>
      <c r="AB670" s="43"/>
      <c r="AC670" s="43"/>
      <c r="AD670" s="43">
        <v>0.42199999999999999</v>
      </c>
      <c r="AE670" s="43"/>
      <c r="AF670" s="43"/>
      <c r="AG670" s="43"/>
      <c r="AH670" s="43"/>
      <c r="AI670" s="43"/>
      <c r="AJ670" s="9"/>
      <c r="AK670" s="10"/>
      <c r="AL670" s="11"/>
    </row>
    <row r="671" spans="1:38" ht="11.25" hidden="1" customHeight="1" outlineLevel="1" x14ac:dyDescent="0.2">
      <c r="A671" s="21">
        <v>5</v>
      </c>
      <c r="B671" s="88" t="s">
        <v>659</v>
      </c>
      <c r="C671" s="88"/>
      <c r="D671" s="88"/>
      <c r="E671" s="88"/>
      <c r="F671" s="88"/>
      <c r="G671" s="88"/>
      <c r="H671" s="88"/>
      <c r="I671" s="88"/>
      <c r="J671" s="88"/>
      <c r="K671" s="88"/>
      <c r="L671" s="88"/>
      <c r="M671" s="88"/>
      <c r="N671" s="88"/>
      <c r="O671" s="88"/>
      <c r="P671" s="88"/>
      <c r="Q671" s="88"/>
      <c r="R671" s="88"/>
      <c r="S671" s="88"/>
      <c r="T671" s="41">
        <v>109.19</v>
      </c>
      <c r="U671" s="41"/>
      <c r="V671" s="41"/>
      <c r="W671" s="41"/>
      <c r="X671" s="41"/>
      <c r="Y671" s="43">
        <v>108.952</v>
      </c>
      <c r="Z671" s="43"/>
      <c r="AA671" s="43"/>
      <c r="AB671" s="43"/>
      <c r="AC671" s="43"/>
      <c r="AD671" s="43">
        <v>0.23799999999999999</v>
      </c>
      <c r="AE671" s="43"/>
      <c r="AF671" s="43"/>
      <c r="AG671" s="43"/>
      <c r="AH671" s="43"/>
      <c r="AI671" s="43"/>
      <c r="AJ671" s="9"/>
      <c r="AK671" s="10"/>
      <c r="AL671" s="11"/>
    </row>
    <row r="672" spans="1:38" ht="11.25" hidden="1" customHeight="1" outlineLevel="1" x14ac:dyDescent="0.2">
      <c r="A672" s="21">
        <v>6</v>
      </c>
      <c r="B672" s="88" t="s">
        <v>660</v>
      </c>
      <c r="C672" s="88"/>
      <c r="D672" s="88"/>
      <c r="E672" s="88"/>
      <c r="F672" s="88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59">
        <v>10.8</v>
      </c>
      <c r="U672" s="59"/>
      <c r="V672" s="59"/>
      <c r="W672" s="59"/>
      <c r="X672" s="59"/>
      <c r="Y672" s="43">
        <v>9.9890000000000008</v>
      </c>
      <c r="Z672" s="43"/>
      <c r="AA672" s="43"/>
      <c r="AB672" s="43"/>
      <c r="AC672" s="43"/>
      <c r="AD672" s="43">
        <v>0.81100000000000005</v>
      </c>
      <c r="AE672" s="43"/>
      <c r="AF672" s="43"/>
      <c r="AG672" s="43"/>
      <c r="AH672" s="43"/>
      <c r="AI672" s="43"/>
      <c r="AJ672" s="9"/>
      <c r="AK672" s="10"/>
      <c r="AL672" s="11"/>
    </row>
    <row r="673" spans="1:38" ht="11.25" hidden="1" customHeight="1" outlineLevel="1" x14ac:dyDescent="0.2">
      <c r="A673" s="21">
        <v>7</v>
      </c>
      <c r="B673" s="88" t="s">
        <v>661</v>
      </c>
      <c r="C673" s="88"/>
      <c r="D673" s="88"/>
      <c r="E673" s="88"/>
      <c r="F673" s="88"/>
      <c r="G673" s="88"/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T673" s="41">
        <v>15.56</v>
      </c>
      <c r="U673" s="41"/>
      <c r="V673" s="41"/>
      <c r="W673" s="41"/>
      <c r="X673" s="41"/>
      <c r="Y673" s="43">
        <v>15.773999999999999</v>
      </c>
      <c r="Z673" s="43"/>
      <c r="AA673" s="43"/>
      <c r="AB673" s="43"/>
      <c r="AC673" s="43"/>
      <c r="AD673" s="43">
        <v>-0.214</v>
      </c>
      <c r="AE673" s="43"/>
      <c r="AF673" s="43"/>
      <c r="AG673" s="43"/>
      <c r="AH673" s="43"/>
      <c r="AI673" s="43"/>
      <c r="AJ673" s="9"/>
      <c r="AK673" s="10"/>
      <c r="AL673" s="11"/>
    </row>
    <row r="674" spans="1:38" ht="11.25" hidden="1" customHeight="1" outlineLevel="1" x14ac:dyDescent="0.2">
      <c r="A674" s="21">
        <v>8</v>
      </c>
      <c r="B674" s="88" t="s">
        <v>351</v>
      </c>
      <c r="C674" s="88"/>
      <c r="D674" s="88"/>
      <c r="E674" s="88"/>
      <c r="F674" s="88"/>
      <c r="G674" s="88"/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41">
        <v>206.64</v>
      </c>
      <c r="U674" s="41"/>
      <c r="V674" s="41"/>
      <c r="W674" s="41"/>
      <c r="X674" s="41"/>
      <c r="Y674" s="43">
        <v>209.99600000000001</v>
      </c>
      <c r="Z674" s="43"/>
      <c r="AA674" s="43"/>
      <c r="AB674" s="43"/>
      <c r="AC674" s="43"/>
      <c r="AD674" s="43">
        <v>-3.3559999999999999</v>
      </c>
      <c r="AE674" s="43"/>
      <c r="AF674" s="43"/>
      <c r="AG674" s="43"/>
      <c r="AH674" s="43"/>
      <c r="AI674" s="43"/>
      <c r="AJ674" s="9"/>
      <c r="AK674" s="10"/>
      <c r="AL674" s="11"/>
    </row>
    <row r="675" spans="1:38" ht="21.75" hidden="1" customHeight="1" outlineLevel="1" x14ac:dyDescent="0.2">
      <c r="A675" s="21">
        <v>9</v>
      </c>
      <c r="B675" s="88" t="s">
        <v>662</v>
      </c>
      <c r="C675" s="88"/>
      <c r="D675" s="88"/>
      <c r="E675" s="88"/>
      <c r="F675" s="88"/>
      <c r="G675" s="88"/>
      <c r="H675" s="88"/>
      <c r="I675" s="88"/>
      <c r="J675" s="88"/>
      <c r="K675" s="88"/>
      <c r="L675" s="88"/>
      <c r="M675" s="88"/>
      <c r="N675" s="88"/>
      <c r="O675" s="88"/>
      <c r="P675" s="88"/>
      <c r="Q675" s="88"/>
      <c r="R675" s="88"/>
      <c r="S675" s="88"/>
      <c r="T675" s="59">
        <v>7.6</v>
      </c>
      <c r="U675" s="59"/>
      <c r="V675" s="59"/>
      <c r="W675" s="59"/>
      <c r="X675" s="59"/>
      <c r="Y675" s="43">
        <v>7.6790000000000003</v>
      </c>
      <c r="Z675" s="43"/>
      <c r="AA675" s="43"/>
      <c r="AB675" s="43"/>
      <c r="AC675" s="43"/>
      <c r="AD675" s="43">
        <v>-7.9000000000000001E-2</v>
      </c>
      <c r="AE675" s="43"/>
      <c r="AF675" s="43"/>
      <c r="AG675" s="43"/>
      <c r="AH675" s="43"/>
      <c r="AI675" s="43"/>
      <c r="AJ675" s="9"/>
      <c r="AK675" s="10"/>
      <c r="AL675" s="11"/>
    </row>
    <row r="676" spans="1:38" ht="21.75" hidden="1" customHeight="1" outlineLevel="1" x14ac:dyDescent="0.2">
      <c r="A676" s="21">
        <v>10</v>
      </c>
      <c r="B676" s="88" t="s">
        <v>663</v>
      </c>
      <c r="C676" s="88"/>
      <c r="D676" s="88"/>
      <c r="E676" s="88"/>
      <c r="F676" s="88"/>
      <c r="G676" s="88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41">
        <v>21.33</v>
      </c>
      <c r="U676" s="41"/>
      <c r="V676" s="41"/>
      <c r="W676" s="41"/>
      <c r="X676" s="41"/>
      <c r="Y676" s="43">
        <v>21.704000000000001</v>
      </c>
      <c r="Z676" s="43"/>
      <c r="AA676" s="43"/>
      <c r="AB676" s="43"/>
      <c r="AC676" s="43"/>
      <c r="AD676" s="43">
        <v>-0.374</v>
      </c>
      <c r="AE676" s="43"/>
      <c r="AF676" s="43"/>
      <c r="AG676" s="43"/>
      <c r="AH676" s="43"/>
      <c r="AI676" s="43"/>
      <c r="AJ676" s="9"/>
      <c r="AK676" s="10"/>
      <c r="AL676" s="11"/>
    </row>
    <row r="677" spans="1:38" ht="11.25" hidden="1" customHeight="1" outlineLevel="1" x14ac:dyDescent="0.2">
      <c r="A677" s="21">
        <v>11</v>
      </c>
      <c r="B677" s="88" t="s">
        <v>664</v>
      </c>
      <c r="C677" s="88"/>
      <c r="D677" s="88"/>
      <c r="E677" s="88"/>
      <c r="F677" s="88"/>
      <c r="G677" s="88"/>
      <c r="H677" s="88"/>
      <c r="I677" s="88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41">
        <v>28.52</v>
      </c>
      <c r="U677" s="41"/>
      <c r="V677" s="41"/>
      <c r="W677" s="41"/>
      <c r="X677" s="41"/>
      <c r="Y677" s="43">
        <v>28.863</v>
      </c>
      <c r="Z677" s="43"/>
      <c r="AA677" s="43"/>
      <c r="AB677" s="43"/>
      <c r="AC677" s="43"/>
      <c r="AD677" s="43">
        <v>-0.34300000000000003</v>
      </c>
      <c r="AE677" s="43"/>
      <c r="AF677" s="43"/>
      <c r="AG677" s="43"/>
      <c r="AH677" s="43"/>
      <c r="AI677" s="43"/>
      <c r="AJ677" s="9"/>
      <c r="AK677" s="10"/>
      <c r="AL677" s="11"/>
    </row>
    <row r="678" spans="1:38" ht="21.75" hidden="1" customHeight="1" outlineLevel="1" x14ac:dyDescent="0.2">
      <c r="A678" s="21">
        <v>12</v>
      </c>
      <c r="B678" s="88" t="s">
        <v>665</v>
      </c>
      <c r="C678" s="88"/>
      <c r="D678" s="88"/>
      <c r="E678" s="88"/>
      <c r="F678" s="88"/>
      <c r="G678" s="88"/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59">
        <v>33.299999999999997</v>
      </c>
      <c r="U678" s="59"/>
      <c r="V678" s="59"/>
      <c r="W678" s="59"/>
      <c r="X678" s="59"/>
      <c r="Y678" s="43">
        <v>33.667000000000002</v>
      </c>
      <c r="Z678" s="43"/>
      <c r="AA678" s="43"/>
      <c r="AB678" s="43"/>
      <c r="AC678" s="43"/>
      <c r="AD678" s="43">
        <v>-0.36699999999999999</v>
      </c>
      <c r="AE678" s="43"/>
      <c r="AF678" s="43"/>
      <c r="AG678" s="43"/>
      <c r="AH678" s="43"/>
      <c r="AI678" s="43"/>
      <c r="AJ678" s="9"/>
      <c r="AK678" s="10"/>
      <c r="AL678" s="11"/>
    </row>
    <row r="679" spans="1:38" ht="11.25" hidden="1" customHeight="1" outlineLevel="1" x14ac:dyDescent="0.2">
      <c r="A679" s="21">
        <v>13</v>
      </c>
      <c r="B679" s="88" t="s">
        <v>666</v>
      </c>
      <c r="C679" s="88"/>
      <c r="D679" s="88"/>
      <c r="E679" s="88"/>
      <c r="F679" s="88"/>
      <c r="G679" s="88"/>
      <c r="H679" s="88"/>
      <c r="I679" s="88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41">
        <v>18.16</v>
      </c>
      <c r="U679" s="41"/>
      <c r="V679" s="41"/>
      <c r="W679" s="41"/>
      <c r="X679" s="41"/>
      <c r="Y679" s="43">
        <v>18.300999999999998</v>
      </c>
      <c r="Z679" s="43"/>
      <c r="AA679" s="43"/>
      <c r="AB679" s="43"/>
      <c r="AC679" s="43"/>
      <c r="AD679" s="43">
        <v>-0.14099999999999999</v>
      </c>
      <c r="AE679" s="43"/>
      <c r="AF679" s="43"/>
      <c r="AG679" s="43"/>
      <c r="AH679" s="43"/>
      <c r="AI679" s="43"/>
      <c r="AJ679" s="9"/>
      <c r="AK679" s="10"/>
      <c r="AL679" s="11"/>
    </row>
    <row r="680" spans="1:38" ht="11.25" hidden="1" customHeight="1" outlineLevel="1" x14ac:dyDescent="0.2">
      <c r="A680" s="21">
        <v>14</v>
      </c>
      <c r="B680" s="88" t="s">
        <v>667</v>
      </c>
      <c r="C680" s="88"/>
      <c r="D680" s="88"/>
      <c r="E680" s="88"/>
      <c r="F680" s="88"/>
      <c r="G680" s="88"/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41">
        <v>20.45</v>
      </c>
      <c r="U680" s="41"/>
      <c r="V680" s="41"/>
      <c r="W680" s="41"/>
      <c r="X680" s="41"/>
      <c r="Y680" s="43">
        <v>20.638000000000002</v>
      </c>
      <c r="Z680" s="43"/>
      <c r="AA680" s="43"/>
      <c r="AB680" s="43"/>
      <c r="AC680" s="43"/>
      <c r="AD680" s="43">
        <v>-0.188</v>
      </c>
      <c r="AE680" s="43"/>
      <c r="AF680" s="43"/>
      <c r="AG680" s="43"/>
      <c r="AH680" s="43"/>
      <c r="AI680" s="43"/>
      <c r="AJ680" s="9"/>
      <c r="AK680" s="10"/>
      <c r="AL680" s="11"/>
    </row>
    <row r="681" spans="1:38" ht="11.25" hidden="1" customHeight="1" outlineLevel="1" x14ac:dyDescent="0.2">
      <c r="A681" s="21">
        <v>15</v>
      </c>
      <c r="B681" s="88" t="s">
        <v>668</v>
      </c>
      <c r="C681" s="88"/>
      <c r="D681" s="88"/>
      <c r="E681" s="88"/>
      <c r="F681" s="88"/>
      <c r="G681" s="88"/>
      <c r="H681" s="88"/>
      <c r="I681" s="88"/>
      <c r="J681" s="88"/>
      <c r="K681" s="88"/>
      <c r="L681" s="88"/>
      <c r="M681" s="88"/>
      <c r="N681" s="88"/>
      <c r="O681" s="88"/>
      <c r="P681" s="88"/>
      <c r="Q681" s="88"/>
      <c r="R681" s="88"/>
      <c r="S681" s="88"/>
      <c r="T681" s="41">
        <v>15.31</v>
      </c>
      <c r="U681" s="41"/>
      <c r="V681" s="41"/>
      <c r="W681" s="41"/>
      <c r="X681" s="41"/>
      <c r="Y681" s="43">
        <v>15.433999999999999</v>
      </c>
      <c r="Z681" s="43"/>
      <c r="AA681" s="43"/>
      <c r="AB681" s="43"/>
      <c r="AC681" s="43"/>
      <c r="AD681" s="43">
        <v>-0.124</v>
      </c>
      <c r="AE681" s="43"/>
      <c r="AF681" s="43"/>
      <c r="AG681" s="43"/>
      <c r="AH681" s="43"/>
      <c r="AI681" s="43"/>
      <c r="AJ681" s="9"/>
      <c r="AK681" s="10"/>
      <c r="AL681" s="11"/>
    </row>
    <row r="682" spans="1:38" ht="11.25" hidden="1" customHeight="1" outlineLevel="1" x14ac:dyDescent="0.2">
      <c r="A682" s="21">
        <v>16</v>
      </c>
      <c r="B682" s="88" t="s">
        <v>669</v>
      </c>
      <c r="C682" s="88"/>
      <c r="D682" s="88"/>
      <c r="E682" s="88"/>
      <c r="F682" s="88"/>
      <c r="G682" s="88"/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59">
        <v>18.399999999999999</v>
      </c>
      <c r="U682" s="59"/>
      <c r="V682" s="59"/>
      <c r="W682" s="59"/>
      <c r="X682" s="59"/>
      <c r="Y682" s="43">
        <v>19.219000000000001</v>
      </c>
      <c r="Z682" s="43"/>
      <c r="AA682" s="43"/>
      <c r="AB682" s="43"/>
      <c r="AC682" s="43"/>
      <c r="AD682" s="43">
        <v>-0.81899999999999995</v>
      </c>
      <c r="AE682" s="43"/>
      <c r="AF682" s="43"/>
      <c r="AG682" s="43"/>
      <c r="AH682" s="43"/>
      <c r="AI682" s="43"/>
      <c r="AJ682" s="9"/>
      <c r="AK682" s="10"/>
      <c r="AL682" s="11"/>
    </row>
    <row r="683" spans="1:38" ht="11.25" hidden="1" customHeight="1" outlineLevel="1" x14ac:dyDescent="0.2">
      <c r="A683" s="21">
        <v>17</v>
      </c>
      <c r="B683" s="88" t="s">
        <v>670</v>
      </c>
      <c r="C683" s="88"/>
      <c r="D683" s="88"/>
      <c r="E683" s="88"/>
      <c r="F683" s="88"/>
      <c r="G683" s="88"/>
      <c r="H683" s="88"/>
      <c r="I683" s="88"/>
      <c r="J683" s="88"/>
      <c r="K683" s="88"/>
      <c r="L683" s="88"/>
      <c r="M683" s="88"/>
      <c r="N683" s="88"/>
      <c r="O683" s="88"/>
      <c r="P683" s="88"/>
      <c r="Q683" s="88"/>
      <c r="R683" s="88"/>
      <c r="S683" s="88"/>
      <c r="T683" s="59">
        <v>46.5</v>
      </c>
      <c r="U683" s="59"/>
      <c r="V683" s="59"/>
      <c r="W683" s="59"/>
      <c r="X683" s="59"/>
      <c r="Y683" s="43">
        <v>48.558</v>
      </c>
      <c r="Z683" s="43"/>
      <c r="AA683" s="43"/>
      <c r="AB683" s="43"/>
      <c r="AC683" s="43"/>
      <c r="AD683" s="43">
        <v>-2.0579999999999998</v>
      </c>
      <c r="AE683" s="43"/>
      <c r="AF683" s="43"/>
      <c r="AG683" s="43"/>
      <c r="AH683" s="43"/>
      <c r="AI683" s="43"/>
      <c r="AJ683" s="9"/>
      <c r="AK683" s="10"/>
      <c r="AL683" s="11"/>
    </row>
    <row r="684" spans="1:38" ht="11.25" hidden="1" customHeight="1" outlineLevel="1" x14ac:dyDescent="0.2">
      <c r="A684" s="21">
        <v>18</v>
      </c>
      <c r="B684" s="88" t="s">
        <v>671</v>
      </c>
      <c r="C684" s="88"/>
      <c r="D684" s="88"/>
      <c r="E684" s="88"/>
      <c r="F684" s="88"/>
      <c r="G684" s="88"/>
      <c r="H684" s="88"/>
      <c r="I684" s="88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41">
        <v>15.95</v>
      </c>
      <c r="U684" s="41"/>
      <c r="V684" s="41"/>
      <c r="W684" s="41"/>
      <c r="X684" s="41"/>
      <c r="Y684" s="43">
        <v>17.584</v>
      </c>
      <c r="Z684" s="43"/>
      <c r="AA684" s="43"/>
      <c r="AB684" s="43"/>
      <c r="AC684" s="43"/>
      <c r="AD684" s="43">
        <v>-1.6339999999999999</v>
      </c>
      <c r="AE684" s="43"/>
      <c r="AF684" s="43"/>
      <c r="AG684" s="43"/>
      <c r="AH684" s="43"/>
      <c r="AI684" s="43"/>
      <c r="AJ684" s="9"/>
      <c r="AK684" s="10"/>
      <c r="AL684" s="11"/>
    </row>
    <row r="685" spans="1:38" ht="11.25" hidden="1" customHeight="1" outlineLevel="1" x14ac:dyDescent="0.2">
      <c r="A685" s="21">
        <v>19</v>
      </c>
      <c r="B685" s="88" t="s">
        <v>672</v>
      </c>
      <c r="C685" s="88"/>
      <c r="D685" s="88"/>
      <c r="E685" s="88"/>
      <c r="F685" s="88"/>
      <c r="G685" s="88"/>
      <c r="H685" s="88"/>
      <c r="I685" s="88"/>
      <c r="J685" s="88"/>
      <c r="K685" s="88"/>
      <c r="L685" s="88"/>
      <c r="M685" s="88"/>
      <c r="N685" s="88"/>
      <c r="O685" s="88"/>
      <c r="P685" s="88"/>
      <c r="Q685" s="88"/>
      <c r="R685" s="88"/>
      <c r="S685" s="88"/>
      <c r="T685" s="41">
        <v>30.68</v>
      </c>
      <c r="U685" s="41"/>
      <c r="V685" s="41"/>
      <c r="W685" s="41"/>
      <c r="X685" s="41"/>
      <c r="Y685" s="43">
        <v>30.731000000000002</v>
      </c>
      <c r="Z685" s="43"/>
      <c r="AA685" s="43"/>
      <c r="AB685" s="43"/>
      <c r="AC685" s="43"/>
      <c r="AD685" s="43">
        <v>-5.0999999999999997E-2</v>
      </c>
      <c r="AE685" s="43"/>
      <c r="AF685" s="43"/>
      <c r="AG685" s="43"/>
      <c r="AH685" s="43"/>
      <c r="AI685" s="43"/>
      <c r="AJ685" s="9"/>
      <c r="AK685" s="10"/>
      <c r="AL685" s="11"/>
    </row>
    <row r="686" spans="1:38" ht="11.25" hidden="1" customHeight="1" outlineLevel="1" x14ac:dyDescent="0.2">
      <c r="A686" s="21">
        <v>20</v>
      </c>
      <c r="B686" s="88" t="s">
        <v>673</v>
      </c>
      <c r="C686" s="88"/>
      <c r="D686" s="88"/>
      <c r="E686" s="88"/>
      <c r="F686" s="88"/>
      <c r="G686" s="88"/>
      <c r="H686" s="88"/>
      <c r="I686" s="88"/>
      <c r="J686" s="88"/>
      <c r="K686" s="88"/>
      <c r="L686" s="88"/>
      <c r="M686" s="88"/>
      <c r="N686" s="88"/>
      <c r="O686" s="88"/>
      <c r="P686" s="88"/>
      <c r="Q686" s="88"/>
      <c r="R686" s="88"/>
      <c r="S686" s="88"/>
      <c r="T686" s="41">
        <v>21.36</v>
      </c>
      <c r="U686" s="41"/>
      <c r="V686" s="41"/>
      <c r="W686" s="41"/>
      <c r="X686" s="41"/>
      <c r="Y686" s="41">
        <v>21.36</v>
      </c>
      <c r="Z686" s="41"/>
      <c r="AA686" s="41"/>
      <c r="AB686" s="41"/>
      <c r="AC686" s="41"/>
      <c r="AD686" s="12"/>
      <c r="AE686" s="13"/>
      <c r="AF686" s="13"/>
      <c r="AG686" s="13"/>
      <c r="AH686" s="13"/>
      <c r="AI686" s="14"/>
      <c r="AJ686" s="9"/>
      <c r="AK686" s="10"/>
      <c r="AL686" s="11"/>
    </row>
    <row r="687" spans="1:38" ht="11.25" hidden="1" customHeight="1" outlineLevel="1" x14ac:dyDescent="0.2">
      <c r="A687" s="21">
        <v>21</v>
      </c>
      <c r="B687" s="88" t="s">
        <v>674</v>
      </c>
      <c r="C687" s="88"/>
      <c r="D687" s="88"/>
      <c r="E687" s="88"/>
      <c r="F687" s="88"/>
      <c r="G687" s="88"/>
      <c r="H687" s="88"/>
      <c r="I687" s="88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41">
        <v>13.21</v>
      </c>
      <c r="U687" s="41"/>
      <c r="V687" s="41"/>
      <c r="W687" s="41"/>
      <c r="X687" s="41"/>
      <c r="Y687" s="41">
        <v>13.21</v>
      </c>
      <c r="Z687" s="41"/>
      <c r="AA687" s="41"/>
      <c r="AB687" s="41"/>
      <c r="AC687" s="41"/>
      <c r="AD687" s="12"/>
      <c r="AE687" s="13"/>
      <c r="AF687" s="13"/>
      <c r="AG687" s="13"/>
      <c r="AH687" s="13"/>
      <c r="AI687" s="14"/>
      <c r="AJ687" s="9"/>
      <c r="AK687" s="10"/>
      <c r="AL687" s="11"/>
    </row>
    <row r="688" spans="1:38" ht="11.25" hidden="1" customHeight="1" outlineLevel="1" x14ac:dyDescent="0.2">
      <c r="A688" s="21">
        <v>22</v>
      </c>
      <c r="B688" s="88" t="s">
        <v>675</v>
      </c>
      <c r="C688" s="88"/>
      <c r="D688" s="88"/>
      <c r="E688" s="88"/>
      <c r="F688" s="88"/>
      <c r="G688" s="88"/>
      <c r="H688" s="88"/>
      <c r="I688" s="88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41">
        <v>5.24</v>
      </c>
      <c r="U688" s="41"/>
      <c r="V688" s="41"/>
      <c r="W688" s="41"/>
      <c r="X688" s="41"/>
      <c r="Y688" s="41">
        <v>5.24</v>
      </c>
      <c r="Z688" s="41"/>
      <c r="AA688" s="41"/>
      <c r="AB688" s="41"/>
      <c r="AC688" s="41"/>
      <c r="AD688" s="12"/>
      <c r="AE688" s="13"/>
      <c r="AF688" s="13"/>
      <c r="AG688" s="13"/>
      <c r="AH688" s="13"/>
      <c r="AI688" s="14"/>
      <c r="AJ688" s="9"/>
      <c r="AK688" s="10"/>
      <c r="AL688" s="11"/>
    </row>
    <row r="689" spans="1:38" ht="11.25" hidden="1" customHeight="1" outlineLevel="1" x14ac:dyDescent="0.2">
      <c r="A689" s="21">
        <v>23</v>
      </c>
      <c r="B689" s="88" t="s">
        <v>676</v>
      </c>
      <c r="C689" s="88"/>
      <c r="D689" s="88"/>
      <c r="E689" s="88"/>
      <c r="F689" s="88"/>
      <c r="G689" s="88"/>
      <c r="H689" s="88"/>
      <c r="I689" s="88"/>
      <c r="J689" s="88"/>
      <c r="K689" s="88"/>
      <c r="L689" s="88"/>
      <c r="M689" s="88"/>
      <c r="N689" s="88"/>
      <c r="O689" s="88"/>
      <c r="P689" s="88"/>
      <c r="Q689" s="88"/>
      <c r="R689" s="88"/>
      <c r="S689" s="88"/>
      <c r="T689" s="59">
        <v>1.4</v>
      </c>
      <c r="U689" s="59"/>
      <c r="V689" s="59"/>
      <c r="W689" s="59"/>
      <c r="X689" s="59"/>
      <c r="Y689" s="43">
        <v>1.4119999999999999</v>
      </c>
      <c r="Z689" s="43"/>
      <c r="AA689" s="43"/>
      <c r="AB689" s="43"/>
      <c r="AC689" s="43"/>
      <c r="AD689" s="43">
        <v>-1.2E-2</v>
      </c>
      <c r="AE689" s="43"/>
      <c r="AF689" s="43"/>
      <c r="AG689" s="43"/>
      <c r="AH689" s="43"/>
      <c r="AI689" s="43"/>
      <c r="AJ689" s="9"/>
      <c r="AK689" s="10"/>
      <c r="AL689" s="11"/>
    </row>
    <row r="690" spans="1:38" ht="11.25" hidden="1" customHeight="1" collapsed="1" x14ac:dyDescent="0.2">
      <c r="A690" s="60" t="s">
        <v>677</v>
      </c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4">
        <v>1287.4100000000001</v>
      </c>
      <c r="U690" s="64"/>
      <c r="V690" s="64"/>
      <c r="W690" s="64"/>
      <c r="X690" s="64"/>
      <c r="Y690" s="61">
        <v>1316.1310000000001</v>
      </c>
      <c r="Z690" s="61"/>
      <c r="AA690" s="61"/>
      <c r="AB690" s="61"/>
      <c r="AC690" s="61"/>
      <c r="AD690" s="62">
        <v>-28.721</v>
      </c>
      <c r="AE690" s="62"/>
      <c r="AF690" s="62"/>
      <c r="AG690" s="62"/>
      <c r="AH690" s="62"/>
      <c r="AI690" s="62"/>
      <c r="AJ690" s="62">
        <v>9.4949999999999992</v>
      </c>
      <c r="AK690" s="62"/>
      <c r="AL690" s="62"/>
    </row>
    <row r="691" spans="1:38" ht="11.25" hidden="1" customHeight="1" outlineLevel="1" x14ac:dyDescent="0.2">
      <c r="A691" s="21">
        <v>1</v>
      </c>
      <c r="B691" s="88" t="s">
        <v>678</v>
      </c>
      <c r="C691" s="88"/>
      <c r="D691" s="88"/>
      <c r="E691" s="88"/>
      <c r="F691" s="88"/>
      <c r="G691" s="88"/>
      <c r="H691" s="88"/>
      <c r="I691" s="88"/>
      <c r="J691" s="88"/>
      <c r="K691" s="88"/>
      <c r="L691" s="88"/>
      <c r="M691" s="88"/>
      <c r="N691" s="88"/>
      <c r="O691" s="88"/>
      <c r="P691" s="88"/>
      <c r="Q691" s="88"/>
      <c r="R691" s="88"/>
      <c r="S691" s="88"/>
      <c r="T691" s="41">
        <v>64.61</v>
      </c>
      <c r="U691" s="41"/>
      <c r="V691" s="41"/>
      <c r="W691" s="41"/>
      <c r="X691" s="41"/>
      <c r="Y691" s="43">
        <v>62.634</v>
      </c>
      <c r="Z691" s="43"/>
      <c r="AA691" s="43"/>
      <c r="AB691" s="43"/>
      <c r="AC691" s="43"/>
      <c r="AD691" s="43">
        <v>1.976</v>
      </c>
      <c r="AE691" s="43"/>
      <c r="AF691" s="43"/>
      <c r="AG691" s="43"/>
      <c r="AH691" s="43"/>
      <c r="AI691" s="43"/>
      <c r="AJ691" s="9"/>
      <c r="AK691" s="10"/>
      <c r="AL691" s="11"/>
    </row>
    <row r="692" spans="1:38" ht="11.25" hidden="1" customHeight="1" outlineLevel="1" x14ac:dyDescent="0.2">
      <c r="A692" s="21">
        <v>2</v>
      </c>
      <c r="B692" s="88" t="s">
        <v>679</v>
      </c>
      <c r="C692" s="88"/>
      <c r="D692" s="88"/>
      <c r="E692" s="88"/>
      <c r="F692" s="88"/>
      <c r="G692" s="88"/>
      <c r="H692" s="88"/>
      <c r="I692" s="88"/>
      <c r="J692" s="88"/>
      <c r="K692" s="88"/>
      <c r="L692" s="88"/>
      <c r="M692" s="88"/>
      <c r="N692" s="88"/>
      <c r="O692" s="88"/>
      <c r="P692" s="88"/>
      <c r="Q692" s="88"/>
      <c r="R692" s="88"/>
      <c r="S692" s="88"/>
      <c r="T692" s="41">
        <v>81.05</v>
      </c>
      <c r="U692" s="41"/>
      <c r="V692" s="41"/>
      <c r="W692" s="41"/>
      <c r="X692" s="41"/>
      <c r="Y692" s="41">
        <v>80.83</v>
      </c>
      <c r="Z692" s="41"/>
      <c r="AA692" s="41"/>
      <c r="AB692" s="41"/>
      <c r="AC692" s="41"/>
      <c r="AD692" s="41">
        <v>0.22</v>
      </c>
      <c r="AE692" s="41"/>
      <c r="AF692" s="41"/>
      <c r="AG692" s="41"/>
      <c r="AH692" s="41"/>
      <c r="AI692" s="41"/>
      <c r="AJ692" s="9"/>
      <c r="AK692" s="10"/>
      <c r="AL692" s="11"/>
    </row>
    <row r="693" spans="1:38" ht="11.25" hidden="1" customHeight="1" outlineLevel="1" x14ac:dyDescent="0.2">
      <c r="A693" s="21">
        <v>3</v>
      </c>
      <c r="B693" s="88" t="s">
        <v>680</v>
      </c>
      <c r="C693" s="88"/>
      <c r="D693" s="88"/>
      <c r="E693" s="88"/>
      <c r="F693" s="88"/>
      <c r="G693" s="88"/>
      <c r="H693" s="88"/>
      <c r="I693" s="88"/>
      <c r="J693" s="88"/>
      <c r="K693" s="88"/>
      <c r="L693" s="88"/>
      <c r="M693" s="88"/>
      <c r="N693" s="88"/>
      <c r="O693" s="88"/>
      <c r="P693" s="88"/>
      <c r="Q693" s="88"/>
      <c r="R693" s="88"/>
      <c r="S693" s="88"/>
      <c r="T693" s="59">
        <v>30.4</v>
      </c>
      <c r="U693" s="59"/>
      <c r="V693" s="59"/>
      <c r="W693" s="59"/>
      <c r="X693" s="59"/>
      <c r="Y693" s="43">
        <v>29.687000000000001</v>
      </c>
      <c r="Z693" s="43"/>
      <c r="AA693" s="43"/>
      <c r="AB693" s="43"/>
      <c r="AC693" s="43"/>
      <c r="AD693" s="43">
        <v>0.71299999999999997</v>
      </c>
      <c r="AE693" s="43"/>
      <c r="AF693" s="43"/>
      <c r="AG693" s="43"/>
      <c r="AH693" s="43"/>
      <c r="AI693" s="43"/>
      <c r="AJ693" s="9"/>
      <c r="AK693" s="10"/>
      <c r="AL693" s="11"/>
    </row>
    <row r="694" spans="1:38" ht="11.25" hidden="1" customHeight="1" outlineLevel="1" x14ac:dyDescent="0.2">
      <c r="A694" s="21">
        <v>4</v>
      </c>
      <c r="B694" s="88" t="s">
        <v>681</v>
      </c>
      <c r="C694" s="88"/>
      <c r="D694" s="88"/>
      <c r="E694" s="88"/>
      <c r="F694" s="88"/>
      <c r="G694" s="88"/>
      <c r="H694" s="88"/>
      <c r="I694" s="88"/>
      <c r="J694" s="88"/>
      <c r="K694" s="88"/>
      <c r="L694" s="88"/>
      <c r="M694" s="88"/>
      <c r="N694" s="88"/>
      <c r="O694" s="88"/>
      <c r="P694" s="88"/>
      <c r="Q694" s="88"/>
      <c r="R694" s="88"/>
      <c r="S694" s="88"/>
      <c r="T694" s="41">
        <v>43.97</v>
      </c>
      <c r="U694" s="41"/>
      <c r="V694" s="41"/>
      <c r="W694" s="41"/>
      <c r="X694" s="41"/>
      <c r="Y694" s="41">
        <v>43.82</v>
      </c>
      <c r="Z694" s="41"/>
      <c r="AA694" s="41"/>
      <c r="AB694" s="41"/>
      <c r="AC694" s="41"/>
      <c r="AD694" s="41">
        <v>0.15</v>
      </c>
      <c r="AE694" s="41"/>
      <c r="AF694" s="41"/>
      <c r="AG694" s="41"/>
      <c r="AH694" s="41"/>
      <c r="AI694" s="41"/>
      <c r="AJ694" s="9"/>
      <c r="AK694" s="10"/>
      <c r="AL694" s="11"/>
    </row>
    <row r="695" spans="1:38" ht="11.25" hidden="1" customHeight="1" outlineLevel="1" x14ac:dyDescent="0.2">
      <c r="A695" s="21">
        <v>5</v>
      </c>
      <c r="B695" s="88" t="s">
        <v>682</v>
      </c>
      <c r="C695" s="88"/>
      <c r="D695" s="88"/>
      <c r="E695" s="88"/>
      <c r="F695" s="88"/>
      <c r="G695" s="88"/>
      <c r="H695" s="88"/>
      <c r="I695" s="88"/>
      <c r="J695" s="88"/>
      <c r="K695" s="88"/>
      <c r="L695" s="88"/>
      <c r="M695" s="88"/>
      <c r="N695" s="88"/>
      <c r="O695" s="88"/>
      <c r="P695" s="88"/>
      <c r="Q695" s="88"/>
      <c r="R695" s="88"/>
      <c r="S695" s="88"/>
      <c r="T695" s="41">
        <v>37.29</v>
      </c>
      <c r="U695" s="41"/>
      <c r="V695" s="41"/>
      <c r="W695" s="41"/>
      <c r="X695" s="41"/>
      <c r="Y695" s="43">
        <v>38.213999999999999</v>
      </c>
      <c r="Z695" s="43"/>
      <c r="AA695" s="43"/>
      <c r="AB695" s="43"/>
      <c r="AC695" s="43"/>
      <c r="AD695" s="43">
        <v>-0.92400000000000004</v>
      </c>
      <c r="AE695" s="43"/>
      <c r="AF695" s="43"/>
      <c r="AG695" s="43"/>
      <c r="AH695" s="43"/>
      <c r="AI695" s="43"/>
      <c r="AJ695" s="9"/>
      <c r="AK695" s="10"/>
      <c r="AL695" s="11"/>
    </row>
    <row r="696" spans="1:38" ht="11.25" hidden="1" customHeight="1" outlineLevel="1" x14ac:dyDescent="0.2">
      <c r="A696" s="21">
        <v>6</v>
      </c>
      <c r="B696" s="88" t="s">
        <v>683</v>
      </c>
      <c r="C696" s="88"/>
      <c r="D696" s="88"/>
      <c r="E696" s="88"/>
      <c r="F696" s="88"/>
      <c r="G696" s="88"/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T696" s="41">
        <v>11.95</v>
      </c>
      <c r="U696" s="41"/>
      <c r="V696" s="41"/>
      <c r="W696" s="41"/>
      <c r="X696" s="41"/>
      <c r="Y696" s="43">
        <v>11.903</v>
      </c>
      <c r="Z696" s="43"/>
      <c r="AA696" s="43"/>
      <c r="AB696" s="43"/>
      <c r="AC696" s="43"/>
      <c r="AD696" s="43">
        <v>4.7E-2</v>
      </c>
      <c r="AE696" s="43"/>
      <c r="AF696" s="43"/>
      <c r="AG696" s="43"/>
      <c r="AH696" s="43"/>
      <c r="AI696" s="43"/>
      <c r="AJ696" s="9"/>
      <c r="AK696" s="10"/>
      <c r="AL696" s="11"/>
    </row>
    <row r="697" spans="1:38" ht="11.25" hidden="1" customHeight="1" outlineLevel="1" x14ac:dyDescent="0.2">
      <c r="A697" s="21">
        <v>7</v>
      </c>
      <c r="B697" s="88" t="s">
        <v>684</v>
      </c>
      <c r="C697" s="88"/>
      <c r="D697" s="88"/>
      <c r="E697" s="88"/>
      <c r="F697" s="88"/>
      <c r="G697" s="88"/>
      <c r="H697" s="88"/>
      <c r="I697" s="88"/>
      <c r="J697" s="88"/>
      <c r="K697" s="88"/>
      <c r="L697" s="88"/>
      <c r="M697" s="88"/>
      <c r="N697" s="88"/>
      <c r="O697" s="88"/>
      <c r="P697" s="88"/>
      <c r="Q697" s="88"/>
      <c r="R697" s="88"/>
      <c r="S697" s="88"/>
      <c r="T697" s="41">
        <v>33.86</v>
      </c>
      <c r="U697" s="41"/>
      <c r="V697" s="41"/>
      <c r="W697" s="41"/>
      <c r="X697" s="41"/>
      <c r="Y697" s="43">
        <v>33.975000000000001</v>
      </c>
      <c r="Z697" s="43"/>
      <c r="AA697" s="43"/>
      <c r="AB697" s="43"/>
      <c r="AC697" s="43"/>
      <c r="AD697" s="43">
        <v>-0.115</v>
      </c>
      <c r="AE697" s="43"/>
      <c r="AF697" s="43"/>
      <c r="AG697" s="43"/>
      <c r="AH697" s="43"/>
      <c r="AI697" s="43"/>
      <c r="AJ697" s="9"/>
      <c r="AK697" s="10"/>
      <c r="AL697" s="11"/>
    </row>
    <row r="698" spans="1:38" ht="11.25" hidden="1" customHeight="1" outlineLevel="1" x14ac:dyDescent="0.2">
      <c r="A698" s="21">
        <v>8</v>
      </c>
      <c r="B698" s="88" t="s">
        <v>685</v>
      </c>
      <c r="C698" s="88"/>
      <c r="D698" s="88"/>
      <c r="E698" s="88"/>
      <c r="F698" s="88"/>
      <c r="G698" s="88"/>
      <c r="H698" s="88"/>
      <c r="I698" s="88"/>
      <c r="J698" s="88"/>
      <c r="K698" s="88"/>
      <c r="L698" s="88"/>
      <c r="M698" s="88"/>
      <c r="N698" s="88"/>
      <c r="O698" s="88"/>
      <c r="P698" s="88"/>
      <c r="Q698" s="88"/>
      <c r="R698" s="88"/>
      <c r="S698" s="88"/>
      <c r="T698" s="41">
        <v>44.71</v>
      </c>
      <c r="U698" s="41"/>
      <c r="V698" s="41"/>
      <c r="W698" s="41"/>
      <c r="X698" s="41"/>
      <c r="Y698" s="43">
        <v>45.055</v>
      </c>
      <c r="Z698" s="43"/>
      <c r="AA698" s="43"/>
      <c r="AB698" s="43"/>
      <c r="AC698" s="43"/>
      <c r="AD698" s="43">
        <v>-0.34499999999999997</v>
      </c>
      <c r="AE698" s="43"/>
      <c r="AF698" s="43"/>
      <c r="AG698" s="43"/>
      <c r="AH698" s="43"/>
      <c r="AI698" s="43"/>
      <c r="AJ698" s="9"/>
      <c r="AK698" s="10"/>
      <c r="AL698" s="11"/>
    </row>
    <row r="699" spans="1:38" ht="11.25" hidden="1" customHeight="1" outlineLevel="1" x14ac:dyDescent="0.2">
      <c r="A699" s="21">
        <v>9</v>
      </c>
      <c r="B699" s="88" t="s">
        <v>686</v>
      </c>
      <c r="C699" s="88"/>
      <c r="D699" s="88"/>
      <c r="E699" s="88"/>
      <c r="F699" s="88"/>
      <c r="G699" s="88"/>
      <c r="H699" s="88"/>
      <c r="I699" s="88"/>
      <c r="J699" s="88"/>
      <c r="K699" s="88"/>
      <c r="L699" s="88"/>
      <c r="M699" s="88"/>
      <c r="N699" s="88"/>
      <c r="O699" s="88"/>
      <c r="P699" s="88"/>
      <c r="Q699" s="88"/>
      <c r="R699" s="88"/>
      <c r="S699" s="88"/>
      <c r="T699" s="59">
        <v>25.2</v>
      </c>
      <c r="U699" s="59"/>
      <c r="V699" s="59"/>
      <c r="W699" s="59"/>
      <c r="X699" s="59"/>
      <c r="Y699" s="43">
        <v>25.829000000000001</v>
      </c>
      <c r="Z699" s="43"/>
      <c r="AA699" s="43"/>
      <c r="AB699" s="43"/>
      <c r="AC699" s="43"/>
      <c r="AD699" s="43">
        <v>-0.629</v>
      </c>
      <c r="AE699" s="43"/>
      <c r="AF699" s="43"/>
      <c r="AG699" s="43"/>
      <c r="AH699" s="43"/>
      <c r="AI699" s="43"/>
      <c r="AJ699" s="9"/>
      <c r="AK699" s="10"/>
      <c r="AL699" s="11"/>
    </row>
    <row r="700" spans="1:38" ht="11.25" hidden="1" customHeight="1" outlineLevel="1" x14ac:dyDescent="0.2">
      <c r="A700" s="21">
        <v>10</v>
      </c>
      <c r="B700" s="88" t="s">
        <v>687</v>
      </c>
      <c r="C700" s="88"/>
      <c r="D700" s="88"/>
      <c r="E700" s="88"/>
      <c r="F700" s="88"/>
      <c r="G700" s="88"/>
      <c r="H700" s="88"/>
      <c r="I700" s="88"/>
      <c r="J700" s="88"/>
      <c r="K700" s="88"/>
      <c r="L700" s="88"/>
      <c r="M700" s="88"/>
      <c r="N700" s="88"/>
      <c r="O700" s="88"/>
      <c r="P700" s="88"/>
      <c r="Q700" s="88"/>
      <c r="R700" s="88"/>
      <c r="S700" s="88"/>
      <c r="T700" s="41">
        <v>51.08</v>
      </c>
      <c r="U700" s="41"/>
      <c r="V700" s="41"/>
      <c r="W700" s="41"/>
      <c r="X700" s="41"/>
      <c r="Y700" s="43">
        <v>52.509</v>
      </c>
      <c r="Z700" s="43"/>
      <c r="AA700" s="43"/>
      <c r="AB700" s="43"/>
      <c r="AC700" s="43"/>
      <c r="AD700" s="43">
        <v>-1.429</v>
      </c>
      <c r="AE700" s="43"/>
      <c r="AF700" s="43"/>
      <c r="AG700" s="43"/>
      <c r="AH700" s="43"/>
      <c r="AI700" s="43"/>
      <c r="AJ700" s="9"/>
      <c r="AK700" s="10"/>
      <c r="AL700" s="11"/>
    </row>
    <row r="701" spans="1:38" ht="11.25" hidden="1" customHeight="1" outlineLevel="1" x14ac:dyDescent="0.2">
      <c r="A701" s="21">
        <v>11</v>
      </c>
      <c r="B701" s="88" t="s">
        <v>688</v>
      </c>
      <c r="C701" s="88"/>
      <c r="D701" s="88"/>
      <c r="E701" s="88"/>
      <c r="F701" s="88"/>
      <c r="G701" s="88"/>
      <c r="H701" s="88"/>
      <c r="I701" s="88"/>
      <c r="J701" s="88"/>
      <c r="K701" s="88"/>
      <c r="L701" s="88"/>
      <c r="M701" s="88"/>
      <c r="N701" s="88"/>
      <c r="O701" s="88"/>
      <c r="P701" s="88"/>
      <c r="Q701" s="88"/>
      <c r="R701" s="88"/>
      <c r="S701" s="88"/>
      <c r="T701" s="41">
        <v>405.82</v>
      </c>
      <c r="U701" s="41"/>
      <c r="V701" s="41"/>
      <c r="W701" s="41"/>
      <c r="X701" s="41"/>
      <c r="Y701" s="43">
        <v>426.15899999999999</v>
      </c>
      <c r="Z701" s="43"/>
      <c r="AA701" s="43"/>
      <c r="AB701" s="43"/>
      <c r="AC701" s="43"/>
      <c r="AD701" s="43">
        <v>-20.338999999999999</v>
      </c>
      <c r="AE701" s="43"/>
      <c r="AF701" s="43"/>
      <c r="AG701" s="43"/>
      <c r="AH701" s="43"/>
      <c r="AI701" s="43"/>
      <c r="AJ701" s="9"/>
      <c r="AK701" s="10"/>
      <c r="AL701" s="11"/>
    </row>
    <row r="702" spans="1:38" ht="11.25" hidden="1" customHeight="1" outlineLevel="1" x14ac:dyDescent="0.2">
      <c r="A702" s="21">
        <v>12</v>
      </c>
      <c r="B702" s="88" t="s">
        <v>689</v>
      </c>
      <c r="C702" s="88"/>
      <c r="D702" s="88"/>
      <c r="E702" s="88"/>
      <c r="F702" s="88"/>
      <c r="G702" s="88"/>
      <c r="H702" s="88"/>
      <c r="I702" s="88"/>
      <c r="J702" s="88"/>
      <c r="K702" s="88"/>
      <c r="L702" s="88"/>
      <c r="M702" s="88"/>
      <c r="N702" s="88"/>
      <c r="O702" s="88"/>
      <c r="P702" s="88"/>
      <c r="Q702" s="88"/>
      <c r="R702" s="88"/>
      <c r="S702" s="88"/>
      <c r="T702" s="41">
        <v>160.91999999999999</v>
      </c>
      <c r="U702" s="41"/>
      <c r="V702" s="41"/>
      <c r="W702" s="41"/>
      <c r="X702" s="41"/>
      <c r="Y702" s="43">
        <v>162.63399999999999</v>
      </c>
      <c r="Z702" s="43"/>
      <c r="AA702" s="43"/>
      <c r="AB702" s="43"/>
      <c r="AC702" s="43"/>
      <c r="AD702" s="43">
        <v>-1.714</v>
      </c>
      <c r="AE702" s="43"/>
      <c r="AF702" s="43"/>
      <c r="AG702" s="43"/>
      <c r="AH702" s="43"/>
      <c r="AI702" s="43"/>
      <c r="AJ702" s="9"/>
      <c r="AK702" s="10"/>
      <c r="AL702" s="11"/>
    </row>
    <row r="703" spans="1:38" ht="11.25" hidden="1" customHeight="1" outlineLevel="1" x14ac:dyDescent="0.2">
      <c r="A703" s="21">
        <v>13</v>
      </c>
      <c r="B703" s="88" t="s">
        <v>690</v>
      </c>
      <c r="C703" s="88"/>
      <c r="D703" s="88"/>
      <c r="E703" s="88"/>
      <c r="F703" s="88"/>
      <c r="G703" s="88"/>
      <c r="H703" s="88"/>
      <c r="I703" s="88"/>
      <c r="J703" s="88"/>
      <c r="K703" s="88"/>
      <c r="L703" s="88"/>
      <c r="M703" s="88"/>
      <c r="N703" s="88"/>
      <c r="O703" s="88"/>
      <c r="P703" s="88"/>
      <c r="Q703" s="88"/>
      <c r="R703" s="88"/>
      <c r="S703" s="88"/>
      <c r="T703" s="41">
        <v>26.48</v>
      </c>
      <c r="U703" s="41"/>
      <c r="V703" s="41"/>
      <c r="W703" s="41"/>
      <c r="X703" s="41"/>
      <c r="Y703" s="43">
        <v>26.606000000000002</v>
      </c>
      <c r="Z703" s="43"/>
      <c r="AA703" s="43"/>
      <c r="AB703" s="43"/>
      <c r="AC703" s="43"/>
      <c r="AD703" s="43">
        <v>-0.126</v>
      </c>
      <c r="AE703" s="43"/>
      <c r="AF703" s="43"/>
      <c r="AG703" s="43"/>
      <c r="AH703" s="43"/>
      <c r="AI703" s="43"/>
      <c r="AJ703" s="9"/>
      <c r="AK703" s="10"/>
      <c r="AL703" s="11"/>
    </row>
    <row r="704" spans="1:38" ht="11.25" hidden="1" customHeight="1" outlineLevel="1" x14ac:dyDescent="0.2">
      <c r="A704" s="21">
        <v>14</v>
      </c>
      <c r="B704" s="88" t="s">
        <v>691</v>
      </c>
      <c r="C704" s="88"/>
      <c r="D704" s="88"/>
      <c r="E704" s="88"/>
      <c r="F704" s="88"/>
      <c r="G704" s="88"/>
      <c r="H704" s="88"/>
      <c r="I704" s="88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59">
        <v>15.9</v>
      </c>
      <c r="U704" s="59"/>
      <c r="V704" s="59"/>
      <c r="W704" s="59"/>
      <c r="X704" s="59"/>
      <c r="Y704" s="43">
        <v>15.837999999999999</v>
      </c>
      <c r="Z704" s="43"/>
      <c r="AA704" s="43"/>
      <c r="AB704" s="43"/>
      <c r="AC704" s="43"/>
      <c r="AD704" s="43">
        <v>6.2E-2</v>
      </c>
      <c r="AE704" s="43"/>
      <c r="AF704" s="43"/>
      <c r="AG704" s="43"/>
      <c r="AH704" s="43"/>
      <c r="AI704" s="43"/>
      <c r="AJ704" s="9"/>
      <c r="AK704" s="10"/>
      <c r="AL704" s="11"/>
    </row>
    <row r="705" spans="1:38" ht="11.25" hidden="1" customHeight="1" outlineLevel="1" x14ac:dyDescent="0.2">
      <c r="A705" s="21">
        <v>15</v>
      </c>
      <c r="B705" s="88" t="s">
        <v>692</v>
      </c>
      <c r="C705" s="88"/>
      <c r="D705" s="88"/>
      <c r="E705" s="88"/>
      <c r="F705" s="88"/>
      <c r="G705" s="88"/>
      <c r="H705" s="88"/>
      <c r="I705" s="88"/>
      <c r="J705" s="88"/>
      <c r="K705" s="88"/>
      <c r="L705" s="88"/>
      <c r="M705" s="88"/>
      <c r="N705" s="88"/>
      <c r="O705" s="88"/>
      <c r="P705" s="88"/>
      <c r="Q705" s="88"/>
      <c r="R705" s="88"/>
      <c r="S705" s="88"/>
      <c r="T705" s="59">
        <v>23.6</v>
      </c>
      <c r="U705" s="59"/>
      <c r="V705" s="59"/>
      <c r="W705" s="59"/>
      <c r="X705" s="59"/>
      <c r="Y705" s="41">
        <v>23.74</v>
      </c>
      <c r="Z705" s="41"/>
      <c r="AA705" s="41"/>
      <c r="AB705" s="41"/>
      <c r="AC705" s="41"/>
      <c r="AD705" s="41">
        <v>-0.14000000000000001</v>
      </c>
      <c r="AE705" s="41"/>
      <c r="AF705" s="41"/>
      <c r="AG705" s="41"/>
      <c r="AH705" s="41"/>
      <c r="AI705" s="41"/>
      <c r="AJ705" s="9"/>
      <c r="AK705" s="10"/>
      <c r="AL705" s="11"/>
    </row>
    <row r="706" spans="1:38" ht="21.75" hidden="1" customHeight="1" outlineLevel="1" x14ac:dyDescent="0.2">
      <c r="A706" s="21">
        <v>16</v>
      </c>
      <c r="B706" s="88" t="s">
        <v>693</v>
      </c>
      <c r="C706" s="88"/>
      <c r="D706" s="88"/>
      <c r="E706" s="88"/>
      <c r="F706" s="88"/>
      <c r="G706" s="88"/>
      <c r="H706" s="88"/>
      <c r="I706" s="88"/>
      <c r="J706" s="88"/>
      <c r="K706" s="88"/>
      <c r="L706" s="88"/>
      <c r="M706" s="88"/>
      <c r="N706" s="88"/>
      <c r="O706" s="88"/>
      <c r="P706" s="88"/>
      <c r="Q706" s="88"/>
      <c r="R706" s="88"/>
      <c r="S706" s="88"/>
      <c r="T706" s="59">
        <v>12.9</v>
      </c>
      <c r="U706" s="59"/>
      <c r="V706" s="59"/>
      <c r="W706" s="59"/>
      <c r="X706" s="59"/>
      <c r="Y706" s="43">
        <v>12.996</v>
      </c>
      <c r="Z706" s="43"/>
      <c r="AA706" s="43"/>
      <c r="AB706" s="43"/>
      <c r="AC706" s="43"/>
      <c r="AD706" s="43">
        <v>-9.6000000000000002E-2</v>
      </c>
      <c r="AE706" s="43"/>
      <c r="AF706" s="43"/>
      <c r="AG706" s="43"/>
      <c r="AH706" s="43"/>
      <c r="AI706" s="43"/>
      <c r="AJ706" s="9"/>
      <c r="AK706" s="10"/>
      <c r="AL706" s="11"/>
    </row>
    <row r="707" spans="1:38" ht="11.25" hidden="1" customHeight="1" outlineLevel="1" x14ac:dyDescent="0.2">
      <c r="A707" s="21">
        <v>17</v>
      </c>
      <c r="B707" s="88" t="s">
        <v>694</v>
      </c>
      <c r="C707" s="88"/>
      <c r="D707" s="88"/>
      <c r="E707" s="88"/>
      <c r="F707" s="88"/>
      <c r="G707" s="88"/>
      <c r="H707" s="88"/>
      <c r="I707" s="88"/>
      <c r="J707" s="88"/>
      <c r="K707" s="88"/>
      <c r="L707" s="88"/>
      <c r="M707" s="88"/>
      <c r="N707" s="88"/>
      <c r="O707" s="88"/>
      <c r="P707" s="88"/>
      <c r="Q707" s="88"/>
      <c r="R707" s="88"/>
      <c r="S707" s="88"/>
      <c r="T707" s="59">
        <v>18.399999999999999</v>
      </c>
      <c r="U707" s="59"/>
      <c r="V707" s="59"/>
      <c r="W707" s="59"/>
      <c r="X707" s="59"/>
      <c r="Y707" s="43">
        <v>18.451000000000001</v>
      </c>
      <c r="Z707" s="43"/>
      <c r="AA707" s="43"/>
      <c r="AB707" s="43"/>
      <c r="AC707" s="43"/>
      <c r="AD707" s="43">
        <v>-5.0999999999999997E-2</v>
      </c>
      <c r="AE707" s="43"/>
      <c r="AF707" s="43"/>
      <c r="AG707" s="43"/>
      <c r="AH707" s="43"/>
      <c r="AI707" s="43"/>
      <c r="AJ707" s="9"/>
      <c r="AK707" s="10"/>
      <c r="AL707" s="11"/>
    </row>
    <row r="708" spans="1:38" ht="11.25" hidden="1" customHeight="1" outlineLevel="1" x14ac:dyDescent="0.2">
      <c r="A708" s="21">
        <v>18</v>
      </c>
      <c r="B708" s="88" t="s">
        <v>695</v>
      </c>
      <c r="C708" s="88"/>
      <c r="D708" s="88"/>
      <c r="E708" s="88"/>
      <c r="F708" s="88"/>
      <c r="G708" s="88"/>
      <c r="H708" s="88"/>
      <c r="I708" s="88"/>
      <c r="J708" s="88"/>
      <c r="K708" s="88"/>
      <c r="L708" s="88"/>
      <c r="M708" s="88"/>
      <c r="N708" s="88"/>
      <c r="O708" s="88"/>
      <c r="P708" s="88"/>
      <c r="Q708" s="88"/>
      <c r="R708" s="88"/>
      <c r="S708" s="88"/>
      <c r="T708" s="59">
        <v>84.9</v>
      </c>
      <c r="U708" s="59"/>
      <c r="V708" s="59"/>
      <c r="W708" s="59"/>
      <c r="X708" s="59"/>
      <c r="Y708" s="43">
        <v>87.497</v>
      </c>
      <c r="Z708" s="43"/>
      <c r="AA708" s="43"/>
      <c r="AB708" s="43"/>
      <c r="AC708" s="43"/>
      <c r="AD708" s="43">
        <v>-2.597</v>
      </c>
      <c r="AE708" s="43"/>
      <c r="AF708" s="43"/>
      <c r="AG708" s="43"/>
      <c r="AH708" s="43"/>
      <c r="AI708" s="43"/>
      <c r="AJ708" s="9"/>
      <c r="AK708" s="10"/>
      <c r="AL708" s="11"/>
    </row>
    <row r="709" spans="1:38" ht="11.25" hidden="1" customHeight="1" outlineLevel="1" x14ac:dyDescent="0.2">
      <c r="A709" s="21">
        <v>19</v>
      </c>
      <c r="B709" s="88" t="s">
        <v>696</v>
      </c>
      <c r="C709" s="88"/>
      <c r="D709" s="88"/>
      <c r="E709" s="88"/>
      <c r="F709" s="88"/>
      <c r="G709" s="88"/>
      <c r="H709" s="88"/>
      <c r="I709" s="88"/>
      <c r="J709" s="88"/>
      <c r="K709" s="88"/>
      <c r="L709" s="88"/>
      <c r="M709" s="88"/>
      <c r="N709" s="88"/>
      <c r="O709" s="88"/>
      <c r="P709" s="88"/>
      <c r="Q709" s="88"/>
      <c r="R709" s="88"/>
      <c r="S709" s="88"/>
      <c r="T709" s="41">
        <v>12.79</v>
      </c>
      <c r="U709" s="41"/>
      <c r="V709" s="41"/>
      <c r="W709" s="41"/>
      <c r="X709" s="41"/>
      <c r="Y709" s="43">
        <v>12.811</v>
      </c>
      <c r="Z709" s="43"/>
      <c r="AA709" s="43"/>
      <c r="AB709" s="43"/>
      <c r="AC709" s="43"/>
      <c r="AD709" s="43">
        <v>-2.1000000000000001E-2</v>
      </c>
      <c r="AE709" s="43"/>
      <c r="AF709" s="43"/>
      <c r="AG709" s="43"/>
      <c r="AH709" s="43"/>
      <c r="AI709" s="43"/>
      <c r="AJ709" s="9"/>
      <c r="AK709" s="10"/>
      <c r="AL709" s="11"/>
    </row>
    <row r="710" spans="1:38" ht="11.25" hidden="1" customHeight="1" outlineLevel="1" x14ac:dyDescent="0.2">
      <c r="A710" s="21">
        <v>20</v>
      </c>
      <c r="B710" s="88" t="s">
        <v>697</v>
      </c>
      <c r="C710" s="88"/>
      <c r="D710" s="88"/>
      <c r="E710" s="88"/>
      <c r="F710" s="88"/>
      <c r="G710" s="88"/>
      <c r="H710" s="88"/>
      <c r="I710" s="88"/>
      <c r="J710" s="88"/>
      <c r="K710" s="88"/>
      <c r="L710" s="88"/>
      <c r="M710" s="88"/>
      <c r="N710" s="88"/>
      <c r="O710" s="88"/>
      <c r="P710" s="88"/>
      <c r="Q710" s="88"/>
      <c r="R710" s="88"/>
      <c r="S710" s="88"/>
      <c r="T710" s="41">
        <v>35.85</v>
      </c>
      <c r="U710" s="41"/>
      <c r="V710" s="41"/>
      <c r="W710" s="41"/>
      <c r="X710" s="41"/>
      <c r="Y710" s="43">
        <v>37.192999999999998</v>
      </c>
      <c r="Z710" s="43"/>
      <c r="AA710" s="43"/>
      <c r="AB710" s="43"/>
      <c r="AC710" s="43"/>
      <c r="AD710" s="43">
        <v>-1.343</v>
      </c>
      <c r="AE710" s="43"/>
      <c r="AF710" s="43"/>
      <c r="AG710" s="43"/>
      <c r="AH710" s="43"/>
      <c r="AI710" s="43"/>
      <c r="AJ710" s="9"/>
      <c r="AK710" s="10"/>
      <c r="AL710" s="11"/>
    </row>
    <row r="711" spans="1:38" ht="11.25" hidden="1" customHeight="1" outlineLevel="1" x14ac:dyDescent="0.2">
      <c r="A711" s="21">
        <v>21</v>
      </c>
      <c r="B711" s="88" t="s">
        <v>698</v>
      </c>
      <c r="C711" s="88"/>
      <c r="D711" s="88"/>
      <c r="E711" s="88"/>
      <c r="F711" s="88"/>
      <c r="G711" s="88"/>
      <c r="H711" s="88"/>
      <c r="I711" s="88"/>
      <c r="J711" s="88"/>
      <c r="K711" s="88"/>
      <c r="L711" s="88"/>
      <c r="M711" s="88"/>
      <c r="N711" s="88"/>
      <c r="O711" s="88"/>
      <c r="P711" s="88"/>
      <c r="Q711" s="88"/>
      <c r="R711" s="88"/>
      <c r="S711" s="88"/>
      <c r="T711" s="59">
        <v>23.8</v>
      </c>
      <c r="U711" s="59"/>
      <c r="V711" s="59"/>
      <c r="W711" s="59"/>
      <c r="X711" s="59"/>
      <c r="Y711" s="43">
        <v>24.960999999999999</v>
      </c>
      <c r="Z711" s="43"/>
      <c r="AA711" s="43"/>
      <c r="AB711" s="43"/>
      <c r="AC711" s="43"/>
      <c r="AD711" s="43">
        <v>-1.161</v>
      </c>
      <c r="AE711" s="43"/>
      <c r="AF711" s="43"/>
      <c r="AG711" s="43"/>
      <c r="AH711" s="43"/>
      <c r="AI711" s="43"/>
      <c r="AJ711" s="9"/>
      <c r="AK711" s="10"/>
      <c r="AL711" s="11"/>
    </row>
    <row r="712" spans="1:38" ht="11.25" hidden="1" customHeight="1" outlineLevel="1" x14ac:dyDescent="0.2">
      <c r="A712" s="21">
        <v>22</v>
      </c>
      <c r="B712" s="88" t="s">
        <v>699</v>
      </c>
      <c r="C712" s="88"/>
      <c r="D712" s="88"/>
      <c r="E712" s="88"/>
      <c r="F712" s="88"/>
      <c r="G712" s="88"/>
      <c r="H712" s="88"/>
      <c r="I712" s="88"/>
      <c r="J712" s="88"/>
      <c r="K712" s="88"/>
      <c r="L712" s="88"/>
      <c r="M712" s="88"/>
      <c r="N712" s="88"/>
      <c r="O712" s="88"/>
      <c r="P712" s="88"/>
      <c r="Q712" s="88"/>
      <c r="R712" s="88"/>
      <c r="S712" s="88"/>
      <c r="T712" s="59">
        <v>6.4</v>
      </c>
      <c r="U712" s="59"/>
      <c r="V712" s="59"/>
      <c r="W712" s="59"/>
      <c r="X712" s="59"/>
      <c r="Y712" s="43">
        <v>6.3949999999999996</v>
      </c>
      <c r="Z712" s="43"/>
      <c r="AA712" s="43"/>
      <c r="AB712" s="43"/>
      <c r="AC712" s="43"/>
      <c r="AD712" s="43">
        <v>5.0000000000000001E-3</v>
      </c>
      <c r="AE712" s="43"/>
      <c r="AF712" s="43"/>
      <c r="AG712" s="43"/>
      <c r="AH712" s="43"/>
      <c r="AI712" s="43"/>
      <c r="AJ712" s="9"/>
      <c r="AK712" s="10"/>
      <c r="AL712" s="11"/>
    </row>
    <row r="713" spans="1:38" ht="11.25" hidden="1" customHeight="1" outlineLevel="1" x14ac:dyDescent="0.2">
      <c r="A713" s="21">
        <v>23</v>
      </c>
      <c r="B713" s="88" t="s">
        <v>700</v>
      </c>
      <c r="C713" s="88"/>
      <c r="D713" s="88"/>
      <c r="E713" s="88"/>
      <c r="F713" s="88"/>
      <c r="G713" s="88"/>
      <c r="H713" s="88"/>
      <c r="I713" s="88"/>
      <c r="J713" s="88"/>
      <c r="K713" s="88"/>
      <c r="L713" s="88"/>
      <c r="M713" s="88"/>
      <c r="N713" s="88"/>
      <c r="O713" s="88"/>
      <c r="P713" s="88"/>
      <c r="Q713" s="88"/>
      <c r="R713" s="88"/>
      <c r="S713" s="88"/>
      <c r="T713" s="41">
        <v>17.29</v>
      </c>
      <c r="U713" s="41"/>
      <c r="V713" s="41"/>
      <c r="W713" s="41"/>
      <c r="X713" s="41"/>
      <c r="Y713" s="43">
        <v>17.361000000000001</v>
      </c>
      <c r="Z713" s="43"/>
      <c r="AA713" s="43"/>
      <c r="AB713" s="43"/>
      <c r="AC713" s="43"/>
      <c r="AD713" s="43">
        <v>-7.0999999999999994E-2</v>
      </c>
      <c r="AE713" s="43"/>
      <c r="AF713" s="43"/>
      <c r="AG713" s="43"/>
      <c r="AH713" s="43"/>
      <c r="AI713" s="43"/>
      <c r="AJ713" s="9"/>
      <c r="AK713" s="10"/>
      <c r="AL713" s="11"/>
    </row>
    <row r="714" spans="1:38" ht="11.25" hidden="1" customHeight="1" outlineLevel="1" x14ac:dyDescent="0.2">
      <c r="A714" s="21">
        <v>24</v>
      </c>
      <c r="B714" s="88" t="s">
        <v>701</v>
      </c>
      <c r="C714" s="88"/>
      <c r="D714" s="88"/>
      <c r="E714" s="88"/>
      <c r="F714" s="88"/>
      <c r="G714" s="88"/>
      <c r="H714" s="88"/>
      <c r="I714" s="88"/>
      <c r="J714" s="88"/>
      <c r="K714" s="88"/>
      <c r="L714" s="88"/>
      <c r="M714" s="88"/>
      <c r="N714" s="88"/>
      <c r="O714" s="88"/>
      <c r="P714" s="88"/>
      <c r="Q714" s="88"/>
      <c r="R714" s="88"/>
      <c r="S714" s="88"/>
      <c r="T714" s="59">
        <v>9.5</v>
      </c>
      <c r="U714" s="59"/>
      <c r="V714" s="59"/>
      <c r="W714" s="59"/>
      <c r="X714" s="59"/>
      <c r="Y714" s="43">
        <v>10.086</v>
      </c>
      <c r="Z714" s="43"/>
      <c r="AA714" s="43"/>
      <c r="AB714" s="43"/>
      <c r="AC714" s="43"/>
      <c r="AD714" s="43">
        <v>-0.58599999999999997</v>
      </c>
      <c r="AE714" s="43"/>
      <c r="AF714" s="43"/>
      <c r="AG714" s="43"/>
      <c r="AH714" s="43"/>
      <c r="AI714" s="43"/>
      <c r="AJ714" s="9"/>
      <c r="AK714" s="10"/>
      <c r="AL714" s="11"/>
    </row>
    <row r="715" spans="1:38" ht="11.25" hidden="1" customHeight="1" outlineLevel="1" x14ac:dyDescent="0.2">
      <c r="A715" s="21">
        <v>25</v>
      </c>
      <c r="B715" s="88" t="s">
        <v>702</v>
      </c>
      <c r="C715" s="88"/>
      <c r="D715" s="88"/>
      <c r="E715" s="88"/>
      <c r="F715" s="88"/>
      <c r="G715" s="88"/>
      <c r="H715" s="88"/>
      <c r="I715" s="88"/>
      <c r="J715" s="88"/>
      <c r="K715" s="88"/>
      <c r="L715" s="88"/>
      <c r="M715" s="88"/>
      <c r="N715" s="88"/>
      <c r="O715" s="88"/>
      <c r="P715" s="88"/>
      <c r="Q715" s="88"/>
      <c r="R715" s="88"/>
      <c r="S715" s="88"/>
      <c r="T715" s="41">
        <v>8.74</v>
      </c>
      <c r="U715" s="41"/>
      <c r="V715" s="41"/>
      <c r="W715" s="41"/>
      <c r="X715" s="41"/>
      <c r="Y715" s="43">
        <v>8.9469999999999992</v>
      </c>
      <c r="Z715" s="43"/>
      <c r="AA715" s="43"/>
      <c r="AB715" s="43"/>
      <c r="AC715" s="43"/>
      <c r="AD715" s="43">
        <v>-0.20699999999999999</v>
      </c>
      <c r="AE715" s="43"/>
      <c r="AF715" s="43"/>
      <c r="AG715" s="43"/>
      <c r="AH715" s="43"/>
      <c r="AI715" s="43"/>
      <c r="AJ715" s="9"/>
      <c r="AK715" s="10"/>
      <c r="AL715" s="11"/>
    </row>
    <row r="716" spans="1:38" ht="11.25" hidden="1" customHeight="1" collapsed="1" x14ac:dyDescent="0.2">
      <c r="A716" s="60" t="s">
        <v>703</v>
      </c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2">
        <v>941.96199999999999</v>
      </c>
      <c r="U716" s="62"/>
      <c r="V716" s="62"/>
      <c r="W716" s="62"/>
      <c r="X716" s="62"/>
      <c r="Y716" s="65">
        <v>940.48</v>
      </c>
      <c r="Z716" s="65"/>
      <c r="AA716" s="65"/>
      <c r="AB716" s="65"/>
      <c r="AC716" s="65"/>
      <c r="AD716" s="62">
        <v>1.482</v>
      </c>
      <c r="AE716" s="62"/>
      <c r="AF716" s="62"/>
      <c r="AG716" s="62"/>
      <c r="AH716" s="62"/>
      <c r="AI716" s="62"/>
      <c r="AJ716" s="62">
        <v>15.164</v>
      </c>
      <c r="AK716" s="62"/>
      <c r="AL716" s="62"/>
    </row>
    <row r="717" spans="1:38" ht="11.25" hidden="1" customHeight="1" outlineLevel="1" x14ac:dyDescent="0.2">
      <c r="A717" s="21">
        <v>1</v>
      </c>
      <c r="B717" s="88" t="s">
        <v>704</v>
      </c>
      <c r="C717" s="88"/>
      <c r="D717" s="88"/>
      <c r="E717" s="88"/>
      <c r="F717" s="88"/>
      <c r="G717" s="88"/>
      <c r="H717" s="88"/>
      <c r="I717" s="88"/>
      <c r="J717" s="88"/>
      <c r="K717" s="88"/>
      <c r="L717" s="88"/>
      <c r="M717" s="88"/>
      <c r="N717" s="88"/>
      <c r="O717" s="88"/>
      <c r="P717" s="88"/>
      <c r="Q717" s="88"/>
      <c r="R717" s="88"/>
      <c r="S717" s="88"/>
      <c r="T717" s="43">
        <v>24.562000000000001</v>
      </c>
      <c r="U717" s="43"/>
      <c r="V717" s="43"/>
      <c r="W717" s="43"/>
      <c r="X717" s="43"/>
      <c r="Y717" s="43">
        <v>20.251000000000001</v>
      </c>
      <c r="Z717" s="43"/>
      <c r="AA717" s="43"/>
      <c r="AB717" s="43"/>
      <c r="AC717" s="43"/>
      <c r="AD717" s="43">
        <v>4.3109999999999999</v>
      </c>
      <c r="AE717" s="43"/>
      <c r="AF717" s="43"/>
      <c r="AG717" s="43"/>
      <c r="AH717" s="43"/>
      <c r="AI717" s="43"/>
      <c r="AJ717" s="9"/>
      <c r="AK717" s="10"/>
      <c r="AL717" s="11"/>
    </row>
    <row r="718" spans="1:38" ht="11.25" hidden="1" customHeight="1" outlineLevel="1" x14ac:dyDescent="0.2">
      <c r="A718" s="21">
        <v>2</v>
      </c>
      <c r="B718" s="88" t="s">
        <v>705</v>
      </c>
      <c r="C718" s="88"/>
      <c r="D718" s="88"/>
      <c r="E718" s="88"/>
      <c r="F718" s="88"/>
      <c r="G718" s="88"/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41">
        <v>10.43</v>
      </c>
      <c r="U718" s="41"/>
      <c r="V718" s="41"/>
      <c r="W718" s="41"/>
      <c r="X718" s="41"/>
      <c r="Y718" s="59">
        <v>7.6</v>
      </c>
      <c r="Z718" s="59"/>
      <c r="AA718" s="59"/>
      <c r="AB718" s="59"/>
      <c r="AC718" s="59"/>
      <c r="AD718" s="41">
        <v>2.83</v>
      </c>
      <c r="AE718" s="41"/>
      <c r="AF718" s="41"/>
      <c r="AG718" s="41"/>
      <c r="AH718" s="41"/>
      <c r="AI718" s="41"/>
      <c r="AJ718" s="9"/>
      <c r="AK718" s="10"/>
      <c r="AL718" s="11"/>
    </row>
    <row r="719" spans="1:38" ht="11.25" hidden="1" customHeight="1" outlineLevel="1" x14ac:dyDescent="0.2">
      <c r="A719" s="21">
        <v>3</v>
      </c>
      <c r="B719" s="88" t="s">
        <v>706</v>
      </c>
      <c r="C719" s="88"/>
      <c r="D719" s="88"/>
      <c r="E719" s="88"/>
      <c r="F719" s="88"/>
      <c r="G719" s="88"/>
      <c r="H719" s="88"/>
      <c r="I719" s="88"/>
      <c r="J719" s="88"/>
      <c r="K719" s="88"/>
      <c r="L719" s="88"/>
      <c r="M719" s="88"/>
      <c r="N719" s="88"/>
      <c r="O719" s="88"/>
      <c r="P719" s="88"/>
      <c r="Q719" s="88"/>
      <c r="R719" s="88"/>
      <c r="S719" s="88"/>
      <c r="T719" s="41">
        <v>39.11</v>
      </c>
      <c r="U719" s="41"/>
      <c r="V719" s="41"/>
      <c r="W719" s="41"/>
      <c r="X719" s="41"/>
      <c r="Y719" s="43">
        <v>37.951000000000001</v>
      </c>
      <c r="Z719" s="43"/>
      <c r="AA719" s="43"/>
      <c r="AB719" s="43"/>
      <c r="AC719" s="43"/>
      <c r="AD719" s="43">
        <v>1.159</v>
      </c>
      <c r="AE719" s="43"/>
      <c r="AF719" s="43"/>
      <c r="AG719" s="43"/>
      <c r="AH719" s="43"/>
      <c r="AI719" s="43"/>
      <c r="AJ719" s="9"/>
      <c r="AK719" s="10"/>
      <c r="AL719" s="11"/>
    </row>
    <row r="720" spans="1:38" ht="11.25" hidden="1" customHeight="1" outlineLevel="1" x14ac:dyDescent="0.2">
      <c r="A720" s="21">
        <v>4</v>
      </c>
      <c r="B720" s="88" t="s">
        <v>707</v>
      </c>
      <c r="C720" s="88"/>
      <c r="D720" s="88"/>
      <c r="E720" s="88"/>
      <c r="F720" s="88"/>
      <c r="G720" s="88"/>
      <c r="H720" s="88"/>
      <c r="I720" s="88"/>
      <c r="J720" s="88"/>
      <c r="K720" s="88"/>
      <c r="L720" s="88"/>
      <c r="M720" s="88"/>
      <c r="N720" s="88"/>
      <c r="O720" s="88"/>
      <c r="P720" s="88"/>
      <c r="Q720" s="88"/>
      <c r="R720" s="88"/>
      <c r="S720" s="88"/>
      <c r="T720" s="59">
        <v>11.4</v>
      </c>
      <c r="U720" s="59"/>
      <c r="V720" s="59"/>
      <c r="W720" s="59"/>
      <c r="X720" s="59"/>
      <c r="Y720" s="43">
        <v>10.371</v>
      </c>
      <c r="Z720" s="43"/>
      <c r="AA720" s="43"/>
      <c r="AB720" s="43"/>
      <c r="AC720" s="43"/>
      <c r="AD720" s="43">
        <v>1.0289999999999999</v>
      </c>
      <c r="AE720" s="43"/>
      <c r="AF720" s="43"/>
      <c r="AG720" s="43"/>
      <c r="AH720" s="43"/>
      <c r="AI720" s="43"/>
      <c r="AJ720" s="9"/>
      <c r="AK720" s="10"/>
      <c r="AL720" s="11"/>
    </row>
    <row r="721" spans="1:38" ht="11.25" hidden="1" customHeight="1" outlineLevel="1" x14ac:dyDescent="0.2">
      <c r="A721" s="21">
        <v>5</v>
      </c>
      <c r="B721" s="88" t="s">
        <v>708</v>
      </c>
      <c r="C721" s="88"/>
      <c r="D721" s="88"/>
      <c r="E721" s="88"/>
      <c r="F721" s="88"/>
      <c r="G721" s="88"/>
      <c r="H721" s="88"/>
      <c r="I721" s="88"/>
      <c r="J721" s="88"/>
      <c r="K721" s="88"/>
      <c r="L721" s="88"/>
      <c r="M721" s="88"/>
      <c r="N721" s="88"/>
      <c r="O721" s="88"/>
      <c r="P721" s="88"/>
      <c r="Q721" s="88"/>
      <c r="R721" s="88"/>
      <c r="S721" s="88"/>
      <c r="T721" s="41">
        <v>6.32</v>
      </c>
      <c r="U721" s="41"/>
      <c r="V721" s="41"/>
      <c r="W721" s="41"/>
      <c r="X721" s="41"/>
      <c r="Y721" s="41">
        <v>5.36</v>
      </c>
      <c r="Z721" s="41"/>
      <c r="AA721" s="41"/>
      <c r="AB721" s="41"/>
      <c r="AC721" s="41"/>
      <c r="AD721" s="41">
        <v>0.96</v>
      </c>
      <c r="AE721" s="41"/>
      <c r="AF721" s="41"/>
      <c r="AG721" s="41"/>
      <c r="AH721" s="41"/>
      <c r="AI721" s="41"/>
      <c r="AJ721" s="9"/>
      <c r="AK721" s="10"/>
      <c r="AL721" s="11"/>
    </row>
    <row r="722" spans="1:38" ht="11.25" hidden="1" customHeight="1" outlineLevel="1" x14ac:dyDescent="0.2">
      <c r="A722" s="21">
        <v>6</v>
      </c>
      <c r="B722" s="88" t="s">
        <v>709</v>
      </c>
      <c r="C722" s="88"/>
      <c r="D722" s="88"/>
      <c r="E722" s="88"/>
      <c r="F722" s="88"/>
      <c r="G722" s="88"/>
      <c r="H722" s="88"/>
      <c r="I722" s="88"/>
      <c r="J722" s="88"/>
      <c r="K722" s="88"/>
      <c r="L722" s="88"/>
      <c r="M722" s="88"/>
      <c r="N722" s="88"/>
      <c r="O722" s="88"/>
      <c r="P722" s="88"/>
      <c r="Q722" s="88"/>
      <c r="R722" s="88"/>
      <c r="S722" s="88"/>
      <c r="T722" s="41">
        <v>9.18</v>
      </c>
      <c r="U722" s="41"/>
      <c r="V722" s="41"/>
      <c r="W722" s="41"/>
      <c r="X722" s="41"/>
      <c r="Y722" s="43">
        <v>8.3879999999999999</v>
      </c>
      <c r="Z722" s="43"/>
      <c r="AA722" s="43"/>
      <c r="AB722" s="43"/>
      <c r="AC722" s="43"/>
      <c r="AD722" s="43">
        <v>0.79200000000000004</v>
      </c>
      <c r="AE722" s="43"/>
      <c r="AF722" s="43"/>
      <c r="AG722" s="43"/>
      <c r="AH722" s="43"/>
      <c r="AI722" s="43"/>
      <c r="AJ722" s="9"/>
      <c r="AK722" s="10"/>
      <c r="AL722" s="11"/>
    </row>
    <row r="723" spans="1:38" ht="11.25" hidden="1" customHeight="1" outlineLevel="1" x14ac:dyDescent="0.2">
      <c r="A723" s="21">
        <v>7</v>
      </c>
      <c r="B723" s="88" t="s">
        <v>710</v>
      </c>
      <c r="C723" s="88"/>
      <c r="D723" s="88"/>
      <c r="E723" s="88"/>
      <c r="F723" s="88"/>
      <c r="G723" s="88"/>
      <c r="H723" s="88"/>
      <c r="I723" s="88"/>
      <c r="J723" s="88"/>
      <c r="K723" s="88"/>
      <c r="L723" s="88"/>
      <c r="M723" s="88"/>
      <c r="N723" s="88"/>
      <c r="O723" s="88"/>
      <c r="P723" s="88"/>
      <c r="Q723" s="88"/>
      <c r="R723" s="88"/>
      <c r="S723" s="88"/>
      <c r="T723" s="41">
        <v>14.35</v>
      </c>
      <c r="U723" s="41"/>
      <c r="V723" s="41"/>
      <c r="W723" s="41"/>
      <c r="X723" s="41"/>
      <c r="Y723" s="43">
        <v>13.834</v>
      </c>
      <c r="Z723" s="43"/>
      <c r="AA723" s="43"/>
      <c r="AB723" s="43"/>
      <c r="AC723" s="43"/>
      <c r="AD723" s="43">
        <v>0.51600000000000001</v>
      </c>
      <c r="AE723" s="43"/>
      <c r="AF723" s="43"/>
      <c r="AG723" s="43"/>
      <c r="AH723" s="43"/>
      <c r="AI723" s="43"/>
      <c r="AJ723" s="9"/>
      <c r="AK723" s="10"/>
      <c r="AL723" s="11"/>
    </row>
    <row r="724" spans="1:38" ht="11.25" hidden="1" customHeight="1" outlineLevel="1" x14ac:dyDescent="0.2">
      <c r="A724" s="21">
        <v>8</v>
      </c>
      <c r="B724" s="88" t="s">
        <v>711</v>
      </c>
      <c r="C724" s="88"/>
      <c r="D724" s="88"/>
      <c r="E724" s="88"/>
      <c r="F724" s="88"/>
      <c r="G724" s="88"/>
      <c r="H724" s="88"/>
      <c r="I724" s="88"/>
      <c r="J724" s="88"/>
      <c r="K724" s="88"/>
      <c r="L724" s="88"/>
      <c r="M724" s="88"/>
      <c r="N724" s="88"/>
      <c r="O724" s="88"/>
      <c r="P724" s="88"/>
      <c r="Q724" s="88"/>
      <c r="R724" s="88"/>
      <c r="S724" s="88"/>
      <c r="T724" s="41">
        <v>29.68</v>
      </c>
      <c r="U724" s="41"/>
      <c r="V724" s="41"/>
      <c r="W724" s="41"/>
      <c r="X724" s="41"/>
      <c r="Y724" s="41">
        <v>29.55</v>
      </c>
      <c r="Z724" s="41"/>
      <c r="AA724" s="41"/>
      <c r="AB724" s="41"/>
      <c r="AC724" s="41"/>
      <c r="AD724" s="41">
        <v>0.13</v>
      </c>
      <c r="AE724" s="41"/>
      <c r="AF724" s="41"/>
      <c r="AG724" s="41"/>
      <c r="AH724" s="41"/>
      <c r="AI724" s="41"/>
      <c r="AJ724" s="9"/>
      <c r="AK724" s="10"/>
      <c r="AL724" s="11"/>
    </row>
    <row r="725" spans="1:38" ht="11.25" hidden="1" customHeight="1" outlineLevel="1" x14ac:dyDescent="0.2">
      <c r="A725" s="21">
        <v>9</v>
      </c>
      <c r="B725" s="88" t="s">
        <v>712</v>
      </c>
      <c r="C725" s="88"/>
      <c r="D725" s="88"/>
      <c r="E725" s="88"/>
      <c r="F725" s="88"/>
      <c r="G725" s="88"/>
      <c r="H725" s="88"/>
      <c r="I725" s="88"/>
      <c r="J725" s="88"/>
      <c r="K725" s="88"/>
      <c r="L725" s="88"/>
      <c r="M725" s="88"/>
      <c r="N725" s="88"/>
      <c r="O725" s="88"/>
      <c r="P725" s="88"/>
      <c r="Q725" s="88"/>
      <c r="R725" s="88"/>
      <c r="S725" s="88"/>
      <c r="T725" s="41">
        <v>4.32</v>
      </c>
      <c r="U725" s="41"/>
      <c r="V725" s="41"/>
      <c r="W725" s="41"/>
      <c r="X725" s="41"/>
      <c r="Y725" s="41">
        <v>3.79</v>
      </c>
      <c r="Z725" s="41"/>
      <c r="AA725" s="41"/>
      <c r="AB725" s="41"/>
      <c r="AC725" s="41"/>
      <c r="AD725" s="41">
        <v>0.53</v>
      </c>
      <c r="AE725" s="41"/>
      <c r="AF725" s="41"/>
      <c r="AG725" s="41"/>
      <c r="AH725" s="41"/>
      <c r="AI725" s="41"/>
      <c r="AJ725" s="9"/>
      <c r="AK725" s="10"/>
      <c r="AL725" s="11"/>
    </row>
    <row r="726" spans="1:38" ht="11.25" hidden="1" customHeight="1" outlineLevel="1" x14ac:dyDescent="0.2">
      <c r="A726" s="21">
        <v>10</v>
      </c>
      <c r="B726" s="88" t="s">
        <v>713</v>
      </c>
      <c r="C726" s="88"/>
      <c r="D726" s="88"/>
      <c r="E726" s="88"/>
      <c r="F726" s="88"/>
      <c r="G726" s="88"/>
      <c r="H726" s="88"/>
      <c r="I726" s="88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59">
        <v>31.6</v>
      </c>
      <c r="U726" s="59"/>
      <c r="V726" s="59"/>
      <c r="W726" s="59"/>
      <c r="X726" s="59"/>
      <c r="Y726" s="41">
        <v>31.66</v>
      </c>
      <c r="Z726" s="41"/>
      <c r="AA726" s="41"/>
      <c r="AB726" s="41"/>
      <c r="AC726" s="41"/>
      <c r="AD726" s="41">
        <v>-0.06</v>
      </c>
      <c r="AE726" s="41"/>
      <c r="AF726" s="41"/>
      <c r="AG726" s="41"/>
      <c r="AH726" s="41"/>
      <c r="AI726" s="41"/>
      <c r="AJ726" s="9"/>
      <c r="AK726" s="10"/>
      <c r="AL726" s="11"/>
    </row>
    <row r="727" spans="1:38" ht="11.25" hidden="1" customHeight="1" outlineLevel="1" x14ac:dyDescent="0.2">
      <c r="A727" s="21">
        <v>11</v>
      </c>
      <c r="B727" s="88" t="s">
        <v>714</v>
      </c>
      <c r="C727" s="88"/>
      <c r="D727" s="88"/>
      <c r="E727" s="88"/>
      <c r="F727" s="88"/>
      <c r="G727" s="88"/>
      <c r="H727" s="88"/>
      <c r="I727" s="88"/>
      <c r="J727" s="88"/>
      <c r="K727" s="88"/>
      <c r="L727" s="88"/>
      <c r="M727" s="88"/>
      <c r="N727" s="88"/>
      <c r="O727" s="88"/>
      <c r="P727" s="88"/>
      <c r="Q727" s="88"/>
      <c r="R727" s="88"/>
      <c r="S727" s="88"/>
      <c r="T727" s="41">
        <v>11.17</v>
      </c>
      <c r="U727" s="41"/>
      <c r="V727" s="41"/>
      <c r="W727" s="41"/>
      <c r="X727" s="41"/>
      <c r="Y727" s="43">
        <v>11.515000000000001</v>
      </c>
      <c r="Z727" s="43"/>
      <c r="AA727" s="43"/>
      <c r="AB727" s="43"/>
      <c r="AC727" s="43"/>
      <c r="AD727" s="43">
        <v>-0.34499999999999997</v>
      </c>
      <c r="AE727" s="43"/>
      <c r="AF727" s="43"/>
      <c r="AG727" s="43"/>
      <c r="AH727" s="43"/>
      <c r="AI727" s="43"/>
      <c r="AJ727" s="9"/>
      <c r="AK727" s="10"/>
      <c r="AL727" s="11"/>
    </row>
    <row r="728" spans="1:38" ht="11.25" hidden="1" customHeight="1" outlineLevel="1" x14ac:dyDescent="0.2">
      <c r="A728" s="21">
        <v>12</v>
      </c>
      <c r="B728" s="88" t="s">
        <v>715</v>
      </c>
      <c r="C728" s="88"/>
      <c r="D728" s="88"/>
      <c r="E728" s="88"/>
      <c r="F728" s="88"/>
      <c r="G728" s="88"/>
      <c r="H728" s="88"/>
      <c r="I728" s="88"/>
      <c r="J728" s="88"/>
      <c r="K728" s="88"/>
      <c r="L728" s="88"/>
      <c r="M728" s="88"/>
      <c r="N728" s="88"/>
      <c r="O728" s="88"/>
      <c r="P728" s="88"/>
      <c r="Q728" s="88"/>
      <c r="R728" s="88"/>
      <c r="S728" s="88"/>
      <c r="T728" s="41">
        <v>201.52</v>
      </c>
      <c r="U728" s="41"/>
      <c r="V728" s="41"/>
      <c r="W728" s="41"/>
      <c r="X728" s="41"/>
      <c r="Y728" s="43">
        <v>202.928</v>
      </c>
      <c r="Z728" s="43"/>
      <c r="AA728" s="43"/>
      <c r="AB728" s="43"/>
      <c r="AC728" s="43"/>
      <c r="AD728" s="43">
        <v>-1.4079999999999999</v>
      </c>
      <c r="AE728" s="43"/>
      <c r="AF728" s="43"/>
      <c r="AG728" s="43"/>
      <c r="AH728" s="43"/>
      <c r="AI728" s="43"/>
      <c r="AJ728" s="9"/>
      <c r="AK728" s="10"/>
      <c r="AL728" s="11"/>
    </row>
    <row r="729" spans="1:38" ht="21.75" hidden="1" customHeight="1" outlineLevel="1" x14ac:dyDescent="0.2">
      <c r="A729" s="21">
        <v>13</v>
      </c>
      <c r="B729" s="88" t="s">
        <v>716</v>
      </c>
      <c r="C729" s="88"/>
      <c r="D729" s="88"/>
      <c r="E729" s="88"/>
      <c r="F729" s="88"/>
      <c r="G729" s="88"/>
      <c r="H729" s="88"/>
      <c r="I729" s="88"/>
      <c r="J729" s="88"/>
      <c r="K729" s="88"/>
      <c r="L729" s="88"/>
      <c r="M729" s="88"/>
      <c r="N729" s="88"/>
      <c r="O729" s="88"/>
      <c r="P729" s="88"/>
      <c r="Q729" s="88"/>
      <c r="R729" s="88"/>
      <c r="S729" s="88"/>
      <c r="T729" s="59">
        <v>144.9</v>
      </c>
      <c r="U729" s="59"/>
      <c r="V729" s="59"/>
      <c r="W729" s="59"/>
      <c r="X729" s="59"/>
      <c r="Y729" s="43">
        <v>146.03399999999999</v>
      </c>
      <c r="Z729" s="43"/>
      <c r="AA729" s="43"/>
      <c r="AB729" s="43"/>
      <c r="AC729" s="43"/>
      <c r="AD729" s="43">
        <v>-1.1339999999999999</v>
      </c>
      <c r="AE729" s="43"/>
      <c r="AF729" s="43"/>
      <c r="AG729" s="43"/>
      <c r="AH729" s="43"/>
      <c r="AI729" s="43"/>
      <c r="AJ729" s="9"/>
      <c r="AK729" s="10"/>
      <c r="AL729" s="11"/>
    </row>
    <row r="730" spans="1:38" ht="11.25" hidden="1" customHeight="1" outlineLevel="1" x14ac:dyDescent="0.2">
      <c r="A730" s="21">
        <v>14</v>
      </c>
      <c r="B730" s="88" t="s">
        <v>717</v>
      </c>
      <c r="C730" s="88"/>
      <c r="D730" s="88"/>
      <c r="E730" s="88"/>
      <c r="F730" s="88"/>
      <c r="G730" s="88"/>
      <c r="H730" s="88"/>
      <c r="I730" s="88"/>
      <c r="J730" s="88"/>
      <c r="K730" s="88"/>
      <c r="L730" s="88"/>
      <c r="M730" s="88"/>
      <c r="N730" s="88"/>
      <c r="O730" s="88"/>
      <c r="P730" s="88"/>
      <c r="Q730" s="88"/>
      <c r="R730" s="88"/>
      <c r="S730" s="88"/>
      <c r="T730" s="41">
        <v>9.0500000000000007</v>
      </c>
      <c r="U730" s="41"/>
      <c r="V730" s="41"/>
      <c r="W730" s="41"/>
      <c r="X730" s="41"/>
      <c r="Y730" s="43">
        <v>9.3040000000000003</v>
      </c>
      <c r="Z730" s="43"/>
      <c r="AA730" s="43"/>
      <c r="AB730" s="43"/>
      <c r="AC730" s="43"/>
      <c r="AD730" s="43">
        <v>-0.254</v>
      </c>
      <c r="AE730" s="43"/>
      <c r="AF730" s="43"/>
      <c r="AG730" s="43"/>
      <c r="AH730" s="43"/>
      <c r="AI730" s="43"/>
      <c r="AJ730" s="9"/>
      <c r="AK730" s="10"/>
      <c r="AL730" s="11"/>
    </row>
    <row r="731" spans="1:38" ht="11.25" hidden="1" customHeight="1" outlineLevel="1" x14ac:dyDescent="0.2">
      <c r="A731" s="21">
        <v>15</v>
      </c>
      <c r="B731" s="88" t="s">
        <v>718</v>
      </c>
      <c r="C731" s="88"/>
      <c r="D731" s="88"/>
      <c r="E731" s="88"/>
      <c r="F731" s="88"/>
      <c r="G731" s="88"/>
      <c r="H731" s="88"/>
      <c r="I731" s="88"/>
      <c r="J731" s="88"/>
      <c r="K731" s="88"/>
      <c r="L731" s="88"/>
      <c r="M731" s="88"/>
      <c r="N731" s="88"/>
      <c r="O731" s="88"/>
      <c r="P731" s="88"/>
      <c r="Q731" s="88"/>
      <c r="R731" s="88"/>
      <c r="S731" s="88"/>
      <c r="T731" s="41">
        <v>2.36</v>
      </c>
      <c r="U731" s="41"/>
      <c r="V731" s="41"/>
      <c r="W731" s="41"/>
      <c r="X731" s="41"/>
      <c r="Y731" s="43">
        <v>2.335</v>
      </c>
      <c r="Z731" s="43"/>
      <c r="AA731" s="43"/>
      <c r="AB731" s="43"/>
      <c r="AC731" s="43"/>
      <c r="AD731" s="43">
        <v>2.5000000000000001E-2</v>
      </c>
      <c r="AE731" s="43"/>
      <c r="AF731" s="43"/>
      <c r="AG731" s="43"/>
      <c r="AH731" s="43"/>
      <c r="AI731" s="43"/>
      <c r="AJ731" s="9"/>
      <c r="AK731" s="10"/>
      <c r="AL731" s="11"/>
    </row>
    <row r="732" spans="1:38" ht="11.25" hidden="1" customHeight="1" outlineLevel="1" x14ac:dyDescent="0.2">
      <c r="A732" s="21">
        <v>16</v>
      </c>
      <c r="B732" s="88" t="s">
        <v>719</v>
      </c>
      <c r="C732" s="88"/>
      <c r="D732" s="88"/>
      <c r="E732" s="88"/>
      <c r="F732" s="88"/>
      <c r="G732" s="88"/>
      <c r="H732" s="88"/>
      <c r="I732" s="88"/>
      <c r="J732" s="88"/>
      <c r="K732" s="88"/>
      <c r="L732" s="88"/>
      <c r="M732" s="88"/>
      <c r="N732" s="88"/>
      <c r="O732" s="88"/>
      <c r="P732" s="88"/>
      <c r="Q732" s="88"/>
      <c r="R732" s="88"/>
      <c r="S732" s="88"/>
      <c r="T732" s="59">
        <v>71.099999999999994</v>
      </c>
      <c r="U732" s="59"/>
      <c r="V732" s="59"/>
      <c r="W732" s="59"/>
      <c r="X732" s="59"/>
      <c r="Y732" s="43">
        <v>71.686999999999998</v>
      </c>
      <c r="Z732" s="43"/>
      <c r="AA732" s="43"/>
      <c r="AB732" s="43"/>
      <c r="AC732" s="43"/>
      <c r="AD732" s="43">
        <v>-0.58699999999999997</v>
      </c>
      <c r="AE732" s="43"/>
      <c r="AF732" s="43"/>
      <c r="AG732" s="43"/>
      <c r="AH732" s="43"/>
      <c r="AI732" s="43"/>
      <c r="AJ732" s="9"/>
      <c r="AK732" s="10"/>
      <c r="AL732" s="11"/>
    </row>
    <row r="733" spans="1:38" ht="11.25" hidden="1" customHeight="1" outlineLevel="1" x14ac:dyDescent="0.2">
      <c r="A733" s="21">
        <v>17</v>
      </c>
      <c r="B733" s="88" t="s">
        <v>720</v>
      </c>
      <c r="C733" s="88"/>
      <c r="D733" s="88"/>
      <c r="E733" s="88"/>
      <c r="F733" s="88"/>
      <c r="G733" s="88"/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41">
        <v>6.45</v>
      </c>
      <c r="U733" s="41"/>
      <c r="V733" s="41"/>
      <c r="W733" s="41"/>
      <c r="X733" s="41"/>
      <c r="Y733" s="43">
        <v>6.5330000000000004</v>
      </c>
      <c r="Z733" s="43"/>
      <c r="AA733" s="43"/>
      <c r="AB733" s="43"/>
      <c r="AC733" s="43"/>
      <c r="AD733" s="43">
        <v>-8.3000000000000004E-2</v>
      </c>
      <c r="AE733" s="43"/>
      <c r="AF733" s="43"/>
      <c r="AG733" s="43"/>
      <c r="AH733" s="43"/>
      <c r="AI733" s="43"/>
      <c r="AJ733" s="9"/>
      <c r="AK733" s="10"/>
      <c r="AL733" s="11"/>
    </row>
    <row r="734" spans="1:38" ht="11.25" hidden="1" customHeight="1" outlineLevel="1" x14ac:dyDescent="0.2">
      <c r="A734" s="21">
        <v>18</v>
      </c>
      <c r="B734" s="88" t="s">
        <v>721</v>
      </c>
      <c r="C734" s="88"/>
      <c r="D734" s="88"/>
      <c r="E734" s="88"/>
      <c r="F734" s="88"/>
      <c r="G734" s="88"/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T734" s="41">
        <v>16.690000000000001</v>
      </c>
      <c r="U734" s="41"/>
      <c r="V734" s="41"/>
      <c r="W734" s="41"/>
      <c r="X734" s="41"/>
      <c r="Y734" s="43">
        <v>16.762</v>
      </c>
      <c r="Z734" s="43"/>
      <c r="AA734" s="43"/>
      <c r="AB734" s="43"/>
      <c r="AC734" s="43"/>
      <c r="AD734" s="43">
        <v>-7.1999999999999995E-2</v>
      </c>
      <c r="AE734" s="43"/>
      <c r="AF734" s="43"/>
      <c r="AG734" s="43"/>
      <c r="AH734" s="43"/>
      <c r="AI734" s="43"/>
      <c r="AJ734" s="9"/>
      <c r="AK734" s="10"/>
      <c r="AL734" s="11"/>
    </row>
    <row r="735" spans="1:38" ht="11.25" hidden="1" customHeight="1" outlineLevel="1" x14ac:dyDescent="0.2">
      <c r="A735" s="21">
        <v>19</v>
      </c>
      <c r="B735" s="88" t="s">
        <v>722</v>
      </c>
      <c r="C735" s="88"/>
      <c r="D735" s="88"/>
      <c r="E735" s="88"/>
      <c r="F735" s="88"/>
      <c r="G735" s="88"/>
      <c r="H735" s="88"/>
      <c r="I735" s="88"/>
      <c r="J735" s="88"/>
      <c r="K735" s="88"/>
      <c r="L735" s="88"/>
      <c r="M735" s="88"/>
      <c r="N735" s="88"/>
      <c r="O735" s="88"/>
      <c r="P735" s="88"/>
      <c r="Q735" s="88"/>
      <c r="R735" s="88"/>
      <c r="S735" s="88"/>
      <c r="T735" s="41">
        <v>78.48</v>
      </c>
      <c r="U735" s="41"/>
      <c r="V735" s="41"/>
      <c r="W735" s="41"/>
      <c r="X735" s="41"/>
      <c r="Y735" s="43">
        <v>79.159000000000006</v>
      </c>
      <c r="Z735" s="43"/>
      <c r="AA735" s="43"/>
      <c r="AB735" s="43"/>
      <c r="AC735" s="43"/>
      <c r="AD735" s="43">
        <v>-0.67900000000000005</v>
      </c>
      <c r="AE735" s="43"/>
      <c r="AF735" s="43"/>
      <c r="AG735" s="43"/>
      <c r="AH735" s="43"/>
      <c r="AI735" s="43"/>
      <c r="AJ735" s="9"/>
      <c r="AK735" s="10"/>
      <c r="AL735" s="11"/>
    </row>
    <row r="736" spans="1:38" ht="11.25" hidden="1" customHeight="1" outlineLevel="1" x14ac:dyDescent="0.2">
      <c r="A736" s="21">
        <v>20</v>
      </c>
      <c r="B736" s="88" t="s">
        <v>723</v>
      </c>
      <c r="C736" s="88"/>
      <c r="D736" s="88"/>
      <c r="E736" s="88"/>
      <c r="F736" s="88"/>
      <c r="G736" s="88"/>
      <c r="H736" s="88"/>
      <c r="I736" s="88"/>
      <c r="J736" s="88"/>
      <c r="K736" s="88"/>
      <c r="L736" s="88"/>
      <c r="M736" s="88"/>
      <c r="N736" s="88"/>
      <c r="O736" s="88"/>
      <c r="P736" s="88"/>
      <c r="Q736" s="88"/>
      <c r="R736" s="88"/>
      <c r="S736" s="88"/>
      <c r="T736" s="41">
        <v>23.04</v>
      </c>
      <c r="U736" s="41"/>
      <c r="V736" s="41"/>
      <c r="W736" s="41"/>
      <c r="X736" s="41"/>
      <c r="Y736" s="43">
        <v>23.635999999999999</v>
      </c>
      <c r="Z736" s="43"/>
      <c r="AA736" s="43"/>
      <c r="AB736" s="43"/>
      <c r="AC736" s="43"/>
      <c r="AD736" s="43">
        <v>-0.59599999999999997</v>
      </c>
      <c r="AE736" s="43"/>
      <c r="AF736" s="43"/>
      <c r="AG736" s="43"/>
      <c r="AH736" s="43"/>
      <c r="AI736" s="43"/>
      <c r="AJ736" s="9"/>
      <c r="AK736" s="10"/>
      <c r="AL736" s="11"/>
    </row>
    <row r="737" spans="1:38" ht="11.25" hidden="1" customHeight="1" outlineLevel="1" x14ac:dyDescent="0.2">
      <c r="A737" s="21">
        <v>21</v>
      </c>
      <c r="B737" s="88" t="s">
        <v>724</v>
      </c>
      <c r="C737" s="88"/>
      <c r="D737" s="88"/>
      <c r="E737" s="88"/>
      <c r="F737" s="88"/>
      <c r="G737" s="88"/>
      <c r="H737" s="88"/>
      <c r="I737" s="88"/>
      <c r="J737" s="88"/>
      <c r="K737" s="88"/>
      <c r="L737" s="88"/>
      <c r="M737" s="88"/>
      <c r="N737" s="88"/>
      <c r="O737" s="88"/>
      <c r="P737" s="88"/>
      <c r="Q737" s="88"/>
      <c r="R737" s="88"/>
      <c r="S737" s="88"/>
      <c r="T737" s="59">
        <v>13.4</v>
      </c>
      <c r="U737" s="59"/>
      <c r="V737" s="59"/>
      <c r="W737" s="59"/>
      <c r="X737" s="59"/>
      <c r="Y737" s="41">
        <v>13.74</v>
      </c>
      <c r="Z737" s="41"/>
      <c r="AA737" s="41"/>
      <c r="AB737" s="41"/>
      <c r="AC737" s="41"/>
      <c r="AD737" s="41">
        <v>-0.34</v>
      </c>
      <c r="AE737" s="41"/>
      <c r="AF737" s="41"/>
      <c r="AG737" s="41"/>
      <c r="AH737" s="41"/>
      <c r="AI737" s="41"/>
      <c r="AJ737" s="9"/>
      <c r="AK737" s="10"/>
      <c r="AL737" s="11"/>
    </row>
    <row r="738" spans="1:38" ht="11.25" hidden="1" customHeight="1" outlineLevel="1" x14ac:dyDescent="0.2">
      <c r="A738" s="21">
        <v>22</v>
      </c>
      <c r="B738" s="88" t="s">
        <v>725</v>
      </c>
      <c r="C738" s="88"/>
      <c r="D738" s="88"/>
      <c r="E738" s="88"/>
      <c r="F738" s="88"/>
      <c r="G738" s="88"/>
      <c r="H738" s="88"/>
      <c r="I738" s="88"/>
      <c r="J738" s="88"/>
      <c r="K738" s="88"/>
      <c r="L738" s="88"/>
      <c r="M738" s="88"/>
      <c r="N738" s="88"/>
      <c r="O738" s="88"/>
      <c r="P738" s="88"/>
      <c r="Q738" s="88"/>
      <c r="R738" s="88"/>
      <c r="S738" s="88"/>
      <c r="T738" s="59">
        <v>10.199999999999999</v>
      </c>
      <c r="U738" s="59"/>
      <c r="V738" s="59"/>
      <c r="W738" s="59"/>
      <c r="X738" s="59"/>
      <c r="Y738" s="41">
        <v>10.87</v>
      </c>
      <c r="Z738" s="41"/>
      <c r="AA738" s="41"/>
      <c r="AB738" s="41"/>
      <c r="AC738" s="41"/>
      <c r="AD738" s="41">
        <v>-0.67</v>
      </c>
      <c r="AE738" s="41"/>
      <c r="AF738" s="41"/>
      <c r="AG738" s="41"/>
      <c r="AH738" s="41"/>
      <c r="AI738" s="41"/>
      <c r="AJ738" s="9"/>
      <c r="AK738" s="10"/>
      <c r="AL738" s="11"/>
    </row>
    <row r="739" spans="1:38" ht="11.25" hidden="1" customHeight="1" outlineLevel="1" x14ac:dyDescent="0.2">
      <c r="A739" s="21">
        <v>23</v>
      </c>
      <c r="B739" s="88" t="s">
        <v>726</v>
      </c>
      <c r="C739" s="88"/>
      <c r="D739" s="88"/>
      <c r="E739" s="88"/>
      <c r="F739" s="88"/>
      <c r="G739" s="88"/>
      <c r="H739" s="88"/>
      <c r="I739" s="88"/>
      <c r="J739" s="88"/>
      <c r="K739" s="88"/>
      <c r="L739" s="88"/>
      <c r="M739" s="88"/>
      <c r="N739" s="88"/>
      <c r="O739" s="88"/>
      <c r="P739" s="88"/>
      <c r="Q739" s="88"/>
      <c r="R739" s="88"/>
      <c r="S739" s="88"/>
      <c r="T739" s="41">
        <v>13.21</v>
      </c>
      <c r="U739" s="41"/>
      <c r="V739" s="41"/>
      <c r="W739" s="41"/>
      <c r="X739" s="41"/>
      <c r="Y739" s="43">
        <v>13.510999999999999</v>
      </c>
      <c r="Z739" s="43"/>
      <c r="AA739" s="43"/>
      <c r="AB739" s="43"/>
      <c r="AC739" s="43"/>
      <c r="AD739" s="43">
        <v>-0.30099999999999999</v>
      </c>
      <c r="AE739" s="43"/>
      <c r="AF739" s="43"/>
      <c r="AG739" s="43"/>
      <c r="AH739" s="43"/>
      <c r="AI739" s="43"/>
      <c r="AJ739" s="9"/>
      <c r="AK739" s="10"/>
      <c r="AL739" s="11"/>
    </row>
    <row r="740" spans="1:38" ht="11.25" hidden="1" customHeight="1" outlineLevel="1" x14ac:dyDescent="0.2">
      <c r="A740" s="21">
        <v>24</v>
      </c>
      <c r="B740" s="88" t="s">
        <v>354</v>
      </c>
      <c r="C740" s="88"/>
      <c r="D740" s="88"/>
      <c r="E740" s="88"/>
      <c r="F740" s="88"/>
      <c r="G740" s="88"/>
      <c r="H740" s="88"/>
      <c r="I740" s="88"/>
      <c r="J740" s="88"/>
      <c r="K740" s="88"/>
      <c r="L740" s="88"/>
      <c r="M740" s="88"/>
      <c r="N740" s="88"/>
      <c r="O740" s="88"/>
      <c r="P740" s="88"/>
      <c r="Q740" s="88"/>
      <c r="R740" s="88"/>
      <c r="S740" s="88"/>
      <c r="T740" s="59">
        <v>5.7</v>
      </c>
      <c r="U740" s="59"/>
      <c r="V740" s="59"/>
      <c r="W740" s="59"/>
      <c r="X740" s="59"/>
      <c r="Y740" s="43">
        <v>5.8360000000000003</v>
      </c>
      <c r="Z740" s="43"/>
      <c r="AA740" s="43"/>
      <c r="AB740" s="43"/>
      <c r="AC740" s="43"/>
      <c r="AD740" s="43">
        <v>-0.13600000000000001</v>
      </c>
      <c r="AE740" s="43"/>
      <c r="AF740" s="43"/>
      <c r="AG740" s="43"/>
      <c r="AH740" s="43"/>
      <c r="AI740" s="43"/>
      <c r="AJ740" s="9"/>
      <c r="AK740" s="10"/>
      <c r="AL740" s="11"/>
    </row>
    <row r="741" spans="1:38" ht="11.25" hidden="1" customHeight="1" outlineLevel="1" x14ac:dyDescent="0.2">
      <c r="A741" s="21">
        <v>25</v>
      </c>
      <c r="B741" s="88" t="s">
        <v>727</v>
      </c>
      <c r="C741" s="88"/>
      <c r="D741" s="88"/>
      <c r="E741" s="88"/>
      <c r="F741" s="88"/>
      <c r="G741" s="88"/>
      <c r="H741" s="88"/>
      <c r="I741" s="88"/>
      <c r="J741" s="88"/>
      <c r="K741" s="88"/>
      <c r="L741" s="88"/>
      <c r="M741" s="88"/>
      <c r="N741" s="88"/>
      <c r="O741" s="88"/>
      <c r="P741" s="88"/>
      <c r="Q741" s="88"/>
      <c r="R741" s="88"/>
      <c r="S741" s="88"/>
      <c r="T741" s="59">
        <v>28.2</v>
      </c>
      <c r="U741" s="59"/>
      <c r="V741" s="59"/>
      <c r="W741" s="59"/>
      <c r="X741" s="59"/>
      <c r="Y741" s="43">
        <v>29.103000000000002</v>
      </c>
      <c r="Z741" s="43"/>
      <c r="AA741" s="43"/>
      <c r="AB741" s="43"/>
      <c r="AC741" s="43"/>
      <c r="AD741" s="43">
        <v>-0.90300000000000002</v>
      </c>
      <c r="AE741" s="43"/>
      <c r="AF741" s="43"/>
      <c r="AG741" s="43"/>
      <c r="AH741" s="43"/>
      <c r="AI741" s="43"/>
      <c r="AJ741" s="9"/>
      <c r="AK741" s="10"/>
      <c r="AL741" s="11"/>
    </row>
    <row r="742" spans="1:38" ht="11.25" hidden="1" customHeight="1" outlineLevel="1" x14ac:dyDescent="0.2">
      <c r="A742" s="21">
        <v>26</v>
      </c>
      <c r="B742" s="88" t="s">
        <v>728</v>
      </c>
      <c r="C742" s="88"/>
      <c r="D742" s="88"/>
      <c r="E742" s="88"/>
      <c r="F742" s="88"/>
      <c r="G742" s="88"/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59">
        <v>8.6999999999999993</v>
      </c>
      <c r="U742" s="59"/>
      <c r="V742" s="59"/>
      <c r="W742" s="59"/>
      <c r="X742" s="59"/>
      <c r="Y742" s="43">
        <v>9.2219999999999995</v>
      </c>
      <c r="Z742" s="43"/>
      <c r="AA742" s="43"/>
      <c r="AB742" s="43"/>
      <c r="AC742" s="43"/>
      <c r="AD742" s="43">
        <v>-0.52200000000000002</v>
      </c>
      <c r="AE742" s="43"/>
      <c r="AF742" s="43"/>
      <c r="AG742" s="43"/>
      <c r="AH742" s="43"/>
      <c r="AI742" s="43"/>
      <c r="AJ742" s="9"/>
      <c r="AK742" s="10"/>
      <c r="AL742" s="11"/>
    </row>
    <row r="743" spans="1:38" ht="11.25" hidden="1" customHeight="1" outlineLevel="1" x14ac:dyDescent="0.2">
      <c r="A743" s="21">
        <v>27</v>
      </c>
      <c r="B743" s="88" t="s">
        <v>729</v>
      </c>
      <c r="C743" s="88"/>
      <c r="D743" s="88"/>
      <c r="E743" s="88"/>
      <c r="F743" s="88"/>
      <c r="G743" s="88"/>
      <c r="H743" s="88"/>
      <c r="I743" s="88"/>
      <c r="J743" s="88"/>
      <c r="K743" s="88"/>
      <c r="L743" s="88"/>
      <c r="M743" s="88"/>
      <c r="N743" s="88"/>
      <c r="O743" s="88"/>
      <c r="P743" s="88"/>
      <c r="Q743" s="88"/>
      <c r="R743" s="88"/>
      <c r="S743" s="88"/>
      <c r="T743" s="41">
        <v>15.85</v>
      </c>
      <c r="U743" s="41"/>
      <c r="V743" s="41"/>
      <c r="W743" s="41"/>
      <c r="X743" s="41"/>
      <c r="Y743" s="43">
        <v>16.251999999999999</v>
      </c>
      <c r="Z743" s="43"/>
      <c r="AA743" s="43"/>
      <c r="AB743" s="43"/>
      <c r="AC743" s="43"/>
      <c r="AD743" s="43">
        <v>-0.40200000000000002</v>
      </c>
      <c r="AE743" s="43"/>
      <c r="AF743" s="43"/>
      <c r="AG743" s="43"/>
      <c r="AH743" s="43"/>
      <c r="AI743" s="43"/>
      <c r="AJ743" s="9"/>
      <c r="AK743" s="10"/>
      <c r="AL743" s="11"/>
    </row>
    <row r="744" spans="1:38" ht="11.25" hidden="1" customHeight="1" outlineLevel="1" x14ac:dyDescent="0.2">
      <c r="A744" s="21">
        <v>28</v>
      </c>
      <c r="B744" s="88" t="s">
        <v>730</v>
      </c>
      <c r="C744" s="88"/>
      <c r="D744" s="88"/>
      <c r="E744" s="88"/>
      <c r="F744" s="88"/>
      <c r="G744" s="88"/>
      <c r="H744" s="88"/>
      <c r="I744" s="88"/>
      <c r="J744" s="88"/>
      <c r="K744" s="88"/>
      <c r="L744" s="88"/>
      <c r="M744" s="88"/>
      <c r="N744" s="88"/>
      <c r="O744" s="88"/>
      <c r="P744" s="88"/>
      <c r="Q744" s="88"/>
      <c r="R744" s="88"/>
      <c r="S744" s="88"/>
      <c r="T744" s="41">
        <v>10.16</v>
      </c>
      <c r="U744" s="41"/>
      <c r="V744" s="41"/>
      <c r="W744" s="41"/>
      <c r="X744" s="41"/>
      <c r="Y744" s="43">
        <v>10.458</v>
      </c>
      <c r="Z744" s="43"/>
      <c r="AA744" s="43"/>
      <c r="AB744" s="43"/>
      <c r="AC744" s="43"/>
      <c r="AD744" s="43">
        <v>-0.29799999999999999</v>
      </c>
      <c r="AE744" s="43"/>
      <c r="AF744" s="43"/>
      <c r="AG744" s="43"/>
      <c r="AH744" s="43"/>
      <c r="AI744" s="43"/>
      <c r="AJ744" s="9"/>
      <c r="AK744" s="10"/>
      <c r="AL744" s="11"/>
    </row>
    <row r="745" spans="1:38" ht="11.25" hidden="1" customHeight="1" outlineLevel="1" x14ac:dyDescent="0.2">
      <c r="A745" s="21">
        <v>29</v>
      </c>
      <c r="B745" s="88" t="s">
        <v>731</v>
      </c>
      <c r="C745" s="88"/>
      <c r="D745" s="88"/>
      <c r="E745" s="88"/>
      <c r="F745" s="88"/>
      <c r="G745" s="88"/>
      <c r="H745" s="88"/>
      <c r="I745" s="88"/>
      <c r="J745" s="88"/>
      <c r="K745" s="88"/>
      <c r="L745" s="88"/>
      <c r="M745" s="88"/>
      <c r="N745" s="88"/>
      <c r="O745" s="88"/>
      <c r="P745" s="88"/>
      <c r="Q745" s="88"/>
      <c r="R745" s="88"/>
      <c r="S745" s="88"/>
      <c r="T745" s="59">
        <v>5.0999999999999996</v>
      </c>
      <c r="U745" s="59"/>
      <c r="V745" s="59"/>
      <c r="W745" s="59"/>
      <c r="X745" s="59"/>
      <c r="Y745" s="59">
        <v>5.0999999999999996</v>
      </c>
      <c r="Z745" s="59"/>
      <c r="AA745" s="59"/>
      <c r="AB745" s="59"/>
      <c r="AC745" s="59"/>
      <c r="AD745" s="12"/>
      <c r="AE745" s="13"/>
      <c r="AF745" s="13"/>
      <c r="AG745" s="13"/>
      <c r="AH745" s="13"/>
      <c r="AI745" s="14"/>
      <c r="AJ745" s="9"/>
      <c r="AK745" s="10"/>
      <c r="AL745" s="11"/>
    </row>
    <row r="746" spans="1:38" ht="21.75" hidden="1" customHeight="1" outlineLevel="1" x14ac:dyDescent="0.2">
      <c r="A746" s="21">
        <v>30</v>
      </c>
      <c r="B746" s="88" t="s">
        <v>732</v>
      </c>
      <c r="C746" s="88"/>
      <c r="D746" s="88"/>
      <c r="E746" s="88"/>
      <c r="F746" s="88"/>
      <c r="G746" s="88"/>
      <c r="H746" s="88"/>
      <c r="I746" s="88"/>
      <c r="J746" s="88"/>
      <c r="K746" s="88"/>
      <c r="L746" s="88"/>
      <c r="M746" s="88"/>
      <c r="N746" s="88"/>
      <c r="O746" s="88"/>
      <c r="P746" s="88"/>
      <c r="Q746" s="88"/>
      <c r="R746" s="88"/>
      <c r="S746" s="88"/>
      <c r="T746" s="59">
        <v>12.8</v>
      </c>
      <c r="U746" s="59"/>
      <c r="V746" s="59"/>
      <c r="W746" s="59"/>
      <c r="X746" s="59"/>
      <c r="Y746" s="41">
        <v>13.96</v>
      </c>
      <c r="Z746" s="41"/>
      <c r="AA746" s="41"/>
      <c r="AB746" s="41"/>
      <c r="AC746" s="41"/>
      <c r="AD746" s="41">
        <v>-1.1599999999999999</v>
      </c>
      <c r="AE746" s="41"/>
      <c r="AF746" s="41"/>
      <c r="AG746" s="41"/>
      <c r="AH746" s="41"/>
      <c r="AI746" s="41"/>
      <c r="AJ746" s="9"/>
      <c r="AK746" s="10"/>
      <c r="AL746" s="11"/>
    </row>
    <row r="747" spans="1:38" ht="11.25" hidden="1" customHeight="1" outlineLevel="1" x14ac:dyDescent="0.2">
      <c r="A747" s="21">
        <v>31</v>
      </c>
      <c r="B747" s="88" t="s">
        <v>733</v>
      </c>
      <c r="C747" s="88"/>
      <c r="D747" s="88"/>
      <c r="E747" s="88"/>
      <c r="F747" s="88"/>
      <c r="G747" s="88"/>
      <c r="H747" s="88"/>
      <c r="I747" s="88"/>
      <c r="J747" s="88"/>
      <c r="K747" s="88"/>
      <c r="L747" s="88"/>
      <c r="M747" s="88"/>
      <c r="N747" s="88"/>
      <c r="O747" s="88"/>
      <c r="P747" s="88"/>
      <c r="Q747" s="88"/>
      <c r="R747" s="88"/>
      <c r="S747" s="88"/>
      <c r="T747" s="59">
        <v>6.5</v>
      </c>
      <c r="U747" s="59"/>
      <c r="V747" s="59"/>
      <c r="W747" s="59"/>
      <c r="X747" s="59"/>
      <c r="Y747" s="43">
        <v>6.7069999999999999</v>
      </c>
      <c r="Z747" s="43"/>
      <c r="AA747" s="43"/>
      <c r="AB747" s="43"/>
      <c r="AC747" s="43"/>
      <c r="AD747" s="43">
        <v>-0.20699999999999999</v>
      </c>
      <c r="AE747" s="43"/>
      <c r="AF747" s="43"/>
      <c r="AG747" s="43"/>
      <c r="AH747" s="43"/>
      <c r="AI747" s="43"/>
      <c r="AJ747" s="9"/>
      <c r="AK747" s="10"/>
      <c r="AL747" s="11"/>
    </row>
    <row r="748" spans="1:38" ht="11.25" hidden="1" customHeight="1" outlineLevel="1" x14ac:dyDescent="0.2">
      <c r="A748" s="21">
        <v>32</v>
      </c>
      <c r="B748" s="88" t="s">
        <v>734</v>
      </c>
      <c r="C748" s="88"/>
      <c r="D748" s="88"/>
      <c r="E748" s="88"/>
      <c r="F748" s="88"/>
      <c r="G748" s="88"/>
      <c r="H748" s="88"/>
      <c r="I748" s="88"/>
      <c r="J748" s="88"/>
      <c r="K748" s="88"/>
      <c r="L748" s="88"/>
      <c r="M748" s="88"/>
      <c r="N748" s="88"/>
      <c r="O748" s="88"/>
      <c r="P748" s="88"/>
      <c r="Q748" s="88"/>
      <c r="R748" s="88"/>
      <c r="S748" s="88"/>
      <c r="T748" s="41">
        <v>6.57</v>
      </c>
      <c r="U748" s="41"/>
      <c r="V748" s="41"/>
      <c r="W748" s="41"/>
      <c r="X748" s="41"/>
      <c r="Y748" s="41">
        <v>6.57</v>
      </c>
      <c r="Z748" s="41"/>
      <c r="AA748" s="41"/>
      <c r="AB748" s="41"/>
      <c r="AC748" s="41"/>
      <c r="AD748" s="12"/>
      <c r="AE748" s="13"/>
      <c r="AF748" s="13"/>
      <c r="AG748" s="13"/>
      <c r="AH748" s="13"/>
      <c r="AI748" s="14"/>
      <c r="AJ748" s="9"/>
      <c r="AK748" s="10"/>
      <c r="AL748" s="11"/>
    </row>
    <row r="749" spans="1:38" ht="11.25" hidden="1" customHeight="1" outlineLevel="1" x14ac:dyDescent="0.2">
      <c r="A749" s="21">
        <v>33</v>
      </c>
      <c r="B749" s="88" t="s">
        <v>735</v>
      </c>
      <c r="C749" s="88"/>
      <c r="D749" s="88"/>
      <c r="E749" s="88"/>
      <c r="F749" s="88"/>
      <c r="G749" s="88"/>
      <c r="H749" s="88"/>
      <c r="I749" s="88"/>
      <c r="J749" s="88"/>
      <c r="K749" s="88"/>
      <c r="L749" s="88"/>
      <c r="M749" s="88"/>
      <c r="N749" s="88"/>
      <c r="O749" s="88"/>
      <c r="P749" s="88"/>
      <c r="Q749" s="88"/>
      <c r="R749" s="88"/>
      <c r="S749" s="88"/>
      <c r="T749" s="59">
        <v>15.6</v>
      </c>
      <c r="U749" s="59"/>
      <c r="V749" s="59"/>
      <c r="W749" s="59"/>
      <c r="X749" s="59"/>
      <c r="Y749" s="43">
        <v>15.922000000000001</v>
      </c>
      <c r="Z749" s="43"/>
      <c r="AA749" s="43"/>
      <c r="AB749" s="43"/>
      <c r="AC749" s="43"/>
      <c r="AD749" s="43">
        <v>-0.32200000000000001</v>
      </c>
      <c r="AE749" s="43"/>
      <c r="AF749" s="43"/>
      <c r="AG749" s="43"/>
      <c r="AH749" s="43"/>
      <c r="AI749" s="43"/>
      <c r="AJ749" s="9"/>
      <c r="AK749" s="10"/>
      <c r="AL749" s="11"/>
    </row>
    <row r="750" spans="1:38" ht="11.25" hidden="1" customHeight="1" outlineLevel="1" x14ac:dyDescent="0.2">
      <c r="A750" s="21">
        <v>34</v>
      </c>
      <c r="B750" s="88" t="s">
        <v>736</v>
      </c>
      <c r="C750" s="88"/>
      <c r="D750" s="88"/>
      <c r="E750" s="88"/>
      <c r="F750" s="88"/>
      <c r="G750" s="88"/>
      <c r="H750" s="88"/>
      <c r="I750" s="88"/>
      <c r="J750" s="88"/>
      <c r="K750" s="88"/>
      <c r="L750" s="88"/>
      <c r="M750" s="88"/>
      <c r="N750" s="88"/>
      <c r="O750" s="88"/>
      <c r="P750" s="88"/>
      <c r="Q750" s="88"/>
      <c r="R750" s="88"/>
      <c r="S750" s="88"/>
      <c r="T750" s="58">
        <v>20</v>
      </c>
      <c r="U750" s="58"/>
      <c r="V750" s="58"/>
      <c r="W750" s="58"/>
      <c r="X750" s="58"/>
      <c r="Y750" s="58">
        <v>20</v>
      </c>
      <c r="Z750" s="58"/>
      <c r="AA750" s="58"/>
      <c r="AB750" s="58"/>
      <c r="AC750" s="58"/>
      <c r="AD750" s="12"/>
      <c r="AE750" s="13"/>
      <c r="AF750" s="13"/>
      <c r="AG750" s="13"/>
      <c r="AH750" s="13"/>
      <c r="AI750" s="14"/>
      <c r="AJ750" s="9"/>
      <c r="AK750" s="10"/>
      <c r="AL750" s="11"/>
    </row>
    <row r="751" spans="1:38" ht="11.25" hidden="1" customHeight="1" outlineLevel="1" x14ac:dyDescent="0.2">
      <c r="A751" s="21">
        <v>35</v>
      </c>
      <c r="B751" s="88" t="s">
        <v>737</v>
      </c>
      <c r="C751" s="88"/>
      <c r="D751" s="88"/>
      <c r="E751" s="88"/>
      <c r="F751" s="88"/>
      <c r="G751" s="88"/>
      <c r="H751" s="88"/>
      <c r="I751" s="88"/>
      <c r="J751" s="88"/>
      <c r="K751" s="88"/>
      <c r="L751" s="88"/>
      <c r="M751" s="88"/>
      <c r="N751" s="88"/>
      <c r="O751" s="88"/>
      <c r="P751" s="88"/>
      <c r="Q751" s="88"/>
      <c r="R751" s="88"/>
      <c r="S751" s="88"/>
      <c r="T751" s="59">
        <v>9.5</v>
      </c>
      <c r="U751" s="59"/>
      <c r="V751" s="59"/>
      <c r="W751" s="59"/>
      <c r="X751" s="59"/>
      <c r="Y751" s="43">
        <v>9.8209999999999997</v>
      </c>
      <c r="Z751" s="43"/>
      <c r="AA751" s="43"/>
      <c r="AB751" s="43"/>
      <c r="AC751" s="43"/>
      <c r="AD751" s="43">
        <v>-0.32100000000000001</v>
      </c>
      <c r="AE751" s="43"/>
      <c r="AF751" s="43"/>
      <c r="AG751" s="43"/>
      <c r="AH751" s="43"/>
      <c r="AI751" s="43"/>
      <c r="AJ751" s="9"/>
      <c r="AK751" s="10"/>
      <c r="AL751" s="11"/>
    </row>
    <row r="752" spans="1:38" ht="11.25" hidden="1" customHeight="1" outlineLevel="1" x14ac:dyDescent="0.2">
      <c r="A752" s="21">
        <v>36</v>
      </c>
      <c r="B752" s="88" t="s">
        <v>738</v>
      </c>
      <c r="C752" s="88"/>
      <c r="D752" s="88"/>
      <c r="E752" s="88"/>
      <c r="F752" s="88"/>
      <c r="G752" s="88"/>
      <c r="H752" s="88"/>
      <c r="I752" s="88"/>
      <c r="J752" s="88"/>
      <c r="K752" s="88"/>
      <c r="L752" s="88"/>
      <c r="M752" s="88"/>
      <c r="N752" s="88"/>
      <c r="O752" s="88"/>
      <c r="P752" s="88"/>
      <c r="Q752" s="88"/>
      <c r="R752" s="88"/>
      <c r="S752" s="88"/>
      <c r="T752" s="41">
        <v>14.76</v>
      </c>
      <c r="U752" s="41"/>
      <c r="V752" s="41"/>
      <c r="W752" s="41"/>
      <c r="X752" s="41"/>
      <c r="Y752" s="41">
        <v>14.76</v>
      </c>
      <c r="Z752" s="41"/>
      <c r="AA752" s="41"/>
      <c r="AB752" s="41"/>
      <c r="AC752" s="41"/>
      <c r="AD752" s="12"/>
      <c r="AE752" s="13"/>
      <c r="AF752" s="13"/>
      <c r="AG752" s="13"/>
      <c r="AH752" s="13"/>
      <c r="AI752" s="14"/>
      <c r="AJ752" s="9"/>
      <c r="AK752" s="10"/>
      <c r="AL752" s="11"/>
    </row>
    <row r="753" spans="1:38" ht="11.25" hidden="1" customHeight="1" collapsed="1" x14ac:dyDescent="0.2">
      <c r="A753" s="60" t="s">
        <v>739</v>
      </c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4">
        <v>1075.3599999999999</v>
      </c>
      <c r="U753" s="64"/>
      <c r="V753" s="64"/>
      <c r="W753" s="64"/>
      <c r="X753" s="64"/>
      <c r="Y753" s="61">
        <v>1057.5409999999999</v>
      </c>
      <c r="Z753" s="61"/>
      <c r="AA753" s="61"/>
      <c r="AB753" s="61"/>
      <c r="AC753" s="61"/>
      <c r="AD753" s="62">
        <v>17.818999999999999</v>
      </c>
      <c r="AE753" s="62"/>
      <c r="AF753" s="62"/>
      <c r="AG753" s="62"/>
      <c r="AH753" s="62"/>
      <c r="AI753" s="62"/>
      <c r="AJ753" s="62">
        <v>37.823</v>
      </c>
      <c r="AK753" s="62"/>
      <c r="AL753" s="62"/>
    </row>
    <row r="754" spans="1:38" ht="11.25" hidden="1" customHeight="1" outlineLevel="1" x14ac:dyDescent="0.2">
      <c r="A754" s="21">
        <v>1</v>
      </c>
      <c r="B754" s="88" t="s">
        <v>740</v>
      </c>
      <c r="C754" s="88"/>
      <c r="D754" s="88"/>
      <c r="E754" s="88"/>
      <c r="F754" s="88"/>
      <c r="G754" s="88"/>
      <c r="H754" s="88"/>
      <c r="I754" s="88"/>
      <c r="J754" s="88"/>
      <c r="K754" s="88"/>
      <c r="L754" s="88"/>
      <c r="M754" s="88"/>
      <c r="N754" s="88"/>
      <c r="O754" s="88"/>
      <c r="P754" s="88"/>
      <c r="Q754" s="88"/>
      <c r="R754" s="88"/>
      <c r="S754" s="88"/>
      <c r="T754" s="59">
        <v>8.9</v>
      </c>
      <c r="U754" s="59"/>
      <c r="V754" s="59"/>
      <c r="W754" s="59"/>
      <c r="X754" s="59"/>
      <c r="Y754" s="58">
        <v>1</v>
      </c>
      <c r="Z754" s="58"/>
      <c r="AA754" s="58"/>
      <c r="AB754" s="58"/>
      <c r="AC754" s="58"/>
      <c r="AD754" s="59">
        <v>7.9</v>
      </c>
      <c r="AE754" s="59"/>
      <c r="AF754" s="59"/>
      <c r="AG754" s="59"/>
      <c r="AH754" s="59"/>
      <c r="AI754" s="59"/>
      <c r="AJ754" s="9"/>
      <c r="AK754" s="10"/>
      <c r="AL754" s="11"/>
    </row>
    <row r="755" spans="1:38" ht="11.25" hidden="1" customHeight="1" outlineLevel="1" x14ac:dyDescent="0.2">
      <c r="A755" s="21">
        <v>2</v>
      </c>
      <c r="B755" s="88" t="s">
        <v>741</v>
      </c>
      <c r="C755" s="88"/>
      <c r="D755" s="88"/>
      <c r="E755" s="88"/>
      <c r="F755" s="88"/>
      <c r="G755" s="88"/>
      <c r="H755" s="88"/>
      <c r="I755" s="88"/>
      <c r="J755" s="88"/>
      <c r="K755" s="88"/>
      <c r="L755" s="88"/>
      <c r="M755" s="88"/>
      <c r="N755" s="88"/>
      <c r="O755" s="88"/>
      <c r="P755" s="88"/>
      <c r="Q755" s="88"/>
      <c r="R755" s="88"/>
      <c r="S755" s="88"/>
      <c r="T755" s="41">
        <v>28.74</v>
      </c>
      <c r="U755" s="41"/>
      <c r="V755" s="41"/>
      <c r="W755" s="41"/>
      <c r="X755" s="41"/>
      <c r="Y755" s="41">
        <v>22.54</v>
      </c>
      <c r="Z755" s="41"/>
      <c r="AA755" s="41"/>
      <c r="AB755" s="41"/>
      <c r="AC755" s="41"/>
      <c r="AD755" s="59">
        <v>6.2</v>
      </c>
      <c r="AE755" s="59"/>
      <c r="AF755" s="59"/>
      <c r="AG755" s="59"/>
      <c r="AH755" s="59"/>
      <c r="AI755" s="59"/>
      <c r="AJ755" s="9"/>
      <c r="AK755" s="10"/>
      <c r="AL755" s="11"/>
    </row>
    <row r="756" spans="1:38" ht="11.25" hidden="1" customHeight="1" outlineLevel="1" x14ac:dyDescent="0.2">
      <c r="A756" s="21">
        <v>3</v>
      </c>
      <c r="B756" s="88" t="s">
        <v>742</v>
      </c>
      <c r="C756" s="88"/>
      <c r="D756" s="88"/>
      <c r="E756" s="88"/>
      <c r="F756" s="88"/>
      <c r="G756" s="88"/>
      <c r="H756" s="88"/>
      <c r="I756" s="88"/>
      <c r="J756" s="88"/>
      <c r="K756" s="88"/>
      <c r="L756" s="88"/>
      <c r="M756" s="88"/>
      <c r="N756" s="88"/>
      <c r="O756" s="88"/>
      <c r="P756" s="88"/>
      <c r="Q756" s="88"/>
      <c r="R756" s="88"/>
      <c r="S756" s="88"/>
      <c r="T756" s="41">
        <v>149.76</v>
      </c>
      <c r="U756" s="41"/>
      <c r="V756" s="41"/>
      <c r="W756" s="41"/>
      <c r="X756" s="41"/>
      <c r="Y756" s="43">
        <v>146.149</v>
      </c>
      <c r="Z756" s="43"/>
      <c r="AA756" s="43"/>
      <c r="AB756" s="43"/>
      <c r="AC756" s="43"/>
      <c r="AD756" s="43">
        <v>3.6110000000000002</v>
      </c>
      <c r="AE756" s="43"/>
      <c r="AF756" s="43"/>
      <c r="AG756" s="43"/>
      <c r="AH756" s="43"/>
      <c r="AI756" s="43"/>
      <c r="AJ756" s="9"/>
      <c r="AK756" s="10"/>
      <c r="AL756" s="11"/>
    </row>
    <row r="757" spans="1:38" ht="11.25" hidden="1" customHeight="1" outlineLevel="1" x14ac:dyDescent="0.2">
      <c r="A757" s="21">
        <v>4</v>
      </c>
      <c r="B757" s="88" t="s">
        <v>743</v>
      </c>
      <c r="C757" s="88"/>
      <c r="D757" s="88"/>
      <c r="E757" s="88"/>
      <c r="F757" s="88"/>
      <c r="G757" s="88"/>
      <c r="H757" s="88"/>
      <c r="I757" s="88"/>
      <c r="J757" s="88"/>
      <c r="K757" s="88"/>
      <c r="L757" s="88"/>
      <c r="M757" s="88"/>
      <c r="N757" s="88"/>
      <c r="O757" s="88"/>
      <c r="P757" s="88"/>
      <c r="Q757" s="88"/>
      <c r="R757" s="88"/>
      <c r="S757" s="88"/>
      <c r="T757" s="41">
        <v>45.66</v>
      </c>
      <c r="U757" s="41"/>
      <c r="V757" s="41"/>
      <c r="W757" s="41"/>
      <c r="X757" s="41"/>
      <c r="Y757" s="43">
        <v>41.473999999999997</v>
      </c>
      <c r="Z757" s="43"/>
      <c r="AA757" s="43"/>
      <c r="AB757" s="43"/>
      <c r="AC757" s="43"/>
      <c r="AD757" s="43">
        <v>4.1859999999999999</v>
      </c>
      <c r="AE757" s="43"/>
      <c r="AF757" s="43"/>
      <c r="AG757" s="43"/>
      <c r="AH757" s="43"/>
      <c r="AI757" s="43"/>
      <c r="AJ757" s="9"/>
      <c r="AK757" s="10"/>
      <c r="AL757" s="11"/>
    </row>
    <row r="758" spans="1:38" ht="11.25" hidden="1" customHeight="1" outlineLevel="1" x14ac:dyDescent="0.2">
      <c r="A758" s="21">
        <v>5</v>
      </c>
      <c r="B758" s="88" t="s">
        <v>744</v>
      </c>
      <c r="C758" s="88"/>
      <c r="D758" s="88"/>
      <c r="E758" s="88"/>
      <c r="F758" s="88"/>
      <c r="G758" s="88"/>
      <c r="H758" s="88"/>
      <c r="I758" s="88"/>
      <c r="J758" s="88"/>
      <c r="K758" s="88"/>
      <c r="L758" s="88"/>
      <c r="M758" s="88"/>
      <c r="N758" s="88"/>
      <c r="O758" s="88"/>
      <c r="P758" s="88"/>
      <c r="Q758" s="88"/>
      <c r="R758" s="88"/>
      <c r="S758" s="88"/>
      <c r="T758" s="41">
        <v>149.87</v>
      </c>
      <c r="U758" s="41"/>
      <c r="V758" s="41"/>
      <c r="W758" s="41"/>
      <c r="X758" s="41"/>
      <c r="Y758" s="43">
        <v>152.905</v>
      </c>
      <c r="Z758" s="43"/>
      <c r="AA758" s="43"/>
      <c r="AB758" s="43"/>
      <c r="AC758" s="43"/>
      <c r="AD758" s="43">
        <v>-3.0350000000000001</v>
      </c>
      <c r="AE758" s="43"/>
      <c r="AF758" s="43"/>
      <c r="AG758" s="43"/>
      <c r="AH758" s="43"/>
      <c r="AI758" s="43"/>
      <c r="AJ758" s="9"/>
      <c r="AK758" s="10"/>
      <c r="AL758" s="11"/>
    </row>
    <row r="759" spans="1:38" ht="11.25" hidden="1" customHeight="1" outlineLevel="1" x14ac:dyDescent="0.2">
      <c r="A759" s="21">
        <v>6</v>
      </c>
      <c r="B759" s="88" t="s">
        <v>745</v>
      </c>
      <c r="C759" s="88"/>
      <c r="D759" s="88"/>
      <c r="E759" s="88"/>
      <c r="F759" s="88"/>
      <c r="G759" s="88"/>
      <c r="H759" s="88"/>
      <c r="I759" s="88"/>
      <c r="J759" s="88"/>
      <c r="K759" s="88"/>
      <c r="L759" s="88"/>
      <c r="M759" s="88"/>
      <c r="N759" s="88"/>
      <c r="O759" s="88"/>
      <c r="P759" s="88"/>
      <c r="Q759" s="88"/>
      <c r="R759" s="88"/>
      <c r="S759" s="88"/>
      <c r="T759" s="41">
        <v>104.34</v>
      </c>
      <c r="U759" s="41"/>
      <c r="V759" s="41"/>
      <c r="W759" s="41"/>
      <c r="X759" s="41"/>
      <c r="Y759" s="43">
        <v>103.102</v>
      </c>
      <c r="Z759" s="43"/>
      <c r="AA759" s="43"/>
      <c r="AB759" s="43"/>
      <c r="AC759" s="43"/>
      <c r="AD759" s="43">
        <v>1.238</v>
      </c>
      <c r="AE759" s="43"/>
      <c r="AF759" s="43"/>
      <c r="AG759" s="43"/>
      <c r="AH759" s="43"/>
      <c r="AI759" s="43"/>
      <c r="AJ759" s="9"/>
      <c r="AK759" s="10"/>
      <c r="AL759" s="11"/>
    </row>
    <row r="760" spans="1:38" ht="11.25" hidden="1" customHeight="1" outlineLevel="1" x14ac:dyDescent="0.2">
      <c r="A760" s="21">
        <v>7</v>
      </c>
      <c r="B760" s="88" t="s">
        <v>746</v>
      </c>
      <c r="C760" s="88"/>
      <c r="D760" s="88"/>
      <c r="E760" s="88"/>
      <c r="F760" s="88"/>
      <c r="G760" s="88"/>
      <c r="H760" s="88"/>
      <c r="I760" s="88"/>
      <c r="J760" s="88"/>
      <c r="K760" s="88"/>
      <c r="L760" s="88"/>
      <c r="M760" s="88"/>
      <c r="N760" s="88"/>
      <c r="O760" s="88"/>
      <c r="P760" s="88"/>
      <c r="Q760" s="88"/>
      <c r="R760" s="88"/>
      <c r="S760" s="88"/>
      <c r="T760" s="41">
        <v>55.52</v>
      </c>
      <c r="U760" s="41"/>
      <c r="V760" s="41"/>
      <c r="W760" s="41"/>
      <c r="X760" s="41"/>
      <c r="Y760" s="43">
        <v>54.143000000000001</v>
      </c>
      <c r="Z760" s="43"/>
      <c r="AA760" s="43"/>
      <c r="AB760" s="43"/>
      <c r="AC760" s="43"/>
      <c r="AD760" s="43">
        <v>1.377</v>
      </c>
      <c r="AE760" s="43"/>
      <c r="AF760" s="43"/>
      <c r="AG760" s="43"/>
      <c r="AH760" s="43"/>
      <c r="AI760" s="43"/>
      <c r="AJ760" s="9"/>
      <c r="AK760" s="10"/>
      <c r="AL760" s="11"/>
    </row>
    <row r="761" spans="1:38" ht="21.75" hidden="1" customHeight="1" outlineLevel="1" x14ac:dyDescent="0.2">
      <c r="A761" s="21">
        <v>8</v>
      </c>
      <c r="B761" s="88" t="s">
        <v>747</v>
      </c>
      <c r="C761" s="88"/>
      <c r="D761" s="88"/>
      <c r="E761" s="88"/>
      <c r="F761" s="88"/>
      <c r="G761" s="88"/>
      <c r="H761" s="88"/>
      <c r="I761" s="88"/>
      <c r="J761" s="88"/>
      <c r="K761" s="88"/>
      <c r="L761" s="88"/>
      <c r="M761" s="88"/>
      <c r="N761" s="88"/>
      <c r="O761" s="88"/>
      <c r="P761" s="88"/>
      <c r="Q761" s="88"/>
      <c r="R761" s="88"/>
      <c r="S761" s="88"/>
      <c r="T761" s="41">
        <v>30.27</v>
      </c>
      <c r="U761" s="41"/>
      <c r="V761" s="41"/>
      <c r="W761" s="41"/>
      <c r="X761" s="41"/>
      <c r="Y761" s="43">
        <v>29.998999999999999</v>
      </c>
      <c r="Z761" s="43"/>
      <c r="AA761" s="43"/>
      <c r="AB761" s="43"/>
      <c r="AC761" s="43"/>
      <c r="AD761" s="43">
        <v>0.27100000000000002</v>
      </c>
      <c r="AE761" s="43"/>
      <c r="AF761" s="43"/>
      <c r="AG761" s="43"/>
      <c r="AH761" s="43"/>
      <c r="AI761" s="43"/>
      <c r="AJ761" s="9"/>
      <c r="AK761" s="10"/>
      <c r="AL761" s="11"/>
    </row>
    <row r="762" spans="1:38" ht="11.25" hidden="1" customHeight="1" outlineLevel="1" x14ac:dyDescent="0.2">
      <c r="A762" s="21">
        <v>9</v>
      </c>
      <c r="B762" s="88" t="s">
        <v>748</v>
      </c>
      <c r="C762" s="88"/>
      <c r="D762" s="88"/>
      <c r="E762" s="88"/>
      <c r="F762" s="88"/>
      <c r="G762" s="88"/>
      <c r="H762" s="88"/>
      <c r="I762" s="88"/>
      <c r="J762" s="88"/>
      <c r="K762" s="88"/>
      <c r="L762" s="88"/>
      <c r="M762" s="88"/>
      <c r="N762" s="88"/>
      <c r="O762" s="88"/>
      <c r="P762" s="88"/>
      <c r="Q762" s="88"/>
      <c r="R762" s="88"/>
      <c r="S762" s="88"/>
      <c r="T762" s="41">
        <v>17.440000000000001</v>
      </c>
      <c r="U762" s="41"/>
      <c r="V762" s="41"/>
      <c r="W762" s="41"/>
      <c r="X762" s="41"/>
      <c r="Y762" s="43">
        <v>16.913</v>
      </c>
      <c r="Z762" s="43"/>
      <c r="AA762" s="43"/>
      <c r="AB762" s="43"/>
      <c r="AC762" s="43"/>
      <c r="AD762" s="43">
        <v>0.52700000000000002</v>
      </c>
      <c r="AE762" s="43"/>
      <c r="AF762" s="43"/>
      <c r="AG762" s="43"/>
      <c r="AH762" s="43"/>
      <c r="AI762" s="43"/>
      <c r="AJ762" s="9"/>
      <c r="AK762" s="10"/>
      <c r="AL762" s="11"/>
    </row>
    <row r="763" spans="1:38" ht="11.25" hidden="1" customHeight="1" outlineLevel="1" x14ac:dyDescent="0.2">
      <c r="A763" s="21">
        <v>10</v>
      </c>
      <c r="B763" s="88" t="s">
        <v>749</v>
      </c>
      <c r="C763" s="88"/>
      <c r="D763" s="88"/>
      <c r="E763" s="88"/>
      <c r="F763" s="88"/>
      <c r="G763" s="88"/>
      <c r="H763" s="88"/>
      <c r="I763" s="88"/>
      <c r="J763" s="88"/>
      <c r="K763" s="88"/>
      <c r="L763" s="88"/>
      <c r="M763" s="88"/>
      <c r="N763" s="88"/>
      <c r="O763" s="88"/>
      <c r="P763" s="88"/>
      <c r="Q763" s="88"/>
      <c r="R763" s="88"/>
      <c r="S763" s="88"/>
      <c r="T763" s="41">
        <v>24.75</v>
      </c>
      <c r="U763" s="41"/>
      <c r="V763" s="41"/>
      <c r="W763" s="41"/>
      <c r="X763" s="41"/>
      <c r="Y763" s="43">
        <v>24.533999999999999</v>
      </c>
      <c r="Z763" s="43"/>
      <c r="AA763" s="43"/>
      <c r="AB763" s="43"/>
      <c r="AC763" s="43"/>
      <c r="AD763" s="43">
        <v>0.216</v>
      </c>
      <c r="AE763" s="43"/>
      <c r="AF763" s="43"/>
      <c r="AG763" s="43"/>
      <c r="AH763" s="43"/>
      <c r="AI763" s="43"/>
      <c r="AJ763" s="9"/>
      <c r="AK763" s="10"/>
      <c r="AL763" s="11"/>
    </row>
    <row r="764" spans="1:38" ht="11.25" hidden="1" customHeight="1" outlineLevel="1" x14ac:dyDescent="0.2">
      <c r="A764" s="21">
        <v>11</v>
      </c>
      <c r="B764" s="88" t="s">
        <v>750</v>
      </c>
      <c r="C764" s="88"/>
      <c r="D764" s="88"/>
      <c r="E764" s="88"/>
      <c r="F764" s="88"/>
      <c r="G764" s="88"/>
      <c r="H764" s="88"/>
      <c r="I764" s="88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59">
        <v>3.7</v>
      </c>
      <c r="U764" s="59"/>
      <c r="V764" s="59"/>
      <c r="W764" s="59"/>
      <c r="X764" s="59"/>
      <c r="Y764" s="43">
        <v>3.3559999999999999</v>
      </c>
      <c r="Z764" s="43"/>
      <c r="AA764" s="43"/>
      <c r="AB764" s="43"/>
      <c r="AC764" s="43"/>
      <c r="AD764" s="43">
        <v>0.34399999999999997</v>
      </c>
      <c r="AE764" s="43"/>
      <c r="AF764" s="43"/>
      <c r="AG764" s="43"/>
      <c r="AH764" s="43"/>
      <c r="AI764" s="43"/>
      <c r="AJ764" s="9"/>
      <c r="AK764" s="10"/>
      <c r="AL764" s="11"/>
    </row>
    <row r="765" spans="1:38" ht="11.25" hidden="1" customHeight="1" outlineLevel="1" x14ac:dyDescent="0.2">
      <c r="A765" s="21">
        <v>12</v>
      </c>
      <c r="B765" s="88" t="s">
        <v>751</v>
      </c>
      <c r="C765" s="88"/>
      <c r="D765" s="88"/>
      <c r="E765" s="88"/>
      <c r="F765" s="88"/>
      <c r="G765" s="88"/>
      <c r="H765" s="88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T765" s="41">
        <v>61.26</v>
      </c>
      <c r="U765" s="41"/>
      <c r="V765" s="41"/>
      <c r="W765" s="41"/>
      <c r="X765" s="41"/>
      <c r="Y765" s="43">
        <v>61.040999999999997</v>
      </c>
      <c r="Z765" s="43"/>
      <c r="AA765" s="43"/>
      <c r="AB765" s="43"/>
      <c r="AC765" s="43"/>
      <c r="AD765" s="43">
        <v>0.219</v>
      </c>
      <c r="AE765" s="43"/>
      <c r="AF765" s="43"/>
      <c r="AG765" s="43"/>
      <c r="AH765" s="43"/>
      <c r="AI765" s="43"/>
      <c r="AJ765" s="9"/>
      <c r="AK765" s="10"/>
      <c r="AL765" s="11"/>
    </row>
    <row r="766" spans="1:38" ht="11.25" hidden="1" customHeight="1" outlineLevel="1" x14ac:dyDescent="0.2">
      <c r="A766" s="21">
        <v>13</v>
      </c>
      <c r="B766" s="88" t="s">
        <v>752</v>
      </c>
      <c r="C766" s="88"/>
      <c r="D766" s="88"/>
      <c r="E766" s="88"/>
      <c r="F766" s="88"/>
      <c r="G766" s="88"/>
      <c r="H766" s="88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T766" s="41">
        <v>29.51</v>
      </c>
      <c r="U766" s="41"/>
      <c r="V766" s="41"/>
      <c r="W766" s="41"/>
      <c r="X766" s="41"/>
      <c r="Y766" s="43">
        <v>29.690999999999999</v>
      </c>
      <c r="Z766" s="43"/>
      <c r="AA766" s="43"/>
      <c r="AB766" s="43"/>
      <c r="AC766" s="43"/>
      <c r="AD766" s="43">
        <v>-0.18099999999999999</v>
      </c>
      <c r="AE766" s="43"/>
      <c r="AF766" s="43"/>
      <c r="AG766" s="43"/>
      <c r="AH766" s="43"/>
      <c r="AI766" s="43"/>
      <c r="AJ766" s="9"/>
      <c r="AK766" s="10"/>
      <c r="AL766" s="11"/>
    </row>
    <row r="767" spans="1:38" ht="21.75" hidden="1" customHeight="1" outlineLevel="1" x14ac:dyDescent="0.2">
      <c r="A767" s="21">
        <v>14</v>
      </c>
      <c r="B767" s="88" t="s">
        <v>753</v>
      </c>
      <c r="C767" s="88"/>
      <c r="D767" s="88"/>
      <c r="E767" s="88"/>
      <c r="F767" s="88"/>
      <c r="G767" s="88"/>
      <c r="H767" s="88"/>
      <c r="I767" s="88"/>
      <c r="J767" s="88"/>
      <c r="K767" s="88"/>
      <c r="L767" s="88"/>
      <c r="M767" s="88"/>
      <c r="N767" s="88"/>
      <c r="O767" s="88"/>
      <c r="P767" s="88"/>
      <c r="Q767" s="88"/>
      <c r="R767" s="88"/>
      <c r="S767" s="88"/>
      <c r="T767" s="59">
        <v>33.1</v>
      </c>
      <c r="U767" s="59"/>
      <c r="V767" s="59"/>
      <c r="W767" s="59"/>
      <c r="X767" s="59"/>
      <c r="Y767" s="43">
        <v>34.161000000000001</v>
      </c>
      <c r="Z767" s="43"/>
      <c r="AA767" s="43"/>
      <c r="AB767" s="43"/>
      <c r="AC767" s="43"/>
      <c r="AD767" s="43">
        <v>-1.0609999999999999</v>
      </c>
      <c r="AE767" s="43"/>
      <c r="AF767" s="43"/>
      <c r="AG767" s="43"/>
      <c r="AH767" s="43"/>
      <c r="AI767" s="43"/>
      <c r="AJ767" s="9"/>
      <c r="AK767" s="10"/>
      <c r="AL767" s="11"/>
    </row>
    <row r="768" spans="1:38" ht="21.75" hidden="1" customHeight="1" outlineLevel="1" x14ac:dyDescent="0.2">
      <c r="A768" s="21">
        <v>15</v>
      </c>
      <c r="B768" s="88" t="s">
        <v>754</v>
      </c>
      <c r="C768" s="88"/>
      <c r="D768" s="88"/>
      <c r="E768" s="88"/>
      <c r="F768" s="88"/>
      <c r="G768" s="88"/>
      <c r="H768" s="88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41">
        <v>18.989999999999998</v>
      </c>
      <c r="U768" s="41"/>
      <c r="V768" s="41"/>
      <c r="W768" s="41"/>
      <c r="X768" s="41"/>
      <c r="Y768" s="43">
        <v>19.018000000000001</v>
      </c>
      <c r="Z768" s="43"/>
      <c r="AA768" s="43"/>
      <c r="AB768" s="43"/>
      <c r="AC768" s="43"/>
      <c r="AD768" s="43">
        <v>-2.8000000000000001E-2</v>
      </c>
      <c r="AE768" s="43"/>
      <c r="AF768" s="43"/>
      <c r="AG768" s="43"/>
      <c r="AH768" s="43"/>
      <c r="AI768" s="43"/>
      <c r="AJ768" s="9"/>
      <c r="AK768" s="10"/>
      <c r="AL768" s="11"/>
    </row>
    <row r="769" spans="1:38" ht="11.25" hidden="1" customHeight="1" outlineLevel="1" x14ac:dyDescent="0.2">
      <c r="A769" s="21">
        <v>16</v>
      </c>
      <c r="B769" s="88" t="s">
        <v>755</v>
      </c>
      <c r="C769" s="88"/>
      <c r="D769" s="88"/>
      <c r="E769" s="88"/>
      <c r="F769" s="88"/>
      <c r="G769" s="88"/>
      <c r="H769" s="88"/>
      <c r="I769" s="88"/>
      <c r="J769" s="88"/>
      <c r="K769" s="88"/>
      <c r="L769" s="88"/>
      <c r="M769" s="88"/>
      <c r="N769" s="88"/>
      <c r="O769" s="88"/>
      <c r="P769" s="88"/>
      <c r="Q769" s="88"/>
      <c r="R769" s="88"/>
      <c r="S769" s="88"/>
      <c r="T769" s="41">
        <v>23.63</v>
      </c>
      <c r="U769" s="41"/>
      <c r="V769" s="41"/>
      <c r="W769" s="41"/>
      <c r="X769" s="41"/>
      <c r="Y769" s="43">
        <v>23.835000000000001</v>
      </c>
      <c r="Z769" s="43"/>
      <c r="AA769" s="43"/>
      <c r="AB769" s="43"/>
      <c r="AC769" s="43"/>
      <c r="AD769" s="43">
        <v>-0.20499999999999999</v>
      </c>
      <c r="AE769" s="43"/>
      <c r="AF769" s="43"/>
      <c r="AG769" s="43"/>
      <c r="AH769" s="43"/>
      <c r="AI769" s="43"/>
      <c r="AJ769" s="9"/>
      <c r="AK769" s="10"/>
      <c r="AL769" s="11"/>
    </row>
    <row r="770" spans="1:38" ht="11.25" hidden="1" customHeight="1" outlineLevel="1" x14ac:dyDescent="0.2">
      <c r="A770" s="21">
        <v>17</v>
      </c>
      <c r="B770" s="88" t="s">
        <v>756</v>
      </c>
      <c r="C770" s="88"/>
      <c r="D770" s="88"/>
      <c r="E770" s="88"/>
      <c r="F770" s="88"/>
      <c r="G770" s="88"/>
      <c r="H770" s="88"/>
      <c r="I770" s="88"/>
      <c r="J770" s="88"/>
      <c r="K770" s="88"/>
      <c r="L770" s="88"/>
      <c r="M770" s="88"/>
      <c r="N770" s="88"/>
      <c r="O770" s="88"/>
      <c r="P770" s="88"/>
      <c r="Q770" s="88"/>
      <c r="R770" s="88"/>
      <c r="S770" s="88"/>
      <c r="T770" s="59">
        <v>6.2</v>
      </c>
      <c r="U770" s="59"/>
      <c r="V770" s="59"/>
      <c r="W770" s="59"/>
      <c r="X770" s="59"/>
      <c r="Y770" s="43">
        <v>6.1120000000000001</v>
      </c>
      <c r="Z770" s="43"/>
      <c r="AA770" s="43"/>
      <c r="AB770" s="43"/>
      <c r="AC770" s="43"/>
      <c r="AD770" s="43">
        <v>8.7999999999999995E-2</v>
      </c>
      <c r="AE770" s="43"/>
      <c r="AF770" s="43"/>
      <c r="AG770" s="43"/>
      <c r="AH770" s="43"/>
      <c r="AI770" s="43"/>
      <c r="AJ770" s="9"/>
      <c r="AK770" s="10"/>
      <c r="AL770" s="11"/>
    </row>
    <row r="771" spans="1:38" ht="11.25" hidden="1" customHeight="1" outlineLevel="1" x14ac:dyDescent="0.2">
      <c r="A771" s="21">
        <v>18</v>
      </c>
      <c r="B771" s="88" t="s">
        <v>757</v>
      </c>
      <c r="C771" s="88"/>
      <c r="D771" s="88"/>
      <c r="E771" s="88"/>
      <c r="F771" s="88"/>
      <c r="G771" s="88"/>
      <c r="H771" s="88"/>
      <c r="I771" s="88"/>
      <c r="J771" s="88"/>
      <c r="K771" s="88"/>
      <c r="L771" s="88"/>
      <c r="M771" s="88"/>
      <c r="N771" s="88"/>
      <c r="O771" s="88"/>
      <c r="P771" s="88"/>
      <c r="Q771" s="88"/>
      <c r="R771" s="88"/>
      <c r="S771" s="88"/>
      <c r="T771" s="41">
        <v>39.159999999999997</v>
      </c>
      <c r="U771" s="41"/>
      <c r="V771" s="41"/>
      <c r="W771" s="41"/>
      <c r="X771" s="41"/>
      <c r="Y771" s="41">
        <v>39.24</v>
      </c>
      <c r="Z771" s="41"/>
      <c r="AA771" s="41"/>
      <c r="AB771" s="41"/>
      <c r="AC771" s="41"/>
      <c r="AD771" s="41">
        <v>-0.08</v>
      </c>
      <c r="AE771" s="41"/>
      <c r="AF771" s="41"/>
      <c r="AG771" s="41"/>
      <c r="AH771" s="41"/>
      <c r="AI771" s="41"/>
      <c r="AJ771" s="9"/>
      <c r="AK771" s="10"/>
      <c r="AL771" s="11"/>
    </row>
    <row r="772" spans="1:38" ht="11.25" hidden="1" customHeight="1" outlineLevel="1" x14ac:dyDescent="0.2">
      <c r="A772" s="21">
        <v>19</v>
      </c>
      <c r="B772" s="88" t="s">
        <v>758</v>
      </c>
      <c r="C772" s="88"/>
      <c r="D772" s="88"/>
      <c r="E772" s="88"/>
      <c r="F772" s="88"/>
      <c r="G772" s="88"/>
      <c r="H772" s="88"/>
      <c r="I772" s="88"/>
      <c r="J772" s="88"/>
      <c r="K772" s="88"/>
      <c r="L772" s="88"/>
      <c r="M772" s="88"/>
      <c r="N772" s="88"/>
      <c r="O772" s="88"/>
      <c r="P772" s="88"/>
      <c r="Q772" s="88"/>
      <c r="R772" s="88"/>
      <c r="S772" s="88"/>
      <c r="T772" s="41">
        <v>7.05</v>
      </c>
      <c r="U772" s="41"/>
      <c r="V772" s="41"/>
      <c r="W772" s="41"/>
      <c r="X772" s="41"/>
      <c r="Y772" s="43">
        <v>7.1970000000000001</v>
      </c>
      <c r="Z772" s="43"/>
      <c r="AA772" s="43"/>
      <c r="AB772" s="43"/>
      <c r="AC772" s="43"/>
      <c r="AD772" s="43">
        <v>-0.14699999999999999</v>
      </c>
      <c r="AE772" s="43"/>
      <c r="AF772" s="43"/>
      <c r="AG772" s="43"/>
      <c r="AH772" s="43"/>
      <c r="AI772" s="43"/>
      <c r="AJ772" s="9"/>
      <c r="AK772" s="10"/>
      <c r="AL772" s="11"/>
    </row>
    <row r="773" spans="1:38" ht="11.25" hidden="1" customHeight="1" outlineLevel="1" x14ac:dyDescent="0.2">
      <c r="A773" s="21">
        <v>20</v>
      </c>
      <c r="B773" s="88" t="s">
        <v>759</v>
      </c>
      <c r="C773" s="88"/>
      <c r="D773" s="88"/>
      <c r="E773" s="88"/>
      <c r="F773" s="88"/>
      <c r="G773" s="88"/>
      <c r="H773" s="88"/>
      <c r="I773" s="88"/>
      <c r="J773" s="88"/>
      <c r="K773" s="88"/>
      <c r="L773" s="88"/>
      <c r="M773" s="88"/>
      <c r="N773" s="88"/>
      <c r="O773" s="88"/>
      <c r="P773" s="88"/>
      <c r="Q773" s="88"/>
      <c r="R773" s="88"/>
      <c r="S773" s="88"/>
      <c r="T773" s="41">
        <v>14.12</v>
      </c>
      <c r="U773" s="41"/>
      <c r="V773" s="41"/>
      <c r="W773" s="41"/>
      <c r="X773" s="41"/>
      <c r="Y773" s="43">
        <v>14.449</v>
      </c>
      <c r="Z773" s="43"/>
      <c r="AA773" s="43"/>
      <c r="AB773" s="43"/>
      <c r="AC773" s="43"/>
      <c r="AD773" s="43">
        <v>-0.32900000000000001</v>
      </c>
      <c r="AE773" s="43"/>
      <c r="AF773" s="43"/>
      <c r="AG773" s="43"/>
      <c r="AH773" s="43"/>
      <c r="AI773" s="43"/>
      <c r="AJ773" s="9"/>
      <c r="AK773" s="10"/>
      <c r="AL773" s="11"/>
    </row>
    <row r="774" spans="1:38" ht="11.25" hidden="1" customHeight="1" outlineLevel="1" x14ac:dyDescent="0.2">
      <c r="A774" s="21">
        <v>21</v>
      </c>
      <c r="B774" s="88" t="s">
        <v>760</v>
      </c>
      <c r="C774" s="88"/>
      <c r="D774" s="88"/>
      <c r="E774" s="88"/>
      <c r="F774" s="88"/>
      <c r="G774" s="88"/>
      <c r="H774" s="88"/>
      <c r="I774" s="88"/>
      <c r="J774" s="88"/>
      <c r="K774" s="88"/>
      <c r="L774" s="88"/>
      <c r="M774" s="88"/>
      <c r="N774" s="88"/>
      <c r="O774" s="88"/>
      <c r="P774" s="88"/>
      <c r="Q774" s="88"/>
      <c r="R774" s="88"/>
      <c r="S774" s="88"/>
      <c r="T774" s="41">
        <v>28.37</v>
      </c>
      <c r="U774" s="41"/>
      <c r="V774" s="41"/>
      <c r="W774" s="41"/>
      <c r="X774" s="41"/>
      <c r="Y774" s="41">
        <v>28.52</v>
      </c>
      <c r="Z774" s="41"/>
      <c r="AA774" s="41"/>
      <c r="AB774" s="41"/>
      <c r="AC774" s="41"/>
      <c r="AD774" s="41">
        <v>-0.15</v>
      </c>
      <c r="AE774" s="41"/>
      <c r="AF774" s="41"/>
      <c r="AG774" s="41"/>
      <c r="AH774" s="41"/>
      <c r="AI774" s="41"/>
      <c r="AJ774" s="9"/>
      <c r="AK774" s="10"/>
      <c r="AL774" s="11"/>
    </row>
    <row r="775" spans="1:38" ht="21.75" hidden="1" customHeight="1" outlineLevel="1" x14ac:dyDescent="0.2">
      <c r="A775" s="21">
        <v>22</v>
      </c>
      <c r="B775" s="88" t="s">
        <v>761</v>
      </c>
      <c r="C775" s="88"/>
      <c r="D775" s="88"/>
      <c r="E775" s="88"/>
      <c r="F775" s="88"/>
      <c r="G775" s="88"/>
      <c r="H775" s="88"/>
      <c r="I775" s="88"/>
      <c r="J775" s="88"/>
      <c r="K775" s="88"/>
      <c r="L775" s="88"/>
      <c r="M775" s="88"/>
      <c r="N775" s="88"/>
      <c r="O775" s="88"/>
      <c r="P775" s="88"/>
      <c r="Q775" s="88"/>
      <c r="R775" s="88"/>
      <c r="S775" s="88"/>
      <c r="T775" s="41">
        <v>3.88</v>
      </c>
      <c r="U775" s="41"/>
      <c r="V775" s="41"/>
      <c r="W775" s="41"/>
      <c r="X775" s="41"/>
      <c r="Y775" s="43">
        <v>3.8260000000000001</v>
      </c>
      <c r="Z775" s="43"/>
      <c r="AA775" s="43"/>
      <c r="AB775" s="43"/>
      <c r="AC775" s="43"/>
      <c r="AD775" s="43">
        <v>5.3999999999999999E-2</v>
      </c>
      <c r="AE775" s="43"/>
      <c r="AF775" s="43"/>
      <c r="AG775" s="43"/>
      <c r="AH775" s="43"/>
      <c r="AI775" s="43"/>
      <c r="AJ775" s="9"/>
      <c r="AK775" s="10"/>
      <c r="AL775" s="11"/>
    </row>
    <row r="776" spans="1:38" ht="11.25" hidden="1" customHeight="1" outlineLevel="1" x14ac:dyDescent="0.2">
      <c r="A776" s="21">
        <v>23</v>
      </c>
      <c r="B776" s="88" t="s">
        <v>762</v>
      </c>
      <c r="C776" s="88"/>
      <c r="D776" s="88"/>
      <c r="E776" s="88"/>
      <c r="F776" s="88"/>
      <c r="G776" s="88"/>
      <c r="H776" s="88"/>
      <c r="I776" s="88"/>
      <c r="J776" s="88"/>
      <c r="K776" s="88"/>
      <c r="L776" s="88"/>
      <c r="M776" s="88"/>
      <c r="N776" s="88"/>
      <c r="O776" s="88"/>
      <c r="P776" s="88"/>
      <c r="Q776" s="88"/>
      <c r="R776" s="88"/>
      <c r="S776" s="88"/>
      <c r="T776" s="41">
        <v>35.869999999999997</v>
      </c>
      <c r="U776" s="41"/>
      <c r="V776" s="41"/>
      <c r="W776" s="41"/>
      <c r="X776" s="41"/>
      <c r="Y776" s="43">
        <v>36.152999999999999</v>
      </c>
      <c r="Z776" s="43"/>
      <c r="AA776" s="43"/>
      <c r="AB776" s="43"/>
      <c r="AC776" s="43"/>
      <c r="AD776" s="43">
        <v>-0.28299999999999997</v>
      </c>
      <c r="AE776" s="43"/>
      <c r="AF776" s="43"/>
      <c r="AG776" s="43"/>
      <c r="AH776" s="43"/>
      <c r="AI776" s="43"/>
      <c r="AJ776" s="9"/>
      <c r="AK776" s="10"/>
      <c r="AL776" s="11"/>
    </row>
    <row r="777" spans="1:38" ht="11.25" hidden="1" customHeight="1" outlineLevel="1" x14ac:dyDescent="0.2">
      <c r="A777" s="21">
        <v>24</v>
      </c>
      <c r="B777" s="88" t="s">
        <v>763</v>
      </c>
      <c r="C777" s="88"/>
      <c r="D777" s="88"/>
      <c r="E777" s="88"/>
      <c r="F777" s="88"/>
      <c r="G777" s="88"/>
      <c r="H777" s="88"/>
      <c r="I777" s="88"/>
      <c r="J777" s="88"/>
      <c r="K777" s="88"/>
      <c r="L777" s="88"/>
      <c r="M777" s="88"/>
      <c r="N777" s="88"/>
      <c r="O777" s="88"/>
      <c r="P777" s="88"/>
      <c r="Q777" s="88"/>
      <c r="R777" s="88"/>
      <c r="S777" s="88"/>
      <c r="T777" s="41">
        <v>31.14</v>
      </c>
      <c r="U777" s="41"/>
      <c r="V777" s="41"/>
      <c r="W777" s="41"/>
      <c r="X777" s="41"/>
      <c r="Y777" s="41">
        <v>31.38</v>
      </c>
      <c r="Z777" s="41"/>
      <c r="AA777" s="41"/>
      <c r="AB777" s="41"/>
      <c r="AC777" s="41"/>
      <c r="AD777" s="41">
        <v>-0.24</v>
      </c>
      <c r="AE777" s="41"/>
      <c r="AF777" s="41"/>
      <c r="AG777" s="41"/>
      <c r="AH777" s="41"/>
      <c r="AI777" s="41"/>
      <c r="AJ777" s="9"/>
      <c r="AK777" s="10"/>
      <c r="AL777" s="11"/>
    </row>
    <row r="778" spans="1:38" ht="21.75" hidden="1" customHeight="1" outlineLevel="1" x14ac:dyDescent="0.2">
      <c r="A778" s="21">
        <v>25</v>
      </c>
      <c r="B778" s="88" t="s">
        <v>764</v>
      </c>
      <c r="C778" s="88"/>
      <c r="D778" s="88"/>
      <c r="E778" s="88"/>
      <c r="F778" s="88"/>
      <c r="G778" s="88"/>
      <c r="H778" s="88"/>
      <c r="I778" s="88"/>
      <c r="J778" s="88"/>
      <c r="K778" s="88"/>
      <c r="L778" s="88"/>
      <c r="M778" s="88"/>
      <c r="N778" s="88"/>
      <c r="O778" s="88"/>
      <c r="P778" s="88"/>
      <c r="Q778" s="88"/>
      <c r="R778" s="88"/>
      <c r="S778" s="88"/>
      <c r="T778" s="59">
        <v>17.899999999999999</v>
      </c>
      <c r="U778" s="59"/>
      <c r="V778" s="59"/>
      <c r="W778" s="59"/>
      <c r="X778" s="59"/>
      <c r="Y778" s="43">
        <v>17.992999999999999</v>
      </c>
      <c r="Z778" s="43"/>
      <c r="AA778" s="43"/>
      <c r="AB778" s="43"/>
      <c r="AC778" s="43"/>
      <c r="AD778" s="43">
        <v>-9.2999999999999999E-2</v>
      </c>
      <c r="AE778" s="43"/>
      <c r="AF778" s="43"/>
      <c r="AG778" s="43"/>
      <c r="AH778" s="43"/>
      <c r="AI778" s="43"/>
      <c r="AJ778" s="9"/>
      <c r="AK778" s="10"/>
      <c r="AL778" s="11"/>
    </row>
    <row r="779" spans="1:38" ht="11.25" hidden="1" customHeight="1" outlineLevel="1" x14ac:dyDescent="0.2">
      <c r="A779" s="21">
        <v>26</v>
      </c>
      <c r="B779" s="88" t="s">
        <v>765</v>
      </c>
      <c r="C779" s="88"/>
      <c r="D779" s="88"/>
      <c r="E779" s="88"/>
      <c r="F779" s="88"/>
      <c r="G779" s="88"/>
      <c r="H779" s="88"/>
      <c r="I779" s="88"/>
      <c r="J779" s="88"/>
      <c r="K779" s="88"/>
      <c r="L779" s="88"/>
      <c r="M779" s="88"/>
      <c r="N779" s="88"/>
      <c r="O779" s="88"/>
      <c r="P779" s="88"/>
      <c r="Q779" s="88"/>
      <c r="R779" s="88"/>
      <c r="S779" s="88"/>
      <c r="T779" s="59">
        <v>28.3</v>
      </c>
      <c r="U779" s="59"/>
      <c r="V779" s="59"/>
      <c r="W779" s="59"/>
      <c r="X779" s="59"/>
      <c r="Y779" s="43">
        <v>28.405000000000001</v>
      </c>
      <c r="Z779" s="43"/>
      <c r="AA779" s="43"/>
      <c r="AB779" s="43"/>
      <c r="AC779" s="43"/>
      <c r="AD779" s="43">
        <v>-0.105</v>
      </c>
      <c r="AE779" s="43"/>
      <c r="AF779" s="43"/>
      <c r="AG779" s="43"/>
      <c r="AH779" s="43"/>
      <c r="AI779" s="43"/>
      <c r="AJ779" s="9"/>
      <c r="AK779" s="10"/>
      <c r="AL779" s="11"/>
    </row>
    <row r="780" spans="1:38" ht="21.75" hidden="1" customHeight="1" outlineLevel="1" x14ac:dyDescent="0.2">
      <c r="A780" s="21">
        <v>27</v>
      </c>
      <c r="B780" s="88" t="s">
        <v>766</v>
      </c>
      <c r="C780" s="88"/>
      <c r="D780" s="88"/>
      <c r="E780" s="88"/>
      <c r="F780" s="88"/>
      <c r="G780" s="88"/>
      <c r="H780" s="88"/>
      <c r="I780" s="88"/>
      <c r="J780" s="88"/>
      <c r="K780" s="88"/>
      <c r="L780" s="88"/>
      <c r="M780" s="88"/>
      <c r="N780" s="88"/>
      <c r="O780" s="88"/>
      <c r="P780" s="88"/>
      <c r="Q780" s="88"/>
      <c r="R780" s="88"/>
      <c r="S780" s="88"/>
      <c r="T780" s="41">
        <v>17.61</v>
      </c>
      <c r="U780" s="41"/>
      <c r="V780" s="41"/>
      <c r="W780" s="41"/>
      <c r="X780" s="41"/>
      <c r="Y780" s="43">
        <v>17.841999999999999</v>
      </c>
      <c r="Z780" s="43"/>
      <c r="AA780" s="43"/>
      <c r="AB780" s="43"/>
      <c r="AC780" s="43"/>
      <c r="AD780" s="43">
        <v>-0.23200000000000001</v>
      </c>
      <c r="AE780" s="43"/>
      <c r="AF780" s="43"/>
      <c r="AG780" s="43"/>
      <c r="AH780" s="43"/>
      <c r="AI780" s="43"/>
      <c r="AJ780" s="9"/>
      <c r="AK780" s="10"/>
      <c r="AL780" s="11"/>
    </row>
    <row r="781" spans="1:38" ht="11.25" hidden="1" customHeight="1" outlineLevel="1" x14ac:dyDescent="0.2">
      <c r="A781" s="21">
        <v>28</v>
      </c>
      <c r="B781" s="88" t="s">
        <v>767</v>
      </c>
      <c r="C781" s="88"/>
      <c r="D781" s="88"/>
      <c r="E781" s="88"/>
      <c r="F781" s="88"/>
      <c r="G781" s="88"/>
      <c r="H781" s="88"/>
      <c r="I781" s="88"/>
      <c r="J781" s="88"/>
      <c r="K781" s="88"/>
      <c r="L781" s="88"/>
      <c r="M781" s="88"/>
      <c r="N781" s="88"/>
      <c r="O781" s="88"/>
      <c r="P781" s="88"/>
      <c r="Q781" s="88"/>
      <c r="R781" s="88"/>
      <c r="S781" s="88"/>
      <c r="T781" s="41">
        <v>19.350000000000001</v>
      </c>
      <c r="U781" s="41"/>
      <c r="V781" s="41"/>
      <c r="W781" s="41"/>
      <c r="X781" s="41"/>
      <c r="Y781" s="43">
        <v>19.594000000000001</v>
      </c>
      <c r="Z781" s="43"/>
      <c r="AA781" s="43"/>
      <c r="AB781" s="43"/>
      <c r="AC781" s="43"/>
      <c r="AD781" s="43">
        <v>-0.24399999999999999</v>
      </c>
      <c r="AE781" s="43"/>
      <c r="AF781" s="43"/>
      <c r="AG781" s="43"/>
      <c r="AH781" s="43"/>
      <c r="AI781" s="43"/>
      <c r="AJ781" s="9"/>
      <c r="AK781" s="10"/>
      <c r="AL781" s="11"/>
    </row>
    <row r="782" spans="1:38" ht="11.25" hidden="1" customHeight="1" outlineLevel="1" x14ac:dyDescent="0.2">
      <c r="A782" s="21">
        <v>29</v>
      </c>
      <c r="B782" s="88" t="s">
        <v>768</v>
      </c>
      <c r="C782" s="88"/>
      <c r="D782" s="88"/>
      <c r="E782" s="88"/>
      <c r="F782" s="88"/>
      <c r="G782" s="88"/>
      <c r="H782" s="88"/>
      <c r="I782" s="88"/>
      <c r="J782" s="88"/>
      <c r="K782" s="88"/>
      <c r="L782" s="88"/>
      <c r="M782" s="88"/>
      <c r="N782" s="88"/>
      <c r="O782" s="88"/>
      <c r="P782" s="88"/>
      <c r="Q782" s="88"/>
      <c r="R782" s="88"/>
      <c r="S782" s="88"/>
      <c r="T782" s="41">
        <v>21.48</v>
      </c>
      <c r="U782" s="41"/>
      <c r="V782" s="41"/>
      <c r="W782" s="41"/>
      <c r="X782" s="41"/>
      <c r="Y782" s="43">
        <v>23.478999999999999</v>
      </c>
      <c r="Z782" s="43"/>
      <c r="AA782" s="43"/>
      <c r="AB782" s="43"/>
      <c r="AC782" s="43"/>
      <c r="AD782" s="43">
        <v>-1.9990000000000001</v>
      </c>
      <c r="AE782" s="43"/>
      <c r="AF782" s="43"/>
      <c r="AG782" s="43"/>
      <c r="AH782" s="43"/>
      <c r="AI782" s="43"/>
      <c r="AJ782" s="9"/>
      <c r="AK782" s="10"/>
      <c r="AL782" s="11"/>
    </row>
    <row r="783" spans="1:38" ht="21.75" hidden="1" customHeight="1" outlineLevel="1" x14ac:dyDescent="0.2">
      <c r="A783" s="21">
        <v>30</v>
      </c>
      <c r="B783" s="88" t="s">
        <v>769</v>
      </c>
      <c r="C783" s="88"/>
      <c r="D783" s="88"/>
      <c r="E783" s="88"/>
      <c r="F783" s="88"/>
      <c r="G783" s="88"/>
      <c r="H783" s="88"/>
      <c r="I783" s="88"/>
      <c r="J783" s="88"/>
      <c r="K783" s="88"/>
      <c r="L783" s="88"/>
      <c r="M783" s="88"/>
      <c r="N783" s="88"/>
      <c r="O783" s="88"/>
      <c r="P783" s="88"/>
      <c r="Q783" s="88"/>
      <c r="R783" s="88"/>
      <c r="S783" s="88"/>
      <c r="T783" s="41">
        <v>3.66</v>
      </c>
      <c r="U783" s="41"/>
      <c r="V783" s="41"/>
      <c r="W783" s="41"/>
      <c r="X783" s="41"/>
      <c r="Y783" s="41">
        <v>3.66</v>
      </c>
      <c r="Z783" s="41"/>
      <c r="AA783" s="41"/>
      <c r="AB783" s="41"/>
      <c r="AC783" s="41"/>
      <c r="AD783" s="12"/>
      <c r="AE783" s="13"/>
      <c r="AF783" s="13"/>
      <c r="AG783" s="13"/>
      <c r="AH783" s="13"/>
      <c r="AI783" s="14"/>
      <c r="AJ783" s="9"/>
      <c r="AK783" s="10"/>
      <c r="AL783" s="11"/>
    </row>
    <row r="784" spans="1:38" ht="11.25" hidden="1" customHeight="1" outlineLevel="1" x14ac:dyDescent="0.2">
      <c r="A784" s="21">
        <v>31</v>
      </c>
      <c r="B784" s="88" t="s">
        <v>770</v>
      </c>
      <c r="C784" s="88"/>
      <c r="D784" s="88"/>
      <c r="E784" s="88"/>
      <c r="F784" s="88"/>
      <c r="G784" s="88"/>
      <c r="H784" s="88"/>
      <c r="I784" s="88"/>
      <c r="J784" s="88"/>
      <c r="K784" s="88"/>
      <c r="L784" s="88"/>
      <c r="M784" s="88"/>
      <c r="N784" s="88"/>
      <c r="O784" s="88"/>
      <c r="P784" s="88"/>
      <c r="Q784" s="88"/>
      <c r="R784" s="88"/>
      <c r="S784" s="88"/>
      <c r="T784" s="58">
        <v>8</v>
      </c>
      <c r="U784" s="58"/>
      <c r="V784" s="58"/>
      <c r="W784" s="58"/>
      <c r="X784" s="58"/>
      <c r="Y784" s="58">
        <v>8</v>
      </c>
      <c r="Z784" s="58"/>
      <c r="AA784" s="58"/>
      <c r="AB784" s="58"/>
      <c r="AC784" s="58"/>
      <c r="AD784" s="12"/>
      <c r="AE784" s="13"/>
      <c r="AF784" s="13"/>
      <c r="AG784" s="13"/>
      <c r="AH784" s="13"/>
      <c r="AI784" s="14"/>
      <c r="AJ784" s="9"/>
      <c r="AK784" s="10"/>
      <c r="AL784" s="11"/>
    </row>
    <row r="785" spans="1:38" ht="11.25" hidden="1" customHeight="1" outlineLevel="1" x14ac:dyDescent="0.2">
      <c r="A785" s="21">
        <v>32</v>
      </c>
      <c r="B785" s="88" t="s">
        <v>771</v>
      </c>
      <c r="C785" s="88"/>
      <c r="D785" s="88"/>
      <c r="E785" s="88"/>
      <c r="F785" s="88"/>
      <c r="G785" s="88"/>
      <c r="H785" s="88"/>
      <c r="I785" s="88"/>
      <c r="J785" s="88"/>
      <c r="K785" s="88"/>
      <c r="L785" s="88"/>
      <c r="M785" s="88"/>
      <c r="N785" s="88"/>
      <c r="O785" s="88"/>
      <c r="P785" s="88"/>
      <c r="Q785" s="88"/>
      <c r="R785" s="88"/>
      <c r="S785" s="88"/>
      <c r="T785" s="41">
        <v>5.03</v>
      </c>
      <c r="U785" s="41"/>
      <c r="V785" s="41"/>
      <c r="W785" s="41"/>
      <c r="X785" s="41"/>
      <c r="Y785" s="41">
        <v>5.03</v>
      </c>
      <c r="Z785" s="41"/>
      <c r="AA785" s="41"/>
      <c r="AB785" s="41"/>
      <c r="AC785" s="41"/>
      <c r="AD785" s="12"/>
      <c r="AE785" s="13"/>
      <c r="AF785" s="13"/>
      <c r="AG785" s="13"/>
      <c r="AH785" s="13"/>
      <c r="AI785" s="14"/>
      <c r="AJ785" s="9"/>
      <c r="AK785" s="10"/>
      <c r="AL785" s="11"/>
    </row>
    <row r="786" spans="1:38" ht="21.75" hidden="1" customHeight="1" outlineLevel="1" x14ac:dyDescent="0.2">
      <c r="A786" s="21">
        <v>33</v>
      </c>
      <c r="B786" s="88" t="s">
        <v>772</v>
      </c>
      <c r="C786" s="88"/>
      <c r="D786" s="88"/>
      <c r="E786" s="88"/>
      <c r="F786" s="88"/>
      <c r="G786" s="88"/>
      <c r="H786" s="88"/>
      <c r="I786" s="88"/>
      <c r="J786" s="88"/>
      <c r="K786" s="88"/>
      <c r="L786" s="88"/>
      <c r="M786" s="88"/>
      <c r="N786" s="88"/>
      <c r="O786" s="88"/>
      <c r="P786" s="88"/>
      <c r="Q786" s="88"/>
      <c r="R786" s="88"/>
      <c r="S786" s="88"/>
      <c r="T786" s="59">
        <v>2.8</v>
      </c>
      <c r="U786" s="59"/>
      <c r="V786" s="59"/>
      <c r="W786" s="59"/>
      <c r="X786" s="59"/>
      <c r="Y786" s="59">
        <v>2.8</v>
      </c>
      <c r="Z786" s="59"/>
      <c r="AA786" s="59"/>
      <c r="AB786" s="59"/>
      <c r="AC786" s="59"/>
      <c r="AD786" s="12"/>
      <c r="AE786" s="13"/>
      <c r="AF786" s="13"/>
      <c r="AG786" s="13"/>
      <c r="AH786" s="13"/>
      <c r="AI786" s="14"/>
      <c r="AJ786" s="9"/>
      <c r="AK786" s="10"/>
      <c r="AL786" s="11"/>
    </row>
    <row r="787" spans="1:38" ht="11.25" hidden="1" customHeight="1" collapsed="1" x14ac:dyDescent="0.2">
      <c r="A787" s="60" t="s">
        <v>773</v>
      </c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1">
        <v>1139.346</v>
      </c>
      <c r="U787" s="61"/>
      <c r="V787" s="61"/>
      <c r="W787" s="61"/>
      <c r="X787" s="61"/>
      <c r="Y787" s="61">
        <v>1127.7539999999999</v>
      </c>
      <c r="Z787" s="61"/>
      <c r="AA787" s="61"/>
      <c r="AB787" s="61"/>
      <c r="AC787" s="61"/>
      <c r="AD787" s="62">
        <v>11.592000000000001</v>
      </c>
      <c r="AE787" s="62"/>
      <c r="AF787" s="62"/>
      <c r="AG787" s="62"/>
      <c r="AH787" s="62"/>
      <c r="AI787" s="62"/>
      <c r="AJ787" s="62">
        <v>43.448</v>
      </c>
      <c r="AK787" s="62"/>
      <c r="AL787" s="62"/>
    </row>
    <row r="788" spans="1:38" ht="21.75" hidden="1" customHeight="1" outlineLevel="1" x14ac:dyDescent="0.2">
      <c r="A788" s="21">
        <v>1</v>
      </c>
      <c r="B788" s="88" t="s">
        <v>774</v>
      </c>
      <c r="C788" s="88"/>
      <c r="D788" s="88"/>
      <c r="E788" s="88"/>
      <c r="F788" s="88"/>
      <c r="G788" s="88"/>
      <c r="H788" s="88"/>
      <c r="I788" s="88"/>
      <c r="J788" s="88"/>
      <c r="K788" s="88"/>
      <c r="L788" s="88"/>
      <c r="M788" s="88"/>
      <c r="N788" s="88"/>
      <c r="O788" s="88"/>
      <c r="P788" s="88"/>
      <c r="Q788" s="88"/>
      <c r="R788" s="88"/>
      <c r="S788" s="88"/>
      <c r="T788" s="59">
        <v>58.2</v>
      </c>
      <c r="U788" s="59"/>
      <c r="V788" s="59"/>
      <c r="W788" s="59"/>
      <c r="X788" s="59"/>
      <c r="Y788" s="41">
        <v>42.21</v>
      </c>
      <c r="Z788" s="41"/>
      <c r="AA788" s="41"/>
      <c r="AB788" s="41"/>
      <c r="AC788" s="41"/>
      <c r="AD788" s="41">
        <v>15.99</v>
      </c>
      <c r="AE788" s="41"/>
      <c r="AF788" s="41"/>
      <c r="AG788" s="41"/>
      <c r="AH788" s="41"/>
      <c r="AI788" s="41"/>
      <c r="AJ788" s="9"/>
      <c r="AK788" s="10"/>
      <c r="AL788" s="11"/>
    </row>
    <row r="789" spans="1:38" ht="11.25" hidden="1" customHeight="1" outlineLevel="1" x14ac:dyDescent="0.2">
      <c r="A789" s="21">
        <v>2</v>
      </c>
      <c r="B789" s="88" t="s">
        <v>775</v>
      </c>
      <c r="C789" s="88"/>
      <c r="D789" s="88"/>
      <c r="E789" s="88"/>
      <c r="F789" s="88"/>
      <c r="G789" s="88"/>
      <c r="H789" s="88"/>
      <c r="I789" s="88"/>
      <c r="J789" s="88"/>
      <c r="K789" s="88"/>
      <c r="L789" s="88"/>
      <c r="M789" s="88"/>
      <c r="N789" s="88"/>
      <c r="O789" s="88"/>
      <c r="P789" s="88"/>
      <c r="Q789" s="88"/>
      <c r="R789" s="88"/>
      <c r="S789" s="88"/>
      <c r="T789" s="41">
        <v>40.46</v>
      </c>
      <c r="U789" s="41"/>
      <c r="V789" s="41"/>
      <c r="W789" s="41"/>
      <c r="X789" s="41"/>
      <c r="Y789" s="41">
        <v>32.78</v>
      </c>
      <c r="Z789" s="41"/>
      <c r="AA789" s="41"/>
      <c r="AB789" s="41"/>
      <c r="AC789" s="41"/>
      <c r="AD789" s="41">
        <v>7.68</v>
      </c>
      <c r="AE789" s="41"/>
      <c r="AF789" s="41"/>
      <c r="AG789" s="41"/>
      <c r="AH789" s="41"/>
      <c r="AI789" s="41"/>
      <c r="AJ789" s="9"/>
      <c r="AK789" s="10"/>
      <c r="AL789" s="11"/>
    </row>
    <row r="790" spans="1:38" ht="21.75" hidden="1" customHeight="1" outlineLevel="1" x14ac:dyDescent="0.2">
      <c r="A790" s="21">
        <v>3</v>
      </c>
      <c r="B790" s="88" t="s">
        <v>776</v>
      </c>
      <c r="C790" s="88"/>
      <c r="D790" s="88"/>
      <c r="E790" s="88"/>
      <c r="F790" s="88"/>
      <c r="G790" s="88"/>
      <c r="H790" s="88"/>
      <c r="I790" s="88"/>
      <c r="J790" s="88"/>
      <c r="K790" s="88"/>
      <c r="L790" s="88"/>
      <c r="M790" s="88"/>
      <c r="N790" s="88"/>
      <c r="O790" s="88"/>
      <c r="P790" s="88"/>
      <c r="Q790" s="88"/>
      <c r="R790" s="88"/>
      <c r="S790" s="88"/>
      <c r="T790" s="41">
        <v>10.28</v>
      </c>
      <c r="U790" s="41"/>
      <c r="V790" s="41"/>
      <c r="W790" s="41"/>
      <c r="X790" s="41"/>
      <c r="Y790" s="43">
        <v>4.9880000000000004</v>
      </c>
      <c r="Z790" s="43"/>
      <c r="AA790" s="43"/>
      <c r="AB790" s="43"/>
      <c r="AC790" s="43"/>
      <c r="AD790" s="43">
        <v>5.2919999999999998</v>
      </c>
      <c r="AE790" s="43"/>
      <c r="AF790" s="43"/>
      <c r="AG790" s="43"/>
      <c r="AH790" s="43"/>
      <c r="AI790" s="43"/>
      <c r="AJ790" s="9"/>
      <c r="AK790" s="10"/>
      <c r="AL790" s="11"/>
    </row>
    <row r="791" spans="1:38" ht="11.25" hidden="1" customHeight="1" outlineLevel="1" x14ac:dyDescent="0.2">
      <c r="A791" s="21">
        <v>4</v>
      </c>
      <c r="B791" s="88" t="s">
        <v>777</v>
      </c>
      <c r="C791" s="88"/>
      <c r="D791" s="88"/>
      <c r="E791" s="88"/>
      <c r="F791" s="88"/>
      <c r="G791" s="88"/>
      <c r="H791" s="88"/>
      <c r="I791" s="88"/>
      <c r="J791" s="88"/>
      <c r="K791" s="88"/>
      <c r="L791" s="88"/>
      <c r="M791" s="88"/>
      <c r="N791" s="88"/>
      <c r="O791" s="88"/>
      <c r="P791" s="88"/>
      <c r="Q791" s="88"/>
      <c r="R791" s="88"/>
      <c r="S791" s="88"/>
      <c r="T791" s="41">
        <v>13.16</v>
      </c>
      <c r="U791" s="41"/>
      <c r="V791" s="41"/>
      <c r="W791" s="41"/>
      <c r="X791" s="41"/>
      <c r="Y791" s="43">
        <v>11.747999999999999</v>
      </c>
      <c r="Z791" s="43"/>
      <c r="AA791" s="43"/>
      <c r="AB791" s="43"/>
      <c r="AC791" s="43"/>
      <c r="AD791" s="43">
        <v>1.4119999999999999</v>
      </c>
      <c r="AE791" s="43"/>
      <c r="AF791" s="43"/>
      <c r="AG791" s="43"/>
      <c r="AH791" s="43"/>
      <c r="AI791" s="43"/>
      <c r="AJ791" s="9"/>
      <c r="AK791" s="10"/>
      <c r="AL791" s="11"/>
    </row>
    <row r="792" spans="1:38" ht="11.25" hidden="1" customHeight="1" outlineLevel="1" x14ac:dyDescent="0.2">
      <c r="A792" s="21">
        <v>5</v>
      </c>
      <c r="B792" s="88" t="s">
        <v>778</v>
      </c>
      <c r="C792" s="88"/>
      <c r="D792" s="88"/>
      <c r="E792" s="88"/>
      <c r="F792" s="88"/>
      <c r="G792" s="88"/>
      <c r="H792" s="88"/>
      <c r="I792" s="88"/>
      <c r="J792" s="88"/>
      <c r="K792" s="88"/>
      <c r="L792" s="88"/>
      <c r="M792" s="88"/>
      <c r="N792" s="88"/>
      <c r="O792" s="88"/>
      <c r="P792" s="88"/>
      <c r="Q792" s="88"/>
      <c r="R792" s="88"/>
      <c r="S792" s="88"/>
      <c r="T792" s="58">
        <v>11</v>
      </c>
      <c r="U792" s="58"/>
      <c r="V792" s="58"/>
      <c r="W792" s="58"/>
      <c r="X792" s="58"/>
      <c r="Y792" s="43">
        <v>9.8330000000000002</v>
      </c>
      <c r="Z792" s="43"/>
      <c r="AA792" s="43"/>
      <c r="AB792" s="43"/>
      <c r="AC792" s="43"/>
      <c r="AD792" s="43">
        <v>1.167</v>
      </c>
      <c r="AE792" s="43"/>
      <c r="AF792" s="43"/>
      <c r="AG792" s="43"/>
      <c r="AH792" s="43"/>
      <c r="AI792" s="43"/>
      <c r="AJ792" s="9"/>
      <c r="AK792" s="10"/>
      <c r="AL792" s="11"/>
    </row>
    <row r="793" spans="1:38" ht="21.75" hidden="1" customHeight="1" outlineLevel="1" x14ac:dyDescent="0.2">
      <c r="A793" s="21">
        <v>6</v>
      </c>
      <c r="B793" s="88" t="s">
        <v>779</v>
      </c>
      <c r="C793" s="88"/>
      <c r="D793" s="88"/>
      <c r="E793" s="88"/>
      <c r="F793" s="88"/>
      <c r="G793" s="88"/>
      <c r="H793" s="88"/>
      <c r="I793" s="88"/>
      <c r="J793" s="88"/>
      <c r="K793" s="88"/>
      <c r="L793" s="88"/>
      <c r="M793" s="88"/>
      <c r="N793" s="88"/>
      <c r="O793" s="88"/>
      <c r="P793" s="88"/>
      <c r="Q793" s="88"/>
      <c r="R793" s="88"/>
      <c r="S793" s="88"/>
      <c r="T793" s="41">
        <v>33.06</v>
      </c>
      <c r="U793" s="41"/>
      <c r="V793" s="41"/>
      <c r="W793" s="41"/>
      <c r="X793" s="41"/>
      <c r="Y793" s="43">
        <v>32.704000000000001</v>
      </c>
      <c r="Z793" s="43"/>
      <c r="AA793" s="43"/>
      <c r="AB793" s="43"/>
      <c r="AC793" s="43"/>
      <c r="AD793" s="43">
        <v>0.35599999999999998</v>
      </c>
      <c r="AE793" s="43"/>
      <c r="AF793" s="43"/>
      <c r="AG793" s="43"/>
      <c r="AH793" s="43"/>
      <c r="AI793" s="43"/>
      <c r="AJ793" s="9"/>
      <c r="AK793" s="10"/>
      <c r="AL793" s="11"/>
    </row>
    <row r="794" spans="1:38" ht="11.25" hidden="1" customHeight="1" outlineLevel="1" x14ac:dyDescent="0.2">
      <c r="A794" s="21">
        <v>7</v>
      </c>
      <c r="B794" s="88" t="s">
        <v>780</v>
      </c>
      <c r="C794" s="88"/>
      <c r="D794" s="88"/>
      <c r="E794" s="88"/>
      <c r="F794" s="88"/>
      <c r="G794" s="88"/>
      <c r="H794" s="88"/>
      <c r="I794" s="88"/>
      <c r="J794" s="88"/>
      <c r="K794" s="88"/>
      <c r="L794" s="88"/>
      <c r="M794" s="88"/>
      <c r="N794" s="88"/>
      <c r="O794" s="88"/>
      <c r="P794" s="88"/>
      <c r="Q794" s="88"/>
      <c r="R794" s="88"/>
      <c r="S794" s="88"/>
      <c r="T794" s="59">
        <v>100.4</v>
      </c>
      <c r="U794" s="59"/>
      <c r="V794" s="59"/>
      <c r="W794" s="59"/>
      <c r="X794" s="59"/>
      <c r="Y794" s="43">
        <v>106.40300000000001</v>
      </c>
      <c r="Z794" s="43"/>
      <c r="AA794" s="43"/>
      <c r="AB794" s="43"/>
      <c r="AC794" s="43"/>
      <c r="AD794" s="43">
        <v>-6.0030000000000001</v>
      </c>
      <c r="AE794" s="43"/>
      <c r="AF794" s="43"/>
      <c r="AG794" s="43"/>
      <c r="AH794" s="43"/>
      <c r="AI794" s="43"/>
      <c r="AJ794" s="9"/>
      <c r="AK794" s="10"/>
      <c r="AL794" s="11"/>
    </row>
    <row r="795" spans="1:38" ht="11.25" hidden="1" customHeight="1" outlineLevel="1" x14ac:dyDescent="0.2">
      <c r="A795" s="21">
        <v>8</v>
      </c>
      <c r="B795" s="88" t="s">
        <v>781</v>
      </c>
      <c r="C795" s="88"/>
      <c r="D795" s="88"/>
      <c r="E795" s="88"/>
      <c r="F795" s="88"/>
      <c r="G795" s="88"/>
      <c r="H795" s="88"/>
      <c r="I795" s="88"/>
      <c r="J795" s="88"/>
      <c r="K795" s="88"/>
      <c r="L795" s="88"/>
      <c r="M795" s="88"/>
      <c r="N795" s="88"/>
      <c r="O795" s="88"/>
      <c r="P795" s="88"/>
      <c r="Q795" s="88"/>
      <c r="R795" s="88"/>
      <c r="S795" s="88"/>
      <c r="T795" s="41">
        <v>7.36</v>
      </c>
      <c r="U795" s="41"/>
      <c r="V795" s="41"/>
      <c r="W795" s="41"/>
      <c r="X795" s="41"/>
      <c r="Y795" s="43">
        <v>6.6550000000000002</v>
      </c>
      <c r="Z795" s="43"/>
      <c r="AA795" s="43"/>
      <c r="AB795" s="43"/>
      <c r="AC795" s="43"/>
      <c r="AD795" s="43">
        <v>0.70499999999999996</v>
      </c>
      <c r="AE795" s="43"/>
      <c r="AF795" s="43"/>
      <c r="AG795" s="43"/>
      <c r="AH795" s="43"/>
      <c r="AI795" s="43"/>
      <c r="AJ795" s="9"/>
      <c r="AK795" s="10"/>
      <c r="AL795" s="11"/>
    </row>
    <row r="796" spans="1:38" ht="11.25" hidden="1" customHeight="1" outlineLevel="1" x14ac:dyDescent="0.2">
      <c r="A796" s="21">
        <v>9</v>
      </c>
      <c r="B796" s="88" t="s">
        <v>782</v>
      </c>
      <c r="C796" s="88"/>
      <c r="D796" s="88"/>
      <c r="E796" s="88"/>
      <c r="F796" s="88"/>
      <c r="G796" s="88"/>
      <c r="H796" s="88"/>
      <c r="I796" s="88"/>
      <c r="J796" s="88"/>
      <c r="K796" s="88"/>
      <c r="L796" s="88"/>
      <c r="M796" s="88"/>
      <c r="N796" s="88"/>
      <c r="O796" s="88"/>
      <c r="P796" s="88"/>
      <c r="Q796" s="88"/>
      <c r="R796" s="88"/>
      <c r="S796" s="88"/>
      <c r="T796" s="41">
        <v>57.25</v>
      </c>
      <c r="U796" s="41"/>
      <c r="V796" s="41"/>
      <c r="W796" s="41"/>
      <c r="X796" s="41"/>
      <c r="Y796" s="41">
        <v>57.54</v>
      </c>
      <c r="Z796" s="41"/>
      <c r="AA796" s="41"/>
      <c r="AB796" s="41"/>
      <c r="AC796" s="41"/>
      <c r="AD796" s="41">
        <v>-0.28999999999999998</v>
      </c>
      <c r="AE796" s="41"/>
      <c r="AF796" s="41"/>
      <c r="AG796" s="41"/>
      <c r="AH796" s="41"/>
      <c r="AI796" s="41"/>
      <c r="AJ796" s="9"/>
      <c r="AK796" s="10"/>
      <c r="AL796" s="11"/>
    </row>
    <row r="797" spans="1:38" ht="21.75" hidden="1" customHeight="1" outlineLevel="1" x14ac:dyDescent="0.2">
      <c r="A797" s="21">
        <v>10</v>
      </c>
      <c r="B797" s="88" t="s">
        <v>783</v>
      </c>
      <c r="C797" s="88"/>
      <c r="D797" s="88"/>
      <c r="E797" s="88"/>
      <c r="F797" s="88"/>
      <c r="G797" s="88"/>
      <c r="H797" s="88"/>
      <c r="I797" s="88"/>
      <c r="J797" s="88"/>
      <c r="K797" s="88"/>
      <c r="L797" s="88"/>
      <c r="M797" s="88"/>
      <c r="N797" s="88"/>
      <c r="O797" s="88"/>
      <c r="P797" s="88"/>
      <c r="Q797" s="88"/>
      <c r="R797" s="88"/>
      <c r="S797" s="88"/>
      <c r="T797" s="59">
        <v>24.8</v>
      </c>
      <c r="U797" s="59"/>
      <c r="V797" s="59"/>
      <c r="W797" s="59"/>
      <c r="X797" s="59"/>
      <c r="Y797" s="43">
        <v>24.524999999999999</v>
      </c>
      <c r="Z797" s="43"/>
      <c r="AA797" s="43"/>
      <c r="AB797" s="43"/>
      <c r="AC797" s="43"/>
      <c r="AD797" s="43">
        <v>0.27500000000000002</v>
      </c>
      <c r="AE797" s="43"/>
      <c r="AF797" s="43"/>
      <c r="AG797" s="43"/>
      <c r="AH797" s="43"/>
      <c r="AI797" s="43"/>
      <c r="AJ797" s="9"/>
      <c r="AK797" s="10"/>
      <c r="AL797" s="11"/>
    </row>
    <row r="798" spans="1:38" ht="21.75" hidden="1" customHeight="1" outlineLevel="1" x14ac:dyDescent="0.2">
      <c r="A798" s="21">
        <v>11</v>
      </c>
      <c r="B798" s="88" t="s">
        <v>784</v>
      </c>
      <c r="C798" s="88"/>
      <c r="D798" s="88"/>
      <c r="E798" s="88"/>
      <c r="F798" s="88"/>
      <c r="G798" s="88"/>
      <c r="H798" s="88"/>
      <c r="I798" s="88"/>
      <c r="J798" s="88"/>
      <c r="K798" s="88"/>
      <c r="L798" s="88"/>
      <c r="M798" s="88"/>
      <c r="N798" s="88"/>
      <c r="O798" s="88"/>
      <c r="P798" s="88"/>
      <c r="Q798" s="88"/>
      <c r="R798" s="88"/>
      <c r="S798" s="88"/>
      <c r="T798" s="41">
        <v>18.170000000000002</v>
      </c>
      <c r="U798" s="41"/>
      <c r="V798" s="41"/>
      <c r="W798" s="41"/>
      <c r="X798" s="41"/>
      <c r="Y798" s="43">
        <v>17.582000000000001</v>
      </c>
      <c r="Z798" s="43"/>
      <c r="AA798" s="43"/>
      <c r="AB798" s="43"/>
      <c r="AC798" s="43"/>
      <c r="AD798" s="43">
        <v>0.58799999999999997</v>
      </c>
      <c r="AE798" s="43"/>
      <c r="AF798" s="43"/>
      <c r="AG798" s="43"/>
      <c r="AH798" s="43"/>
      <c r="AI798" s="43"/>
      <c r="AJ798" s="9"/>
      <c r="AK798" s="10"/>
      <c r="AL798" s="11"/>
    </row>
    <row r="799" spans="1:38" ht="11.25" hidden="1" customHeight="1" outlineLevel="1" x14ac:dyDescent="0.2">
      <c r="A799" s="21">
        <v>12</v>
      </c>
      <c r="B799" s="88" t="s">
        <v>785</v>
      </c>
      <c r="C799" s="88"/>
      <c r="D799" s="88"/>
      <c r="E799" s="88"/>
      <c r="F799" s="88"/>
      <c r="G799" s="88"/>
      <c r="H799" s="88"/>
      <c r="I799" s="88"/>
      <c r="J799" s="88"/>
      <c r="K799" s="88"/>
      <c r="L799" s="88"/>
      <c r="M799" s="88"/>
      <c r="N799" s="88"/>
      <c r="O799" s="88"/>
      <c r="P799" s="88"/>
      <c r="Q799" s="88"/>
      <c r="R799" s="88"/>
      <c r="S799" s="88"/>
      <c r="T799" s="59">
        <v>4.8</v>
      </c>
      <c r="U799" s="59"/>
      <c r="V799" s="59"/>
      <c r="W799" s="59"/>
      <c r="X799" s="59"/>
      <c r="Y799" s="41">
        <v>4.2699999999999996</v>
      </c>
      <c r="Z799" s="41"/>
      <c r="AA799" s="41"/>
      <c r="AB799" s="41"/>
      <c r="AC799" s="41"/>
      <c r="AD799" s="41">
        <v>0.53</v>
      </c>
      <c r="AE799" s="41"/>
      <c r="AF799" s="41"/>
      <c r="AG799" s="41"/>
      <c r="AH799" s="41"/>
      <c r="AI799" s="41"/>
      <c r="AJ799" s="9"/>
      <c r="AK799" s="10"/>
      <c r="AL799" s="11"/>
    </row>
    <row r="800" spans="1:38" ht="11.25" hidden="1" customHeight="1" outlineLevel="1" x14ac:dyDescent="0.2">
      <c r="A800" s="21">
        <v>13</v>
      </c>
      <c r="B800" s="88" t="s">
        <v>786</v>
      </c>
      <c r="C800" s="88"/>
      <c r="D800" s="88"/>
      <c r="E800" s="88"/>
      <c r="F800" s="88"/>
      <c r="G800" s="88"/>
      <c r="H800" s="88"/>
      <c r="I800" s="88"/>
      <c r="J800" s="88"/>
      <c r="K800" s="88"/>
      <c r="L800" s="88"/>
      <c r="M800" s="88"/>
      <c r="N800" s="88"/>
      <c r="O800" s="88"/>
      <c r="P800" s="88"/>
      <c r="Q800" s="88"/>
      <c r="R800" s="88"/>
      <c r="S800" s="88"/>
      <c r="T800" s="59">
        <v>18.5</v>
      </c>
      <c r="U800" s="59"/>
      <c r="V800" s="59"/>
      <c r="W800" s="59"/>
      <c r="X800" s="59"/>
      <c r="Y800" s="43">
        <v>17.917000000000002</v>
      </c>
      <c r="Z800" s="43"/>
      <c r="AA800" s="43"/>
      <c r="AB800" s="43"/>
      <c r="AC800" s="43"/>
      <c r="AD800" s="43">
        <v>0.58299999999999996</v>
      </c>
      <c r="AE800" s="43"/>
      <c r="AF800" s="43"/>
      <c r="AG800" s="43"/>
      <c r="AH800" s="43"/>
      <c r="AI800" s="43"/>
      <c r="AJ800" s="9"/>
      <c r="AK800" s="10"/>
      <c r="AL800" s="11"/>
    </row>
    <row r="801" spans="1:38" ht="11.25" hidden="1" customHeight="1" outlineLevel="1" x14ac:dyDescent="0.2">
      <c r="A801" s="21">
        <v>14</v>
      </c>
      <c r="B801" s="88" t="s">
        <v>787</v>
      </c>
      <c r="C801" s="88"/>
      <c r="D801" s="88"/>
      <c r="E801" s="88"/>
      <c r="F801" s="88"/>
      <c r="G801" s="88"/>
      <c r="H801" s="88"/>
      <c r="I801" s="88"/>
      <c r="J801" s="88"/>
      <c r="K801" s="88"/>
      <c r="L801" s="88"/>
      <c r="M801" s="88"/>
      <c r="N801" s="88"/>
      <c r="O801" s="88"/>
      <c r="P801" s="88"/>
      <c r="Q801" s="88"/>
      <c r="R801" s="88"/>
      <c r="S801" s="88"/>
      <c r="T801" s="59">
        <v>77.400000000000006</v>
      </c>
      <c r="U801" s="59"/>
      <c r="V801" s="59"/>
      <c r="W801" s="59"/>
      <c r="X801" s="59"/>
      <c r="Y801" s="43">
        <v>77.968999999999994</v>
      </c>
      <c r="Z801" s="43"/>
      <c r="AA801" s="43"/>
      <c r="AB801" s="43"/>
      <c r="AC801" s="43"/>
      <c r="AD801" s="43">
        <v>-0.56899999999999995</v>
      </c>
      <c r="AE801" s="43"/>
      <c r="AF801" s="43"/>
      <c r="AG801" s="43"/>
      <c r="AH801" s="43"/>
      <c r="AI801" s="43"/>
      <c r="AJ801" s="9"/>
      <c r="AK801" s="10"/>
      <c r="AL801" s="11"/>
    </row>
    <row r="802" spans="1:38" ht="21.75" hidden="1" customHeight="1" outlineLevel="1" x14ac:dyDescent="0.2">
      <c r="A802" s="21">
        <v>15</v>
      </c>
      <c r="B802" s="88" t="s">
        <v>788</v>
      </c>
      <c r="C802" s="88"/>
      <c r="D802" s="88"/>
      <c r="E802" s="88"/>
      <c r="F802" s="88"/>
      <c r="G802" s="88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41">
        <v>142.52000000000001</v>
      </c>
      <c r="U802" s="41"/>
      <c r="V802" s="41"/>
      <c r="W802" s="41"/>
      <c r="X802" s="41"/>
      <c r="Y802" s="43">
        <v>147.583</v>
      </c>
      <c r="Z802" s="43"/>
      <c r="AA802" s="43"/>
      <c r="AB802" s="43"/>
      <c r="AC802" s="43"/>
      <c r="AD802" s="43">
        <v>-5.0629999999999997</v>
      </c>
      <c r="AE802" s="43"/>
      <c r="AF802" s="43"/>
      <c r="AG802" s="43"/>
      <c r="AH802" s="43"/>
      <c r="AI802" s="43"/>
      <c r="AJ802" s="9"/>
      <c r="AK802" s="10"/>
      <c r="AL802" s="11"/>
    </row>
    <row r="803" spans="1:38" ht="21.75" hidden="1" customHeight="1" outlineLevel="1" x14ac:dyDescent="0.2">
      <c r="A803" s="21">
        <v>16</v>
      </c>
      <c r="B803" s="88" t="s">
        <v>789</v>
      </c>
      <c r="C803" s="88"/>
      <c r="D803" s="88"/>
      <c r="E803" s="88"/>
      <c r="F803" s="88"/>
      <c r="G803" s="88"/>
      <c r="H803" s="88"/>
      <c r="I803" s="88"/>
      <c r="J803" s="88"/>
      <c r="K803" s="88"/>
      <c r="L803" s="88"/>
      <c r="M803" s="88"/>
      <c r="N803" s="88"/>
      <c r="O803" s="88"/>
      <c r="P803" s="88"/>
      <c r="Q803" s="88"/>
      <c r="R803" s="88"/>
      <c r="S803" s="88"/>
      <c r="T803" s="59">
        <v>1.5</v>
      </c>
      <c r="U803" s="59"/>
      <c r="V803" s="59"/>
      <c r="W803" s="59"/>
      <c r="X803" s="59"/>
      <c r="Y803" s="41">
        <v>1.06</v>
      </c>
      <c r="Z803" s="41"/>
      <c r="AA803" s="41"/>
      <c r="AB803" s="41"/>
      <c r="AC803" s="41"/>
      <c r="AD803" s="41">
        <v>0.44</v>
      </c>
      <c r="AE803" s="41"/>
      <c r="AF803" s="41"/>
      <c r="AG803" s="41"/>
      <c r="AH803" s="41"/>
      <c r="AI803" s="41"/>
      <c r="AJ803" s="9"/>
      <c r="AK803" s="10"/>
      <c r="AL803" s="11"/>
    </row>
    <row r="804" spans="1:38" ht="21.75" hidden="1" customHeight="1" outlineLevel="1" x14ac:dyDescent="0.2">
      <c r="A804" s="21">
        <v>17</v>
      </c>
      <c r="B804" s="88" t="s">
        <v>790</v>
      </c>
      <c r="C804" s="88"/>
      <c r="D804" s="88"/>
      <c r="E804" s="88"/>
      <c r="F804" s="88"/>
      <c r="G804" s="88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59">
        <v>56.7</v>
      </c>
      <c r="U804" s="59"/>
      <c r="V804" s="59"/>
      <c r="W804" s="59"/>
      <c r="X804" s="59"/>
      <c r="Y804" s="43">
        <v>57.597000000000001</v>
      </c>
      <c r="Z804" s="43"/>
      <c r="AA804" s="43"/>
      <c r="AB804" s="43"/>
      <c r="AC804" s="43"/>
      <c r="AD804" s="43">
        <v>-0.89700000000000002</v>
      </c>
      <c r="AE804" s="43"/>
      <c r="AF804" s="43"/>
      <c r="AG804" s="43"/>
      <c r="AH804" s="43"/>
      <c r="AI804" s="43"/>
      <c r="AJ804" s="9"/>
      <c r="AK804" s="10"/>
      <c r="AL804" s="11"/>
    </row>
    <row r="805" spans="1:38" ht="21.75" hidden="1" customHeight="1" outlineLevel="1" x14ac:dyDescent="0.2">
      <c r="A805" s="21">
        <v>18</v>
      </c>
      <c r="B805" s="88" t="s">
        <v>791</v>
      </c>
      <c r="C805" s="88"/>
      <c r="D805" s="88"/>
      <c r="E805" s="88"/>
      <c r="F805" s="88"/>
      <c r="G805" s="88"/>
      <c r="H805" s="88"/>
      <c r="I805" s="88"/>
      <c r="J805" s="88"/>
      <c r="K805" s="88"/>
      <c r="L805" s="88"/>
      <c r="M805" s="88"/>
      <c r="N805" s="88"/>
      <c r="O805" s="88"/>
      <c r="P805" s="88"/>
      <c r="Q805" s="88"/>
      <c r="R805" s="88"/>
      <c r="S805" s="88"/>
      <c r="T805" s="41">
        <v>9.7899999999999991</v>
      </c>
      <c r="U805" s="41"/>
      <c r="V805" s="41"/>
      <c r="W805" s="41"/>
      <c r="X805" s="41"/>
      <c r="Y805" s="41">
        <v>9.39</v>
      </c>
      <c r="Z805" s="41"/>
      <c r="AA805" s="41"/>
      <c r="AB805" s="41"/>
      <c r="AC805" s="41"/>
      <c r="AD805" s="59">
        <v>0.4</v>
      </c>
      <c r="AE805" s="59"/>
      <c r="AF805" s="59"/>
      <c r="AG805" s="59"/>
      <c r="AH805" s="59"/>
      <c r="AI805" s="59"/>
      <c r="AJ805" s="9"/>
      <c r="AK805" s="10"/>
      <c r="AL805" s="11"/>
    </row>
    <row r="806" spans="1:38" ht="21.75" hidden="1" customHeight="1" outlineLevel="1" x14ac:dyDescent="0.2">
      <c r="A806" s="21">
        <v>19</v>
      </c>
      <c r="B806" s="88" t="s">
        <v>792</v>
      </c>
      <c r="C806" s="88"/>
      <c r="D806" s="88"/>
      <c r="E806" s="88"/>
      <c r="F806" s="88"/>
      <c r="G806" s="88"/>
      <c r="H806" s="88"/>
      <c r="I806" s="88"/>
      <c r="J806" s="88"/>
      <c r="K806" s="88"/>
      <c r="L806" s="88"/>
      <c r="M806" s="88"/>
      <c r="N806" s="88"/>
      <c r="O806" s="88"/>
      <c r="P806" s="88"/>
      <c r="Q806" s="88"/>
      <c r="R806" s="88"/>
      <c r="S806" s="88"/>
      <c r="T806" s="59">
        <v>67.900000000000006</v>
      </c>
      <c r="U806" s="59"/>
      <c r="V806" s="59"/>
      <c r="W806" s="59"/>
      <c r="X806" s="59"/>
      <c r="Y806" s="43">
        <v>69.567999999999998</v>
      </c>
      <c r="Z806" s="43"/>
      <c r="AA806" s="43"/>
      <c r="AB806" s="43"/>
      <c r="AC806" s="43"/>
      <c r="AD806" s="43">
        <v>-1.6679999999999999</v>
      </c>
      <c r="AE806" s="43"/>
      <c r="AF806" s="43"/>
      <c r="AG806" s="43"/>
      <c r="AH806" s="43"/>
      <c r="AI806" s="43"/>
      <c r="AJ806" s="9"/>
      <c r="AK806" s="10"/>
      <c r="AL806" s="11"/>
    </row>
    <row r="807" spans="1:38" ht="11.25" hidden="1" customHeight="1" outlineLevel="1" x14ac:dyDescent="0.2">
      <c r="A807" s="21">
        <v>20</v>
      </c>
      <c r="B807" s="88" t="s">
        <v>793</v>
      </c>
      <c r="C807" s="88"/>
      <c r="D807" s="88"/>
      <c r="E807" s="88"/>
      <c r="F807" s="88"/>
      <c r="G807" s="88"/>
      <c r="H807" s="88"/>
      <c r="I807" s="88"/>
      <c r="J807" s="88"/>
      <c r="K807" s="88"/>
      <c r="L807" s="88"/>
      <c r="M807" s="88"/>
      <c r="N807" s="88"/>
      <c r="O807" s="88"/>
      <c r="P807" s="88"/>
      <c r="Q807" s="88"/>
      <c r="R807" s="88"/>
      <c r="S807" s="88"/>
      <c r="T807" s="41">
        <v>30.15</v>
      </c>
      <c r="U807" s="41"/>
      <c r="V807" s="41"/>
      <c r="W807" s="41"/>
      <c r="X807" s="41"/>
      <c r="Y807" s="43">
        <v>30.364999999999998</v>
      </c>
      <c r="Z807" s="43"/>
      <c r="AA807" s="43"/>
      <c r="AB807" s="43"/>
      <c r="AC807" s="43"/>
      <c r="AD807" s="43">
        <v>-0.215</v>
      </c>
      <c r="AE807" s="43"/>
      <c r="AF807" s="43"/>
      <c r="AG807" s="43"/>
      <c r="AH807" s="43"/>
      <c r="AI807" s="43"/>
      <c r="AJ807" s="9"/>
      <c r="AK807" s="10"/>
      <c r="AL807" s="11"/>
    </row>
    <row r="808" spans="1:38" ht="21.75" hidden="1" customHeight="1" outlineLevel="1" x14ac:dyDescent="0.2">
      <c r="A808" s="21">
        <v>21</v>
      </c>
      <c r="B808" s="88" t="s">
        <v>794</v>
      </c>
      <c r="C808" s="88"/>
      <c r="D808" s="88"/>
      <c r="E808" s="88"/>
      <c r="F808" s="88"/>
      <c r="G808" s="88"/>
      <c r="H808" s="88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41">
        <v>28.01</v>
      </c>
      <c r="U808" s="41"/>
      <c r="V808" s="41"/>
      <c r="W808" s="41"/>
      <c r="X808" s="41"/>
      <c r="Y808" s="43">
        <v>28.341000000000001</v>
      </c>
      <c r="Z808" s="43"/>
      <c r="AA808" s="43"/>
      <c r="AB808" s="43"/>
      <c r="AC808" s="43"/>
      <c r="AD808" s="43">
        <v>-0.33100000000000002</v>
      </c>
      <c r="AE808" s="43"/>
      <c r="AF808" s="43"/>
      <c r="AG808" s="43"/>
      <c r="AH808" s="43"/>
      <c r="AI808" s="43"/>
      <c r="AJ808" s="9"/>
      <c r="AK808" s="10"/>
      <c r="AL808" s="11"/>
    </row>
    <row r="809" spans="1:38" ht="11.25" hidden="1" customHeight="1" outlineLevel="1" x14ac:dyDescent="0.2">
      <c r="A809" s="21">
        <v>22</v>
      </c>
      <c r="B809" s="88" t="s">
        <v>795</v>
      </c>
      <c r="C809" s="88"/>
      <c r="D809" s="88"/>
      <c r="E809" s="88"/>
      <c r="F809" s="88"/>
      <c r="G809" s="88"/>
      <c r="H809" s="88"/>
      <c r="I809" s="88"/>
      <c r="J809" s="88"/>
      <c r="K809" s="88"/>
      <c r="L809" s="88"/>
      <c r="M809" s="88"/>
      <c r="N809" s="88"/>
      <c r="O809" s="88"/>
      <c r="P809" s="88"/>
      <c r="Q809" s="88"/>
      <c r="R809" s="88"/>
      <c r="S809" s="88"/>
      <c r="T809" s="59">
        <v>36.1</v>
      </c>
      <c r="U809" s="59"/>
      <c r="V809" s="59"/>
      <c r="W809" s="59"/>
      <c r="X809" s="59"/>
      <c r="Y809" s="43">
        <v>37.268999999999998</v>
      </c>
      <c r="Z809" s="43"/>
      <c r="AA809" s="43"/>
      <c r="AB809" s="43"/>
      <c r="AC809" s="43"/>
      <c r="AD809" s="43">
        <v>-1.169</v>
      </c>
      <c r="AE809" s="43"/>
      <c r="AF809" s="43"/>
      <c r="AG809" s="43"/>
      <c r="AH809" s="43"/>
      <c r="AI809" s="43"/>
      <c r="AJ809" s="9"/>
      <c r="AK809" s="10"/>
      <c r="AL809" s="11"/>
    </row>
    <row r="810" spans="1:38" ht="21.75" hidden="1" customHeight="1" outlineLevel="1" x14ac:dyDescent="0.2">
      <c r="A810" s="21">
        <v>23</v>
      </c>
      <c r="B810" s="88" t="s">
        <v>796</v>
      </c>
      <c r="C810" s="88"/>
      <c r="D810" s="88"/>
      <c r="E810" s="88"/>
      <c r="F810" s="88"/>
      <c r="G810" s="88"/>
      <c r="H810" s="88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41">
        <v>5.26</v>
      </c>
      <c r="U810" s="41"/>
      <c r="V810" s="41"/>
      <c r="W810" s="41"/>
      <c r="X810" s="41"/>
      <c r="Y810" s="41">
        <v>5.14</v>
      </c>
      <c r="Z810" s="41"/>
      <c r="AA810" s="41"/>
      <c r="AB810" s="41"/>
      <c r="AC810" s="41"/>
      <c r="AD810" s="41">
        <v>0.12</v>
      </c>
      <c r="AE810" s="41"/>
      <c r="AF810" s="41"/>
      <c r="AG810" s="41"/>
      <c r="AH810" s="41"/>
      <c r="AI810" s="41"/>
      <c r="AJ810" s="9"/>
      <c r="AK810" s="10"/>
      <c r="AL810" s="11"/>
    </row>
    <row r="811" spans="1:38" ht="11.25" hidden="1" customHeight="1" outlineLevel="1" x14ac:dyDescent="0.2">
      <c r="A811" s="21">
        <v>24</v>
      </c>
      <c r="B811" s="88" t="s">
        <v>797</v>
      </c>
      <c r="C811" s="88"/>
      <c r="D811" s="88"/>
      <c r="E811" s="88"/>
      <c r="F811" s="88"/>
      <c r="G811" s="88"/>
      <c r="H811" s="88"/>
      <c r="I811" s="88"/>
      <c r="J811" s="88"/>
      <c r="K811" s="88"/>
      <c r="L811" s="88"/>
      <c r="M811" s="88"/>
      <c r="N811" s="88"/>
      <c r="O811" s="88"/>
      <c r="P811" s="88"/>
      <c r="Q811" s="88"/>
      <c r="R811" s="88"/>
      <c r="S811" s="88"/>
      <c r="T811" s="59">
        <v>47.3</v>
      </c>
      <c r="U811" s="59"/>
      <c r="V811" s="59"/>
      <c r="W811" s="59"/>
      <c r="X811" s="59"/>
      <c r="Y811" s="43">
        <v>48.957999999999998</v>
      </c>
      <c r="Z811" s="43"/>
      <c r="AA811" s="43"/>
      <c r="AB811" s="43"/>
      <c r="AC811" s="43"/>
      <c r="AD811" s="43">
        <v>-1.6579999999999999</v>
      </c>
      <c r="AE811" s="43"/>
      <c r="AF811" s="43"/>
      <c r="AG811" s="43"/>
      <c r="AH811" s="43"/>
      <c r="AI811" s="43"/>
      <c r="AJ811" s="9"/>
      <c r="AK811" s="10"/>
      <c r="AL811" s="11"/>
    </row>
    <row r="812" spans="1:38" ht="11.25" hidden="1" customHeight="1" outlineLevel="1" x14ac:dyDescent="0.2">
      <c r="A812" s="21">
        <v>25</v>
      </c>
      <c r="B812" s="88" t="s">
        <v>798</v>
      </c>
      <c r="C812" s="88"/>
      <c r="D812" s="88"/>
      <c r="E812" s="88"/>
      <c r="F812" s="88"/>
      <c r="G812" s="88"/>
      <c r="H812" s="88"/>
      <c r="I812" s="88"/>
      <c r="J812" s="88"/>
      <c r="K812" s="88"/>
      <c r="L812" s="88"/>
      <c r="M812" s="88"/>
      <c r="N812" s="88"/>
      <c r="O812" s="88"/>
      <c r="P812" s="88"/>
      <c r="Q812" s="88"/>
      <c r="R812" s="88"/>
      <c r="S812" s="88"/>
      <c r="T812" s="41">
        <v>11.32</v>
      </c>
      <c r="U812" s="41"/>
      <c r="V812" s="41"/>
      <c r="W812" s="41"/>
      <c r="X812" s="41"/>
      <c r="Y812" s="59">
        <v>11.4</v>
      </c>
      <c r="Z812" s="59"/>
      <c r="AA812" s="59"/>
      <c r="AB812" s="59"/>
      <c r="AC812" s="59"/>
      <c r="AD812" s="41">
        <v>-0.08</v>
      </c>
      <c r="AE812" s="41"/>
      <c r="AF812" s="41"/>
      <c r="AG812" s="41"/>
      <c r="AH812" s="41"/>
      <c r="AI812" s="41"/>
      <c r="AJ812" s="9"/>
      <c r="AK812" s="10"/>
      <c r="AL812" s="11"/>
    </row>
    <row r="813" spans="1:38" ht="11.25" hidden="1" customHeight="1" outlineLevel="1" x14ac:dyDescent="0.2">
      <c r="A813" s="21">
        <v>26</v>
      </c>
      <c r="B813" s="88" t="s">
        <v>799</v>
      </c>
      <c r="C813" s="88"/>
      <c r="D813" s="88"/>
      <c r="E813" s="88"/>
      <c r="F813" s="88"/>
      <c r="G813" s="88"/>
      <c r="H813" s="88"/>
      <c r="I813" s="88"/>
      <c r="J813" s="88"/>
      <c r="K813" s="88"/>
      <c r="L813" s="88"/>
      <c r="M813" s="88"/>
      <c r="N813" s="88"/>
      <c r="O813" s="88"/>
      <c r="P813" s="88"/>
      <c r="Q813" s="88"/>
      <c r="R813" s="88"/>
      <c r="S813" s="88"/>
      <c r="T813" s="41">
        <v>16.75</v>
      </c>
      <c r="U813" s="41"/>
      <c r="V813" s="41"/>
      <c r="W813" s="41"/>
      <c r="X813" s="41"/>
      <c r="Y813" s="43">
        <v>16.942</v>
      </c>
      <c r="Z813" s="43"/>
      <c r="AA813" s="43"/>
      <c r="AB813" s="43"/>
      <c r="AC813" s="43"/>
      <c r="AD813" s="43">
        <v>-0.192</v>
      </c>
      <c r="AE813" s="43"/>
      <c r="AF813" s="43"/>
      <c r="AG813" s="43"/>
      <c r="AH813" s="43"/>
      <c r="AI813" s="43"/>
      <c r="AJ813" s="9"/>
      <c r="AK813" s="10"/>
      <c r="AL813" s="11"/>
    </row>
    <row r="814" spans="1:38" ht="11.25" hidden="1" customHeight="1" outlineLevel="1" x14ac:dyDescent="0.2">
      <c r="A814" s="21">
        <v>27</v>
      </c>
      <c r="B814" s="88" t="s">
        <v>800</v>
      </c>
      <c r="C814" s="88"/>
      <c r="D814" s="88"/>
      <c r="E814" s="88"/>
      <c r="F814" s="88"/>
      <c r="G814" s="88"/>
      <c r="H814" s="88"/>
      <c r="I814" s="88"/>
      <c r="J814" s="88"/>
      <c r="K814" s="88"/>
      <c r="L814" s="88"/>
      <c r="M814" s="88"/>
      <c r="N814" s="88"/>
      <c r="O814" s="88"/>
      <c r="P814" s="88"/>
      <c r="Q814" s="88"/>
      <c r="R814" s="88"/>
      <c r="S814" s="88"/>
      <c r="T814" s="59">
        <v>15.4</v>
      </c>
      <c r="U814" s="59"/>
      <c r="V814" s="59"/>
      <c r="W814" s="59"/>
      <c r="X814" s="59"/>
      <c r="Y814" s="41">
        <v>15.89</v>
      </c>
      <c r="Z814" s="41"/>
      <c r="AA814" s="41"/>
      <c r="AB814" s="41"/>
      <c r="AC814" s="41"/>
      <c r="AD814" s="41">
        <v>-0.49</v>
      </c>
      <c r="AE814" s="41"/>
      <c r="AF814" s="41"/>
      <c r="AG814" s="41"/>
      <c r="AH814" s="41"/>
      <c r="AI814" s="41"/>
      <c r="AJ814" s="9"/>
      <c r="AK814" s="10"/>
      <c r="AL814" s="11"/>
    </row>
    <row r="815" spans="1:38" ht="11.25" hidden="1" customHeight="1" outlineLevel="1" x14ac:dyDescent="0.2">
      <c r="A815" s="21">
        <v>28</v>
      </c>
      <c r="B815" s="88" t="s">
        <v>801</v>
      </c>
      <c r="C815" s="88"/>
      <c r="D815" s="88"/>
      <c r="E815" s="88"/>
      <c r="F815" s="88"/>
      <c r="G815" s="88"/>
      <c r="H815" s="88"/>
      <c r="I815" s="88"/>
      <c r="J815" s="88"/>
      <c r="K815" s="88"/>
      <c r="L815" s="88"/>
      <c r="M815" s="88"/>
      <c r="N815" s="88"/>
      <c r="O815" s="88"/>
      <c r="P815" s="88"/>
      <c r="Q815" s="88"/>
      <c r="R815" s="88"/>
      <c r="S815" s="88"/>
      <c r="T815" s="59">
        <v>20.9</v>
      </c>
      <c r="U815" s="59"/>
      <c r="V815" s="59"/>
      <c r="W815" s="59"/>
      <c r="X815" s="59"/>
      <c r="Y815" s="43">
        <v>21.646000000000001</v>
      </c>
      <c r="Z815" s="43"/>
      <c r="AA815" s="43"/>
      <c r="AB815" s="43"/>
      <c r="AC815" s="43"/>
      <c r="AD815" s="43">
        <v>-0.746</v>
      </c>
      <c r="AE815" s="43"/>
      <c r="AF815" s="43"/>
      <c r="AG815" s="43"/>
      <c r="AH815" s="43"/>
      <c r="AI815" s="43"/>
      <c r="AJ815" s="9"/>
      <c r="AK815" s="10"/>
      <c r="AL815" s="11"/>
    </row>
    <row r="816" spans="1:38" ht="21.75" hidden="1" customHeight="1" outlineLevel="1" x14ac:dyDescent="0.2">
      <c r="A816" s="21">
        <v>29</v>
      </c>
      <c r="B816" s="88" t="s">
        <v>802</v>
      </c>
      <c r="C816" s="88"/>
      <c r="D816" s="88"/>
      <c r="E816" s="88"/>
      <c r="F816" s="88"/>
      <c r="G816" s="88"/>
      <c r="H816" s="88"/>
      <c r="I816" s="88"/>
      <c r="J816" s="88"/>
      <c r="K816" s="88"/>
      <c r="L816" s="88"/>
      <c r="M816" s="88"/>
      <c r="N816" s="88"/>
      <c r="O816" s="88"/>
      <c r="P816" s="88"/>
      <c r="Q816" s="88"/>
      <c r="R816" s="88"/>
      <c r="S816" s="88"/>
      <c r="T816" s="59">
        <v>21.7</v>
      </c>
      <c r="U816" s="59"/>
      <c r="V816" s="59"/>
      <c r="W816" s="59"/>
      <c r="X816" s="59"/>
      <c r="Y816" s="43">
        <v>22.073</v>
      </c>
      <c r="Z816" s="43"/>
      <c r="AA816" s="43"/>
      <c r="AB816" s="43"/>
      <c r="AC816" s="43"/>
      <c r="AD816" s="43">
        <v>-0.373</v>
      </c>
      <c r="AE816" s="43"/>
      <c r="AF816" s="43"/>
      <c r="AG816" s="43"/>
      <c r="AH816" s="43"/>
      <c r="AI816" s="43"/>
      <c r="AJ816" s="9"/>
      <c r="AK816" s="10"/>
      <c r="AL816" s="11"/>
    </row>
    <row r="817" spans="1:38" ht="21.75" hidden="1" customHeight="1" outlineLevel="1" x14ac:dyDescent="0.2">
      <c r="A817" s="21">
        <v>30</v>
      </c>
      <c r="B817" s="88" t="s">
        <v>803</v>
      </c>
      <c r="C817" s="88"/>
      <c r="D817" s="88"/>
      <c r="E817" s="88"/>
      <c r="F817" s="88"/>
      <c r="G817" s="88"/>
      <c r="H817" s="88"/>
      <c r="I817" s="88"/>
      <c r="J817" s="88"/>
      <c r="K817" s="88"/>
      <c r="L817" s="88"/>
      <c r="M817" s="88"/>
      <c r="N817" s="88"/>
      <c r="O817" s="88"/>
      <c r="P817" s="88"/>
      <c r="Q817" s="88"/>
      <c r="R817" s="88"/>
      <c r="S817" s="88"/>
      <c r="T817" s="58">
        <v>17</v>
      </c>
      <c r="U817" s="58"/>
      <c r="V817" s="58"/>
      <c r="W817" s="58"/>
      <c r="X817" s="58"/>
      <c r="Y817" s="43">
        <v>17.837</v>
      </c>
      <c r="Z817" s="43"/>
      <c r="AA817" s="43"/>
      <c r="AB817" s="43"/>
      <c r="AC817" s="43"/>
      <c r="AD817" s="43">
        <v>-0.83699999999999997</v>
      </c>
      <c r="AE817" s="43"/>
      <c r="AF817" s="43"/>
      <c r="AG817" s="43"/>
      <c r="AH817" s="43"/>
      <c r="AI817" s="43"/>
      <c r="AJ817" s="9"/>
      <c r="AK817" s="10"/>
      <c r="AL817" s="11"/>
    </row>
    <row r="818" spans="1:38" ht="11.25" hidden="1" customHeight="1" outlineLevel="1" x14ac:dyDescent="0.2">
      <c r="A818" s="21">
        <v>31</v>
      </c>
      <c r="B818" s="88" t="s">
        <v>804</v>
      </c>
      <c r="C818" s="88"/>
      <c r="D818" s="88"/>
      <c r="E818" s="88"/>
      <c r="F818" s="88"/>
      <c r="G818" s="88"/>
      <c r="H818" s="88"/>
      <c r="I818" s="88"/>
      <c r="J818" s="88"/>
      <c r="K818" s="88"/>
      <c r="L818" s="88"/>
      <c r="M818" s="88"/>
      <c r="N818" s="88"/>
      <c r="O818" s="88"/>
      <c r="P818" s="88"/>
      <c r="Q818" s="88"/>
      <c r="R818" s="88"/>
      <c r="S818" s="88"/>
      <c r="T818" s="41">
        <v>19.36</v>
      </c>
      <c r="U818" s="41"/>
      <c r="V818" s="41"/>
      <c r="W818" s="41"/>
      <c r="X818" s="41"/>
      <c r="Y818" s="43">
        <v>20.047000000000001</v>
      </c>
      <c r="Z818" s="43"/>
      <c r="AA818" s="43"/>
      <c r="AB818" s="43"/>
      <c r="AC818" s="43"/>
      <c r="AD818" s="43">
        <v>-0.68700000000000006</v>
      </c>
      <c r="AE818" s="43"/>
      <c r="AF818" s="43"/>
      <c r="AG818" s="43"/>
      <c r="AH818" s="43"/>
      <c r="AI818" s="43"/>
      <c r="AJ818" s="9"/>
      <c r="AK818" s="10"/>
      <c r="AL818" s="11"/>
    </row>
    <row r="819" spans="1:38" ht="11.25" hidden="1" customHeight="1" outlineLevel="1" x14ac:dyDescent="0.2">
      <c r="A819" s="21">
        <v>32</v>
      </c>
      <c r="B819" s="88" t="s">
        <v>805</v>
      </c>
      <c r="C819" s="88"/>
      <c r="D819" s="88"/>
      <c r="E819" s="88"/>
      <c r="F819" s="88"/>
      <c r="G819" s="88"/>
      <c r="H819" s="88"/>
      <c r="I819" s="88"/>
      <c r="J819" s="88"/>
      <c r="K819" s="88"/>
      <c r="L819" s="88"/>
      <c r="M819" s="88"/>
      <c r="N819" s="88"/>
      <c r="O819" s="88"/>
      <c r="P819" s="88"/>
      <c r="Q819" s="88"/>
      <c r="R819" s="88"/>
      <c r="S819" s="88"/>
      <c r="T819" s="59">
        <v>17.8</v>
      </c>
      <c r="U819" s="59"/>
      <c r="V819" s="59"/>
      <c r="W819" s="59"/>
      <c r="X819" s="59"/>
      <c r="Y819" s="43">
        <v>18.498999999999999</v>
      </c>
      <c r="Z819" s="43"/>
      <c r="AA819" s="43"/>
      <c r="AB819" s="43"/>
      <c r="AC819" s="43"/>
      <c r="AD819" s="43">
        <v>-0.69899999999999995</v>
      </c>
      <c r="AE819" s="43"/>
      <c r="AF819" s="43"/>
      <c r="AG819" s="43"/>
      <c r="AH819" s="43"/>
      <c r="AI819" s="43"/>
      <c r="AJ819" s="9"/>
      <c r="AK819" s="10"/>
      <c r="AL819" s="11"/>
    </row>
    <row r="820" spans="1:38" ht="11.25" hidden="1" customHeight="1" outlineLevel="1" x14ac:dyDescent="0.2">
      <c r="A820" s="21">
        <v>33</v>
      </c>
      <c r="B820" s="88" t="s">
        <v>806</v>
      </c>
      <c r="C820" s="88"/>
      <c r="D820" s="88"/>
      <c r="E820" s="88"/>
      <c r="F820" s="88"/>
      <c r="G820" s="88"/>
      <c r="H820" s="88"/>
      <c r="I820" s="88"/>
      <c r="J820" s="88"/>
      <c r="K820" s="88"/>
      <c r="L820" s="88"/>
      <c r="M820" s="88"/>
      <c r="N820" s="88"/>
      <c r="O820" s="88"/>
      <c r="P820" s="88"/>
      <c r="Q820" s="88"/>
      <c r="R820" s="88"/>
      <c r="S820" s="88"/>
      <c r="T820" s="41">
        <v>11.85</v>
      </c>
      <c r="U820" s="41"/>
      <c r="V820" s="41"/>
      <c r="W820" s="41"/>
      <c r="X820" s="41"/>
      <c r="Y820" s="43">
        <v>12.108000000000001</v>
      </c>
      <c r="Z820" s="43"/>
      <c r="AA820" s="43"/>
      <c r="AB820" s="43"/>
      <c r="AC820" s="43"/>
      <c r="AD820" s="43">
        <v>-0.25800000000000001</v>
      </c>
      <c r="AE820" s="43"/>
      <c r="AF820" s="43"/>
      <c r="AG820" s="43"/>
      <c r="AH820" s="43"/>
      <c r="AI820" s="43"/>
      <c r="AJ820" s="9"/>
      <c r="AK820" s="10"/>
      <c r="AL820" s="11"/>
    </row>
    <row r="821" spans="1:38" ht="21.75" hidden="1" customHeight="1" outlineLevel="1" x14ac:dyDescent="0.2">
      <c r="A821" s="21">
        <v>34</v>
      </c>
      <c r="B821" s="88" t="s">
        <v>807</v>
      </c>
      <c r="C821" s="88"/>
      <c r="D821" s="88"/>
      <c r="E821" s="88"/>
      <c r="F821" s="88"/>
      <c r="G821" s="88"/>
      <c r="H821" s="88"/>
      <c r="I821" s="88"/>
      <c r="J821" s="88"/>
      <c r="K821" s="88"/>
      <c r="L821" s="88"/>
      <c r="M821" s="88"/>
      <c r="N821" s="88"/>
      <c r="O821" s="88"/>
      <c r="P821" s="88"/>
      <c r="Q821" s="88"/>
      <c r="R821" s="88"/>
      <c r="S821" s="88"/>
      <c r="T821" s="41">
        <v>7.85</v>
      </c>
      <c r="U821" s="41"/>
      <c r="V821" s="41"/>
      <c r="W821" s="41"/>
      <c r="X821" s="41"/>
      <c r="Y821" s="43">
        <v>7.9749999999999996</v>
      </c>
      <c r="Z821" s="43"/>
      <c r="AA821" s="43"/>
      <c r="AB821" s="43"/>
      <c r="AC821" s="43"/>
      <c r="AD821" s="43">
        <v>-0.125</v>
      </c>
      <c r="AE821" s="43"/>
      <c r="AF821" s="43"/>
      <c r="AG821" s="43"/>
      <c r="AH821" s="43"/>
      <c r="AI821" s="43"/>
      <c r="AJ821" s="9"/>
      <c r="AK821" s="10"/>
      <c r="AL821" s="11"/>
    </row>
    <row r="822" spans="1:38" ht="11.25" hidden="1" customHeight="1" outlineLevel="1" x14ac:dyDescent="0.2">
      <c r="A822" s="21">
        <v>35</v>
      </c>
      <c r="B822" s="88" t="s">
        <v>808</v>
      </c>
      <c r="C822" s="88"/>
      <c r="D822" s="88"/>
      <c r="E822" s="88"/>
      <c r="F822" s="88"/>
      <c r="G822" s="88"/>
      <c r="H822" s="88"/>
      <c r="I822" s="88"/>
      <c r="J822" s="88"/>
      <c r="K822" s="88"/>
      <c r="L822" s="88"/>
      <c r="M822" s="88"/>
      <c r="N822" s="88"/>
      <c r="O822" s="88"/>
      <c r="P822" s="88"/>
      <c r="Q822" s="88"/>
      <c r="R822" s="88"/>
      <c r="S822" s="88"/>
      <c r="T822" s="59">
        <v>27.6</v>
      </c>
      <c r="U822" s="59"/>
      <c r="V822" s="59"/>
      <c r="W822" s="59"/>
      <c r="X822" s="59"/>
      <c r="Y822" s="43">
        <v>28.484000000000002</v>
      </c>
      <c r="Z822" s="43"/>
      <c r="AA822" s="43"/>
      <c r="AB822" s="43"/>
      <c r="AC822" s="43"/>
      <c r="AD822" s="43">
        <v>-0.88400000000000001</v>
      </c>
      <c r="AE822" s="43"/>
      <c r="AF822" s="43"/>
      <c r="AG822" s="43"/>
      <c r="AH822" s="43"/>
      <c r="AI822" s="43"/>
      <c r="AJ822" s="9"/>
      <c r="AK822" s="10"/>
      <c r="AL822" s="11"/>
    </row>
    <row r="823" spans="1:38" ht="21.75" hidden="1" customHeight="1" outlineLevel="1" x14ac:dyDescent="0.2">
      <c r="A823" s="21">
        <v>36</v>
      </c>
      <c r="B823" s="88" t="s">
        <v>809</v>
      </c>
      <c r="C823" s="88"/>
      <c r="D823" s="88"/>
      <c r="E823" s="88"/>
      <c r="F823" s="88"/>
      <c r="G823" s="88"/>
      <c r="H823" s="88"/>
      <c r="I823" s="88"/>
      <c r="J823" s="88"/>
      <c r="K823" s="88"/>
      <c r="L823" s="88"/>
      <c r="M823" s="88"/>
      <c r="N823" s="88"/>
      <c r="O823" s="88"/>
      <c r="P823" s="88"/>
      <c r="Q823" s="88"/>
      <c r="R823" s="88"/>
      <c r="S823" s="88"/>
      <c r="T823" s="59">
        <v>5.2</v>
      </c>
      <c r="U823" s="59"/>
      <c r="V823" s="59"/>
      <c r="W823" s="59"/>
      <c r="X823" s="59"/>
      <c r="Y823" s="59">
        <v>5.2</v>
      </c>
      <c r="Z823" s="59"/>
      <c r="AA823" s="59"/>
      <c r="AB823" s="59"/>
      <c r="AC823" s="59"/>
      <c r="AD823" s="12"/>
      <c r="AE823" s="13"/>
      <c r="AF823" s="13"/>
      <c r="AG823" s="13"/>
      <c r="AH823" s="13"/>
      <c r="AI823" s="14"/>
      <c r="AJ823" s="9"/>
      <c r="AK823" s="10"/>
      <c r="AL823" s="11"/>
    </row>
    <row r="824" spans="1:38" ht="21.75" hidden="1" customHeight="1" outlineLevel="1" x14ac:dyDescent="0.2">
      <c r="A824" s="21">
        <v>37</v>
      </c>
      <c r="B824" s="88" t="s">
        <v>810</v>
      </c>
      <c r="C824" s="88"/>
      <c r="D824" s="88"/>
      <c r="E824" s="88"/>
      <c r="F824" s="88"/>
      <c r="G824" s="88"/>
      <c r="H824" s="88"/>
      <c r="I824" s="88"/>
      <c r="J824" s="88"/>
      <c r="K824" s="88"/>
      <c r="L824" s="88"/>
      <c r="M824" s="88"/>
      <c r="N824" s="88"/>
      <c r="O824" s="88"/>
      <c r="P824" s="88"/>
      <c r="Q824" s="88"/>
      <c r="R824" s="88"/>
      <c r="S824" s="88"/>
      <c r="T824" s="59">
        <v>23.3</v>
      </c>
      <c r="U824" s="59"/>
      <c r="V824" s="59"/>
      <c r="W824" s="59"/>
      <c r="X824" s="59"/>
      <c r="Y824" s="43">
        <v>23.832999999999998</v>
      </c>
      <c r="Z824" s="43"/>
      <c r="AA824" s="43"/>
      <c r="AB824" s="43"/>
      <c r="AC824" s="43"/>
      <c r="AD824" s="43">
        <v>-0.53300000000000003</v>
      </c>
      <c r="AE824" s="43"/>
      <c r="AF824" s="43"/>
      <c r="AG824" s="43"/>
      <c r="AH824" s="43"/>
      <c r="AI824" s="43"/>
      <c r="AJ824" s="9"/>
      <c r="AK824" s="10"/>
      <c r="AL824" s="11"/>
    </row>
    <row r="825" spans="1:38" ht="11.25" hidden="1" customHeight="1" outlineLevel="1" x14ac:dyDescent="0.2">
      <c r="A825" s="21">
        <v>38</v>
      </c>
      <c r="B825" s="88" t="s">
        <v>811</v>
      </c>
      <c r="C825" s="88"/>
      <c r="D825" s="88"/>
      <c r="E825" s="88"/>
      <c r="F825" s="88"/>
      <c r="G825" s="88"/>
      <c r="H825" s="88"/>
      <c r="I825" s="88"/>
      <c r="J825" s="88"/>
      <c r="K825" s="88"/>
      <c r="L825" s="88"/>
      <c r="M825" s="88"/>
      <c r="N825" s="88"/>
      <c r="O825" s="88"/>
      <c r="P825" s="88"/>
      <c r="Q825" s="88"/>
      <c r="R825" s="88"/>
      <c r="S825" s="88"/>
      <c r="T825" s="59">
        <v>7.6</v>
      </c>
      <c r="U825" s="59"/>
      <c r="V825" s="59"/>
      <c r="W825" s="59"/>
      <c r="X825" s="59"/>
      <c r="Y825" s="43">
        <v>7.6520000000000001</v>
      </c>
      <c r="Z825" s="43"/>
      <c r="AA825" s="43"/>
      <c r="AB825" s="43"/>
      <c r="AC825" s="43"/>
      <c r="AD825" s="43">
        <v>-5.1999999999999998E-2</v>
      </c>
      <c r="AE825" s="43"/>
      <c r="AF825" s="43"/>
      <c r="AG825" s="43"/>
      <c r="AH825" s="43"/>
      <c r="AI825" s="43"/>
      <c r="AJ825" s="9"/>
      <c r="AK825" s="10"/>
      <c r="AL825" s="11"/>
    </row>
    <row r="826" spans="1:38" ht="21.75" hidden="1" customHeight="1" outlineLevel="1" x14ac:dyDescent="0.2">
      <c r="A826" s="21">
        <v>39</v>
      </c>
      <c r="B826" s="88" t="s">
        <v>812</v>
      </c>
      <c r="C826" s="88"/>
      <c r="D826" s="88"/>
      <c r="E826" s="88"/>
      <c r="F826" s="88"/>
      <c r="G826" s="88"/>
      <c r="H826" s="88"/>
      <c r="I826" s="88"/>
      <c r="J826" s="88"/>
      <c r="K826" s="88"/>
      <c r="L826" s="88"/>
      <c r="M826" s="88"/>
      <c r="N826" s="88"/>
      <c r="O826" s="88"/>
      <c r="P826" s="88"/>
      <c r="Q826" s="88"/>
      <c r="R826" s="88"/>
      <c r="S826" s="88"/>
      <c r="T826" s="43">
        <v>5.4059999999999997</v>
      </c>
      <c r="U826" s="43"/>
      <c r="V826" s="43"/>
      <c r="W826" s="43"/>
      <c r="X826" s="43"/>
      <c r="Y826" s="43">
        <v>5.4059999999999997</v>
      </c>
      <c r="Z826" s="43"/>
      <c r="AA826" s="43"/>
      <c r="AB826" s="43"/>
      <c r="AC826" s="43"/>
      <c r="AD826" s="12"/>
      <c r="AE826" s="13"/>
      <c r="AF826" s="13"/>
      <c r="AG826" s="13"/>
      <c r="AH826" s="13"/>
      <c r="AI826" s="14"/>
      <c r="AJ826" s="9"/>
      <c r="AK826" s="10"/>
      <c r="AL826" s="11"/>
    </row>
    <row r="827" spans="1:38" ht="11.25" hidden="1" customHeight="1" outlineLevel="1" x14ac:dyDescent="0.2">
      <c r="A827" s="21">
        <v>40</v>
      </c>
      <c r="B827" s="88" t="s">
        <v>813</v>
      </c>
      <c r="C827" s="88"/>
      <c r="D827" s="88"/>
      <c r="E827" s="88"/>
      <c r="F827" s="88"/>
      <c r="G827" s="88"/>
      <c r="H827" s="88"/>
      <c r="I827" s="88"/>
      <c r="J827" s="88"/>
      <c r="K827" s="88"/>
      <c r="L827" s="88"/>
      <c r="M827" s="88"/>
      <c r="N827" s="88"/>
      <c r="O827" s="88"/>
      <c r="P827" s="88"/>
      <c r="Q827" s="88"/>
      <c r="R827" s="88"/>
      <c r="S827" s="88"/>
      <c r="T827" s="41">
        <v>2.81</v>
      </c>
      <c r="U827" s="41"/>
      <c r="V827" s="41"/>
      <c r="W827" s="41"/>
      <c r="X827" s="41"/>
      <c r="Y827" s="41">
        <v>2.81</v>
      </c>
      <c r="Z827" s="41"/>
      <c r="AA827" s="41"/>
      <c r="AB827" s="41"/>
      <c r="AC827" s="41"/>
      <c r="AD827" s="12"/>
      <c r="AE827" s="13"/>
      <c r="AF827" s="13"/>
      <c r="AG827" s="13"/>
      <c r="AH827" s="13"/>
      <c r="AI827" s="14"/>
      <c r="AJ827" s="9"/>
      <c r="AK827" s="10"/>
      <c r="AL827" s="11"/>
    </row>
    <row r="828" spans="1:38" ht="21.75" hidden="1" customHeight="1" outlineLevel="1" x14ac:dyDescent="0.2">
      <c r="A828" s="21">
        <v>41</v>
      </c>
      <c r="B828" s="88" t="s">
        <v>814</v>
      </c>
      <c r="C828" s="88"/>
      <c r="D828" s="88"/>
      <c r="E828" s="88"/>
      <c r="F828" s="88"/>
      <c r="G828" s="88"/>
      <c r="H828" s="88"/>
      <c r="I828" s="88"/>
      <c r="J828" s="88"/>
      <c r="K828" s="88"/>
      <c r="L828" s="88"/>
      <c r="M828" s="88"/>
      <c r="N828" s="88"/>
      <c r="O828" s="88"/>
      <c r="P828" s="88"/>
      <c r="Q828" s="88"/>
      <c r="R828" s="88"/>
      <c r="S828" s="88"/>
      <c r="T828" s="41">
        <v>7.43</v>
      </c>
      <c r="U828" s="41"/>
      <c r="V828" s="41"/>
      <c r="W828" s="41"/>
      <c r="X828" s="41"/>
      <c r="Y828" s="43">
        <v>7.5570000000000004</v>
      </c>
      <c r="Z828" s="43"/>
      <c r="AA828" s="43"/>
      <c r="AB828" s="43"/>
      <c r="AC828" s="43"/>
      <c r="AD828" s="43">
        <v>-0.127</v>
      </c>
      <c r="AE828" s="43"/>
      <c r="AF828" s="43"/>
      <c r="AG828" s="43"/>
      <c r="AH828" s="43"/>
      <c r="AI828" s="43"/>
      <c r="AJ828" s="9"/>
      <c r="AK828" s="10"/>
      <c r="AL828" s="11"/>
    </row>
    <row r="829" spans="1:38" ht="11.25" hidden="1" customHeight="1" collapsed="1" x14ac:dyDescent="0.2">
      <c r="A829" s="60" t="s">
        <v>815</v>
      </c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4">
        <v>1129.95</v>
      </c>
      <c r="U829" s="64"/>
      <c r="V829" s="64"/>
      <c r="W829" s="64"/>
      <c r="X829" s="64"/>
      <c r="Y829" s="61">
        <v>1108.6479999999999</v>
      </c>
      <c r="Z829" s="61"/>
      <c r="AA829" s="61"/>
      <c r="AB829" s="61"/>
      <c r="AC829" s="61"/>
      <c r="AD829" s="62">
        <v>21.302</v>
      </c>
      <c r="AE829" s="62"/>
      <c r="AF829" s="62"/>
      <c r="AG829" s="62"/>
      <c r="AH829" s="62"/>
      <c r="AI829" s="62"/>
      <c r="AJ829" s="62">
        <v>57.314</v>
      </c>
      <c r="AK829" s="62"/>
      <c r="AL829" s="62"/>
    </row>
    <row r="830" spans="1:38" ht="11.25" hidden="1" customHeight="1" outlineLevel="1" x14ac:dyDescent="0.2">
      <c r="A830" s="21">
        <v>1</v>
      </c>
      <c r="B830" s="88" t="s">
        <v>816</v>
      </c>
      <c r="C830" s="88"/>
      <c r="D830" s="88"/>
      <c r="E830" s="88"/>
      <c r="F830" s="88"/>
      <c r="G830" s="88"/>
      <c r="H830" s="88"/>
      <c r="I830" s="88"/>
      <c r="J830" s="88"/>
      <c r="K830" s="88"/>
      <c r="L830" s="88"/>
      <c r="M830" s="88"/>
      <c r="N830" s="88"/>
      <c r="O830" s="88"/>
      <c r="P830" s="88"/>
      <c r="Q830" s="88"/>
      <c r="R830" s="88"/>
      <c r="S830" s="88"/>
      <c r="T830" s="59">
        <v>209.2</v>
      </c>
      <c r="U830" s="59"/>
      <c r="V830" s="59"/>
      <c r="W830" s="59"/>
      <c r="X830" s="59"/>
      <c r="Y830" s="41">
        <v>186.92</v>
      </c>
      <c r="Z830" s="41"/>
      <c r="AA830" s="41"/>
      <c r="AB830" s="41"/>
      <c r="AC830" s="41"/>
      <c r="AD830" s="41">
        <v>22.28</v>
      </c>
      <c r="AE830" s="41"/>
      <c r="AF830" s="41"/>
      <c r="AG830" s="41"/>
      <c r="AH830" s="41"/>
      <c r="AI830" s="41"/>
      <c r="AJ830" s="9"/>
      <c r="AK830" s="10"/>
      <c r="AL830" s="11"/>
    </row>
    <row r="831" spans="1:38" ht="11.25" hidden="1" customHeight="1" outlineLevel="1" x14ac:dyDescent="0.2">
      <c r="A831" s="21">
        <v>2</v>
      </c>
      <c r="B831" s="88" t="s">
        <v>817</v>
      </c>
      <c r="C831" s="88"/>
      <c r="D831" s="88"/>
      <c r="E831" s="88"/>
      <c r="F831" s="88"/>
      <c r="G831" s="88"/>
      <c r="H831" s="88"/>
      <c r="I831" s="88"/>
      <c r="J831" s="88"/>
      <c r="K831" s="88"/>
      <c r="L831" s="88"/>
      <c r="M831" s="88"/>
      <c r="N831" s="88"/>
      <c r="O831" s="88"/>
      <c r="P831" s="88"/>
      <c r="Q831" s="88"/>
      <c r="R831" s="88"/>
      <c r="S831" s="88"/>
      <c r="T831" s="59">
        <v>250.7</v>
      </c>
      <c r="U831" s="59"/>
      <c r="V831" s="59"/>
      <c r="W831" s="59"/>
      <c r="X831" s="59"/>
      <c r="Y831" s="43">
        <v>243.34700000000001</v>
      </c>
      <c r="Z831" s="43"/>
      <c r="AA831" s="43"/>
      <c r="AB831" s="43"/>
      <c r="AC831" s="43"/>
      <c r="AD831" s="43">
        <v>7.3529999999999998</v>
      </c>
      <c r="AE831" s="43"/>
      <c r="AF831" s="43"/>
      <c r="AG831" s="43"/>
      <c r="AH831" s="43"/>
      <c r="AI831" s="43"/>
      <c r="AJ831" s="9"/>
      <c r="AK831" s="10"/>
      <c r="AL831" s="11"/>
    </row>
    <row r="832" spans="1:38" ht="11.25" hidden="1" customHeight="1" outlineLevel="1" x14ac:dyDescent="0.2">
      <c r="A832" s="21">
        <v>3</v>
      </c>
      <c r="B832" s="88" t="s">
        <v>818</v>
      </c>
      <c r="C832" s="88"/>
      <c r="D832" s="88"/>
      <c r="E832" s="88"/>
      <c r="F832" s="88"/>
      <c r="G832" s="88"/>
      <c r="H832" s="88"/>
      <c r="I832" s="88"/>
      <c r="J832" s="88"/>
      <c r="K832" s="88"/>
      <c r="L832" s="88"/>
      <c r="M832" s="88"/>
      <c r="N832" s="88"/>
      <c r="O832" s="88"/>
      <c r="P832" s="88"/>
      <c r="Q832" s="88"/>
      <c r="R832" s="88"/>
      <c r="S832" s="88"/>
      <c r="T832" s="41">
        <v>143.68</v>
      </c>
      <c r="U832" s="41"/>
      <c r="V832" s="41"/>
      <c r="W832" s="41"/>
      <c r="X832" s="41"/>
      <c r="Y832" s="43">
        <v>140.04300000000001</v>
      </c>
      <c r="Z832" s="43"/>
      <c r="AA832" s="43"/>
      <c r="AB832" s="43"/>
      <c r="AC832" s="43"/>
      <c r="AD832" s="43">
        <v>3.637</v>
      </c>
      <c r="AE832" s="43"/>
      <c r="AF832" s="43"/>
      <c r="AG832" s="43"/>
      <c r="AH832" s="43"/>
      <c r="AI832" s="43"/>
      <c r="AJ832" s="9"/>
      <c r="AK832" s="10"/>
      <c r="AL832" s="11"/>
    </row>
    <row r="833" spans="1:38" ht="11.25" hidden="1" customHeight="1" outlineLevel="1" x14ac:dyDescent="0.2">
      <c r="A833" s="21">
        <v>4</v>
      </c>
      <c r="B833" s="88" t="s">
        <v>819</v>
      </c>
      <c r="C833" s="88"/>
      <c r="D833" s="88"/>
      <c r="E833" s="88"/>
      <c r="F833" s="88"/>
      <c r="G833" s="88"/>
      <c r="H833" s="88"/>
      <c r="I833" s="88"/>
      <c r="J833" s="88"/>
      <c r="K833" s="88"/>
      <c r="L833" s="88"/>
      <c r="M833" s="88"/>
      <c r="N833" s="88"/>
      <c r="O833" s="88"/>
      <c r="P833" s="88"/>
      <c r="Q833" s="88"/>
      <c r="R833" s="88"/>
      <c r="S833" s="88"/>
      <c r="T833" s="41">
        <v>91.18</v>
      </c>
      <c r="U833" s="41"/>
      <c r="V833" s="41"/>
      <c r="W833" s="41"/>
      <c r="X833" s="41"/>
      <c r="Y833" s="43">
        <v>93.147000000000006</v>
      </c>
      <c r="Z833" s="43"/>
      <c r="AA833" s="43"/>
      <c r="AB833" s="43"/>
      <c r="AC833" s="43"/>
      <c r="AD833" s="43">
        <v>-1.9670000000000001</v>
      </c>
      <c r="AE833" s="43"/>
      <c r="AF833" s="43"/>
      <c r="AG833" s="43"/>
      <c r="AH833" s="43"/>
      <c r="AI833" s="43"/>
      <c r="AJ833" s="9"/>
      <c r="AK833" s="10"/>
      <c r="AL833" s="11"/>
    </row>
    <row r="834" spans="1:38" ht="11.25" hidden="1" customHeight="1" outlineLevel="1" x14ac:dyDescent="0.2">
      <c r="A834" s="21">
        <v>5</v>
      </c>
      <c r="B834" s="88" t="s">
        <v>820</v>
      </c>
      <c r="C834" s="88"/>
      <c r="D834" s="88"/>
      <c r="E834" s="88"/>
      <c r="F834" s="88"/>
      <c r="G834" s="88"/>
      <c r="H834" s="88"/>
      <c r="I834" s="88"/>
      <c r="J834" s="88"/>
      <c r="K834" s="88"/>
      <c r="L834" s="88"/>
      <c r="M834" s="88"/>
      <c r="N834" s="88"/>
      <c r="O834" s="88"/>
      <c r="P834" s="88"/>
      <c r="Q834" s="88"/>
      <c r="R834" s="88"/>
      <c r="S834" s="88"/>
      <c r="T834" s="41">
        <v>28.78</v>
      </c>
      <c r="U834" s="41"/>
      <c r="V834" s="41"/>
      <c r="W834" s="41"/>
      <c r="X834" s="41"/>
      <c r="Y834" s="41">
        <v>26.08</v>
      </c>
      <c r="Z834" s="41"/>
      <c r="AA834" s="41"/>
      <c r="AB834" s="41"/>
      <c r="AC834" s="41"/>
      <c r="AD834" s="59">
        <v>2.7</v>
      </c>
      <c r="AE834" s="59"/>
      <c r="AF834" s="59"/>
      <c r="AG834" s="59"/>
      <c r="AH834" s="59"/>
      <c r="AI834" s="59"/>
      <c r="AJ834" s="9"/>
      <c r="AK834" s="10"/>
      <c r="AL834" s="11"/>
    </row>
    <row r="835" spans="1:38" ht="21.75" hidden="1" customHeight="1" outlineLevel="1" x14ac:dyDescent="0.2">
      <c r="A835" s="21">
        <v>6</v>
      </c>
      <c r="B835" s="88" t="s">
        <v>821</v>
      </c>
      <c r="C835" s="88"/>
      <c r="D835" s="88"/>
      <c r="E835" s="88"/>
      <c r="F835" s="88"/>
      <c r="G835" s="88"/>
      <c r="H835" s="88"/>
      <c r="I835" s="88"/>
      <c r="J835" s="88"/>
      <c r="K835" s="88"/>
      <c r="L835" s="88"/>
      <c r="M835" s="88"/>
      <c r="N835" s="88"/>
      <c r="O835" s="88"/>
      <c r="P835" s="88"/>
      <c r="Q835" s="88"/>
      <c r="R835" s="88"/>
      <c r="S835" s="88"/>
      <c r="T835" s="41">
        <v>59.09</v>
      </c>
      <c r="U835" s="41"/>
      <c r="V835" s="41"/>
      <c r="W835" s="41"/>
      <c r="X835" s="41"/>
      <c r="Y835" s="43">
        <v>58.581000000000003</v>
      </c>
      <c r="Z835" s="43"/>
      <c r="AA835" s="43"/>
      <c r="AB835" s="43"/>
      <c r="AC835" s="43"/>
      <c r="AD835" s="43">
        <v>0.50900000000000001</v>
      </c>
      <c r="AE835" s="43"/>
      <c r="AF835" s="43"/>
      <c r="AG835" s="43"/>
      <c r="AH835" s="43"/>
      <c r="AI835" s="43"/>
      <c r="AJ835" s="9"/>
      <c r="AK835" s="10"/>
      <c r="AL835" s="11"/>
    </row>
    <row r="836" spans="1:38" ht="21.75" hidden="1" customHeight="1" outlineLevel="1" x14ac:dyDescent="0.2">
      <c r="A836" s="21">
        <v>7</v>
      </c>
      <c r="B836" s="88" t="s">
        <v>822</v>
      </c>
      <c r="C836" s="88"/>
      <c r="D836" s="88"/>
      <c r="E836" s="88"/>
      <c r="F836" s="88"/>
      <c r="G836" s="88"/>
      <c r="H836" s="88"/>
      <c r="I836" s="88"/>
      <c r="J836" s="88"/>
      <c r="K836" s="88"/>
      <c r="L836" s="88"/>
      <c r="M836" s="88"/>
      <c r="N836" s="88"/>
      <c r="O836" s="88"/>
      <c r="P836" s="88"/>
      <c r="Q836" s="88"/>
      <c r="R836" s="88"/>
      <c r="S836" s="88"/>
      <c r="T836" s="59">
        <v>21.4</v>
      </c>
      <c r="U836" s="59"/>
      <c r="V836" s="59"/>
      <c r="W836" s="59"/>
      <c r="X836" s="59"/>
      <c r="Y836" s="41">
        <v>21.15</v>
      </c>
      <c r="Z836" s="41"/>
      <c r="AA836" s="41"/>
      <c r="AB836" s="41"/>
      <c r="AC836" s="41"/>
      <c r="AD836" s="41">
        <v>0.25</v>
      </c>
      <c r="AE836" s="41"/>
      <c r="AF836" s="41"/>
      <c r="AG836" s="41"/>
      <c r="AH836" s="41"/>
      <c r="AI836" s="41"/>
      <c r="AJ836" s="9"/>
      <c r="AK836" s="10"/>
      <c r="AL836" s="11"/>
    </row>
    <row r="837" spans="1:38" ht="21.75" hidden="1" customHeight="1" outlineLevel="1" x14ac:dyDescent="0.2">
      <c r="A837" s="21">
        <v>8</v>
      </c>
      <c r="B837" s="88" t="s">
        <v>823</v>
      </c>
      <c r="C837" s="88"/>
      <c r="D837" s="88"/>
      <c r="E837" s="88"/>
      <c r="F837" s="88"/>
      <c r="G837" s="88"/>
      <c r="H837" s="88"/>
      <c r="I837" s="88"/>
      <c r="J837" s="88"/>
      <c r="K837" s="88"/>
      <c r="L837" s="88"/>
      <c r="M837" s="88"/>
      <c r="N837" s="88"/>
      <c r="O837" s="88"/>
      <c r="P837" s="88"/>
      <c r="Q837" s="88"/>
      <c r="R837" s="88"/>
      <c r="S837" s="88"/>
      <c r="T837" s="59">
        <v>19.600000000000001</v>
      </c>
      <c r="U837" s="59"/>
      <c r="V837" s="59"/>
      <c r="W837" s="59"/>
      <c r="X837" s="59"/>
      <c r="Y837" s="43">
        <v>18.838999999999999</v>
      </c>
      <c r="Z837" s="43"/>
      <c r="AA837" s="43"/>
      <c r="AB837" s="43"/>
      <c r="AC837" s="43"/>
      <c r="AD837" s="43">
        <v>0.76100000000000001</v>
      </c>
      <c r="AE837" s="43"/>
      <c r="AF837" s="43"/>
      <c r="AG837" s="43"/>
      <c r="AH837" s="43"/>
      <c r="AI837" s="43"/>
      <c r="AJ837" s="9"/>
      <c r="AK837" s="10"/>
      <c r="AL837" s="11"/>
    </row>
    <row r="838" spans="1:38" ht="21.75" hidden="1" customHeight="1" outlineLevel="1" x14ac:dyDescent="0.2">
      <c r="A838" s="21">
        <v>9</v>
      </c>
      <c r="B838" s="88" t="s">
        <v>824</v>
      </c>
      <c r="C838" s="88"/>
      <c r="D838" s="88"/>
      <c r="E838" s="88"/>
      <c r="F838" s="88"/>
      <c r="G838" s="88"/>
      <c r="H838" s="88"/>
      <c r="I838" s="88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59">
        <v>37.299999999999997</v>
      </c>
      <c r="U838" s="59"/>
      <c r="V838" s="59"/>
      <c r="W838" s="59"/>
      <c r="X838" s="59"/>
      <c r="Y838" s="43">
        <v>38.341999999999999</v>
      </c>
      <c r="Z838" s="43"/>
      <c r="AA838" s="43"/>
      <c r="AB838" s="43"/>
      <c r="AC838" s="43"/>
      <c r="AD838" s="43">
        <v>-1.042</v>
      </c>
      <c r="AE838" s="43"/>
      <c r="AF838" s="43"/>
      <c r="AG838" s="43"/>
      <c r="AH838" s="43"/>
      <c r="AI838" s="43"/>
      <c r="AJ838" s="9"/>
      <c r="AK838" s="10"/>
      <c r="AL838" s="11"/>
    </row>
    <row r="839" spans="1:38" ht="11.25" hidden="1" customHeight="1" outlineLevel="1" x14ac:dyDescent="0.2">
      <c r="A839" s="21">
        <v>10</v>
      </c>
      <c r="B839" s="88" t="s">
        <v>825</v>
      </c>
      <c r="C839" s="88"/>
      <c r="D839" s="88"/>
      <c r="E839" s="88"/>
      <c r="F839" s="88"/>
      <c r="G839" s="88"/>
      <c r="H839" s="88"/>
      <c r="I839" s="88"/>
      <c r="J839" s="88"/>
      <c r="K839" s="88"/>
      <c r="L839" s="88"/>
      <c r="M839" s="88"/>
      <c r="N839" s="88"/>
      <c r="O839" s="88"/>
      <c r="P839" s="88"/>
      <c r="Q839" s="88"/>
      <c r="R839" s="88"/>
      <c r="S839" s="88"/>
      <c r="T839" s="59">
        <v>59.5</v>
      </c>
      <c r="U839" s="59"/>
      <c r="V839" s="59"/>
      <c r="W839" s="59"/>
      <c r="X839" s="59"/>
      <c r="Y839" s="43">
        <v>61.753</v>
      </c>
      <c r="Z839" s="43"/>
      <c r="AA839" s="43"/>
      <c r="AB839" s="43"/>
      <c r="AC839" s="43"/>
      <c r="AD839" s="43">
        <v>-2.2530000000000001</v>
      </c>
      <c r="AE839" s="43"/>
      <c r="AF839" s="43"/>
      <c r="AG839" s="43"/>
      <c r="AH839" s="43"/>
      <c r="AI839" s="43"/>
      <c r="AJ839" s="9"/>
      <c r="AK839" s="10"/>
      <c r="AL839" s="11"/>
    </row>
    <row r="840" spans="1:38" ht="11.25" hidden="1" customHeight="1" outlineLevel="1" x14ac:dyDescent="0.2">
      <c r="A840" s="21">
        <v>11</v>
      </c>
      <c r="B840" s="88" t="s">
        <v>826</v>
      </c>
      <c r="C840" s="88"/>
      <c r="D840" s="88"/>
      <c r="E840" s="88"/>
      <c r="F840" s="88"/>
      <c r="G840" s="88"/>
      <c r="H840" s="88"/>
      <c r="I840" s="88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41">
        <v>23.16</v>
      </c>
      <c r="U840" s="41"/>
      <c r="V840" s="41"/>
      <c r="W840" s="41"/>
      <c r="X840" s="41"/>
      <c r="Y840" s="43">
        <v>23.367000000000001</v>
      </c>
      <c r="Z840" s="43"/>
      <c r="AA840" s="43"/>
      <c r="AB840" s="43"/>
      <c r="AC840" s="43"/>
      <c r="AD840" s="43">
        <v>-0.20699999999999999</v>
      </c>
      <c r="AE840" s="43"/>
      <c r="AF840" s="43"/>
      <c r="AG840" s="43"/>
      <c r="AH840" s="43"/>
      <c r="AI840" s="43"/>
      <c r="AJ840" s="9"/>
      <c r="AK840" s="10"/>
      <c r="AL840" s="11"/>
    </row>
    <row r="841" spans="1:38" ht="11.25" hidden="1" customHeight="1" outlineLevel="1" x14ac:dyDescent="0.2">
      <c r="A841" s="21">
        <v>12</v>
      </c>
      <c r="B841" s="88" t="s">
        <v>827</v>
      </c>
      <c r="C841" s="88"/>
      <c r="D841" s="88"/>
      <c r="E841" s="88"/>
      <c r="F841" s="88"/>
      <c r="G841" s="88"/>
      <c r="H841" s="88"/>
      <c r="I841" s="88"/>
      <c r="J841" s="88"/>
      <c r="K841" s="88"/>
      <c r="L841" s="88"/>
      <c r="M841" s="88"/>
      <c r="N841" s="88"/>
      <c r="O841" s="88"/>
      <c r="P841" s="88"/>
      <c r="Q841" s="88"/>
      <c r="R841" s="88"/>
      <c r="S841" s="88"/>
      <c r="T841" s="41">
        <v>25.01</v>
      </c>
      <c r="U841" s="41"/>
      <c r="V841" s="41"/>
      <c r="W841" s="41"/>
      <c r="X841" s="41"/>
      <c r="Y841" s="43">
        <v>25.210999999999999</v>
      </c>
      <c r="Z841" s="43"/>
      <c r="AA841" s="43"/>
      <c r="AB841" s="43"/>
      <c r="AC841" s="43"/>
      <c r="AD841" s="43">
        <v>-0.20100000000000001</v>
      </c>
      <c r="AE841" s="43"/>
      <c r="AF841" s="43"/>
      <c r="AG841" s="43"/>
      <c r="AH841" s="43"/>
      <c r="AI841" s="43"/>
      <c r="AJ841" s="9"/>
      <c r="AK841" s="10"/>
      <c r="AL841" s="11"/>
    </row>
    <row r="842" spans="1:38" ht="11.25" hidden="1" customHeight="1" outlineLevel="1" x14ac:dyDescent="0.2">
      <c r="A842" s="21">
        <v>13</v>
      </c>
      <c r="B842" s="88" t="s">
        <v>828</v>
      </c>
      <c r="C842" s="88"/>
      <c r="D842" s="88"/>
      <c r="E842" s="88"/>
      <c r="F842" s="88"/>
      <c r="G842" s="88"/>
      <c r="H842" s="88"/>
      <c r="I842" s="88"/>
      <c r="J842" s="88"/>
      <c r="K842" s="88"/>
      <c r="L842" s="88"/>
      <c r="M842" s="88"/>
      <c r="N842" s="88"/>
      <c r="O842" s="88"/>
      <c r="P842" s="88"/>
      <c r="Q842" s="88"/>
      <c r="R842" s="88"/>
      <c r="S842" s="88"/>
      <c r="T842" s="59">
        <v>16.5</v>
      </c>
      <c r="U842" s="59"/>
      <c r="V842" s="59"/>
      <c r="W842" s="59"/>
      <c r="X842" s="59"/>
      <c r="Y842" s="41">
        <v>16.75</v>
      </c>
      <c r="Z842" s="41"/>
      <c r="AA842" s="41"/>
      <c r="AB842" s="41"/>
      <c r="AC842" s="41"/>
      <c r="AD842" s="41">
        <v>-0.25</v>
      </c>
      <c r="AE842" s="41"/>
      <c r="AF842" s="41"/>
      <c r="AG842" s="41"/>
      <c r="AH842" s="41"/>
      <c r="AI842" s="41"/>
      <c r="AJ842" s="9"/>
      <c r="AK842" s="10"/>
      <c r="AL842" s="11"/>
    </row>
    <row r="843" spans="1:38" ht="11.25" hidden="1" customHeight="1" outlineLevel="1" x14ac:dyDescent="0.2">
      <c r="A843" s="21">
        <v>14</v>
      </c>
      <c r="B843" s="88" t="s">
        <v>829</v>
      </c>
      <c r="C843" s="88"/>
      <c r="D843" s="88"/>
      <c r="E843" s="88"/>
      <c r="F843" s="88"/>
      <c r="G843" s="88"/>
      <c r="H843" s="88"/>
      <c r="I843" s="88"/>
      <c r="J843" s="88"/>
      <c r="K843" s="88"/>
      <c r="L843" s="88"/>
      <c r="M843" s="88"/>
      <c r="N843" s="88"/>
      <c r="O843" s="88"/>
      <c r="P843" s="88"/>
      <c r="Q843" s="88"/>
      <c r="R843" s="88"/>
      <c r="S843" s="88"/>
      <c r="T843" s="41">
        <v>14.09</v>
      </c>
      <c r="U843" s="41"/>
      <c r="V843" s="41"/>
      <c r="W843" s="41"/>
      <c r="X843" s="41"/>
      <c r="Y843" s="43">
        <v>14.414</v>
      </c>
      <c r="Z843" s="43"/>
      <c r="AA843" s="43"/>
      <c r="AB843" s="43"/>
      <c r="AC843" s="43"/>
      <c r="AD843" s="43">
        <v>-0.32400000000000001</v>
      </c>
      <c r="AE843" s="43"/>
      <c r="AF843" s="43"/>
      <c r="AG843" s="43"/>
      <c r="AH843" s="43"/>
      <c r="AI843" s="43"/>
      <c r="AJ843" s="9"/>
      <c r="AK843" s="10"/>
      <c r="AL843" s="11"/>
    </row>
    <row r="844" spans="1:38" ht="11.25" hidden="1" customHeight="1" outlineLevel="1" x14ac:dyDescent="0.2">
      <c r="A844" s="21">
        <v>15</v>
      </c>
      <c r="B844" s="88" t="s">
        <v>830</v>
      </c>
      <c r="C844" s="88"/>
      <c r="D844" s="88"/>
      <c r="E844" s="88"/>
      <c r="F844" s="88"/>
      <c r="G844" s="88"/>
      <c r="H844" s="88"/>
      <c r="I844" s="88"/>
      <c r="J844" s="88"/>
      <c r="K844" s="88"/>
      <c r="L844" s="88"/>
      <c r="M844" s="88"/>
      <c r="N844" s="88"/>
      <c r="O844" s="88"/>
      <c r="P844" s="88"/>
      <c r="Q844" s="88"/>
      <c r="R844" s="88"/>
      <c r="S844" s="88"/>
      <c r="T844" s="58">
        <v>103</v>
      </c>
      <c r="U844" s="58"/>
      <c r="V844" s="58"/>
      <c r="W844" s="58"/>
      <c r="X844" s="58"/>
      <c r="Y844" s="43">
        <v>112.77500000000001</v>
      </c>
      <c r="Z844" s="43"/>
      <c r="AA844" s="43"/>
      <c r="AB844" s="43"/>
      <c r="AC844" s="43"/>
      <c r="AD844" s="43">
        <v>-9.7750000000000004</v>
      </c>
      <c r="AE844" s="43"/>
      <c r="AF844" s="43"/>
      <c r="AG844" s="43"/>
      <c r="AH844" s="43"/>
      <c r="AI844" s="43"/>
      <c r="AJ844" s="9"/>
      <c r="AK844" s="10"/>
      <c r="AL844" s="11"/>
    </row>
    <row r="845" spans="1:38" ht="21.75" hidden="1" customHeight="1" outlineLevel="1" x14ac:dyDescent="0.2">
      <c r="A845" s="21">
        <v>16</v>
      </c>
      <c r="B845" s="88" t="s">
        <v>831</v>
      </c>
      <c r="C845" s="88"/>
      <c r="D845" s="88"/>
      <c r="E845" s="88"/>
      <c r="F845" s="88"/>
      <c r="G845" s="88"/>
      <c r="H845" s="88"/>
      <c r="I845" s="88"/>
      <c r="J845" s="88"/>
      <c r="K845" s="88"/>
      <c r="L845" s="88"/>
      <c r="M845" s="88"/>
      <c r="N845" s="88"/>
      <c r="O845" s="88"/>
      <c r="P845" s="88"/>
      <c r="Q845" s="88"/>
      <c r="R845" s="88"/>
      <c r="S845" s="88"/>
      <c r="T845" s="41">
        <v>5.82</v>
      </c>
      <c r="U845" s="41"/>
      <c r="V845" s="41"/>
      <c r="W845" s="41"/>
      <c r="X845" s="41"/>
      <c r="Y845" s="43">
        <v>5.9889999999999999</v>
      </c>
      <c r="Z845" s="43"/>
      <c r="AA845" s="43"/>
      <c r="AB845" s="43"/>
      <c r="AC845" s="43"/>
      <c r="AD845" s="43">
        <v>-0.16900000000000001</v>
      </c>
      <c r="AE845" s="43"/>
      <c r="AF845" s="43"/>
      <c r="AG845" s="43"/>
      <c r="AH845" s="43"/>
      <c r="AI845" s="43"/>
      <c r="AJ845" s="9"/>
      <c r="AK845" s="10"/>
      <c r="AL845" s="11"/>
    </row>
    <row r="846" spans="1:38" ht="21.75" hidden="1" customHeight="1" outlineLevel="1" x14ac:dyDescent="0.2">
      <c r="A846" s="21">
        <v>17</v>
      </c>
      <c r="B846" s="88" t="s">
        <v>832</v>
      </c>
      <c r="C846" s="88"/>
      <c r="D846" s="88"/>
      <c r="E846" s="88"/>
      <c r="F846" s="88"/>
      <c r="G846" s="88"/>
      <c r="H846" s="88"/>
      <c r="I846" s="88"/>
      <c r="J846" s="88"/>
      <c r="K846" s="88"/>
      <c r="L846" s="88"/>
      <c r="M846" s="88"/>
      <c r="N846" s="88"/>
      <c r="O846" s="88"/>
      <c r="P846" s="88"/>
      <c r="Q846" s="88"/>
      <c r="R846" s="88"/>
      <c r="S846" s="88"/>
      <c r="T846" s="59">
        <v>6.8</v>
      </c>
      <c r="U846" s="59"/>
      <c r="V846" s="59"/>
      <c r="W846" s="59"/>
      <c r="X846" s="59"/>
      <c r="Y846" s="59">
        <v>6.8</v>
      </c>
      <c r="Z846" s="59"/>
      <c r="AA846" s="59"/>
      <c r="AB846" s="59"/>
      <c r="AC846" s="59"/>
      <c r="AD846" s="12"/>
      <c r="AE846" s="13"/>
      <c r="AF846" s="13"/>
      <c r="AG846" s="13"/>
      <c r="AH846" s="13"/>
      <c r="AI846" s="14"/>
      <c r="AJ846" s="9"/>
      <c r="AK846" s="10"/>
      <c r="AL846" s="11"/>
    </row>
    <row r="847" spans="1:38" ht="11.25" hidden="1" customHeight="1" outlineLevel="1" x14ac:dyDescent="0.2">
      <c r="A847" s="21">
        <v>18</v>
      </c>
      <c r="B847" s="88" t="s">
        <v>833</v>
      </c>
      <c r="C847" s="88"/>
      <c r="D847" s="88"/>
      <c r="E847" s="88"/>
      <c r="F847" s="88"/>
      <c r="G847" s="88"/>
      <c r="H847" s="88"/>
      <c r="I847" s="88"/>
      <c r="J847" s="88"/>
      <c r="K847" s="88"/>
      <c r="L847" s="88"/>
      <c r="M847" s="88"/>
      <c r="N847" s="88"/>
      <c r="O847" s="88"/>
      <c r="P847" s="88"/>
      <c r="Q847" s="88"/>
      <c r="R847" s="88"/>
      <c r="S847" s="88"/>
      <c r="T847" s="41">
        <v>15.14</v>
      </c>
      <c r="U847" s="41"/>
      <c r="V847" s="41"/>
      <c r="W847" s="41"/>
      <c r="X847" s="41"/>
      <c r="Y847" s="41">
        <v>15.14</v>
      </c>
      <c r="Z847" s="41"/>
      <c r="AA847" s="41"/>
      <c r="AB847" s="41"/>
      <c r="AC847" s="41"/>
      <c r="AD847" s="12"/>
      <c r="AE847" s="13"/>
      <c r="AF847" s="13"/>
      <c r="AG847" s="13"/>
      <c r="AH847" s="13"/>
      <c r="AI847" s="14"/>
      <c r="AJ847" s="9"/>
      <c r="AK847" s="10"/>
      <c r="AL847" s="11"/>
    </row>
    <row r="848" spans="1:38" ht="11.25" hidden="1" customHeight="1" collapsed="1" x14ac:dyDescent="0.2">
      <c r="A848" s="60" t="s">
        <v>834</v>
      </c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4">
        <v>1185.8800000000001</v>
      </c>
      <c r="U848" s="64"/>
      <c r="V848" s="64"/>
      <c r="W848" s="64"/>
      <c r="X848" s="64"/>
      <c r="Y848" s="61">
        <v>1203.9349999999999</v>
      </c>
      <c r="Z848" s="61"/>
      <c r="AA848" s="61"/>
      <c r="AB848" s="61"/>
      <c r="AC848" s="61"/>
      <c r="AD848" s="62">
        <v>-18.055</v>
      </c>
      <c r="AE848" s="62"/>
      <c r="AF848" s="62"/>
      <c r="AG848" s="62"/>
      <c r="AH848" s="62"/>
      <c r="AI848" s="62"/>
      <c r="AJ848" s="65">
        <v>7.91</v>
      </c>
      <c r="AK848" s="65"/>
      <c r="AL848" s="65"/>
    </row>
    <row r="849" spans="1:38" ht="11.25" hidden="1" customHeight="1" outlineLevel="1" x14ac:dyDescent="0.2">
      <c r="A849" s="21">
        <v>1</v>
      </c>
      <c r="B849" s="88" t="s">
        <v>835</v>
      </c>
      <c r="C849" s="88"/>
      <c r="D849" s="88"/>
      <c r="E849" s="88"/>
      <c r="F849" s="88"/>
      <c r="G849" s="88"/>
      <c r="H849" s="88"/>
      <c r="I849" s="88"/>
      <c r="J849" s="88"/>
      <c r="K849" s="88"/>
      <c r="L849" s="88"/>
      <c r="M849" s="88"/>
      <c r="N849" s="88"/>
      <c r="O849" s="88"/>
      <c r="P849" s="88"/>
      <c r="Q849" s="88"/>
      <c r="R849" s="88"/>
      <c r="S849" s="88"/>
      <c r="T849" s="43">
        <v>12.928000000000001</v>
      </c>
      <c r="U849" s="43"/>
      <c r="V849" s="43"/>
      <c r="W849" s="43"/>
      <c r="X849" s="43"/>
      <c r="Y849" s="41">
        <v>11.38</v>
      </c>
      <c r="Z849" s="41"/>
      <c r="AA849" s="41"/>
      <c r="AB849" s="41"/>
      <c r="AC849" s="41"/>
      <c r="AD849" s="43">
        <v>1.548</v>
      </c>
      <c r="AE849" s="43"/>
      <c r="AF849" s="43"/>
      <c r="AG849" s="43"/>
      <c r="AH849" s="43"/>
      <c r="AI849" s="43"/>
      <c r="AJ849" s="9"/>
      <c r="AK849" s="10"/>
      <c r="AL849" s="11"/>
    </row>
    <row r="850" spans="1:38" ht="11.25" hidden="1" customHeight="1" outlineLevel="1" x14ac:dyDescent="0.2">
      <c r="A850" s="21">
        <v>2</v>
      </c>
      <c r="B850" s="88" t="s">
        <v>836</v>
      </c>
      <c r="C850" s="88"/>
      <c r="D850" s="88"/>
      <c r="E850" s="88"/>
      <c r="F850" s="88"/>
      <c r="G850" s="88"/>
      <c r="H850" s="88"/>
      <c r="I850" s="88"/>
      <c r="J850" s="88"/>
      <c r="K850" s="88"/>
      <c r="L850" s="88"/>
      <c r="M850" s="88"/>
      <c r="N850" s="88"/>
      <c r="O850" s="88"/>
      <c r="P850" s="88"/>
      <c r="Q850" s="88"/>
      <c r="R850" s="88"/>
      <c r="S850" s="88"/>
      <c r="T850" s="41">
        <v>96.36</v>
      </c>
      <c r="U850" s="41"/>
      <c r="V850" s="41"/>
      <c r="W850" s="41"/>
      <c r="X850" s="41"/>
      <c r="Y850" s="41">
        <v>96.46</v>
      </c>
      <c r="Z850" s="41"/>
      <c r="AA850" s="41"/>
      <c r="AB850" s="41"/>
      <c r="AC850" s="41"/>
      <c r="AD850" s="59">
        <v>-0.1</v>
      </c>
      <c r="AE850" s="59"/>
      <c r="AF850" s="59"/>
      <c r="AG850" s="59"/>
      <c r="AH850" s="59"/>
      <c r="AI850" s="59"/>
      <c r="AJ850" s="9"/>
      <c r="AK850" s="10"/>
      <c r="AL850" s="11"/>
    </row>
    <row r="851" spans="1:38" ht="11.25" hidden="1" customHeight="1" outlineLevel="1" x14ac:dyDescent="0.2">
      <c r="A851" s="21">
        <v>3</v>
      </c>
      <c r="B851" s="88" t="s">
        <v>837</v>
      </c>
      <c r="C851" s="88"/>
      <c r="D851" s="88"/>
      <c r="E851" s="88"/>
      <c r="F851" s="88"/>
      <c r="G851" s="88"/>
      <c r="H851" s="88"/>
      <c r="I851" s="88"/>
      <c r="J851" s="88"/>
      <c r="K851" s="88"/>
      <c r="L851" s="88"/>
      <c r="M851" s="88"/>
      <c r="N851" s="88"/>
      <c r="O851" s="88"/>
      <c r="P851" s="88"/>
      <c r="Q851" s="88"/>
      <c r="R851" s="88"/>
      <c r="S851" s="88"/>
      <c r="T851" s="41">
        <v>17.96</v>
      </c>
      <c r="U851" s="41"/>
      <c r="V851" s="41"/>
      <c r="W851" s="41"/>
      <c r="X851" s="41"/>
      <c r="Y851" s="43">
        <v>17.114999999999998</v>
      </c>
      <c r="Z851" s="43"/>
      <c r="AA851" s="43"/>
      <c r="AB851" s="43"/>
      <c r="AC851" s="43"/>
      <c r="AD851" s="43">
        <v>0.84499999999999997</v>
      </c>
      <c r="AE851" s="43"/>
      <c r="AF851" s="43"/>
      <c r="AG851" s="43"/>
      <c r="AH851" s="43"/>
      <c r="AI851" s="43"/>
      <c r="AJ851" s="9"/>
      <c r="AK851" s="10"/>
      <c r="AL851" s="11"/>
    </row>
    <row r="852" spans="1:38" ht="21.75" hidden="1" customHeight="1" outlineLevel="1" x14ac:dyDescent="0.2">
      <c r="A852" s="21">
        <v>4</v>
      </c>
      <c r="B852" s="88" t="s">
        <v>838</v>
      </c>
      <c r="C852" s="88"/>
      <c r="D852" s="88"/>
      <c r="E852" s="88"/>
      <c r="F852" s="88"/>
      <c r="G852" s="88"/>
      <c r="H852" s="88"/>
      <c r="I852" s="88"/>
      <c r="J852" s="88"/>
      <c r="K852" s="88"/>
      <c r="L852" s="88"/>
      <c r="M852" s="88"/>
      <c r="N852" s="88"/>
      <c r="O852" s="88"/>
      <c r="P852" s="88"/>
      <c r="Q852" s="88"/>
      <c r="R852" s="88"/>
      <c r="S852" s="88"/>
      <c r="T852" s="43">
        <v>4.7119999999999997</v>
      </c>
      <c r="U852" s="43"/>
      <c r="V852" s="43"/>
      <c r="W852" s="43"/>
      <c r="X852" s="43"/>
      <c r="Y852" s="43">
        <v>4.3140000000000001</v>
      </c>
      <c r="Z852" s="43"/>
      <c r="AA852" s="43"/>
      <c r="AB852" s="43"/>
      <c r="AC852" s="43"/>
      <c r="AD852" s="43">
        <v>0.39800000000000002</v>
      </c>
      <c r="AE852" s="43"/>
      <c r="AF852" s="43"/>
      <c r="AG852" s="43"/>
      <c r="AH852" s="43"/>
      <c r="AI852" s="43"/>
      <c r="AJ852" s="9"/>
      <c r="AK852" s="10"/>
      <c r="AL852" s="11"/>
    </row>
    <row r="853" spans="1:38" ht="21.75" hidden="1" customHeight="1" outlineLevel="1" x14ac:dyDescent="0.2">
      <c r="A853" s="21">
        <v>5</v>
      </c>
      <c r="B853" s="88" t="s">
        <v>839</v>
      </c>
      <c r="C853" s="88"/>
      <c r="D853" s="88"/>
      <c r="E853" s="88"/>
      <c r="F853" s="88"/>
      <c r="G853" s="88"/>
      <c r="H853" s="88"/>
      <c r="I853" s="88"/>
      <c r="J853" s="88"/>
      <c r="K853" s="88"/>
      <c r="L853" s="88"/>
      <c r="M853" s="88"/>
      <c r="N853" s="88"/>
      <c r="O853" s="88"/>
      <c r="P853" s="88"/>
      <c r="Q853" s="88"/>
      <c r="R853" s="88"/>
      <c r="S853" s="88"/>
      <c r="T853" s="41">
        <v>6.81</v>
      </c>
      <c r="U853" s="41"/>
      <c r="V853" s="41"/>
      <c r="W853" s="41"/>
      <c r="X853" s="41"/>
      <c r="Y853" s="43">
        <v>6.6269999999999998</v>
      </c>
      <c r="Z853" s="43"/>
      <c r="AA853" s="43"/>
      <c r="AB853" s="43"/>
      <c r="AC853" s="43"/>
      <c r="AD853" s="43">
        <v>0.183</v>
      </c>
      <c r="AE853" s="43"/>
      <c r="AF853" s="43"/>
      <c r="AG853" s="43"/>
      <c r="AH853" s="43"/>
      <c r="AI853" s="43"/>
      <c r="AJ853" s="9"/>
      <c r="AK853" s="10"/>
      <c r="AL853" s="11"/>
    </row>
    <row r="854" spans="1:38" ht="21.75" hidden="1" customHeight="1" outlineLevel="1" x14ac:dyDescent="0.2">
      <c r="A854" s="21">
        <v>6</v>
      </c>
      <c r="B854" s="88" t="s">
        <v>840</v>
      </c>
      <c r="C854" s="88"/>
      <c r="D854" s="88"/>
      <c r="E854" s="88"/>
      <c r="F854" s="88"/>
      <c r="G854" s="88"/>
      <c r="H854" s="88"/>
      <c r="I854" s="88"/>
      <c r="J854" s="88"/>
      <c r="K854" s="88"/>
      <c r="L854" s="88"/>
      <c r="M854" s="88"/>
      <c r="N854" s="88"/>
      <c r="O854" s="88"/>
      <c r="P854" s="88"/>
      <c r="Q854" s="88"/>
      <c r="R854" s="88"/>
      <c r="S854" s="88"/>
      <c r="T854" s="41">
        <v>20.11</v>
      </c>
      <c r="U854" s="41"/>
      <c r="V854" s="41"/>
      <c r="W854" s="41"/>
      <c r="X854" s="41"/>
      <c r="Y854" s="43">
        <v>20.277999999999999</v>
      </c>
      <c r="Z854" s="43"/>
      <c r="AA854" s="43"/>
      <c r="AB854" s="43"/>
      <c r="AC854" s="43"/>
      <c r="AD854" s="43">
        <v>-0.16800000000000001</v>
      </c>
      <c r="AE854" s="43"/>
      <c r="AF854" s="43"/>
      <c r="AG854" s="43"/>
      <c r="AH854" s="43"/>
      <c r="AI854" s="43"/>
      <c r="AJ854" s="9"/>
      <c r="AK854" s="10"/>
      <c r="AL854" s="11"/>
    </row>
    <row r="855" spans="1:38" ht="11.25" hidden="1" customHeight="1" outlineLevel="1" x14ac:dyDescent="0.2">
      <c r="A855" s="21">
        <v>7</v>
      </c>
      <c r="B855" s="88" t="s">
        <v>841</v>
      </c>
      <c r="C855" s="88"/>
      <c r="D855" s="88"/>
      <c r="E855" s="88"/>
      <c r="F855" s="88"/>
      <c r="G855" s="88"/>
      <c r="H855" s="88"/>
      <c r="I855" s="88"/>
      <c r="J855" s="88"/>
      <c r="K855" s="88"/>
      <c r="L855" s="88"/>
      <c r="M855" s="88"/>
      <c r="N855" s="88"/>
      <c r="O855" s="88"/>
      <c r="P855" s="88"/>
      <c r="Q855" s="88"/>
      <c r="R855" s="88"/>
      <c r="S855" s="88"/>
      <c r="T855" s="41">
        <v>138.13</v>
      </c>
      <c r="U855" s="41"/>
      <c r="V855" s="41"/>
      <c r="W855" s="41"/>
      <c r="X855" s="41"/>
      <c r="Y855" s="43">
        <v>140.642</v>
      </c>
      <c r="Z855" s="43"/>
      <c r="AA855" s="43"/>
      <c r="AB855" s="43"/>
      <c r="AC855" s="43"/>
      <c r="AD855" s="43">
        <v>-2.512</v>
      </c>
      <c r="AE855" s="43"/>
      <c r="AF855" s="43"/>
      <c r="AG855" s="43"/>
      <c r="AH855" s="43"/>
      <c r="AI855" s="43"/>
      <c r="AJ855" s="9"/>
      <c r="AK855" s="10"/>
      <c r="AL855" s="11"/>
    </row>
    <row r="856" spans="1:38" ht="11.25" hidden="1" customHeight="1" outlineLevel="1" x14ac:dyDescent="0.2">
      <c r="A856" s="21">
        <v>8</v>
      </c>
      <c r="B856" s="88" t="s">
        <v>842</v>
      </c>
      <c r="C856" s="88"/>
      <c r="D856" s="88"/>
      <c r="E856" s="88"/>
      <c r="F856" s="88"/>
      <c r="G856" s="88"/>
      <c r="H856" s="88"/>
      <c r="I856" s="88"/>
      <c r="J856" s="88"/>
      <c r="K856" s="88"/>
      <c r="L856" s="88"/>
      <c r="M856" s="88"/>
      <c r="N856" s="88"/>
      <c r="O856" s="88"/>
      <c r="P856" s="88"/>
      <c r="Q856" s="88"/>
      <c r="R856" s="88"/>
      <c r="S856" s="88"/>
      <c r="T856" s="59">
        <v>13.9</v>
      </c>
      <c r="U856" s="59"/>
      <c r="V856" s="59"/>
      <c r="W856" s="59"/>
      <c r="X856" s="59"/>
      <c r="Y856" s="43">
        <v>13.972</v>
      </c>
      <c r="Z856" s="43"/>
      <c r="AA856" s="43"/>
      <c r="AB856" s="43"/>
      <c r="AC856" s="43"/>
      <c r="AD856" s="43">
        <v>-7.1999999999999995E-2</v>
      </c>
      <c r="AE856" s="43"/>
      <c r="AF856" s="43"/>
      <c r="AG856" s="43"/>
      <c r="AH856" s="43"/>
      <c r="AI856" s="43"/>
      <c r="AJ856" s="9"/>
      <c r="AK856" s="10"/>
      <c r="AL856" s="11"/>
    </row>
    <row r="857" spans="1:38" ht="11.25" hidden="1" customHeight="1" outlineLevel="1" x14ac:dyDescent="0.2">
      <c r="A857" s="21">
        <v>9</v>
      </c>
      <c r="B857" s="88" t="s">
        <v>843</v>
      </c>
      <c r="C857" s="88"/>
      <c r="D857" s="88"/>
      <c r="E857" s="88"/>
      <c r="F857" s="88"/>
      <c r="G857" s="88"/>
      <c r="H857" s="88"/>
      <c r="I857" s="88"/>
      <c r="J857" s="88"/>
      <c r="K857" s="88"/>
      <c r="L857" s="88"/>
      <c r="M857" s="88"/>
      <c r="N857" s="88"/>
      <c r="O857" s="88"/>
      <c r="P857" s="88"/>
      <c r="Q857" s="88"/>
      <c r="R857" s="88"/>
      <c r="S857" s="88"/>
      <c r="T857" s="41">
        <v>22.38</v>
      </c>
      <c r="U857" s="41"/>
      <c r="V857" s="41"/>
      <c r="W857" s="41"/>
      <c r="X857" s="41"/>
      <c r="Y857" s="43">
        <v>22.670999999999999</v>
      </c>
      <c r="Z857" s="43"/>
      <c r="AA857" s="43"/>
      <c r="AB857" s="43"/>
      <c r="AC857" s="43"/>
      <c r="AD857" s="43">
        <v>-0.29099999999999998</v>
      </c>
      <c r="AE857" s="43"/>
      <c r="AF857" s="43"/>
      <c r="AG857" s="43"/>
      <c r="AH857" s="43"/>
      <c r="AI857" s="43"/>
      <c r="AJ857" s="9"/>
      <c r="AK857" s="10"/>
      <c r="AL857" s="11"/>
    </row>
    <row r="858" spans="1:38" ht="11.25" hidden="1" customHeight="1" outlineLevel="1" x14ac:dyDescent="0.2">
      <c r="A858" s="21">
        <v>10</v>
      </c>
      <c r="B858" s="88" t="s">
        <v>844</v>
      </c>
      <c r="C858" s="88"/>
      <c r="D858" s="88"/>
      <c r="E858" s="88"/>
      <c r="F858" s="88"/>
      <c r="G858" s="88"/>
      <c r="H858" s="88"/>
      <c r="I858" s="88"/>
      <c r="J858" s="88"/>
      <c r="K858" s="88"/>
      <c r="L858" s="88"/>
      <c r="M858" s="88"/>
      <c r="N858" s="88"/>
      <c r="O858" s="88"/>
      <c r="P858" s="88"/>
      <c r="Q858" s="88"/>
      <c r="R858" s="88"/>
      <c r="S858" s="88"/>
      <c r="T858" s="41">
        <v>64.45</v>
      </c>
      <c r="U858" s="41"/>
      <c r="V858" s="41"/>
      <c r="W858" s="41"/>
      <c r="X858" s="41"/>
      <c r="Y858" s="41">
        <v>64.73</v>
      </c>
      <c r="Z858" s="41"/>
      <c r="AA858" s="41"/>
      <c r="AB858" s="41"/>
      <c r="AC858" s="41"/>
      <c r="AD858" s="41">
        <v>-0.28000000000000003</v>
      </c>
      <c r="AE858" s="41"/>
      <c r="AF858" s="41"/>
      <c r="AG858" s="41"/>
      <c r="AH858" s="41"/>
      <c r="AI858" s="41"/>
      <c r="AJ858" s="9"/>
      <c r="AK858" s="10"/>
      <c r="AL858" s="11"/>
    </row>
    <row r="859" spans="1:38" ht="11.25" hidden="1" customHeight="1" outlineLevel="1" x14ac:dyDescent="0.2">
      <c r="A859" s="21">
        <v>11</v>
      </c>
      <c r="B859" s="88" t="s">
        <v>845</v>
      </c>
      <c r="C859" s="88"/>
      <c r="D859" s="88"/>
      <c r="E859" s="88"/>
      <c r="F859" s="88"/>
      <c r="G859" s="88"/>
      <c r="H859" s="88"/>
      <c r="I859" s="88"/>
      <c r="J859" s="88"/>
      <c r="K859" s="88"/>
      <c r="L859" s="88"/>
      <c r="M859" s="88"/>
      <c r="N859" s="88"/>
      <c r="O859" s="88"/>
      <c r="P859" s="88"/>
      <c r="Q859" s="88"/>
      <c r="R859" s="88"/>
      <c r="S859" s="88"/>
      <c r="T859" s="41">
        <v>19.03</v>
      </c>
      <c r="U859" s="41"/>
      <c r="V859" s="41"/>
      <c r="W859" s="41"/>
      <c r="X859" s="41"/>
      <c r="Y859" s="43">
        <v>19.158000000000001</v>
      </c>
      <c r="Z859" s="43"/>
      <c r="AA859" s="43"/>
      <c r="AB859" s="43"/>
      <c r="AC859" s="43"/>
      <c r="AD859" s="43">
        <v>-0.128</v>
      </c>
      <c r="AE859" s="43"/>
      <c r="AF859" s="43"/>
      <c r="AG859" s="43"/>
      <c r="AH859" s="43"/>
      <c r="AI859" s="43"/>
      <c r="AJ859" s="9"/>
      <c r="AK859" s="10"/>
      <c r="AL859" s="11"/>
    </row>
    <row r="860" spans="1:38" ht="21.75" hidden="1" customHeight="1" outlineLevel="1" x14ac:dyDescent="0.2">
      <c r="A860" s="21">
        <v>12</v>
      </c>
      <c r="B860" s="88" t="s">
        <v>846</v>
      </c>
      <c r="C860" s="88"/>
      <c r="D860" s="88"/>
      <c r="E860" s="88"/>
      <c r="F860" s="88"/>
      <c r="G860" s="88"/>
      <c r="H860" s="88"/>
      <c r="I860" s="88"/>
      <c r="J860" s="88"/>
      <c r="K860" s="88"/>
      <c r="L860" s="88"/>
      <c r="M860" s="88"/>
      <c r="N860" s="88"/>
      <c r="O860" s="88"/>
      <c r="P860" s="88"/>
      <c r="Q860" s="88"/>
      <c r="R860" s="88"/>
      <c r="S860" s="88"/>
      <c r="T860" s="41">
        <v>50.08</v>
      </c>
      <c r="U860" s="41"/>
      <c r="V860" s="41"/>
      <c r="W860" s="41"/>
      <c r="X860" s="41"/>
      <c r="Y860" s="43">
        <v>50.625</v>
      </c>
      <c r="Z860" s="43"/>
      <c r="AA860" s="43"/>
      <c r="AB860" s="43"/>
      <c r="AC860" s="43"/>
      <c r="AD860" s="43">
        <v>-0.54500000000000004</v>
      </c>
      <c r="AE860" s="43"/>
      <c r="AF860" s="43"/>
      <c r="AG860" s="43"/>
      <c r="AH860" s="43"/>
      <c r="AI860" s="43"/>
      <c r="AJ860" s="9"/>
      <c r="AK860" s="10"/>
      <c r="AL860" s="11"/>
    </row>
    <row r="861" spans="1:38" ht="11.25" hidden="1" customHeight="1" outlineLevel="1" x14ac:dyDescent="0.2">
      <c r="A861" s="21">
        <v>13</v>
      </c>
      <c r="B861" s="88" t="s">
        <v>847</v>
      </c>
      <c r="C861" s="88"/>
      <c r="D861" s="88"/>
      <c r="E861" s="88"/>
      <c r="F861" s="88"/>
      <c r="G861" s="88"/>
      <c r="H861" s="88"/>
      <c r="I861" s="88"/>
      <c r="J861" s="88"/>
      <c r="K861" s="88"/>
      <c r="L861" s="88"/>
      <c r="M861" s="88"/>
      <c r="N861" s="88"/>
      <c r="O861" s="88"/>
      <c r="P861" s="88"/>
      <c r="Q861" s="88"/>
      <c r="R861" s="88"/>
      <c r="S861" s="88"/>
      <c r="T861" s="41">
        <v>43.45</v>
      </c>
      <c r="U861" s="41"/>
      <c r="V861" s="41"/>
      <c r="W861" s="41"/>
      <c r="X861" s="41"/>
      <c r="Y861" s="43">
        <v>43.677</v>
      </c>
      <c r="Z861" s="43"/>
      <c r="AA861" s="43"/>
      <c r="AB861" s="43"/>
      <c r="AC861" s="43"/>
      <c r="AD861" s="43">
        <v>-0.22700000000000001</v>
      </c>
      <c r="AE861" s="43"/>
      <c r="AF861" s="43"/>
      <c r="AG861" s="43"/>
      <c r="AH861" s="43"/>
      <c r="AI861" s="43"/>
      <c r="AJ861" s="9"/>
      <c r="AK861" s="10"/>
      <c r="AL861" s="11"/>
    </row>
    <row r="862" spans="1:38" ht="11.25" hidden="1" customHeight="1" outlineLevel="1" x14ac:dyDescent="0.2">
      <c r="A862" s="21">
        <v>14</v>
      </c>
      <c r="B862" s="88" t="s">
        <v>848</v>
      </c>
      <c r="C862" s="88"/>
      <c r="D862" s="88"/>
      <c r="E862" s="88"/>
      <c r="F862" s="88"/>
      <c r="G862" s="88"/>
      <c r="H862" s="88"/>
      <c r="I862" s="88"/>
      <c r="J862" s="88"/>
      <c r="K862" s="88"/>
      <c r="L862" s="88"/>
      <c r="M862" s="88"/>
      <c r="N862" s="88"/>
      <c r="O862" s="88"/>
      <c r="P862" s="88"/>
      <c r="Q862" s="88"/>
      <c r="R862" s="88"/>
      <c r="S862" s="88"/>
      <c r="T862" s="41">
        <v>80.63</v>
      </c>
      <c r="U862" s="41"/>
      <c r="V862" s="41"/>
      <c r="W862" s="41"/>
      <c r="X862" s="41"/>
      <c r="Y862" s="43">
        <v>84.728999999999999</v>
      </c>
      <c r="Z862" s="43"/>
      <c r="AA862" s="43"/>
      <c r="AB862" s="43"/>
      <c r="AC862" s="43"/>
      <c r="AD862" s="43">
        <v>-4.0990000000000002</v>
      </c>
      <c r="AE862" s="43"/>
      <c r="AF862" s="43"/>
      <c r="AG862" s="43"/>
      <c r="AH862" s="43"/>
      <c r="AI862" s="43"/>
      <c r="AJ862" s="9"/>
      <c r="AK862" s="10"/>
      <c r="AL862" s="11"/>
    </row>
    <row r="863" spans="1:38" ht="11.25" hidden="1" customHeight="1" outlineLevel="1" x14ac:dyDescent="0.2">
      <c r="A863" s="21">
        <v>15</v>
      </c>
      <c r="B863" s="88" t="s">
        <v>849</v>
      </c>
      <c r="C863" s="88"/>
      <c r="D863" s="88"/>
      <c r="E863" s="88"/>
      <c r="F863" s="88"/>
      <c r="G863" s="88"/>
      <c r="H863" s="88"/>
      <c r="I863" s="88"/>
      <c r="J863" s="88"/>
      <c r="K863" s="88"/>
      <c r="L863" s="88"/>
      <c r="M863" s="88"/>
      <c r="N863" s="88"/>
      <c r="O863" s="88"/>
      <c r="P863" s="88"/>
      <c r="Q863" s="88"/>
      <c r="R863" s="88"/>
      <c r="S863" s="88"/>
      <c r="T863" s="59">
        <v>16.899999999999999</v>
      </c>
      <c r="U863" s="59"/>
      <c r="V863" s="59"/>
      <c r="W863" s="59"/>
      <c r="X863" s="59"/>
      <c r="Y863" s="43">
        <v>17.116</v>
      </c>
      <c r="Z863" s="43"/>
      <c r="AA863" s="43"/>
      <c r="AB863" s="43"/>
      <c r="AC863" s="43"/>
      <c r="AD863" s="43">
        <v>-0.216</v>
      </c>
      <c r="AE863" s="43"/>
      <c r="AF863" s="43"/>
      <c r="AG863" s="43"/>
      <c r="AH863" s="43"/>
      <c r="AI863" s="43"/>
      <c r="AJ863" s="9"/>
      <c r="AK863" s="10"/>
      <c r="AL863" s="11"/>
    </row>
    <row r="864" spans="1:38" ht="11.25" hidden="1" customHeight="1" outlineLevel="1" x14ac:dyDescent="0.2">
      <c r="A864" s="21">
        <v>16</v>
      </c>
      <c r="B864" s="88" t="s">
        <v>850</v>
      </c>
      <c r="C864" s="88"/>
      <c r="D864" s="88"/>
      <c r="E864" s="88"/>
      <c r="F864" s="88"/>
      <c r="G864" s="88"/>
      <c r="H864" s="88"/>
      <c r="I864" s="88"/>
      <c r="J864" s="88"/>
      <c r="K864" s="88"/>
      <c r="L864" s="88"/>
      <c r="M864" s="88"/>
      <c r="N864" s="88"/>
      <c r="O864" s="88"/>
      <c r="P864" s="88"/>
      <c r="Q864" s="88"/>
      <c r="R864" s="88"/>
      <c r="S864" s="88"/>
      <c r="T864" s="41">
        <v>60.88</v>
      </c>
      <c r="U864" s="41"/>
      <c r="V864" s="41"/>
      <c r="W864" s="41"/>
      <c r="X864" s="41"/>
      <c r="Y864" s="43">
        <v>62.152999999999999</v>
      </c>
      <c r="Z864" s="43"/>
      <c r="AA864" s="43"/>
      <c r="AB864" s="43"/>
      <c r="AC864" s="43"/>
      <c r="AD864" s="43">
        <v>-1.2729999999999999</v>
      </c>
      <c r="AE864" s="43"/>
      <c r="AF864" s="43"/>
      <c r="AG864" s="43"/>
      <c r="AH864" s="43"/>
      <c r="AI864" s="43"/>
      <c r="AJ864" s="9"/>
      <c r="AK864" s="10"/>
      <c r="AL864" s="11"/>
    </row>
    <row r="865" spans="1:38" ht="11.25" hidden="1" customHeight="1" outlineLevel="1" x14ac:dyDescent="0.2">
      <c r="A865" s="21">
        <v>17</v>
      </c>
      <c r="B865" s="88" t="s">
        <v>851</v>
      </c>
      <c r="C865" s="88"/>
      <c r="D865" s="88"/>
      <c r="E865" s="88"/>
      <c r="F865" s="88"/>
      <c r="G865" s="88"/>
      <c r="H865" s="88"/>
      <c r="I865" s="88"/>
      <c r="J865" s="88"/>
      <c r="K865" s="88"/>
      <c r="L865" s="88"/>
      <c r="M865" s="88"/>
      <c r="N865" s="88"/>
      <c r="O865" s="88"/>
      <c r="P865" s="88"/>
      <c r="Q865" s="88"/>
      <c r="R865" s="88"/>
      <c r="S865" s="88"/>
      <c r="T865" s="41">
        <v>22.28</v>
      </c>
      <c r="U865" s="41"/>
      <c r="V865" s="41"/>
      <c r="W865" s="41"/>
      <c r="X865" s="41"/>
      <c r="Y865" s="43">
        <v>22.263000000000002</v>
      </c>
      <c r="Z865" s="43"/>
      <c r="AA865" s="43"/>
      <c r="AB865" s="43"/>
      <c r="AC865" s="43"/>
      <c r="AD865" s="43">
        <v>1.7000000000000001E-2</v>
      </c>
      <c r="AE865" s="43"/>
      <c r="AF865" s="43"/>
      <c r="AG865" s="43"/>
      <c r="AH865" s="43"/>
      <c r="AI865" s="43"/>
      <c r="AJ865" s="9"/>
      <c r="AK865" s="10"/>
      <c r="AL865" s="11"/>
    </row>
    <row r="866" spans="1:38" ht="11.25" hidden="1" customHeight="1" outlineLevel="1" x14ac:dyDescent="0.2">
      <c r="A866" s="21">
        <v>18</v>
      </c>
      <c r="B866" s="88" t="s">
        <v>852</v>
      </c>
      <c r="C866" s="88"/>
      <c r="D866" s="88"/>
      <c r="E866" s="88"/>
      <c r="F866" s="88"/>
      <c r="G866" s="88"/>
      <c r="H866" s="88"/>
      <c r="I866" s="88"/>
      <c r="J866" s="88"/>
      <c r="K866" s="88"/>
      <c r="L866" s="88"/>
      <c r="M866" s="88"/>
      <c r="N866" s="88"/>
      <c r="O866" s="88"/>
      <c r="P866" s="88"/>
      <c r="Q866" s="88"/>
      <c r="R866" s="88"/>
      <c r="S866" s="88"/>
      <c r="T866" s="41">
        <v>25.44</v>
      </c>
      <c r="U866" s="41"/>
      <c r="V866" s="41"/>
      <c r="W866" s="41"/>
      <c r="X866" s="41"/>
      <c r="Y866" s="43">
        <v>26.673999999999999</v>
      </c>
      <c r="Z866" s="43"/>
      <c r="AA866" s="43"/>
      <c r="AB866" s="43"/>
      <c r="AC866" s="43"/>
      <c r="AD866" s="43">
        <v>-1.234</v>
      </c>
      <c r="AE866" s="43"/>
      <c r="AF866" s="43"/>
      <c r="AG866" s="43"/>
      <c r="AH866" s="43"/>
      <c r="AI866" s="43"/>
      <c r="AJ866" s="9"/>
      <c r="AK866" s="10"/>
      <c r="AL866" s="11"/>
    </row>
    <row r="867" spans="1:38" ht="11.25" hidden="1" customHeight="1" outlineLevel="1" x14ac:dyDescent="0.2">
      <c r="A867" s="21">
        <v>19</v>
      </c>
      <c r="B867" s="88" t="s">
        <v>853</v>
      </c>
      <c r="C867" s="88"/>
      <c r="D867" s="88"/>
      <c r="E867" s="88"/>
      <c r="F867" s="88"/>
      <c r="G867" s="88"/>
      <c r="H867" s="88"/>
      <c r="I867" s="88"/>
      <c r="J867" s="88"/>
      <c r="K867" s="88"/>
      <c r="L867" s="88"/>
      <c r="M867" s="88"/>
      <c r="N867" s="88"/>
      <c r="O867" s="88"/>
      <c r="P867" s="88"/>
      <c r="Q867" s="88"/>
      <c r="R867" s="88"/>
      <c r="S867" s="88"/>
      <c r="T867" s="59">
        <v>24.3</v>
      </c>
      <c r="U867" s="59"/>
      <c r="V867" s="59"/>
      <c r="W867" s="59"/>
      <c r="X867" s="59"/>
      <c r="Y867" s="43">
        <v>25.356000000000002</v>
      </c>
      <c r="Z867" s="43"/>
      <c r="AA867" s="43"/>
      <c r="AB867" s="43"/>
      <c r="AC867" s="43"/>
      <c r="AD867" s="43">
        <v>-1.056</v>
      </c>
      <c r="AE867" s="43"/>
      <c r="AF867" s="43"/>
      <c r="AG867" s="43"/>
      <c r="AH867" s="43"/>
      <c r="AI867" s="43"/>
      <c r="AJ867" s="9"/>
      <c r="AK867" s="10"/>
      <c r="AL867" s="11"/>
    </row>
    <row r="868" spans="1:38" ht="21.75" hidden="1" customHeight="1" outlineLevel="1" x14ac:dyDescent="0.2">
      <c r="A868" s="21">
        <v>20</v>
      </c>
      <c r="B868" s="88" t="s">
        <v>854</v>
      </c>
      <c r="C868" s="88"/>
      <c r="D868" s="88"/>
      <c r="E868" s="88"/>
      <c r="F868" s="88"/>
      <c r="G868" s="88"/>
      <c r="H868" s="88"/>
      <c r="I868" s="88"/>
      <c r="J868" s="88"/>
      <c r="K868" s="88"/>
      <c r="L868" s="88"/>
      <c r="M868" s="88"/>
      <c r="N868" s="88"/>
      <c r="O868" s="88"/>
      <c r="P868" s="88"/>
      <c r="Q868" s="88"/>
      <c r="R868" s="88"/>
      <c r="S868" s="88"/>
      <c r="T868" s="41">
        <v>36.06</v>
      </c>
      <c r="U868" s="41"/>
      <c r="V868" s="41"/>
      <c r="W868" s="41"/>
      <c r="X868" s="41"/>
      <c r="Y868" s="43">
        <v>36.279000000000003</v>
      </c>
      <c r="Z868" s="43"/>
      <c r="AA868" s="43"/>
      <c r="AB868" s="43"/>
      <c r="AC868" s="43"/>
      <c r="AD868" s="43">
        <v>-0.219</v>
      </c>
      <c r="AE868" s="43"/>
      <c r="AF868" s="43"/>
      <c r="AG868" s="43"/>
      <c r="AH868" s="43"/>
      <c r="AI868" s="43"/>
      <c r="AJ868" s="9"/>
      <c r="AK868" s="10"/>
      <c r="AL868" s="11"/>
    </row>
    <row r="869" spans="1:38" ht="11.25" hidden="1" customHeight="1" outlineLevel="1" x14ac:dyDescent="0.2">
      <c r="A869" s="21">
        <v>21</v>
      </c>
      <c r="B869" s="88" t="s">
        <v>855</v>
      </c>
      <c r="C869" s="88"/>
      <c r="D869" s="88"/>
      <c r="E869" s="88"/>
      <c r="F869" s="88"/>
      <c r="G869" s="88"/>
      <c r="H869" s="88"/>
      <c r="I869" s="88"/>
      <c r="J869" s="88"/>
      <c r="K869" s="88"/>
      <c r="L869" s="88"/>
      <c r="M869" s="88"/>
      <c r="N869" s="88"/>
      <c r="O869" s="88"/>
      <c r="P869" s="88"/>
      <c r="Q869" s="88"/>
      <c r="R869" s="88"/>
      <c r="S869" s="88"/>
      <c r="T869" s="59">
        <v>21.5</v>
      </c>
      <c r="U869" s="59"/>
      <c r="V869" s="59"/>
      <c r="W869" s="59"/>
      <c r="X869" s="59"/>
      <c r="Y869" s="43">
        <v>21.742999999999999</v>
      </c>
      <c r="Z869" s="43"/>
      <c r="AA869" s="43"/>
      <c r="AB869" s="43"/>
      <c r="AC869" s="43"/>
      <c r="AD869" s="43">
        <v>-0.24299999999999999</v>
      </c>
      <c r="AE869" s="43"/>
      <c r="AF869" s="43"/>
      <c r="AG869" s="43"/>
      <c r="AH869" s="43"/>
      <c r="AI869" s="43"/>
      <c r="AJ869" s="9"/>
      <c r="AK869" s="10"/>
      <c r="AL869" s="11"/>
    </row>
    <row r="870" spans="1:38" ht="11.25" hidden="1" customHeight="1" outlineLevel="1" x14ac:dyDescent="0.2">
      <c r="A870" s="21">
        <v>22</v>
      </c>
      <c r="B870" s="88" t="s">
        <v>856</v>
      </c>
      <c r="C870" s="88"/>
      <c r="D870" s="88"/>
      <c r="E870" s="88"/>
      <c r="F870" s="88"/>
      <c r="G870" s="88"/>
      <c r="H870" s="88"/>
      <c r="I870" s="88"/>
      <c r="J870" s="88"/>
      <c r="K870" s="88"/>
      <c r="L870" s="88"/>
      <c r="M870" s="88"/>
      <c r="N870" s="88"/>
      <c r="O870" s="88"/>
      <c r="P870" s="88"/>
      <c r="Q870" s="88"/>
      <c r="R870" s="88"/>
      <c r="S870" s="88"/>
      <c r="T870" s="41">
        <v>5.32</v>
      </c>
      <c r="U870" s="41"/>
      <c r="V870" s="41"/>
      <c r="W870" s="41"/>
      <c r="X870" s="41"/>
      <c r="Y870" s="43">
        <v>5.3760000000000003</v>
      </c>
      <c r="Z870" s="43"/>
      <c r="AA870" s="43"/>
      <c r="AB870" s="43"/>
      <c r="AC870" s="43"/>
      <c r="AD870" s="43">
        <v>-5.6000000000000001E-2</v>
      </c>
      <c r="AE870" s="43"/>
      <c r="AF870" s="43"/>
      <c r="AG870" s="43"/>
      <c r="AH870" s="43"/>
      <c r="AI870" s="43"/>
      <c r="AJ870" s="9"/>
      <c r="AK870" s="10"/>
      <c r="AL870" s="11"/>
    </row>
    <row r="871" spans="1:38" ht="11.25" hidden="1" customHeight="1" outlineLevel="1" x14ac:dyDescent="0.2">
      <c r="A871" s="21">
        <v>23</v>
      </c>
      <c r="B871" s="88" t="s">
        <v>857</v>
      </c>
      <c r="C871" s="88"/>
      <c r="D871" s="88"/>
      <c r="E871" s="88"/>
      <c r="F871" s="88"/>
      <c r="G871" s="88"/>
      <c r="H871" s="88"/>
      <c r="I871" s="88"/>
      <c r="J871" s="88"/>
      <c r="K871" s="88"/>
      <c r="L871" s="88"/>
      <c r="M871" s="88"/>
      <c r="N871" s="88"/>
      <c r="O871" s="88"/>
      <c r="P871" s="88"/>
      <c r="Q871" s="88"/>
      <c r="R871" s="88"/>
      <c r="S871" s="88"/>
      <c r="T871" s="41">
        <v>35.21</v>
      </c>
      <c r="U871" s="41"/>
      <c r="V871" s="41"/>
      <c r="W871" s="41"/>
      <c r="X871" s="41"/>
      <c r="Y871" s="43">
        <v>35.747999999999998</v>
      </c>
      <c r="Z871" s="43"/>
      <c r="AA871" s="43"/>
      <c r="AB871" s="43"/>
      <c r="AC871" s="43"/>
      <c r="AD871" s="43">
        <v>-0.53800000000000003</v>
      </c>
      <c r="AE871" s="43"/>
      <c r="AF871" s="43"/>
      <c r="AG871" s="43"/>
      <c r="AH871" s="43"/>
      <c r="AI871" s="43"/>
      <c r="AJ871" s="9"/>
      <c r="AK871" s="10"/>
      <c r="AL871" s="11"/>
    </row>
    <row r="872" spans="1:38" ht="11.25" hidden="1" customHeight="1" outlineLevel="1" x14ac:dyDescent="0.2">
      <c r="A872" s="21">
        <v>24</v>
      </c>
      <c r="B872" s="88" t="s">
        <v>858</v>
      </c>
      <c r="C872" s="88"/>
      <c r="D872" s="88"/>
      <c r="E872" s="88"/>
      <c r="F872" s="88"/>
      <c r="G872" s="88"/>
      <c r="H872" s="88"/>
      <c r="I872" s="88"/>
      <c r="J872" s="88"/>
      <c r="K872" s="88"/>
      <c r="L872" s="88"/>
      <c r="M872" s="88"/>
      <c r="N872" s="88"/>
      <c r="O872" s="88"/>
      <c r="P872" s="88"/>
      <c r="Q872" s="88"/>
      <c r="R872" s="88"/>
      <c r="S872" s="88"/>
      <c r="T872" s="41">
        <v>15.75</v>
      </c>
      <c r="U872" s="41"/>
      <c r="V872" s="41"/>
      <c r="W872" s="41"/>
      <c r="X872" s="41"/>
      <c r="Y872" s="43">
        <v>15.964</v>
      </c>
      <c r="Z872" s="43"/>
      <c r="AA872" s="43"/>
      <c r="AB872" s="43"/>
      <c r="AC872" s="43"/>
      <c r="AD872" s="43">
        <v>-0.214</v>
      </c>
      <c r="AE872" s="43"/>
      <c r="AF872" s="43"/>
      <c r="AG872" s="43"/>
      <c r="AH872" s="43"/>
      <c r="AI872" s="43"/>
      <c r="AJ872" s="9"/>
      <c r="AK872" s="10"/>
      <c r="AL872" s="11"/>
    </row>
    <row r="873" spans="1:38" ht="11.25" hidden="1" customHeight="1" outlineLevel="1" x14ac:dyDescent="0.2">
      <c r="A873" s="21">
        <v>25</v>
      </c>
      <c r="B873" s="88" t="s">
        <v>859</v>
      </c>
      <c r="C873" s="88"/>
      <c r="D873" s="88"/>
      <c r="E873" s="88"/>
      <c r="F873" s="88"/>
      <c r="G873" s="88"/>
      <c r="H873" s="88"/>
      <c r="I873" s="88"/>
      <c r="J873" s="88"/>
      <c r="K873" s="88"/>
      <c r="L873" s="88"/>
      <c r="M873" s="88"/>
      <c r="N873" s="88"/>
      <c r="O873" s="88"/>
      <c r="P873" s="88"/>
      <c r="Q873" s="88"/>
      <c r="R873" s="88"/>
      <c r="S873" s="88"/>
      <c r="T873" s="41">
        <v>10.14</v>
      </c>
      <c r="U873" s="41"/>
      <c r="V873" s="41"/>
      <c r="W873" s="41"/>
      <c r="X873" s="41"/>
      <c r="Y873" s="43">
        <v>10.147</v>
      </c>
      <c r="Z873" s="43"/>
      <c r="AA873" s="43"/>
      <c r="AB873" s="43"/>
      <c r="AC873" s="43"/>
      <c r="AD873" s="43">
        <v>-7.0000000000000001E-3</v>
      </c>
      <c r="AE873" s="43"/>
      <c r="AF873" s="43"/>
      <c r="AG873" s="43"/>
      <c r="AH873" s="43"/>
      <c r="AI873" s="43"/>
      <c r="AJ873" s="9"/>
      <c r="AK873" s="10"/>
      <c r="AL873" s="11"/>
    </row>
    <row r="874" spans="1:38" ht="11.25" hidden="1" customHeight="1" outlineLevel="1" x14ac:dyDescent="0.2">
      <c r="A874" s="21">
        <v>26</v>
      </c>
      <c r="B874" s="88" t="s">
        <v>860</v>
      </c>
      <c r="C874" s="88"/>
      <c r="D874" s="88"/>
      <c r="E874" s="88"/>
      <c r="F874" s="88"/>
      <c r="G874" s="88"/>
      <c r="H874" s="88"/>
      <c r="I874" s="88"/>
      <c r="J874" s="88"/>
      <c r="K874" s="88"/>
      <c r="L874" s="88"/>
      <c r="M874" s="88"/>
      <c r="N874" s="88"/>
      <c r="O874" s="88"/>
      <c r="P874" s="88"/>
      <c r="Q874" s="88"/>
      <c r="R874" s="88"/>
      <c r="S874" s="88"/>
      <c r="T874" s="59">
        <v>19.899999999999999</v>
      </c>
      <c r="U874" s="59"/>
      <c r="V874" s="59"/>
      <c r="W874" s="59"/>
      <c r="X874" s="59"/>
      <c r="Y874" s="43">
        <v>20.716999999999999</v>
      </c>
      <c r="Z874" s="43"/>
      <c r="AA874" s="43"/>
      <c r="AB874" s="43"/>
      <c r="AC874" s="43"/>
      <c r="AD874" s="43">
        <v>-0.81699999999999995</v>
      </c>
      <c r="AE874" s="43"/>
      <c r="AF874" s="43"/>
      <c r="AG874" s="43"/>
      <c r="AH874" s="43"/>
      <c r="AI874" s="43"/>
      <c r="AJ874" s="9"/>
      <c r="AK874" s="10"/>
      <c r="AL874" s="11"/>
    </row>
    <row r="875" spans="1:38" ht="11.25" hidden="1" customHeight="1" outlineLevel="1" x14ac:dyDescent="0.2">
      <c r="A875" s="21">
        <v>27</v>
      </c>
      <c r="B875" s="88" t="s">
        <v>861</v>
      </c>
      <c r="C875" s="88"/>
      <c r="D875" s="88"/>
      <c r="E875" s="88"/>
      <c r="F875" s="88"/>
      <c r="G875" s="88"/>
      <c r="H875" s="88"/>
      <c r="I875" s="88"/>
      <c r="J875" s="88"/>
      <c r="K875" s="88"/>
      <c r="L875" s="88"/>
      <c r="M875" s="88"/>
      <c r="N875" s="88"/>
      <c r="O875" s="88"/>
      <c r="P875" s="88"/>
      <c r="Q875" s="88"/>
      <c r="R875" s="88"/>
      <c r="S875" s="88"/>
      <c r="T875" s="41">
        <v>18.78</v>
      </c>
      <c r="U875" s="41"/>
      <c r="V875" s="41"/>
      <c r="W875" s="41"/>
      <c r="X875" s="41"/>
      <c r="Y875" s="43">
        <v>19.396999999999998</v>
      </c>
      <c r="Z875" s="43"/>
      <c r="AA875" s="43"/>
      <c r="AB875" s="43"/>
      <c r="AC875" s="43"/>
      <c r="AD875" s="43">
        <v>-0.61699999999999999</v>
      </c>
      <c r="AE875" s="43"/>
      <c r="AF875" s="43"/>
      <c r="AG875" s="43"/>
      <c r="AH875" s="43"/>
      <c r="AI875" s="43"/>
      <c r="AJ875" s="9"/>
      <c r="AK875" s="10"/>
      <c r="AL875" s="11"/>
    </row>
    <row r="876" spans="1:38" ht="21.75" hidden="1" customHeight="1" outlineLevel="1" x14ac:dyDescent="0.2">
      <c r="A876" s="21">
        <v>28</v>
      </c>
      <c r="B876" s="88" t="s">
        <v>862</v>
      </c>
      <c r="C876" s="88"/>
      <c r="D876" s="88"/>
      <c r="E876" s="88"/>
      <c r="F876" s="88"/>
      <c r="G876" s="88"/>
      <c r="H876" s="88"/>
      <c r="I876" s="88"/>
      <c r="J876" s="88"/>
      <c r="K876" s="88"/>
      <c r="L876" s="88"/>
      <c r="M876" s="88"/>
      <c r="N876" s="88"/>
      <c r="O876" s="88"/>
      <c r="P876" s="88"/>
      <c r="Q876" s="88"/>
      <c r="R876" s="88"/>
      <c r="S876" s="88"/>
      <c r="T876" s="59">
        <v>20.2</v>
      </c>
      <c r="U876" s="59"/>
      <c r="V876" s="59"/>
      <c r="W876" s="59"/>
      <c r="X876" s="59"/>
      <c r="Y876" s="43">
        <v>20.670999999999999</v>
      </c>
      <c r="Z876" s="43"/>
      <c r="AA876" s="43"/>
      <c r="AB876" s="43"/>
      <c r="AC876" s="43"/>
      <c r="AD876" s="43">
        <v>-0.47099999999999997</v>
      </c>
      <c r="AE876" s="43"/>
      <c r="AF876" s="43"/>
      <c r="AG876" s="43"/>
      <c r="AH876" s="43"/>
      <c r="AI876" s="43"/>
      <c r="AJ876" s="9"/>
      <c r="AK876" s="10"/>
      <c r="AL876" s="11"/>
    </row>
    <row r="877" spans="1:38" ht="11.25" hidden="1" customHeight="1" outlineLevel="1" x14ac:dyDescent="0.2">
      <c r="A877" s="21">
        <v>29</v>
      </c>
      <c r="B877" s="88" t="s">
        <v>863</v>
      </c>
      <c r="C877" s="88"/>
      <c r="D877" s="88"/>
      <c r="E877" s="88"/>
      <c r="F877" s="88"/>
      <c r="G877" s="88"/>
      <c r="H877" s="88"/>
      <c r="I877" s="88"/>
      <c r="J877" s="88"/>
      <c r="K877" s="88"/>
      <c r="L877" s="88"/>
      <c r="M877" s="88"/>
      <c r="N877" s="88"/>
      <c r="O877" s="88"/>
      <c r="P877" s="88"/>
      <c r="Q877" s="88"/>
      <c r="R877" s="88"/>
      <c r="S877" s="88"/>
      <c r="T877" s="41">
        <v>19.93</v>
      </c>
      <c r="U877" s="41"/>
      <c r="V877" s="41"/>
      <c r="W877" s="41"/>
      <c r="X877" s="41"/>
      <c r="Y877" s="43">
        <v>21.219000000000001</v>
      </c>
      <c r="Z877" s="43"/>
      <c r="AA877" s="43"/>
      <c r="AB877" s="43"/>
      <c r="AC877" s="43"/>
      <c r="AD877" s="43">
        <v>-1.2889999999999999</v>
      </c>
      <c r="AE877" s="43"/>
      <c r="AF877" s="43"/>
      <c r="AG877" s="43"/>
      <c r="AH877" s="43"/>
      <c r="AI877" s="43"/>
      <c r="AJ877" s="9"/>
      <c r="AK877" s="10"/>
      <c r="AL877" s="11"/>
    </row>
    <row r="878" spans="1:38" ht="11.25" hidden="1" customHeight="1" outlineLevel="1" x14ac:dyDescent="0.2">
      <c r="A878" s="21">
        <v>30</v>
      </c>
      <c r="B878" s="88" t="s">
        <v>864</v>
      </c>
      <c r="C878" s="88"/>
      <c r="D878" s="88"/>
      <c r="E878" s="88"/>
      <c r="F878" s="88"/>
      <c r="G878" s="88"/>
      <c r="H878" s="88"/>
      <c r="I878" s="88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41">
        <v>42.78</v>
      </c>
      <c r="U878" s="41"/>
      <c r="V878" s="41"/>
      <c r="W878" s="41"/>
      <c r="X878" s="41"/>
      <c r="Y878" s="43">
        <v>43.466999999999999</v>
      </c>
      <c r="Z878" s="43"/>
      <c r="AA878" s="43"/>
      <c r="AB878" s="43"/>
      <c r="AC878" s="43"/>
      <c r="AD878" s="43">
        <v>-0.68700000000000006</v>
      </c>
      <c r="AE878" s="43"/>
      <c r="AF878" s="43"/>
      <c r="AG878" s="43"/>
      <c r="AH878" s="43"/>
      <c r="AI878" s="43"/>
      <c r="AJ878" s="9"/>
      <c r="AK878" s="10"/>
      <c r="AL878" s="11"/>
    </row>
    <row r="879" spans="1:38" ht="11.25" hidden="1" customHeight="1" outlineLevel="1" x14ac:dyDescent="0.2">
      <c r="A879" s="21">
        <v>31</v>
      </c>
      <c r="B879" s="88" t="s">
        <v>865</v>
      </c>
      <c r="C879" s="88"/>
      <c r="D879" s="88"/>
      <c r="E879" s="88"/>
      <c r="F879" s="88"/>
      <c r="G879" s="88"/>
      <c r="H879" s="88"/>
      <c r="I879" s="88"/>
      <c r="J879" s="88"/>
      <c r="K879" s="88"/>
      <c r="L879" s="88"/>
      <c r="M879" s="88"/>
      <c r="N879" s="88"/>
      <c r="O879" s="88"/>
      <c r="P879" s="88"/>
      <c r="Q879" s="88"/>
      <c r="R879" s="88"/>
      <c r="S879" s="88"/>
      <c r="T879" s="59">
        <v>5.5</v>
      </c>
      <c r="U879" s="59"/>
      <c r="V879" s="59"/>
      <c r="W879" s="59"/>
      <c r="X879" s="59"/>
      <c r="Y879" s="59">
        <v>6.5</v>
      </c>
      <c r="Z879" s="59"/>
      <c r="AA879" s="59"/>
      <c r="AB879" s="59"/>
      <c r="AC879" s="59"/>
      <c r="AD879" s="58">
        <v>-1</v>
      </c>
      <c r="AE879" s="58"/>
      <c r="AF879" s="58"/>
      <c r="AG879" s="58"/>
      <c r="AH879" s="58"/>
      <c r="AI879" s="58"/>
      <c r="AJ879" s="9"/>
      <c r="AK879" s="10"/>
      <c r="AL879" s="11"/>
    </row>
    <row r="880" spans="1:38" ht="11.25" hidden="1" customHeight="1" outlineLevel="1" x14ac:dyDescent="0.2">
      <c r="A880" s="21">
        <v>32</v>
      </c>
      <c r="B880" s="88" t="s">
        <v>866</v>
      </c>
      <c r="C880" s="88"/>
      <c r="D880" s="88"/>
      <c r="E880" s="88"/>
      <c r="F880" s="88"/>
      <c r="G880" s="88"/>
      <c r="H880" s="88"/>
      <c r="I880" s="88"/>
      <c r="J880" s="88"/>
      <c r="K880" s="88"/>
      <c r="L880" s="88"/>
      <c r="M880" s="88"/>
      <c r="N880" s="88"/>
      <c r="O880" s="88"/>
      <c r="P880" s="88"/>
      <c r="Q880" s="88"/>
      <c r="R880" s="88"/>
      <c r="S880" s="88"/>
      <c r="T880" s="41">
        <v>8.5500000000000007</v>
      </c>
      <c r="U880" s="41"/>
      <c r="V880" s="41"/>
      <c r="W880" s="41"/>
      <c r="X880" s="41"/>
      <c r="Y880" s="43">
        <v>8.8010000000000002</v>
      </c>
      <c r="Z880" s="43"/>
      <c r="AA880" s="43"/>
      <c r="AB880" s="43"/>
      <c r="AC880" s="43"/>
      <c r="AD880" s="43">
        <v>-0.251</v>
      </c>
      <c r="AE880" s="43"/>
      <c r="AF880" s="43"/>
      <c r="AG880" s="43"/>
      <c r="AH880" s="43"/>
      <c r="AI880" s="43"/>
      <c r="AJ880" s="9"/>
      <c r="AK880" s="10"/>
      <c r="AL880" s="11"/>
    </row>
    <row r="881" spans="1:38" ht="11.25" hidden="1" customHeight="1" outlineLevel="1" x14ac:dyDescent="0.2">
      <c r="A881" s="21">
        <v>33</v>
      </c>
      <c r="B881" s="88" t="s">
        <v>867</v>
      </c>
      <c r="C881" s="88"/>
      <c r="D881" s="88"/>
      <c r="E881" s="88"/>
      <c r="F881" s="88"/>
      <c r="G881" s="88"/>
      <c r="H881" s="88"/>
      <c r="I881" s="88"/>
      <c r="J881" s="88"/>
      <c r="K881" s="88"/>
      <c r="L881" s="88"/>
      <c r="M881" s="88"/>
      <c r="N881" s="88"/>
      <c r="O881" s="88"/>
      <c r="P881" s="88"/>
      <c r="Q881" s="88"/>
      <c r="R881" s="88"/>
      <c r="S881" s="88"/>
      <c r="T881" s="59">
        <v>121.5</v>
      </c>
      <c r="U881" s="59"/>
      <c r="V881" s="59"/>
      <c r="W881" s="59"/>
      <c r="X881" s="59"/>
      <c r="Y881" s="59">
        <v>121.7</v>
      </c>
      <c r="Z881" s="59"/>
      <c r="AA881" s="59"/>
      <c r="AB881" s="59"/>
      <c r="AC881" s="59"/>
      <c r="AD881" s="59">
        <v>-0.2</v>
      </c>
      <c r="AE881" s="59"/>
      <c r="AF881" s="59"/>
      <c r="AG881" s="59"/>
      <c r="AH881" s="59"/>
      <c r="AI881" s="59"/>
      <c r="AJ881" s="9"/>
      <c r="AK881" s="10"/>
      <c r="AL881" s="11"/>
    </row>
    <row r="882" spans="1:38" ht="11.25" hidden="1" customHeight="1" outlineLevel="1" x14ac:dyDescent="0.2">
      <c r="A882" s="21">
        <v>34</v>
      </c>
      <c r="B882" s="88" t="s">
        <v>868</v>
      </c>
      <c r="C882" s="88"/>
      <c r="D882" s="88"/>
      <c r="E882" s="88"/>
      <c r="F882" s="88"/>
      <c r="G882" s="88"/>
      <c r="H882" s="88"/>
      <c r="I882" s="88"/>
      <c r="J882" s="88"/>
      <c r="K882" s="88"/>
      <c r="L882" s="88"/>
      <c r="M882" s="88"/>
      <c r="N882" s="88"/>
      <c r="O882" s="88"/>
      <c r="P882" s="88"/>
      <c r="Q882" s="88"/>
      <c r="R882" s="88"/>
      <c r="S882" s="88"/>
      <c r="T882" s="41">
        <v>4.6500000000000004</v>
      </c>
      <c r="U882" s="41"/>
      <c r="V882" s="41"/>
      <c r="W882" s="41"/>
      <c r="X882" s="41"/>
      <c r="Y882" s="41">
        <v>4.6500000000000004</v>
      </c>
      <c r="Z882" s="41"/>
      <c r="AA882" s="41"/>
      <c r="AB882" s="41"/>
      <c r="AC882" s="41"/>
      <c r="AD882" s="12"/>
      <c r="AE882" s="13"/>
      <c r="AF882" s="13"/>
      <c r="AG882" s="13"/>
      <c r="AH882" s="13"/>
      <c r="AI882" s="14"/>
      <c r="AJ882" s="9"/>
      <c r="AK882" s="10"/>
      <c r="AL882" s="11"/>
    </row>
    <row r="883" spans="1:38" ht="11.25" hidden="1" customHeight="1" outlineLevel="1" x14ac:dyDescent="0.2">
      <c r="A883" s="21">
        <v>35</v>
      </c>
      <c r="B883" s="88" t="s">
        <v>869</v>
      </c>
      <c r="C883" s="88"/>
      <c r="D883" s="88"/>
      <c r="E883" s="88"/>
      <c r="F883" s="88"/>
      <c r="G883" s="88"/>
      <c r="H883" s="88"/>
      <c r="I883" s="88"/>
      <c r="J883" s="88"/>
      <c r="K883" s="88"/>
      <c r="L883" s="88"/>
      <c r="M883" s="88"/>
      <c r="N883" s="88"/>
      <c r="O883" s="88"/>
      <c r="P883" s="88"/>
      <c r="Q883" s="88"/>
      <c r="R883" s="88"/>
      <c r="S883" s="88"/>
      <c r="T883" s="58">
        <v>44</v>
      </c>
      <c r="U883" s="58"/>
      <c r="V883" s="58"/>
      <c r="W883" s="58"/>
      <c r="X883" s="58"/>
      <c r="Y883" s="43">
        <v>46.235999999999997</v>
      </c>
      <c r="Z883" s="43"/>
      <c r="AA883" s="43"/>
      <c r="AB883" s="43"/>
      <c r="AC883" s="43"/>
      <c r="AD883" s="43">
        <v>-2.2360000000000002</v>
      </c>
      <c r="AE883" s="43"/>
      <c r="AF883" s="43"/>
      <c r="AG883" s="43"/>
      <c r="AH883" s="43"/>
      <c r="AI883" s="43"/>
      <c r="AJ883" s="9"/>
      <c r="AK883" s="10"/>
      <c r="AL883" s="11"/>
    </row>
    <row r="884" spans="1:38" ht="11.25" hidden="1" customHeight="1" outlineLevel="1" x14ac:dyDescent="0.2">
      <c r="A884" s="21">
        <v>36</v>
      </c>
      <c r="B884" s="88" t="s">
        <v>870</v>
      </c>
      <c r="C884" s="88"/>
      <c r="D884" s="88"/>
      <c r="E884" s="88"/>
      <c r="F884" s="88"/>
      <c r="G884" s="88"/>
      <c r="H884" s="88"/>
      <c r="I884" s="88"/>
      <c r="J884" s="88"/>
      <c r="K884" s="88"/>
      <c r="L884" s="88"/>
      <c r="M884" s="88"/>
      <c r="N884" s="88"/>
      <c r="O884" s="88"/>
      <c r="P884" s="88"/>
      <c r="Q884" s="88"/>
      <c r="R884" s="88"/>
      <c r="S884" s="88"/>
      <c r="T884" s="41">
        <v>10.88</v>
      </c>
      <c r="U884" s="41"/>
      <c r="V884" s="41"/>
      <c r="W884" s="41"/>
      <c r="X884" s="41"/>
      <c r="Y884" s="41">
        <v>10.88</v>
      </c>
      <c r="Z884" s="41"/>
      <c r="AA884" s="41"/>
      <c r="AB884" s="41"/>
      <c r="AC884" s="41"/>
      <c r="AD884" s="12"/>
      <c r="AE884" s="13"/>
      <c r="AF884" s="13"/>
      <c r="AG884" s="13"/>
      <c r="AH884" s="13"/>
      <c r="AI884" s="14"/>
      <c r="AJ884" s="9"/>
      <c r="AK884" s="10"/>
      <c r="AL884" s="11"/>
    </row>
    <row r="885" spans="1:38" ht="11.25" hidden="1" customHeight="1" outlineLevel="1" x14ac:dyDescent="0.2">
      <c r="A885" s="21">
        <v>37</v>
      </c>
      <c r="B885" s="88" t="s">
        <v>871</v>
      </c>
      <c r="C885" s="88"/>
      <c r="D885" s="88"/>
      <c r="E885" s="88"/>
      <c r="F885" s="88"/>
      <c r="G885" s="88"/>
      <c r="H885" s="88"/>
      <c r="I885" s="88"/>
      <c r="J885" s="88"/>
      <c r="K885" s="88"/>
      <c r="L885" s="88"/>
      <c r="M885" s="88"/>
      <c r="N885" s="88"/>
      <c r="O885" s="88"/>
      <c r="P885" s="88"/>
      <c r="Q885" s="88"/>
      <c r="R885" s="88"/>
      <c r="S885" s="88"/>
      <c r="T885" s="59">
        <v>1.6</v>
      </c>
      <c r="U885" s="59"/>
      <c r="V885" s="59"/>
      <c r="W885" s="59"/>
      <c r="X885" s="59"/>
      <c r="Y885" s="59">
        <v>1.6</v>
      </c>
      <c r="Z885" s="59"/>
      <c r="AA885" s="59"/>
      <c r="AB885" s="59"/>
      <c r="AC885" s="59"/>
      <c r="AD885" s="12"/>
      <c r="AE885" s="13"/>
      <c r="AF885" s="13"/>
      <c r="AG885" s="13"/>
      <c r="AH885" s="13"/>
      <c r="AI885" s="14"/>
      <c r="AJ885" s="9"/>
      <c r="AK885" s="10"/>
      <c r="AL885" s="11"/>
    </row>
    <row r="886" spans="1:38" ht="11.25" hidden="1" customHeight="1" outlineLevel="1" x14ac:dyDescent="0.2">
      <c r="A886" s="21">
        <v>38</v>
      </c>
      <c r="B886" s="88" t="s">
        <v>872</v>
      </c>
      <c r="C886" s="88"/>
      <c r="D886" s="88"/>
      <c r="E886" s="88"/>
      <c r="F886" s="88"/>
      <c r="G886" s="88"/>
      <c r="H886" s="88"/>
      <c r="I886" s="88"/>
      <c r="J886" s="88"/>
      <c r="K886" s="88"/>
      <c r="L886" s="88"/>
      <c r="M886" s="88"/>
      <c r="N886" s="88"/>
      <c r="O886" s="88"/>
      <c r="P886" s="88"/>
      <c r="Q886" s="88"/>
      <c r="R886" s="88"/>
      <c r="S886" s="88"/>
      <c r="T886" s="59">
        <v>1.6</v>
      </c>
      <c r="U886" s="59"/>
      <c r="V886" s="59"/>
      <c r="W886" s="59"/>
      <c r="X886" s="59"/>
      <c r="Y886" s="59">
        <v>1.6</v>
      </c>
      <c r="Z886" s="59"/>
      <c r="AA886" s="59"/>
      <c r="AB886" s="59"/>
      <c r="AC886" s="59"/>
      <c r="AD886" s="12"/>
      <c r="AE886" s="13"/>
      <c r="AF886" s="13"/>
      <c r="AG886" s="13"/>
      <c r="AH886" s="13"/>
      <c r="AI886" s="14"/>
      <c r="AJ886" s="9"/>
      <c r="AK886" s="10"/>
      <c r="AL886" s="11"/>
    </row>
    <row r="887" spans="1:38" ht="11.25" hidden="1" customHeight="1" outlineLevel="1" x14ac:dyDescent="0.2">
      <c r="A887" s="21">
        <v>39</v>
      </c>
      <c r="B887" s="88" t="s">
        <v>873</v>
      </c>
      <c r="C887" s="88"/>
      <c r="D887" s="88"/>
      <c r="E887" s="88"/>
      <c r="F887" s="88"/>
      <c r="G887" s="88"/>
      <c r="H887" s="88"/>
      <c r="I887" s="88"/>
      <c r="J887" s="88"/>
      <c r="K887" s="88"/>
      <c r="L887" s="88"/>
      <c r="M887" s="88"/>
      <c r="N887" s="88"/>
      <c r="O887" s="88"/>
      <c r="P887" s="88"/>
      <c r="Q887" s="88"/>
      <c r="R887" s="88"/>
      <c r="S887" s="88"/>
      <c r="T887" s="59">
        <v>1.3</v>
      </c>
      <c r="U887" s="59"/>
      <c r="V887" s="59"/>
      <c r="W887" s="59"/>
      <c r="X887" s="59"/>
      <c r="Y887" s="59">
        <v>1.3</v>
      </c>
      <c r="Z887" s="59"/>
      <c r="AA887" s="59"/>
      <c r="AB887" s="59"/>
      <c r="AC887" s="59"/>
      <c r="AD887" s="12"/>
      <c r="AE887" s="13"/>
      <c r="AF887" s="13"/>
      <c r="AG887" s="13"/>
      <c r="AH887" s="13"/>
      <c r="AI887" s="14"/>
      <c r="AJ887" s="9"/>
      <c r="AK887" s="10"/>
      <c r="AL887" s="11"/>
    </row>
    <row r="888" spans="1:38" ht="12.75" hidden="1" customHeight="1" x14ac:dyDescent="0.2">
      <c r="A888" s="52" t="s">
        <v>6</v>
      </c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4">
        <v>19617.499</v>
      </c>
      <c r="U888" s="54"/>
      <c r="V888" s="54"/>
      <c r="W888" s="54"/>
      <c r="X888" s="54"/>
      <c r="Y888" s="54">
        <v>19550.260999999999</v>
      </c>
      <c r="Z888" s="54"/>
      <c r="AA888" s="54"/>
      <c r="AB888" s="54"/>
      <c r="AC888" s="54"/>
      <c r="AD888" s="55">
        <v>67.238</v>
      </c>
      <c r="AE888" s="55"/>
      <c r="AF888" s="55"/>
      <c r="AG888" s="55"/>
      <c r="AH888" s="55"/>
      <c r="AI888" s="55"/>
      <c r="AJ888" s="55">
        <v>516.74199999999996</v>
      </c>
      <c r="AK888" s="55"/>
      <c r="AL888" s="55"/>
    </row>
    <row r="889" spans="1:38" ht="10.15" hidden="1" customHeight="1" x14ac:dyDescent="0.2"/>
    <row r="890" spans="1:38" ht="12.75" hidden="1" customHeight="1" x14ac:dyDescent="0.2">
      <c r="A890" s="45" t="s">
        <v>348</v>
      </c>
      <c r="B890" s="45"/>
      <c r="C890" s="45"/>
      <c r="D890" s="45"/>
      <c r="E890" s="45"/>
      <c r="F890" s="45" t="s">
        <v>874</v>
      </c>
      <c r="G890" s="45"/>
      <c r="H890" s="45"/>
      <c r="I890" s="45"/>
      <c r="J890" s="45"/>
      <c r="K890" s="45"/>
      <c r="L890" s="45"/>
      <c r="M890" s="53" t="s">
        <v>7</v>
      </c>
      <c r="N890" s="53"/>
      <c r="O890" s="53"/>
      <c r="P890" s="53"/>
      <c r="Q890" s="53"/>
      <c r="R890" s="53"/>
      <c r="S890" s="53" t="s">
        <v>8</v>
      </c>
      <c r="T890" s="53"/>
      <c r="U890" s="53"/>
      <c r="V890" s="53"/>
      <c r="W890" s="53"/>
      <c r="X890" s="53"/>
      <c r="Y890" s="53"/>
      <c r="Z890" s="53" t="s">
        <v>9</v>
      </c>
      <c r="AA890" s="53"/>
      <c r="AB890" s="53"/>
      <c r="AC890" s="53"/>
      <c r="AD890" s="53"/>
      <c r="AE890" s="45" t="s">
        <v>10</v>
      </c>
      <c r="AF890" s="45"/>
      <c r="AG890" s="45"/>
      <c r="AH890" s="45"/>
    </row>
    <row r="891" spans="1:38" ht="24.75" hidden="1" customHeight="1" x14ac:dyDescent="0.2">
      <c r="A891" s="49"/>
      <c r="B891" s="50"/>
      <c r="C891" s="50"/>
      <c r="D891" s="50"/>
      <c r="E891" s="51"/>
      <c r="F891" s="49"/>
      <c r="G891" s="50"/>
      <c r="H891" s="50"/>
      <c r="I891" s="50"/>
      <c r="J891" s="50"/>
      <c r="K891" s="50"/>
      <c r="L891" s="51"/>
      <c r="M891" s="53" t="s">
        <v>11</v>
      </c>
      <c r="N891" s="53"/>
      <c r="O891" s="53"/>
      <c r="P891" s="53"/>
      <c r="Q891" s="53"/>
      <c r="R891" s="53"/>
      <c r="S891" s="53" t="s">
        <v>12</v>
      </c>
      <c r="T891" s="53"/>
      <c r="U891" s="53"/>
      <c r="V891" s="53"/>
      <c r="W891" s="53"/>
      <c r="X891" s="53"/>
      <c r="Y891" s="53"/>
      <c r="Z891" s="53" t="s">
        <v>13</v>
      </c>
      <c r="AA891" s="53"/>
      <c r="AB891" s="53"/>
      <c r="AC891" s="53"/>
      <c r="AD891" s="53"/>
      <c r="AE891" s="49"/>
      <c r="AF891" s="50"/>
      <c r="AG891" s="50"/>
      <c r="AH891" s="51"/>
    </row>
    <row r="892" spans="1:38" ht="11.25" hidden="1" customHeight="1" x14ac:dyDescent="0.2">
      <c r="A892" s="22"/>
      <c r="B892" s="23"/>
      <c r="C892" s="23"/>
      <c r="D892" s="23"/>
      <c r="E892" s="24"/>
      <c r="F892" s="22"/>
      <c r="G892" s="23"/>
      <c r="H892" s="23"/>
      <c r="I892" s="23"/>
      <c r="J892" s="23"/>
      <c r="K892" s="23"/>
      <c r="L892" s="24"/>
      <c r="M892" s="41">
        <v>1.65</v>
      </c>
      <c r="N892" s="41"/>
      <c r="O892" s="41"/>
      <c r="P892" s="41"/>
      <c r="Q892" s="41"/>
      <c r="R892" s="41"/>
      <c r="S892" s="12"/>
      <c r="T892" s="13"/>
      <c r="U892" s="13"/>
      <c r="V892" s="13"/>
      <c r="W892" s="13"/>
      <c r="X892" s="13"/>
      <c r="Y892" s="14"/>
      <c r="Z892" s="41">
        <v>1.65</v>
      </c>
      <c r="AA892" s="41"/>
      <c r="AB892" s="41"/>
      <c r="AC892" s="41"/>
      <c r="AD892" s="41"/>
      <c r="AE892" s="41">
        <v>1.65</v>
      </c>
      <c r="AF892" s="41"/>
      <c r="AG892" s="41"/>
      <c r="AH892" s="41"/>
    </row>
    <row r="893" spans="1:38" ht="11.25" hidden="1" customHeight="1" x14ac:dyDescent="0.2">
      <c r="A893" s="22"/>
      <c r="B893" s="23"/>
      <c r="C893" s="23"/>
      <c r="D893" s="23"/>
      <c r="E893" s="24"/>
      <c r="F893" s="22"/>
      <c r="G893" s="23"/>
      <c r="H893" s="23"/>
      <c r="I893" s="23"/>
      <c r="J893" s="23"/>
      <c r="K893" s="23"/>
      <c r="L893" s="24"/>
      <c r="M893" s="41">
        <v>34.15</v>
      </c>
      <c r="N893" s="41"/>
      <c r="O893" s="41"/>
      <c r="P893" s="41"/>
      <c r="Q893" s="41"/>
      <c r="R893" s="41"/>
      <c r="S893" s="12"/>
      <c r="T893" s="13"/>
      <c r="U893" s="13"/>
      <c r="V893" s="13"/>
      <c r="W893" s="13"/>
      <c r="X893" s="13"/>
      <c r="Y893" s="14"/>
      <c r="Z893" s="41">
        <v>34.15</v>
      </c>
      <c r="AA893" s="41"/>
      <c r="AB893" s="41"/>
      <c r="AC893" s="41"/>
      <c r="AD893" s="41"/>
      <c r="AE893" s="41">
        <v>34.15</v>
      </c>
      <c r="AF893" s="41"/>
      <c r="AG893" s="41"/>
      <c r="AH893" s="41"/>
    </row>
    <row r="894" spans="1:38" ht="11.25" hidden="1" customHeight="1" x14ac:dyDescent="0.2">
      <c r="A894" s="39" t="s">
        <v>362</v>
      </c>
      <c r="B894" s="39"/>
      <c r="C894" s="39"/>
      <c r="D894" s="39"/>
      <c r="E894" s="39"/>
      <c r="F894" s="39" t="s">
        <v>875</v>
      </c>
      <c r="G894" s="39"/>
      <c r="H894" s="39"/>
      <c r="I894" s="39"/>
      <c r="J894" s="39"/>
      <c r="K894" s="39"/>
      <c r="L894" s="39"/>
      <c r="M894" s="40">
        <v>2821.32</v>
      </c>
      <c r="N894" s="40"/>
      <c r="O894" s="40"/>
      <c r="P894" s="40"/>
      <c r="Q894" s="40"/>
      <c r="R894" s="40"/>
      <c r="S894" s="40">
        <v>2842.85</v>
      </c>
      <c r="T894" s="40"/>
      <c r="U894" s="40"/>
      <c r="V894" s="40"/>
      <c r="W894" s="40"/>
      <c r="X894" s="40"/>
      <c r="Y894" s="40"/>
      <c r="Z894" s="41">
        <v>-21.53</v>
      </c>
      <c r="AA894" s="41"/>
      <c r="AB894" s="41"/>
      <c r="AC894" s="41"/>
      <c r="AD894" s="41"/>
      <c r="AE894" s="43">
        <v>37.776000000000003</v>
      </c>
      <c r="AF894" s="43"/>
      <c r="AG894" s="43"/>
      <c r="AH894" s="43"/>
    </row>
    <row r="895" spans="1:38" ht="11.25" hidden="1" customHeight="1" x14ac:dyDescent="0.2">
      <c r="A895" s="39" t="s">
        <v>365</v>
      </c>
      <c r="B895" s="39"/>
      <c r="C895" s="39"/>
      <c r="D895" s="39"/>
      <c r="E895" s="39"/>
      <c r="F895" s="39" t="s">
        <v>876</v>
      </c>
      <c r="G895" s="39"/>
      <c r="H895" s="39"/>
      <c r="I895" s="39"/>
      <c r="J895" s="39"/>
      <c r="K895" s="39"/>
      <c r="L895" s="39"/>
      <c r="M895" s="40">
        <v>1046.8599999999999</v>
      </c>
      <c r="N895" s="40"/>
      <c r="O895" s="40"/>
      <c r="P895" s="40"/>
      <c r="Q895" s="40"/>
      <c r="R895" s="40"/>
      <c r="S895" s="56">
        <v>1032.7159999999999</v>
      </c>
      <c r="T895" s="56"/>
      <c r="U895" s="56"/>
      <c r="V895" s="56"/>
      <c r="W895" s="56"/>
      <c r="X895" s="56"/>
      <c r="Y895" s="56"/>
      <c r="Z895" s="43">
        <v>14.144</v>
      </c>
      <c r="AA895" s="43"/>
      <c r="AB895" s="43"/>
      <c r="AC895" s="43"/>
      <c r="AD895" s="43"/>
      <c r="AE895" s="43">
        <v>40.009</v>
      </c>
      <c r="AF895" s="43"/>
      <c r="AG895" s="43"/>
      <c r="AH895" s="43"/>
    </row>
    <row r="896" spans="1:38" ht="11.25" hidden="1" customHeight="1" x14ac:dyDescent="0.2">
      <c r="A896" s="39" t="s">
        <v>396</v>
      </c>
      <c r="B896" s="39"/>
      <c r="C896" s="39"/>
      <c r="D896" s="39"/>
      <c r="E896" s="39"/>
      <c r="F896" s="39" t="s">
        <v>877</v>
      </c>
      <c r="G896" s="39"/>
      <c r="H896" s="39"/>
      <c r="I896" s="39"/>
      <c r="J896" s="39"/>
      <c r="K896" s="39"/>
      <c r="L896" s="39"/>
      <c r="M896" s="40">
        <v>1139.55</v>
      </c>
      <c r="N896" s="40"/>
      <c r="O896" s="40"/>
      <c r="P896" s="40"/>
      <c r="Q896" s="40"/>
      <c r="R896" s="40"/>
      <c r="S896" s="56">
        <v>1116.6410000000001</v>
      </c>
      <c r="T896" s="56"/>
      <c r="U896" s="56"/>
      <c r="V896" s="56"/>
      <c r="W896" s="56"/>
      <c r="X896" s="56"/>
      <c r="Y896" s="56"/>
      <c r="Z896" s="43">
        <v>22.908999999999999</v>
      </c>
      <c r="AA896" s="43"/>
      <c r="AB896" s="43"/>
      <c r="AC896" s="43"/>
      <c r="AD896" s="43"/>
      <c r="AE896" s="43">
        <v>46.816000000000003</v>
      </c>
      <c r="AF896" s="43"/>
      <c r="AG896" s="43"/>
      <c r="AH896" s="43"/>
    </row>
    <row r="897" spans="1:34" ht="11.25" hidden="1" customHeight="1" x14ac:dyDescent="0.2">
      <c r="A897" s="39" t="s">
        <v>422</v>
      </c>
      <c r="B897" s="39"/>
      <c r="C897" s="39"/>
      <c r="D897" s="39"/>
      <c r="E897" s="39"/>
      <c r="F897" s="39" t="s">
        <v>878</v>
      </c>
      <c r="G897" s="39"/>
      <c r="H897" s="39"/>
      <c r="I897" s="39"/>
      <c r="J897" s="39"/>
      <c r="K897" s="39"/>
      <c r="L897" s="39"/>
      <c r="M897" s="56">
        <v>1221.076</v>
      </c>
      <c r="N897" s="56"/>
      <c r="O897" s="56"/>
      <c r="P897" s="56"/>
      <c r="Q897" s="56"/>
      <c r="R897" s="56"/>
      <c r="S897" s="56">
        <v>1227.386</v>
      </c>
      <c r="T897" s="56"/>
      <c r="U897" s="56"/>
      <c r="V897" s="56"/>
      <c r="W897" s="56"/>
      <c r="X897" s="56"/>
      <c r="Y897" s="56"/>
      <c r="Z897" s="41">
        <v>-6.31</v>
      </c>
      <c r="AA897" s="41"/>
      <c r="AB897" s="41"/>
      <c r="AC897" s="41"/>
      <c r="AD897" s="41"/>
      <c r="AE897" s="43">
        <v>30.396999999999998</v>
      </c>
      <c r="AF897" s="43"/>
      <c r="AG897" s="43"/>
      <c r="AH897" s="43"/>
    </row>
    <row r="898" spans="1:34" ht="11.25" hidden="1" customHeight="1" x14ac:dyDescent="0.2">
      <c r="A898" s="39" t="s">
        <v>463</v>
      </c>
      <c r="B898" s="39"/>
      <c r="C898" s="39"/>
      <c r="D898" s="39"/>
      <c r="E898" s="39"/>
      <c r="F898" s="39" t="s">
        <v>879</v>
      </c>
      <c r="G898" s="39"/>
      <c r="H898" s="39"/>
      <c r="I898" s="39"/>
      <c r="J898" s="39"/>
      <c r="K898" s="39"/>
      <c r="L898" s="39"/>
      <c r="M898" s="40">
        <v>1047.57</v>
      </c>
      <c r="N898" s="40"/>
      <c r="O898" s="40"/>
      <c r="P898" s="40"/>
      <c r="Q898" s="40"/>
      <c r="R898" s="40"/>
      <c r="S898" s="56">
        <v>1044.729</v>
      </c>
      <c r="T898" s="56"/>
      <c r="U898" s="56"/>
      <c r="V898" s="56"/>
      <c r="W898" s="56"/>
      <c r="X898" s="56"/>
      <c r="Y898" s="56"/>
      <c r="Z898" s="43">
        <v>2.8410000000000002</v>
      </c>
      <c r="AA898" s="43"/>
      <c r="AB898" s="43"/>
      <c r="AC898" s="43"/>
      <c r="AD898" s="43"/>
      <c r="AE898" s="43">
        <v>21.265000000000001</v>
      </c>
      <c r="AF898" s="43"/>
      <c r="AG898" s="43"/>
      <c r="AH898" s="43"/>
    </row>
    <row r="899" spans="1:34" ht="11.25" hidden="1" customHeight="1" x14ac:dyDescent="0.2">
      <c r="A899" s="39" t="s">
        <v>472</v>
      </c>
      <c r="B899" s="39"/>
      <c r="C899" s="39"/>
      <c r="D899" s="39"/>
      <c r="E899" s="39"/>
      <c r="F899" s="39" t="s">
        <v>880</v>
      </c>
      <c r="G899" s="39"/>
      <c r="H899" s="39"/>
      <c r="I899" s="39"/>
      <c r="J899" s="39"/>
      <c r="K899" s="39"/>
      <c r="L899" s="39"/>
      <c r="M899" s="56">
        <v>1012.436</v>
      </c>
      <c r="N899" s="56"/>
      <c r="O899" s="56"/>
      <c r="P899" s="56"/>
      <c r="Q899" s="56"/>
      <c r="R899" s="56"/>
      <c r="S899" s="43">
        <v>991.07899999999995</v>
      </c>
      <c r="T899" s="43"/>
      <c r="U899" s="43"/>
      <c r="V899" s="43"/>
      <c r="W899" s="43"/>
      <c r="X899" s="43"/>
      <c r="Y899" s="43"/>
      <c r="Z899" s="43">
        <v>21.356999999999999</v>
      </c>
      <c r="AA899" s="43"/>
      <c r="AB899" s="43"/>
      <c r="AC899" s="43"/>
      <c r="AD899" s="43"/>
      <c r="AE899" s="43">
        <v>40.368000000000002</v>
      </c>
      <c r="AF899" s="43"/>
      <c r="AG899" s="43"/>
      <c r="AH899" s="43"/>
    </row>
    <row r="900" spans="1:34" ht="11.25" hidden="1" customHeight="1" x14ac:dyDescent="0.2">
      <c r="A900" s="39" t="s">
        <v>505</v>
      </c>
      <c r="B900" s="39"/>
      <c r="C900" s="39"/>
      <c r="D900" s="39"/>
      <c r="E900" s="39"/>
      <c r="F900" s="39" t="s">
        <v>881</v>
      </c>
      <c r="G900" s="39"/>
      <c r="H900" s="39"/>
      <c r="I900" s="39"/>
      <c r="J900" s="39"/>
      <c r="K900" s="39"/>
      <c r="L900" s="39"/>
      <c r="M900" s="43">
        <v>704.98400000000004</v>
      </c>
      <c r="N900" s="43"/>
      <c r="O900" s="43"/>
      <c r="P900" s="43"/>
      <c r="Q900" s="43"/>
      <c r="R900" s="43"/>
      <c r="S900" s="43">
        <v>686.50400000000002</v>
      </c>
      <c r="T900" s="43"/>
      <c r="U900" s="43"/>
      <c r="V900" s="43"/>
      <c r="W900" s="43"/>
      <c r="X900" s="43"/>
      <c r="Y900" s="43"/>
      <c r="Z900" s="41">
        <v>18.48</v>
      </c>
      <c r="AA900" s="41"/>
      <c r="AB900" s="41"/>
      <c r="AC900" s="41"/>
      <c r="AD900" s="41"/>
      <c r="AE900" s="43">
        <v>29.670999999999999</v>
      </c>
      <c r="AF900" s="43"/>
      <c r="AG900" s="43"/>
      <c r="AH900" s="43"/>
    </row>
    <row r="901" spans="1:34" ht="11.25" hidden="1" customHeight="1" x14ac:dyDescent="0.2">
      <c r="A901" s="39" t="s">
        <v>525</v>
      </c>
      <c r="B901" s="39"/>
      <c r="C901" s="39"/>
      <c r="D901" s="39"/>
      <c r="E901" s="39"/>
      <c r="F901" s="39" t="s">
        <v>882</v>
      </c>
      <c r="G901" s="39"/>
      <c r="H901" s="39"/>
      <c r="I901" s="39"/>
      <c r="J901" s="39"/>
      <c r="K901" s="39"/>
      <c r="L901" s="39"/>
      <c r="M901" s="40">
        <v>1064.99</v>
      </c>
      <c r="N901" s="40"/>
      <c r="O901" s="40"/>
      <c r="P901" s="40"/>
      <c r="Q901" s="40"/>
      <c r="R901" s="40"/>
      <c r="S901" s="56">
        <v>1085.6179999999999</v>
      </c>
      <c r="T901" s="56"/>
      <c r="U901" s="56"/>
      <c r="V901" s="56"/>
      <c r="W901" s="56"/>
      <c r="X901" s="56"/>
      <c r="Y901" s="56"/>
      <c r="Z901" s="43">
        <v>-20.628</v>
      </c>
      <c r="AA901" s="43"/>
      <c r="AB901" s="43"/>
      <c r="AC901" s="43"/>
      <c r="AD901" s="43"/>
      <c r="AE901" s="43">
        <v>11.997999999999999</v>
      </c>
      <c r="AF901" s="43"/>
      <c r="AG901" s="43"/>
      <c r="AH901" s="43"/>
    </row>
    <row r="902" spans="1:34" ht="11.25" hidden="1" customHeight="1" x14ac:dyDescent="0.2">
      <c r="A902" s="39" t="s">
        <v>577</v>
      </c>
      <c r="B902" s="39"/>
      <c r="C902" s="39"/>
      <c r="D902" s="39"/>
      <c r="E902" s="39"/>
      <c r="F902" s="39" t="s">
        <v>883</v>
      </c>
      <c r="G902" s="39"/>
      <c r="H902" s="39"/>
      <c r="I902" s="39"/>
      <c r="J902" s="39"/>
      <c r="K902" s="39"/>
      <c r="L902" s="39"/>
      <c r="M902" s="43">
        <v>843.52499999999998</v>
      </c>
      <c r="N902" s="43"/>
      <c r="O902" s="43"/>
      <c r="P902" s="43"/>
      <c r="Q902" s="43"/>
      <c r="R902" s="43"/>
      <c r="S902" s="43">
        <v>849.20299999999997</v>
      </c>
      <c r="T902" s="43"/>
      <c r="U902" s="43"/>
      <c r="V902" s="43"/>
      <c r="W902" s="43"/>
      <c r="X902" s="43"/>
      <c r="Y902" s="43"/>
      <c r="Z902" s="43">
        <v>-5.6779999999999999</v>
      </c>
      <c r="AA902" s="43"/>
      <c r="AB902" s="43"/>
      <c r="AC902" s="43"/>
      <c r="AD902" s="43"/>
      <c r="AE902" s="43">
        <v>14.747999999999999</v>
      </c>
      <c r="AF902" s="43"/>
      <c r="AG902" s="43"/>
      <c r="AH902" s="43"/>
    </row>
    <row r="903" spans="1:34" ht="11.25" hidden="1" customHeight="1" x14ac:dyDescent="0.2">
      <c r="A903" s="39" t="s">
        <v>613</v>
      </c>
      <c r="B903" s="39"/>
      <c r="C903" s="39"/>
      <c r="D903" s="39"/>
      <c r="E903" s="39"/>
      <c r="F903" s="39" t="s">
        <v>884</v>
      </c>
      <c r="G903" s="39"/>
      <c r="H903" s="39"/>
      <c r="I903" s="39"/>
      <c r="J903" s="39"/>
      <c r="K903" s="39"/>
      <c r="L903" s="39"/>
      <c r="M903" s="41">
        <v>956.31</v>
      </c>
      <c r="N903" s="41"/>
      <c r="O903" s="41"/>
      <c r="P903" s="41"/>
      <c r="Q903" s="41"/>
      <c r="R903" s="41"/>
      <c r="S903" s="41">
        <v>947.93</v>
      </c>
      <c r="T903" s="41"/>
      <c r="U903" s="41"/>
      <c r="V903" s="41"/>
      <c r="W903" s="41"/>
      <c r="X903" s="41"/>
      <c r="Y903" s="41"/>
      <c r="Z903" s="41">
        <v>8.3800000000000008</v>
      </c>
      <c r="AA903" s="41"/>
      <c r="AB903" s="41"/>
      <c r="AC903" s="41"/>
      <c r="AD903" s="41"/>
      <c r="AE903" s="43">
        <v>23.956</v>
      </c>
      <c r="AF903" s="43"/>
      <c r="AG903" s="43"/>
      <c r="AH903" s="43"/>
    </row>
    <row r="904" spans="1:34" ht="11.25" hidden="1" customHeight="1" x14ac:dyDescent="0.2">
      <c r="A904" s="39" t="s">
        <v>652</v>
      </c>
      <c r="B904" s="39"/>
      <c r="C904" s="39"/>
      <c r="D904" s="39"/>
      <c r="E904" s="39"/>
      <c r="F904" s="39" t="s">
        <v>885</v>
      </c>
      <c r="G904" s="39"/>
      <c r="H904" s="39"/>
      <c r="I904" s="39"/>
      <c r="J904" s="39"/>
      <c r="K904" s="39"/>
      <c r="L904" s="39"/>
      <c r="M904" s="59">
        <v>3.4</v>
      </c>
      <c r="N904" s="59"/>
      <c r="O904" s="59"/>
      <c r="P904" s="59"/>
      <c r="Q904" s="59"/>
      <c r="R904" s="59"/>
      <c r="S904" s="43">
        <v>3.419</v>
      </c>
      <c r="T904" s="43"/>
      <c r="U904" s="43"/>
      <c r="V904" s="43"/>
      <c r="W904" s="43"/>
      <c r="X904" s="43"/>
      <c r="Y904" s="43"/>
      <c r="Z904" s="43">
        <v>-1.9E-2</v>
      </c>
      <c r="AA904" s="43"/>
      <c r="AB904" s="43"/>
      <c r="AC904" s="43"/>
      <c r="AD904" s="43"/>
      <c r="AE904" s="43">
        <v>1.4E-2</v>
      </c>
      <c r="AF904" s="43"/>
      <c r="AG904" s="43"/>
      <c r="AH904" s="43"/>
    </row>
    <row r="905" spans="1:34" ht="11.25" hidden="1" customHeight="1" x14ac:dyDescent="0.2">
      <c r="A905" s="39" t="s">
        <v>654</v>
      </c>
      <c r="B905" s="39"/>
      <c r="C905" s="39"/>
      <c r="D905" s="39"/>
      <c r="E905" s="39"/>
      <c r="F905" s="39" t="s">
        <v>886</v>
      </c>
      <c r="G905" s="39"/>
      <c r="H905" s="39"/>
      <c r="I905" s="39"/>
      <c r="J905" s="39"/>
      <c r="K905" s="39"/>
      <c r="L905" s="39"/>
      <c r="M905" s="41">
        <v>959.77</v>
      </c>
      <c r="N905" s="41"/>
      <c r="O905" s="41"/>
      <c r="P905" s="41"/>
      <c r="Q905" s="41"/>
      <c r="R905" s="41"/>
      <c r="S905" s="43">
        <v>967.697</v>
      </c>
      <c r="T905" s="43"/>
      <c r="U905" s="43"/>
      <c r="V905" s="43"/>
      <c r="W905" s="43"/>
      <c r="X905" s="43"/>
      <c r="Y905" s="43"/>
      <c r="Z905" s="43">
        <v>-7.9269999999999996</v>
      </c>
      <c r="AA905" s="43"/>
      <c r="AB905" s="43"/>
      <c r="AC905" s="43"/>
      <c r="AD905" s="43"/>
      <c r="AE905" s="41">
        <v>12.77</v>
      </c>
      <c r="AF905" s="41"/>
      <c r="AG905" s="41"/>
      <c r="AH905" s="41"/>
    </row>
    <row r="906" spans="1:34" ht="11.25" hidden="1" customHeight="1" x14ac:dyDescent="0.2">
      <c r="A906" s="39" t="s">
        <v>677</v>
      </c>
      <c r="B906" s="39"/>
      <c r="C906" s="39"/>
      <c r="D906" s="39"/>
      <c r="E906" s="39"/>
      <c r="F906" s="39" t="s">
        <v>887</v>
      </c>
      <c r="G906" s="39"/>
      <c r="H906" s="39"/>
      <c r="I906" s="39"/>
      <c r="J906" s="39"/>
      <c r="K906" s="39"/>
      <c r="L906" s="39"/>
      <c r="M906" s="40">
        <v>1287.4100000000001</v>
      </c>
      <c r="N906" s="40"/>
      <c r="O906" s="40"/>
      <c r="P906" s="40"/>
      <c r="Q906" s="40"/>
      <c r="R906" s="40"/>
      <c r="S906" s="56">
        <v>1316.1310000000001</v>
      </c>
      <c r="T906" s="56"/>
      <c r="U906" s="56"/>
      <c r="V906" s="56"/>
      <c r="W906" s="56"/>
      <c r="X906" s="56"/>
      <c r="Y906" s="56"/>
      <c r="Z906" s="43">
        <v>-28.721</v>
      </c>
      <c r="AA906" s="43"/>
      <c r="AB906" s="43"/>
      <c r="AC906" s="43"/>
      <c r="AD906" s="43"/>
      <c r="AE906" s="43">
        <v>9.4949999999999992</v>
      </c>
      <c r="AF906" s="43"/>
      <c r="AG906" s="43"/>
      <c r="AH906" s="43"/>
    </row>
    <row r="907" spans="1:34" ht="11.25" hidden="1" customHeight="1" x14ac:dyDescent="0.2">
      <c r="A907" s="39" t="s">
        <v>703</v>
      </c>
      <c r="B907" s="39"/>
      <c r="C907" s="39"/>
      <c r="D907" s="39"/>
      <c r="E907" s="39"/>
      <c r="F907" s="39" t="s">
        <v>888</v>
      </c>
      <c r="G907" s="39"/>
      <c r="H907" s="39"/>
      <c r="I907" s="39"/>
      <c r="J907" s="39"/>
      <c r="K907" s="39"/>
      <c r="L907" s="39"/>
      <c r="M907" s="43">
        <v>941.96199999999999</v>
      </c>
      <c r="N907" s="43"/>
      <c r="O907" s="43"/>
      <c r="P907" s="43"/>
      <c r="Q907" s="43"/>
      <c r="R907" s="43"/>
      <c r="S907" s="41">
        <v>940.48</v>
      </c>
      <c r="T907" s="41"/>
      <c r="U907" s="41"/>
      <c r="V907" s="41"/>
      <c r="W907" s="41"/>
      <c r="X907" s="41"/>
      <c r="Y907" s="41"/>
      <c r="Z907" s="43">
        <v>1.482</v>
      </c>
      <c r="AA907" s="43"/>
      <c r="AB907" s="43"/>
      <c r="AC907" s="43"/>
      <c r="AD907" s="43"/>
      <c r="AE907" s="43">
        <v>15.164</v>
      </c>
      <c r="AF907" s="43"/>
      <c r="AG907" s="43"/>
      <c r="AH907" s="43"/>
    </row>
    <row r="908" spans="1:34" ht="11.25" hidden="1" customHeight="1" x14ac:dyDescent="0.2">
      <c r="A908" s="39" t="s">
        <v>739</v>
      </c>
      <c r="B908" s="39"/>
      <c r="C908" s="39"/>
      <c r="D908" s="39"/>
      <c r="E908" s="39"/>
      <c r="F908" s="39" t="s">
        <v>889</v>
      </c>
      <c r="G908" s="39"/>
      <c r="H908" s="39"/>
      <c r="I908" s="39"/>
      <c r="J908" s="39"/>
      <c r="K908" s="39"/>
      <c r="L908" s="39"/>
      <c r="M908" s="40">
        <v>1075.3599999999999</v>
      </c>
      <c r="N908" s="40"/>
      <c r="O908" s="40"/>
      <c r="P908" s="40"/>
      <c r="Q908" s="40"/>
      <c r="R908" s="40"/>
      <c r="S908" s="56">
        <v>1057.5409999999999</v>
      </c>
      <c r="T908" s="56"/>
      <c r="U908" s="56"/>
      <c r="V908" s="56"/>
      <c r="W908" s="56"/>
      <c r="X908" s="56"/>
      <c r="Y908" s="56"/>
      <c r="Z908" s="43">
        <v>17.818999999999999</v>
      </c>
      <c r="AA908" s="43"/>
      <c r="AB908" s="43"/>
      <c r="AC908" s="43"/>
      <c r="AD908" s="43"/>
      <c r="AE908" s="43">
        <v>37.823</v>
      </c>
      <c r="AF908" s="43"/>
      <c r="AG908" s="43"/>
      <c r="AH908" s="43"/>
    </row>
    <row r="909" spans="1:34" ht="11.25" hidden="1" customHeight="1" x14ac:dyDescent="0.2">
      <c r="A909" s="39" t="s">
        <v>773</v>
      </c>
      <c r="B909" s="39"/>
      <c r="C909" s="39"/>
      <c r="D909" s="39"/>
      <c r="E909" s="39"/>
      <c r="F909" s="39" t="s">
        <v>890</v>
      </c>
      <c r="G909" s="39"/>
      <c r="H909" s="39"/>
      <c r="I909" s="39"/>
      <c r="J909" s="39"/>
      <c r="K909" s="39"/>
      <c r="L909" s="39"/>
      <c r="M909" s="56">
        <v>1139.346</v>
      </c>
      <c r="N909" s="56"/>
      <c r="O909" s="56"/>
      <c r="P909" s="56"/>
      <c r="Q909" s="56"/>
      <c r="R909" s="56"/>
      <c r="S909" s="56">
        <v>1127.7539999999999</v>
      </c>
      <c r="T909" s="56"/>
      <c r="U909" s="56"/>
      <c r="V909" s="56"/>
      <c r="W909" s="56"/>
      <c r="X909" s="56"/>
      <c r="Y909" s="56"/>
      <c r="Z909" s="43">
        <v>11.592000000000001</v>
      </c>
      <c r="AA909" s="43"/>
      <c r="AB909" s="43"/>
      <c r="AC909" s="43"/>
      <c r="AD909" s="43"/>
      <c r="AE909" s="43">
        <v>43.448</v>
      </c>
      <c r="AF909" s="43"/>
      <c r="AG909" s="43"/>
      <c r="AH909" s="43"/>
    </row>
    <row r="910" spans="1:34" ht="11.25" hidden="1" customHeight="1" x14ac:dyDescent="0.2">
      <c r="A910" s="39" t="s">
        <v>815</v>
      </c>
      <c r="B910" s="39"/>
      <c r="C910" s="39"/>
      <c r="D910" s="39"/>
      <c r="E910" s="39"/>
      <c r="F910" s="39" t="s">
        <v>891</v>
      </c>
      <c r="G910" s="39"/>
      <c r="H910" s="39"/>
      <c r="I910" s="39"/>
      <c r="J910" s="39"/>
      <c r="K910" s="39"/>
      <c r="L910" s="39"/>
      <c r="M910" s="40">
        <v>1129.95</v>
      </c>
      <c r="N910" s="40"/>
      <c r="O910" s="40"/>
      <c r="P910" s="40"/>
      <c r="Q910" s="40"/>
      <c r="R910" s="40"/>
      <c r="S910" s="56">
        <v>1108.6479999999999</v>
      </c>
      <c r="T910" s="56"/>
      <c r="U910" s="56"/>
      <c r="V910" s="56"/>
      <c r="W910" s="56"/>
      <c r="X910" s="56"/>
      <c r="Y910" s="56"/>
      <c r="Z910" s="43">
        <v>21.302</v>
      </c>
      <c r="AA910" s="43"/>
      <c r="AB910" s="43"/>
      <c r="AC910" s="43"/>
      <c r="AD910" s="43"/>
      <c r="AE910" s="43">
        <v>57.314</v>
      </c>
      <c r="AF910" s="43"/>
      <c r="AG910" s="43"/>
      <c r="AH910" s="43"/>
    </row>
    <row r="911" spans="1:34" ht="11.25" hidden="1" customHeight="1" x14ac:dyDescent="0.2">
      <c r="A911" s="39" t="s">
        <v>834</v>
      </c>
      <c r="B911" s="39"/>
      <c r="C911" s="39"/>
      <c r="D911" s="39"/>
      <c r="E911" s="39"/>
      <c r="F911" s="39" t="s">
        <v>892</v>
      </c>
      <c r="G911" s="39"/>
      <c r="H911" s="39"/>
      <c r="I911" s="39"/>
      <c r="J911" s="39"/>
      <c r="K911" s="39"/>
      <c r="L911" s="39"/>
      <c r="M911" s="40">
        <v>1185.8800000000001</v>
      </c>
      <c r="N911" s="40"/>
      <c r="O911" s="40"/>
      <c r="P911" s="40"/>
      <c r="Q911" s="40"/>
      <c r="R911" s="40"/>
      <c r="S911" s="56">
        <v>1203.9349999999999</v>
      </c>
      <c r="T911" s="56"/>
      <c r="U911" s="56"/>
      <c r="V911" s="56"/>
      <c r="W911" s="56"/>
      <c r="X911" s="56"/>
      <c r="Y911" s="56"/>
      <c r="Z911" s="43">
        <v>-18.055</v>
      </c>
      <c r="AA911" s="43"/>
      <c r="AB911" s="43"/>
      <c r="AC911" s="43"/>
      <c r="AD911" s="43"/>
      <c r="AE911" s="41">
        <v>7.91</v>
      </c>
      <c r="AF911" s="41"/>
      <c r="AG911" s="41"/>
      <c r="AH911" s="41"/>
    </row>
    <row r="912" spans="1:34" ht="12.75" hidden="1" customHeight="1" x14ac:dyDescent="0.2">
      <c r="A912" s="52" t="s">
        <v>6</v>
      </c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4">
        <v>19617.499</v>
      </c>
      <c r="N912" s="54"/>
      <c r="O912" s="54"/>
      <c r="P912" s="54"/>
      <c r="Q912" s="54"/>
      <c r="R912" s="54"/>
      <c r="S912" s="54">
        <v>19550.260999999999</v>
      </c>
      <c r="T912" s="54"/>
      <c r="U912" s="54"/>
      <c r="V912" s="54"/>
      <c r="W912" s="54"/>
      <c r="X912" s="54"/>
      <c r="Y912" s="54"/>
      <c r="Z912" s="55">
        <v>67.238</v>
      </c>
      <c r="AA912" s="55"/>
      <c r="AB912" s="55"/>
      <c r="AC912" s="55"/>
      <c r="AD912" s="55"/>
      <c r="AE912" s="55">
        <v>516.74199999999996</v>
      </c>
      <c r="AF912" s="55"/>
      <c r="AG912" s="55"/>
      <c r="AH912" s="55"/>
    </row>
    <row r="913" spans="1:37" ht="10.15" hidden="1" customHeight="1" x14ac:dyDescent="0.2"/>
    <row r="914" spans="1:37" ht="12.75" hidden="1" customHeight="1" x14ac:dyDescent="0.2">
      <c r="A914" s="45" t="s">
        <v>349</v>
      </c>
      <c r="B914" s="45" t="s">
        <v>345</v>
      </c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 t="s">
        <v>10</v>
      </c>
      <c r="R914" s="45"/>
      <c r="S914" s="45"/>
      <c r="T914" s="45"/>
      <c r="U914" s="45"/>
      <c r="V914" s="45"/>
      <c r="W914" s="45"/>
      <c r="X914" s="53" t="s">
        <v>7</v>
      </c>
      <c r="Y914" s="53"/>
      <c r="Z914" s="53"/>
      <c r="AA914" s="53"/>
      <c r="AB914" s="53"/>
      <c r="AC914" s="53" t="s">
        <v>8</v>
      </c>
      <c r="AD914" s="53"/>
      <c r="AE914" s="53"/>
      <c r="AF914" s="53"/>
      <c r="AG914" s="53"/>
      <c r="AH914" s="53" t="s">
        <v>9</v>
      </c>
      <c r="AI914" s="53"/>
      <c r="AJ914" s="53"/>
      <c r="AK914" s="53"/>
    </row>
    <row r="915" spans="1:37" ht="24.75" hidden="1" customHeight="1" x14ac:dyDescent="0.2">
      <c r="A915" s="90"/>
      <c r="B915" s="49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1"/>
      <c r="Q915" s="49"/>
      <c r="R915" s="50"/>
      <c r="S915" s="50"/>
      <c r="T915" s="50"/>
      <c r="U915" s="50"/>
      <c r="V915" s="50"/>
      <c r="W915" s="51"/>
      <c r="X915" s="53" t="s">
        <v>11</v>
      </c>
      <c r="Y915" s="53"/>
      <c r="Z915" s="53"/>
      <c r="AA915" s="53"/>
      <c r="AB915" s="53"/>
      <c r="AC915" s="53" t="s">
        <v>12</v>
      </c>
      <c r="AD915" s="53"/>
      <c r="AE915" s="53"/>
      <c r="AF915" s="53"/>
      <c r="AG915" s="53"/>
      <c r="AH915" s="53" t="s">
        <v>13</v>
      </c>
      <c r="AI915" s="53"/>
      <c r="AJ915" s="53"/>
      <c r="AK915" s="53"/>
    </row>
    <row r="916" spans="1:37" ht="11.25" hidden="1" customHeight="1" x14ac:dyDescent="0.2">
      <c r="A916" s="21">
        <v>1</v>
      </c>
      <c r="B916" s="39" t="s">
        <v>346</v>
      </c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43">
        <v>35.731000000000002</v>
      </c>
      <c r="R916" s="43"/>
      <c r="S916" s="43"/>
      <c r="T916" s="43"/>
      <c r="U916" s="43"/>
      <c r="V916" s="43"/>
      <c r="W916" s="43"/>
      <c r="X916" s="41">
        <v>638.32000000000005</v>
      </c>
      <c r="Y916" s="41"/>
      <c r="Z916" s="41"/>
      <c r="AA916" s="41"/>
      <c r="AB916" s="41"/>
      <c r="AC916" s="43">
        <v>621.26700000000005</v>
      </c>
      <c r="AD916" s="43"/>
      <c r="AE916" s="43"/>
      <c r="AF916" s="43"/>
      <c r="AG916" s="43"/>
      <c r="AH916" s="43">
        <v>17.053000000000001</v>
      </c>
      <c r="AI916" s="43"/>
      <c r="AJ916" s="43"/>
      <c r="AK916" s="43"/>
    </row>
    <row r="917" spans="1:37" ht="11.25" hidden="1" customHeight="1" x14ac:dyDescent="0.2">
      <c r="A917" s="21">
        <v>2</v>
      </c>
      <c r="B917" s="39" t="s">
        <v>366</v>
      </c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43">
        <v>31.530999999999999</v>
      </c>
      <c r="R917" s="43"/>
      <c r="S917" s="43"/>
      <c r="T917" s="43"/>
      <c r="U917" s="43"/>
      <c r="V917" s="43"/>
      <c r="W917" s="43"/>
      <c r="X917" s="41">
        <v>419.56</v>
      </c>
      <c r="Y917" s="41"/>
      <c r="Z917" s="41"/>
      <c r="AA917" s="41"/>
      <c r="AB917" s="41"/>
      <c r="AC917" s="43">
        <v>392.89299999999997</v>
      </c>
      <c r="AD917" s="43"/>
      <c r="AE917" s="43"/>
      <c r="AF917" s="43"/>
      <c r="AG917" s="43"/>
      <c r="AH917" s="43">
        <v>26.667000000000002</v>
      </c>
      <c r="AI917" s="43"/>
      <c r="AJ917" s="43"/>
      <c r="AK917" s="43"/>
    </row>
    <row r="918" spans="1:37" ht="11.25" hidden="1" customHeight="1" x14ac:dyDescent="0.2">
      <c r="A918" s="21">
        <v>3</v>
      </c>
      <c r="B918" s="39" t="s">
        <v>816</v>
      </c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41">
        <v>26.24</v>
      </c>
      <c r="R918" s="41"/>
      <c r="S918" s="41"/>
      <c r="T918" s="41"/>
      <c r="U918" s="41"/>
      <c r="V918" s="41"/>
      <c r="W918" s="41"/>
      <c r="X918" s="59">
        <v>209.2</v>
      </c>
      <c r="Y918" s="59"/>
      <c r="Z918" s="59"/>
      <c r="AA918" s="59"/>
      <c r="AB918" s="59"/>
      <c r="AC918" s="41">
        <v>186.92</v>
      </c>
      <c r="AD918" s="41"/>
      <c r="AE918" s="41"/>
      <c r="AF918" s="41"/>
      <c r="AG918" s="41"/>
      <c r="AH918" s="41">
        <v>22.28</v>
      </c>
      <c r="AI918" s="41"/>
      <c r="AJ918" s="41"/>
      <c r="AK918" s="41"/>
    </row>
    <row r="919" spans="1:37" ht="21.75" hidden="1" customHeight="1" x14ac:dyDescent="0.2">
      <c r="A919" s="21">
        <v>4</v>
      </c>
      <c r="B919" s="39" t="s">
        <v>350</v>
      </c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59">
        <v>24.3</v>
      </c>
      <c r="R919" s="59"/>
      <c r="S919" s="59"/>
      <c r="T919" s="59"/>
      <c r="U919" s="59"/>
      <c r="V919" s="59"/>
      <c r="W919" s="59"/>
      <c r="X919" s="59">
        <v>24.3</v>
      </c>
      <c r="Y919" s="59"/>
      <c r="Z919" s="59"/>
      <c r="AA919" s="59"/>
      <c r="AB919" s="59"/>
      <c r="AC919" s="25"/>
      <c r="AD919" s="26"/>
      <c r="AE919" s="26"/>
      <c r="AF919" s="26"/>
      <c r="AG919" s="27"/>
      <c r="AH919" s="59">
        <v>24.3</v>
      </c>
      <c r="AI919" s="59"/>
      <c r="AJ919" s="59"/>
      <c r="AK919" s="59"/>
    </row>
    <row r="920" spans="1:37" ht="11.25" hidden="1" customHeight="1" x14ac:dyDescent="0.2">
      <c r="A920" s="21">
        <v>5</v>
      </c>
      <c r="B920" s="39" t="s">
        <v>397</v>
      </c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58">
        <v>24</v>
      </c>
      <c r="R920" s="58"/>
      <c r="S920" s="58"/>
      <c r="T920" s="58"/>
      <c r="U920" s="58"/>
      <c r="V920" s="58"/>
      <c r="W920" s="58"/>
      <c r="X920" s="58">
        <v>139</v>
      </c>
      <c r="Y920" s="58"/>
      <c r="Z920" s="58"/>
      <c r="AA920" s="58"/>
      <c r="AB920" s="58"/>
      <c r="AC920" s="41">
        <v>119.83</v>
      </c>
      <c r="AD920" s="41"/>
      <c r="AE920" s="41"/>
      <c r="AF920" s="41"/>
      <c r="AG920" s="41"/>
      <c r="AH920" s="41">
        <v>19.170000000000002</v>
      </c>
      <c r="AI920" s="41"/>
      <c r="AJ920" s="41"/>
      <c r="AK920" s="41"/>
    </row>
    <row r="921" spans="1:37" ht="21.75" hidden="1" customHeight="1" x14ac:dyDescent="0.2">
      <c r="A921" s="21">
        <v>6</v>
      </c>
      <c r="B921" s="39" t="s">
        <v>473</v>
      </c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41">
        <v>22.68</v>
      </c>
      <c r="R921" s="41"/>
      <c r="S921" s="41"/>
      <c r="T921" s="41"/>
      <c r="U921" s="41"/>
      <c r="V921" s="41"/>
      <c r="W921" s="41"/>
      <c r="X921" s="41">
        <v>148.44</v>
      </c>
      <c r="Y921" s="41"/>
      <c r="Z921" s="41"/>
      <c r="AA921" s="41"/>
      <c r="AB921" s="41"/>
      <c r="AC921" s="41">
        <v>125.76</v>
      </c>
      <c r="AD921" s="41"/>
      <c r="AE921" s="41"/>
      <c r="AF921" s="41"/>
      <c r="AG921" s="41"/>
      <c r="AH921" s="41">
        <v>22.68</v>
      </c>
      <c r="AI921" s="41"/>
      <c r="AJ921" s="41"/>
      <c r="AK921" s="41"/>
    </row>
    <row r="922" spans="1:37" ht="21.75" hidden="1" customHeight="1" x14ac:dyDescent="0.2">
      <c r="A922" s="21">
        <v>7</v>
      </c>
      <c r="B922" s="39" t="s">
        <v>774</v>
      </c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43">
        <v>16.050999999999998</v>
      </c>
      <c r="R922" s="43"/>
      <c r="S922" s="43"/>
      <c r="T922" s="43"/>
      <c r="U922" s="43"/>
      <c r="V922" s="43"/>
      <c r="W922" s="43"/>
      <c r="X922" s="59">
        <v>58.2</v>
      </c>
      <c r="Y922" s="59"/>
      <c r="Z922" s="59"/>
      <c r="AA922" s="59"/>
      <c r="AB922" s="59"/>
      <c r="AC922" s="41">
        <v>42.21</v>
      </c>
      <c r="AD922" s="41"/>
      <c r="AE922" s="41"/>
      <c r="AF922" s="41"/>
      <c r="AG922" s="41"/>
      <c r="AH922" s="41">
        <v>15.99</v>
      </c>
      <c r="AI922" s="41"/>
      <c r="AJ922" s="41"/>
      <c r="AK922" s="41"/>
    </row>
    <row r="923" spans="1:37" ht="11.25" hidden="1" customHeight="1" x14ac:dyDescent="0.2">
      <c r="A923" s="21">
        <v>8</v>
      </c>
      <c r="B923" s="39" t="s">
        <v>398</v>
      </c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41">
        <v>15.59</v>
      </c>
      <c r="R923" s="41"/>
      <c r="S923" s="41"/>
      <c r="T923" s="41"/>
      <c r="U923" s="41"/>
      <c r="V923" s="41"/>
      <c r="W923" s="41"/>
      <c r="X923" s="59">
        <v>254.8</v>
      </c>
      <c r="Y923" s="59"/>
      <c r="Z923" s="59"/>
      <c r="AA923" s="59"/>
      <c r="AB923" s="59"/>
      <c r="AC923" s="43">
        <v>241.10499999999999</v>
      </c>
      <c r="AD923" s="43"/>
      <c r="AE923" s="43"/>
      <c r="AF923" s="43"/>
      <c r="AG923" s="43"/>
      <c r="AH923" s="43">
        <v>13.695</v>
      </c>
      <c r="AI923" s="43"/>
      <c r="AJ923" s="43"/>
      <c r="AK923" s="43"/>
    </row>
    <row r="924" spans="1:37" ht="11.25" hidden="1" customHeight="1" x14ac:dyDescent="0.2">
      <c r="A924" s="21">
        <v>9</v>
      </c>
      <c r="B924" s="39" t="s">
        <v>817</v>
      </c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43">
        <v>13.247</v>
      </c>
      <c r="R924" s="43"/>
      <c r="S924" s="43"/>
      <c r="T924" s="43"/>
      <c r="U924" s="43"/>
      <c r="V924" s="43"/>
      <c r="W924" s="43"/>
      <c r="X924" s="59">
        <v>250.7</v>
      </c>
      <c r="Y924" s="59"/>
      <c r="Z924" s="59"/>
      <c r="AA924" s="59"/>
      <c r="AB924" s="59"/>
      <c r="AC924" s="43">
        <v>243.34700000000001</v>
      </c>
      <c r="AD924" s="43"/>
      <c r="AE924" s="43"/>
      <c r="AF924" s="43"/>
      <c r="AG924" s="43"/>
      <c r="AH924" s="43">
        <v>7.3529999999999998</v>
      </c>
      <c r="AI924" s="43"/>
      <c r="AJ924" s="43"/>
      <c r="AK924" s="43"/>
    </row>
    <row r="925" spans="1:37" ht="11.25" hidden="1" customHeight="1" x14ac:dyDescent="0.2">
      <c r="A925" s="21">
        <v>10</v>
      </c>
      <c r="B925" s="39" t="s">
        <v>423</v>
      </c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43">
        <v>12.644</v>
      </c>
      <c r="R925" s="43"/>
      <c r="S925" s="43"/>
      <c r="T925" s="43"/>
      <c r="U925" s="43"/>
      <c r="V925" s="43"/>
      <c r="W925" s="43"/>
      <c r="X925" s="41">
        <v>112.27</v>
      </c>
      <c r="Y925" s="41"/>
      <c r="Z925" s="41"/>
      <c r="AA925" s="41"/>
      <c r="AB925" s="41"/>
      <c r="AC925" s="43">
        <v>101.696</v>
      </c>
      <c r="AD925" s="43"/>
      <c r="AE925" s="43"/>
      <c r="AF925" s="43"/>
      <c r="AG925" s="43"/>
      <c r="AH925" s="43">
        <v>10.574</v>
      </c>
      <c r="AI925" s="43"/>
      <c r="AJ925" s="43"/>
      <c r="AK925" s="43"/>
    </row>
    <row r="926" spans="1:37" ht="11.25" hidden="1" customHeight="1" x14ac:dyDescent="0.2">
      <c r="A926" s="21">
        <v>11</v>
      </c>
      <c r="B926" s="39" t="s">
        <v>506</v>
      </c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43">
        <v>10.916</v>
      </c>
      <c r="R926" s="43"/>
      <c r="S926" s="43"/>
      <c r="T926" s="43"/>
      <c r="U926" s="43"/>
      <c r="V926" s="43"/>
      <c r="W926" s="43"/>
      <c r="X926" s="41">
        <v>67.23</v>
      </c>
      <c r="Y926" s="41"/>
      <c r="Z926" s="41"/>
      <c r="AA926" s="41"/>
      <c r="AB926" s="41"/>
      <c r="AC926" s="43">
        <v>57.084000000000003</v>
      </c>
      <c r="AD926" s="43"/>
      <c r="AE926" s="43"/>
      <c r="AF926" s="43"/>
      <c r="AG926" s="43"/>
      <c r="AH926" s="43">
        <v>10.146000000000001</v>
      </c>
      <c r="AI926" s="43"/>
      <c r="AJ926" s="43"/>
      <c r="AK926" s="43"/>
    </row>
    <row r="927" spans="1:37" ht="11.25" hidden="1" customHeight="1" x14ac:dyDescent="0.2">
      <c r="A927" s="21">
        <v>12</v>
      </c>
      <c r="B927" s="39" t="s">
        <v>464</v>
      </c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43">
        <v>10.292</v>
      </c>
      <c r="R927" s="43"/>
      <c r="S927" s="43"/>
      <c r="T927" s="43"/>
      <c r="U927" s="43"/>
      <c r="V927" s="43"/>
      <c r="W927" s="43"/>
      <c r="X927" s="41">
        <v>141.28</v>
      </c>
      <c r="Y927" s="41"/>
      <c r="Z927" s="41"/>
      <c r="AA927" s="41"/>
      <c r="AB927" s="41"/>
      <c r="AC927" s="43">
        <v>132.01400000000001</v>
      </c>
      <c r="AD927" s="43"/>
      <c r="AE927" s="43"/>
      <c r="AF927" s="43"/>
      <c r="AG927" s="43"/>
      <c r="AH927" s="43">
        <v>9.266</v>
      </c>
      <c r="AI927" s="43"/>
      <c r="AJ927" s="43"/>
      <c r="AK927" s="43"/>
    </row>
    <row r="928" spans="1:37" ht="21.75" hidden="1" customHeight="1" x14ac:dyDescent="0.2">
      <c r="A928" s="21">
        <v>13</v>
      </c>
      <c r="B928" s="39" t="s">
        <v>578</v>
      </c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43">
        <v>9.6769999999999996</v>
      </c>
      <c r="R928" s="43"/>
      <c r="S928" s="43"/>
      <c r="T928" s="43"/>
      <c r="U928" s="43"/>
      <c r="V928" s="43"/>
      <c r="W928" s="43"/>
      <c r="X928" s="41">
        <v>200.96</v>
      </c>
      <c r="Y928" s="41"/>
      <c r="Z928" s="41"/>
      <c r="AA928" s="41"/>
      <c r="AB928" s="41"/>
      <c r="AC928" s="43">
        <v>197.78100000000001</v>
      </c>
      <c r="AD928" s="43"/>
      <c r="AE928" s="43"/>
      <c r="AF928" s="43"/>
      <c r="AG928" s="43"/>
      <c r="AH928" s="43">
        <v>3.1789999999999998</v>
      </c>
      <c r="AI928" s="43"/>
      <c r="AJ928" s="43"/>
      <c r="AK928" s="43"/>
    </row>
    <row r="929" spans="1:37" ht="11.25" hidden="1" customHeight="1" x14ac:dyDescent="0.2">
      <c r="A929" s="21">
        <v>14</v>
      </c>
      <c r="B929" s="39" t="s">
        <v>775</v>
      </c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41">
        <v>8.8800000000000008</v>
      </c>
      <c r="R929" s="41"/>
      <c r="S929" s="41"/>
      <c r="T929" s="41"/>
      <c r="U929" s="41"/>
      <c r="V929" s="41"/>
      <c r="W929" s="41"/>
      <c r="X929" s="41">
        <v>40.46</v>
      </c>
      <c r="Y929" s="41"/>
      <c r="Z929" s="41"/>
      <c r="AA929" s="41"/>
      <c r="AB929" s="41"/>
      <c r="AC929" s="41">
        <v>32.78</v>
      </c>
      <c r="AD929" s="41"/>
      <c r="AE929" s="41"/>
      <c r="AF929" s="41"/>
      <c r="AG929" s="41"/>
      <c r="AH929" s="41">
        <v>7.68</v>
      </c>
      <c r="AI929" s="41"/>
      <c r="AJ929" s="41"/>
      <c r="AK929" s="41"/>
    </row>
    <row r="930" spans="1:37" ht="11.25" hidden="1" customHeight="1" x14ac:dyDescent="0.2">
      <c r="A930" s="21">
        <v>15</v>
      </c>
      <c r="B930" s="39" t="s">
        <v>740</v>
      </c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59">
        <v>7.9</v>
      </c>
      <c r="R930" s="59"/>
      <c r="S930" s="59"/>
      <c r="T930" s="59"/>
      <c r="U930" s="59"/>
      <c r="V930" s="59"/>
      <c r="W930" s="59"/>
      <c r="X930" s="59">
        <v>8.9</v>
      </c>
      <c r="Y930" s="59"/>
      <c r="Z930" s="59"/>
      <c r="AA930" s="59"/>
      <c r="AB930" s="59"/>
      <c r="AC930" s="58">
        <v>1</v>
      </c>
      <c r="AD930" s="58"/>
      <c r="AE930" s="58"/>
      <c r="AF930" s="58"/>
      <c r="AG930" s="58"/>
      <c r="AH930" s="59">
        <v>7.9</v>
      </c>
      <c r="AI930" s="59"/>
      <c r="AJ930" s="59"/>
      <c r="AK930" s="59"/>
    </row>
    <row r="931" spans="1:37" ht="11.25" hidden="1" customHeight="1" x14ac:dyDescent="0.2">
      <c r="A931" s="21">
        <v>16</v>
      </c>
      <c r="B931" s="39" t="s">
        <v>741</v>
      </c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59">
        <v>6.8</v>
      </c>
      <c r="R931" s="59"/>
      <c r="S931" s="59"/>
      <c r="T931" s="59"/>
      <c r="U931" s="59"/>
      <c r="V931" s="59"/>
      <c r="W931" s="59"/>
      <c r="X931" s="41">
        <v>28.74</v>
      </c>
      <c r="Y931" s="41"/>
      <c r="Z931" s="41"/>
      <c r="AA931" s="41"/>
      <c r="AB931" s="41"/>
      <c r="AC931" s="41">
        <v>22.54</v>
      </c>
      <c r="AD931" s="41"/>
      <c r="AE931" s="41"/>
      <c r="AF931" s="41"/>
      <c r="AG931" s="41"/>
      <c r="AH931" s="59">
        <v>6.2</v>
      </c>
      <c r="AI931" s="59"/>
      <c r="AJ931" s="59"/>
      <c r="AK931" s="59"/>
    </row>
    <row r="932" spans="1:37" ht="11.25" hidden="1" customHeight="1" x14ac:dyDescent="0.2">
      <c r="A932" s="21">
        <v>17</v>
      </c>
      <c r="B932" s="39" t="s">
        <v>818</v>
      </c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43">
        <v>6.6079999999999997</v>
      </c>
      <c r="R932" s="43"/>
      <c r="S932" s="43"/>
      <c r="T932" s="43"/>
      <c r="U932" s="43"/>
      <c r="V932" s="43"/>
      <c r="W932" s="43"/>
      <c r="X932" s="41">
        <v>143.68</v>
      </c>
      <c r="Y932" s="41"/>
      <c r="Z932" s="41"/>
      <c r="AA932" s="41"/>
      <c r="AB932" s="41"/>
      <c r="AC932" s="43">
        <v>140.04300000000001</v>
      </c>
      <c r="AD932" s="43"/>
      <c r="AE932" s="43"/>
      <c r="AF932" s="43"/>
      <c r="AG932" s="43"/>
      <c r="AH932" s="43">
        <v>3.637</v>
      </c>
      <c r="AI932" s="43"/>
      <c r="AJ932" s="43"/>
      <c r="AK932" s="43"/>
    </row>
    <row r="933" spans="1:37" ht="11.25" hidden="1" customHeight="1" x14ac:dyDescent="0.2">
      <c r="A933" s="21">
        <v>18</v>
      </c>
      <c r="B933" s="39" t="s">
        <v>507</v>
      </c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43">
        <v>5.7370000000000001</v>
      </c>
      <c r="R933" s="43"/>
      <c r="S933" s="43"/>
      <c r="T933" s="43"/>
      <c r="U933" s="43"/>
      <c r="V933" s="43"/>
      <c r="W933" s="43"/>
      <c r="X933" s="43">
        <v>66.001999999999995</v>
      </c>
      <c r="Y933" s="43"/>
      <c r="Z933" s="43"/>
      <c r="AA933" s="43"/>
      <c r="AB933" s="43"/>
      <c r="AC933" s="43">
        <v>60.555</v>
      </c>
      <c r="AD933" s="43"/>
      <c r="AE933" s="43"/>
      <c r="AF933" s="43"/>
      <c r="AG933" s="43"/>
      <c r="AH933" s="43">
        <v>5.4470000000000001</v>
      </c>
      <c r="AI933" s="43"/>
      <c r="AJ933" s="43"/>
      <c r="AK933" s="43"/>
    </row>
    <row r="934" spans="1:37" ht="11.25" hidden="1" customHeight="1" x14ac:dyDescent="0.2">
      <c r="A934" s="21">
        <v>19</v>
      </c>
      <c r="B934" s="39" t="s">
        <v>614</v>
      </c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43">
        <v>5.5880000000000001</v>
      </c>
      <c r="R934" s="43"/>
      <c r="S934" s="43"/>
      <c r="T934" s="43"/>
      <c r="U934" s="43"/>
      <c r="V934" s="43"/>
      <c r="W934" s="43"/>
      <c r="X934" s="59">
        <v>83.8</v>
      </c>
      <c r="Y934" s="59"/>
      <c r="Z934" s="59"/>
      <c r="AA934" s="59"/>
      <c r="AB934" s="59"/>
      <c r="AC934" s="43">
        <v>81.064999999999998</v>
      </c>
      <c r="AD934" s="43"/>
      <c r="AE934" s="43"/>
      <c r="AF934" s="43"/>
      <c r="AG934" s="43"/>
      <c r="AH934" s="43">
        <v>2.7349999999999999</v>
      </c>
      <c r="AI934" s="43"/>
      <c r="AJ934" s="43"/>
      <c r="AK934" s="43"/>
    </row>
    <row r="935" spans="1:37" ht="11.25" hidden="1" customHeight="1" x14ac:dyDescent="0.2">
      <c r="A935" s="21">
        <v>20</v>
      </c>
      <c r="B935" s="39" t="s">
        <v>742</v>
      </c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41">
        <v>5.47</v>
      </c>
      <c r="R935" s="41"/>
      <c r="S935" s="41"/>
      <c r="T935" s="41"/>
      <c r="U935" s="41"/>
      <c r="V935" s="41"/>
      <c r="W935" s="41"/>
      <c r="X935" s="41">
        <v>149.76</v>
      </c>
      <c r="Y935" s="41"/>
      <c r="Z935" s="41"/>
      <c r="AA935" s="41"/>
      <c r="AB935" s="41"/>
      <c r="AC935" s="43">
        <v>146.149</v>
      </c>
      <c r="AD935" s="43"/>
      <c r="AE935" s="43"/>
      <c r="AF935" s="43"/>
      <c r="AG935" s="43"/>
      <c r="AH935" s="43">
        <v>3.6110000000000002</v>
      </c>
      <c r="AI935" s="43"/>
      <c r="AJ935" s="43"/>
      <c r="AK935" s="43"/>
    </row>
    <row r="936" spans="1:37" ht="11.25" hidden="1" customHeight="1" x14ac:dyDescent="0.2">
      <c r="A936" s="21">
        <v>21</v>
      </c>
      <c r="B936" s="39" t="s">
        <v>465</v>
      </c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43">
        <v>5.4610000000000003</v>
      </c>
      <c r="R936" s="43"/>
      <c r="S936" s="43"/>
      <c r="T936" s="43"/>
      <c r="U936" s="43"/>
      <c r="V936" s="43"/>
      <c r="W936" s="43"/>
      <c r="X936" s="58">
        <v>146</v>
      </c>
      <c r="Y936" s="58"/>
      <c r="Z936" s="58"/>
      <c r="AA936" s="58"/>
      <c r="AB936" s="58"/>
      <c r="AC936" s="43">
        <v>147.352</v>
      </c>
      <c r="AD936" s="43"/>
      <c r="AE936" s="43"/>
      <c r="AF936" s="43"/>
      <c r="AG936" s="43"/>
      <c r="AH936" s="43">
        <v>-1.3520000000000001</v>
      </c>
      <c r="AI936" s="43"/>
      <c r="AJ936" s="43"/>
      <c r="AK936" s="43"/>
    </row>
    <row r="937" spans="1:37" ht="21.75" hidden="1" customHeight="1" x14ac:dyDescent="0.2">
      <c r="A937" s="21">
        <v>22</v>
      </c>
      <c r="B937" s="39" t="s">
        <v>776</v>
      </c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41">
        <v>5.44</v>
      </c>
      <c r="R937" s="41"/>
      <c r="S937" s="41"/>
      <c r="T937" s="41"/>
      <c r="U937" s="41"/>
      <c r="V937" s="41"/>
      <c r="W937" s="41"/>
      <c r="X937" s="41">
        <v>10.28</v>
      </c>
      <c r="Y937" s="41"/>
      <c r="Z937" s="41"/>
      <c r="AA937" s="41"/>
      <c r="AB937" s="41"/>
      <c r="AC937" s="43">
        <v>4.9880000000000004</v>
      </c>
      <c r="AD937" s="43"/>
      <c r="AE937" s="43"/>
      <c r="AF937" s="43"/>
      <c r="AG937" s="43"/>
      <c r="AH937" s="43">
        <v>5.2919999999999998</v>
      </c>
      <c r="AI937" s="43"/>
      <c r="AJ937" s="43"/>
      <c r="AK937" s="43"/>
    </row>
    <row r="938" spans="1:37" ht="11.25" hidden="1" customHeight="1" x14ac:dyDescent="0.2">
      <c r="A938" s="21">
        <v>23</v>
      </c>
      <c r="B938" s="39" t="s">
        <v>466</v>
      </c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43">
        <v>5.3049999999999997</v>
      </c>
      <c r="R938" s="43"/>
      <c r="S938" s="43"/>
      <c r="T938" s="43"/>
      <c r="U938" s="43"/>
      <c r="V938" s="43"/>
      <c r="W938" s="43"/>
      <c r="X938" s="59">
        <v>392.4</v>
      </c>
      <c r="Y938" s="59"/>
      <c r="Z938" s="59"/>
      <c r="AA938" s="59"/>
      <c r="AB938" s="59"/>
      <c r="AC938" s="43">
        <v>395.22899999999998</v>
      </c>
      <c r="AD938" s="43"/>
      <c r="AE938" s="43"/>
      <c r="AF938" s="43"/>
      <c r="AG938" s="43"/>
      <c r="AH938" s="43">
        <v>-2.8290000000000002</v>
      </c>
      <c r="AI938" s="43"/>
      <c r="AJ938" s="43"/>
      <c r="AK938" s="43"/>
    </row>
    <row r="939" spans="1:37" ht="11.25" hidden="1" customHeight="1" x14ac:dyDescent="0.2">
      <c r="A939" s="21">
        <v>24</v>
      </c>
      <c r="B939" s="39" t="s">
        <v>743</v>
      </c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43">
        <v>4.9950000000000001</v>
      </c>
      <c r="R939" s="43"/>
      <c r="S939" s="43"/>
      <c r="T939" s="43"/>
      <c r="U939" s="43"/>
      <c r="V939" s="43"/>
      <c r="W939" s="43"/>
      <c r="X939" s="41">
        <v>45.66</v>
      </c>
      <c r="Y939" s="41"/>
      <c r="Z939" s="41"/>
      <c r="AA939" s="41"/>
      <c r="AB939" s="41"/>
      <c r="AC939" s="43">
        <v>41.473999999999997</v>
      </c>
      <c r="AD939" s="43"/>
      <c r="AE939" s="43"/>
      <c r="AF939" s="43"/>
      <c r="AG939" s="43"/>
      <c r="AH939" s="43">
        <v>4.1859999999999999</v>
      </c>
      <c r="AI939" s="43"/>
      <c r="AJ939" s="43"/>
      <c r="AK939" s="43"/>
    </row>
    <row r="940" spans="1:37" ht="11.25" hidden="1" customHeight="1" x14ac:dyDescent="0.2">
      <c r="A940" s="21">
        <v>25</v>
      </c>
      <c r="B940" s="39" t="s">
        <v>615</v>
      </c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59">
        <v>4.5</v>
      </c>
      <c r="R940" s="59"/>
      <c r="S940" s="59"/>
      <c r="T940" s="59"/>
      <c r="U940" s="59"/>
      <c r="V940" s="59"/>
      <c r="W940" s="59"/>
      <c r="X940" s="59">
        <v>26.4</v>
      </c>
      <c r="Y940" s="59"/>
      <c r="Z940" s="59"/>
      <c r="AA940" s="59"/>
      <c r="AB940" s="59"/>
      <c r="AC940" s="43">
        <v>22.417000000000002</v>
      </c>
      <c r="AD940" s="43"/>
      <c r="AE940" s="43"/>
      <c r="AF940" s="43"/>
      <c r="AG940" s="43"/>
      <c r="AH940" s="43">
        <v>3.9830000000000001</v>
      </c>
      <c r="AI940" s="43"/>
      <c r="AJ940" s="43"/>
      <c r="AK940" s="43"/>
    </row>
    <row r="941" spans="1:37" ht="11.25" hidden="1" customHeight="1" x14ac:dyDescent="0.2">
      <c r="A941" s="21">
        <v>26</v>
      </c>
      <c r="B941" s="39" t="s">
        <v>704</v>
      </c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41">
        <v>4.33</v>
      </c>
      <c r="R941" s="41"/>
      <c r="S941" s="41"/>
      <c r="T941" s="41"/>
      <c r="U941" s="41"/>
      <c r="V941" s="41"/>
      <c r="W941" s="41"/>
      <c r="X941" s="43">
        <v>24.562000000000001</v>
      </c>
      <c r="Y941" s="43"/>
      <c r="Z941" s="43"/>
      <c r="AA941" s="43"/>
      <c r="AB941" s="43"/>
      <c r="AC941" s="43">
        <v>20.251000000000001</v>
      </c>
      <c r="AD941" s="43"/>
      <c r="AE941" s="43"/>
      <c r="AF941" s="43"/>
      <c r="AG941" s="43"/>
      <c r="AH941" s="43">
        <v>4.3109999999999999</v>
      </c>
      <c r="AI941" s="43"/>
      <c r="AJ941" s="43"/>
      <c r="AK941" s="43"/>
    </row>
    <row r="942" spans="1:37" ht="11.25" hidden="1" customHeight="1" x14ac:dyDescent="0.2">
      <c r="A942" s="21">
        <v>27</v>
      </c>
      <c r="B942" s="39" t="s">
        <v>819</v>
      </c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43">
        <v>4.3259999999999996</v>
      </c>
      <c r="R942" s="43"/>
      <c r="S942" s="43"/>
      <c r="T942" s="43"/>
      <c r="U942" s="43"/>
      <c r="V942" s="43"/>
      <c r="W942" s="43"/>
      <c r="X942" s="41">
        <v>91.18</v>
      </c>
      <c r="Y942" s="41"/>
      <c r="Z942" s="41"/>
      <c r="AA942" s="41"/>
      <c r="AB942" s="41"/>
      <c r="AC942" s="43">
        <v>93.147000000000006</v>
      </c>
      <c r="AD942" s="43"/>
      <c r="AE942" s="43"/>
      <c r="AF942" s="43"/>
      <c r="AG942" s="43"/>
      <c r="AH942" s="43">
        <v>-1.9670000000000001</v>
      </c>
      <c r="AI942" s="43"/>
      <c r="AJ942" s="43"/>
      <c r="AK942" s="43"/>
    </row>
    <row r="943" spans="1:37" ht="11.25" hidden="1" customHeight="1" x14ac:dyDescent="0.2">
      <c r="A943" s="21">
        <v>28</v>
      </c>
      <c r="B943" s="39" t="s">
        <v>616</v>
      </c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41">
        <v>4.21</v>
      </c>
      <c r="R943" s="41"/>
      <c r="S943" s="41"/>
      <c r="T943" s="41"/>
      <c r="U943" s="41"/>
      <c r="V943" s="41"/>
      <c r="W943" s="41"/>
      <c r="X943" s="41">
        <v>145.68</v>
      </c>
      <c r="Y943" s="41"/>
      <c r="Z943" s="41"/>
      <c r="AA943" s="41"/>
      <c r="AB943" s="41"/>
      <c r="AC943" s="43">
        <v>142.566</v>
      </c>
      <c r="AD943" s="43"/>
      <c r="AE943" s="43"/>
      <c r="AF943" s="43"/>
      <c r="AG943" s="43"/>
      <c r="AH943" s="43">
        <v>3.1139999999999999</v>
      </c>
      <c r="AI943" s="43"/>
      <c r="AJ943" s="43"/>
      <c r="AK943" s="43"/>
    </row>
    <row r="944" spans="1:37" ht="11.25" hidden="1" customHeight="1" x14ac:dyDescent="0.2">
      <c r="A944" s="21">
        <v>29</v>
      </c>
      <c r="B944" s="39" t="s">
        <v>655</v>
      </c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59">
        <v>4.0999999999999996</v>
      </c>
      <c r="R944" s="59"/>
      <c r="S944" s="59"/>
      <c r="T944" s="59"/>
      <c r="U944" s="59"/>
      <c r="V944" s="59"/>
      <c r="W944" s="59"/>
      <c r="X944" s="41">
        <v>216.57</v>
      </c>
      <c r="Y944" s="41"/>
      <c r="Z944" s="41"/>
      <c r="AA944" s="41"/>
      <c r="AB944" s="41"/>
      <c r="AC944" s="43">
        <v>221.33500000000001</v>
      </c>
      <c r="AD944" s="43"/>
      <c r="AE944" s="43"/>
      <c r="AF944" s="43"/>
      <c r="AG944" s="43"/>
      <c r="AH944" s="43">
        <v>-4.7649999999999997</v>
      </c>
      <c r="AI944" s="43"/>
      <c r="AJ944" s="43"/>
      <c r="AK944" s="43"/>
    </row>
    <row r="945" spans="1:37" ht="11.25" hidden="1" customHeight="1" x14ac:dyDescent="0.2">
      <c r="A945" s="21">
        <v>30</v>
      </c>
      <c r="B945" s="39" t="s">
        <v>424</v>
      </c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43">
        <v>4.0659999999999998</v>
      </c>
      <c r="R945" s="43"/>
      <c r="S945" s="43"/>
      <c r="T945" s="43"/>
      <c r="U945" s="43"/>
      <c r="V945" s="43"/>
      <c r="W945" s="43"/>
      <c r="X945" s="41">
        <v>73.53</v>
      </c>
      <c r="Y945" s="41"/>
      <c r="Z945" s="41"/>
      <c r="AA945" s="41"/>
      <c r="AB945" s="41"/>
      <c r="AC945" s="43">
        <v>69.936999999999998</v>
      </c>
      <c r="AD945" s="43"/>
      <c r="AE945" s="43"/>
      <c r="AF945" s="43"/>
      <c r="AG945" s="43"/>
      <c r="AH945" s="43">
        <v>3.593</v>
      </c>
      <c r="AI945" s="43"/>
      <c r="AJ945" s="43"/>
      <c r="AK945" s="43"/>
    </row>
    <row r="946" spans="1:37" ht="11.25" hidden="1" customHeight="1" x14ac:dyDescent="0.2">
      <c r="A946" s="21">
        <v>31</v>
      </c>
      <c r="B946" s="39" t="s">
        <v>425</v>
      </c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41">
        <v>3.72</v>
      </c>
      <c r="R946" s="41"/>
      <c r="S946" s="41"/>
      <c r="T946" s="41"/>
      <c r="U946" s="41"/>
      <c r="V946" s="41"/>
      <c r="W946" s="41"/>
      <c r="X946" s="41">
        <v>99.32</v>
      </c>
      <c r="Y946" s="41"/>
      <c r="Z946" s="41"/>
      <c r="AA946" s="41"/>
      <c r="AB946" s="41"/>
      <c r="AC946" s="43">
        <v>96.108999999999995</v>
      </c>
      <c r="AD946" s="43"/>
      <c r="AE946" s="43"/>
      <c r="AF946" s="43"/>
      <c r="AG946" s="43"/>
      <c r="AH946" s="43">
        <v>3.2109999999999999</v>
      </c>
      <c r="AI946" s="43"/>
      <c r="AJ946" s="43"/>
      <c r="AK946" s="43"/>
    </row>
    <row r="947" spans="1:37" ht="11.25" hidden="1" customHeight="1" x14ac:dyDescent="0.2">
      <c r="A947" s="21">
        <v>32</v>
      </c>
      <c r="B947" s="39" t="s">
        <v>474</v>
      </c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41">
        <v>3.72</v>
      </c>
      <c r="R947" s="41"/>
      <c r="S947" s="41"/>
      <c r="T947" s="41"/>
      <c r="U947" s="41"/>
      <c r="V947" s="41"/>
      <c r="W947" s="41"/>
      <c r="X947" s="41">
        <v>41.31</v>
      </c>
      <c r="Y947" s="41"/>
      <c r="Z947" s="41"/>
      <c r="AA947" s="41"/>
      <c r="AB947" s="41"/>
      <c r="AC947" s="43">
        <v>38.046999999999997</v>
      </c>
      <c r="AD947" s="43"/>
      <c r="AE947" s="43"/>
      <c r="AF947" s="43"/>
      <c r="AG947" s="43"/>
      <c r="AH947" s="43">
        <v>3.2629999999999999</v>
      </c>
      <c r="AI947" s="43"/>
      <c r="AJ947" s="43"/>
      <c r="AK947" s="43"/>
    </row>
    <row r="948" spans="1:37" ht="11.25" hidden="1" customHeight="1" x14ac:dyDescent="0.2">
      <c r="A948" s="21">
        <v>33</v>
      </c>
      <c r="B948" s="39" t="s">
        <v>744</v>
      </c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41">
        <v>3.39</v>
      </c>
      <c r="R948" s="41"/>
      <c r="S948" s="41"/>
      <c r="T948" s="41"/>
      <c r="U948" s="41"/>
      <c r="V948" s="41"/>
      <c r="W948" s="41"/>
      <c r="X948" s="41">
        <v>149.87</v>
      </c>
      <c r="Y948" s="41"/>
      <c r="Z948" s="41"/>
      <c r="AA948" s="41"/>
      <c r="AB948" s="41"/>
      <c r="AC948" s="43">
        <v>152.905</v>
      </c>
      <c r="AD948" s="43"/>
      <c r="AE948" s="43"/>
      <c r="AF948" s="43"/>
      <c r="AG948" s="43"/>
      <c r="AH948" s="43">
        <v>-3.0350000000000001</v>
      </c>
      <c r="AI948" s="43"/>
      <c r="AJ948" s="43"/>
      <c r="AK948" s="43"/>
    </row>
    <row r="949" spans="1:37" ht="11.25" hidden="1" customHeight="1" x14ac:dyDescent="0.2">
      <c r="A949" s="21">
        <v>34</v>
      </c>
      <c r="B949" s="39" t="s">
        <v>617</v>
      </c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43">
        <v>3.3050000000000002</v>
      </c>
      <c r="R949" s="43"/>
      <c r="S949" s="43"/>
      <c r="T949" s="43"/>
      <c r="U949" s="43"/>
      <c r="V949" s="43"/>
      <c r="W949" s="43"/>
      <c r="X949" s="41">
        <v>26.14</v>
      </c>
      <c r="Y949" s="41"/>
      <c r="Z949" s="41"/>
      <c r="AA949" s="41"/>
      <c r="AB949" s="41"/>
      <c r="AC949" s="43">
        <v>23.760999999999999</v>
      </c>
      <c r="AD949" s="43"/>
      <c r="AE949" s="43"/>
      <c r="AF949" s="43"/>
      <c r="AG949" s="43"/>
      <c r="AH949" s="43">
        <v>2.379</v>
      </c>
      <c r="AI949" s="43"/>
      <c r="AJ949" s="43"/>
      <c r="AK949" s="43"/>
    </row>
    <row r="950" spans="1:37" ht="11.25" hidden="1" customHeight="1" x14ac:dyDescent="0.2">
      <c r="A950" s="21">
        <v>35</v>
      </c>
      <c r="B950" s="39" t="s">
        <v>656</v>
      </c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59">
        <v>3.2</v>
      </c>
      <c r="R950" s="59"/>
      <c r="S950" s="59"/>
      <c r="T950" s="59"/>
      <c r="U950" s="59"/>
      <c r="V950" s="59"/>
      <c r="W950" s="59"/>
      <c r="X950" s="41">
        <v>46.56</v>
      </c>
      <c r="Y950" s="41"/>
      <c r="Z950" s="41"/>
      <c r="AA950" s="41"/>
      <c r="AB950" s="41"/>
      <c r="AC950" s="43">
        <v>43.432000000000002</v>
      </c>
      <c r="AD950" s="43"/>
      <c r="AE950" s="43"/>
      <c r="AF950" s="43"/>
      <c r="AG950" s="43"/>
      <c r="AH950" s="43">
        <v>3.1280000000000001</v>
      </c>
      <c r="AI950" s="43"/>
      <c r="AJ950" s="43"/>
      <c r="AK950" s="43"/>
    </row>
    <row r="951" spans="1:37" ht="11.25" hidden="1" customHeight="1" x14ac:dyDescent="0.2">
      <c r="A951" s="21">
        <v>36</v>
      </c>
      <c r="B951" s="39" t="s">
        <v>678</v>
      </c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43">
        <v>2.9350000000000001</v>
      </c>
      <c r="R951" s="43"/>
      <c r="S951" s="43"/>
      <c r="T951" s="43"/>
      <c r="U951" s="43"/>
      <c r="V951" s="43"/>
      <c r="W951" s="43"/>
      <c r="X951" s="41">
        <v>64.61</v>
      </c>
      <c r="Y951" s="41"/>
      <c r="Z951" s="41"/>
      <c r="AA951" s="41"/>
      <c r="AB951" s="41"/>
      <c r="AC951" s="43">
        <v>62.634</v>
      </c>
      <c r="AD951" s="43"/>
      <c r="AE951" s="43"/>
      <c r="AF951" s="43"/>
      <c r="AG951" s="43"/>
      <c r="AH951" s="43">
        <v>1.976</v>
      </c>
      <c r="AI951" s="43"/>
      <c r="AJ951" s="43"/>
      <c r="AK951" s="43"/>
    </row>
    <row r="952" spans="1:37" ht="11.25" hidden="1" customHeight="1" x14ac:dyDescent="0.2">
      <c r="A952" s="21">
        <v>37</v>
      </c>
      <c r="B952" s="39" t="s">
        <v>705</v>
      </c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41">
        <v>2.83</v>
      </c>
      <c r="R952" s="41"/>
      <c r="S952" s="41"/>
      <c r="T952" s="41"/>
      <c r="U952" s="41"/>
      <c r="V952" s="41"/>
      <c r="W952" s="41"/>
      <c r="X952" s="41">
        <v>10.43</v>
      </c>
      <c r="Y952" s="41"/>
      <c r="Z952" s="41"/>
      <c r="AA952" s="41"/>
      <c r="AB952" s="41"/>
      <c r="AC952" s="59">
        <v>7.6</v>
      </c>
      <c r="AD952" s="59"/>
      <c r="AE952" s="59"/>
      <c r="AF952" s="59"/>
      <c r="AG952" s="59"/>
      <c r="AH952" s="41">
        <v>2.83</v>
      </c>
      <c r="AI952" s="41"/>
      <c r="AJ952" s="41"/>
      <c r="AK952" s="41"/>
    </row>
    <row r="953" spans="1:37" ht="11.25" hidden="1" customHeight="1" x14ac:dyDescent="0.2">
      <c r="A953" s="21">
        <v>38</v>
      </c>
      <c r="B953" s="39" t="s">
        <v>820</v>
      </c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59">
        <v>2.7</v>
      </c>
      <c r="R953" s="59"/>
      <c r="S953" s="59"/>
      <c r="T953" s="59"/>
      <c r="U953" s="59"/>
      <c r="V953" s="59"/>
      <c r="W953" s="59"/>
      <c r="X953" s="41">
        <v>28.78</v>
      </c>
      <c r="Y953" s="41"/>
      <c r="Z953" s="41"/>
      <c r="AA953" s="41"/>
      <c r="AB953" s="41"/>
      <c r="AC953" s="41">
        <v>26.08</v>
      </c>
      <c r="AD953" s="41"/>
      <c r="AE953" s="41"/>
      <c r="AF953" s="41"/>
      <c r="AG953" s="41"/>
      <c r="AH953" s="59">
        <v>2.7</v>
      </c>
      <c r="AI953" s="59"/>
      <c r="AJ953" s="59"/>
      <c r="AK953" s="59"/>
    </row>
    <row r="954" spans="1:37" ht="11.25" hidden="1" customHeight="1" x14ac:dyDescent="0.2">
      <c r="A954" s="21">
        <v>39</v>
      </c>
      <c r="B954" s="39" t="s">
        <v>475</v>
      </c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43">
        <v>2.569</v>
      </c>
      <c r="R954" s="43"/>
      <c r="S954" s="43"/>
      <c r="T954" s="43"/>
      <c r="U954" s="43"/>
      <c r="V954" s="43"/>
      <c r="W954" s="43"/>
      <c r="X954" s="59">
        <v>144.6</v>
      </c>
      <c r="Y954" s="59"/>
      <c r="Z954" s="59"/>
      <c r="AA954" s="59"/>
      <c r="AB954" s="59"/>
      <c r="AC954" s="43">
        <v>146.49799999999999</v>
      </c>
      <c r="AD954" s="43"/>
      <c r="AE954" s="43"/>
      <c r="AF954" s="43"/>
      <c r="AG954" s="43"/>
      <c r="AH954" s="43">
        <v>-1.8979999999999999</v>
      </c>
      <c r="AI954" s="43"/>
      <c r="AJ954" s="43"/>
      <c r="AK954" s="43"/>
    </row>
    <row r="955" spans="1:37" ht="11.25" hidden="1" customHeight="1" x14ac:dyDescent="0.2">
      <c r="A955" s="21">
        <v>40</v>
      </c>
      <c r="B955" s="39" t="s">
        <v>618</v>
      </c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41">
        <v>2.4900000000000002</v>
      </c>
      <c r="R955" s="41"/>
      <c r="S955" s="41"/>
      <c r="T955" s="41"/>
      <c r="U955" s="41"/>
      <c r="V955" s="41"/>
      <c r="W955" s="41"/>
      <c r="X955" s="41">
        <v>26.99</v>
      </c>
      <c r="Y955" s="41"/>
      <c r="Z955" s="41"/>
      <c r="AA955" s="41"/>
      <c r="AB955" s="41"/>
      <c r="AC955" s="43">
        <v>24.626999999999999</v>
      </c>
      <c r="AD955" s="43"/>
      <c r="AE955" s="43"/>
      <c r="AF955" s="43"/>
      <c r="AG955" s="43"/>
      <c r="AH955" s="43">
        <v>2.363</v>
      </c>
      <c r="AI955" s="43"/>
      <c r="AJ955" s="43"/>
      <c r="AK955" s="43"/>
    </row>
    <row r="956" spans="1:37" ht="11.25" hidden="1" customHeight="1" x14ac:dyDescent="0.2">
      <c r="A956" s="21">
        <v>41</v>
      </c>
      <c r="B956" s="39" t="s">
        <v>399</v>
      </c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41">
        <v>2.41</v>
      </c>
      <c r="R956" s="41"/>
      <c r="S956" s="41"/>
      <c r="T956" s="41"/>
      <c r="U956" s="41"/>
      <c r="V956" s="41"/>
      <c r="W956" s="41"/>
      <c r="X956" s="41">
        <v>63.54</v>
      </c>
      <c r="Y956" s="41"/>
      <c r="Z956" s="41"/>
      <c r="AA956" s="41"/>
      <c r="AB956" s="41"/>
      <c r="AC956" s="43">
        <v>61.722000000000001</v>
      </c>
      <c r="AD956" s="43"/>
      <c r="AE956" s="43"/>
      <c r="AF956" s="43"/>
      <c r="AG956" s="43"/>
      <c r="AH956" s="43">
        <v>1.8180000000000001</v>
      </c>
      <c r="AI956" s="43"/>
      <c r="AJ956" s="43"/>
      <c r="AK956" s="43"/>
    </row>
    <row r="957" spans="1:37" ht="11.25" hidden="1" customHeight="1" x14ac:dyDescent="0.2">
      <c r="A957" s="21">
        <v>42</v>
      </c>
      <c r="B957" s="39" t="s">
        <v>679</v>
      </c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43">
        <v>2.3519999999999999</v>
      </c>
      <c r="R957" s="43"/>
      <c r="S957" s="43"/>
      <c r="T957" s="43"/>
      <c r="U957" s="43"/>
      <c r="V957" s="43"/>
      <c r="W957" s="43"/>
      <c r="X957" s="41">
        <v>81.05</v>
      </c>
      <c r="Y957" s="41"/>
      <c r="Z957" s="41"/>
      <c r="AA957" s="41"/>
      <c r="AB957" s="41"/>
      <c r="AC957" s="41">
        <v>80.83</v>
      </c>
      <c r="AD957" s="41"/>
      <c r="AE957" s="41"/>
      <c r="AF957" s="41"/>
      <c r="AG957" s="41"/>
      <c r="AH957" s="41">
        <v>0.22</v>
      </c>
      <c r="AI957" s="41"/>
      <c r="AJ957" s="41"/>
      <c r="AK957" s="41"/>
    </row>
    <row r="958" spans="1:37" ht="11.25" hidden="1" customHeight="1" x14ac:dyDescent="0.2">
      <c r="A958" s="21">
        <v>43</v>
      </c>
      <c r="B958" s="39" t="s">
        <v>745</v>
      </c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43">
        <v>2.3260000000000001</v>
      </c>
      <c r="R958" s="43"/>
      <c r="S958" s="43"/>
      <c r="T958" s="43"/>
      <c r="U958" s="43"/>
      <c r="V958" s="43"/>
      <c r="W958" s="43"/>
      <c r="X958" s="41">
        <v>104.34</v>
      </c>
      <c r="Y958" s="41"/>
      <c r="Z958" s="41"/>
      <c r="AA958" s="41"/>
      <c r="AB958" s="41"/>
      <c r="AC958" s="43">
        <v>103.102</v>
      </c>
      <c r="AD958" s="43"/>
      <c r="AE958" s="43"/>
      <c r="AF958" s="43"/>
      <c r="AG958" s="43"/>
      <c r="AH958" s="43">
        <v>1.238</v>
      </c>
      <c r="AI958" s="43"/>
      <c r="AJ958" s="43"/>
      <c r="AK958" s="43"/>
    </row>
    <row r="959" spans="1:37" ht="11.25" hidden="1" customHeight="1" x14ac:dyDescent="0.2">
      <c r="A959" s="21">
        <v>44</v>
      </c>
      <c r="B959" s="39" t="s">
        <v>355</v>
      </c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43">
        <v>2.1749999999999998</v>
      </c>
      <c r="R959" s="43"/>
      <c r="S959" s="43"/>
      <c r="T959" s="43"/>
      <c r="U959" s="43"/>
      <c r="V959" s="43"/>
      <c r="W959" s="43"/>
      <c r="X959" s="41">
        <v>65.94</v>
      </c>
      <c r="Y959" s="41"/>
      <c r="Z959" s="41"/>
      <c r="AA959" s="41"/>
      <c r="AB959" s="41"/>
      <c r="AC959" s="43">
        <v>63.981000000000002</v>
      </c>
      <c r="AD959" s="43"/>
      <c r="AE959" s="43"/>
      <c r="AF959" s="43"/>
      <c r="AG959" s="43"/>
      <c r="AH959" s="43">
        <v>1.9590000000000001</v>
      </c>
      <c r="AI959" s="43"/>
      <c r="AJ959" s="43"/>
      <c r="AK959" s="43"/>
    </row>
    <row r="960" spans="1:37" ht="11.25" hidden="1" customHeight="1" x14ac:dyDescent="0.2">
      <c r="A960" s="21">
        <v>45</v>
      </c>
      <c r="B960" s="39" t="s">
        <v>746</v>
      </c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43">
        <v>2.165</v>
      </c>
      <c r="R960" s="43"/>
      <c r="S960" s="43"/>
      <c r="T960" s="43"/>
      <c r="U960" s="43"/>
      <c r="V960" s="43"/>
      <c r="W960" s="43"/>
      <c r="X960" s="41">
        <v>55.52</v>
      </c>
      <c r="Y960" s="41"/>
      <c r="Z960" s="41"/>
      <c r="AA960" s="41"/>
      <c r="AB960" s="41"/>
      <c r="AC960" s="43">
        <v>54.143000000000001</v>
      </c>
      <c r="AD960" s="43"/>
      <c r="AE960" s="43"/>
      <c r="AF960" s="43"/>
      <c r="AG960" s="43"/>
      <c r="AH960" s="43">
        <v>1.377</v>
      </c>
      <c r="AI960" s="43"/>
      <c r="AJ960" s="43"/>
      <c r="AK960" s="43"/>
    </row>
    <row r="961" spans="1:37" ht="11.25" hidden="1" customHeight="1" x14ac:dyDescent="0.2">
      <c r="A961" s="21">
        <v>46</v>
      </c>
      <c r="B961" s="39" t="s">
        <v>351</v>
      </c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43">
        <v>2.0760000000000001</v>
      </c>
      <c r="R961" s="43"/>
      <c r="S961" s="43"/>
      <c r="T961" s="43"/>
      <c r="U961" s="43"/>
      <c r="V961" s="43"/>
      <c r="W961" s="43"/>
      <c r="X961" s="41">
        <v>208.54</v>
      </c>
      <c r="Y961" s="41"/>
      <c r="Z961" s="41"/>
      <c r="AA961" s="41"/>
      <c r="AB961" s="41"/>
      <c r="AC961" s="43">
        <v>209.99600000000001</v>
      </c>
      <c r="AD961" s="43"/>
      <c r="AE961" s="43"/>
      <c r="AF961" s="43"/>
      <c r="AG961" s="43"/>
      <c r="AH961" s="43">
        <v>-1.456</v>
      </c>
      <c r="AI961" s="43"/>
      <c r="AJ961" s="43"/>
      <c r="AK961" s="43"/>
    </row>
    <row r="962" spans="1:37" ht="11.25" hidden="1" customHeight="1" x14ac:dyDescent="0.2">
      <c r="A962" s="21">
        <v>47</v>
      </c>
      <c r="B962" s="39" t="s">
        <v>426</v>
      </c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58">
        <v>2</v>
      </c>
      <c r="R962" s="58"/>
      <c r="S962" s="58"/>
      <c r="T962" s="58"/>
      <c r="U962" s="58"/>
      <c r="V962" s="58"/>
      <c r="W962" s="58"/>
      <c r="X962" s="59">
        <v>11.7</v>
      </c>
      <c r="Y962" s="59"/>
      <c r="Z962" s="59"/>
      <c r="AA962" s="59"/>
      <c r="AB962" s="59"/>
      <c r="AC962" s="43">
        <v>10.252000000000001</v>
      </c>
      <c r="AD962" s="43"/>
      <c r="AE962" s="43"/>
      <c r="AF962" s="43"/>
      <c r="AG962" s="43"/>
      <c r="AH962" s="43">
        <v>1.448</v>
      </c>
      <c r="AI962" s="43"/>
      <c r="AJ962" s="43"/>
      <c r="AK962" s="43"/>
    </row>
    <row r="963" spans="1:37" ht="21.75" hidden="1" customHeight="1" x14ac:dyDescent="0.2">
      <c r="A963" s="21">
        <v>48</v>
      </c>
      <c r="B963" s="39" t="s">
        <v>657</v>
      </c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43">
        <v>1.9990000000000001</v>
      </c>
      <c r="R963" s="43"/>
      <c r="S963" s="43"/>
      <c r="T963" s="43"/>
      <c r="U963" s="43"/>
      <c r="V963" s="43"/>
      <c r="W963" s="43"/>
      <c r="X963" s="59">
        <v>28.2</v>
      </c>
      <c r="Y963" s="59"/>
      <c r="Z963" s="59"/>
      <c r="AA963" s="59"/>
      <c r="AB963" s="59"/>
      <c r="AC963" s="43">
        <v>26.201000000000001</v>
      </c>
      <c r="AD963" s="43"/>
      <c r="AE963" s="43"/>
      <c r="AF963" s="43"/>
      <c r="AG963" s="43"/>
      <c r="AH963" s="43">
        <v>1.9990000000000001</v>
      </c>
      <c r="AI963" s="43"/>
      <c r="AJ963" s="43"/>
      <c r="AK963" s="43"/>
    </row>
    <row r="964" spans="1:37" ht="11.25" hidden="1" customHeight="1" x14ac:dyDescent="0.2">
      <c r="A964" s="21">
        <v>49</v>
      </c>
      <c r="B964" s="39" t="s">
        <v>363</v>
      </c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43">
        <v>1.9990000000000001</v>
      </c>
      <c r="R964" s="43"/>
      <c r="S964" s="43"/>
      <c r="T964" s="43"/>
      <c r="U964" s="43"/>
      <c r="V964" s="43"/>
      <c r="W964" s="43"/>
      <c r="X964" s="58">
        <v>755</v>
      </c>
      <c r="Y964" s="58"/>
      <c r="Z964" s="58"/>
      <c r="AA964" s="58"/>
      <c r="AB964" s="58"/>
      <c r="AC964" s="43">
        <v>770.43200000000002</v>
      </c>
      <c r="AD964" s="43"/>
      <c r="AE964" s="43"/>
      <c r="AF964" s="43"/>
      <c r="AG964" s="43"/>
      <c r="AH964" s="43">
        <v>-15.432</v>
      </c>
      <c r="AI964" s="43"/>
      <c r="AJ964" s="43"/>
      <c r="AK964" s="43"/>
    </row>
    <row r="965" spans="1:37" ht="11.25" hidden="1" customHeight="1" x14ac:dyDescent="0.2">
      <c r="A965" s="21">
        <v>50</v>
      </c>
      <c r="B965" s="39" t="s">
        <v>476</v>
      </c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43">
        <v>1.9910000000000001</v>
      </c>
      <c r="R965" s="43"/>
      <c r="S965" s="43"/>
      <c r="T965" s="43"/>
      <c r="U965" s="43"/>
      <c r="V965" s="43"/>
      <c r="W965" s="43"/>
      <c r="X965" s="41">
        <v>47.29</v>
      </c>
      <c r="Y965" s="41"/>
      <c r="Z965" s="41"/>
      <c r="AA965" s="41"/>
      <c r="AB965" s="41"/>
      <c r="AC965" s="43">
        <v>46.121000000000002</v>
      </c>
      <c r="AD965" s="43"/>
      <c r="AE965" s="43"/>
      <c r="AF965" s="43"/>
      <c r="AG965" s="43"/>
      <c r="AH965" s="43">
        <v>1.169</v>
      </c>
      <c r="AI965" s="43"/>
      <c r="AJ965" s="43"/>
      <c r="AK965" s="43"/>
    </row>
    <row r="966" spans="1:37" ht="21.75" hidden="1" customHeight="1" x14ac:dyDescent="0.2">
      <c r="A966" s="21">
        <v>51</v>
      </c>
      <c r="B966" s="39" t="s">
        <v>367</v>
      </c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43">
        <v>1.901</v>
      </c>
      <c r="R966" s="43"/>
      <c r="S966" s="43"/>
      <c r="T966" s="43"/>
      <c r="U966" s="43"/>
      <c r="V966" s="43"/>
      <c r="W966" s="43"/>
      <c r="X966" s="59">
        <v>65.7</v>
      </c>
      <c r="Y966" s="59"/>
      <c r="Z966" s="59"/>
      <c r="AA966" s="59"/>
      <c r="AB966" s="59"/>
      <c r="AC966" s="43">
        <v>65.867999999999995</v>
      </c>
      <c r="AD966" s="43"/>
      <c r="AE966" s="43"/>
      <c r="AF966" s="43"/>
      <c r="AG966" s="43"/>
      <c r="AH966" s="43">
        <v>-0.16800000000000001</v>
      </c>
      <c r="AI966" s="43"/>
      <c r="AJ966" s="43"/>
      <c r="AK966" s="43"/>
    </row>
    <row r="967" spans="1:37" ht="11.25" hidden="1" customHeight="1" x14ac:dyDescent="0.2">
      <c r="A967" s="21">
        <v>52</v>
      </c>
      <c r="B967" s="39" t="s">
        <v>706</v>
      </c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43">
        <v>1.8620000000000001</v>
      </c>
      <c r="R967" s="43"/>
      <c r="S967" s="43"/>
      <c r="T967" s="43"/>
      <c r="U967" s="43"/>
      <c r="V967" s="43"/>
      <c r="W967" s="43"/>
      <c r="X967" s="41">
        <v>39.11</v>
      </c>
      <c r="Y967" s="41"/>
      <c r="Z967" s="41"/>
      <c r="AA967" s="41"/>
      <c r="AB967" s="41"/>
      <c r="AC967" s="43">
        <v>37.951000000000001</v>
      </c>
      <c r="AD967" s="43"/>
      <c r="AE967" s="43"/>
      <c r="AF967" s="43"/>
      <c r="AG967" s="43"/>
      <c r="AH967" s="43">
        <v>1.159</v>
      </c>
      <c r="AI967" s="43"/>
      <c r="AJ967" s="43"/>
      <c r="AK967" s="43"/>
    </row>
    <row r="968" spans="1:37" ht="21.75" hidden="1" customHeight="1" x14ac:dyDescent="0.2">
      <c r="A968" s="21">
        <v>53</v>
      </c>
      <c r="B968" s="39" t="s">
        <v>427</v>
      </c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41">
        <v>1.84</v>
      </c>
      <c r="R968" s="41"/>
      <c r="S968" s="41"/>
      <c r="T968" s="41"/>
      <c r="U968" s="41"/>
      <c r="V968" s="41"/>
      <c r="W968" s="41"/>
      <c r="X968" s="41">
        <v>16.649999999999999</v>
      </c>
      <c r="Y968" s="41"/>
      <c r="Z968" s="41"/>
      <c r="AA968" s="41"/>
      <c r="AB968" s="41"/>
      <c r="AC968" s="43">
        <v>14.896000000000001</v>
      </c>
      <c r="AD968" s="43"/>
      <c r="AE968" s="43"/>
      <c r="AF968" s="43"/>
      <c r="AG968" s="43"/>
      <c r="AH968" s="43">
        <v>1.754</v>
      </c>
      <c r="AI968" s="43"/>
      <c r="AJ968" s="43"/>
      <c r="AK968" s="43"/>
    </row>
    <row r="969" spans="1:37" ht="11.25" hidden="1" customHeight="1" x14ac:dyDescent="0.2">
      <c r="A969" s="21">
        <v>54</v>
      </c>
      <c r="B969" s="39" t="s">
        <v>508</v>
      </c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43">
        <v>1.8380000000000001</v>
      </c>
      <c r="R969" s="43"/>
      <c r="S969" s="43"/>
      <c r="T969" s="43"/>
      <c r="U969" s="43"/>
      <c r="V969" s="43"/>
      <c r="W969" s="43"/>
      <c r="X969" s="59">
        <v>20.399999999999999</v>
      </c>
      <c r="Y969" s="59"/>
      <c r="Z969" s="59"/>
      <c r="AA969" s="59"/>
      <c r="AB969" s="59"/>
      <c r="AC969" s="43">
        <v>19.035</v>
      </c>
      <c r="AD969" s="43"/>
      <c r="AE969" s="43"/>
      <c r="AF969" s="43"/>
      <c r="AG969" s="43"/>
      <c r="AH969" s="43">
        <v>1.365</v>
      </c>
      <c r="AI969" s="43"/>
      <c r="AJ969" s="43"/>
      <c r="AK969" s="43"/>
    </row>
    <row r="970" spans="1:37" ht="11.25" hidden="1" customHeight="1" x14ac:dyDescent="0.2">
      <c r="A970" s="21">
        <v>55</v>
      </c>
      <c r="B970" s="39" t="s">
        <v>680</v>
      </c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43">
        <v>1.823</v>
      </c>
      <c r="R970" s="43"/>
      <c r="S970" s="43"/>
      <c r="T970" s="43"/>
      <c r="U970" s="43"/>
      <c r="V970" s="43"/>
      <c r="W970" s="43"/>
      <c r="X970" s="59">
        <v>30.4</v>
      </c>
      <c r="Y970" s="59"/>
      <c r="Z970" s="59"/>
      <c r="AA970" s="59"/>
      <c r="AB970" s="59"/>
      <c r="AC970" s="43">
        <v>29.687000000000001</v>
      </c>
      <c r="AD970" s="43"/>
      <c r="AE970" s="43"/>
      <c r="AF970" s="43"/>
      <c r="AG970" s="43"/>
      <c r="AH970" s="43">
        <v>0.71299999999999997</v>
      </c>
      <c r="AI970" s="43"/>
      <c r="AJ970" s="43"/>
      <c r="AK970" s="43"/>
    </row>
    <row r="971" spans="1:37" ht="21.75" hidden="1" customHeight="1" x14ac:dyDescent="0.2">
      <c r="A971" s="21">
        <v>56</v>
      </c>
      <c r="B971" s="39" t="s">
        <v>526</v>
      </c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43">
        <v>1.8120000000000001</v>
      </c>
      <c r="R971" s="43"/>
      <c r="S971" s="43"/>
      <c r="T971" s="43"/>
      <c r="U971" s="43"/>
      <c r="V971" s="43"/>
      <c r="W971" s="43"/>
      <c r="X971" s="58">
        <v>9</v>
      </c>
      <c r="Y971" s="58"/>
      <c r="Z971" s="58"/>
      <c r="AA971" s="58"/>
      <c r="AB971" s="58"/>
      <c r="AC971" s="43">
        <v>7.1879999999999997</v>
      </c>
      <c r="AD971" s="43"/>
      <c r="AE971" s="43"/>
      <c r="AF971" s="43"/>
      <c r="AG971" s="43"/>
      <c r="AH971" s="43">
        <v>1.8120000000000001</v>
      </c>
      <c r="AI971" s="43"/>
      <c r="AJ971" s="43"/>
      <c r="AK971" s="43"/>
    </row>
    <row r="972" spans="1:37" ht="11.25" hidden="1" customHeight="1" x14ac:dyDescent="0.2">
      <c r="A972" s="21">
        <v>57</v>
      </c>
      <c r="B972" s="39" t="s">
        <v>356</v>
      </c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59">
        <v>1.8</v>
      </c>
      <c r="R972" s="59"/>
      <c r="S972" s="59"/>
      <c r="T972" s="59"/>
      <c r="U972" s="59"/>
      <c r="V972" s="59"/>
      <c r="W972" s="59"/>
      <c r="X972" s="41">
        <v>9.4499999999999993</v>
      </c>
      <c r="Y972" s="41"/>
      <c r="Z972" s="41"/>
      <c r="AA972" s="41"/>
      <c r="AB972" s="41"/>
      <c r="AC972" s="43">
        <v>7.843</v>
      </c>
      <c r="AD972" s="43"/>
      <c r="AE972" s="43"/>
      <c r="AF972" s="43"/>
      <c r="AG972" s="43"/>
      <c r="AH972" s="43">
        <v>1.607</v>
      </c>
      <c r="AI972" s="43"/>
      <c r="AJ972" s="43"/>
      <c r="AK972" s="43"/>
    </row>
    <row r="973" spans="1:37" ht="21.75" hidden="1" customHeight="1" x14ac:dyDescent="0.2">
      <c r="A973" s="21">
        <v>58</v>
      </c>
      <c r="B973" s="39" t="s">
        <v>477</v>
      </c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43">
        <v>1.7689999999999999</v>
      </c>
      <c r="R973" s="43"/>
      <c r="S973" s="43"/>
      <c r="T973" s="43"/>
      <c r="U973" s="43"/>
      <c r="V973" s="43"/>
      <c r="W973" s="43"/>
      <c r="X973" s="59">
        <v>37.799999999999997</v>
      </c>
      <c r="Y973" s="59"/>
      <c r="Z973" s="59"/>
      <c r="AA973" s="59"/>
      <c r="AB973" s="59"/>
      <c r="AC973" s="43">
        <v>38.777999999999999</v>
      </c>
      <c r="AD973" s="43"/>
      <c r="AE973" s="43"/>
      <c r="AF973" s="43"/>
      <c r="AG973" s="43"/>
      <c r="AH973" s="43">
        <v>-0.97799999999999998</v>
      </c>
      <c r="AI973" s="43"/>
      <c r="AJ973" s="43"/>
      <c r="AK973" s="43"/>
    </row>
    <row r="974" spans="1:37" ht="11.25" hidden="1" customHeight="1" x14ac:dyDescent="0.2">
      <c r="A974" s="21">
        <v>59</v>
      </c>
      <c r="B974" s="39" t="s">
        <v>835</v>
      </c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41">
        <v>1.75</v>
      </c>
      <c r="R974" s="41"/>
      <c r="S974" s="41"/>
      <c r="T974" s="41"/>
      <c r="U974" s="41"/>
      <c r="V974" s="41"/>
      <c r="W974" s="41"/>
      <c r="X974" s="43">
        <v>12.928000000000001</v>
      </c>
      <c r="Y974" s="43"/>
      <c r="Z974" s="43"/>
      <c r="AA974" s="43"/>
      <c r="AB974" s="43"/>
      <c r="AC974" s="41">
        <v>11.38</v>
      </c>
      <c r="AD974" s="41"/>
      <c r="AE974" s="41"/>
      <c r="AF974" s="41"/>
      <c r="AG974" s="41"/>
      <c r="AH974" s="43">
        <v>1.548</v>
      </c>
      <c r="AI974" s="43"/>
      <c r="AJ974" s="43"/>
      <c r="AK974" s="43"/>
    </row>
    <row r="975" spans="1:37" ht="11.25" hidden="1" customHeight="1" x14ac:dyDescent="0.2">
      <c r="A975" s="21">
        <v>60</v>
      </c>
      <c r="B975" s="39" t="s">
        <v>777</v>
      </c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43">
        <v>1.587</v>
      </c>
      <c r="R975" s="43"/>
      <c r="S975" s="43"/>
      <c r="T975" s="43"/>
      <c r="U975" s="43"/>
      <c r="V975" s="43"/>
      <c r="W975" s="43"/>
      <c r="X975" s="41">
        <v>13.16</v>
      </c>
      <c r="Y975" s="41"/>
      <c r="Z975" s="41"/>
      <c r="AA975" s="41"/>
      <c r="AB975" s="41"/>
      <c r="AC975" s="43">
        <v>11.747999999999999</v>
      </c>
      <c r="AD975" s="43"/>
      <c r="AE975" s="43"/>
      <c r="AF975" s="43"/>
      <c r="AG975" s="43"/>
      <c r="AH975" s="43">
        <v>1.4119999999999999</v>
      </c>
      <c r="AI975" s="43"/>
      <c r="AJ975" s="43"/>
      <c r="AK975" s="43"/>
    </row>
    <row r="976" spans="1:37" ht="11.25" hidden="1" customHeight="1" x14ac:dyDescent="0.2">
      <c r="A976" s="21">
        <v>61</v>
      </c>
      <c r="B976" s="39" t="s">
        <v>368</v>
      </c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43">
        <v>1.575</v>
      </c>
      <c r="R976" s="43"/>
      <c r="S976" s="43"/>
      <c r="T976" s="43"/>
      <c r="U976" s="43"/>
      <c r="V976" s="43"/>
      <c r="W976" s="43"/>
      <c r="X976" s="59">
        <v>64.599999999999994</v>
      </c>
      <c r="Y976" s="59"/>
      <c r="Z976" s="59"/>
      <c r="AA976" s="59"/>
      <c r="AB976" s="59"/>
      <c r="AC976" s="43">
        <v>63.365000000000002</v>
      </c>
      <c r="AD976" s="43"/>
      <c r="AE976" s="43"/>
      <c r="AF976" s="43"/>
      <c r="AG976" s="43"/>
      <c r="AH976" s="43">
        <v>1.2350000000000001</v>
      </c>
      <c r="AI976" s="43"/>
      <c r="AJ976" s="43"/>
      <c r="AK976" s="43"/>
    </row>
    <row r="977" spans="1:37" ht="21.75" hidden="1" customHeight="1" x14ac:dyDescent="0.2">
      <c r="A977" s="21">
        <v>62</v>
      </c>
      <c r="B977" s="39" t="s">
        <v>369</v>
      </c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43">
        <v>1.5620000000000001</v>
      </c>
      <c r="R977" s="43"/>
      <c r="S977" s="43"/>
      <c r="T977" s="43"/>
      <c r="U977" s="43"/>
      <c r="V977" s="43"/>
      <c r="W977" s="43"/>
      <c r="X977" s="41">
        <v>49.35</v>
      </c>
      <c r="Y977" s="41"/>
      <c r="Z977" s="41"/>
      <c r="AA977" s="41"/>
      <c r="AB977" s="41"/>
      <c r="AC977" s="41">
        <v>48.59</v>
      </c>
      <c r="AD977" s="41"/>
      <c r="AE977" s="41"/>
      <c r="AF977" s="41"/>
      <c r="AG977" s="41"/>
      <c r="AH977" s="41">
        <v>0.76</v>
      </c>
      <c r="AI977" s="41"/>
      <c r="AJ977" s="41"/>
      <c r="AK977" s="41"/>
    </row>
    <row r="978" spans="1:37" ht="11.25" hidden="1" customHeight="1" x14ac:dyDescent="0.2">
      <c r="A978" s="21">
        <v>63</v>
      </c>
      <c r="B978" s="39" t="s">
        <v>509</v>
      </c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43">
        <v>1.552</v>
      </c>
      <c r="R978" s="43"/>
      <c r="S978" s="43"/>
      <c r="T978" s="43"/>
      <c r="U978" s="43"/>
      <c r="V978" s="43"/>
      <c r="W978" s="43"/>
      <c r="X978" s="59">
        <v>28.2</v>
      </c>
      <c r="Y978" s="59"/>
      <c r="Z978" s="59"/>
      <c r="AA978" s="59"/>
      <c r="AB978" s="59"/>
      <c r="AC978" s="43">
        <v>27.422999999999998</v>
      </c>
      <c r="AD978" s="43"/>
      <c r="AE978" s="43"/>
      <c r="AF978" s="43"/>
      <c r="AG978" s="43"/>
      <c r="AH978" s="43">
        <v>0.77700000000000002</v>
      </c>
      <c r="AI978" s="43"/>
      <c r="AJ978" s="43"/>
      <c r="AK978" s="43"/>
    </row>
    <row r="979" spans="1:37" ht="11.25" hidden="1" customHeight="1" x14ac:dyDescent="0.2">
      <c r="A979" s="21">
        <v>64</v>
      </c>
      <c r="B979" s="39" t="s">
        <v>778</v>
      </c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41">
        <v>1.53</v>
      </c>
      <c r="R979" s="41"/>
      <c r="S979" s="41"/>
      <c r="T979" s="41"/>
      <c r="U979" s="41"/>
      <c r="V979" s="41"/>
      <c r="W979" s="41"/>
      <c r="X979" s="58">
        <v>11</v>
      </c>
      <c r="Y979" s="58"/>
      <c r="Z979" s="58"/>
      <c r="AA979" s="58"/>
      <c r="AB979" s="58"/>
      <c r="AC979" s="43">
        <v>9.8330000000000002</v>
      </c>
      <c r="AD979" s="43"/>
      <c r="AE979" s="43"/>
      <c r="AF979" s="43"/>
      <c r="AG979" s="43"/>
      <c r="AH979" s="43">
        <v>1.167</v>
      </c>
      <c r="AI979" s="43"/>
      <c r="AJ979" s="43"/>
      <c r="AK979" s="43"/>
    </row>
    <row r="980" spans="1:37" ht="11.25" hidden="1" customHeight="1" x14ac:dyDescent="0.2">
      <c r="A980" s="21">
        <v>65</v>
      </c>
      <c r="B980" s="39" t="s">
        <v>400</v>
      </c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43">
        <v>1.4670000000000001</v>
      </c>
      <c r="R980" s="43"/>
      <c r="S980" s="43"/>
      <c r="T980" s="43"/>
      <c r="U980" s="43"/>
      <c r="V980" s="43"/>
      <c r="W980" s="43"/>
      <c r="X980" s="41">
        <v>10.38</v>
      </c>
      <c r="Y980" s="41"/>
      <c r="Z980" s="41"/>
      <c r="AA980" s="41"/>
      <c r="AB980" s="41"/>
      <c r="AC980" s="41">
        <v>9.09</v>
      </c>
      <c r="AD980" s="41"/>
      <c r="AE980" s="41"/>
      <c r="AF980" s="41"/>
      <c r="AG980" s="41"/>
      <c r="AH980" s="41">
        <v>1.29</v>
      </c>
      <c r="AI980" s="41"/>
      <c r="AJ980" s="41"/>
      <c r="AK980" s="41"/>
    </row>
    <row r="981" spans="1:37" ht="11.25" hidden="1" customHeight="1" x14ac:dyDescent="0.2">
      <c r="A981" s="21">
        <v>66</v>
      </c>
      <c r="B981" s="39" t="s">
        <v>510</v>
      </c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43">
        <v>1.4530000000000001</v>
      </c>
      <c r="R981" s="43"/>
      <c r="S981" s="43"/>
      <c r="T981" s="43"/>
      <c r="U981" s="43"/>
      <c r="V981" s="43"/>
      <c r="W981" s="43"/>
      <c r="X981" s="41">
        <v>71.25</v>
      </c>
      <c r="Y981" s="41"/>
      <c r="Z981" s="41"/>
      <c r="AA981" s="41"/>
      <c r="AB981" s="41"/>
      <c r="AC981" s="43">
        <v>71.162000000000006</v>
      </c>
      <c r="AD981" s="43"/>
      <c r="AE981" s="43"/>
      <c r="AF981" s="43"/>
      <c r="AG981" s="43"/>
      <c r="AH981" s="43">
        <v>8.7999999999999995E-2</v>
      </c>
      <c r="AI981" s="43"/>
      <c r="AJ981" s="43"/>
      <c r="AK981" s="43"/>
    </row>
    <row r="982" spans="1:37" ht="11.25" hidden="1" customHeight="1" x14ac:dyDescent="0.2">
      <c r="A982" s="21">
        <v>67</v>
      </c>
      <c r="B982" s="39" t="s">
        <v>511</v>
      </c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43">
        <v>1.4510000000000001</v>
      </c>
      <c r="R982" s="43"/>
      <c r="S982" s="43"/>
      <c r="T982" s="43"/>
      <c r="U982" s="43"/>
      <c r="V982" s="43"/>
      <c r="W982" s="43"/>
      <c r="X982" s="43">
        <v>83.531999999999996</v>
      </c>
      <c r="Y982" s="43"/>
      <c r="Z982" s="43"/>
      <c r="AA982" s="43"/>
      <c r="AB982" s="43"/>
      <c r="AC982" s="43">
        <v>84.379000000000005</v>
      </c>
      <c r="AD982" s="43"/>
      <c r="AE982" s="43"/>
      <c r="AF982" s="43"/>
      <c r="AG982" s="43"/>
      <c r="AH982" s="43">
        <v>-0.84699999999999998</v>
      </c>
      <c r="AI982" s="43"/>
      <c r="AJ982" s="43"/>
      <c r="AK982" s="43"/>
    </row>
    <row r="983" spans="1:37" ht="11.25" hidden="1" customHeight="1" x14ac:dyDescent="0.2">
      <c r="A983" s="21">
        <v>68</v>
      </c>
      <c r="B983" s="39" t="s">
        <v>478</v>
      </c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43">
        <v>1.446</v>
      </c>
      <c r="R983" s="43"/>
      <c r="S983" s="43"/>
      <c r="T983" s="43"/>
      <c r="U983" s="43"/>
      <c r="V983" s="43"/>
      <c r="W983" s="43"/>
      <c r="X983" s="41">
        <v>18.84</v>
      </c>
      <c r="Y983" s="41"/>
      <c r="Z983" s="41"/>
      <c r="AA983" s="41"/>
      <c r="AB983" s="41"/>
      <c r="AC983" s="43">
        <v>17.521000000000001</v>
      </c>
      <c r="AD983" s="43"/>
      <c r="AE983" s="43"/>
      <c r="AF983" s="43"/>
      <c r="AG983" s="43"/>
      <c r="AH983" s="43">
        <v>1.319</v>
      </c>
      <c r="AI983" s="43"/>
      <c r="AJ983" s="43"/>
      <c r="AK983" s="43"/>
    </row>
    <row r="984" spans="1:37" ht="11.25" hidden="1" customHeight="1" x14ac:dyDescent="0.2">
      <c r="A984" s="21">
        <v>69</v>
      </c>
      <c r="B984" s="39" t="s">
        <v>579</v>
      </c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43">
        <v>1.367</v>
      </c>
      <c r="R984" s="43"/>
      <c r="S984" s="43"/>
      <c r="T984" s="43"/>
      <c r="U984" s="43"/>
      <c r="V984" s="43"/>
      <c r="W984" s="43"/>
      <c r="X984" s="41">
        <v>34.25</v>
      </c>
      <c r="Y984" s="41"/>
      <c r="Z984" s="41"/>
      <c r="AA984" s="41"/>
      <c r="AB984" s="41"/>
      <c r="AC984" s="41">
        <v>33.65</v>
      </c>
      <c r="AD984" s="41"/>
      <c r="AE984" s="41"/>
      <c r="AF984" s="41"/>
      <c r="AG984" s="41"/>
      <c r="AH984" s="59">
        <v>0.6</v>
      </c>
      <c r="AI984" s="59"/>
      <c r="AJ984" s="59"/>
      <c r="AK984" s="59"/>
    </row>
    <row r="985" spans="1:37" ht="11.25" hidden="1" customHeight="1" x14ac:dyDescent="0.2">
      <c r="A985" s="21">
        <v>70</v>
      </c>
      <c r="B985" s="39" t="s">
        <v>836</v>
      </c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41">
        <v>1.36</v>
      </c>
      <c r="R985" s="41"/>
      <c r="S985" s="41"/>
      <c r="T985" s="41"/>
      <c r="U985" s="41"/>
      <c r="V985" s="41"/>
      <c r="W985" s="41"/>
      <c r="X985" s="41">
        <v>96.36</v>
      </c>
      <c r="Y985" s="41"/>
      <c r="Z985" s="41"/>
      <c r="AA985" s="41"/>
      <c r="AB985" s="41"/>
      <c r="AC985" s="41">
        <v>96.46</v>
      </c>
      <c r="AD985" s="41"/>
      <c r="AE985" s="41"/>
      <c r="AF985" s="41"/>
      <c r="AG985" s="41"/>
      <c r="AH985" s="59">
        <v>-0.1</v>
      </c>
      <c r="AI985" s="59"/>
      <c r="AJ985" s="59"/>
      <c r="AK985" s="59"/>
    </row>
    <row r="986" spans="1:37" ht="11.25" hidden="1" customHeight="1" x14ac:dyDescent="0.2">
      <c r="A986" s="21">
        <v>71</v>
      </c>
      <c r="B986" s="39" t="s">
        <v>837</v>
      </c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43">
        <v>1.3180000000000001</v>
      </c>
      <c r="R986" s="43"/>
      <c r="S986" s="43"/>
      <c r="T986" s="43"/>
      <c r="U986" s="43"/>
      <c r="V986" s="43"/>
      <c r="W986" s="43"/>
      <c r="X986" s="41">
        <v>17.96</v>
      </c>
      <c r="Y986" s="41"/>
      <c r="Z986" s="41"/>
      <c r="AA986" s="41"/>
      <c r="AB986" s="41"/>
      <c r="AC986" s="43">
        <v>17.114999999999998</v>
      </c>
      <c r="AD986" s="43"/>
      <c r="AE986" s="43"/>
      <c r="AF986" s="43"/>
      <c r="AG986" s="43"/>
      <c r="AH986" s="43">
        <v>0.84499999999999997</v>
      </c>
      <c r="AI986" s="43"/>
      <c r="AJ986" s="43"/>
      <c r="AK986" s="43"/>
    </row>
    <row r="987" spans="1:37" ht="11.25" hidden="1" customHeight="1" x14ac:dyDescent="0.2">
      <c r="A987" s="21">
        <v>72</v>
      </c>
      <c r="B987" s="39" t="s">
        <v>479</v>
      </c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41">
        <v>1.31</v>
      </c>
      <c r="R987" s="41"/>
      <c r="S987" s="41"/>
      <c r="T987" s="41"/>
      <c r="U987" s="41"/>
      <c r="V987" s="41"/>
      <c r="W987" s="41"/>
      <c r="X987" s="41">
        <v>21.51</v>
      </c>
      <c r="Y987" s="41"/>
      <c r="Z987" s="41"/>
      <c r="AA987" s="41"/>
      <c r="AB987" s="41"/>
      <c r="AC987" s="43">
        <v>20.652999999999999</v>
      </c>
      <c r="AD987" s="43"/>
      <c r="AE987" s="43"/>
      <c r="AF987" s="43"/>
      <c r="AG987" s="43"/>
      <c r="AH987" s="43">
        <v>0.85699999999999998</v>
      </c>
      <c r="AI987" s="43"/>
      <c r="AJ987" s="43"/>
      <c r="AK987" s="43"/>
    </row>
    <row r="988" spans="1:37" ht="11.25" hidden="1" customHeight="1" x14ac:dyDescent="0.2">
      <c r="A988" s="21">
        <v>73</v>
      </c>
      <c r="B988" s="39" t="s">
        <v>512</v>
      </c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43">
        <v>1.2929999999999999</v>
      </c>
      <c r="R988" s="43"/>
      <c r="S988" s="43"/>
      <c r="T988" s="43"/>
      <c r="U988" s="43"/>
      <c r="V988" s="43"/>
      <c r="W988" s="43"/>
      <c r="X988" s="41">
        <v>158.35</v>
      </c>
      <c r="Y988" s="41"/>
      <c r="Z988" s="41"/>
      <c r="AA988" s="41"/>
      <c r="AB988" s="41"/>
      <c r="AC988" s="43">
        <v>158.31399999999999</v>
      </c>
      <c r="AD988" s="43"/>
      <c r="AE988" s="43"/>
      <c r="AF988" s="43"/>
      <c r="AG988" s="43"/>
      <c r="AH988" s="43">
        <v>3.5999999999999997E-2</v>
      </c>
      <c r="AI988" s="43"/>
      <c r="AJ988" s="43"/>
      <c r="AK988" s="43"/>
    </row>
    <row r="989" spans="1:37" ht="11.25" hidden="1" customHeight="1" x14ac:dyDescent="0.2">
      <c r="A989" s="21">
        <v>74</v>
      </c>
      <c r="B989" s="39" t="s">
        <v>707</v>
      </c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59">
        <v>1.2</v>
      </c>
      <c r="R989" s="59"/>
      <c r="S989" s="59"/>
      <c r="T989" s="59"/>
      <c r="U989" s="59"/>
      <c r="V989" s="59"/>
      <c r="W989" s="59"/>
      <c r="X989" s="59">
        <v>11.4</v>
      </c>
      <c r="Y989" s="59"/>
      <c r="Z989" s="59"/>
      <c r="AA989" s="59"/>
      <c r="AB989" s="59"/>
      <c r="AC989" s="43">
        <v>10.371</v>
      </c>
      <c r="AD989" s="43"/>
      <c r="AE989" s="43"/>
      <c r="AF989" s="43"/>
      <c r="AG989" s="43"/>
      <c r="AH989" s="43">
        <v>1.0289999999999999</v>
      </c>
      <c r="AI989" s="43"/>
      <c r="AJ989" s="43"/>
      <c r="AK989" s="43"/>
    </row>
    <row r="990" spans="1:37" ht="11.25" hidden="1" customHeight="1" x14ac:dyDescent="0.2">
      <c r="A990" s="21">
        <v>75</v>
      </c>
      <c r="B990" s="39" t="s">
        <v>480</v>
      </c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59">
        <v>1.2</v>
      </c>
      <c r="R990" s="59"/>
      <c r="S990" s="59"/>
      <c r="T990" s="59"/>
      <c r="U990" s="59"/>
      <c r="V990" s="59"/>
      <c r="W990" s="59"/>
      <c r="X990" s="41">
        <v>20.29</v>
      </c>
      <c r="Y990" s="41"/>
      <c r="Z990" s="41"/>
      <c r="AA990" s="41"/>
      <c r="AB990" s="41"/>
      <c r="AC990" s="43">
        <v>19.326000000000001</v>
      </c>
      <c r="AD990" s="43"/>
      <c r="AE990" s="43"/>
      <c r="AF990" s="43"/>
      <c r="AG990" s="43"/>
      <c r="AH990" s="43">
        <v>0.96399999999999997</v>
      </c>
      <c r="AI990" s="43"/>
      <c r="AJ990" s="43"/>
      <c r="AK990" s="43"/>
    </row>
    <row r="991" spans="1:37" ht="21.75" hidden="1" customHeight="1" x14ac:dyDescent="0.2">
      <c r="A991" s="21">
        <v>76</v>
      </c>
      <c r="B991" s="39" t="s">
        <v>658</v>
      </c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43">
        <v>1.181</v>
      </c>
      <c r="R991" s="43"/>
      <c r="S991" s="43"/>
      <c r="T991" s="43"/>
      <c r="U991" s="43"/>
      <c r="V991" s="43"/>
      <c r="W991" s="43"/>
      <c r="X991" s="41">
        <v>28.84</v>
      </c>
      <c r="Y991" s="41"/>
      <c r="Z991" s="41"/>
      <c r="AA991" s="41"/>
      <c r="AB991" s="41"/>
      <c r="AC991" s="43">
        <v>28.417999999999999</v>
      </c>
      <c r="AD991" s="43"/>
      <c r="AE991" s="43"/>
      <c r="AF991" s="43"/>
      <c r="AG991" s="43"/>
      <c r="AH991" s="43">
        <v>0.42199999999999999</v>
      </c>
      <c r="AI991" s="43"/>
      <c r="AJ991" s="43"/>
      <c r="AK991" s="43"/>
    </row>
    <row r="992" spans="1:37" ht="11.25" hidden="1" customHeight="1" x14ac:dyDescent="0.2">
      <c r="A992" s="21">
        <v>77</v>
      </c>
      <c r="B992" s="39" t="s">
        <v>428</v>
      </c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41">
        <v>1.18</v>
      </c>
      <c r="R992" s="41"/>
      <c r="S992" s="41"/>
      <c r="T992" s="41"/>
      <c r="U992" s="41"/>
      <c r="V992" s="41"/>
      <c r="W992" s="41"/>
      <c r="X992" s="41">
        <v>6.56</v>
      </c>
      <c r="Y992" s="41"/>
      <c r="Z992" s="41"/>
      <c r="AA992" s="41"/>
      <c r="AB992" s="41"/>
      <c r="AC992" s="43">
        <v>5.6769999999999996</v>
      </c>
      <c r="AD992" s="43"/>
      <c r="AE992" s="43"/>
      <c r="AF992" s="43"/>
      <c r="AG992" s="43"/>
      <c r="AH992" s="43">
        <v>0.88300000000000001</v>
      </c>
      <c r="AI992" s="43"/>
      <c r="AJ992" s="43"/>
      <c r="AK992" s="43"/>
    </row>
    <row r="993" spans="1:37" ht="11.25" hidden="1" customHeight="1" x14ac:dyDescent="0.2">
      <c r="A993" s="21">
        <v>78</v>
      </c>
      <c r="B993" s="39" t="s">
        <v>352</v>
      </c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43">
        <v>1.123</v>
      </c>
      <c r="R993" s="43"/>
      <c r="S993" s="43"/>
      <c r="T993" s="43"/>
      <c r="U993" s="43"/>
      <c r="V993" s="43"/>
      <c r="W993" s="43"/>
      <c r="X993" s="41">
        <v>28.31</v>
      </c>
      <c r="Y993" s="41"/>
      <c r="Z993" s="41"/>
      <c r="AA993" s="41"/>
      <c r="AB993" s="41"/>
      <c r="AC993" s="43">
        <v>28.298999999999999</v>
      </c>
      <c r="AD993" s="43"/>
      <c r="AE993" s="43"/>
      <c r="AF993" s="43"/>
      <c r="AG993" s="43"/>
      <c r="AH993" s="43">
        <v>1.0999999999999999E-2</v>
      </c>
      <c r="AI993" s="43"/>
      <c r="AJ993" s="43"/>
      <c r="AK993" s="43"/>
    </row>
    <row r="994" spans="1:37" ht="21.75" hidden="1" customHeight="1" x14ac:dyDescent="0.2">
      <c r="A994" s="21">
        <v>79</v>
      </c>
      <c r="B994" s="39" t="s">
        <v>527</v>
      </c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43">
        <v>1.091</v>
      </c>
      <c r="R994" s="43"/>
      <c r="S994" s="43"/>
      <c r="T994" s="43"/>
      <c r="U994" s="43"/>
      <c r="V994" s="43"/>
      <c r="W994" s="43"/>
      <c r="X994" s="41">
        <v>54.55</v>
      </c>
      <c r="Y994" s="41"/>
      <c r="Z994" s="41"/>
      <c r="AA994" s="41"/>
      <c r="AB994" s="41"/>
      <c r="AC994" s="43">
        <v>58.667000000000002</v>
      </c>
      <c r="AD994" s="43"/>
      <c r="AE994" s="43"/>
      <c r="AF994" s="43"/>
      <c r="AG994" s="43"/>
      <c r="AH994" s="43">
        <v>-4.117</v>
      </c>
      <c r="AI994" s="43"/>
      <c r="AJ994" s="43"/>
      <c r="AK994" s="43"/>
    </row>
    <row r="995" spans="1:37" ht="11.25" hidden="1" customHeight="1" x14ac:dyDescent="0.2">
      <c r="A995" s="21">
        <v>80</v>
      </c>
      <c r="B995" s="39" t="s">
        <v>354</v>
      </c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41">
        <v>1.05</v>
      </c>
      <c r="R995" s="41"/>
      <c r="S995" s="41"/>
      <c r="T995" s="41"/>
      <c r="U995" s="41"/>
      <c r="V995" s="41"/>
      <c r="W995" s="41"/>
      <c r="X995" s="41">
        <v>6.75</v>
      </c>
      <c r="Y995" s="41"/>
      <c r="Z995" s="41"/>
      <c r="AA995" s="41"/>
      <c r="AB995" s="41"/>
      <c r="AC995" s="43">
        <v>5.8360000000000003</v>
      </c>
      <c r="AD995" s="43"/>
      <c r="AE995" s="43"/>
      <c r="AF995" s="43"/>
      <c r="AG995" s="43"/>
      <c r="AH995" s="43">
        <v>0.91400000000000003</v>
      </c>
      <c r="AI995" s="43"/>
      <c r="AJ995" s="43"/>
      <c r="AK995" s="43"/>
    </row>
    <row r="996" spans="1:37" ht="11.25" hidden="1" customHeight="1" x14ac:dyDescent="0.2">
      <c r="A996" s="21">
        <v>81</v>
      </c>
      <c r="B996" s="39" t="s">
        <v>353</v>
      </c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41">
        <v>1.05</v>
      </c>
      <c r="R996" s="41"/>
      <c r="S996" s="41"/>
      <c r="T996" s="41"/>
      <c r="U996" s="41"/>
      <c r="V996" s="41"/>
      <c r="W996" s="41"/>
      <c r="X996" s="41">
        <v>1.05</v>
      </c>
      <c r="Y996" s="41"/>
      <c r="Z996" s="41"/>
      <c r="AA996" s="41"/>
      <c r="AB996" s="41"/>
      <c r="AC996" s="25"/>
      <c r="AD996" s="26"/>
      <c r="AE996" s="26"/>
      <c r="AF996" s="26"/>
      <c r="AG996" s="27"/>
      <c r="AH996" s="41">
        <v>1.05</v>
      </c>
      <c r="AI996" s="41"/>
      <c r="AJ996" s="41"/>
      <c r="AK996" s="41"/>
    </row>
    <row r="997" spans="1:37" ht="11.25" hidden="1" customHeight="1" x14ac:dyDescent="0.2">
      <c r="A997" s="21">
        <v>82</v>
      </c>
      <c r="B997" s="39" t="s">
        <v>580</v>
      </c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43">
        <v>0.998</v>
      </c>
      <c r="R997" s="43"/>
      <c r="S997" s="43"/>
      <c r="T997" s="43"/>
      <c r="U997" s="43"/>
      <c r="V997" s="43"/>
      <c r="W997" s="43"/>
      <c r="X997" s="59">
        <v>70.900000000000006</v>
      </c>
      <c r="Y997" s="59"/>
      <c r="Z997" s="59"/>
      <c r="AA997" s="59"/>
      <c r="AB997" s="59"/>
      <c r="AC997" s="43">
        <v>70.503</v>
      </c>
      <c r="AD997" s="43"/>
      <c r="AE997" s="43"/>
      <c r="AF997" s="43"/>
      <c r="AG997" s="43"/>
      <c r="AH997" s="43">
        <v>0.39700000000000002</v>
      </c>
      <c r="AI997" s="43"/>
      <c r="AJ997" s="43"/>
      <c r="AK997" s="43"/>
    </row>
    <row r="998" spans="1:37" ht="21.75" hidden="1" customHeight="1" x14ac:dyDescent="0.2">
      <c r="A998" s="21">
        <v>83</v>
      </c>
      <c r="B998" s="39" t="s">
        <v>821</v>
      </c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43">
        <v>0.995</v>
      </c>
      <c r="R998" s="43"/>
      <c r="S998" s="43"/>
      <c r="T998" s="43"/>
      <c r="U998" s="43"/>
      <c r="V998" s="43"/>
      <c r="W998" s="43"/>
      <c r="X998" s="41">
        <v>59.09</v>
      </c>
      <c r="Y998" s="41"/>
      <c r="Z998" s="41"/>
      <c r="AA998" s="41"/>
      <c r="AB998" s="41"/>
      <c r="AC998" s="43">
        <v>58.581000000000003</v>
      </c>
      <c r="AD998" s="43"/>
      <c r="AE998" s="43"/>
      <c r="AF998" s="43"/>
      <c r="AG998" s="43"/>
      <c r="AH998" s="43">
        <v>0.50900000000000001</v>
      </c>
      <c r="AI998" s="43"/>
      <c r="AJ998" s="43"/>
      <c r="AK998" s="43"/>
    </row>
    <row r="999" spans="1:37" ht="11.25" hidden="1" customHeight="1" x14ac:dyDescent="0.2">
      <c r="A999" s="21">
        <v>84</v>
      </c>
      <c r="B999" s="39" t="s">
        <v>619</v>
      </c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43">
        <v>0.97399999999999998</v>
      </c>
      <c r="R999" s="43"/>
      <c r="S999" s="43"/>
      <c r="T999" s="43"/>
      <c r="U999" s="43"/>
      <c r="V999" s="43"/>
      <c r="W999" s="43"/>
      <c r="X999" s="41">
        <v>22.69</v>
      </c>
      <c r="Y999" s="41"/>
      <c r="Z999" s="41"/>
      <c r="AA999" s="41"/>
      <c r="AB999" s="41"/>
      <c r="AC999" s="43">
        <v>22.201000000000001</v>
      </c>
      <c r="AD999" s="43"/>
      <c r="AE999" s="43"/>
      <c r="AF999" s="43"/>
      <c r="AG999" s="43"/>
      <c r="AH999" s="43">
        <v>0.48899999999999999</v>
      </c>
      <c r="AI999" s="43"/>
      <c r="AJ999" s="43"/>
      <c r="AK999" s="43"/>
    </row>
    <row r="1000" spans="1:37" ht="11.25" hidden="1" customHeight="1" x14ac:dyDescent="0.2">
      <c r="A1000" s="21">
        <v>85</v>
      </c>
      <c r="B1000" s="39" t="s">
        <v>708</v>
      </c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41">
        <v>0.96</v>
      </c>
      <c r="R1000" s="41"/>
      <c r="S1000" s="41"/>
      <c r="T1000" s="41"/>
      <c r="U1000" s="41"/>
      <c r="V1000" s="41"/>
      <c r="W1000" s="41"/>
      <c r="X1000" s="41">
        <v>6.32</v>
      </c>
      <c r="Y1000" s="41"/>
      <c r="Z1000" s="41"/>
      <c r="AA1000" s="41"/>
      <c r="AB1000" s="41"/>
      <c r="AC1000" s="41">
        <v>5.36</v>
      </c>
      <c r="AD1000" s="41"/>
      <c r="AE1000" s="41"/>
      <c r="AF1000" s="41"/>
      <c r="AG1000" s="41"/>
      <c r="AH1000" s="41">
        <v>0.96</v>
      </c>
      <c r="AI1000" s="41"/>
      <c r="AJ1000" s="41"/>
      <c r="AK1000" s="41"/>
    </row>
    <row r="1001" spans="1:37" ht="11.25" hidden="1" customHeight="1" x14ac:dyDescent="0.2">
      <c r="A1001" s="21">
        <v>86</v>
      </c>
      <c r="B1001" s="39" t="s">
        <v>513</v>
      </c>
      <c r="C1001" s="39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43">
        <v>0.93700000000000006</v>
      </c>
      <c r="R1001" s="43"/>
      <c r="S1001" s="43"/>
      <c r="T1001" s="43"/>
      <c r="U1001" s="43"/>
      <c r="V1001" s="43"/>
      <c r="W1001" s="43"/>
      <c r="X1001" s="59">
        <v>19.600000000000001</v>
      </c>
      <c r="Y1001" s="59"/>
      <c r="Z1001" s="59"/>
      <c r="AA1001" s="59"/>
      <c r="AB1001" s="59"/>
      <c r="AC1001" s="43">
        <v>18.763000000000002</v>
      </c>
      <c r="AD1001" s="43"/>
      <c r="AE1001" s="43"/>
      <c r="AF1001" s="43"/>
      <c r="AG1001" s="43"/>
      <c r="AH1001" s="43">
        <v>0.83699999999999997</v>
      </c>
      <c r="AI1001" s="43"/>
      <c r="AJ1001" s="43"/>
      <c r="AK1001" s="43"/>
    </row>
    <row r="1002" spans="1:37" ht="11.25" hidden="1" customHeight="1" x14ac:dyDescent="0.2">
      <c r="A1002" s="21">
        <v>87</v>
      </c>
      <c r="B1002" s="39" t="s">
        <v>357</v>
      </c>
      <c r="C1002" s="39"/>
      <c r="D1002" s="39"/>
      <c r="E1002" s="39"/>
      <c r="F1002" s="39"/>
      <c r="G1002" s="39"/>
      <c r="H1002" s="39"/>
      <c r="I1002" s="39"/>
      <c r="J1002" s="39"/>
      <c r="K1002" s="39"/>
      <c r="L1002" s="39"/>
      <c r="M1002" s="39"/>
      <c r="N1002" s="39"/>
      <c r="O1002" s="39"/>
      <c r="P1002" s="39"/>
      <c r="Q1002" s="41">
        <v>0.93</v>
      </c>
      <c r="R1002" s="41"/>
      <c r="S1002" s="41"/>
      <c r="T1002" s="41"/>
      <c r="U1002" s="41"/>
      <c r="V1002" s="41"/>
      <c r="W1002" s="41"/>
      <c r="X1002" s="41">
        <v>0.93</v>
      </c>
      <c r="Y1002" s="41"/>
      <c r="Z1002" s="41"/>
      <c r="AA1002" s="41"/>
      <c r="AB1002" s="41"/>
      <c r="AC1002" s="25"/>
      <c r="AD1002" s="26"/>
      <c r="AE1002" s="26"/>
      <c r="AF1002" s="26"/>
      <c r="AG1002" s="27"/>
      <c r="AH1002" s="41">
        <v>0.93</v>
      </c>
      <c r="AI1002" s="41"/>
      <c r="AJ1002" s="41"/>
      <c r="AK1002" s="41"/>
    </row>
    <row r="1003" spans="1:37" ht="21.75" hidden="1" customHeight="1" x14ac:dyDescent="0.2">
      <c r="A1003" s="21">
        <v>88</v>
      </c>
      <c r="B1003" s="39" t="s">
        <v>779</v>
      </c>
      <c r="C1003" s="39"/>
      <c r="D1003" s="39"/>
      <c r="E1003" s="39"/>
      <c r="F1003" s="39"/>
      <c r="G1003" s="39"/>
      <c r="H1003" s="39"/>
      <c r="I1003" s="39"/>
      <c r="J1003" s="39"/>
      <c r="K1003" s="39"/>
      <c r="L1003" s="39"/>
      <c r="M1003" s="39"/>
      <c r="N1003" s="39"/>
      <c r="O1003" s="39"/>
      <c r="P1003" s="39"/>
      <c r="Q1003" s="41">
        <v>0.92</v>
      </c>
      <c r="R1003" s="41"/>
      <c r="S1003" s="41"/>
      <c r="T1003" s="41"/>
      <c r="U1003" s="41"/>
      <c r="V1003" s="41"/>
      <c r="W1003" s="41"/>
      <c r="X1003" s="41">
        <v>33.06</v>
      </c>
      <c r="Y1003" s="41"/>
      <c r="Z1003" s="41"/>
      <c r="AA1003" s="41"/>
      <c r="AB1003" s="41"/>
      <c r="AC1003" s="43">
        <v>32.704000000000001</v>
      </c>
      <c r="AD1003" s="43"/>
      <c r="AE1003" s="43"/>
      <c r="AF1003" s="43"/>
      <c r="AG1003" s="43"/>
      <c r="AH1003" s="43">
        <v>0.35599999999999998</v>
      </c>
      <c r="AI1003" s="43"/>
      <c r="AJ1003" s="43"/>
      <c r="AK1003" s="43"/>
    </row>
    <row r="1004" spans="1:37" ht="11.25" hidden="1" customHeight="1" x14ac:dyDescent="0.2">
      <c r="A1004" s="21">
        <v>89</v>
      </c>
      <c r="B1004" s="39" t="s">
        <v>429</v>
      </c>
      <c r="C1004" s="39"/>
      <c r="D1004" s="39"/>
      <c r="E1004" s="39"/>
      <c r="F1004" s="39"/>
      <c r="G1004" s="39"/>
      <c r="H1004" s="39"/>
      <c r="I1004" s="39"/>
      <c r="J1004" s="39"/>
      <c r="K1004" s="39"/>
      <c r="L1004" s="39"/>
      <c r="M1004" s="39"/>
      <c r="N1004" s="39"/>
      <c r="O1004" s="39"/>
      <c r="P1004" s="39"/>
      <c r="Q1004" s="41">
        <v>0.92</v>
      </c>
      <c r="R1004" s="41"/>
      <c r="S1004" s="41"/>
      <c r="T1004" s="41"/>
      <c r="U1004" s="41"/>
      <c r="V1004" s="41"/>
      <c r="W1004" s="41"/>
      <c r="X1004" s="41">
        <v>17.920000000000002</v>
      </c>
      <c r="Y1004" s="41"/>
      <c r="Z1004" s="41"/>
      <c r="AA1004" s="41"/>
      <c r="AB1004" s="41"/>
      <c r="AC1004" s="43">
        <v>17.154</v>
      </c>
      <c r="AD1004" s="43"/>
      <c r="AE1004" s="43"/>
      <c r="AF1004" s="43"/>
      <c r="AG1004" s="43"/>
      <c r="AH1004" s="43">
        <v>0.76600000000000001</v>
      </c>
      <c r="AI1004" s="43"/>
      <c r="AJ1004" s="43"/>
      <c r="AK1004" s="43"/>
    </row>
    <row r="1005" spans="1:37" ht="11.25" hidden="1" customHeight="1" x14ac:dyDescent="0.2">
      <c r="A1005" s="21">
        <v>90</v>
      </c>
      <c r="B1005" s="39" t="s">
        <v>709</v>
      </c>
      <c r="C1005" s="39"/>
      <c r="D1005" s="39"/>
      <c r="E1005" s="39"/>
      <c r="F1005" s="39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  <c r="Q1005" s="43">
        <v>0.91500000000000004</v>
      </c>
      <c r="R1005" s="43"/>
      <c r="S1005" s="43"/>
      <c r="T1005" s="43"/>
      <c r="U1005" s="43"/>
      <c r="V1005" s="43"/>
      <c r="W1005" s="43"/>
      <c r="X1005" s="41">
        <v>9.18</v>
      </c>
      <c r="Y1005" s="41"/>
      <c r="Z1005" s="41"/>
      <c r="AA1005" s="41"/>
      <c r="AB1005" s="41"/>
      <c r="AC1005" s="43">
        <v>8.3879999999999999</v>
      </c>
      <c r="AD1005" s="43"/>
      <c r="AE1005" s="43"/>
      <c r="AF1005" s="43"/>
      <c r="AG1005" s="43"/>
      <c r="AH1005" s="43">
        <v>0.79200000000000004</v>
      </c>
      <c r="AI1005" s="43"/>
      <c r="AJ1005" s="43"/>
      <c r="AK1005" s="43"/>
    </row>
    <row r="1006" spans="1:37" ht="21.75" hidden="1" customHeight="1" x14ac:dyDescent="0.2">
      <c r="A1006" s="21">
        <v>91</v>
      </c>
      <c r="B1006" s="39" t="s">
        <v>359</v>
      </c>
      <c r="C1006" s="39"/>
      <c r="D1006" s="39"/>
      <c r="E1006" s="39"/>
      <c r="F1006" s="39"/>
      <c r="G1006" s="39"/>
      <c r="H1006" s="39"/>
      <c r="I1006" s="39"/>
      <c r="J1006" s="39"/>
      <c r="K1006" s="39"/>
      <c r="L1006" s="39"/>
      <c r="M1006" s="39"/>
      <c r="N1006" s="39"/>
      <c r="O1006" s="39"/>
      <c r="P1006" s="39"/>
      <c r="Q1006" s="59">
        <v>0.9</v>
      </c>
      <c r="R1006" s="59"/>
      <c r="S1006" s="59"/>
      <c r="T1006" s="59"/>
      <c r="U1006" s="59"/>
      <c r="V1006" s="59"/>
      <c r="W1006" s="59"/>
      <c r="X1006" s="59">
        <v>0.9</v>
      </c>
      <c r="Y1006" s="59"/>
      <c r="Z1006" s="59"/>
      <c r="AA1006" s="59"/>
      <c r="AB1006" s="59"/>
      <c r="AC1006" s="25"/>
      <c r="AD1006" s="26"/>
      <c r="AE1006" s="26"/>
      <c r="AF1006" s="26"/>
      <c r="AG1006" s="27"/>
      <c r="AH1006" s="59">
        <v>0.9</v>
      </c>
      <c r="AI1006" s="59"/>
      <c r="AJ1006" s="59"/>
      <c r="AK1006" s="59"/>
    </row>
    <row r="1007" spans="1:37" ht="21.75" hidden="1" customHeight="1" x14ac:dyDescent="0.2">
      <c r="A1007" s="21">
        <v>92</v>
      </c>
      <c r="B1007" s="39" t="s">
        <v>822</v>
      </c>
      <c r="C1007" s="39"/>
      <c r="D1007" s="39"/>
      <c r="E1007" s="39"/>
      <c r="F1007" s="39"/>
      <c r="G1007" s="39"/>
      <c r="H1007" s="39"/>
      <c r="I1007" s="39"/>
      <c r="J1007" s="39"/>
      <c r="K1007" s="39"/>
      <c r="L1007" s="39"/>
      <c r="M1007" s="39"/>
      <c r="N1007" s="39"/>
      <c r="O1007" s="39"/>
      <c r="P1007" s="39"/>
      <c r="Q1007" s="59">
        <v>0.9</v>
      </c>
      <c r="R1007" s="59"/>
      <c r="S1007" s="59"/>
      <c r="T1007" s="59"/>
      <c r="U1007" s="59"/>
      <c r="V1007" s="59"/>
      <c r="W1007" s="59"/>
      <c r="X1007" s="59">
        <v>21.4</v>
      </c>
      <c r="Y1007" s="59"/>
      <c r="Z1007" s="59"/>
      <c r="AA1007" s="59"/>
      <c r="AB1007" s="59"/>
      <c r="AC1007" s="41">
        <v>21.15</v>
      </c>
      <c r="AD1007" s="41"/>
      <c r="AE1007" s="41"/>
      <c r="AF1007" s="41"/>
      <c r="AG1007" s="41"/>
      <c r="AH1007" s="41">
        <v>0.25</v>
      </c>
      <c r="AI1007" s="41"/>
      <c r="AJ1007" s="41"/>
      <c r="AK1007" s="41"/>
    </row>
    <row r="1008" spans="1:37" ht="11.25" hidden="1" customHeight="1" x14ac:dyDescent="0.2">
      <c r="A1008" s="21">
        <v>93</v>
      </c>
      <c r="B1008" s="39" t="s">
        <v>358</v>
      </c>
      <c r="C1008" s="39"/>
      <c r="D1008" s="39"/>
      <c r="E1008" s="39"/>
      <c r="F1008" s="39"/>
      <c r="G1008" s="39"/>
      <c r="H1008" s="39"/>
      <c r="I1008" s="39"/>
      <c r="J1008" s="39"/>
      <c r="K1008" s="39"/>
      <c r="L1008" s="39"/>
      <c r="M1008" s="39"/>
      <c r="N1008" s="39"/>
      <c r="O1008" s="39"/>
      <c r="P1008" s="39"/>
      <c r="Q1008" s="59">
        <v>0.9</v>
      </c>
      <c r="R1008" s="59"/>
      <c r="S1008" s="59"/>
      <c r="T1008" s="59"/>
      <c r="U1008" s="59"/>
      <c r="V1008" s="59"/>
      <c r="W1008" s="59"/>
      <c r="X1008" s="59">
        <v>0.9</v>
      </c>
      <c r="Y1008" s="59"/>
      <c r="Z1008" s="59"/>
      <c r="AA1008" s="59"/>
      <c r="AB1008" s="59"/>
      <c r="AC1008" s="25"/>
      <c r="AD1008" s="26"/>
      <c r="AE1008" s="26"/>
      <c r="AF1008" s="26"/>
      <c r="AG1008" s="27"/>
      <c r="AH1008" s="59">
        <v>0.9</v>
      </c>
      <c r="AI1008" s="59"/>
      <c r="AJ1008" s="59"/>
      <c r="AK1008" s="59"/>
    </row>
    <row r="1009" spans="1:37" ht="11.25" hidden="1" customHeight="1" x14ac:dyDescent="0.2">
      <c r="A1009" s="21">
        <v>94</v>
      </c>
      <c r="B1009" s="39" t="s">
        <v>659</v>
      </c>
      <c r="C1009" s="39"/>
      <c r="D1009" s="39"/>
      <c r="E1009" s="39"/>
      <c r="F1009" s="39"/>
      <c r="G1009" s="39"/>
      <c r="H1009" s="39"/>
      <c r="I1009" s="39"/>
      <c r="J1009" s="39"/>
      <c r="K1009" s="39"/>
      <c r="L1009" s="39"/>
      <c r="M1009" s="39"/>
      <c r="N1009" s="39"/>
      <c r="O1009" s="39"/>
      <c r="P1009" s="39"/>
      <c r="Q1009" s="43">
        <v>0.88300000000000001</v>
      </c>
      <c r="R1009" s="43"/>
      <c r="S1009" s="43"/>
      <c r="T1009" s="43"/>
      <c r="U1009" s="43"/>
      <c r="V1009" s="43"/>
      <c r="W1009" s="43"/>
      <c r="X1009" s="41">
        <v>109.19</v>
      </c>
      <c r="Y1009" s="41"/>
      <c r="Z1009" s="41"/>
      <c r="AA1009" s="41"/>
      <c r="AB1009" s="41"/>
      <c r="AC1009" s="43">
        <v>108.952</v>
      </c>
      <c r="AD1009" s="43"/>
      <c r="AE1009" s="43"/>
      <c r="AF1009" s="43"/>
      <c r="AG1009" s="43"/>
      <c r="AH1009" s="43">
        <v>0.23799999999999999</v>
      </c>
      <c r="AI1009" s="43"/>
      <c r="AJ1009" s="43"/>
      <c r="AK1009" s="43"/>
    </row>
    <row r="1010" spans="1:37" ht="11.25" hidden="1" customHeight="1" x14ac:dyDescent="0.2">
      <c r="A1010" s="21">
        <v>95</v>
      </c>
      <c r="B1010" s="39" t="s">
        <v>360</v>
      </c>
      <c r="C1010" s="39"/>
      <c r="D1010" s="39"/>
      <c r="E1010" s="39"/>
      <c r="F1010" s="39"/>
      <c r="G1010" s="39"/>
      <c r="H1010" s="39"/>
      <c r="I1010" s="39"/>
      <c r="J1010" s="39"/>
      <c r="K1010" s="39"/>
      <c r="L1010" s="39"/>
      <c r="M1010" s="39"/>
      <c r="N1010" s="39"/>
      <c r="O1010" s="39"/>
      <c r="P1010" s="39"/>
      <c r="Q1010" s="41">
        <v>0.87</v>
      </c>
      <c r="R1010" s="41"/>
      <c r="S1010" s="41"/>
      <c r="T1010" s="41"/>
      <c r="U1010" s="41"/>
      <c r="V1010" s="41"/>
      <c r="W1010" s="41"/>
      <c r="X1010" s="41">
        <v>0.87</v>
      </c>
      <c r="Y1010" s="41"/>
      <c r="Z1010" s="41"/>
      <c r="AA1010" s="41"/>
      <c r="AB1010" s="41"/>
      <c r="AC1010" s="25"/>
      <c r="AD1010" s="26"/>
      <c r="AE1010" s="26"/>
      <c r="AF1010" s="26"/>
      <c r="AG1010" s="27"/>
      <c r="AH1010" s="41">
        <v>0.87</v>
      </c>
      <c r="AI1010" s="41"/>
      <c r="AJ1010" s="41"/>
      <c r="AK1010" s="41"/>
    </row>
    <row r="1011" spans="1:37" ht="11.25" hidden="1" customHeight="1" x14ac:dyDescent="0.2">
      <c r="A1011" s="21">
        <v>96</v>
      </c>
      <c r="B1011" s="39" t="s">
        <v>528</v>
      </c>
      <c r="C1011" s="39"/>
      <c r="D1011" s="39"/>
      <c r="E1011" s="39"/>
      <c r="F1011" s="39"/>
      <c r="G1011" s="39"/>
      <c r="H1011" s="39"/>
      <c r="I1011" s="39"/>
      <c r="J1011" s="39"/>
      <c r="K1011" s="39"/>
      <c r="L1011" s="39"/>
      <c r="M1011" s="39"/>
      <c r="N1011" s="39"/>
      <c r="O1011" s="39"/>
      <c r="P1011" s="39"/>
      <c r="Q1011" s="43">
        <v>0.86299999999999999</v>
      </c>
      <c r="R1011" s="43"/>
      <c r="S1011" s="43"/>
      <c r="T1011" s="43"/>
      <c r="U1011" s="43"/>
      <c r="V1011" s="43"/>
      <c r="W1011" s="43"/>
      <c r="X1011" s="41">
        <v>31.81</v>
      </c>
      <c r="Y1011" s="41"/>
      <c r="Z1011" s="41"/>
      <c r="AA1011" s="41"/>
      <c r="AB1011" s="41"/>
      <c r="AC1011" s="41">
        <v>32.03</v>
      </c>
      <c r="AD1011" s="41"/>
      <c r="AE1011" s="41"/>
      <c r="AF1011" s="41"/>
      <c r="AG1011" s="41"/>
      <c r="AH1011" s="41">
        <v>-0.22</v>
      </c>
      <c r="AI1011" s="41"/>
      <c r="AJ1011" s="41"/>
      <c r="AK1011" s="41"/>
    </row>
    <row r="1012" spans="1:37" ht="21.75" hidden="1" customHeight="1" x14ac:dyDescent="0.2">
      <c r="A1012" s="21">
        <v>97</v>
      </c>
      <c r="B1012" s="39" t="s">
        <v>747</v>
      </c>
      <c r="C1012" s="39"/>
      <c r="D1012" s="39"/>
      <c r="E1012" s="39"/>
      <c r="F1012" s="39"/>
      <c r="G1012" s="39"/>
      <c r="H1012" s="39"/>
      <c r="I1012" s="39"/>
      <c r="J1012" s="39"/>
      <c r="K1012" s="39"/>
      <c r="L1012" s="39"/>
      <c r="M1012" s="39"/>
      <c r="N1012" s="39"/>
      <c r="O1012" s="39"/>
      <c r="P1012" s="39"/>
      <c r="Q1012" s="43">
        <v>0.84399999999999997</v>
      </c>
      <c r="R1012" s="43"/>
      <c r="S1012" s="43"/>
      <c r="T1012" s="43"/>
      <c r="U1012" s="43"/>
      <c r="V1012" s="43"/>
      <c r="W1012" s="43"/>
      <c r="X1012" s="41">
        <v>30.27</v>
      </c>
      <c r="Y1012" s="41"/>
      <c r="Z1012" s="41"/>
      <c r="AA1012" s="41"/>
      <c r="AB1012" s="41"/>
      <c r="AC1012" s="43">
        <v>29.998999999999999</v>
      </c>
      <c r="AD1012" s="43"/>
      <c r="AE1012" s="43"/>
      <c r="AF1012" s="43"/>
      <c r="AG1012" s="43"/>
      <c r="AH1012" s="43">
        <v>0.27100000000000002</v>
      </c>
      <c r="AI1012" s="43"/>
      <c r="AJ1012" s="43"/>
      <c r="AK1012" s="43"/>
    </row>
    <row r="1013" spans="1:37" ht="21.75" hidden="1" customHeight="1" x14ac:dyDescent="0.2">
      <c r="A1013" s="21">
        <v>98</v>
      </c>
      <c r="B1013" s="39" t="s">
        <v>529</v>
      </c>
      <c r="C1013" s="39"/>
      <c r="D1013" s="39"/>
      <c r="E1013" s="39"/>
      <c r="F1013" s="39"/>
      <c r="G1013" s="39"/>
      <c r="H1013" s="39"/>
      <c r="I1013" s="39"/>
      <c r="J1013" s="39"/>
      <c r="K1013" s="39"/>
      <c r="L1013" s="39"/>
      <c r="M1013" s="39"/>
      <c r="N1013" s="39"/>
      <c r="O1013" s="39"/>
      <c r="P1013" s="39"/>
      <c r="Q1013" s="41">
        <v>0.84</v>
      </c>
      <c r="R1013" s="41"/>
      <c r="S1013" s="41"/>
      <c r="T1013" s="41"/>
      <c r="U1013" s="41"/>
      <c r="V1013" s="41"/>
      <c r="W1013" s="41"/>
      <c r="X1013" s="41">
        <v>18.98</v>
      </c>
      <c r="Y1013" s="41"/>
      <c r="Z1013" s="41"/>
      <c r="AA1013" s="41"/>
      <c r="AB1013" s="41"/>
      <c r="AC1013" s="43">
        <v>19.280999999999999</v>
      </c>
      <c r="AD1013" s="43"/>
      <c r="AE1013" s="43"/>
      <c r="AF1013" s="43"/>
      <c r="AG1013" s="43"/>
      <c r="AH1013" s="43">
        <v>-0.30099999999999999</v>
      </c>
      <c r="AI1013" s="43"/>
      <c r="AJ1013" s="43"/>
      <c r="AK1013" s="43"/>
    </row>
    <row r="1014" spans="1:37" ht="21.75" hidden="1" customHeight="1" x14ac:dyDescent="0.2">
      <c r="A1014" s="21">
        <v>99</v>
      </c>
      <c r="B1014" s="39" t="s">
        <v>530</v>
      </c>
      <c r="C1014" s="39"/>
      <c r="D1014" s="39"/>
      <c r="E1014" s="39"/>
      <c r="F1014" s="39"/>
      <c r="G1014" s="39"/>
      <c r="H1014" s="39"/>
      <c r="I1014" s="39"/>
      <c r="J1014" s="39"/>
      <c r="K1014" s="39"/>
      <c r="L1014" s="39"/>
      <c r="M1014" s="39"/>
      <c r="N1014" s="39"/>
      <c r="O1014" s="39"/>
      <c r="P1014" s="39"/>
      <c r="Q1014" s="41">
        <v>0.84</v>
      </c>
      <c r="R1014" s="41"/>
      <c r="S1014" s="41"/>
      <c r="T1014" s="41"/>
      <c r="U1014" s="41"/>
      <c r="V1014" s="41"/>
      <c r="W1014" s="41"/>
      <c r="X1014" s="41">
        <v>26.34</v>
      </c>
      <c r="Y1014" s="41"/>
      <c r="Z1014" s="41"/>
      <c r="AA1014" s="41"/>
      <c r="AB1014" s="41"/>
      <c r="AC1014" s="43">
        <v>25.599</v>
      </c>
      <c r="AD1014" s="43"/>
      <c r="AE1014" s="43"/>
      <c r="AF1014" s="43"/>
      <c r="AG1014" s="43"/>
      <c r="AH1014" s="43">
        <v>0.74099999999999999</v>
      </c>
      <c r="AI1014" s="43"/>
      <c r="AJ1014" s="43"/>
      <c r="AK1014" s="43"/>
    </row>
    <row r="1015" spans="1:37" ht="11.25" hidden="1" customHeight="1" x14ac:dyDescent="0.2">
      <c r="A1015" s="21">
        <v>100</v>
      </c>
      <c r="B1015" s="39" t="s">
        <v>780</v>
      </c>
      <c r="C1015" s="39"/>
      <c r="D1015" s="39"/>
      <c r="E1015" s="39"/>
      <c r="F1015" s="39"/>
      <c r="G1015" s="39"/>
      <c r="H1015" s="39"/>
      <c r="I1015" s="39"/>
      <c r="J1015" s="39"/>
      <c r="K1015" s="39"/>
      <c r="L1015" s="39"/>
      <c r="M1015" s="39"/>
      <c r="N1015" s="39"/>
      <c r="O1015" s="39"/>
      <c r="P1015" s="39"/>
      <c r="Q1015" s="43">
        <v>0.82799999999999996</v>
      </c>
      <c r="R1015" s="43"/>
      <c r="S1015" s="43"/>
      <c r="T1015" s="43"/>
      <c r="U1015" s="43"/>
      <c r="V1015" s="43"/>
      <c r="W1015" s="43"/>
      <c r="X1015" s="59">
        <v>100.4</v>
      </c>
      <c r="Y1015" s="59"/>
      <c r="Z1015" s="59"/>
      <c r="AA1015" s="59"/>
      <c r="AB1015" s="59"/>
      <c r="AC1015" s="43">
        <v>106.40300000000001</v>
      </c>
      <c r="AD1015" s="43"/>
      <c r="AE1015" s="43"/>
      <c r="AF1015" s="43"/>
      <c r="AG1015" s="43"/>
      <c r="AH1015" s="43">
        <v>-6.0030000000000001</v>
      </c>
      <c r="AI1015" s="43"/>
      <c r="AJ1015" s="43"/>
      <c r="AK1015" s="43"/>
    </row>
    <row r="1016" spans="1:37" ht="11.25" hidden="1" customHeight="1" x14ac:dyDescent="0.2">
      <c r="A1016" s="21">
        <v>101</v>
      </c>
      <c r="B1016" s="39" t="s">
        <v>514</v>
      </c>
      <c r="C1016" s="39"/>
      <c r="D1016" s="39"/>
      <c r="E1016" s="39"/>
      <c r="F1016" s="39"/>
      <c r="G1016" s="39"/>
      <c r="H1016" s="39"/>
      <c r="I1016" s="39"/>
      <c r="J1016" s="39"/>
      <c r="K1016" s="39"/>
      <c r="L1016" s="39"/>
      <c r="M1016" s="39"/>
      <c r="N1016" s="39"/>
      <c r="O1016" s="39"/>
      <c r="P1016" s="39"/>
      <c r="Q1016" s="43">
        <v>0.81499999999999995</v>
      </c>
      <c r="R1016" s="43"/>
      <c r="S1016" s="43"/>
      <c r="T1016" s="43"/>
      <c r="U1016" s="43"/>
      <c r="V1016" s="43"/>
      <c r="W1016" s="43"/>
      <c r="X1016" s="41">
        <v>17.23</v>
      </c>
      <c r="Y1016" s="41"/>
      <c r="Z1016" s="41"/>
      <c r="AA1016" s="41"/>
      <c r="AB1016" s="41"/>
      <c r="AC1016" s="43">
        <v>16.574999999999999</v>
      </c>
      <c r="AD1016" s="43"/>
      <c r="AE1016" s="43"/>
      <c r="AF1016" s="43"/>
      <c r="AG1016" s="43"/>
      <c r="AH1016" s="43">
        <v>0.65500000000000003</v>
      </c>
      <c r="AI1016" s="43"/>
      <c r="AJ1016" s="43"/>
      <c r="AK1016" s="43"/>
    </row>
    <row r="1017" spans="1:37" ht="11.25" hidden="1" customHeight="1" x14ac:dyDescent="0.2">
      <c r="A1017" s="21">
        <v>102</v>
      </c>
      <c r="B1017" s="39" t="s">
        <v>430</v>
      </c>
      <c r="C1017" s="39"/>
      <c r="D1017" s="39"/>
      <c r="E1017" s="39"/>
      <c r="F1017" s="39"/>
      <c r="G1017" s="39"/>
      <c r="H1017" s="39"/>
      <c r="I1017" s="39"/>
      <c r="J1017" s="39"/>
      <c r="K1017" s="39"/>
      <c r="L1017" s="39"/>
      <c r="M1017" s="39"/>
      <c r="N1017" s="39"/>
      <c r="O1017" s="39"/>
      <c r="P1017" s="39"/>
      <c r="Q1017" s="43">
        <v>0.81200000000000006</v>
      </c>
      <c r="R1017" s="43"/>
      <c r="S1017" s="43"/>
      <c r="T1017" s="43"/>
      <c r="U1017" s="43"/>
      <c r="V1017" s="43"/>
      <c r="W1017" s="43"/>
      <c r="X1017" s="59">
        <v>59.6</v>
      </c>
      <c r="Y1017" s="59"/>
      <c r="Z1017" s="59"/>
      <c r="AA1017" s="59"/>
      <c r="AB1017" s="59"/>
      <c r="AC1017" s="43">
        <v>59.954999999999998</v>
      </c>
      <c r="AD1017" s="43"/>
      <c r="AE1017" s="43"/>
      <c r="AF1017" s="43"/>
      <c r="AG1017" s="43"/>
      <c r="AH1017" s="43">
        <v>-0.35499999999999998</v>
      </c>
      <c r="AI1017" s="43"/>
      <c r="AJ1017" s="43"/>
      <c r="AK1017" s="43"/>
    </row>
    <row r="1018" spans="1:37" ht="11.25" hidden="1" customHeight="1" x14ac:dyDescent="0.2">
      <c r="A1018" s="21">
        <v>103</v>
      </c>
      <c r="B1018" s="39" t="s">
        <v>660</v>
      </c>
      <c r="C1018" s="39"/>
      <c r="D1018" s="39"/>
      <c r="E1018" s="39"/>
      <c r="F1018" s="39"/>
      <c r="G1018" s="39"/>
      <c r="H1018" s="39"/>
      <c r="I1018" s="39"/>
      <c r="J1018" s="39"/>
      <c r="K1018" s="39"/>
      <c r="L1018" s="39"/>
      <c r="M1018" s="39"/>
      <c r="N1018" s="39"/>
      <c r="O1018" s="39"/>
      <c r="P1018" s="39"/>
      <c r="Q1018" s="43">
        <v>0.81100000000000005</v>
      </c>
      <c r="R1018" s="43"/>
      <c r="S1018" s="43"/>
      <c r="T1018" s="43"/>
      <c r="U1018" s="43"/>
      <c r="V1018" s="43"/>
      <c r="W1018" s="43"/>
      <c r="X1018" s="59">
        <v>10.8</v>
      </c>
      <c r="Y1018" s="59"/>
      <c r="Z1018" s="59"/>
      <c r="AA1018" s="59"/>
      <c r="AB1018" s="59"/>
      <c r="AC1018" s="43">
        <v>9.9890000000000008</v>
      </c>
      <c r="AD1018" s="43"/>
      <c r="AE1018" s="43"/>
      <c r="AF1018" s="43"/>
      <c r="AG1018" s="43"/>
      <c r="AH1018" s="43">
        <v>0.81100000000000005</v>
      </c>
      <c r="AI1018" s="43"/>
      <c r="AJ1018" s="43"/>
      <c r="AK1018" s="43"/>
    </row>
    <row r="1019" spans="1:37" ht="11.25" hidden="1" customHeight="1" x14ac:dyDescent="0.2">
      <c r="A1019" s="21">
        <v>104</v>
      </c>
      <c r="B1019" s="39" t="s">
        <v>781</v>
      </c>
      <c r="C1019" s="39"/>
      <c r="D1019" s="39"/>
      <c r="E1019" s="39"/>
      <c r="F1019" s="39"/>
      <c r="G1019" s="39"/>
      <c r="H1019" s="39"/>
      <c r="I1019" s="39"/>
      <c r="J1019" s="39"/>
      <c r="K1019" s="39"/>
      <c r="L1019" s="39"/>
      <c r="M1019" s="39"/>
      <c r="N1019" s="39"/>
      <c r="O1019" s="39"/>
      <c r="P1019" s="39"/>
      <c r="Q1019" s="59">
        <v>0.8</v>
      </c>
      <c r="R1019" s="59"/>
      <c r="S1019" s="59"/>
      <c r="T1019" s="59"/>
      <c r="U1019" s="59"/>
      <c r="V1019" s="59"/>
      <c r="W1019" s="59"/>
      <c r="X1019" s="41">
        <v>7.36</v>
      </c>
      <c r="Y1019" s="41"/>
      <c r="Z1019" s="41"/>
      <c r="AA1019" s="41"/>
      <c r="AB1019" s="41"/>
      <c r="AC1019" s="43">
        <v>6.6550000000000002</v>
      </c>
      <c r="AD1019" s="43"/>
      <c r="AE1019" s="43"/>
      <c r="AF1019" s="43"/>
      <c r="AG1019" s="43"/>
      <c r="AH1019" s="43">
        <v>0.70499999999999996</v>
      </c>
      <c r="AI1019" s="43"/>
      <c r="AJ1019" s="43"/>
      <c r="AK1019" s="43"/>
    </row>
    <row r="1020" spans="1:37" ht="21.75" hidden="1" customHeight="1" x14ac:dyDescent="0.2">
      <c r="A1020" s="21">
        <v>105</v>
      </c>
      <c r="B1020" s="39" t="s">
        <v>620</v>
      </c>
      <c r="C1020" s="39"/>
      <c r="D1020" s="39"/>
      <c r="E1020" s="39"/>
      <c r="F1020" s="39"/>
      <c r="G1020" s="39"/>
      <c r="H1020" s="39"/>
      <c r="I1020" s="39"/>
      <c r="J1020" s="39"/>
      <c r="K1020" s="39"/>
      <c r="L1020" s="39"/>
      <c r="M1020" s="39"/>
      <c r="N1020" s="39"/>
      <c r="O1020" s="39"/>
      <c r="P1020" s="39"/>
      <c r="Q1020" s="59">
        <v>0.8</v>
      </c>
      <c r="R1020" s="59"/>
      <c r="S1020" s="59"/>
      <c r="T1020" s="59"/>
      <c r="U1020" s="59"/>
      <c r="V1020" s="59"/>
      <c r="W1020" s="59"/>
      <c r="X1020" s="59">
        <v>33.6</v>
      </c>
      <c r="Y1020" s="59"/>
      <c r="Z1020" s="59"/>
      <c r="AA1020" s="59"/>
      <c r="AB1020" s="59"/>
      <c r="AC1020" s="43">
        <v>32.994999999999997</v>
      </c>
      <c r="AD1020" s="43"/>
      <c r="AE1020" s="43"/>
      <c r="AF1020" s="43"/>
      <c r="AG1020" s="43"/>
      <c r="AH1020" s="43">
        <v>0.60499999999999998</v>
      </c>
      <c r="AI1020" s="43"/>
      <c r="AJ1020" s="43"/>
      <c r="AK1020" s="43"/>
    </row>
    <row r="1021" spans="1:37" ht="21.75" hidden="1" customHeight="1" x14ac:dyDescent="0.2">
      <c r="A1021" s="21">
        <v>106</v>
      </c>
      <c r="B1021" s="39" t="s">
        <v>481</v>
      </c>
      <c r="C1021" s="39"/>
      <c r="D1021" s="39"/>
      <c r="E1021" s="39"/>
      <c r="F1021" s="39"/>
      <c r="G1021" s="39"/>
      <c r="H1021" s="39"/>
      <c r="I1021" s="39"/>
      <c r="J1021" s="39"/>
      <c r="K1021" s="39"/>
      <c r="L1021" s="39"/>
      <c r="M1021" s="39"/>
      <c r="N1021" s="39"/>
      <c r="O1021" s="39"/>
      <c r="P1021" s="39"/>
      <c r="Q1021" s="59">
        <v>0.8</v>
      </c>
      <c r="R1021" s="59"/>
      <c r="S1021" s="59"/>
      <c r="T1021" s="59"/>
      <c r="U1021" s="59"/>
      <c r="V1021" s="59"/>
      <c r="W1021" s="59"/>
      <c r="X1021" s="41">
        <v>8.1199999999999992</v>
      </c>
      <c r="Y1021" s="41"/>
      <c r="Z1021" s="41"/>
      <c r="AA1021" s="41"/>
      <c r="AB1021" s="41"/>
      <c r="AC1021" s="41">
        <v>7.32</v>
      </c>
      <c r="AD1021" s="41"/>
      <c r="AE1021" s="41"/>
      <c r="AF1021" s="41"/>
      <c r="AG1021" s="41"/>
      <c r="AH1021" s="59">
        <v>0.8</v>
      </c>
      <c r="AI1021" s="59"/>
      <c r="AJ1021" s="59"/>
      <c r="AK1021" s="59"/>
    </row>
    <row r="1022" spans="1:37" ht="21.75" hidden="1" customHeight="1" x14ac:dyDescent="0.2">
      <c r="A1022" s="21">
        <v>107</v>
      </c>
      <c r="B1022" s="39" t="s">
        <v>823</v>
      </c>
      <c r="C1022" s="39"/>
      <c r="D1022" s="39"/>
      <c r="E1022" s="39"/>
      <c r="F1022" s="39"/>
      <c r="G1022" s="39"/>
      <c r="H1022" s="39"/>
      <c r="I1022" s="39"/>
      <c r="J1022" s="39"/>
      <c r="K1022" s="39"/>
      <c r="L1022" s="39"/>
      <c r="M1022" s="39"/>
      <c r="N1022" s="39"/>
      <c r="O1022" s="39"/>
      <c r="P1022" s="39"/>
      <c r="Q1022" s="43">
        <v>0.77600000000000002</v>
      </c>
      <c r="R1022" s="43"/>
      <c r="S1022" s="43"/>
      <c r="T1022" s="43"/>
      <c r="U1022" s="43"/>
      <c r="V1022" s="43"/>
      <c r="W1022" s="43"/>
      <c r="X1022" s="59">
        <v>19.600000000000001</v>
      </c>
      <c r="Y1022" s="59"/>
      <c r="Z1022" s="59"/>
      <c r="AA1022" s="59"/>
      <c r="AB1022" s="59"/>
      <c r="AC1022" s="43">
        <v>18.838999999999999</v>
      </c>
      <c r="AD1022" s="43"/>
      <c r="AE1022" s="43"/>
      <c r="AF1022" s="43"/>
      <c r="AG1022" s="43"/>
      <c r="AH1022" s="43">
        <v>0.76100000000000001</v>
      </c>
      <c r="AI1022" s="43"/>
      <c r="AJ1022" s="43"/>
      <c r="AK1022" s="43"/>
    </row>
    <row r="1023" spans="1:37" ht="21.75" hidden="1" customHeight="1" x14ac:dyDescent="0.2">
      <c r="A1023" s="21">
        <v>108</v>
      </c>
      <c r="B1023" s="39" t="s">
        <v>531</v>
      </c>
      <c r="C1023" s="39"/>
      <c r="D1023" s="39"/>
      <c r="E1023" s="39"/>
      <c r="F1023" s="39"/>
      <c r="G1023" s="39"/>
      <c r="H1023" s="39"/>
      <c r="I1023" s="39"/>
      <c r="J1023" s="39"/>
      <c r="K1023" s="39"/>
      <c r="L1023" s="39"/>
      <c r="M1023" s="39"/>
      <c r="N1023" s="39"/>
      <c r="O1023" s="39"/>
      <c r="P1023" s="39"/>
      <c r="Q1023" s="43">
        <v>0.749</v>
      </c>
      <c r="R1023" s="43"/>
      <c r="S1023" s="43"/>
      <c r="T1023" s="43"/>
      <c r="U1023" s="43"/>
      <c r="V1023" s="43"/>
      <c r="W1023" s="43"/>
      <c r="X1023" s="59">
        <v>12.5</v>
      </c>
      <c r="Y1023" s="59"/>
      <c r="Z1023" s="59"/>
      <c r="AA1023" s="59"/>
      <c r="AB1023" s="59"/>
      <c r="AC1023" s="43">
        <v>11.778</v>
      </c>
      <c r="AD1023" s="43"/>
      <c r="AE1023" s="43"/>
      <c r="AF1023" s="43"/>
      <c r="AG1023" s="43"/>
      <c r="AH1023" s="43">
        <v>0.72199999999999998</v>
      </c>
      <c r="AI1023" s="43"/>
      <c r="AJ1023" s="43"/>
      <c r="AK1023" s="43"/>
    </row>
    <row r="1024" spans="1:37" ht="11.25" hidden="1" customHeight="1" x14ac:dyDescent="0.2">
      <c r="A1024" s="21">
        <v>109</v>
      </c>
      <c r="B1024" s="39" t="s">
        <v>361</v>
      </c>
      <c r="C1024" s="39"/>
      <c r="D1024" s="39"/>
      <c r="E1024" s="39"/>
      <c r="F1024" s="39"/>
      <c r="G1024" s="39"/>
      <c r="H1024" s="39"/>
      <c r="I1024" s="39"/>
      <c r="J1024" s="39"/>
      <c r="K1024" s="39"/>
      <c r="L1024" s="39"/>
      <c r="M1024" s="39"/>
      <c r="N1024" s="39"/>
      <c r="O1024" s="39"/>
      <c r="P1024" s="39"/>
      <c r="Q1024" s="41">
        <v>0.74</v>
      </c>
      <c r="R1024" s="41"/>
      <c r="S1024" s="41"/>
      <c r="T1024" s="41"/>
      <c r="U1024" s="41"/>
      <c r="V1024" s="41"/>
      <c r="W1024" s="41"/>
      <c r="X1024" s="41">
        <v>0.74</v>
      </c>
      <c r="Y1024" s="41"/>
      <c r="Z1024" s="41"/>
      <c r="AA1024" s="41"/>
      <c r="AB1024" s="41"/>
      <c r="AC1024" s="25"/>
      <c r="AD1024" s="26"/>
      <c r="AE1024" s="26"/>
      <c r="AF1024" s="26"/>
      <c r="AG1024" s="27"/>
      <c r="AH1024" s="41">
        <v>0.74</v>
      </c>
      <c r="AI1024" s="41"/>
      <c r="AJ1024" s="41"/>
      <c r="AK1024" s="41"/>
    </row>
    <row r="1025" spans="1:37" ht="21.75" hidden="1" customHeight="1" x14ac:dyDescent="0.2">
      <c r="A1025" s="21">
        <v>110</v>
      </c>
      <c r="B1025" s="39" t="s">
        <v>370</v>
      </c>
      <c r="C1025" s="39"/>
      <c r="D1025" s="39"/>
      <c r="E1025" s="39"/>
      <c r="F1025" s="39"/>
      <c r="G1025" s="39"/>
      <c r="H1025" s="39"/>
      <c r="I1025" s="39"/>
      <c r="J1025" s="39"/>
      <c r="K1025" s="39"/>
      <c r="L1025" s="39"/>
      <c r="M1025" s="39"/>
      <c r="N1025" s="39"/>
      <c r="O1025" s="39"/>
      <c r="P1025" s="39"/>
      <c r="Q1025" s="43">
        <v>0.69199999999999995</v>
      </c>
      <c r="R1025" s="43"/>
      <c r="S1025" s="43"/>
      <c r="T1025" s="43"/>
      <c r="U1025" s="43"/>
      <c r="V1025" s="43"/>
      <c r="W1025" s="43"/>
      <c r="X1025" s="41">
        <v>75.239999999999995</v>
      </c>
      <c r="Y1025" s="41"/>
      <c r="Z1025" s="41"/>
      <c r="AA1025" s="41"/>
      <c r="AB1025" s="41"/>
      <c r="AC1025" s="43">
        <v>81.414000000000001</v>
      </c>
      <c r="AD1025" s="43"/>
      <c r="AE1025" s="43"/>
      <c r="AF1025" s="43"/>
      <c r="AG1025" s="43"/>
      <c r="AH1025" s="43">
        <v>-6.1740000000000004</v>
      </c>
      <c r="AI1025" s="43"/>
      <c r="AJ1025" s="43"/>
      <c r="AK1025" s="43"/>
    </row>
    <row r="1026" spans="1:37" ht="11.25" hidden="1" customHeight="1" x14ac:dyDescent="0.2">
      <c r="A1026" s="21">
        <v>111</v>
      </c>
      <c r="B1026" s="39" t="s">
        <v>710</v>
      </c>
      <c r="C1026" s="39"/>
      <c r="D1026" s="39"/>
      <c r="E1026" s="39"/>
      <c r="F1026" s="39"/>
      <c r="G1026" s="39"/>
      <c r="H1026" s="39"/>
      <c r="I1026" s="39"/>
      <c r="J1026" s="39"/>
      <c r="K1026" s="39"/>
      <c r="L1026" s="39"/>
      <c r="M1026" s="39"/>
      <c r="N1026" s="39"/>
      <c r="O1026" s="39"/>
      <c r="P1026" s="39"/>
      <c r="Q1026" s="43">
        <v>0.68300000000000005</v>
      </c>
      <c r="R1026" s="43"/>
      <c r="S1026" s="43"/>
      <c r="T1026" s="43"/>
      <c r="U1026" s="43"/>
      <c r="V1026" s="43"/>
      <c r="W1026" s="43"/>
      <c r="X1026" s="41">
        <v>14.35</v>
      </c>
      <c r="Y1026" s="41"/>
      <c r="Z1026" s="41"/>
      <c r="AA1026" s="41"/>
      <c r="AB1026" s="41"/>
      <c r="AC1026" s="43">
        <v>13.834</v>
      </c>
      <c r="AD1026" s="43"/>
      <c r="AE1026" s="43"/>
      <c r="AF1026" s="43"/>
      <c r="AG1026" s="43"/>
      <c r="AH1026" s="43">
        <v>0.51600000000000001</v>
      </c>
      <c r="AI1026" s="43"/>
      <c r="AJ1026" s="43"/>
      <c r="AK1026" s="43"/>
    </row>
    <row r="1027" spans="1:37" ht="11.25" hidden="1" customHeight="1" x14ac:dyDescent="0.2">
      <c r="A1027" s="21">
        <v>112</v>
      </c>
      <c r="B1027" s="39" t="s">
        <v>782</v>
      </c>
      <c r="C1027" s="39"/>
      <c r="D1027" s="39"/>
      <c r="E1027" s="39"/>
      <c r="F1027" s="39"/>
      <c r="G1027" s="39"/>
      <c r="H1027" s="39"/>
      <c r="I1027" s="39"/>
      <c r="J1027" s="39"/>
      <c r="K1027" s="39"/>
      <c r="L1027" s="39"/>
      <c r="M1027" s="39"/>
      <c r="N1027" s="39"/>
      <c r="O1027" s="39"/>
      <c r="P1027" s="39"/>
      <c r="Q1027" s="43">
        <v>0.68200000000000005</v>
      </c>
      <c r="R1027" s="43"/>
      <c r="S1027" s="43"/>
      <c r="T1027" s="43"/>
      <c r="U1027" s="43"/>
      <c r="V1027" s="43"/>
      <c r="W1027" s="43"/>
      <c r="X1027" s="41">
        <v>57.25</v>
      </c>
      <c r="Y1027" s="41"/>
      <c r="Z1027" s="41"/>
      <c r="AA1027" s="41"/>
      <c r="AB1027" s="41"/>
      <c r="AC1027" s="41">
        <v>57.54</v>
      </c>
      <c r="AD1027" s="41"/>
      <c r="AE1027" s="41"/>
      <c r="AF1027" s="41"/>
      <c r="AG1027" s="41"/>
      <c r="AH1027" s="41">
        <v>-0.28999999999999998</v>
      </c>
      <c r="AI1027" s="41"/>
      <c r="AJ1027" s="41"/>
      <c r="AK1027" s="41"/>
    </row>
    <row r="1028" spans="1:37" ht="11.25" hidden="1" customHeight="1" x14ac:dyDescent="0.2">
      <c r="A1028" s="21">
        <v>113</v>
      </c>
      <c r="B1028" s="39" t="s">
        <v>532</v>
      </c>
      <c r="C1028" s="39"/>
      <c r="D1028" s="39"/>
      <c r="E1028" s="39"/>
      <c r="F1028" s="39"/>
      <c r="G1028" s="39"/>
      <c r="H1028" s="39"/>
      <c r="I1028" s="39"/>
      <c r="J1028" s="39"/>
      <c r="K1028" s="39"/>
      <c r="L1028" s="39"/>
      <c r="M1028" s="39"/>
      <c r="N1028" s="39"/>
      <c r="O1028" s="39"/>
      <c r="P1028" s="39"/>
      <c r="Q1028" s="41">
        <v>0.68</v>
      </c>
      <c r="R1028" s="41"/>
      <c r="S1028" s="41"/>
      <c r="T1028" s="41"/>
      <c r="U1028" s="41"/>
      <c r="V1028" s="41"/>
      <c r="W1028" s="41"/>
      <c r="X1028" s="41">
        <v>9.7100000000000009</v>
      </c>
      <c r="Y1028" s="41"/>
      <c r="Z1028" s="41"/>
      <c r="AA1028" s="41"/>
      <c r="AB1028" s="41"/>
      <c r="AC1028" s="41">
        <v>9.49</v>
      </c>
      <c r="AD1028" s="41"/>
      <c r="AE1028" s="41"/>
      <c r="AF1028" s="41"/>
      <c r="AG1028" s="41"/>
      <c r="AH1028" s="41">
        <v>0.22</v>
      </c>
      <c r="AI1028" s="41"/>
      <c r="AJ1028" s="41"/>
      <c r="AK1028" s="41"/>
    </row>
    <row r="1029" spans="1:37" ht="21.75" hidden="1" customHeight="1" x14ac:dyDescent="0.2">
      <c r="A1029" s="21">
        <v>114</v>
      </c>
      <c r="B1029" s="39" t="s">
        <v>783</v>
      </c>
      <c r="C1029" s="39"/>
      <c r="D1029" s="39"/>
      <c r="E1029" s="39"/>
      <c r="F1029" s="39"/>
      <c r="G1029" s="39"/>
      <c r="H1029" s="39"/>
      <c r="I1029" s="39"/>
      <c r="J1029" s="39"/>
      <c r="K1029" s="39"/>
      <c r="L1029" s="39"/>
      <c r="M1029" s="39"/>
      <c r="N1029" s="39"/>
      <c r="O1029" s="39"/>
      <c r="P1029" s="39"/>
      <c r="Q1029" s="43">
        <v>0.67800000000000005</v>
      </c>
      <c r="R1029" s="43"/>
      <c r="S1029" s="43"/>
      <c r="T1029" s="43"/>
      <c r="U1029" s="43"/>
      <c r="V1029" s="43"/>
      <c r="W1029" s="43"/>
      <c r="X1029" s="59">
        <v>24.8</v>
      </c>
      <c r="Y1029" s="59"/>
      <c r="Z1029" s="59"/>
      <c r="AA1029" s="59"/>
      <c r="AB1029" s="59"/>
      <c r="AC1029" s="43">
        <v>24.524999999999999</v>
      </c>
      <c r="AD1029" s="43"/>
      <c r="AE1029" s="43"/>
      <c r="AF1029" s="43"/>
      <c r="AG1029" s="43"/>
      <c r="AH1029" s="43">
        <v>0.27500000000000002</v>
      </c>
      <c r="AI1029" s="43"/>
      <c r="AJ1029" s="43"/>
      <c r="AK1029" s="43"/>
    </row>
    <row r="1030" spans="1:37" ht="21.75" hidden="1" customHeight="1" x14ac:dyDescent="0.2">
      <c r="A1030" s="21">
        <v>115</v>
      </c>
      <c r="B1030" s="39" t="s">
        <v>784</v>
      </c>
      <c r="C1030" s="39"/>
      <c r="D1030" s="39"/>
      <c r="E1030" s="39"/>
      <c r="F1030" s="39"/>
      <c r="G1030" s="39"/>
      <c r="H1030" s="39"/>
      <c r="I1030" s="39"/>
      <c r="J1030" s="39"/>
      <c r="K1030" s="39"/>
      <c r="L1030" s="39"/>
      <c r="M1030" s="39"/>
      <c r="N1030" s="39"/>
      <c r="O1030" s="39"/>
      <c r="P1030" s="39"/>
      <c r="Q1030" s="43">
        <v>0.628</v>
      </c>
      <c r="R1030" s="43"/>
      <c r="S1030" s="43"/>
      <c r="T1030" s="43"/>
      <c r="U1030" s="43"/>
      <c r="V1030" s="43"/>
      <c r="W1030" s="43"/>
      <c r="X1030" s="41">
        <v>18.170000000000002</v>
      </c>
      <c r="Y1030" s="41"/>
      <c r="Z1030" s="41"/>
      <c r="AA1030" s="41"/>
      <c r="AB1030" s="41"/>
      <c r="AC1030" s="43">
        <v>17.582000000000001</v>
      </c>
      <c r="AD1030" s="43"/>
      <c r="AE1030" s="43"/>
      <c r="AF1030" s="43"/>
      <c r="AG1030" s="43"/>
      <c r="AH1030" s="43">
        <v>0.58799999999999997</v>
      </c>
      <c r="AI1030" s="43"/>
      <c r="AJ1030" s="43"/>
      <c r="AK1030" s="43"/>
    </row>
    <row r="1031" spans="1:37" ht="11.25" hidden="1" customHeight="1" x14ac:dyDescent="0.2">
      <c r="A1031" s="21">
        <v>116</v>
      </c>
      <c r="B1031" s="39" t="s">
        <v>681</v>
      </c>
      <c r="C1031" s="39"/>
      <c r="D1031" s="39"/>
      <c r="E1031" s="39"/>
      <c r="F1031" s="39"/>
      <c r="G1031" s="39"/>
      <c r="H1031" s="39"/>
      <c r="I1031" s="39"/>
      <c r="J1031" s="39"/>
      <c r="K1031" s="39"/>
      <c r="L1031" s="39"/>
      <c r="M1031" s="39"/>
      <c r="N1031" s="39"/>
      <c r="O1031" s="39"/>
      <c r="P1031" s="39"/>
      <c r="Q1031" s="43">
        <v>0.627</v>
      </c>
      <c r="R1031" s="43"/>
      <c r="S1031" s="43"/>
      <c r="T1031" s="43"/>
      <c r="U1031" s="43"/>
      <c r="V1031" s="43"/>
      <c r="W1031" s="43"/>
      <c r="X1031" s="41">
        <v>43.97</v>
      </c>
      <c r="Y1031" s="41"/>
      <c r="Z1031" s="41"/>
      <c r="AA1031" s="41"/>
      <c r="AB1031" s="41"/>
      <c r="AC1031" s="41">
        <v>43.82</v>
      </c>
      <c r="AD1031" s="41"/>
      <c r="AE1031" s="41"/>
      <c r="AF1031" s="41"/>
      <c r="AG1031" s="41"/>
      <c r="AH1031" s="41">
        <v>0.15</v>
      </c>
      <c r="AI1031" s="41"/>
      <c r="AJ1031" s="41"/>
      <c r="AK1031" s="41"/>
    </row>
    <row r="1032" spans="1:37" ht="11.25" hidden="1" customHeight="1" x14ac:dyDescent="0.2">
      <c r="A1032" s="21">
        <v>117</v>
      </c>
      <c r="B1032" s="39" t="s">
        <v>581</v>
      </c>
      <c r="C1032" s="39"/>
      <c r="D1032" s="39"/>
      <c r="E1032" s="39"/>
      <c r="F1032" s="39"/>
      <c r="G1032" s="39"/>
      <c r="H1032" s="39"/>
      <c r="I1032" s="39"/>
      <c r="J1032" s="39"/>
      <c r="K1032" s="39"/>
      <c r="L1032" s="39"/>
      <c r="M1032" s="39"/>
      <c r="N1032" s="39"/>
      <c r="O1032" s="39"/>
      <c r="P1032" s="39"/>
      <c r="Q1032" s="43">
        <v>0.61799999999999999</v>
      </c>
      <c r="R1032" s="43"/>
      <c r="S1032" s="43"/>
      <c r="T1032" s="43"/>
      <c r="U1032" s="43"/>
      <c r="V1032" s="43"/>
      <c r="W1032" s="43"/>
      <c r="X1032" s="41">
        <v>33.94</v>
      </c>
      <c r="Y1032" s="41"/>
      <c r="Z1032" s="41"/>
      <c r="AA1032" s="41"/>
      <c r="AB1032" s="41"/>
      <c r="AC1032" s="41">
        <v>33.409999999999997</v>
      </c>
      <c r="AD1032" s="41"/>
      <c r="AE1032" s="41"/>
      <c r="AF1032" s="41"/>
      <c r="AG1032" s="41"/>
      <c r="AH1032" s="41">
        <v>0.53</v>
      </c>
      <c r="AI1032" s="41"/>
      <c r="AJ1032" s="41"/>
      <c r="AK1032" s="41"/>
    </row>
    <row r="1033" spans="1:37" ht="11.25" hidden="1" customHeight="1" x14ac:dyDescent="0.2">
      <c r="A1033" s="21">
        <v>118</v>
      </c>
      <c r="B1033" s="39" t="s">
        <v>621</v>
      </c>
      <c r="C1033" s="39"/>
      <c r="D1033" s="39"/>
      <c r="E1033" s="39"/>
      <c r="F1033" s="39"/>
      <c r="G1033" s="39"/>
      <c r="H1033" s="39"/>
      <c r="I1033" s="39"/>
      <c r="J1033" s="39"/>
      <c r="K1033" s="39"/>
      <c r="L1033" s="39"/>
      <c r="M1033" s="39"/>
      <c r="N1033" s="39"/>
      <c r="O1033" s="39"/>
      <c r="P1033" s="39"/>
      <c r="Q1033" s="43">
        <v>0.61299999999999999</v>
      </c>
      <c r="R1033" s="43"/>
      <c r="S1033" s="43"/>
      <c r="T1033" s="43"/>
      <c r="U1033" s="43"/>
      <c r="V1033" s="43"/>
      <c r="W1033" s="43"/>
      <c r="X1033" s="41">
        <v>19.37</v>
      </c>
      <c r="Y1033" s="41"/>
      <c r="Z1033" s="41"/>
      <c r="AA1033" s="41"/>
      <c r="AB1033" s="41"/>
      <c r="AC1033" s="43">
        <v>18.803000000000001</v>
      </c>
      <c r="AD1033" s="43"/>
      <c r="AE1033" s="43"/>
      <c r="AF1033" s="43"/>
      <c r="AG1033" s="43"/>
      <c r="AH1033" s="43">
        <v>0.56699999999999995</v>
      </c>
      <c r="AI1033" s="43"/>
      <c r="AJ1033" s="43"/>
      <c r="AK1033" s="43"/>
    </row>
    <row r="1034" spans="1:37" ht="11.25" hidden="1" customHeight="1" x14ac:dyDescent="0.2">
      <c r="A1034" s="21">
        <v>119</v>
      </c>
      <c r="B1034" s="39" t="s">
        <v>785</v>
      </c>
      <c r="C1034" s="39"/>
      <c r="D1034" s="39"/>
      <c r="E1034" s="39"/>
      <c r="F1034" s="39"/>
      <c r="G1034" s="39"/>
      <c r="H1034" s="39"/>
      <c r="I1034" s="39"/>
      <c r="J1034" s="39"/>
      <c r="K1034" s="39"/>
      <c r="L1034" s="39"/>
      <c r="M1034" s="39"/>
      <c r="N1034" s="39"/>
      <c r="O1034" s="39"/>
      <c r="P1034" s="39"/>
      <c r="Q1034" s="59">
        <v>0.6</v>
      </c>
      <c r="R1034" s="59"/>
      <c r="S1034" s="59"/>
      <c r="T1034" s="59"/>
      <c r="U1034" s="59"/>
      <c r="V1034" s="59"/>
      <c r="W1034" s="59"/>
      <c r="X1034" s="59">
        <v>4.8</v>
      </c>
      <c r="Y1034" s="59"/>
      <c r="Z1034" s="59"/>
      <c r="AA1034" s="59"/>
      <c r="AB1034" s="59"/>
      <c r="AC1034" s="41">
        <v>4.2699999999999996</v>
      </c>
      <c r="AD1034" s="41"/>
      <c r="AE1034" s="41"/>
      <c r="AF1034" s="41"/>
      <c r="AG1034" s="41"/>
      <c r="AH1034" s="41">
        <v>0.53</v>
      </c>
      <c r="AI1034" s="41"/>
      <c r="AJ1034" s="41"/>
      <c r="AK1034" s="41"/>
    </row>
    <row r="1035" spans="1:37" ht="11.25" hidden="1" customHeight="1" x14ac:dyDescent="0.2">
      <c r="A1035" s="21">
        <v>120</v>
      </c>
      <c r="B1035" s="39" t="s">
        <v>711</v>
      </c>
      <c r="C1035" s="39"/>
      <c r="D1035" s="39"/>
      <c r="E1035" s="39"/>
      <c r="F1035" s="39"/>
      <c r="G1035" s="39"/>
      <c r="H1035" s="39"/>
      <c r="I1035" s="39"/>
      <c r="J1035" s="39"/>
      <c r="K1035" s="39"/>
      <c r="L1035" s="39"/>
      <c r="M1035" s="39"/>
      <c r="N1035" s="39"/>
      <c r="O1035" s="39"/>
      <c r="P1035" s="39"/>
      <c r="Q1035" s="59">
        <v>0.6</v>
      </c>
      <c r="R1035" s="59"/>
      <c r="S1035" s="59"/>
      <c r="T1035" s="59"/>
      <c r="U1035" s="59"/>
      <c r="V1035" s="59"/>
      <c r="W1035" s="59"/>
      <c r="X1035" s="41">
        <v>29.68</v>
      </c>
      <c r="Y1035" s="41"/>
      <c r="Z1035" s="41"/>
      <c r="AA1035" s="41"/>
      <c r="AB1035" s="41"/>
      <c r="AC1035" s="41">
        <v>29.55</v>
      </c>
      <c r="AD1035" s="41"/>
      <c r="AE1035" s="41"/>
      <c r="AF1035" s="41"/>
      <c r="AG1035" s="41"/>
      <c r="AH1035" s="41">
        <v>0.13</v>
      </c>
      <c r="AI1035" s="41"/>
      <c r="AJ1035" s="41"/>
      <c r="AK1035" s="41"/>
    </row>
    <row r="1036" spans="1:37" ht="11.25" hidden="1" customHeight="1" x14ac:dyDescent="0.2">
      <c r="A1036" s="21">
        <v>121</v>
      </c>
      <c r="B1036" s="39" t="s">
        <v>401</v>
      </c>
      <c r="C1036" s="39"/>
      <c r="D1036" s="39"/>
      <c r="E1036" s="39"/>
      <c r="F1036" s="39"/>
      <c r="G1036" s="39"/>
      <c r="H1036" s="39"/>
      <c r="I1036" s="39"/>
      <c r="J1036" s="39"/>
      <c r="K1036" s="39"/>
      <c r="L1036" s="39"/>
      <c r="M1036" s="39"/>
      <c r="N1036" s="39"/>
      <c r="O1036" s="39"/>
      <c r="P1036" s="39"/>
      <c r="Q1036" s="59">
        <v>0.6</v>
      </c>
      <c r="R1036" s="59"/>
      <c r="S1036" s="59"/>
      <c r="T1036" s="59"/>
      <c r="U1036" s="59"/>
      <c r="V1036" s="59"/>
      <c r="W1036" s="59"/>
      <c r="X1036" s="41">
        <v>18.760000000000002</v>
      </c>
      <c r="Y1036" s="41"/>
      <c r="Z1036" s="41"/>
      <c r="AA1036" s="41"/>
      <c r="AB1036" s="41"/>
      <c r="AC1036" s="43">
        <v>18.311</v>
      </c>
      <c r="AD1036" s="43"/>
      <c r="AE1036" s="43"/>
      <c r="AF1036" s="43"/>
      <c r="AG1036" s="43"/>
      <c r="AH1036" s="43">
        <v>0.44900000000000001</v>
      </c>
      <c r="AI1036" s="43"/>
      <c r="AJ1036" s="43"/>
      <c r="AK1036" s="43"/>
    </row>
    <row r="1037" spans="1:37" ht="11.25" hidden="1" customHeight="1" x14ac:dyDescent="0.2">
      <c r="A1037" s="21">
        <v>122</v>
      </c>
      <c r="B1037" s="39" t="s">
        <v>402</v>
      </c>
      <c r="C1037" s="39"/>
      <c r="D1037" s="39"/>
      <c r="E1037" s="39"/>
      <c r="F1037" s="39"/>
      <c r="G1037" s="39"/>
      <c r="H1037" s="39"/>
      <c r="I1037" s="39"/>
      <c r="J1037" s="39"/>
      <c r="K1037" s="39"/>
      <c r="L1037" s="39"/>
      <c r="M1037" s="39"/>
      <c r="N1037" s="39"/>
      <c r="O1037" s="39"/>
      <c r="P1037" s="39"/>
      <c r="Q1037" s="43">
        <v>0.59799999999999998</v>
      </c>
      <c r="R1037" s="43"/>
      <c r="S1037" s="43"/>
      <c r="T1037" s="43"/>
      <c r="U1037" s="43"/>
      <c r="V1037" s="43"/>
      <c r="W1037" s="43"/>
      <c r="X1037" s="59">
        <v>35.9</v>
      </c>
      <c r="Y1037" s="59"/>
      <c r="Z1037" s="59"/>
      <c r="AA1037" s="59"/>
      <c r="AB1037" s="59"/>
      <c r="AC1037" s="43">
        <v>36.084000000000003</v>
      </c>
      <c r="AD1037" s="43"/>
      <c r="AE1037" s="43"/>
      <c r="AF1037" s="43"/>
      <c r="AG1037" s="43"/>
      <c r="AH1037" s="43">
        <v>-0.184</v>
      </c>
      <c r="AI1037" s="43"/>
      <c r="AJ1037" s="43"/>
      <c r="AK1037" s="43"/>
    </row>
    <row r="1038" spans="1:37" ht="11.25" hidden="1" customHeight="1" x14ac:dyDescent="0.2">
      <c r="A1038" s="21">
        <v>123</v>
      </c>
      <c r="B1038" s="39" t="s">
        <v>786</v>
      </c>
      <c r="C1038" s="39"/>
      <c r="D1038" s="39"/>
      <c r="E1038" s="39"/>
      <c r="F1038" s="39"/>
      <c r="G1038" s="39"/>
      <c r="H1038" s="39"/>
      <c r="I1038" s="39"/>
      <c r="J1038" s="39"/>
      <c r="K1038" s="39"/>
      <c r="L1038" s="39"/>
      <c r="M1038" s="39"/>
      <c r="N1038" s="39"/>
      <c r="O1038" s="39"/>
      <c r="P1038" s="39"/>
      <c r="Q1038" s="43">
        <v>0.58299999999999996</v>
      </c>
      <c r="R1038" s="43"/>
      <c r="S1038" s="43"/>
      <c r="T1038" s="43"/>
      <c r="U1038" s="43"/>
      <c r="V1038" s="43"/>
      <c r="W1038" s="43"/>
      <c r="X1038" s="59">
        <v>18.5</v>
      </c>
      <c r="Y1038" s="59"/>
      <c r="Z1038" s="59"/>
      <c r="AA1038" s="59"/>
      <c r="AB1038" s="59"/>
      <c r="AC1038" s="43">
        <v>17.917000000000002</v>
      </c>
      <c r="AD1038" s="43"/>
      <c r="AE1038" s="43"/>
      <c r="AF1038" s="43"/>
      <c r="AG1038" s="43"/>
      <c r="AH1038" s="43">
        <v>0.58299999999999996</v>
      </c>
      <c r="AI1038" s="43"/>
      <c r="AJ1038" s="43"/>
      <c r="AK1038" s="43"/>
    </row>
    <row r="1039" spans="1:37" ht="11.25" hidden="1" customHeight="1" x14ac:dyDescent="0.2">
      <c r="A1039" s="21">
        <v>124</v>
      </c>
      <c r="B1039" s="39" t="s">
        <v>515</v>
      </c>
      <c r="C1039" s="39"/>
      <c r="D1039" s="39"/>
      <c r="E1039" s="39"/>
      <c r="F1039" s="39"/>
      <c r="G1039" s="39"/>
      <c r="H1039" s="39"/>
      <c r="I1039" s="39"/>
      <c r="J1039" s="39"/>
      <c r="K1039" s="39"/>
      <c r="L1039" s="39"/>
      <c r="M1039" s="39"/>
      <c r="N1039" s="39"/>
      <c r="O1039" s="39"/>
      <c r="P1039" s="39"/>
      <c r="Q1039" s="43">
        <v>0.57799999999999996</v>
      </c>
      <c r="R1039" s="43"/>
      <c r="S1039" s="43"/>
      <c r="T1039" s="43"/>
      <c r="U1039" s="43"/>
      <c r="V1039" s="43"/>
      <c r="W1039" s="43"/>
      <c r="X1039" s="59">
        <v>33.5</v>
      </c>
      <c r="Y1039" s="59"/>
      <c r="Z1039" s="59"/>
      <c r="AA1039" s="59"/>
      <c r="AB1039" s="59"/>
      <c r="AC1039" s="43">
        <v>34.036999999999999</v>
      </c>
      <c r="AD1039" s="43"/>
      <c r="AE1039" s="43"/>
      <c r="AF1039" s="43"/>
      <c r="AG1039" s="43"/>
      <c r="AH1039" s="43">
        <v>-0.53700000000000003</v>
      </c>
      <c r="AI1039" s="43"/>
      <c r="AJ1039" s="43"/>
      <c r="AK1039" s="43"/>
    </row>
    <row r="1040" spans="1:37" ht="11.25" hidden="1" customHeight="1" x14ac:dyDescent="0.2">
      <c r="A1040" s="21">
        <v>125</v>
      </c>
      <c r="B1040" s="39" t="s">
        <v>371</v>
      </c>
      <c r="C1040" s="39"/>
      <c r="D1040" s="39"/>
      <c r="E1040" s="39"/>
      <c r="F1040" s="39"/>
      <c r="G1040" s="39"/>
      <c r="H1040" s="39"/>
      <c r="I1040" s="39"/>
      <c r="J1040" s="39"/>
      <c r="K1040" s="39"/>
      <c r="L1040" s="39"/>
      <c r="M1040" s="39"/>
      <c r="N1040" s="39"/>
      <c r="O1040" s="39"/>
      <c r="P1040" s="39"/>
      <c r="Q1040" s="43">
        <v>0.57399999999999995</v>
      </c>
      <c r="R1040" s="43"/>
      <c r="S1040" s="43"/>
      <c r="T1040" s="43"/>
      <c r="U1040" s="43"/>
      <c r="V1040" s="43"/>
      <c r="W1040" s="43"/>
      <c r="X1040" s="59">
        <v>30.5</v>
      </c>
      <c r="Y1040" s="59"/>
      <c r="Z1040" s="59"/>
      <c r="AA1040" s="59"/>
      <c r="AB1040" s="59"/>
      <c r="AC1040" s="43">
        <v>30.292000000000002</v>
      </c>
      <c r="AD1040" s="43"/>
      <c r="AE1040" s="43"/>
      <c r="AF1040" s="43"/>
      <c r="AG1040" s="43"/>
      <c r="AH1040" s="43">
        <v>0.20799999999999999</v>
      </c>
      <c r="AI1040" s="43"/>
      <c r="AJ1040" s="43"/>
      <c r="AK1040" s="43"/>
    </row>
    <row r="1041" spans="1:37" ht="21.75" hidden="1" customHeight="1" x14ac:dyDescent="0.2">
      <c r="A1041" s="21">
        <v>126</v>
      </c>
      <c r="B1041" s="39" t="s">
        <v>533</v>
      </c>
      <c r="C1041" s="39"/>
      <c r="D1041" s="39"/>
      <c r="E1041" s="39"/>
      <c r="F1041" s="39"/>
      <c r="G1041" s="39"/>
      <c r="H1041" s="39"/>
      <c r="I1041" s="39"/>
      <c r="J1041" s="39"/>
      <c r="K1041" s="39"/>
      <c r="L1041" s="39"/>
      <c r="M1041" s="39"/>
      <c r="N1041" s="39"/>
      <c r="O1041" s="39"/>
      <c r="P1041" s="39"/>
      <c r="Q1041" s="43">
        <v>0.57399999999999995</v>
      </c>
      <c r="R1041" s="43"/>
      <c r="S1041" s="43"/>
      <c r="T1041" s="43"/>
      <c r="U1041" s="43"/>
      <c r="V1041" s="43"/>
      <c r="W1041" s="43"/>
      <c r="X1041" s="41">
        <v>10.82</v>
      </c>
      <c r="Y1041" s="41"/>
      <c r="Z1041" s="41"/>
      <c r="AA1041" s="41"/>
      <c r="AB1041" s="41"/>
      <c r="AC1041" s="43">
        <v>10.727</v>
      </c>
      <c r="AD1041" s="43"/>
      <c r="AE1041" s="43"/>
      <c r="AF1041" s="43"/>
      <c r="AG1041" s="43"/>
      <c r="AH1041" s="43">
        <v>9.2999999999999999E-2</v>
      </c>
      <c r="AI1041" s="43"/>
      <c r="AJ1041" s="43"/>
      <c r="AK1041" s="43"/>
    </row>
    <row r="1042" spans="1:37" ht="11.25" hidden="1" customHeight="1" x14ac:dyDescent="0.2">
      <c r="A1042" s="21">
        <v>127</v>
      </c>
      <c r="B1042" s="39" t="s">
        <v>748</v>
      </c>
      <c r="C1042" s="39"/>
      <c r="D1042" s="39"/>
      <c r="E1042" s="39"/>
      <c r="F1042" s="39"/>
      <c r="G1042" s="39"/>
      <c r="H1042" s="39"/>
      <c r="I1042" s="39"/>
      <c r="J1042" s="39"/>
      <c r="K1042" s="39"/>
      <c r="L1042" s="39"/>
      <c r="M1042" s="39"/>
      <c r="N1042" s="39"/>
      <c r="O1042" s="39"/>
      <c r="P1042" s="39"/>
      <c r="Q1042" s="43">
        <v>0.57399999999999995</v>
      </c>
      <c r="R1042" s="43"/>
      <c r="S1042" s="43"/>
      <c r="T1042" s="43"/>
      <c r="U1042" s="43"/>
      <c r="V1042" s="43"/>
      <c r="W1042" s="43"/>
      <c r="X1042" s="41">
        <v>17.440000000000001</v>
      </c>
      <c r="Y1042" s="41"/>
      <c r="Z1042" s="41"/>
      <c r="AA1042" s="41"/>
      <c r="AB1042" s="41"/>
      <c r="AC1042" s="43">
        <v>16.913</v>
      </c>
      <c r="AD1042" s="43"/>
      <c r="AE1042" s="43"/>
      <c r="AF1042" s="43"/>
      <c r="AG1042" s="43"/>
      <c r="AH1042" s="43">
        <v>0.52700000000000002</v>
      </c>
      <c r="AI1042" s="43"/>
      <c r="AJ1042" s="43"/>
      <c r="AK1042" s="43"/>
    </row>
    <row r="1043" spans="1:37" ht="11.25" hidden="1" customHeight="1" x14ac:dyDescent="0.2">
      <c r="A1043" s="21">
        <v>128</v>
      </c>
      <c r="B1043" s="39" t="s">
        <v>622</v>
      </c>
      <c r="C1043" s="39"/>
      <c r="D1043" s="39"/>
      <c r="E1043" s="39"/>
      <c r="F1043" s="39"/>
      <c r="G1043" s="39"/>
      <c r="H1043" s="39"/>
      <c r="I1043" s="39"/>
      <c r="J1043" s="39"/>
      <c r="K1043" s="39"/>
      <c r="L1043" s="39"/>
      <c r="M1043" s="39"/>
      <c r="N1043" s="39"/>
      <c r="O1043" s="39"/>
      <c r="P1043" s="39"/>
      <c r="Q1043" s="41">
        <v>0.56999999999999995</v>
      </c>
      <c r="R1043" s="41"/>
      <c r="S1043" s="41"/>
      <c r="T1043" s="41"/>
      <c r="U1043" s="41"/>
      <c r="V1043" s="41"/>
      <c r="W1043" s="41"/>
      <c r="X1043" s="41">
        <v>9.65</v>
      </c>
      <c r="Y1043" s="41"/>
      <c r="Z1043" s="41"/>
      <c r="AA1043" s="41"/>
      <c r="AB1043" s="41"/>
      <c r="AC1043" s="43">
        <v>9.2309999999999999</v>
      </c>
      <c r="AD1043" s="43"/>
      <c r="AE1043" s="43"/>
      <c r="AF1043" s="43"/>
      <c r="AG1043" s="43"/>
      <c r="AH1043" s="43">
        <v>0.41899999999999998</v>
      </c>
      <c r="AI1043" s="43"/>
      <c r="AJ1043" s="43"/>
      <c r="AK1043" s="43"/>
    </row>
    <row r="1044" spans="1:37" ht="11.25" hidden="1" customHeight="1" x14ac:dyDescent="0.2">
      <c r="A1044" s="21">
        <v>129</v>
      </c>
      <c r="B1044" s="39" t="s">
        <v>431</v>
      </c>
      <c r="C1044" s="39"/>
      <c r="D1044" s="39"/>
      <c r="E1044" s="39"/>
      <c r="F1044" s="39"/>
      <c r="G1044" s="39"/>
      <c r="H1044" s="39"/>
      <c r="I1044" s="39"/>
      <c r="J1044" s="39"/>
      <c r="K1044" s="39"/>
      <c r="L1044" s="39"/>
      <c r="M1044" s="39"/>
      <c r="N1044" s="39"/>
      <c r="O1044" s="39"/>
      <c r="P1044" s="39"/>
      <c r="Q1044" s="43">
        <v>0.56299999999999994</v>
      </c>
      <c r="R1044" s="43"/>
      <c r="S1044" s="43"/>
      <c r="T1044" s="43"/>
      <c r="U1044" s="43"/>
      <c r="V1044" s="43"/>
      <c r="W1044" s="43"/>
      <c r="X1044" s="41">
        <v>24.67</v>
      </c>
      <c r="Y1044" s="41"/>
      <c r="Z1044" s="41"/>
      <c r="AA1044" s="41"/>
      <c r="AB1044" s="41"/>
      <c r="AC1044" s="43">
        <v>28.073</v>
      </c>
      <c r="AD1044" s="43"/>
      <c r="AE1044" s="43"/>
      <c r="AF1044" s="43"/>
      <c r="AG1044" s="43"/>
      <c r="AH1044" s="43">
        <v>-3.403</v>
      </c>
      <c r="AI1044" s="43"/>
      <c r="AJ1044" s="43"/>
      <c r="AK1044" s="43"/>
    </row>
    <row r="1045" spans="1:37" ht="11.25" hidden="1" customHeight="1" x14ac:dyDescent="0.2">
      <c r="A1045" s="21">
        <v>130</v>
      </c>
      <c r="B1045" s="39" t="s">
        <v>482</v>
      </c>
      <c r="C1045" s="39"/>
      <c r="D1045" s="39"/>
      <c r="E1045" s="39"/>
      <c r="F1045" s="39"/>
      <c r="G1045" s="39"/>
      <c r="H1045" s="39"/>
      <c r="I1045" s="39"/>
      <c r="J1045" s="39"/>
      <c r="K1045" s="39"/>
      <c r="L1045" s="39"/>
      <c r="M1045" s="39"/>
      <c r="N1045" s="39"/>
      <c r="O1045" s="39"/>
      <c r="P1045" s="39"/>
      <c r="Q1045" s="41">
        <v>0.56000000000000005</v>
      </c>
      <c r="R1045" s="41"/>
      <c r="S1045" s="41"/>
      <c r="T1045" s="41"/>
      <c r="U1045" s="41"/>
      <c r="V1045" s="41"/>
      <c r="W1045" s="41"/>
      <c r="X1045" s="41">
        <v>18.059999999999999</v>
      </c>
      <c r="Y1045" s="41"/>
      <c r="Z1045" s="41"/>
      <c r="AA1045" s="41"/>
      <c r="AB1045" s="41"/>
      <c r="AC1045" s="59">
        <v>17.5</v>
      </c>
      <c r="AD1045" s="59"/>
      <c r="AE1045" s="59"/>
      <c r="AF1045" s="59"/>
      <c r="AG1045" s="59"/>
      <c r="AH1045" s="41">
        <v>0.56000000000000005</v>
      </c>
      <c r="AI1045" s="41"/>
      <c r="AJ1045" s="41"/>
      <c r="AK1045" s="41"/>
    </row>
    <row r="1046" spans="1:37" ht="11.25" hidden="1" customHeight="1" x14ac:dyDescent="0.2">
      <c r="A1046" s="21">
        <v>131</v>
      </c>
      <c r="B1046" s="39" t="s">
        <v>403</v>
      </c>
      <c r="C1046" s="39"/>
      <c r="D1046" s="39"/>
      <c r="E1046" s="39"/>
      <c r="F1046" s="39"/>
      <c r="G1046" s="39"/>
      <c r="H1046" s="39"/>
      <c r="I1046" s="39"/>
      <c r="J1046" s="39"/>
      <c r="K1046" s="39"/>
      <c r="L1046" s="39"/>
      <c r="M1046" s="39"/>
      <c r="N1046" s="39"/>
      <c r="O1046" s="39"/>
      <c r="P1046" s="39"/>
      <c r="Q1046" s="41">
        <v>0.56000000000000005</v>
      </c>
      <c r="R1046" s="41"/>
      <c r="S1046" s="41"/>
      <c r="T1046" s="41"/>
      <c r="U1046" s="41"/>
      <c r="V1046" s="41"/>
      <c r="W1046" s="41"/>
      <c r="X1046" s="41">
        <v>9.52</v>
      </c>
      <c r="Y1046" s="41"/>
      <c r="Z1046" s="41"/>
      <c r="AA1046" s="41"/>
      <c r="AB1046" s="41"/>
      <c r="AC1046" s="43">
        <v>9.3780000000000001</v>
      </c>
      <c r="AD1046" s="43"/>
      <c r="AE1046" s="43"/>
      <c r="AF1046" s="43"/>
      <c r="AG1046" s="43"/>
      <c r="AH1046" s="43">
        <v>0.14199999999999999</v>
      </c>
      <c r="AI1046" s="43"/>
      <c r="AJ1046" s="43"/>
      <c r="AK1046" s="43"/>
    </row>
    <row r="1047" spans="1:37" ht="11.25" hidden="1" customHeight="1" x14ac:dyDescent="0.2">
      <c r="A1047" s="21">
        <v>132</v>
      </c>
      <c r="B1047" s="39" t="s">
        <v>749</v>
      </c>
      <c r="C1047" s="39"/>
      <c r="D1047" s="39"/>
      <c r="E1047" s="39"/>
      <c r="F1047" s="39"/>
      <c r="G1047" s="39"/>
      <c r="H1047" s="39"/>
      <c r="I1047" s="39"/>
      <c r="J1047" s="39"/>
      <c r="K1047" s="39"/>
      <c r="L1047" s="39"/>
      <c r="M1047" s="39"/>
      <c r="N1047" s="39"/>
      <c r="O1047" s="39"/>
      <c r="P1047" s="39"/>
      <c r="Q1047" s="43">
        <v>0.54800000000000004</v>
      </c>
      <c r="R1047" s="43"/>
      <c r="S1047" s="43"/>
      <c r="T1047" s="43"/>
      <c r="U1047" s="43"/>
      <c r="V1047" s="43"/>
      <c r="W1047" s="43"/>
      <c r="X1047" s="41">
        <v>24.75</v>
      </c>
      <c r="Y1047" s="41"/>
      <c r="Z1047" s="41"/>
      <c r="AA1047" s="41"/>
      <c r="AB1047" s="41"/>
      <c r="AC1047" s="43">
        <v>24.533999999999999</v>
      </c>
      <c r="AD1047" s="43"/>
      <c r="AE1047" s="43"/>
      <c r="AF1047" s="43"/>
      <c r="AG1047" s="43"/>
      <c r="AH1047" s="43">
        <v>0.216</v>
      </c>
      <c r="AI1047" s="43"/>
      <c r="AJ1047" s="43"/>
      <c r="AK1047" s="43"/>
    </row>
    <row r="1048" spans="1:37" ht="11.25" hidden="1" customHeight="1" x14ac:dyDescent="0.2">
      <c r="A1048" s="21">
        <v>133</v>
      </c>
      <c r="B1048" s="39" t="s">
        <v>787</v>
      </c>
      <c r="C1048" s="39"/>
      <c r="D1048" s="39"/>
      <c r="E1048" s="39"/>
      <c r="F1048" s="39"/>
      <c r="G1048" s="39"/>
      <c r="H1048" s="39"/>
      <c r="I1048" s="39"/>
      <c r="J1048" s="39"/>
      <c r="K1048" s="39"/>
      <c r="L1048" s="39"/>
      <c r="M1048" s="39"/>
      <c r="N1048" s="39"/>
      <c r="O1048" s="39"/>
      <c r="P1048" s="39"/>
      <c r="Q1048" s="43">
        <v>0.54600000000000004</v>
      </c>
      <c r="R1048" s="43"/>
      <c r="S1048" s="43"/>
      <c r="T1048" s="43"/>
      <c r="U1048" s="43"/>
      <c r="V1048" s="43"/>
      <c r="W1048" s="43"/>
      <c r="X1048" s="59">
        <v>77.400000000000006</v>
      </c>
      <c r="Y1048" s="59"/>
      <c r="Z1048" s="59"/>
      <c r="AA1048" s="59"/>
      <c r="AB1048" s="59"/>
      <c r="AC1048" s="43">
        <v>77.968999999999994</v>
      </c>
      <c r="AD1048" s="43"/>
      <c r="AE1048" s="43"/>
      <c r="AF1048" s="43"/>
      <c r="AG1048" s="43"/>
      <c r="AH1048" s="43">
        <v>-0.56899999999999995</v>
      </c>
      <c r="AI1048" s="43"/>
      <c r="AJ1048" s="43"/>
      <c r="AK1048" s="43"/>
    </row>
    <row r="1049" spans="1:37" ht="11.25" hidden="1" customHeight="1" x14ac:dyDescent="0.2">
      <c r="A1049" s="21">
        <v>134</v>
      </c>
      <c r="B1049" s="39" t="s">
        <v>712</v>
      </c>
      <c r="C1049" s="39"/>
      <c r="D1049" s="39"/>
      <c r="E1049" s="39"/>
      <c r="F1049" s="39"/>
      <c r="G1049" s="39"/>
      <c r="H1049" s="39"/>
      <c r="I1049" s="39"/>
      <c r="J1049" s="39"/>
      <c r="K1049" s="39"/>
      <c r="L1049" s="39"/>
      <c r="M1049" s="39"/>
      <c r="N1049" s="39"/>
      <c r="O1049" s="39"/>
      <c r="P1049" s="39"/>
      <c r="Q1049" s="41">
        <v>0.54</v>
      </c>
      <c r="R1049" s="41"/>
      <c r="S1049" s="41"/>
      <c r="T1049" s="41"/>
      <c r="U1049" s="41"/>
      <c r="V1049" s="41"/>
      <c r="W1049" s="41"/>
      <c r="X1049" s="41">
        <v>4.32</v>
      </c>
      <c r="Y1049" s="41"/>
      <c r="Z1049" s="41"/>
      <c r="AA1049" s="41"/>
      <c r="AB1049" s="41"/>
      <c r="AC1049" s="41">
        <v>3.79</v>
      </c>
      <c r="AD1049" s="41"/>
      <c r="AE1049" s="41"/>
      <c r="AF1049" s="41"/>
      <c r="AG1049" s="41"/>
      <c r="AH1049" s="41">
        <v>0.53</v>
      </c>
      <c r="AI1049" s="41"/>
      <c r="AJ1049" s="41"/>
      <c r="AK1049" s="41"/>
    </row>
    <row r="1050" spans="1:37" ht="21.75" hidden="1" customHeight="1" x14ac:dyDescent="0.2">
      <c r="A1050" s="21">
        <v>135</v>
      </c>
      <c r="B1050" s="39" t="s">
        <v>824</v>
      </c>
      <c r="C1050" s="39"/>
      <c r="D1050" s="39"/>
      <c r="E1050" s="39"/>
      <c r="F1050" s="39"/>
      <c r="G1050" s="39"/>
      <c r="H1050" s="39"/>
      <c r="I1050" s="39"/>
      <c r="J1050" s="39"/>
      <c r="K1050" s="39"/>
      <c r="L1050" s="39"/>
      <c r="M1050" s="39"/>
      <c r="N1050" s="39"/>
      <c r="O1050" s="39"/>
      <c r="P1050" s="39"/>
      <c r="Q1050" s="41">
        <v>0.51</v>
      </c>
      <c r="R1050" s="41"/>
      <c r="S1050" s="41"/>
      <c r="T1050" s="41"/>
      <c r="U1050" s="41"/>
      <c r="V1050" s="41"/>
      <c r="W1050" s="41"/>
      <c r="X1050" s="59">
        <v>37.299999999999997</v>
      </c>
      <c r="Y1050" s="59"/>
      <c r="Z1050" s="59"/>
      <c r="AA1050" s="59"/>
      <c r="AB1050" s="59"/>
      <c r="AC1050" s="43">
        <v>38.341999999999999</v>
      </c>
      <c r="AD1050" s="43"/>
      <c r="AE1050" s="43"/>
      <c r="AF1050" s="43"/>
      <c r="AG1050" s="43"/>
      <c r="AH1050" s="43">
        <v>-1.042</v>
      </c>
      <c r="AI1050" s="43"/>
      <c r="AJ1050" s="43"/>
      <c r="AK1050" s="43"/>
    </row>
    <row r="1051" spans="1:37" ht="21.75" hidden="1" customHeight="1" x14ac:dyDescent="0.2">
      <c r="A1051" s="21">
        <v>136</v>
      </c>
      <c r="B1051" s="39" t="s">
        <v>788</v>
      </c>
      <c r="C1051" s="39"/>
      <c r="D1051" s="39"/>
      <c r="E1051" s="39"/>
      <c r="F1051" s="39"/>
      <c r="G1051" s="39"/>
      <c r="H1051" s="39"/>
      <c r="I1051" s="39"/>
      <c r="J1051" s="39"/>
      <c r="K1051" s="39"/>
      <c r="L1051" s="39"/>
      <c r="M1051" s="39"/>
      <c r="N1051" s="39"/>
      <c r="O1051" s="39"/>
      <c r="P1051" s="39"/>
      <c r="Q1051" s="43">
        <v>0.498</v>
      </c>
      <c r="R1051" s="43"/>
      <c r="S1051" s="43"/>
      <c r="T1051" s="43"/>
      <c r="U1051" s="43"/>
      <c r="V1051" s="43"/>
      <c r="W1051" s="43"/>
      <c r="X1051" s="41">
        <v>142.52000000000001</v>
      </c>
      <c r="Y1051" s="41"/>
      <c r="Z1051" s="41"/>
      <c r="AA1051" s="41"/>
      <c r="AB1051" s="41"/>
      <c r="AC1051" s="43">
        <v>147.583</v>
      </c>
      <c r="AD1051" s="43"/>
      <c r="AE1051" s="43"/>
      <c r="AF1051" s="43"/>
      <c r="AG1051" s="43"/>
      <c r="AH1051" s="43">
        <v>-5.0629999999999997</v>
      </c>
      <c r="AI1051" s="43"/>
      <c r="AJ1051" s="43"/>
      <c r="AK1051" s="43"/>
    </row>
    <row r="1052" spans="1:37" ht="21.75" hidden="1" customHeight="1" x14ac:dyDescent="0.2">
      <c r="A1052" s="21">
        <v>137</v>
      </c>
      <c r="B1052" s="39" t="s">
        <v>534</v>
      </c>
      <c r="C1052" s="39"/>
      <c r="D1052" s="39"/>
      <c r="E1052" s="39"/>
      <c r="F1052" s="39"/>
      <c r="G1052" s="39"/>
      <c r="H1052" s="39"/>
      <c r="I1052" s="39"/>
      <c r="J1052" s="39"/>
      <c r="K1052" s="39"/>
      <c r="L1052" s="39"/>
      <c r="M1052" s="39"/>
      <c r="N1052" s="39"/>
      <c r="O1052" s="39"/>
      <c r="P1052" s="39"/>
      <c r="Q1052" s="41">
        <v>0.46</v>
      </c>
      <c r="R1052" s="41"/>
      <c r="S1052" s="41"/>
      <c r="T1052" s="41"/>
      <c r="U1052" s="41"/>
      <c r="V1052" s="41"/>
      <c r="W1052" s="41"/>
      <c r="X1052" s="41">
        <v>3.78</v>
      </c>
      <c r="Y1052" s="41"/>
      <c r="Z1052" s="41"/>
      <c r="AA1052" s="41"/>
      <c r="AB1052" s="41"/>
      <c r="AC1052" s="41">
        <v>3.32</v>
      </c>
      <c r="AD1052" s="41"/>
      <c r="AE1052" s="41"/>
      <c r="AF1052" s="41"/>
      <c r="AG1052" s="41"/>
      <c r="AH1052" s="41">
        <v>0.46</v>
      </c>
      <c r="AI1052" s="41"/>
      <c r="AJ1052" s="41"/>
      <c r="AK1052" s="41"/>
    </row>
    <row r="1053" spans="1:37" ht="11.25" hidden="1" customHeight="1" x14ac:dyDescent="0.2">
      <c r="A1053" s="21">
        <v>138</v>
      </c>
      <c r="B1053" s="39" t="s">
        <v>516</v>
      </c>
      <c r="C1053" s="39"/>
      <c r="D1053" s="39"/>
      <c r="E1053" s="39"/>
      <c r="F1053" s="39"/>
      <c r="G1053" s="39"/>
      <c r="H1053" s="39"/>
      <c r="I1053" s="39"/>
      <c r="J1053" s="39"/>
      <c r="K1053" s="39"/>
      <c r="L1053" s="39"/>
      <c r="M1053" s="39"/>
      <c r="N1053" s="39"/>
      <c r="O1053" s="39"/>
      <c r="P1053" s="39"/>
      <c r="Q1053" s="43">
        <v>0.45900000000000002</v>
      </c>
      <c r="R1053" s="43"/>
      <c r="S1053" s="43"/>
      <c r="T1053" s="43"/>
      <c r="U1053" s="43"/>
      <c r="V1053" s="43"/>
      <c r="W1053" s="43"/>
      <c r="X1053" s="41">
        <v>10.76</v>
      </c>
      <c r="Y1053" s="41"/>
      <c r="Z1053" s="41"/>
      <c r="AA1053" s="41"/>
      <c r="AB1053" s="41"/>
      <c r="AC1053" s="43">
        <v>10.305</v>
      </c>
      <c r="AD1053" s="43"/>
      <c r="AE1053" s="43"/>
      <c r="AF1053" s="43"/>
      <c r="AG1053" s="43"/>
      <c r="AH1053" s="43">
        <v>0.45500000000000002</v>
      </c>
      <c r="AI1053" s="43"/>
      <c r="AJ1053" s="43"/>
      <c r="AK1053" s="43"/>
    </row>
    <row r="1054" spans="1:37" ht="21.75" hidden="1" customHeight="1" x14ac:dyDescent="0.2">
      <c r="A1054" s="21">
        <v>139</v>
      </c>
      <c r="B1054" s="39" t="s">
        <v>535</v>
      </c>
      <c r="C1054" s="39"/>
      <c r="D1054" s="39"/>
      <c r="E1054" s="39"/>
      <c r="F1054" s="39"/>
      <c r="G1054" s="39"/>
      <c r="H1054" s="39"/>
      <c r="I1054" s="39"/>
      <c r="J1054" s="39"/>
      <c r="K1054" s="39"/>
      <c r="L1054" s="39"/>
      <c r="M1054" s="39"/>
      <c r="N1054" s="39"/>
      <c r="O1054" s="39"/>
      <c r="P1054" s="39"/>
      <c r="Q1054" s="41">
        <v>0.45</v>
      </c>
      <c r="R1054" s="41"/>
      <c r="S1054" s="41"/>
      <c r="T1054" s="41"/>
      <c r="U1054" s="41"/>
      <c r="V1054" s="41"/>
      <c r="W1054" s="41"/>
      <c r="X1054" s="59">
        <v>23.3</v>
      </c>
      <c r="Y1054" s="59"/>
      <c r="Z1054" s="59"/>
      <c r="AA1054" s="59"/>
      <c r="AB1054" s="59"/>
      <c r="AC1054" s="43">
        <v>24.303000000000001</v>
      </c>
      <c r="AD1054" s="43"/>
      <c r="AE1054" s="43"/>
      <c r="AF1054" s="43"/>
      <c r="AG1054" s="43"/>
      <c r="AH1054" s="43">
        <v>-1.0029999999999999</v>
      </c>
      <c r="AI1054" s="43"/>
      <c r="AJ1054" s="43"/>
      <c r="AK1054" s="43"/>
    </row>
    <row r="1055" spans="1:37" ht="11.25" hidden="1" customHeight="1" x14ac:dyDescent="0.2">
      <c r="A1055" s="21">
        <v>140</v>
      </c>
      <c r="B1055" s="39" t="s">
        <v>517</v>
      </c>
      <c r="C1055" s="39"/>
      <c r="D1055" s="39"/>
      <c r="E1055" s="39"/>
      <c r="F1055" s="39"/>
      <c r="G1055" s="39"/>
      <c r="H1055" s="39"/>
      <c r="I1055" s="39"/>
      <c r="J1055" s="39"/>
      <c r="K1055" s="39"/>
      <c r="L1055" s="39"/>
      <c r="M1055" s="39"/>
      <c r="N1055" s="39"/>
      <c r="O1055" s="39"/>
      <c r="P1055" s="39"/>
      <c r="Q1055" s="43">
        <v>0.441</v>
      </c>
      <c r="R1055" s="43"/>
      <c r="S1055" s="43"/>
      <c r="T1055" s="43"/>
      <c r="U1055" s="43"/>
      <c r="V1055" s="43"/>
      <c r="W1055" s="43"/>
      <c r="X1055" s="41">
        <v>12.54</v>
      </c>
      <c r="Y1055" s="41"/>
      <c r="Z1055" s="41"/>
      <c r="AA1055" s="41"/>
      <c r="AB1055" s="41"/>
      <c r="AC1055" s="43">
        <v>12.170999999999999</v>
      </c>
      <c r="AD1055" s="43"/>
      <c r="AE1055" s="43"/>
      <c r="AF1055" s="43"/>
      <c r="AG1055" s="43"/>
      <c r="AH1055" s="43">
        <v>0.36899999999999999</v>
      </c>
      <c r="AI1055" s="43"/>
      <c r="AJ1055" s="43"/>
      <c r="AK1055" s="43"/>
    </row>
    <row r="1056" spans="1:37" ht="21.75" hidden="1" customHeight="1" x14ac:dyDescent="0.2">
      <c r="A1056" s="21">
        <v>141</v>
      </c>
      <c r="B1056" s="39" t="s">
        <v>789</v>
      </c>
      <c r="C1056" s="39"/>
      <c r="D1056" s="39"/>
      <c r="E1056" s="39"/>
      <c r="F1056" s="39"/>
      <c r="G1056" s="39"/>
      <c r="H1056" s="39"/>
      <c r="I1056" s="39"/>
      <c r="J1056" s="39"/>
      <c r="K1056" s="39"/>
      <c r="L1056" s="39"/>
      <c r="M1056" s="39"/>
      <c r="N1056" s="39"/>
      <c r="O1056" s="39"/>
      <c r="P1056" s="39"/>
      <c r="Q1056" s="41">
        <v>0.44</v>
      </c>
      <c r="R1056" s="41"/>
      <c r="S1056" s="41"/>
      <c r="T1056" s="41"/>
      <c r="U1056" s="41"/>
      <c r="V1056" s="41"/>
      <c r="W1056" s="41"/>
      <c r="X1056" s="59">
        <v>1.5</v>
      </c>
      <c r="Y1056" s="59"/>
      <c r="Z1056" s="59"/>
      <c r="AA1056" s="59"/>
      <c r="AB1056" s="59"/>
      <c r="AC1056" s="41">
        <v>1.06</v>
      </c>
      <c r="AD1056" s="41"/>
      <c r="AE1056" s="41"/>
      <c r="AF1056" s="41"/>
      <c r="AG1056" s="41"/>
      <c r="AH1056" s="41">
        <v>0.44</v>
      </c>
      <c r="AI1056" s="41"/>
      <c r="AJ1056" s="41"/>
      <c r="AK1056" s="41"/>
    </row>
    <row r="1057" spans="1:37" ht="11.25" hidden="1" customHeight="1" x14ac:dyDescent="0.2">
      <c r="A1057" s="21">
        <v>142</v>
      </c>
      <c r="B1057" s="39" t="s">
        <v>582</v>
      </c>
      <c r="C1057" s="39"/>
      <c r="D1057" s="39"/>
      <c r="E1057" s="39"/>
      <c r="F1057" s="39"/>
      <c r="G1057" s="39"/>
      <c r="H1057" s="39"/>
      <c r="I1057" s="39"/>
      <c r="J1057" s="39"/>
      <c r="K1057" s="39"/>
      <c r="L1057" s="39"/>
      <c r="M1057" s="39"/>
      <c r="N1057" s="39"/>
      <c r="O1057" s="39"/>
      <c r="P1057" s="39"/>
      <c r="Q1057" s="43">
        <v>0.432</v>
      </c>
      <c r="R1057" s="43"/>
      <c r="S1057" s="43"/>
      <c r="T1057" s="43"/>
      <c r="U1057" s="43"/>
      <c r="V1057" s="43"/>
      <c r="W1057" s="43"/>
      <c r="X1057" s="41">
        <v>15.56</v>
      </c>
      <c r="Y1057" s="41"/>
      <c r="Z1057" s="41"/>
      <c r="AA1057" s="41"/>
      <c r="AB1057" s="41"/>
      <c r="AC1057" s="43">
        <v>15.138999999999999</v>
      </c>
      <c r="AD1057" s="43"/>
      <c r="AE1057" s="43"/>
      <c r="AF1057" s="43"/>
      <c r="AG1057" s="43"/>
      <c r="AH1057" s="43">
        <v>0.42099999999999999</v>
      </c>
      <c r="AI1057" s="43"/>
      <c r="AJ1057" s="43"/>
      <c r="AK1057" s="43"/>
    </row>
    <row r="1058" spans="1:37" ht="21.75" hidden="1" customHeight="1" x14ac:dyDescent="0.2">
      <c r="A1058" s="21">
        <v>143</v>
      </c>
      <c r="B1058" s="39" t="s">
        <v>838</v>
      </c>
      <c r="C1058" s="39"/>
      <c r="D1058" s="39"/>
      <c r="E1058" s="39"/>
      <c r="F1058" s="39"/>
      <c r="G1058" s="39"/>
      <c r="H1058" s="39"/>
      <c r="I1058" s="39"/>
      <c r="J1058" s="39"/>
      <c r="K1058" s="39"/>
      <c r="L1058" s="39"/>
      <c r="M1058" s="39"/>
      <c r="N1058" s="39"/>
      <c r="O1058" s="39"/>
      <c r="P1058" s="39"/>
      <c r="Q1058" s="41">
        <v>0.42</v>
      </c>
      <c r="R1058" s="41"/>
      <c r="S1058" s="41"/>
      <c r="T1058" s="41"/>
      <c r="U1058" s="41"/>
      <c r="V1058" s="41"/>
      <c r="W1058" s="41"/>
      <c r="X1058" s="43">
        <v>4.7119999999999997</v>
      </c>
      <c r="Y1058" s="43"/>
      <c r="Z1058" s="43"/>
      <c r="AA1058" s="43"/>
      <c r="AB1058" s="43"/>
      <c r="AC1058" s="43">
        <v>4.3140000000000001</v>
      </c>
      <c r="AD1058" s="43"/>
      <c r="AE1058" s="43"/>
      <c r="AF1058" s="43"/>
      <c r="AG1058" s="43"/>
      <c r="AH1058" s="43">
        <v>0.39800000000000002</v>
      </c>
      <c r="AI1058" s="43"/>
      <c r="AJ1058" s="43"/>
      <c r="AK1058" s="43"/>
    </row>
    <row r="1059" spans="1:37" ht="21.75" hidden="1" customHeight="1" x14ac:dyDescent="0.2">
      <c r="A1059" s="21">
        <v>144</v>
      </c>
      <c r="B1059" s="39" t="s">
        <v>790</v>
      </c>
      <c r="C1059" s="39"/>
      <c r="D1059" s="39"/>
      <c r="E1059" s="39"/>
      <c r="F1059" s="39"/>
      <c r="G1059" s="39"/>
      <c r="H1059" s="39"/>
      <c r="I1059" s="39"/>
      <c r="J1059" s="39"/>
      <c r="K1059" s="39"/>
      <c r="L1059" s="39"/>
      <c r="M1059" s="39"/>
      <c r="N1059" s="39"/>
      <c r="O1059" s="39"/>
      <c r="P1059" s="39"/>
      <c r="Q1059" s="43">
        <v>0.41599999999999998</v>
      </c>
      <c r="R1059" s="43"/>
      <c r="S1059" s="43"/>
      <c r="T1059" s="43"/>
      <c r="U1059" s="43"/>
      <c r="V1059" s="43"/>
      <c r="W1059" s="43"/>
      <c r="X1059" s="59">
        <v>56.7</v>
      </c>
      <c r="Y1059" s="59"/>
      <c r="Z1059" s="59"/>
      <c r="AA1059" s="59"/>
      <c r="AB1059" s="59"/>
      <c r="AC1059" s="43">
        <v>57.597000000000001</v>
      </c>
      <c r="AD1059" s="43"/>
      <c r="AE1059" s="43"/>
      <c r="AF1059" s="43"/>
      <c r="AG1059" s="43"/>
      <c r="AH1059" s="43">
        <v>-0.89700000000000002</v>
      </c>
      <c r="AI1059" s="43"/>
      <c r="AJ1059" s="43"/>
      <c r="AK1059" s="43"/>
    </row>
    <row r="1060" spans="1:37" ht="11.25" hidden="1" customHeight="1" x14ac:dyDescent="0.2">
      <c r="A1060" s="21">
        <v>145</v>
      </c>
      <c r="B1060" s="39" t="s">
        <v>825</v>
      </c>
      <c r="C1060" s="39"/>
      <c r="D1060" s="39"/>
      <c r="E1060" s="39"/>
      <c r="F1060" s="39"/>
      <c r="G1060" s="39"/>
      <c r="H1060" s="39"/>
      <c r="I1060" s="39"/>
      <c r="J1060" s="39"/>
      <c r="K1060" s="39"/>
      <c r="L1060" s="39"/>
      <c r="M1060" s="39"/>
      <c r="N1060" s="39"/>
      <c r="O1060" s="39"/>
      <c r="P1060" s="39"/>
      <c r="Q1060" s="43">
        <v>0.41099999999999998</v>
      </c>
      <c r="R1060" s="43"/>
      <c r="S1060" s="43"/>
      <c r="T1060" s="43"/>
      <c r="U1060" s="43"/>
      <c r="V1060" s="43"/>
      <c r="W1060" s="43"/>
      <c r="X1060" s="59">
        <v>59.5</v>
      </c>
      <c r="Y1060" s="59"/>
      <c r="Z1060" s="59"/>
      <c r="AA1060" s="59"/>
      <c r="AB1060" s="59"/>
      <c r="AC1060" s="43">
        <v>61.753</v>
      </c>
      <c r="AD1060" s="43"/>
      <c r="AE1060" s="43"/>
      <c r="AF1060" s="43"/>
      <c r="AG1060" s="43"/>
      <c r="AH1060" s="43">
        <v>-2.2530000000000001</v>
      </c>
      <c r="AI1060" s="43"/>
      <c r="AJ1060" s="43"/>
      <c r="AK1060" s="43"/>
    </row>
    <row r="1061" spans="1:37" ht="21.75" hidden="1" customHeight="1" x14ac:dyDescent="0.2">
      <c r="A1061" s="21">
        <v>146</v>
      </c>
      <c r="B1061" s="39" t="s">
        <v>536</v>
      </c>
      <c r="C1061" s="39"/>
      <c r="D1061" s="39"/>
      <c r="E1061" s="39"/>
      <c r="F1061" s="39"/>
      <c r="G1061" s="39"/>
      <c r="H1061" s="39"/>
      <c r="I1061" s="39"/>
      <c r="J1061" s="39"/>
      <c r="K1061" s="39"/>
      <c r="L1061" s="39"/>
      <c r="M1061" s="39"/>
      <c r="N1061" s="39"/>
      <c r="O1061" s="39"/>
      <c r="P1061" s="39"/>
      <c r="Q1061" s="41">
        <v>0.41</v>
      </c>
      <c r="R1061" s="41"/>
      <c r="S1061" s="41"/>
      <c r="T1061" s="41"/>
      <c r="U1061" s="41"/>
      <c r="V1061" s="41"/>
      <c r="W1061" s="41"/>
      <c r="X1061" s="41">
        <v>6.23</v>
      </c>
      <c r="Y1061" s="41"/>
      <c r="Z1061" s="41"/>
      <c r="AA1061" s="41"/>
      <c r="AB1061" s="41"/>
      <c r="AC1061" s="41">
        <v>5.82</v>
      </c>
      <c r="AD1061" s="41"/>
      <c r="AE1061" s="41"/>
      <c r="AF1061" s="41"/>
      <c r="AG1061" s="41"/>
      <c r="AH1061" s="41">
        <v>0.41</v>
      </c>
      <c r="AI1061" s="41"/>
      <c r="AJ1061" s="41"/>
      <c r="AK1061" s="41"/>
    </row>
    <row r="1062" spans="1:37" ht="21.75" hidden="1" customHeight="1" x14ac:dyDescent="0.2">
      <c r="A1062" s="21">
        <v>147</v>
      </c>
      <c r="B1062" s="39" t="s">
        <v>404</v>
      </c>
      <c r="C1062" s="39"/>
      <c r="D1062" s="39"/>
      <c r="E1062" s="39"/>
      <c r="F1062" s="39"/>
      <c r="G1062" s="39"/>
      <c r="H1062" s="39"/>
      <c r="I1062" s="39"/>
      <c r="J1062" s="39"/>
      <c r="K1062" s="39"/>
      <c r="L1062" s="39"/>
      <c r="M1062" s="39"/>
      <c r="N1062" s="39"/>
      <c r="O1062" s="39"/>
      <c r="P1062" s="39"/>
      <c r="Q1062" s="41">
        <v>0.41</v>
      </c>
      <c r="R1062" s="41"/>
      <c r="S1062" s="41"/>
      <c r="T1062" s="41"/>
      <c r="U1062" s="41"/>
      <c r="V1062" s="41"/>
      <c r="W1062" s="41"/>
      <c r="X1062" s="41">
        <v>4.74</v>
      </c>
      <c r="Y1062" s="41"/>
      <c r="Z1062" s="41"/>
      <c r="AA1062" s="41"/>
      <c r="AB1062" s="41"/>
      <c r="AC1062" s="43">
        <v>4.758</v>
      </c>
      <c r="AD1062" s="43"/>
      <c r="AE1062" s="43"/>
      <c r="AF1062" s="43"/>
      <c r="AG1062" s="43"/>
      <c r="AH1062" s="43">
        <v>-1.7999999999999999E-2</v>
      </c>
      <c r="AI1062" s="43"/>
      <c r="AJ1062" s="43"/>
      <c r="AK1062" s="43"/>
    </row>
    <row r="1063" spans="1:37" ht="11.25" hidden="1" customHeight="1" x14ac:dyDescent="0.2">
      <c r="A1063" s="21">
        <v>148</v>
      </c>
      <c r="B1063" s="39" t="s">
        <v>537</v>
      </c>
      <c r="C1063" s="39"/>
      <c r="D1063" s="39"/>
      <c r="E1063" s="39"/>
      <c r="F1063" s="39"/>
      <c r="G1063" s="39"/>
      <c r="H1063" s="39"/>
      <c r="I1063" s="39"/>
      <c r="J1063" s="39"/>
      <c r="K1063" s="39"/>
      <c r="L1063" s="39"/>
      <c r="M1063" s="39"/>
      <c r="N1063" s="39"/>
      <c r="O1063" s="39"/>
      <c r="P1063" s="39"/>
      <c r="Q1063" s="41">
        <v>0.41</v>
      </c>
      <c r="R1063" s="41"/>
      <c r="S1063" s="41"/>
      <c r="T1063" s="41"/>
      <c r="U1063" s="41"/>
      <c r="V1063" s="41"/>
      <c r="W1063" s="41"/>
      <c r="X1063" s="41">
        <v>5.45</v>
      </c>
      <c r="Y1063" s="41"/>
      <c r="Z1063" s="41"/>
      <c r="AA1063" s="41"/>
      <c r="AB1063" s="41"/>
      <c r="AC1063" s="43">
        <v>5.141</v>
      </c>
      <c r="AD1063" s="43"/>
      <c r="AE1063" s="43"/>
      <c r="AF1063" s="43"/>
      <c r="AG1063" s="43"/>
      <c r="AH1063" s="43">
        <v>0.309</v>
      </c>
      <c r="AI1063" s="43"/>
      <c r="AJ1063" s="43"/>
      <c r="AK1063" s="43"/>
    </row>
    <row r="1064" spans="1:37" ht="21.75" hidden="1" customHeight="1" x14ac:dyDescent="0.2">
      <c r="A1064" s="21">
        <v>149</v>
      </c>
      <c r="B1064" s="39" t="s">
        <v>538</v>
      </c>
      <c r="C1064" s="39"/>
      <c r="D1064" s="39"/>
      <c r="E1064" s="39"/>
      <c r="F1064" s="39"/>
      <c r="G1064" s="39"/>
      <c r="H1064" s="39"/>
      <c r="I1064" s="39"/>
      <c r="J1064" s="39"/>
      <c r="K1064" s="39"/>
      <c r="L1064" s="39"/>
      <c r="M1064" s="39"/>
      <c r="N1064" s="39"/>
      <c r="O1064" s="39"/>
      <c r="P1064" s="39"/>
      <c r="Q1064" s="43">
        <v>0.40500000000000003</v>
      </c>
      <c r="R1064" s="43"/>
      <c r="S1064" s="43"/>
      <c r="T1064" s="43"/>
      <c r="U1064" s="43"/>
      <c r="V1064" s="43"/>
      <c r="W1064" s="43"/>
      <c r="X1064" s="59">
        <v>154.1</v>
      </c>
      <c r="Y1064" s="59"/>
      <c r="Z1064" s="59"/>
      <c r="AA1064" s="59"/>
      <c r="AB1064" s="59"/>
      <c r="AC1064" s="43">
        <v>159.333</v>
      </c>
      <c r="AD1064" s="43"/>
      <c r="AE1064" s="43"/>
      <c r="AF1064" s="43"/>
      <c r="AG1064" s="43"/>
      <c r="AH1064" s="43">
        <v>-5.2329999999999997</v>
      </c>
      <c r="AI1064" s="43"/>
      <c r="AJ1064" s="43"/>
      <c r="AK1064" s="43"/>
    </row>
    <row r="1065" spans="1:37" ht="21.75" hidden="1" customHeight="1" x14ac:dyDescent="0.2">
      <c r="A1065" s="21">
        <v>150</v>
      </c>
      <c r="B1065" s="39" t="s">
        <v>539</v>
      </c>
      <c r="C1065" s="39"/>
      <c r="D1065" s="39"/>
      <c r="E1065" s="39"/>
      <c r="F1065" s="39"/>
      <c r="G1065" s="39"/>
      <c r="H1065" s="39"/>
      <c r="I1065" s="39"/>
      <c r="J1065" s="39"/>
      <c r="K1065" s="39"/>
      <c r="L1065" s="39"/>
      <c r="M1065" s="39"/>
      <c r="N1065" s="39"/>
      <c r="O1065" s="39"/>
      <c r="P1065" s="39"/>
      <c r="Q1065" s="43">
        <v>0.40100000000000002</v>
      </c>
      <c r="R1065" s="43"/>
      <c r="S1065" s="43"/>
      <c r="T1065" s="43"/>
      <c r="U1065" s="43"/>
      <c r="V1065" s="43"/>
      <c r="W1065" s="43"/>
      <c r="X1065" s="58">
        <v>76</v>
      </c>
      <c r="Y1065" s="58"/>
      <c r="Z1065" s="58"/>
      <c r="AA1065" s="58"/>
      <c r="AB1065" s="58"/>
      <c r="AC1065" s="43">
        <v>76.917000000000002</v>
      </c>
      <c r="AD1065" s="43"/>
      <c r="AE1065" s="43"/>
      <c r="AF1065" s="43"/>
      <c r="AG1065" s="43"/>
      <c r="AH1065" s="43">
        <v>-0.91700000000000004</v>
      </c>
      <c r="AI1065" s="43"/>
      <c r="AJ1065" s="43"/>
      <c r="AK1065" s="43"/>
    </row>
    <row r="1066" spans="1:37" ht="11.25" hidden="1" customHeight="1" x14ac:dyDescent="0.2">
      <c r="A1066" s="21">
        <v>151</v>
      </c>
      <c r="B1066" s="39" t="s">
        <v>750</v>
      </c>
      <c r="C1066" s="39"/>
      <c r="D1066" s="39"/>
      <c r="E1066" s="39"/>
      <c r="F1066" s="39"/>
      <c r="G1066" s="39"/>
      <c r="H1066" s="39"/>
      <c r="I1066" s="39"/>
      <c r="J1066" s="39"/>
      <c r="K1066" s="39"/>
      <c r="L1066" s="39"/>
      <c r="M1066" s="39"/>
      <c r="N1066" s="39"/>
      <c r="O1066" s="39"/>
      <c r="P1066" s="39"/>
      <c r="Q1066" s="59">
        <v>0.4</v>
      </c>
      <c r="R1066" s="59"/>
      <c r="S1066" s="59"/>
      <c r="T1066" s="59"/>
      <c r="U1066" s="59"/>
      <c r="V1066" s="59"/>
      <c r="W1066" s="59"/>
      <c r="X1066" s="59">
        <v>3.7</v>
      </c>
      <c r="Y1066" s="59"/>
      <c r="Z1066" s="59"/>
      <c r="AA1066" s="59"/>
      <c r="AB1066" s="59"/>
      <c r="AC1066" s="43">
        <v>3.3559999999999999</v>
      </c>
      <c r="AD1066" s="43"/>
      <c r="AE1066" s="43"/>
      <c r="AF1066" s="43"/>
      <c r="AG1066" s="43"/>
      <c r="AH1066" s="43">
        <v>0.34399999999999997</v>
      </c>
      <c r="AI1066" s="43"/>
      <c r="AJ1066" s="43"/>
      <c r="AK1066" s="43"/>
    </row>
    <row r="1067" spans="1:37" ht="21.75" hidden="1" customHeight="1" x14ac:dyDescent="0.2">
      <c r="A1067" s="21">
        <v>152</v>
      </c>
      <c r="B1067" s="39" t="s">
        <v>540</v>
      </c>
      <c r="C1067" s="39"/>
      <c r="D1067" s="39"/>
      <c r="E1067" s="39"/>
      <c r="F1067" s="39"/>
      <c r="G1067" s="39"/>
      <c r="H1067" s="39"/>
      <c r="I1067" s="39"/>
      <c r="J1067" s="39"/>
      <c r="K1067" s="39"/>
      <c r="L1067" s="39"/>
      <c r="M1067" s="39"/>
      <c r="N1067" s="39"/>
      <c r="O1067" s="39"/>
      <c r="P1067" s="39"/>
      <c r="Q1067" s="59">
        <v>0.4</v>
      </c>
      <c r="R1067" s="59"/>
      <c r="S1067" s="59"/>
      <c r="T1067" s="59"/>
      <c r="U1067" s="59"/>
      <c r="V1067" s="59"/>
      <c r="W1067" s="59"/>
      <c r="X1067" s="41">
        <v>3.86</v>
      </c>
      <c r="Y1067" s="41"/>
      <c r="Z1067" s="41"/>
      <c r="AA1067" s="41"/>
      <c r="AB1067" s="41"/>
      <c r="AC1067" s="43">
        <v>3.508</v>
      </c>
      <c r="AD1067" s="43"/>
      <c r="AE1067" s="43"/>
      <c r="AF1067" s="43"/>
      <c r="AG1067" s="43"/>
      <c r="AH1067" s="43">
        <v>0.35199999999999998</v>
      </c>
      <c r="AI1067" s="43"/>
      <c r="AJ1067" s="43"/>
      <c r="AK1067" s="43"/>
    </row>
    <row r="1068" spans="1:37" ht="21.75" hidden="1" customHeight="1" x14ac:dyDescent="0.2">
      <c r="A1068" s="21">
        <v>153</v>
      </c>
      <c r="B1068" s="39" t="s">
        <v>791</v>
      </c>
      <c r="C1068" s="39"/>
      <c r="D1068" s="39"/>
      <c r="E1068" s="39"/>
      <c r="F1068" s="39"/>
      <c r="G1068" s="39"/>
      <c r="H1068" s="39"/>
      <c r="I1068" s="39"/>
      <c r="J1068" s="39"/>
      <c r="K1068" s="39"/>
      <c r="L1068" s="39"/>
      <c r="M1068" s="39"/>
      <c r="N1068" s="39"/>
      <c r="O1068" s="39"/>
      <c r="P1068" s="39"/>
      <c r="Q1068" s="59">
        <v>0.4</v>
      </c>
      <c r="R1068" s="59"/>
      <c r="S1068" s="59"/>
      <c r="T1068" s="59"/>
      <c r="U1068" s="59"/>
      <c r="V1068" s="59"/>
      <c r="W1068" s="59"/>
      <c r="X1068" s="41">
        <v>9.7899999999999991</v>
      </c>
      <c r="Y1068" s="41"/>
      <c r="Z1068" s="41"/>
      <c r="AA1068" s="41"/>
      <c r="AB1068" s="41"/>
      <c r="AC1068" s="41">
        <v>9.39</v>
      </c>
      <c r="AD1068" s="41"/>
      <c r="AE1068" s="41"/>
      <c r="AF1068" s="41"/>
      <c r="AG1068" s="41"/>
      <c r="AH1068" s="59">
        <v>0.4</v>
      </c>
      <c r="AI1068" s="59"/>
      <c r="AJ1068" s="59"/>
      <c r="AK1068" s="59"/>
    </row>
    <row r="1069" spans="1:37" ht="11.25" hidden="1" customHeight="1" x14ac:dyDescent="0.2">
      <c r="A1069" s="21">
        <v>154</v>
      </c>
      <c r="B1069" s="39" t="s">
        <v>793</v>
      </c>
      <c r="C1069" s="39"/>
      <c r="D1069" s="39"/>
      <c r="E1069" s="39"/>
      <c r="F1069" s="39"/>
      <c r="G1069" s="39"/>
      <c r="H1069" s="39"/>
      <c r="I1069" s="39"/>
      <c r="J1069" s="39"/>
      <c r="K1069" s="39"/>
      <c r="L1069" s="39"/>
      <c r="M1069" s="39"/>
      <c r="N1069" s="39"/>
      <c r="O1069" s="39"/>
      <c r="P1069" s="39"/>
      <c r="Q1069" s="43">
        <v>0.38600000000000001</v>
      </c>
      <c r="R1069" s="43"/>
      <c r="S1069" s="43"/>
      <c r="T1069" s="43"/>
      <c r="U1069" s="43"/>
      <c r="V1069" s="43"/>
      <c r="W1069" s="43"/>
      <c r="X1069" s="41">
        <v>30.15</v>
      </c>
      <c r="Y1069" s="41"/>
      <c r="Z1069" s="41"/>
      <c r="AA1069" s="41"/>
      <c r="AB1069" s="41"/>
      <c r="AC1069" s="43">
        <v>30.364999999999998</v>
      </c>
      <c r="AD1069" s="43"/>
      <c r="AE1069" s="43"/>
      <c r="AF1069" s="43"/>
      <c r="AG1069" s="43"/>
      <c r="AH1069" s="43">
        <v>-0.215</v>
      </c>
      <c r="AI1069" s="43"/>
      <c r="AJ1069" s="43"/>
      <c r="AK1069" s="43"/>
    </row>
    <row r="1070" spans="1:37" ht="21.75" hidden="1" customHeight="1" x14ac:dyDescent="0.2">
      <c r="A1070" s="21">
        <v>155</v>
      </c>
      <c r="B1070" s="39" t="s">
        <v>792</v>
      </c>
      <c r="C1070" s="39"/>
      <c r="D1070" s="39"/>
      <c r="E1070" s="39"/>
      <c r="F1070" s="39"/>
      <c r="G1070" s="39"/>
      <c r="H1070" s="39"/>
      <c r="I1070" s="39"/>
      <c r="J1070" s="39"/>
      <c r="K1070" s="39"/>
      <c r="L1070" s="39"/>
      <c r="M1070" s="39"/>
      <c r="N1070" s="39"/>
      <c r="O1070" s="39"/>
      <c r="P1070" s="39"/>
      <c r="Q1070" s="43">
        <v>0.38600000000000001</v>
      </c>
      <c r="R1070" s="43"/>
      <c r="S1070" s="43"/>
      <c r="T1070" s="43"/>
      <c r="U1070" s="43"/>
      <c r="V1070" s="43"/>
      <c r="W1070" s="43"/>
      <c r="X1070" s="59">
        <v>67.900000000000006</v>
      </c>
      <c r="Y1070" s="59"/>
      <c r="Z1070" s="59"/>
      <c r="AA1070" s="59"/>
      <c r="AB1070" s="59"/>
      <c r="AC1070" s="43">
        <v>69.567999999999998</v>
      </c>
      <c r="AD1070" s="43"/>
      <c r="AE1070" s="43"/>
      <c r="AF1070" s="43"/>
      <c r="AG1070" s="43"/>
      <c r="AH1070" s="43">
        <v>-1.6679999999999999</v>
      </c>
      <c r="AI1070" s="43"/>
      <c r="AJ1070" s="43"/>
      <c r="AK1070" s="43"/>
    </row>
    <row r="1071" spans="1:37" ht="11.25" hidden="1" customHeight="1" x14ac:dyDescent="0.2">
      <c r="A1071" s="21">
        <v>156</v>
      </c>
      <c r="B1071" s="39" t="s">
        <v>432</v>
      </c>
      <c r="C1071" s="39"/>
      <c r="D1071" s="39"/>
      <c r="E1071" s="39"/>
      <c r="F1071" s="39"/>
      <c r="G1071" s="39"/>
      <c r="H1071" s="39"/>
      <c r="I1071" s="39"/>
      <c r="J1071" s="39"/>
      <c r="K1071" s="39"/>
      <c r="L1071" s="39"/>
      <c r="M1071" s="39"/>
      <c r="N1071" s="39"/>
      <c r="O1071" s="39"/>
      <c r="P1071" s="39"/>
      <c r="Q1071" s="43">
        <v>0.38300000000000001</v>
      </c>
      <c r="R1071" s="43"/>
      <c r="S1071" s="43"/>
      <c r="T1071" s="43"/>
      <c r="U1071" s="43"/>
      <c r="V1071" s="43"/>
      <c r="W1071" s="43"/>
      <c r="X1071" s="41">
        <v>10.050000000000001</v>
      </c>
      <c r="Y1071" s="41"/>
      <c r="Z1071" s="41"/>
      <c r="AA1071" s="41"/>
      <c r="AB1071" s="41"/>
      <c r="AC1071" s="43">
        <v>9.6910000000000007</v>
      </c>
      <c r="AD1071" s="43"/>
      <c r="AE1071" s="43"/>
      <c r="AF1071" s="43"/>
      <c r="AG1071" s="43"/>
      <c r="AH1071" s="43">
        <v>0.35899999999999999</v>
      </c>
      <c r="AI1071" s="43"/>
      <c r="AJ1071" s="43"/>
      <c r="AK1071" s="43"/>
    </row>
    <row r="1072" spans="1:37" ht="11.25" hidden="1" customHeight="1" x14ac:dyDescent="0.2">
      <c r="A1072" s="21">
        <v>157</v>
      </c>
      <c r="B1072" s="39" t="s">
        <v>751</v>
      </c>
      <c r="C1072" s="39"/>
      <c r="D1072" s="39"/>
      <c r="E1072" s="39"/>
      <c r="F1072" s="39"/>
      <c r="G1072" s="39"/>
      <c r="H1072" s="39"/>
      <c r="I1072" s="39"/>
      <c r="J1072" s="39"/>
      <c r="K1072" s="39"/>
      <c r="L1072" s="39"/>
      <c r="M1072" s="39"/>
      <c r="N1072" s="39"/>
      <c r="O1072" s="39"/>
      <c r="P1072" s="39"/>
      <c r="Q1072" s="43">
        <v>0.36499999999999999</v>
      </c>
      <c r="R1072" s="43"/>
      <c r="S1072" s="43"/>
      <c r="T1072" s="43"/>
      <c r="U1072" s="43"/>
      <c r="V1072" s="43"/>
      <c r="W1072" s="43"/>
      <c r="X1072" s="41">
        <v>61.26</v>
      </c>
      <c r="Y1072" s="41"/>
      <c r="Z1072" s="41"/>
      <c r="AA1072" s="41"/>
      <c r="AB1072" s="41"/>
      <c r="AC1072" s="43">
        <v>61.040999999999997</v>
      </c>
      <c r="AD1072" s="43"/>
      <c r="AE1072" s="43"/>
      <c r="AF1072" s="43"/>
      <c r="AG1072" s="43"/>
      <c r="AH1072" s="43">
        <v>0.219</v>
      </c>
      <c r="AI1072" s="43"/>
      <c r="AJ1072" s="43"/>
      <c r="AK1072" s="43"/>
    </row>
    <row r="1073" spans="1:37" ht="11.25" hidden="1" customHeight="1" x14ac:dyDescent="0.2">
      <c r="A1073" s="21">
        <v>158</v>
      </c>
      <c r="B1073" s="39" t="s">
        <v>518</v>
      </c>
      <c r="C1073" s="39"/>
      <c r="D1073" s="39"/>
      <c r="E1073" s="39"/>
      <c r="F1073" s="39"/>
      <c r="G1073" s="39"/>
      <c r="H1073" s="39"/>
      <c r="I1073" s="39"/>
      <c r="J1073" s="39"/>
      <c r="K1073" s="39"/>
      <c r="L1073" s="39"/>
      <c r="M1073" s="39"/>
      <c r="N1073" s="39"/>
      <c r="O1073" s="39"/>
      <c r="P1073" s="39"/>
      <c r="Q1073" s="41">
        <v>0.36</v>
      </c>
      <c r="R1073" s="41"/>
      <c r="S1073" s="41"/>
      <c r="T1073" s="41"/>
      <c r="U1073" s="41"/>
      <c r="V1073" s="41"/>
      <c r="W1073" s="41"/>
      <c r="X1073" s="59">
        <v>8.3000000000000007</v>
      </c>
      <c r="Y1073" s="59"/>
      <c r="Z1073" s="59"/>
      <c r="AA1073" s="59"/>
      <c r="AB1073" s="59"/>
      <c r="AC1073" s="43">
        <v>8.2029999999999994</v>
      </c>
      <c r="AD1073" s="43"/>
      <c r="AE1073" s="43"/>
      <c r="AF1073" s="43"/>
      <c r="AG1073" s="43"/>
      <c r="AH1073" s="43">
        <v>9.7000000000000003E-2</v>
      </c>
      <c r="AI1073" s="43"/>
      <c r="AJ1073" s="43"/>
      <c r="AK1073" s="43"/>
    </row>
    <row r="1074" spans="1:37" ht="11.25" hidden="1" customHeight="1" x14ac:dyDescent="0.2">
      <c r="A1074" s="21">
        <v>159</v>
      </c>
      <c r="B1074" s="39" t="s">
        <v>483</v>
      </c>
      <c r="C1074" s="39"/>
      <c r="D1074" s="39"/>
      <c r="E1074" s="39"/>
      <c r="F1074" s="39"/>
      <c r="G1074" s="39"/>
      <c r="H1074" s="39"/>
      <c r="I1074" s="39"/>
      <c r="J1074" s="39"/>
      <c r="K1074" s="39"/>
      <c r="L1074" s="39"/>
      <c r="M1074" s="39"/>
      <c r="N1074" s="39"/>
      <c r="O1074" s="39"/>
      <c r="P1074" s="39"/>
      <c r="Q1074" s="41">
        <v>0.36</v>
      </c>
      <c r="R1074" s="41"/>
      <c r="S1074" s="41"/>
      <c r="T1074" s="41"/>
      <c r="U1074" s="41"/>
      <c r="V1074" s="41"/>
      <c r="W1074" s="41"/>
      <c r="X1074" s="41">
        <v>51.43</v>
      </c>
      <c r="Y1074" s="41"/>
      <c r="Z1074" s="41"/>
      <c r="AA1074" s="41"/>
      <c r="AB1074" s="41"/>
      <c r="AC1074" s="43">
        <v>52.929000000000002</v>
      </c>
      <c r="AD1074" s="43"/>
      <c r="AE1074" s="43"/>
      <c r="AF1074" s="43"/>
      <c r="AG1074" s="43"/>
      <c r="AH1074" s="43">
        <v>-1.4990000000000001</v>
      </c>
      <c r="AI1074" s="43"/>
      <c r="AJ1074" s="43"/>
      <c r="AK1074" s="43"/>
    </row>
    <row r="1075" spans="1:37" ht="11.25" hidden="1" customHeight="1" x14ac:dyDescent="0.2">
      <c r="A1075" s="21">
        <v>160</v>
      </c>
      <c r="B1075" s="39" t="s">
        <v>541</v>
      </c>
      <c r="C1075" s="39"/>
      <c r="D1075" s="39"/>
      <c r="E1075" s="39"/>
      <c r="F1075" s="39"/>
      <c r="G1075" s="39"/>
      <c r="H1075" s="39"/>
      <c r="I1075" s="39"/>
      <c r="J1075" s="39"/>
      <c r="K1075" s="39"/>
      <c r="L1075" s="39"/>
      <c r="M1075" s="39"/>
      <c r="N1075" s="39"/>
      <c r="O1075" s="39"/>
      <c r="P1075" s="39"/>
      <c r="Q1075" s="43">
        <v>0.35599999999999998</v>
      </c>
      <c r="R1075" s="43"/>
      <c r="S1075" s="43"/>
      <c r="T1075" s="43"/>
      <c r="U1075" s="43"/>
      <c r="V1075" s="43"/>
      <c r="W1075" s="43"/>
      <c r="X1075" s="59">
        <v>21.3</v>
      </c>
      <c r="Y1075" s="59"/>
      <c r="Z1075" s="59"/>
      <c r="AA1075" s="59"/>
      <c r="AB1075" s="59"/>
      <c r="AC1075" s="43">
        <v>21.539000000000001</v>
      </c>
      <c r="AD1075" s="43"/>
      <c r="AE1075" s="43"/>
      <c r="AF1075" s="43"/>
      <c r="AG1075" s="43"/>
      <c r="AH1075" s="43">
        <v>-0.23899999999999999</v>
      </c>
      <c r="AI1075" s="43"/>
      <c r="AJ1075" s="43"/>
      <c r="AK1075" s="43"/>
    </row>
    <row r="1076" spans="1:37" ht="11.25" hidden="1" customHeight="1" x14ac:dyDescent="0.2">
      <c r="A1076" s="21">
        <v>161</v>
      </c>
      <c r="B1076" s="39" t="s">
        <v>752</v>
      </c>
      <c r="C1076" s="39"/>
      <c r="D1076" s="39"/>
      <c r="E1076" s="39"/>
      <c r="F1076" s="39"/>
      <c r="G1076" s="39"/>
      <c r="H1076" s="39"/>
      <c r="I1076" s="39"/>
      <c r="J1076" s="39"/>
      <c r="K1076" s="39"/>
      <c r="L1076" s="39"/>
      <c r="M1076" s="39"/>
      <c r="N1076" s="39"/>
      <c r="O1076" s="39"/>
      <c r="P1076" s="39"/>
      <c r="Q1076" s="43">
        <v>0.35499999999999998</v>
      </c>
      <c r="R1076" s="43"/>
      <c r="S1076" s="43"/>
      <c r="T1076" s="43"/>
      <c r="U1076" s="43"/>
      <c r="V1076" s="43"/>
      <c r="W1076" s="43"/>
      <c r="X1076" s="41">
        <v>29.51</v>
      </c>
      <c r="Y1076" s="41"/>
      <c r="Z1076" s="41"/>
      <c r="AA1076" s="41"/>
      <c r="AB1076" s="41"/>
      <c r="AC1076" s="43">
        <v>29.690999999999999</v>
      </c>
      <c r="AD1076" s="43"/>
      <c r="AE1076" s="43"/>
      <c r="AF1076" s="43"/>
      <c r="AG1076" s="43"/>
      <c r="AH1076" s="43">
        <v>-0.18099999999999999</v>
      </c>
      <c r="AI1076" s="43"/>
      <c r="AJ1076" s="43"/>
      <c r="AK1076" s="43"/>
    </row>
    <row r="1077" spans="1:37" ht="11.25" hidden="1" customHeight="1" x14ac:dyDescent="0.2">
      <c r="A1077" s="21">
        <v>162</v>
      </c>
      <c r="B1077" s="39" t="s">
        <v>583</v>
      </c>
      <c r="C1077" s="39"/>
      <c r="D1077" s="39"/>
      <c r="E1077" s="39"/>
      <c r="F1077" s="39"/>
      <c r="G1077" s="39"/>
      <c r="H1077" s="39"/>
      <c r="I1077" s="39"/>
      <c r="J1077" s="39"/>
      <c r="K1077" s="39"/>
      <c r="L1077" s="39"/>
      <c r="M1077" s="39"/>
      <c r="N1077" s="39"/>
      <c r="O1077" s="39"/>
      <c r="P1077" s="39"/>
      <c r="Q1077" s="43">
        <v>0.35199999999999998</v>
      </c>
      <c r="R1077" s="43"/>
      <c r="S1077" s="43"/>
      <c r="T1077" s="43"/>
      <c r="U1077" s="43"/>
      <c r="V1077" s="43"/>
      <c r="W1077" s="43"/>
      <c r="X1077" s="59">
        <v>34.799999999999997</v>
      </c>
      <c r="Y1077" s="59"/>
      <c r="Z1077" s="59"/>
      <c r="AA1077" s="59"/>
      <c r="AB1077" s="59"/>
      <c r="AC1077" s="43">
        <v>34.610999999999997</v>
      </c>
      <c r="AD1077" s="43"/>
      <c r="AE1077" s="43"/>
      <c r="AF1077" s="43"/>
      <c r="AG1077" s="43"/>
      <c r="AH1077" s="43">
        <v>0.189</v>
      </c>
      <c r="AI1077" s="43"/>
      <c r="AJ1077" s="43"/>
      <c r="AK1077" s="43"/>
    </row>
    <row r="1078" spans="1:37" ht="21.75" hidden="1" customHeight="1" x14ac:dyDescent="0.2">
      <c r="A1078" s="21">
        <v>163</v>
      </c>
      <c r="B1078" s="39" t="s">
        <v>372</v>
      </c>
      <c r="C1078" s="39"/>
      <c r="D1078" s="39"/>
      <c r="E1078" s="39"/>
      <c r="F1078" s="39"/>
      <c r="G1078" s="39"/>
      <c r="H1078" s="39"/>
      <c r="I1078" s="39"/>
      <c r="J1078" s="39"/>
      <c r="K1078" s="39"/>
      <c r="L1078" s="39"/>
      <c r="M1078" s="39"/>
      <c r="N1078" s="39"/>
      <c r="O1078" s="39"/>
      <c r="P1078" s="39"/>
      <c r="Q1078" s="41">
        <v>0.35</v>
      </c>
      <c r="R1078" s="41"/>
      <c r="S1078" s="41"/>
      <c r="T1078" s="41"/>
      <c r="U1078" s="41"/>
      <c r="V1078" s="41"/>
      <c r="W1078" s="41"/>
      <c r="X1078" s="41">
        <v>13.45</v>
      </c>
      <c r="Y1078" s="41"/>
      <c r="Z1078" s="41"/>
      <c r="AA1078" s="41"/>
      <c r="AB1078" s="41"/>
      <c r="AC1078" s="43">
        <v>13.606999999999999</v>
      </c>
      <c r="AD1078" s="43"/>
      <c r="AE1078" s="43"/>
      <c r="AF1078" s="43"/>
      <c r="AG1078" s="43"/>
      <c r="AH1078" s="43">
        <v>-0.157</v>
      </c>
      <c r="AI1078" s="43"/>
      <c r="AJ1078" s="43"/>
      <c r="AK1078" s="43"/>
    </row>
    <row r="1079" spans="1:37" ht="11.25" hidden="1" customHeight="1" x14ac:dyDescent="0.2">
      <c r="A1079" s="21">
        <v>164</v>
      </c>
      <c r="B1079" s="39" t="s">
        <v>433</v>
      </c>
      <c r="C1079" s="39"/>
      <c r="D1079" s="39"/>
      <c r="E1079" s="39"/>
      <c r="F1079" s="39"/>
      <c r="G1079" s="39"/>
      <c r="H1079" s="39"/>
      <c r="I1079" s="39"/>
      <c r="J1079" s="39"/>
      <c r="K1079" s="39"/>
      <c r="L1079" s="39"/>
      <c r="M1079" s="39"/>
      <c r="N1079" s="39"/>
      <c r="O1079" s="39"/>
      <c r="P1079" s="39"/>
      <c r="Q1079" s="41">
        <v>0.35</v>
      </c>
      <c r="R1079" s="41"/>
      <c r="S1079" s="41"/>
      <c r="T1079" s="41"/>
      <c r="U1079" s="41"/>
      <c r="V1079" s="41"/>
      <c r="W1079" s="41"/>
      <c r="X1079" s="41">
        <v>1.05</v>
      </c>
      <c r="Y1079" s="41"/>
      <c r="Z1079" s="41"/>
      <c r="AA1079" s="41"/>
      <c r="AB1079" s="41"/>
      <c r="AC1079" s="59">
        <v>0.7</v>
      </c>
      <c r="AD1079" s="59"/>
      <c r="AE1079" s="59"/>
      <c r="AF1079" s="59"/>
      <c r="AG1079" s="59"/>
      <c r="AH1079" s="41">
        <v>0.35</v>
      </c>
      <c r="AI1079" s="41"/>
      <c r="AJ1079" s="41"/>
      <c r="AK1079" s="41"/>
    </row>
    <row r="1080" spans="1:37" ht="11.25" hidden="1" customHeight="1" x14ac:dyDescent="0.2">
      <c r="A1080" s="21">
        <v>165</v>
      </c>
      <c r="B1080" s="39" t="s">
        <v>519</v>
      </c>
      <c r="C1080" s="39"/>
      <c r="D1080" s="39"/>
      <c r="E1080" s="39"/>
      <c r="F1080" s="39"/>
      <c r="G1080" s="39"/>
      <c r="H1080" s="39"/>
      <c r="I1080" s="39"/>
      <c r="J1080" s="39"/>
      <c r="K1080" s="39"/>
      <c r="L1080" s="39"/>
      <c r="M1080" s="39"/>
      <c r="N1080" s="39"/>
      <c r="O1080" s="39"/>
      <c r="P1080" s="39"/>
      <c r="Q1080" s="43">
        <v>0.34699999999999998</v>
      </c>
      <c r="R1080" s="43"/>
      <c r="S1080" s="43"/>
      <c r="T1080" s="43"/>
      <c r="U1080" s="43"/>
      <c r="V1080" s="43"/>
      <c r="W1080" s="43"/>
      <c r="X1080" s="41">
        <v>12.26</v>
      </c>
      <c r="Y1080" s="41"/>
      <c r="Z1080" s="41"/>
      <c r="AA1080" s="41"/>
      <c r="AB1080" s="41"/>
      <c r="AC1080" s="43">
        <v>12.257999999999999</v>
      </c>
      <c r="AD1080" s="43"/>
      <c r="AE1080" s="43"/>
      <c r="AF1080" s="43"/>
      <c r="AG1080" s="43"/>
      <c r="AH1080" s="43">
        <v>2E-3</v>
      </c>
      <c r="AI1080" s="43"/>
      <c r="AJ1080" s="43"/>
      <c r="AK1080" s="43"/>
    </row>
    <row r="1081" spans="1:37" ht="11.25" hidden="1" customHeight="1" x14ac:dyDescent="0.2">
      <c r="A1081" s="21">
        <v>166</v>
      </c>
      <c r="B1081" s="39" t="s">
        <v>682</v>
      </c>
      <c r="C1081" s="39"/>
      <c r="D1081" s="39"/>
      <c r="E1081" s="39"/>
      <c r="F1081" s="39"/>
      <c r="G1081" s="39"/>
      <c r="H1081" s="39"/>
      <c r="I1081" s="39"/>
      <c r="J1081" s="39"/>
      <c r="K1081" s="39"/>
      <c r="L1081" s="39"/>
      <c r="M1081" s="39"/>
      <c r="N1081" s="39"/>
      <c r="O1081" s="39"/>
      <c r="P1081" s="39"/>
      <c r="Q1081" s="43">
        <v>0.34599999999999997</v>
      </c>
      <c r="R1081" s="43"/>
      <c r="S1081" s="43"/>
      <c r="T1081" s="43"/>
      <c r="U1081" s="43"/>
      <c r="V1081" s="43"/>
      <c r="W1081" s="43"/>
      <c r="X1081" s="41">
        <v>37.29</v>
      </c>
      <c r="Y1081" s="41"/>
      <c r="Z1081" s="41"/>
      <c r="AA1081" s="41"/>
      <c r="AB1081" s="41"/>
      <c r="AC1081" s="43">
        <v>38.213999999999999</v>
      </c>
      <c r="AD1081" s="43"/>
      <c r="AE1081" s="43"/>
      <c r="AF1081" s="43"/>
      <c r="AG1081" s="43"/>
      <c r="AH1081" s="43">
        <v>-0.92400000000000004</v>
      </c>
      <c r="AI1081" s="43"/>
      <c r="AJ1081" s="43"/>
      <c r="AK1081" s="43"/>
    </row>
    <row r="1082" spans="1:37" ht="21.75" hidden="1" customHeight="1" x14ac:dyDescent="0.2">
      <c r="A1082" s="21">
        <v>167</v>
      </c>
      <c r="B1082" s="39" t="s">
        <v>839</v>
      </c>
      <c r="C1082" s="39"/>
      <c r="D1082" s="39"/>
      <c r="E1082" s="39"/>
      <c r="F1082" s="39"/>
      <c r="G1082" s="39"/>
      <c r="H1082" s="39"/>
      <c r="I1082" s="39"/>
      <c r="J1082" s="39"/>
      <c r="K1082" s="39"/>
      <c r="L1082" s="39"/>
      <c r="M1082" s="39"/>
      <c r="N1082" s="39"/>
      <c r="O1082" s="39"/>
      <c r="P1082" s="39"/>
      <c r="Q1082" s="43">
        <v>0.34300000000000003</v>
      </c>
      <c r="R1082" s="43"/>
      <c r="S1082" s="43"/>
      <c r="T1082" s="43"/>
      <c r="U1082" s="43"/>
      <c r="V1082" s="43"/>
      <c r="W1082" s="43"/>
      <c r="X1082" s="41">
        <v>6.81</v>
      </c>
      <c r="Y1082" s="41"/>
      <c r="Z1082" s="41"/>
      <c r="AA1082" s="41"/>
      <c r="AB1082" s="41"/>
      <c r="AC1082" s="43">
        <v>6.6269999999999998</v>
      </c>
      <c r="AD1082" s="43"/>
      <c r="AE1082" s="43"/>
      <c r="AF1082" s="43"/>
      <c r="AG1082" s="43"/>
      <c r="AH1082" s="43">
        <v>0.183</v>
      </c>
      <c r="AI1082" s="43"/>
      <c r="AJ1082" s="43"/>
      <c r="AK1082" s="43"/>
    </row>
    <row r="1083" spans="1:37" ht="21.75" hidden="1" customHeight="1" x14ac:dyDescent="0.2">
      <c r="A1083" s="21">
        <v>168</v>
      </c>
      <c r="B1083" s="39" t="s">
        <v>542</v>
      </c>
      <c r="C1083" s="39"/>
      <c r="D1083" s="39"/>
      <c r="E1083" s="39"/>
      <c r="F1083" s="39"/>
      <c r="G1083" s="39"/>
      <c r="H1083" s="39"/>
      <c r="I1083" s="39"/>
      <c r="J1083" s="39"/>
      <c r="K1083" s="39"/>
      <c r="L1083" s="39"/>
      <c r="M1083" s="39"/>
      <c r="N1083" s="39"/>
      <c r="O1083" s="39"/>
      <c r="P1083" s="39"/>
      <c r="Q1083" s="43">
        <v>0.309</v>
      </c>
      <c r="R1083" s="43"/>
      <c r="S1083" s="43"/>
      <c r="T1083" s="43"/>
      <c r="U1083" s="43"/>
      <c r="V1083" s="43"/>
      <c r="W1083" s="43"/>
      <c r="X1083" s="41">
        <v>93.35</v>
      </c>
      <c r="Y1083" s="41"/>
      <c r="Z1083" s="41"/>
      <c r="AA1083" s="41"/>
      <c r="AB1083" s="41"/>
      <c r="AC1083" s="43">
        <v>97.572999999999993</v>
      </c>
      <c r="AD1083" s="43"/>
      <c r="AE1083" s="43"/>
      <c r="AF1083" s="43"/>
      <c r="AG1083" s="43"/>
      <c r="AH1083" s="43">
        <v>-4.2229999999999999</v>
      </c>
      <c r="AI1083" s="43"/>
      <c r="AJ1083" s="43"/>
      <c r="AK1083" s="43"/>
    </row>
    <row r="1084" spans="1:37" ht="11.25" hidden="1" customHeight="1" x14ac:dyDescent="0.2">
      <c r="A1084" s="21">
        <v>169</v>
      </c>
      <c r="B1084" s="39" t="s">
        <v>373</v>
      </c>
      <c r="C1084" s="39"/>
      <c r="D1084" s="39"/>
      <c r="E1084" s="39"/>
      <c r="F1084" s="39"/>
      <c r="G1084" s="39"/>
      <c r="H1084" s="39"/>
      <c r="I1084" s="39"/>
      <c r="J1084" s="39"/>
      <c r="K1084" s="39"/>
      <c r="L1084" s="39"/>
      <c r="M1084" s="39"/>
      <c r="N1084" s="39"/>
      <c r="O1084" s="39"/>
      <c r="P1084" s="39"/>
      <c r="Q1084" s="43">
        <v>0.30499999999999999</v>
      </c>
      <c r="R1084" s="43"/>
      <c r="S1084" s="43"/>
      <c r="T1084" s="43"/>
      <c r="U1084" s="43"/>
      <c r="V1084" s="43"/>
      <c r="W1084" s="43"/>
      <c r="X1084" s="59">
        <v>37.1</v>
      </c>
      <c r="Y1084" s="59"/>
      <c r="Z1084" s="59"/>
      <c r="AA1084" s="59"/>
      <c r="AB1084" s="59"/>
      <c r="AC1084" s="43">
        <v>39.084000000000003</v>
      </c>
      <c r="AD1084" s="43"/>
      <c r="AE1084" s="43"/>
      <c r="AF1084" s="43"/>
      <c r="AG1084" s="43"/>
      <c r="AH1084" s="43">
        <v>-1.984</v>
      </c>
      <c r="AI1084" s="43"/>
      <c r="AJ1084" s="43"/>
      <c r="AK1084" s="43"/>
    </row>
    <row r="1085" spans="1:37" ht="21.75" hidden="1" customHeight="1" x14ac:dyDescent="0.2">
      <c r="A1085" s="21">
        <v>170</v>
      </c>
      <c r="B1085" s="39" t="s">
        <v>434</v>
      </c>
      <c r="C1085" s="39"/>
      <c r="D1085" s="39"/>
      <c r="E1085" s="39"/>
      <c r="F1085" s="39"/>
      <c r="G1085" s="39"/>
      <c r="H1085" s="39"/>
      <c r="I1085" s="39"/>
      <c r="J1085" s="39"/>
      <c r="K1085" s="39"/>
      <c r="L1085" s="39"/>
      <c r="M1085" s="39"/>
      <c r="N1085" s="39"/>
      <c r="O1085" s="39"/>
      <c r="P1085" s="39"/>
      <c r="Q1085" s="59">
        <v>0.3</v>
      </c>
      <c r="R1085" s="59"/>
      <c r="S1085" s="59"/>
      <c r="T1085" s="59"/>
      <c r="U1085" s="59"/>
      <c r="V1085" s="59"/>
      <c r="W1085" s="59"/>
      <c r="X1085" s="41">
        <v>9.32</v>
      </c>
      <c r="Y1085" s="41"/>
      <c r="Z1085" s="41"/>
      <c r="AA1085" s="41"/>
      <c r="AB1085" s="41"/>
      <c r="AC1085" s="43">
        <v>9.1270000000000007</v>
      </c>
      <c r="AD1085" s="43"/>
      <c r="AE1085" s="43"/>
      <c r="AF1085" s="43"/>
      <c r="AG1085" s="43"/>
      <c r="AH1085" s="43">
        <v>0.193</v>
      </c>
      <c r="AI1085" s="43"/>
      <c r="AJ1085" s="43"/>
      <c r="AK1085" s="43"/>
    </row>
    <row r="1086" spans="1:37" ht="11.25" hidden="1" customHeight="1" x14ac:dyDescent="0.2">
      <c r="A1086" s="21">
        <v>171</v>
      </c>
      <c r="B1086" s="39" t="s">
        <v>405</v>
      </c>
      <c r="C1086" s="39"/>
      <c r="D1086" s="39"/>
      <c r="E1086" s="39"/>
      <c r="F1086" s="39"/>
      <c r="G1086" s="39"/>
      <c r="H1086" s="39"/>
      <c r="I1086" s="39"/>
      <c r="J1086" s="39"/>
      <c r="K1086" s="39"/>
      <c r="L1086" s="39"/>
      <c r="M1086" s="39"/>
      <c r="N1086" s="39"/>
      <c r="O1086" s="39"/>
      <c r="P1086" s="39"/>
      <c r="Q1086" s="43">
        <v>0.29899999999999999</v>
      </c>
      <c r="R1086" s="43"/>
      <c r="S1086" s="43"/>
      <c r="T1086" s="43"/>
      <c r="U1086" s="43"/>
      <c r="V1086" s="43"/>
      <c r="W1086" s="43"/>
      <c r="X1086" s="41">
        <v>14.86</v>
      </c>
      <c r="Y1086" s="41"/>
      <c r="Z1086" s="41"/>
      <c r="AA1086" s="41"/>
      <c r="AB1086" s="41"/>
      <c r="AC1086" s="43">
        <v>14.817</v>
      </c>
      <c r="AD1086" s="43"/>
      <c r="AE1086" s="43"/>
      <c r="AF1086" s="43"/>
      <c r="AG1086" s="43"/>
      <c r="AH1086" s="43">
        <v>4.2999999999999997E-2</v>
      </c>
      <c r="AI1086" s="43"/>
      <c r="AJ1086" s="43"/>
      <c r="AK1086" s="43"/>
    </row>
    <row r="1087" spans="1:37" ht="11.25" hidden="1" customHeight="1" x14ac:dyDescent="0.2">
      <c r="A1087" s="21">
        <v>172</v>
      </c>
      <c r="B1087" s="39" t="s">
        <v>826</v>
      </c>
      <c r="C1087" s="39"/>
      <c r="D1087" s="39"/>
      <c r="E1087" s="39"/>
      <c r="F1087" s="39"/>
      <c r="G1087" s="39"/>
      <c r="H1087" s="39"/>
      <c r="I1087" s="39"/>
      <c r="J1087" s="39"/>
      <c r="K1087" s="39"/>
      <c r="L1087" s="39"/>
      <c r="M1087" s="39"/>
      <c r="N1087" s="39"/>
      <c r="O1087" s="39"/>
      <c r="P1087" s="39"/>
      <c r="Q1087" s="43">
        <v>0.29699999999999999</v>
      </c>
      <c r="R1087" s="43"/>
      <c r="S1087" s="43"/>
      <c r="T1087" s="43"/>
      <c r="U1087" s="43"/>
      <c r="V1087" s="43"/>
      <c r="W1087" s="43"/>
      <c r="X1087" s="41">
        <v>23.16</v>
      </c>
      <c r="Y1087" s="41"/>
      <c r="Z1087" s="41"/>
      <c r="AA1087" s="41"/>
      <c r="AB1087" s="41"/>
      <c r="AC1087" s="43">
        <v>23.367000000000001</v>
      </c>
      <c r="AD1087" s="43"/>
      <c r="AE1087" s="43"/>
      <c r="AF1087" s="43"/>
      <c r="AG1087" s="43"/>
      <c r="AH1087" s="43">
        <v>-0.20699999999999999</v>
      </c>
      <c r="AI1087" s="43"/>
      <c r="AJ1087" s="43"/>
      <c r="AK1087" s="43"/>
    </row>
    <row r="1088" spans="1:37" ht="11.25" hidden="1" customHeight="1" x14ac:dyDescent="0.2">
      <c r="A1088" s="21">
        <v>173</v>
      </c>
      <c r="B1088" s="39" t="s">
        <v>435</v>
      </c>
      <c r="C1088" s="39"/>
      <c r="D1088" s="39"/>
      <c r="E1088" s="39"/>
      <c r="F1088" s="39"/>
      <c r="G1088" s="39"/>
      <c r="H1088" s="39"/>
      <c r="I1088" s="39"/>
      <c r="J1088" s="39"/>
      <c r="K1088" s="39"/>
      <c r="L1088" s="39"/>
      <c r="M1088" s="39"/>
      <c r="N1088" s="39"/>
      <c r="O1088" s="39"/>
      <c r="P1088" s="39"/>
      <c r="Q1088" s="43">
        <v>0.29199999999999998</v>
      </c>
      <c r="R1088" s="43"/>
      <c r="S1088" s="43"/>
      <c r="T1088" s="43"/>
      <c r="U1088" s="43"/>
      <c r="V1088" s="43"/>
      <c r="W1088" s="43"/>
      <c r="X1088" s="41">
        <v>18.079999999999998</v>
      </c>
      <c r="Y1088" s="41"/>
      <c r="Z1088" s="41"/>
      <c r="AA1088" s="41"/>
      <c r="AB1088" s="41"/>
      <c r="AC1088" s="41">
        <v>18.38</v>
      </c>
      <c r="AD1088" s="41"/>
      <c r="AE1088" s="41"/>
      <c r="AF1088" s="41"/>
      <c r="AG1088" s="41"/>
      <c r="AH1088" s="59">
        <v>-0.3</v>
      </c>
      <c r="AI1088" s="59"/>
      <c r="AJ1088" s="59"/>
      <c r="AK1088" s="59"/>
    </row>
    <row r="1089" spans="1:37" ht="11.25" hidden="1" customHeight="1" x14ac:dyDescent="0.2">
      <c r="A1089" s="21">
        <v>174</v>
      </c>
      <c r="B1089" s="39" t="s">
        <v>713</v>
      </c>
      <c r="C1089" s="39"/>
      <c r="D1089" s="39"/>
      <c r="E1089" s="39"/>
      <c r="F1089" s="39"/>
      <c r="G1089" s="39"/>
      <c r="H1089" s="39"/>
      <c r="I1089" s="39"/>
      <c r="J1089" s="39"/>
      <c r="K1089" s="39"/>
      <c r="L1089" s="39"/>
      <c r="M1089" s="39"/>
      <c r="N1089" s="39"/>
      <c r="O1089" s="39"/>
      <c r="P1089" s="39"/>
      <c r="Q1089" s="43">
        <v>0.28699999999999998</v>
      </c>
      <c r="R1089" s="43"/>
      <c r="S1089" s="43"/>
      <c r="T1089" s="43"/>
      <c r="U1089" s="43"/>
      <c r="V1089" s="43"/>
      <c r="W1089" s="43"/>
      <c r="X1089" s="59">
        <v>31.6</v>
      </c>
      <c r="Y1089" s="59"/>
      <c r="Z1089" s="59"/>
      <c r="AA1089" s="59"/>
      <c r="AB1089" s="59"/>
      <c r="AC1089" s="41">
        <v>31.66</v>
      </c>
      <c r="AD1089" s="41"/>
      <c r="AE1089" s="41"/>
      <c r="AF1089" s="41"/>
      <c r="AG1089" s="41"/>
      <c r="AH1089" s="41">
        <v>-0.06</v>
      </c>
      <c r="AI1089" s="41"/>
      <c r="AJ1089" s="41"/>
      <c r="AK1089" s="41"/>
    </row>
    <row r="1090" spans="1:37" ht="11.25" hidden="1" customHeight="1" x14ac:dyDescent="0.2">
      <c r="A1090" s="21">
        <v>175</v>
      </c>
      <c r="B1090" s="39" t="s">
        <v>683</v>
      </c>
      <c r="C1090" s="39"/>
      <c r="D1090" s="39"/>
      <c r="E1090" s="39"/>
      <c r="F1090" s="39"/>
      <c r="G1090" s="39"/>
      <c r="H1090" s="39"/>
      <c r="I1090" s="39"/>
      <c r="J1090" s="39"/>
      <c r="K1090" s="39"/>
      <c r="L1090" s="39"/>
      <c r="M1090" s="39"/>
      <c r="N1090" s="39"/>
      <c r="O1090" s="39"/>
      <c r="P1090" s="39"/>
      <c r="Q1090" s="43">
        <v>0.28599999999999998</v>
      </c>
      <c r="R1090" s="43"/>
      <c r="S1090" s="43"/>
      <c r="T1090" s="43"/>
      <c r="U1090" s="43"/>
      <c r="V1090" s="43"/>
      <c r="W1090" s="43"/>
      <c r="X1090" s="41">
        <v>11.95</v>
      </c>
      <c r="Y1090" s="41"/>
      <c r="Z1090" s="41"/>
      <c r="AA1090" s="41"/>
      <c r="AB1090" s="41"/>
      <c r="AC1090" s="43">
        <v>11.903</v>
      </c>
      <c r="AD1090" s="43"/>
      <c r="AE1090" s="43"/>
      <c r="AF1090" s="43"/>
      <c r="AG1090" s="43"/>
      <c r="AH1090" s="43">
        <v>4.7E-2</v>
      </c>
      <c r="AI1090" s="43"/>
      <c r="AJ1090" s="43"/>
      <c r="AK1090" s="43"/>
    </row>
    <row r="1091" spans="1:37" ht="11.25" hidden="1" customHeight="1" x14ac:dyDescent="0.2">
      <c r="A1091" s="21">
        <v>176</v>
      </c>
      <c r="B1091" s="39" t="s">
        <v>684</v>
      </c>
      <c r="C1091" s="39"/>
      <c r="D1091" s="39"/>
      <c r="E1091" s="39"/>
      <c r="F1091" s="39"/>
      <c r="G1091" s="39"/>
      <c r="H1091" s="39"/>
      <c r="I1091" s="39"/>
      <c r="J1091" s="39"/>
      <c r="K1091" s="39"/>
      <c r="L1091" s="39"/>
      <c r="M1091" s="39"/>
      <c r="N1091" s="39"/>
      <c r="O1091" s="39"/>
      <c r="P1091" s="39"/>
      <c r="Q1091" s="43">
        <v>0.28299999999999997</v>
      </c>
      <c r="R1091" s="43"/>
      <c r="S1091" s="43"/>
      <c r="T1091" s="43"/>
      <c r="U1091" s="43"/>
      <c r="V1091" s="43"/>
      <c r="W1091" s="43"/>
      <c r="X1091" s="41">
        <v>33.86</v>
      </c>
      <c r="Y1091" s="41"/>
      <c r="Z1091" s="41"/>
      <c r="AA1091" s="41"/>
      <c r="AB1091" s="41"/>
      <c r="AC1091" s="43">
        <v>33.975000000000001</v>
      </c>
      <c r="AD1091" s="43"/>
      <c r="AE1091" s="43"/>
      <c r="AF1091" s="43"/>
      <c r="AG1091" s="43"/>
      <c r="AH1091" s="43">
        <v>-0.115</v>
      </c>
      <c r="AI1091" s="43"/>
      <c r="AJ1091" s="43"/>
      <c r="AK1091" s="43"/>
    </row>
    <row r="1092" spans="1:37" ht="11.25" hidden="1" customHeight="1" x14ac:dyDescent="0.2">
      <c r="A1092" s="21">
        <v>177</v>
      </c>
      <c r="B1092" s="39" t="s">
        <v>661</v>
      </c>
      <c r="C1092" s="39"/>
      <c r="D1092" s="39"/>
      <c r="E1092" s="39"/>
      <c r="F1092" s="39"/>
      <c r="G1092" s="39"/>
      <c r="H1092" s="39"/>
      <c r="I1092" s="39"/>
      <c r="J1092" s="39"/>
      <c r="K1092" s="39"/>
      <c r="L1092" s="39"/>
      <c r="M1092" s="39"/>
      <c r="N1092" s="39"/>
      <c r="O1092" s="39"/>
      <c r="P1092" s="39"/>
      <c r="Q1092" s="43">
        <v>0.28100000000000003</v>
      </c>
      <c r="R1092" s="43"/>
      <c r="S1092" s="43"/>
      <c r="T1092" s="43"/>
      <c r="U1092" s="43"/>
      <c r="V1092" s="43"/>
      <c r="W1092" s="43"/>
      <c r="X1092" s="41">
        <v>15.56</v>
      </c>
      <c r="Y1092" s="41"/>
      <c r="Z1092" s="41"/>
      <c r="AA1092" s="41"/>
      <c r="AB1092" s="41"/>
      <c r="AC1092" s="43">
        <v>15.773999999999999</v>
      </c>
      <c r="AD1092" s="43"/>
      <c r="AE1092" s="43"/>
      <c r="AF1092" s="43"/>
      <c r="AG1092" s="43"/>
      <c r="AH1092" s="43">
        <v>-0.214</v>
      </c>
      <c r="AI1092" s="43"/>
      <c r="AJ1092" s="43"/>
      <c r="AK1092" s="43"/>
    </row>
    <row r="1093" spans="1:37" ht="21.75" hidden="1" customHeight="1" x14ac:dyDescent="0.2">
      <c r="A1093" s="21">
        <v>178</v>
      </c>
      <c r="B1093" s="39" t="s">
        <v>375</v>
      </c>
      <c r="C1093" s="39"/>
      <c r="D1093" s="39"/>
      <c r="E1093" s="39"/>
      <c r="F1093" s="39"/>
      <c r="G1093" s="39"/>
      <c r="H1093" s="39"/>
      <c r="I1093" s="39"/>
      <c r="J1093" s="39"/>
      <c r="K1093" s="39"/>
      <c r="L1093" s="39"/>
      <c r="M1093" s="39"/>
      <c r="N1093" s="39"/>
      <c r="O1093" s="39"/>
      <c r="P1093" s="39"/>
      <c r="Q1093" s="41">
        <v>0.28000000000000003</v>
      </c>
      <c r="R1093" s="41"/>
      <c r="S1093" s="41"/>
      <c r="T1093" s="41"/>
      <c r="U1093" s="41"/>
      <c r="V1093" s="41"/>
      <c r="W1093" s="41"/>
      <c r="X1093" s="41">
        <v>31.28</v>
      </c>
      <c r="Y1093" s="41"/>
      <c r="Z1093" s="41"/>
      <c r="AA1093" s="41"/>
      <c r="AB1093" s="41"/>
      <c r="AC1093" s="43">
        <v>31.616</v>
      </c>
      <c r="AD1093" s="43"/>
      <c r="AE1093" s="43"/>
      <c r="AF1093" s="43"/>
      <c r="AG1093" s="43"/>
      <c r="AH1093" s="43">
        <v>-0.33600000000000002</v>
      </c>
      <c r="AI1093" s="43"/>
      <c r="AJ1093" s="43"/>
      <c r="AK1093" s="43"/>
    </row>
    <row r="1094" spans="1:37" ht="11.25" hidden="1" customHeight="1" x14ac:dyDescent="0.2">
      <c r="A1094" s="21">
        <v>179</v>
      </c>
      <c r="B1094" s="39" t="s">
        <v>436</v>
      </c>
      <c r="C1094" s="39"/>
      <c r="D1094" s="39"/>
      <c r="E1094" s="39"/>
      <c r="F1094" s="39"/>
      <c r="G1094" s="39"/>
      <c r="H1094" s="39"/>
      <c r="I1094" s="39"/>
      <c r="J1094" s="39"/>
      <c r="K1094" s="39"/>
      <c r="L1094" s="39"/>
      <c r="M1094" s="39"/>
      <c r="N1094" s="39"/>
      <c r="O1094" s="39"/>
      <c r="P1094" s="39"/>
      <c r="Q1094" s="41">
        <v>0.28000000000000003</v>
      </c>
      <c r="R1094" s="41"/>
      <c r="S1094" s="41"/>
      <c r="T1094" s="41"/>
      <c r="U1094" s="41"/>
      <c r="V1094" s="41"/>
      <c r="W1094" s="41"/>
      <c r="X1094" s="41">
        <v>12.36</v>
      </c>
      <c r="Y1094" s="41"/>
      <c r="Z1094" s="41"/>
      <c r="AA1094" s="41"/>
      <c r="AB1094" s="41"/>
      <c r="AC1094" s="43">
        <v>12.372999999999999</v>
      </c>
      <c r="AD1094" s="43"/>
      <c r="AE1094" s="43"/>
      <c r="AF1094" s="43"/>
      <c r="AG1094" s="43"/>
      <c r="AH1094" s="43">
        <v>-1.2999999999999999E-2</v>
      </c>
      <c r="AI1094" s="43"/>
      <c r="AJ1094" s="43"/>
      <c r="AK1094" s="43"/>
    </row>
    <row r="1095" spans="1:37" ht="11.25" hidden="1" customHeight="1" x14ac:dyDescent="0.2">
      <c r="A1095" s="21">
        <v>180</v>
      </c>
      <c r="B1095" s="39" t="s">
        <v>374</v>
      </c>
      <c r="C1095" s="39"/>
      <c r="D1095" s="39"/>
      <c r="E1095" s="39"/>
      <c r="F1095" s="39"/>
      <c r="G1095" s="39"/>
      <c r="H1095" s="39"/>
      <c r="I1095" s="39"/>
      <c r="J1095" s="39"/>
      <c r="K1095" s="39"/>
      <c r="L1095" s="39"/>
      <c r="M1095" s="39"/>
      <c r="N1095" s="39"/>
      <c r="O1095" s="39"/>
      <c r="P1095" s="39"/>
      <c r="Q1095" s="41">
        <v>0.28000000000000003</v>
      </c>
      <c r="R1095" s="41"/>
      <c r="S1095" s="41"/>
      <c r="T1095" s="41"/>
      <c r="U1095" s="41"/>
      <c r="V1095" s="41"/>
      <c r="W1095" s="41"/>
      <c r="X1095" s="41">
        <v>13.62</v>
      </c>
      <c r="Y1095" s="41"/>
      <c r="Z1095" s="41"/>
      <c r="AA1095" s="41"/>
      <c r="AB1095" s="41"/>
      <c r="AC1095" s="41">
        <v>13.46</v>
      </c>
      <c r="AD1095" s="41"/>
      <c r="AE1095" s="41"/>
      <c r="AF1095" s="41"/>
      <c r="AG1095" s="41"/>
      <c r="AH1095" s="41">
        <v>0.16</v>
      </c>
      <c r="AI1095" s="41"/>
      <c r="AJ1095" s="41"/>
      <c r="AK1095" s="41"/>
    </row>
    <row r="1096" spans="1:37" ht="21.75" hidden="1" customHeight="1" x14ac:dyDescent="0.2">
      <c r="A1096" s="21">
        <v>181</v>
      </c>
      <c r="B1096" s="39" t="s">
        <v>543</v>
      </c>
      <c r="C1096" s="39"/>
      <c r="D1096" s="39"/>
      <c r="E1096" s="39"/>
      <c r="F1096" s="39"/>
      <c r="G1096" s="39"/>
      <c r="H1096" s="39"/>
      <c r="I1096" s="39"/>
      <c r="J1096" s="39"/>
      <c r="K1096" s="39"/>
      <c r="L1096" s="39"/>
      <c r="M1096" s="39"/>
      <c r="N1096" s="39"/>
      <c r="O1096" s="39"/>
      <c r="P1096" s="39"/>
      <c r="Q1096" s="41">
        <v>0.28000000000000003</v>
      </c>
      <c r="R1096" s="41"/>
      <c r="S1096" s="41"/>
      <c r="T1096" s="41"/>
      <c r="U1096" s="41"/>
      <c r="V1096" s="41"/>
      <c r="W1096" s="41"/>
      <c r="X1096" s="41">
        <v>6.44</v>
      </c>
      <c r="Y1096" s="41"/>
      <c r="Z1096" s="41"/>
      <c r="AA1096" s="41"/>
      <c r="AB1096" s="41"/>
      <c r="AC1096" s="41">
        <v>6.16</v>
      </c>
      <c r="AD1096" s="41"/>
      <c r="AE1096" s="41"/>
      <c r="AF1096" s="41"/>
      <c r="AG1096" s="41"/>
      <c r="AH1096" s="41">
        <v>0.28000000000000003</v>
      </c>
      <c r="AI1096" s="41"/>
      <c r="AJ1096" s="41"/>
      <c r="AK1096" s="41"/>
    </row>
    <row r="1097" spans="1:37" ht="21.75" hidden="1" customHeight="1" x14ac:dyDescent="0.2">
      <c r="A1097" s="21">
        <v>182</v>
      </c>
      <c r="B1097" s="39" t="s">
        <v>794</v>
      </c>
      <c r="C1097" s="39"/>
      <c r="D1097" s="39"/>
      <c r="E1097" s="39"/>
      <c r="F1097" s="39"/>
      <c r="G1097" s="39"/>
      <c r="H1097" s="39"/>
      <c r="I1097" s="39"/>
      <c r="J1097" s="39"/>
      <c r="K1097" s="39"/>
      <c r="L1097" s="39"/>
      <c r="M1097" s="39"/>
      <c r="N1097" s="39"/>
      <c r="O1097" s="39"/>
      <c r="P1097" s="39"/>
      <c r="Q1097" s="41">
        <v>0.28000000000000003</v>
      </c>
      <c r="R1097" s="41"/>
      <c r="S1097" s="41"/>
      <c r="T1097" s="41"/>
      <c r="U1097" s="41"/>
      <c r="V1097" s="41"/>
      <c r="W1097" s="41"/>
      <c r="X1097" s="41">
        <v>28.01</v>
      </c>
      <c r="Y1097" s="41"/>
      <c r="Z1097" s="41"/>
      <c r="AA1097" s="41"/>
      <c r="AB1097" s="41"/>
      <c r="AC1097" s="43">
        <v>28.341000000000001</v>
      </c>
      <c r="AD1097" s="43"/>
      <c r="AE1097" s="43"/>
      <c r="AF1097" s="43"/>
      <c r="AG1097" s="43"/>
      <c r="AH1097" s="43">
        <v>-0.33100000000000002</v>
      </c>
      <c r="AI1097" s="43"/>
      <c r="AJ1097" s="43"/>
      <c r="AK1097" s="43"/>
    </row>
    <row r="1098" spans="1:37" ht="11.25" hidden="1" customHeight="1" x14ac:dyDescent="0.2">
      <c r="A1098" s="21">
        <v>183</v>
      </c>
      <c r="B1098" s="39" t="s">
        <v>484</v>
      </c>
      <c r="C1098" s="39"/>
      <c r="D1098" s="39"/>
      <c r="E1098" s="39"/>
      <c r="F1098" s="39"/>
      <c r="G1098" s="39"/>
      <c r="H1098" s="39"/>
      <c r="I1098" s="39"/>
      <c r="J1098" s="39"/>
      <c r="K1098" s="39"/>
      <c r="L1098" s="39"/>
      <c r="M1098" s="39"/>
      <c r="N1098" s="39"/>
      <c r="O1098" s="39"/>
      <c r="P1098" s="39"/>
      <c r="Q1098" s="41">
        <v>0.28000000000000003</v>
      </c>
      <c r="R1098" s="41"/>
      <c r="S1098" s="41"/>
      <c r="T1098" s="41"/>
      <c r="U1098" s="41"/>
      <c r="V1098" s="41"/>
      <c r="W1098" s="41"/>
      <c r="X1098" s="41">
        <v>10.050000000000001</v>
      </c>
      <c r="Y1098" s="41"/>
      <c r="Z1098" s="41"/>
      <c r="AA1098" s="41"/>
      <c r="AB1098" s="41"/>
      <c r="AC1098" s="41">
        <v>9.77</v>
      </c>
      <c r="AD1098" s="41"/>
      <c r="AE1098" s="41"/>
      <c r="AF1098" s="41"/>
      <c r="AG1098" s="41"/>
      <c r="AH1098" s="41">
        <v>0.28000000000000003</v>
      </c>
      <c r="AI1098" s="41"/>
      <c r="AJ1098" s="41"/>
      <c r="AK1098" s="41"/>
    </row>
    <row r="1099" spans="1:37" ht="11.25" hidden="1" customHeight="1" x14ac:dyDescent="0.2">
      <c r="A1099" s="21">
        <v>184</v>
      </c>
      <c r="B1099" s="39" t="s">
        <v>406</v>
      </c>
      <c r="C1099" s="39"/>
      <c r="D1099" s="39"/>
      <c r="E1099" s="39"/>
      <c r="F1099" s="39"/>
      <c r="G1099" s="39"/>
      <c r="H1099" s="39"/>
      <c r="I1099" s="39"/>
      <c r="J1099" s="39"/>
      <c r="K1099" s="39"/>
      <c r="L1099" s="39"/>
      <c r="M1099" s="39"/>
      <c r="N1099" s="39"/>
      <c r="O1099" s="39"/>
      <c r="P1099" s="39"/>
      <c r="Q1099" s="41">
        <v>0.28000000000000003</v>
      </c>
      <c r="R1099" s="41"/>
      <c r="S1099" s="41"/>
      <c r="T1099" s="41"/>
      <c r="U1099" s="41"/>
      <c r="V1099" s="41"/>
      <c r="W1099" s="41"/>
      <c r="X1099" s="41">
        <v>11.37</v>
      </c>
      <c r="Y1099" s="41"/>
      <c r="Z1099" s="41"/>
      <c r="AA1099" s="41"/>
      <c r="AB1099" s="41"/>
      <c r="AC1099" s="41">
        <v>11.09</v>
      </c>
      <c r="AD1099" s="41"/>
      <c r="AE1099" s="41"/>
      <c r="AF1099" s="41"/>
      <c r="AG1099" s="41"/>
      <c r="AH1099" s="41">
        <v>0.28000000000000003</v>
      </c>
      <c r="AI1099" s="41"/>
      <c r="AJ1099" s="41"/>
      <c r="AK1099" s="41"/>
    </row>
    <row r="1100" spans="1:37" ht="21.75" hidden="1" customHeight="1" x14ac:dyDescent="0.2">
      <c r="A1100" s="21">
        <v>185</v>
      </c>
      <c r="B1100" s="39" t="s">
        <v>840</v>
      </c>
      <c r="C1100" s="39"/>
      <c r="D1100" s="39"/>
      <c r="E1100" s="39"/>
      <c r="F1100" s="39"/>
      <c r="G1100" s="39"/>
      <c r="H1100" s="39"/>
      <c r="I1100" s="39"/>
      <c r="J1100" s="39"/>
      <c r="K1100" s="39"/>
      <c r="L1100" s="39"/>
      <c r="M1100" s="39"/>
      <c r="N1100" s="39"/>
      <c r="O1100" s="39"/>
      <c r="P1100" s="39"/>
      <c r="Q1100" s="43">
        <v>0.27700000000000002</v>
      </c>
      <c r="R1100" s="43"/>
      <c r="S1100" s="43"/>
      <c r="T1100" s="43"/>
      <c r="U1100" s="43"/>
      <c r="V1100" s="43"/>
      <c r="W1100" s="43"/>
      <c r="X1100" s="41">
        <v>20.11</v>
      </c>
      <c r="Y1100" s="41"/>
      <c r="Z1100" s="41"/>
      <c r="AA1100" s="41"/>
      <c r="AB1100" s="41"/>
      <c r="AC1100" s="43">
        <v>20.277999999999999</v>
      </c>
      <c r="AD1100" s="43"/>
      <c r="AE1100" s="43"/>
      <c r="AF1100" s="43"/>
      <c r="AG1100" s="43"/>
      <c r="AH1100" s="43">
        <v>-0.16800000000000001</v>
      </c>
      <c r="AI1100" s="43"/>
      <c r="AJ1100" s="43"/>
      <c r="AK1100" s="43"/>
    </row>
    <row r="1101" spans="1:37" ht="11.25" hidden="1" customHeight="1" x14ac:dyDescent="0.2">
      <c r="A1101" s="21">
        <v>186</v>
      </c>
      <c r="B1101" s="39" t="s">
        <v>795</v>
      </c>
      <c r="C1101" s="39"/>
      <c r="D1101" s="39"/>
      <c r="E1101" s="39"/>
      <c r="F1101" s="39"/>
      <c r="G1101" s="39"/>
      <c r="H1101" s="39"/>
      <c r="I1101" s="39"/>
      <c r="J1101" s="39"/>
      <c r="K1101" s="39"/>
      <c r="L1101" s="39"/>
      <c r="M1101" s="39"/>
      <c r="N1101" s="39"/>
      <c r="O1101" s="39"/>
      <c r="P1101" s="39"/>
      <c r="Q1101" s="43">
        <v>0.27600000000000002</v>
      </c>
      <c r="R1101" s="43"/>
      <c r="S1101" s="43"/>
      <c r="T1101" s="43"/>
      <c r="U1101" s="43"/>
      <c r="V1101" s="43"/>
      <c r="W1101" s="43"/>
      <c r="X1101" s="59">
        <v>36.1</v>
      </c>
      <c r="Y1101" s="59"/>
      <c r="Z1101" s="59"/>
      <c r="AA1101" s="59"/>
      <c r="AB1101" s="59"/>
      <c r="AC1101" s="43">
        <v>37.268999999999998</v>
      </c>
      <c r="AD1101" s="43"/>
      <c r="AE1101" s="43"/>
      <c r="AF1101" s="43"/>
      <c r="AG1101" s="43"/>
      <c r="AH1101" s="43">
        <v>-1.169</v>
      </c>
      <c r="AI1101" s="43"/>
      <c r="AJ1101" s="43"/>
      <c r="AK1101" s="43"/>
    </row>
    <row r="1102" spans="1:37" ht="11.25" hidden="1" customHeight="1" x14ac:dyDescent="0.2">
      <c r="A1102" s="21">
        <v>187</v>
      </c>
      <c r="B1102" s="39" t="s">
        <v>584</v>
      </c>
      <c r="C1102" s="39"/>
      <c r="D1102" s="39"/>
      <c r="E1102" s="39"/>
      <c r="F1102" s="39"/>
      <c r="G1102" s="39"/>
      <c r="H1102" s="39"/>
      <c r="I1102" s="39"/>
      <c r="J1102" s="39"/>
      <c r="K1102" s="39"/>
      <c r="L1102" s="39"/>
      <c r="M1102" s="39"/>
      <c r="N1102" s="39"/>
      <c r="O1102" s="39"/>
      <c r="P1102" s="39"/>
      <c r="Q1102" s="43">
        <v>0.27500000000000002</v>
      </c>
      <c r="R1102" s="43"/>
      <c r="S1102" s="43"/>
      <c r="T1102" s="43"/>
      <c r="U1102" s="43"/>
      <c r="V1102" s="43"/>
      <c r="W1102" s="43"/>
      <c r="X1102" s="59">
        <v>19.899999999999999</v>
      </c>
      <c r="Y1102" s="59"/>
      <c r="Z1102" s="59"/>
      <c r="AA1102" s="59"/>
      <c r="AB1102" s="59"/>
      <c r="AC1102" s="43">
        <v>19.811</v>
      </c>
      <c r="AD1102" s="43"/>
      <c r="AE1102" s="43"/>
      <c r="AF1102" s="43"/>
      <c r="AG1102" s="43"/>
      <c r="AH1102" s="43">
        <v>8.8999999999999996E-2</v>
      </c>
      <c r="AI1102" s="43"/>
      <c r="AJ1102" s="43"/>
      <c r="AK1102" s="43"/>
    </row>
    <row r="1103" spans="1:37" ht="11.25" hidden="1" customHeight="1" x14ac:dyDescent="0.2">
      <c r="A1103" s="21">
        <v>188</v>
      </c>
      <c r="B1103" s="39" t="s">
        <v>827</v>
      </c>
      <c r="C1103" s="39"/>
      <c r="D1103" s="39"/>
      <c r="E1103" s="39"/>
      <c r="F1103" s="39"/>
      <c r="G1103" s="39"/>
      <c r="H1103" s="39"/>
      <c r="I1103" s="39"/>
      <c r="J1103" s="39"/>
      <c r="K1103" s="39"/>
      <c r="L1103" s="39"/>
      <c r="M1103" s="39"/>
      <c r="N1103" s="39"/>
      <c r="O1103" s="39"/>
      <c r="P1103" s="39"/>
      <c r="Q1103" s="43">
        <v>0.26700000000000002</v>
      </c>
      <c r="R1103" s="43"/>
      <c r="S1103" s="43"/>
      <c r="T1103" s="43"/>
      <c r="U1103" s="43"/>
      <c r="V1103" s="43"/>
      <c r="W1103" s="43"/>
      <c r="X1103" s="41">
        <v>25.01</v>
      </c>
      <c r="Y1103" s="41"/>
      <c r="Z1103" s="41"/>
      <c r="AA1103" s="41"/>
      <c r="AB1103" s="41"/>
      <c r="AC1103" s="43">
        <v>25.210999999999999</v>
      </c>
      <c r="AD1103" s="43"/>
      <c r="AE1103" s="43"/>
      <c r="AF1103" s="43"/>
      <c r="AG1103" s="43"/>
      <c r="AH1103" s="43">
        <v>-0.20100000000000001</v>
      </c>
      <c r="AI1103" s="43"/>
      <c r="AJ1103" s="43"/>
      <c r="AK1103" s="43"/>
    </row>
    <row r="1104" spans="1:37" ht="11.25" hidden="1" customHeight="1" x14ac:dyDescent="0.2">
      <c r="A1104" s="21">
        <v>189</v>
      </c>
      <c r="B1104" s="39" t="s">
        <v>437</v>
      </c>
      <c r="C1104" s="39"/>
      <c r="D1104" s="39"/>
      <c r="E1104" s="39"/>
      <c r="F1104" s="39"/>
      <c r="G1104" s="39"/>
      <c r="H1104" s="39"/>
      <c r="I1104" s="39"/>
      <c r="J1104" s="39"/>
      <c r="K1104" s="39"/>
      <c r="L1104" s="39"/>
      <c r="M1104" s="39"/>
      <c r="N1104" s="39"/>
      <c r="O1104" s="39"/>
      <c r="P1104" s="39"/>
      <c r="Q1104" s="43">
        <v>0.26500000000000001</v>
      </c>
      <c r="R1104" s="43"/>
      <c r="S1104" s="43"/>
      <c r="T1104" s="43"/>
      <c r="U1104" s="43"/>
      <c r="V1104" s="43"/>
      <c r="W1104" s="43"/>
      <c r="X1104" s="59">
        <v>46.4</v>
      </c>
      <c r="Y1104" s="59"/>
      <c r="Z1104" s="59"/>
      <c r="AA1104" s="59"/>
      <c r="AB1104" s="59"/>
      <c r="AC1104" s="43">
        <v>46.713000000000001</v>
      </c>
      <c r="AD1104" s="43"/>
      <c r="AE1104" s="43"/>
      <c r="AF1104" s="43"/>
      <c r="AG1104" s="43"/>
      <c r="AH1104" s="43">
        <v>-0.313</v>
      </c>
      <c r="AI1104" s="43"/>
      <c r="AJ1104" s="43"/>
      <c r="AK1104" s="43"/>
    </row>
    <row r="1105" spans="1:37" ht="11.25" hidden="1" customHeight="1" x14ac:dyDescent="0.2">
      <c r="A1105" s="21">
        <v>190</v>
      </c>
      <c r="B1105" s="39" t="s">
        <v>376</v>
      </c>
      <c r="C1105" s="39"/>
      <c r="D1105" s="39"/>
      <c r="E1105" s="39"/>
      <c r="F1105" s="39"/>
      <c r="G1105" s="39"/>
      <c r="H1105" s="39"/>
      <c r="I1105" s="39"/>
      <c r="J1105" s="39"/>
      <c r="K1105" s="39"/>
      <c r="L1105" s="39"/>
      <c r="M1105" s="39"/>
      <c r="N1105" s="39"/>
      <c r="O1105" s="39"/>
      <c r="P1105" s="39"/>
      <c r="Q1105" s="43">
        <v>0.26500000000000001</v>
      </c>
      <c r="R1105" s="43"/>
      <c r="S1105" s="43"/>
      <c r="T1105" s="43"/>
      <c r="U1105" s="43"/>
      <c r="V1105" s="43"/>
      <c r="W1105" s="43"/>
      <c r="X1105" s="41">
        <v>34.76</v>
      </c>
      <c r="Y1105" s="41"/>
      <c r="Z1105" s="41"/>
      <c r="AA1105" s="41"/>
      <c r="AB1105" s="41"/>
      <c r="AC1105" s="43">
        <v>35.052999999999997</v>
      </c>
      <c r="AD1105" s="43"/>
      <c r="AE1105" s="43"/>
      <c r="AF1105" s="43"/>
      <c r="AG1105" s="43"/>
      <c r="AH1105" s="43">
        <v>-0.29299999999999998</v>
      </c>
      <c r="AI1105" s="43"/>
      <c r="AJ1105" s="43"/>
      <c r="AK1105" s="43"/>
    </row>
    <row r="1106" spans="1:37" ht="21.75" hidden="1" customHeight="1" x14ac:dyDescent="0.2">
      <c r="A1106" s="21">
        <v>191</v>
      </c>
      <c r="B1106" s="39" t="s">
        <v>753</v>
      </c>
      <c r="C1106" s="39"/>
      <c r="D1106" s="39"/>
      <c r="E1106" s="39"/>
      <c r="F1106" s="39"/>
      <c r="G1106" s="39"/>
      <c r="H1106" s="39"/>
      <c r="I1106" s="39"/>
      <c r="J1106" s="39"/>
      <c r="K1106" s="39"/>
      <c r="L1106" s="39"/>
      <c r="M1106" s="39"/>
      <c r="N1106" s="39"/>
      <c r="O1106" s="39"/>
      <c r="P1106" s="39"/>
      <c r="Q1106" s="43">
        <v>0.26500000000000001</v>
      </c>
      <c r="R1106" s="43"/>
      <c r="S1106" s="43"/>
      <c r="T1106" s="43"/>
      <c r="U1106" s="43"/>
      <c r="V1106" s="43"/>
      <c r="W1106" s="43"/>
      <c r="X1106" s="59">
        <v>33.1</v>
      </c>
      <c r="Y1106" s="59"/>
      <c r="Z1106" s="59"/>
      <c r="AA1106" s="59"/>
      <c r="AB1106" s="59"/>
      <c r="AC1106" s="43">
        <v>34.161000000000001</v>
      </c>
      <c r="AD1106" s="43"/>
      <c r="AE1106" s="43"/>
      <c r="AF1106" s="43"/>
      <c r="AG1106" s="43"/>
      <c r="AH1106" s="43">
        <v>-1.0609999999999999</v>
      </c>
      <c r="AI1106" s="43"/>
      <c r="AJ1106" s="43"/>
      <c r="AK1106" s="43"/>
    </row>
    <row r="1107" spans="1:37" ht="21.75" hidden="1" customHeight="1" x14ac:dyDescent="0.2">
      <c r="A1107" s="21">
        <v>192</v>
      </c>
      <c r="B1107" s="39" t="s">
        <v>754</v>
      </c>
      <c r="C1107" s="39"/>
      <c r="D1107" s="39"/>
      <c r="E1107" s="39"/>
      <c r="F1107" s="39"/>
      <c r="G1107" s="39"/>
      <c r="H1107" s="39"/>
      <c r="I1107" s="39"/>
      <c r="J1107" s="39"/>
      <c r="K1107" s="39"/>
      <c r="L1107" s="39"/>
      <c r="M1107" s="39"/>
      <c r="N1107" s="39"/>
      <c r="O1107" s="39"/>
      <c r="P1107" s="39"/>
      <c r="Q1107" s="43">
        <v>0.26400000000000001</v>
      </c>
      <c r="R1107" s="43"/>
      <c r="S1107" s="43"/>
      <c r="T1107" s="43"/>
      <c r="U1107" s="43"/>
      <c r="V1107" s="43"/>
      <c r="W1107" s="43"/>
      <c r="X1107" s="41">
        <v>18.989999999999998</v>
      </c>
      <c r="Y1107" s="41"/>
      <c r="Z1107" s="41"/>
      <c r="AA1107" s="41"/>
      <c r="AB1107" s="41"/>
      <c r="AC1107" s="43">
        <v>19.018000000000001</v>
      </c>
      <c r="AD1107" s="43"/>
      <c r="AE1107" s="43"/>
      <c r="AF1107" s="43"/>
      <c r="AG1107" s="43"/>
      <c r="AH1107" s="43">
        <v>-2.8000000000000001E-2</v>
      </c>
      <c r="AI1107" s="43"/>
      <c r="AJ1107" s="43"/>
      <c r="AK1107" s="43"/>
    </row>
    <row r="1108" spans="1:37" ht="11.25" hidden="1" customHeight="1" x14ac:dyDescent="0.2">
      <c r="A1108" s="21">
        <v>193</v>
      </c>
      <c r="B1108" s="39" t="s">
        <v>755</v>
      </c>
      <c r="C1108" s="39"/>
      <c r="D1108" s="39"/>
      <c r="E1108" s="39"/>
      <c r="F1108" s="39"/>
      <c r="G1108" s="39"/>
      <c r="H1108" s="39"/>
      <c r="I1108" s="39"/>
      <c r="J1108" s="39"/>
      <c r="K1108" s="39"/>
      <c r="L1108" s="39"/>
      <c r="M1108" s="39"/>
      <c r="N1108" s="39"/>
      <c r="O1108" s="39"/>
      <c r="P1108" s="39"/>
      <c r="Q1108" s="43">
        <v>0.25600000000000001</v>
      </c>
      <c r="R1108" s="43"/>
      <c r="S1108" s="43"/>
      <c r="T1108" s="43"/>
      <c r="U1108" s="43"/>
      <c r="V1108" s="43"/>
      <c r="W1108" s="43"/>
      <c r="X1108" s="41">
        <v>23.63</v>
      </c>
      <c r="Y1108" s="41"/>
      <c r="Z1108" s="41"/>
      <c r="AA1108" s="41"/>
      <c r="AB1108" s="41"/>
      <c r="AC1108" s="43">
        <v>23.835000000000001</v>
      </c>
      <c r="AD1108" s="43"/>
      <c r="AE1108" s="43"/>
      <c r="AF1108" s="43"/>
      <c r="AG1108" s="43"/>
      <c r="AH1108" s="43">
        <v>-0.20499999999999999</v>
      </c>
      <c r="AI1108" s="43"/>
      <c r="AJ1108" s="43"/>
      <c r="AK1108" s="43"/>
    </row>
    <row r="1109" spans="1:37" ht="11.25" hidden="1" customHeight="1" x14ac:dyDescent="0.2">
      <c r="A1109" s="21">
        <v>194</v>
      </c>
      <c r="B1109" s="39" t="s">
        <v>841</v>
      </c>
      <c r="C1109" s="39"/>
      <c r="D1109" s="39"/>
      <c r="E1109" s="39"/>
      <c r="F1109" s="39"/>
      <c r="G1109" s="39"/>
      <c r="H1109" s="39"/>
      <c r="I1109" s="39"/>
      <c r="J1109" s="39"/>
      <c r="K1109" s="39"/>
      <c r="L1109" s="39"/>
      <c r="M1109" s="39"/>
      <c r="N1109" s="39"/>
      <c r="O1109" s="39"/>
      <c r="P1109" s="39"/>
      <c r="Q1109" s="43">
        <v>0.255</v>
      </c>
      <c r="R1109" s="43"/>
      <c r="S1109" s="43"/>
      <c r="T1109" s="43"/>
      <c r="U1109" s="43"/>
      <c r="V1109" s="43"/>
      <c r="W1109" s="43"/>
      <c r="X1109" s="41">
        <v>138.13</v>
      </c>
      <c r="Y1109" s="41"/>
      <c r="Z1109" s="41"/>
      <c r="AA1109" s="41"/>
      <c r="AB1109" s="41"/>
      <c r="AC1109" s="43">
        <v>140.642</v>
      </c>
      <c r="AD1109" s="43"/>
      <c r="AE1109" s="43"/>
      <c r="AF1109" s="43"/>
      <c r="AG1109" s="43"/>
      <c r="AH1109" s="43">
        <v>-2.512</v>
      </c>
      <c r="AI1109" s="43"/>
      <c r="AJ1109" s="43"/>
      <c r="AK1109" s="43"/>
    </row>
    <row r="1110" spans="1:37" ht="11.25" hidden="1" customHeight="1" x14ac:dyDescent="0.2">
      <c r="A1110" s="21">
        <v>195</v>
      </c>
      <c r="B1110" s="39" t="s">
        <v>842</v>
      </c>
      <c r="C1110" s="39"/>
      <c r="D1110" s="39"/>
      <c r="E1110" s="39"/>
      <c r="F1110" s="39"/>
      <c r="G1110" s="39"/>
      <c r="H1110" s="39"/>
      <c r="I1110" s="39"/>
      <c r="J1110" s="39"/>
      <c r="K1110" s="39"/>
      <c r="L1110" s="39"/>
      <c r="M1110" s="39"/>
      <c r="N1110" s="39"/>
      <c r="O1110" s="39"/>
      <c r="P1110" s="39"/>
      <c r="Q1110" s="43">
        <v>0.245</v>
      </c>
      <c r="R1110" s="43"/>
      <c r="S1110" s="43"/>
      <c r="T1110" s="43"/>
      <c r="U1110" s="43"/>
      <c r="V1110" s="43"/>
      <c r="W1110" s="43"/>
      <c r="X1110" s="59">
        <v>13.9</v>
      </c>
      <c r="Y1110" s="59"/>
      <c r="Z1110" s="59"/>
      <c r="AA1110" s="59"/>
      <c r="AB1110" s="59"/>
      <c r="AC1110" s="43">
        <v>13.972</v>
      </c>
      <c r="AD1110" s="43"/>
      <c r="AE1110" s="43"/>
      <c r="AF1110" s="43"/>
      <c r="AG1110" s="43"/>
      <c r="AH1110" s="43">
        <v>-7.1999999999999995E-2</v>
      </c>
      <c r="AI1110" s="43"/>
      <c r="AJ1110" s="43"/>
      <c r="AK1110" s="43"/>
    </row>
    <row r="1111" spans="1:37" ht="11.25" hidden="1" customHeight="1" x14ac:dyDescent="0.2">
      <c r="A1111" s="21">
        <v>196</v>
      </c>
      <c r="B1111" s="39" t="s">
        <v>756</v>
      </c>
      <c r="C1111" s="39"/>
      <c r="D1111" s="39"/>
      <c r="E1111" s="39"/>
      <c r="F1111" s="39"/>
      <c r="G1111" s="39"/>
      <c r="H1111" s="39"/>
      <c r="I1111" s="39"/>
      <c r="J1111" s="39"/>
      <c r="K1111" s="39"/>
      <c r="L1111" s="39"/>
      <c r="M1111" s="39"/>
      <c r="N1111" s="39"/>
      <c r="O1111" s="39"/>
      <c r="P1111" s="39"/>
      <c r="Q1111" s="43">
        <v>0.24099999999999999</v>
      </c>
      <c r="R1111" s="43"/>
      <c r="S1111" s="43"/>
      <c r="T1111" s="43"/>
      <c r="U1111" s="43"/>
      <c r="V1111" s="43"/>
      <c r="W1111" s="43"/>
      <c r="X1111" s="59">
        <v>6.2</v>
      </c>
      <c r="Y1111" s="59"/>
      <c r="Z1111" s="59"/>
      <c r="AA1111" s="59"/>
      <c r="AB1111" s="59"/>
      <c r="AC1111" s="43">
        <v>6.1120000000000001</v>
      </c>
      <c r="AD1111" s="43"/>
      <c r="AE1111" s="43"/>
      <c r="AF1111" s="43"/>
      <c r="AG1111" s="43"/>
      <c r="AH1111" s="43">
        <v>8.7999999999999995E-2</v>
      </c>
      <c r="AI1111" s="43"/>
      <c r="AJ1111" s="43"/>
      <c r="AK1111" s="43"/>
    </row>
    <row r="1112" spans="1:37" ht="11.25" hidden="1" customHeight="1" x14ac:dyDescent="0.2">
      <c r="A1112" s="21">
        <v>197</v>
      </c>
      <c r="B1112" s="39" t="s">
        <v>520</v>
      </c>
      <c r="C1112" s="39"/>
      <c r="D1112" s="39"/>
      <c r="E1112" s="39"/>
      <c r="F1112" s="39"/>
      <c r="G1112" s="39"/>
      <c r="H1112" s="39"/>
      <c r="I1112" s="39"/>
      <c r="J1112" s="39"/>
      <c r="K1112" s="39"/>
      <c r="L1112" s="39"/>
      <c r="M1112" s="39"/>
      <c r="N1112" s="39"/>
      <c r="O1112" s="39"/>
      <c r="P1112" s="39"/>
      <c r="Q1112" s="43">
        <v>0.23499999999999999</v>
      </c>
      <c r="R1112" s="43"/>
      <c r="S1112" s="43"/>
      <c r="T1112" s="43"/>
      <c r="U1112" s="43"/>
      <c r="V1112" s="43"/>
      <c r="W1112" s="43"/>
      <c r="X1112" s="41">
        <v>16.690000000000001</v>
      </c>
      <c r="Y1112" s="41"/>
      <c r="Z1112" s="41"/>
      <c r="AA1112" s="41"/>
      <c r="AB1112" s="41"/>
      <c r="AC1112" s="43">
        <v>16.515000000000001</v>
      </c>
      <c r="AD1112" s="43"/>
      <c r="AE1112" s="43"/>
      <c r="AF1112" s="43"/>
      <c r="AG1112" s="43"/>
      <c r="AH1112" s="43">
        <v>0.17499999999999999</v>
      </c>
      <c r="AI1112" s="43"/>
      <c r="AJ1112" s="43"/>
      <c r="AK1112" s="43"/>
    </row>
    <row r="1113" spans="1:37" ht="21.75" hidden="1" customHeight="1" x14ac:dyDescent="0.2">
      <c r="A1113" s="21">
        <v>198</v>
      </c>
      <c r="B1113" s="39" t="s">
        <v>407</v>
      </c>
      <c r="C1113" s="39"/>
      <c r="D1113" s="39"/>
      <c r="E1113" s="39"/>
      <c r="F1113" s="39"/>
      <c r="G1113" s="39"/>
      <c r="H1113" s="39"/>
      <c r="I1113" s="39"/>
      <c r="J1113" s="39"/>
      <c r="K1113" s="39"/>
      <c r="L1113" s="39"/>
      <c r="M1113" s="39"/>
      <c r="N1113" s="39"/>
      <c r="O1113" s="39"/>
      <c r="P1113" s="39"/>
      <c r="Q1113" s="43">
        <v>0.23300000000000001</v>
      </c>
      <c r="R1113" s="43"/>
      <c r="S1113" s="43"/>
      <c r="T1113" s="43"/>
      <c r="U1113" s="43"/>
      <c r="V1113" s="43"/>
      <c r="W1113" s="43"/>
      <c r="X1113" s="59">
        <v>195.7</v>
      </c>
      <c r="Y1113" s="59"/>
      <c r="Z1113" s="59"/>
      <c r="AA1113" s="59"/>
      <c r="AB1113" s="59"/>
      <c r="AC1113" s="43">
        <v>200.22499999999999</v>
      </c>
      <c r="AD1113" s="43"/>
      <c r="AE1113" s="43"/>
      <c r="AF1113" s="43"/>
      <c r="AG1113" s="43"/>
      <c r="AH1113" s="43">
        <v>-4.5250000000000004</v>
      </c>
      <c r="AI1113" s="43"/>
      <c r="AJ1113" s="43"/>
      <c r="AK1113" s="43"/>
    </row>
    <row r="1114" spans="1:37" ht="11.25" hidden="1" customHeight="1" x14ac:dyDescent="0.2">
      <c r="A1114" s="21">
        <v>199</v>
      </c>
      <c r="B1114" s="39" t="s">
        <v>545</v>
      </c>
      <c r="C1114" s="39"/>
      <c r="D1114" s="39"/>
      <c r="E1114" s="39"/>
      <c r="F1114" s="39"/>
      <c r="G1114" s="39"/>
      <c r="H1114" s="39"/>
      <c r="I1114" s="39"/>
      <c r="J1114" s="39"/>
      <c r="K1114" s="39"/>
      <c r="L1114" s="39"/>
      <c r="M1114" s="39"/>
      <c r="N1114" s="39"/>
      <c r="O1114" s="39"/>
      <c r="P1114" s="39"/>
      <c r="Q1114" s="41">
        <v>0.23</v>
      </c>
      <c r="R1114" s="41"/>
      <c r="S1114" s="41"/>
      <c r="T1114" s="41"/>
      <c r="U1114" s="41"/>
      <c r="V1114" s="41"/>
      <c r="W1114" s="41"/>
      <c r="X1114" s="41">
        <v>20.56</v>
      </c>
      <c r="Y1114" s="41"/>
      <c r="Z1114" s="41"/>
      <c r="AA1114" s="41"/>
      <c r="AB1114" s="41"/>
      <c r="AC1114" s="43">
        <v>20.812999999999999</v>
      </c>
      <c r="AD1114" s="43"/>
      <c r="AE1114" s="43"/>
      <c r="AF1114" s="43"/>
      <c r="AG1114" s="43"/>
      <c r="AH1114" s="43">
        <v>-0.253</v>
      </c>
      <c r="AI1114" s="43"/>
      <c r="AJ1114" s="43"/>
      <c r="AK1114" s="43"/>
    </row>
    <row r="1115" spans="1:37" ht="21.75" hidden="1" customHeight="1" x14ac:dyDescent="0.2">
      <c r="A1115" s="21">
        <v>200</v>
      </c>
      <c r="B1115" s="39" t="s">
        <v>544</v>
      </c>
      <c r="C1115" s="39"/>
      <c r="D1115" s="39"/>
      <c r="E1115" s="39"/>
      <c r="F1115" s="39"/>
      <c r="G1115" s="39"/>
      <c r="H1115" s="39"/>
      <c r="I1115" s="39"/>
      <c r="J1115" s="39"/>
      <c r="K1115" s="39"/>
      <c r="L1115" s="39"/>
      <c r="M1115" s="39"/>
      <c r="N1115" s="39"/>
      <c r="O1115" s="39"/>
      <c r="P1115" s="39"/>
      <c r="Q1115" s="41">
        <v>0.23</v>
      </c>
      <c r="R1115" s="41"/>
      <c r="S1115" s="41"/>
      <c r="T1115" s="41"/>
      <c r="U1115" s="41"/>
      <c r="V1115" s="41"/>
      <c r="W1115" s="41"/>
      <c r="X1115" s="41">
        <v>25.24</v>
      </c>
      <c r="Y1115" s="41"/>
      <c r="Z1115" s="41"/>
      <c r="AA1115" s="41"/>
      <c r="AB1115" s="41"/>
      <c r="AC1115" s="43">
        <v>25.539000000000001</v>
      </c>
      <c r="AD1115" s="43"/>
      <c r="AE1115" s="43"/>
      <c r="AF1115" s="43"/>
      <c r="AG1115" s="43"/>
      <c r="AH1115" s="43">
        <v>-0.29899999999999999</v>
      </c>
      <c r="AI1115" s="43"/>
      <c r="AJ1115" s="43"/>
      <c r="AK1115" s="43"/>
    </row>
    <row r="1116" spans="1:37" ht="11.25" hidden="1" customHeight="1" x14ac:dyDescent="0.2">
      <c r="A1116" s="21">
        <v>201</v>
      </c>
      <c r="B1116" s="39" t="s">
        <v>843</v>
      </c>
      <c r="C1116" s="39"/>
      <c r="D1116" s="39"/>
      <c r="E1116" s="39"/>
      <c r="F1116" s="39"/>
      <c r="G1116" s="39"/>
      <c r="H1116" s="39"/>
      <c r="I1116" s="39"/>
      <c r="J1116" s="39"/>
      <c r="K1116" s="39"/>
      <c r="L1116" s="39"/>
      <c r="M1116" s="39"/>
      <c r="N1116" s="39"/>
      <c r="O1116" s="39"/>
      <c r="P1116" s="39"/>
      <c r="Q1116" s="43">
        <v>0.22800000000000001</v>
      </c>
      <c r="R1116" s="43"/>
      <c r="S1116" s="43"/>
      <c r="T1116" s="43"/>
      <c r="U1116" s="43"/>
      <c r="V1116" s="43"/>
      <c r="W1116" s="43"/>
      <c r="X1116" s="41">
        <v>22.38</v>
      </c>
      <c r="Y1116" s="41"/>
      <c r="Z1116" s="41"/>
      <c r="AA1116" s="41"/>
      <c r="AB1116" s="41"/>
      <c r="AC1116" s="43">
        <v>22.670999999999999</v>
      </c>
      <c r="AD1116" s="43"/>
      <c r="AE1116" s="43"/>
      <c r="AF1116" s="43"/>
      <c r="AG1116" s="43"/>
      <c r="AH1116" s="43">
        <v>-0.29099999999999998</v>
      </c>
      <c r="AI1116" s="43"/>
      <c r="AJ1116" s="43"/>
      <c r="AK1116" s="43"/>
    </row>
    <row r="1117" spans="1:37" ht="11.25" hidden="1" customHeight="1" x14ac:dyDescent="0.2">
      <c r="A1117" s="21">
        <v>202</v>
      </c>
      <c r="B1117" s="39" t="s">
        <v>521</v>
      </c>
      <c r="C1117" s="39"/>
      <c r="D1117" s="39"/>
      <c r="E1117" s="39"/>
      <c r="F1117" s="39"/>
      <c r="G1117" s="39"/>
      <c r="H1117" s="39"/>
      <c r="I1117" s="39"/>
      <c r="J1117" s="39"/>
      <c r="K1117" s="39"/>
      <c r="L1117" s="39"/>
      <c r="M1117" s="39"/>
      <c r="N1117" s="39"/>
      <c r="O1117" s="39"/>
      <c r="P1117" s="39"/>
      <c r="Q1117" s="43">
        <v>0.22700000000000001</v>
      </c>
      <c r="R1117" s="43"/>
      <c r="S1117" s="43"/>
      <c r="T1117" s="43"/>
      <c r="U1117" s="43"/>
      <c r="V1117" s="43"/>
      <c r="W1117" s="43"/>
      <c r="X1117" s="59">
        <v>18.100000000000001</v>
      </c>
      <c r="Y1117" s="59"/>
      <c r="Z1117" s="59"/>
      <c r="AA1117" s="59"/>
      <c r="AB1117" s="59"/>
      <c r="AC1117" s="43">
        <v>17.917000000000002</v>
      </c>
      <c r="AD1117" s="43"/>
      <c r="AE1117" s="43"/>
      <c r="AF1117" s="43"/>
      <c r="AG1117" s="43"/>
      <c r="AH1117" s="43">
        <v>0.183</v>
      </c>
      <c r="AI1117" s="43"/>
      <c r="AJ1117" s="43"/>
      <c r="AK1117" s="43"/>
    </row>
    <row r="1118" spans="1:37" ht="11.25" hidden="1" customHeight="1" x14ac:dyDescent="0.2">
      <c r="A1118" s="21">
        <v>203</v>
      </c>
      <c r="B1118" s="39" t="s">
        <v>844</v>
      </c>
      <c r="C1118" s="39"/>
      <c r="D1118" s="39"/>
      <c r="E1118" s="39"/>
      <c r="F1118" s="39"/>
      <c r="G1118" s="39"/>
      <c r="H1118" s="39"/>
      <c r="I1118" s="39"/>
      <c r="J1118" s="39"/>
      <c r="K1118" s="39"/>
      <c r="L1118" s="39"/>
      <c r="M1118" s="39"/>
      <c r="N1118" s="39"/>
      <c r="O1118" s="39"/>
      <c r="P1118" s="39"/>
      <c r="Q1118" s="43">
        <v>0.22500000000000001</v>
      </c>
      <c r="R1118" s="43"/>
      <c r="S1118" s="43"/>
      <c r="T1118" s="43"/>
      <c r="U1118" s="43"/>
      <c r="V1118" s="43"/>
      <c r="W1118" s="43"/>
      <c r="X1118" s="41">
        <v>64.45</v>
      </c>
      <c r="Y1118" s="41"/>
      <c r="Z1118" s="41"/>
      <c r="AA1118" s="41"/>
      <c r="AB1118" s="41"/>
      <c r="AC1118" s="41">
        <v>64.73</v>
      </c>
      <c r="AD1118" s="41"/>
      <c r="AE1118" s="41"/>
      <c r="AF1118" s="41"/>
      <c r="AG1118" s="41"/>
      <c r="AH1118" s="41">
        <v>-0.28000000000000003</v>
      </c>
      <c r="AI1118" s="41"/>
      <c r="AJ1118" s="41"/>
      <c r="AK1118" s="41"/>
    </row>
    <row r="1119" spans="1:37" ht="11.25" hidden="1" customHeight="1" x14ac:dyDescent="0.2">
      <c r="A1119" s="21">
        <v>204</v>
      </c>
      <c r="B1119" s="39" t="s">
        <v>845</v>
      </c>
      <c r="C1119" s="39"/>
      <c r="D1119" s="39"/>
      <c r="E1119" s="39"/>
      <c r="F1119" s="39"/>
      <c r="G1119" s="39"/>
      <c r="H1119" s="39"/>
      <c r="I1119" s="39"/>
      <c r="J1119" s="39"/>
      <c r="K1119" s="39"/>
      <c r="L1119" s="39"/>
      <c r="M1119" s="39"/>
      <c r="N1119" s="39"/>
      <c r="O1119" s="39"/>
      <c r="P1119" s="39"/>
      <c r="Q1119" s="43">
        <v>0.218</v>
      </c>
      <c r="R1119" s="43"/>
      <c r="S1119" s="43"/>
      <c r="T1119" s="43"/>
      <c r="U1119" s="43"/>
      <c r="V1119" s="43"/>
      <c r="W1119" s="43"/>
      <c r="X1119" s="41">
        <v>19.03</v>
      </c>
      <c r="Y1119" s="41"/>
      <c r="Z1119" s="41"/>
      <c r="AA1119" s="41"/>
      <c r="AB1119" s="41"/>
      <c r="AC1119" s="43">
        <v>19.158000000000001</v>
      </c>
      <c r="AD1119" s="43"/>
      <c r="AE1119" s="43"/>
      <c r="AF1119" s="43"/>
      <c r="AG1119" s="43"/>
      <c r="AH1119" s="43">
        <v>-0.128</v>
      </c>
      <c r="AI1119" s="43"/>
      <c r="AJ1119" s="43"/>
      <c r="AK1119" s="43"/>
    </row>
    <row r="1120" spans="1:37" ht="21.75" hidden="1" customHeight="1" x14ac:dyDescent="0.2">
      <c r="A1120" s="21">
        <v>205</v>
      </c>
      <c r="B1120" s="39" t="s">
        <v>585</v>
      </c>
      <c r="C1120" s="39"/>
      <c r="D1120" s="39"/>
      <c r="E1120" s="39"/>
      <c r="F1120" s="39"/>
      <c r="G1120" s="39"/>
      <c r="H1120" s="39"/>
      <c r="I1120" s="39"/>
      <c r="J1120" s="39"/>
      <c r="K1120" s="39"/>
      <c r="L1120" s="39"/>
      <c r="M1120" s="39"/>
      <c r="N1120" s="39"/>
      <c r="O1120" s="39"/>
      <c r="P1120" s="39"/>
      <c r="Q1120" s="43">
        <v>0.21299999999999999</v>
      </c>
      <c r="R1120" s="43"/>
      <c r="S1120" s="43"/>
      <c r="T1120" s="43"/>
      <c r="U1120" s="43"/>
      <c r="V1120" s="43"/>
      <c r="W1120" s="43"/>
      <c r="X1120" s="59">
        <v>12.7</v>
      </c>
      <c r="Y1120" s="59"/>
      <c r="Z1120" s="59"/>
      <c r="AA1120" s="59"/>
      <c r="AB1120" s="59"/>
      <c r="AC1120" s="43">
        <v>12.648</v>
      </c>
      <c r="AD1120" s="43"/>
      <c r="AE1120" s="43"/>
      <c r="AF1120" s="43"/>
      <c r="AG1120" s="43"/>
      <c r="AH1120" s="43">
        <v>5.1999999999999998E-2</v>
      </c>
      <c r="AI1120" s="43"/>
      <c r="AJ1120" s="43"/>
      <c r="AK1120" s="43"/>
    </row>
    <row r="1121" spans="1:37" ht="11.25" hidden="1" customHeight="1" x14ac:dyDescent="0.2">
      <c r="A1121" s="21">
        <v>206</v>
      </c>
      <c r="B1121" s="39" t="s">
        <v>714</v>
      </c>
      <c r="C1121" s="39"/>
      <c r="D1121" s="39"/>
      <c r="E1121" s="39"/>
      <c r="F1121" s="39"/>
      <c r="G1121" s="39"/>
      <c r="H1121" s="39"/>
      <c r="I1121" s="39"/>
      <c r="J1121" s="39"/>
      <c r="K1121" s="39"/>
      <c r="L1121" s="39"/>
      <c r="M1121" s="39"/>
      <c r="N1121" s="39"/>
      <c r="O1121" s="39"/>
      <c r="P1121" s="39"/>
      <c r="Q1121" s="59">
        <v>0.2</v>
      </c>
      <c r="R1121" s="59"/>
      <c r="S1121" s="59"/>
      <c r="T1121" s="59"/>
      <c r="U1121" s="59"/>
      <c r="V1121" s="59"/>
      <c r="W1121" s="59"/>
      <c r="X1121" s="41">
        <v>11.17</v>
      </c>
      <c r="Y1121" s="41"/>
      <c r="Z1121" s="41"/>
      <c r="AA1121" s="41"/>
      <c r="AB1121" s="41"/>
      <c r="AC1121" s="43">
        <v>11.515000000000001</v>
      </c>
      <c r="AD1121" s="43"/>
      <c r="AE1121" s="43"/>
      <c r="AF1121" s="43"/>
      <c r="AG1121" s="43"/>
      <c r="AH1121" s="43">
        <v>-0.34499999999999997</v>
      </c>
      <c r="AI1121" s="43"/>
      <c r="AJ1121" s="43"/>
      <c r="AK1121" s="43"/>
    </row>
    <row r="1122" spans="1:37" ht="11.25" hidden="1" customHeight="1" x14ac:dyDescent="0.2">
      <c r="A1122" s="21">
        <v>207</v>
      </c>
      <c r="B1122" s="39" t="s">
        <v>467</v>
      </c>
      <c r="C1122" s="39"/>
      <c r="D1122" s="39"/>
      <c r="E1122" s="39"/>
      <c r="F1122" s="39"/>
      <c r="G1122" s="39"/>
      <c r="H1122" s="39"/>
      <c r="I1122" s="39"/>
      <c r="J1122" s="39"/>
      <c r="K1122" s="39"/>
      <c r="L1122" s="39"/>
      <c r="M1122" s="39"/>
      <c r="N1122" s="39"/>
      <c r="O1122" s="39"/>
      <c r="P1122" s="39"/>
      <c r="Q1122" s="59">
        <v>0.2</v>
      </c>
      <c r="R1122" s="59"/>
      <c r="S1122" s="59"/>
      <c r="T1122" s="59"/>
      <c r="U1122" s="59"/>
      <c r="V1122" s="59"/>
      <c r="W1122" s="59"/>
      <c r="X1122" s="41">
        <v>5.99</v>
      </c>
      <c r="Y1122" s="41"/>
      <c r="Z1122" s="41"/>
      <c r="AA1122" s="41"/>
      <c r="AB1122" s="41"/>
      <c r="AC1122" s="43">
        <v>6.8630000000000004</v>
      </c>
      <c r="AD1122" s="43"/>
      <c r="AE1122" s="43"/>
      <c r="AF1122" s="43"/>
      <c r="AG1122" s="43"/>
      <c r="AH1122" s="43">
        <v>-0.873</v>
      </c>
      <c r="AI1122" s="43"/>
      <c r="AJ1122" s="43"/>
      <c r="AK1122" s="43"/>
    </row>
    <row r="1123" spans="1:37" ht="11.25" hidden="1" customHeight="1" x14ac:dyDescent="0.2">
      <c r="A1123" s="21">
        <v>208</v>
      </c>
      <c r="B1123" s="39" t="s">
        <v>715</v>
      </c>
      <c r="C1123" s="39"/>
      <c r="D1123" s="39"/>
      <c r="E1123" s="39"/>
      <c r="F1123" s="39"/>
      <c r="G1123" s="39"/>
      <c r="H1123" s="39"/>
      <c r="I1123" s="39"/>
      <c r="J1123" s="39"/>
      <c r="K1123" s="39"/>
      <c r="L1123" s="39"/>
      <c r="M1123" s="39"/>
      <c r="N1123" s="39"/>
      <c r="O1123" s="39"/>
      <c r="P1123" s="39"/>
      <c r="Q1123" s="43">
        <v>0.19800000000000001</v>
      </c>
      <c r="R1123" s="43"/>
      <c r="S1123" s="43"/>
      <c r="T1123" s="43"/>
      <c r="U1123" s="43"/>
      <c r="V1123" s="43"/>
      <c r="W1123" s="43"/>
      <c r="X1123" s="41">
        <v>201.52</v>
      </c>
      <c r="Y1123" s="41"/>
      <c r="Z1123" s="41"/>
      <c r="AA1123" s="41"/>
      <c r="AB1123" s="41"/>
      <c r="AC1123" s="43">
        <v>202.928</v>
      </c>
      <c r="AD1123" s="43"/>
      <c r="AE1123" s="43"/>
      <c r="AF1123" s="43"/>
      <c r="AG1123" s="43"/>
      <c r="AH1123" s="43">
        <v>-1.4079999999999999</v>
      </c>
      <c r="AI1123" s="43"/>
      <c r="AJ1123" s="43"/>
      <c r="AK1123" s="43"/>
    </row>
    <row r="1124" spans="1:37" ht="11.25" hidden="1" customHeight="1" x14ac:dyDescent="0.2">
      <c r="A1124" s="21">
        <v>209</v>
      </c>
      <c r="B1124" s="39" t="s">
        <v>377</v>
      </c>
      <c r="C1124" s="39"/>
      <c r="D1124" s="39"/>
      <c r="E1124" s="39"/>
      <c r="F1124" s="39"/>
      <c r="G1124" s="39"/>
      <c r="H1124" s="39"/>
      <c r="I1124" s="39"/>
      <c r="J1124" s="39"/>
      <c r="K1124" s="39"/>
      <c r="L1124" s="39"/>
      <c r="M1124" s="39"/>
      <c r="N1124" s="39"/>
      <c r="O1124" s="39"/>
      <c r="P1124" s="39"/>
      <c r="Q1124" s="43">
        <v>0.192</v>
      </c>
      <c r="R1124" s="43"/>
      <c r="S1124" s="43"/>
      <c r="T1124" s="43"/>
      <c r="U1124" s="43"/>
      <c r="V1124" s="43"/>
      <c r="W1124" s="43"/>
      <c r="X1124" s="59">
        <v>35.4</v>
      </c>
      <c r="Y1124" s="59"/>
      <c r="Z1124" s="59"/>
      <c r="AA1124" s="59"/>
      <c r="AB1124" s="59"/>
      <c r="AC1124" s="41">
        <v>37.369999999999997</v>
      </c>
      <c r="AD1124" s="41"/>
      <c r="AE1124" s="41"/>
      <c r="AF1124" s="41"/>
      <c r="AG1124" s="41"/>
      <c r="AH1124" s="41">
        <v>-1.97</v>
      </c>
      <c r="AI1124" s="41"/>
      <c r="AJ1124" s="41"/>
      <c r="AK1124" s="41"/>
    </row>
    <row r="1125" spans="1:37" ht="21.75" hidden="1" customHeight="1" x14ac:dyDescent="0.2">
      <c r="A1125" s="21">
        <v>210</v>
      </c>
      <c r="B1125" s="39" t="s">
        <v>485</v>
      </c>
      <c r="C1125" s="39"/>
      <c r="D1125" s="39"/>
      <c r="E1125" s="39"/>
      <c r="F1125" s="39"/>
      <c r="G1125" s="39"/>
      <c r="H1125" s="39"/>
      <c r="I1125" s="39"/>
      <c r="J1125" s="39"/>
      <c r="K1125" s="39"/>
      <c r="L1125" s="39"/>
      <c r="M1125" s="39"/>
      <c r="N1125" s="39"/>
      <c r="O1125" s="39"/>
      <c r="P1125" s="39"/>
      <c r="Q1125" s="41">
        <v>0.18</v>
      </c>
      <c r="R1125" s="41"/>
      <c r="S1125" s="41"/>
      <c r="T1125" s="41"/>
      <c r="U1125" s="41"/>
      <c r="V1125" s="41"/>
      <c r="W1125" s="41"/>
      <c r="X1125" s="41">
        <v>4.49</v>
      </c>
      <c r="Y1125" s="41"/>
      <c r="Z1125" s="41"/>
      <c r="AA1125" s="41"/>
      <c r="AB1125" s="41"/>
      <c r="AC1125" s="43">
        <v>4.4269999999999996</v>
      </c>
      <c r="AD1125" s="43"/>
      <c r="AE1125" s="43"/>
      <c r="AF1125" s="43"/>
      <c r="AG1125" s="43"/>
      <c r="AH1125" s="43">
        <v>6.3E-2</v>
      </c>
      <c r="AI1125" s="43"/>
      <c r="AJ1125" s="43"/>
      <c r="AK1125" s="43"/>
    </row>
    <row r="1126" spans="1:37" ht="11.25" hidden="1" customHeight="1" x14ac:dyDescent="0.2">
      <c r="A1126" s="21">
        <v>211</v>
      </c>
      <c r="B1126" s="39" t="s">
        <v>378</v>
      </c>
      <c r="C1126" s="39"/>
      <c r="D1126" s="39"/>
      <c r="E1126" s="39"/>
      <c r="F1126" s="39"/>
      <c r="G1126" s="39"/>
      <c r="H1126" s="39"/>
      <c r="I1126" s="39"/>
      <c r="J1126" s="39"/>
      <c r="K1126" s="39"/>
      <c r="L1126" s="39"/>
      <c r="M1126" s="39"/>
      <c r="N1126" s="39"/>
      <c r="O1126" s="39"/>
      <c r="P1126" s="39"/>
      <c r="Q1126" s="43">
        <v>0.17299999999999999</v>
      </c>
      <c r="R1126" s="43"/>
      <c r="S1126" s="43"/>
      <c r="T1126" s="43"/>
      <c r="U1126" s="43"/>
      <c r="V1126" s="43"/>
      <c r="W1126" s="43"/>
      <c r="X1126" s="41">
        <v>11.48</v>
      </c>
      <c r="Y1126" s="41"/>
      <c r="Z1126" s="41"/>
      <c r="AA1126" s="41"/>
      <c r="AB1126" s="41"/>
      <c r="AC1126" s="43">
        <v>11.654</v>
      </c>
      <c r="AD1126" s="43"/>
      <c r="AE1126" s="43"/>
      <c r="AF1126" s="43"/>
      <c r="AG1126" s="43"/>
      <c r="AH1126" s="43">
        <v>-0.17399999999999999</v>
      </c>
      <c r="AI1126" s="43"/>
      <c r="AJ1126" s="43"/>
      <c r="AK1126" s="43"/>
    </row>
    <row r="1127" spans="1:37" ht="21.75" hidden="1" customHeight="1" x14ac:dyDescent="0.2">
      <c r="A1127" s="21">
        <v>212</v>
      </c>
      <c r="B1127" s="39" t="s">
        <v>846</v>
      </c>
      <c r="C1127" s="39"/>
      <c r="D1127" s="39"/>
      <c r="E1127" s="39"/>
      <c r="F1127" s="39"/>
      <c r="G1127" s="39"/>
      <c r="H1127" s="39"/>
      <c r="I1127" s="39"/>
      <c r="J1127" s="39"/>
      <c r="K1127" s="39"/>
      <c r="L1127" s="39"/>
      <c r="M1127" s="39"/>
      <c r="N1127" s="39"/>
      <c r="O1127" s="39"/>
      <c r="P1127" s="39"/>
      <c r="Q1127" s="43">
        <v>0.16300000000000001</v>
      </c>
      <c r="R1127" s="43"/>
      <c r="S1127" s="43"/>
      <c r="T1127" s="43"/>
      <c r="U1127" s="43"/>
      <c r="V1127" s="43"/>
      <c r="W1127" s="43"/>
      <c r="X1127" s="41">
        <v>50.08</v>
      </c>
      <c r="Y1127" s="41"/>
      <c r="Z1127" s="41"/>
      <c r="AA1127" s="41"/>
      <c r="AB1127" s="41"/>
      <c r="AC1127" s="43">
        <v>50.625</v>
      </c>
      <c r="AD1127" s="43"/>
      <c r="AE1127" s="43"/>
      <c r="AF1127" s="43"/>
      <c r="AG1127" s="43"/>
      <c r="AH1127" s="43">
        <v>-0.54500000000000004</v>
      </c>
      <c r="AI1127" s="43"/>
      <c r="AJ1127" s="43"/>
      <c r="AK1127" s="43"/>
    </row>
    <row r="1128" spans="1:37" ht="21.75" hidden="1" customHeight="1" x14ac:dyDescent="0.2">
      <c r="A1128" s="21">
        <v>213</v>
      </c>
      <c r="B1128" s="39" t="s">
        <v>716</v>
      </c>
      <c r="C1128" s="39"/>
      <c r="D1128" s="39"/>
      <c r="E1128" s="39"/>
      <c r="F1128" s="39"/>
      <c r="G1128" s="39"/>
      <c r="H1128" s="39"/>
      <c r="I1128" s="39"/>
      <c r="J1128" s="39"/>
      <c r="K1128" s="39"/>
      <c r="L1128" s="39"/>
      <c r="M1128" s="39"/>
      <c r="N1128" s="39"/>
      <c r="O1128" s="39"/>
      <c r="P1128" s="39"/>
      <c r="Q1128" s="43">
        <v>0.16300000000000001</v>
      </c>
      <c r="R1128" s="43"/>
      <c r="S1128" s="43"/>
      <c r="T1128" s="43"/>
      <c r="U1128" s="43"/>
      <c r="V1128" s="43"/>
      <c r="W1128" s="43"/>
      <c r="X1128" s="59">
        <v>144.9</v>
      </c>
      <c r="Y1128" s="59"/>
      <c r="Z1128" s="59"/>
      <c r="AA1128" s="59"/>
      <c r="AB1128" s="59"/>
      <c r="AC1128" s="43">
        <v>146.03399999999999</v>
      </c>
      <c r="AD1128" s="43"/>
      <c r="AE1128" s="43"/>
      <c r="AF1128" s="43"/>
      <c r="AG1128" s="43"/>
      <c r="AH1128" s="43">
        <v>-1.1339999999999999</v>
      </c>
      <c r="AI1128" s="43"/>
      <c r="AJ1128" s="43"/>
      <c r="AK1128" s="43"/>
    </row>
    <row r="1129" spans="1:37" ht="11.25" hidden="1" customHeight="1" x14ac:dyDescent="0.2">
      <c r="A1129" s="21">
        <v>214</v>
      </c>
      <c r="B1129" s="39" t="s">
        <v>757</v>
      </c>
      <c r="C1129" s="39"/>
      <c r="D1129" s="39"/>
      <c r="E1129" s="39"/>
      <c r="F1129" s="39"/>
      <c r="G1129" s="39"/>
      <c r="H1129" s="39"/>
      <c r="I1129" s="39"/>
      <c r="J1129" s="39"/>
      <c r="K1129" s="39"/>
      <c r="L1129" s="39"/>
      <c r="M1129" s="39"/>
      <c r="N1129" s="39"/>
      <c r="O1129" s="39"/>
      <c r="P1129" s="39"/>
      <c r="Q1129" s="43">
        <v>0.16300000000000001</v>
      </c>
      <c r="R1129" s="43"/>
      <c r="S1129" s="43"/>
      <c r="T1129" s="43"/>
      <c r="U1129" s="43"/>
      <c r="V1129" s="43"/>
      <c r="W1129" s="43"/>
      <c r="X1129" s="41">
        <v>39.159999999999997</v>
      </c>
      <c r="Y1129" s="41"/>
      <c r="Z1129" s="41"/>
      <c r="AA1129" s="41"/>
      <c r="AB1129" s="41"/>
      <c r="AC1129" s="41">
        <v>39.24</v>
      </c>
      <c r="AD1129" s="41"/>
      <c r="AE1129" s="41"/>
      <c r="AF1129" s="41"/>
      <c r="AG1129" s="41"/>
      <c r="AH1129" s="41">
        <v>-0.08</v>
      </c>
      <c r="AI1129" s="41"/>
      <c r="AJ1129" s="41"/>
      <c r="AK1129" s="41"/>
    </row>
    <row r="1130" spans="1:37" ht="11.25" hidden="1" customHeight="1" x14ac:dyDescent="0.2">
      <c r="A1130" s="21">
        <v>215</v>
      </c>
      <c r="B1130" s="39" t="s">
        <v>847</v>
      </c>
      <c r="C1130" s="39"/>
      <c r="D1130" s="39"/>
      <c r="E1130" s="39"/>
      <c r="F1130" s="39"/>
      <c r="G1130" s="39"/>
      <c r="H1130" s="39"/>
      <c r="I1130" s="39"/>
      <c r="J1130" s="39"/>
      <c r="K1130" s="39"/>
      <c r="L1130" s="39"/>
      <c r="M1130" s="39"/>
      <c r="N1130" s="39"/>
      <c r="O1130" s="39"/>
      <c r="P1130" s="39"/>
      <c r="Q1130" s="43">
        <v>0.159</v>
      </c>
      <c r="R1130" s="43"/>
      <c r="S1130" s="43"/>
      <c r="T1130" s="43"/>
      <c r="U1130" s="43"/>
      <c r="V1130" s="43"/>
      <c r="W1130" s="43"/>
      <c r="X1130" s="41">
        <v>43.45</v>
      </c>
      <c r="Y1130" s="41"/>
      <c r="Z1130" s="41"/>
      <c r="AA1130" s="41"/>
      <c r="AB1130" s="41"/>
      <c r="AC1130" s="43">
        <v>43.677</v>
      </c>
      <c r="AD1130" s="43"/>
      <c r="AE1130" s="43"/>
      <c r="AF1130" s="43"/>
      <c r="AG1130" s="43"/>
      <c r="AH1130" s="43">
        <v>-0.22700000000000001</v>
      </c>
      <c r="AI1130" s="43"/>
      <c r="AJ1130" s="43"/>
      <c r="AK1130" s="43"/>
    </row>
    <row r="1131" spans="1:37" ht="11.25" hidden="1" customHeight="1" x14ac:dyDescent="0.2">
      <c r="A1131" s="21">
        <v>216</v>
      </c>
      <c r="B1131" s="39" t="s">
        <v>623</v>
      </c>
      <c r="C1131" s="39"/>
      <c r="D1131" s="39"/>
      <c r="E1131" s="39"/>
      <c r="F1131" s="39"/>
      <c r="G1131" s="39"/>
      <c r="H1131" s="39"/>
      <c r="I1131" s="39"/>
      <c r="J1131" s="39"/>
      <c r="K1131" s="39"/>
      <c r="L1131" s="39"/>
      <c r="M1131" s="39"/>
      <c r="N1131" s="39"/>
      <c r="O1131" s="39"/>
      <c r="P1131" s="39"/>
      <c r="Q1131" s="43">
        <v>0.156</v>
      </c>
      <c r="R1131" s="43"/>
      <c r="S1131" s="43"/>
      <c r="T1131" s="43"/>
      <c r="U1131" s="43"/>
      <c r="V1131" s="43"/>
      <c r="W1131" s="43"/>
      <c r="X1131" s="41">
        <v>28.55</v>
      </c>
      <c r="Y1131" s="41"/>
      <c r="Z1131" s="41"/>
      <c r="AA1131" s="41"/>
      <c r="AB1131" s="41"/>
      <c r="AC1131" s="43">
        <v>29.204000000000001</v>
      </c>
      <c r="AD1131" s="43"/>
      <c r="AE1131" s="43"/>
      <c r="AF1131" s="43"/>
      <c r="AG1131" s="43"/>
      <c r="AH1131" s="43">
        <v>-0.65400000000000003</v>
      </c>
      <c r="AI1131" s="43"/>
      <c r="AJ1131" s="43"/>
      <c r="AK1131" s="43"/>
    </row>
    <row r="1132" spans="1:37" ht="11.25" hidden="1" customHeight="1" x14ac:dyDescent="0.2">
      <c r="A1132" s="21">
        <v>217</v>
      </c>
      <c r="B1132" s="39" t="s">
        <v>758</v>
      </c>
      <c r="C1132" s="39"/>
      <c r="D1132" s="39"/>
      <c r="E1132" s="39"/>
      <c r="F1132" s="39"/>
      <c r="G1132" s="39"/>
      <c r="H1132" s="39"/>
      <c r="I1132" s="39"/>
      <c r="J1132" s="39"/>
      <c r="K1132" s="39"/>
      <c r="L1132" s="39"/>
      <c r="M1132" s="39"/>
      <c r="N1132" s="39"/>
      <c r="O1132" s="39"/>
      <c r="P1132" s="39"/>
      <c r="Q1132" s="43">
        <v>0.152</v>
      </c>
      <c r="R1132" s="43"/>
      <c r="S1132" s="43"/>
      <c r="T1132" s="43"/>
      <c r="U1132" s="43"/>
      <c r="V1132" s="43"/>
      <c r="W1132" s="43"/>
      <c r="X1132" s="41">
        <v>7.05</v>
      </c>
      <c r="Y1132" s="41"/>
      <c r="Z1132" s="41"/>
      <c r="AA1132" s="41"/>
      <c r="AB1132" s="41"/>
      <c r="AC1132" s="43">
        <v>7.1970000000000001</v>
      </c>
      <c r="AD1132" s="43"/>
      <c r="AE1132" s="43"/>
      <c r="AF1132" s="43"/>
      <c r="AG1132" s="43"/>
      <c r="AH1132" s="43">
        <v>-0.14699999999999999</v>
      </c>
      <c r="AI1132" s="43"/>
      <c r="AJ1132" s="43"/>
      <c r="AK1132" s="43"/>
    </row>
    <row r="1133" spans="1:37" ht="11.25" hidden="1" customHeight="1" x14ac:dyDescent="0.2">
      <c r="A1133" s="21">
        <v>218</v>
      </c>
      <c r="B1133" s="39" t="s">
        <v>438</v>
      </c>
      <c r="C1133" s="39"/>
      <c r="D1133" s="39"/>
      <c r="E1133" s="39"/>
      <c r="F1133" s="39"/>
      <c r="G1133" s="39"/>
      <c r="H1133" s="39"/>
      <c r="I1133" s="39"/>
      <c r="J1133" s="39"/>
      <c r="K1133" s="39"/>
      <c r="L1133" s="39"/>
      <c r="M1133" s="39"/>
      <c r="N1133" s="39"/>
      <c r="O1133" s="39"/>
      <c r="P1133" s="39"/>
      <c r="Q1133" s="41">
        <v>0.15</v>
      </c>
      <c r="R1133" s="41"/>
      <c r="S1133" s="41"/>
      <c r="T1133" s="41"/>
      <c r="U1133" s="41"/>
      <c r="V1133" s="41"/>
      <c r="W1133" s="41"/>
      <c r="X1133" s="59">
        <v>26.8</v>
      </c>
      <c r="Y1133" s="59"/>
      <c r="Z1133" s="59"/>
      <c r="AA1133" s="59"/>
      <c r="AB1133" s="59"/>
      <c r="AC1133" s="43">
        <v>27.276</v>
      </c>
      <c r="AD1133" s="43"/>
      <c r="AE1133" s="43"/>
      <c r="AF1133" s="43"/>
      <c r="AG1133" s="43"/>
      <c r="AH1133" s="43">
        <v>-0.47599999999999998</v>
      </c>
      <c r="AI1133" s="43"/>
      <c r="AJ1133" s="43"/>
      <c r="AK1133" s="43"/>
    </row>
    <row r="1134" spans="1:37" ht="11.25" hidden="1" customHeight="1" x14ac:dyDescent="0.2">
      <c r="A1134" s="21">
        <v>219</v>
      </c>
      <c r="B1134" s="39" t="s">
        <v>759</v>
      </c>
      <c r="C1134" s="39"/>
      <c r="D1134" s="39"/>
      <c r="E1134" s="39"/>
      <c r="F1134" s="39"/>
      <c r="G1134" s="39"/>
      <c r="H1134" s="39"/>
      <c r="I1134" s="39"/>
      <c r="J1134" s="39"/>
      <c r="K1134" s="39"/>
      <c r="L1134" s="39"/>
      <c r="M1134" s="39"/>
      <c r="N1134" s="39"/>
      <c r="O1134" s="39"/>
      <c r="P1134" s="39"/>
      <c r="Q1134" s="43">
        <v>0.14899999999999999</v>
      </c>
      <c r="R1134" s="43"/>
      <c r="S1134" s="43"/>
      <c r="T1134" s="43"/>
      <c r="U1134" s="43"/>
      <c r="V1134" s="43"/>
      <c r="W1134" s="43"/>
      <c r="X1134" s="41">
        <v>14.12</v>
      </c>
      <c r="Y1134" s="41"/>
      <c r="Z1134" s="41"/>
      <c r="AA1134" s="41"/>
      <c r="AB1134" s="41"/>
      <c r="AC1134" s="43">
        <v>14.449</v>
      </c>
      <c r="AD1134" s="43"/>
      <c r="AE1134" s="43"/>
      <c r="AF1134" s="43"/>
      <c r="AG1134" s="43"/>
      <c r="AH1134" s="43">
        <v>-0.32900000000000001</v>
      </c>
      <c r="AI1134" s="43"/>
      <c r="AJ1134" s="43"/>
      <c r="AK1134" s="43"/>
    </row>
    <row r="1135" spans="1:37" ht="11.25" hidden="1" customHeight="1" x14ac:dyDescent="0.2">
      <c r="A1135" s="21">
        <v>220</v>
      </c>
      <c r="B1135" s="39" t="s">
        <v>685</v>
      </c>
      <c r="C1135" s="39"/>
      <c r="D1135" s="39"/>
      <c r="E1135" s="39"/>
      <c r="F1135" s="39"/>
      <c r="G1135" s="39"/>
      <c r="H1135" s="39"/>
      <c r="I1135" s="39"/>
      <c r="J1135" s="39"/>
      <c r="K1135" s="39"/>
      <c r="L1135" s="39"/>
      <c r="M1135" s="39"/>
      <c r="N1135" s="39"/>
      <c r="O1135" s="39"/>
      <c r="P1135" s="39"/>
      <c r="Q1135" s="43">
        <v>0.14499999999999999</v>
      </c>
      <c r="R1135" s="43"/>
      <c r="S1135" s="43"/>
      <c r="T1135" s="43"/>
      <c r="U1135" s="43"/>
      <c r="V1135" s="43"/>
      <c r="W1135" s="43"/>
      <c r="X1135" s="41">
        <v>44.71</v>
      </c>
      <c r="Y1135" s="41"/>
      <c r="Z1135" s="41"/>
      <c r="AA1135" s="41"/>
      <c r="AB1135" s="41"/>
      <c r="AC1135" s="43">
        <v>45.055</v>
      </c>
      <c r="AD1135" s="43"/>
      <c r="AE1135" s="43"/>
      <c r="AF1135" s="43"/>
      <c r="AG1135" s="43"/>
      <c r="AH1135" s="43">
        <v>-0.34499999999999997</v>
      </c>
      <c r="AI1135" s="43"/>
      <c r="AJ1135" s="43"/>
      <c r="AK1135" s="43"/>
    </row>
    <row r="1136" spans="1:37" ht="11.25" hidden="1" customHeight="1" x14ac:dyDescent="0.2">
      <c r="A1136" s="21">
        <v>221</v>
      </c>
      <c r="B1136" s="39" t="s">
        <v>439</v>
      </c>
      <c r="C1136" s="39"/>
      <c r="D1136" s="39"/>
      <c r="E1136" s="39"/>
      <c r="F1136" s="39"/>
      <c r="G1136" s="39"/>
      <c r="H1136" s="39"/>
      <c r="I1136" s="39"/>
      <c r="J1136" s="39"/>
      <c r="K1136" s="39"/>
      <c r="L1136" s="39"/>
      <c r="M1136" s="39"/>
      <c r="N1136" s="39"/>
      <c r="O1136" s="39"/>
      <c r="P1136" s="39"/>
      <c r="Q1136" s="43">
        <v>0.14099999999999999</v>
      </c>
      <c r="R1136" s="43"/>
      <c r="S1136" s="43"/>
      <c r="T1136" s="43"/>
      <c r="U1136" s="43"/>
      <c r="V1136" s="43"/>
      <c r="W1136" s="43"/>
      <c r="X1136" s="59">
        <v>119.6</v>
      </c>
      <c r="Y1136" s="59"/>
      <c r="Z1136" s="59"/>
      <c r="AA1136" s="59"/>
      <c r="AB1136" s="59"/>
      <c r="AC1136" s="43">
        <v>127.64700000000001</v>
      </c>
      <c r="AD1136" s="43"/>
      <c r="AE1136" s="43"/>
      <c r="AF1136" s="43"/>
      <c r="AG1136" s="43"/>
      <c r="AH1136" s="43">
        <v>-8.0470000000000006</v>
      </c>
      <c r="AI1136" s="43"/>
      <c r="AJ1136" s="43"/>
      <c r="AK1136" s="43"/>
    </row>
    <row r="1137" spans="1:37" ht="11.25" hidden="1" customHeight="1" x14ac:dyDescent="0.2">
      <c r="A1137" s="21">
        <v>222</v>
      </c>
      <c r="B1137" s="39" t="s">
        <v>848</v>
      </c>
      <c r="C1137" s="39"/>
      <c r="D1137" s="39"/>
      <c r="E1137" s="39"/>
      <c r="F1137" s="39"/>
      <c r="G1137" s="39"/>
      <c r="H1137" s="39"/>
      <c r="I1137" s="39"/>
      <c r="J1137" s="39"/>
      <c r="K1137" s="39"/>
      <c r="L1137" s="39"/>
      <c r="M1137" s="39"/>
      <c r="N1137" s="39"/>
      <c r="O1137" s="39"/>
      <c r="P1137" s="39"/>
      <c r="Q1137" s="43">
        <v>0.13800000000000001</v>
      </c>
      <c r="R1137" s="43"/>
      <c r="S1137" s="43"/>
      <c r="T1137" s="43"/>
      <c r="U1137" s="43"/>
      <c r="V1137" s="43"/>
      <c r="W1137" s="43"/>
      <c r="X1137" s="41">
        <v>80.63</v>
      </c>
      <c r="Y1137" s="41"/>
      <c r="Z1137" s="41"/>
      <c r="AA1137" s="41"/>
      <c r="AB1137" s="41"/>
      <c r="AC1137" s="43">
        <v>84.728999999999999</v>
      </c>
      <c r="AD1137" s="43"/>
      <c r="AE1137" s="43"/>
      <c r="AF1137" s="43"/>
      <c r="AG1137" s="43"/>
      <c r="AH1137" s="43">
        <v>-4.0990000000000002</v>
      </c>
      <c r="AI1137" s="43"/>
      <c r="AJ1137" s="43"/>
      <c r="AK1137" s="43"/>
    </row>
    <row r="1138" spans="1:37" ht="11.25" hidden="1" customHeight="1" x14ac:dyDescent="0.2">
      <c r="A1138" s="21">
        <v>223</v>
      </c>
      <c r="B1138" s="39" t="s">
        <v>849</v>
      </c>
      <c r="C1138" s="39"/>
      <c r="D1138" s="39"/>
      <c r="E1138" s="39"/>
      <c r="F1138" s="39"/>
      <c r="G1138" s="39"/>
      <c r="H1138" s="39"/>
      <c r="I1138" s="39"/>
      <c r="J1138" s="39"/>
      <c r="K1138" s="39"/>
      <c r="L1138" s="39"/>
      <c r="M1138" s="39"/>
      <c r="N1138" s="39"/>
      <c r="O1138" s="39"/>
      <c r="P1138" s="39"/>
      <c r="Q1138" s="43">
        <v>0.13800000000000001</v>
      </c>
      <c r="R1138" s="43"/>
      <c r="S1138" s="43"/>
      <c r="T1138" s="43"/>
      <c r="U1138" s="43"/>
      <c r="V1138" s="43"/>
      <c r="W1138" s="43"/>
      <c r="X1138" s="59">
        <v>16.899999999999999</v>
      </c>
      <c r="Y1138" s="59"/>
      <c r="Z1138" s="59"/>
      <c r="AA1138" s="59"/>
      <c r="AB1138" s="59"/>
      <c r="AC1138" s="43">
        <v>17.116</v>
      </c>
      <c r="AD1138" s="43"/>
      <c r="AE1138" s="43"/>
      <c r="AF1138" s="43"/>
      <c r="AG1138" s="43"/>
      <c r="AH1138" s="43">
        <v>-0.216</v>
      </c>
      <c r="AI1138" s="43"/>
      <c r="AJ1138" s="43"/>
      <c r="AK1138" s="43"/>
    </row>
    <row r="1139" spans="1:37" ht="11.25" hidden="1" customHeight="1" x14ac:dyDescent="0.2">
      <c r="A1139" s="21">
        <v>224</v>
      </c>
      <c r="B1139" s="39" t="s">
        <v>850</v>
      </c>
      <c r="C1139" s="39"/>
      <c r="D1139" s="39"/>
      <c r="E1139" s="39"/>
      <c r="F1139" s="39"/>
      <c r="G1139" s="39"/>
      <c r="H1139" s="39"/>
      <c r="I1139" s="39"/>
      <c r="J1139" s="39"/>
      <c r="K1139" s="39"/>
      <c r="L1139" s="39"/>
      <c r="M1139" s="39"/>
      <c r="N1139" s="39"/>
      <c r="O1139" s="39"/>
      <c r="P1139" s="39"/>
      <c r="Q1139" s="43">
        <v>0.13400000000000001</v>
      </c>
      <c r="R1139" s="43"/>
      <c r="S1139" s="43"/>
      <c r="T1139" s="43"/>
      <c r="U1139" s="43"/>
      <c r="V1139" s="43"/>
      <c r="W1139" s="43"/>
      <c r="X1139" s="41">
        <v>60.88</v>
      </c>
      <c r="Y1139" s="41"/>
      <c r="Z1139" s="41"/>
      <c r="AA1139" s="41"/>
      <c r="AB1139" s="41"/>
      <c r="AC1139" s="43">
        <v>62.152999999999999</v>
      </c>
      <c r="AD1139" s="43"/>
      <c r="AE1139" s="43"/>
      <c r="AF1139" s="43"/>
      <c r="AG1139" s="43"/>
      <c r="AH1139" s="43">
        <v>-1.2729999999999999</v>
      </c>
      <c r="AI1139" s="43"/>
      <c r="AJ1139" s="43"/>
      <c r="AK1139" s="43"/>
    </row>
    <row r="1140" spans="1:37" ht="21.75" hidden="1" customHeight="1" x14ac:dyDescent="0.2">
      <c r="A1140" s="21">
        <v>225</v>
      </c>
      <c r="B1140" s="39" t="s">
        <v>624</v>
      </c>
      <c r="C1140" s="39"/>
      <c r="D1140" s="39"/>
      <c r="E1140" s="39"/>
      <c r="F1140" s="39"/>
      <c r="G1140" s="39"/>
      <c r="H1140" s="39"/>
      <c r="I1140" s="39"/>
      <c r="J1140" s="39"/>
      <c r="K1140" s="39"/>
      <c r="L1140" s="39"/>
      <c r="M1140" s="39"/>
      <c r="N1140" s="39"/>
      <c r="O1140" s="39"/>
      <c r="P1140" s="39"/>
      <c r="Q1140" s="43">
        <v>0.13200000000000001</v>
      </c>
      <c r="R1140" s="43"/>
      <c r="S1140" s="43"/>
      <c r="T1140" s="43"/>
      <c r="U1140" s="43"/>
      <c r="V1140" s="43"/>
      <c r="W1140" s="43"/>
      <c r="X1140" s="59">
        <v>13.7</v>
      </c>
      <c r="Y1140" s="59"/>
      <c r="Z1140" s="59"/>
      <c r="AA1140" s="59"/>
      <c r="AB1140" s="59"/>
      <c r="AC1140" s="43">
        <v>13.608000000000001</v>
      </c>
      <c r="AD1140" s="43"/>
      <c r="AE1140" s="43"/>
      <c r="AF1140" s="43"/>
      <c r="AG1140" s="43"/>
      <c r="AH1140" s="43">
        <v>9.1999999999999998E-2</v>
      </c>
      <c r="AI1140" s="43"/>
      <c r="AJ1140" s="43"/>
      <c r="AK1140" s="43"/>
    </row>
    <row r="1141" spans="1:37" ht="11.25" hidden="1" customHeight="1" x14ac:dyDescent="0.2">
      <c r="A1141" s="21">
        <v>226</v>
      </c>
      <c r="B1141" s="39" t="s">
        <v>625</v>
      </c>
      <c r="C1141" s="39"/>
      <c r="D1141" s="39"/>
      <c r="E1141" s="39"/>
      <c r="F1141" s="39"/>
      <c r="G1141" s="39"/>
      <c r="H1141" s="39"/>
      <c r="I1141" s="39"/>
      <c r="J1141" s="39"/>
      <c r="K1141" s="39"/>
      <c r="L1141" s="39"/>
      <c r="M1141" s="39"/>
      <c r="N1141" s="39"/>
      <c r="O1141" s="39"/>
      <c r="P1141" s="39"/>
      <c r="Q1141" s="43">
        <v>0.13100000000000001</v>
      </c>
      <c r="R1141" s="43"/>
      <c r="S1141" s="43"/>
      <c r="T1141" s="43"/>
      <c r="U1141" s="43"/>
      <c r="V1141" s="43"/>
      <c r="W1141" s="43"/>
      <c r="X1141" s="41">
        <v>14.79</v>
      </c>
      <c r="Y1141" s="41"/>
      <c r="Z1141" s="41"/>
      <c r="AA1141" s="41"/>
      <c r="AB1141" s="41"/>
      <c r="AC1141" s="43">
        <v>14.877000000000001</v>
      </c>
      <c r="AD1141" s="43"/>
      <c r="AE1141" s="43"/>
      <c r="AF1141" s="43"/>
      <c r="AG1141" s="43"/>
      <c r="AH1141" s="43">
        <v>-8.6999999999999994E-2</v>
      </c>
      <c r="AI1141" s="43"/>
      <c r="AJ1141" s="43"/>
      <c r="AK1141" s="43"/>
    </row>
    <row r="1142" spans="1:37" ht="11.25" hidden="1" customHeight="1" x14ac:dyDescent="0.2">
      <c r="A1142" s="21">
        <v>227</v>
      </c>
      <c r="B1142" s="39" t="s">
        <v>717</v>
      </c>
      <c r="C1142" s="39"/>
      <c r="D1142" s="39"/>
      <c r="E1142" s="39"/>
      <c r="F1142" s="39"/>
      <c r="G1142" s="39"/>
      <c r="H1142" s="39"/>
      <c r="I1142" s="39"/>
      <c r="J1142" s="39"/>
      <c r="K1142" s="39"/>
      <c r="L1142" s="39"/>
      <c r="M1142" s="39"/>
      <c r="N1142" s="39"/>
      <c r="O1142" s="39"/>
      <c r="P1142" s="39"/>
      <c r="Q1142" s="41">
        <v>0.13</v>
      </c>
      <c r="R1142" s="41"/>
      <c r="S1142" s="41"/>
      <c r="T1142" s="41"/>
      <c r="U1142" s="41"/>
      <c r="V1142" s="41"/>
      <c r="W1142" s="41"/>
      <c r="X1142" s="41">
        <v>9.0500000000000007</v>
      </c>
      <c r="Y1142" s="41"/>
      <c r="Z1142" s="41"/>
      <c r="AA1142" s="41"/>
      <c r="AB1142" s="41"/>
      <c r="AC1142" s="43">
        <v>9.3040000000000003</v>
      </c>
      <c r="AD1142" s="43"/>
      <c r="AE1142" s="43"/>
      <c r="AF1142" s="43"/>
      <c r="AG1142" s="43"/>
      <c r="AH1142" s="43">
        <v>-0.254</v>
      </c>
      <c r="AI1142" s="43"/>
      <c r="AJ1142" s="43"/>
      <c r="AK1142" s="43"/>
    </row>
    <row r="1143" spans="1:37" ht="11.25" hidden="1" customHeight="1" x14ac:dyDescent="0.2">
      <c r="A1143" s="21">
        <v>228</v>
      </c>
      <c r="B1143" s="39" t="s">
        <v>851</v>
      </c>
      <c r="C1143" s="39"/>
      <c r="D1143" s="39"/>
      <c r="E1143" s="39"/>
      <c r="F1143" s="39"/>
      <c r="G1143" s="39"/>
      <c r="H1143" s="39"/>
      <c r="I1143" s="39"/>
      <c r="J1143" s="39"/>
      <c r="K1143" s="39"/>
      <c r="L1143" s="39"/>
      <c r="M1143" s="39"/>
      <c r="N1143" s="39"/>
      <c r="O1143" s="39"/>
      <c r="P1143" s="39"/>
      <c r="Q1143" s="43">
        <v>0.129</v>
      </c>
      <c r="R1143" s="43"/>
      <c r="S1143" s="43"/>
      <c r="T1143" s="43"/>
      <c r="U1143" s="43"/>
      <c r="V1143" s="43"/>
      <c r="W1143" s="43"/>
      <c r="X1143" s="41">
        <v>22.28</v>
      </c>
      <c r="Y1143" s="41"/>
      <c r="Z1143" s="41"/>
      <c r="AA1143" s="41"/>
      <c r="AB1143" s="41"/>
      <c r="AC1143" s="43">
        <v>22.263000000000002</v>
      </c>
      <c r="AD1143" s="43"/>
      <c r="AE1143" s="43"/>
      <c r="AF1143" s="43"/>
      <c r="AG1143" s="43"/>
      <c r="AH1143" s="43">
        <v>1.7000000000000001E-2</v>
      </c>
      <c r="AI1143" s="43"/>
      <c r="AJ1143" s="43"/>
      <c r="AK1143" s="43"/>
    </row>
    <row r="1144" spans="1:37" ht="11.25" hidden="1" customHeight="1" x14ac:dyDescent="0.2">
      <c r="A1144" s="21">
        <v>229</v>
      </c>
      <c r="B1144" s="39" t="s">
        <v>586</v>
      </c>
      <c r="C1144" s="39"/>
      <c r="D1144" s="39"/>
      <c r="E1144" s="39"/>
      <c r="F1144" s="39"/>
      <c r="G1144" s="39"/>
      <c r="H1144" s="39"/>
      <c r="I1144" s="39"/>
      <c r="J1144" s="39"/>
      <c r="K1144" s="39"/>
      <c r="L1144" s="39"/>
      <c r="M1144" s="39"/>
      <c r="N1144" s="39"/>
      <c r="O1144" s="39"/>
      <c r="P1144" s="39"/>
      <c r="Q1144" s="43">
        <v>0.127</v>
      </c>
      <c r="R1144" s="43"/>
      <c r="S1144" s="43"/>
      <c r="T1144" s="43"/>
      <c r="U1144" s="43"/>
      <c r="V1144" s="43"/>
      <c r="W1144" s="43"/>
      <c r="X1144" s="41">
        <v>13.08</v>
      </c>
      <c r="Y1144" s="41"/>
      <c r="Z1144" s="41"/>
      <c r="AA1144" s="41"/>
      <c r="AB1144" s="41"/>
      <c r="AC1144" s="43">
        <v>12.984</v>
      </c>
      <c r="AD1144" s="43"/>
      <c r="AE1144" s="43"/>
      <c r="AF1144" s="43"/>
      <c r="AG1144" s="43"/>
      <c r="AH1144" s="43">
        <v>9.6000000000000002E-2</v>
      </c>
      <c r="AI1144" s="43"/>
      <c r="AJ1144" s="43"/>
      <c r="AK1144" s="43"/>
    </row>
    <row r="1145" spans="1:37" ht="21.75" hidden="1" customHeight="1" x14ac:dyDescent="0.2">
      <c r="A1145" s="21">
        <v>230</v>
      </c>
      <c r="B1145" s="39" t="s">
        <v>486</v>
      </c>
      <c r="C1145" s="39"/>
      <c r="D1145" s="39"/>
      <c r="E1145" s="39"/>
      <c r="F1145" s="39"/>
      <c r="G1145" s="39"/>
      <c r="H1145" s="39"/>
      <c r="I1145" s="39"/>
      <c r="J1145" s="39"/>
      <c r="K1145" s="39"/>
      <c r="L1145" s="39"/>
      <c r="M1145" s="39"/>
      <c r="N1145" s="39"/>
      <c r="O1145" s="39"/>
      <c r="P1145" s="39"/>
      <c r="Q1145" s="43">
        <v>0.126</v>
      </c>
      <c r="R1145" s="43"/>
      <c r="S1145" s="43"/>
      <c r="T1145" s="43"/>
      <c r="U1145" s="43"/>
      <c r="V1145" s="43"/>
      <c r="W1145" s="43"/>
      <c r="X1145" s="59">
        <v>45.8</v>
      </c>
      <c r="Y1145" s="59"/>
      <c r="Z1145" s="59"/>
      <c r="AA1145" s="59"/>
      <c r="AB1145" s="59"/>
      <c r="AC1145" s="43">
        <v>46.619</v>
      </c>
      <c r="AD1145" s="43"/>
      <c r="AE1145" s="43"/>
      <c r="AF1145" s="43"/>
      <c r="AG1145" s="43"/>
      <c r="AH1145" s="43">
        <v>-0.81899999999999995</v>
      </c>
      <c r="AI1145" s="43"/>
      <c r="AJ1145" s="43"/>
      <c r="AK1145" s="43"/>
    </row>
    <row r="1146" spans="1:37" ht="11.25" hidden="1" customHeight="1" x14ac:dyDescent="0.2">
      <c r="A1146" s="21">
        <v>231</v>
      </c>
      <c r="B1146" s="39" t="s">
        <v>587</v>
      </c>
      <c r="C1146" s="39"/>
      <c r="D1146" s="39"/>
      <c r="E1146" s="39"/>
      <c r="F1146" s="39"/>
      <c r="G1146" s="39"/>
      <c r="H1146" s="39"/>
      <c r="I1146" s="39"/>
      <c r="J1146" s="39"/>
      <c r="K1146" s="39"/>
      <c r="L1146" s="39"/>
      <c r="M1146" s="39"/>
      <c r="N1146" s="39"/>
      <c r="O1146" s="39"/>
      <c r="P1146" s="39"/>
      <c r="Q1146" s="43">
        <v>0.126</v>
      </c>
      <c r="R1146" s="43"/>
      <c r="S1146" s="43"/>
      <c r="T1146" s="43"/>
      <c r="U1146" s="43"/>
      <c r="V1146" s="43"/>
      <c r="W1146" s="43"/>
      <c r="X1146" s="41">
        <v>19.440000000000001</v>
      </c>
      <c r="Y1146" s="41"/>
      <c r="Z1146" s="41"/>
      <c r="AA1146" s="41"/>
      <c r="AB1146" s="41"/>
      <c r="AC1146" s="43">
        <v>19.951000000000001</v>
      </c>
      <c r="AD1146" s="43"/>
      <c r="AE1146" s="43"/>
      <c r="AF1146" s="43"/>
      <c r="AG1146" s="43"/>
      <c r="AH1146" s="43">
        <v>-0.51100000000000001</v>
      </c>
      <c r="AI1146" s="43"/>
      <c r="AJ1146" s="43"/>
      <c r="AK1146" s="43"/>
    </row>
    <row r="1147" spans="1:37" ht="21.75" hidden="1" customHeight="1" x14ac:dyDescent="0.2">
      <c r="A1147" s="21">
        <v>232</v>
      </c>
      <c r="B1147" s="39" t="s">
        <v>626</v>
      </c>
      <c r="C1147" s="39"/>
      <c r="D1147" s="39"/>
      <c r="E1147" s="39"/>
      <c r="F1147" s="39"/>
      <c r="G1147" s="39"/>
      <c r="H1147" s="39"/>
      <c r="I1147" s="39"/>
      <c r="J1147" s="39"/>
      <c r="K1147" s="39"/>
      <c r="L1147" s="39"/>
      <c r="M1147" s="39"/>
      <c r="N1147" s="39"/>
      <c r="O1147" s="39"/>
      <c r="P1147" s="39"/>
      <c r="Q1147" s="43">
        <v>0.124</v>
      </c>
      <c r="R1147" s="43"/>
      <c r="S1147" s="43"/>
      <c r="T1147" s="43"/>
      <c r="U1147" s="43"/>
      <c r="V1147" s="43"/>
      <c r="W1147" s="43"/>
      <c r="X1147" s="59">
        <v>11.4</v>
      </c>
      <c r="Y1147" s="59"/>
      <c r="Z1147" s="59"/>
      <c r="AA1147" s="59"/>
      <c r="AB1147" s="59"/>
      <c r="AC1147" s="41">
        <v>11.71</v>
      </c>
      <c r="AD1147" s="41"/>
      <c r="AE1147" s="41"/>
      <c r="AF1147" s="41"/>
      <c r="AG1147" s="41"/>
      <c r="AH1147" s="41">
        <v>-0.31</v>
      </c>
      <c r="AI1147" s="41"/>
      <c r="AJ1147" s="41"/>
      <c r="AK1147" s="41"/>
    </row>
    <row r="1148" spans="1:37" ht="21.75" hidden="1" customHeight="1" x14ac:dyDescent="0.2">
      <c r="A1148" s="21">
        <v>233</v>
      </c>
      <c r="B1148" s="39" t="s">
        <v>796</v>
      </c>
      <c r="C1148" s="39"/>
      <c r="D1148" s="39"/>
      <c r="E1148" s="39"/>
      <c r="F1148" s="39"/>
      <c r="G1148" s="39"/>
      <c r="H1148" s="39"/>
      <c r="I1148" s="39"/>
      <c r="J1148" s="39"/>
      <c r="K1148" s="39"/>
      <c r="L1148" s="39"/>
      <c r="M1148" s="39"/>
      <c r="N1148" s="39"/>
      <c r="O1148" s="39"/>
      <c r="P1148" s="39"/>
      <c r="Q1148" s="41">
        <v>0.12</v>
      </c>
      <c r="R1148" s="41"/>
      <c r="S1148" s="41"/>
      <c r="T1148" s="41"/>
      <c r="U1148" s="41"/>
      <c r="V1148" s="41"/>
      <c r="W1148" s="41"/>
      <c r="X1148" s="41">
        <v>5.26</v>
      </c>
      <c r="Y1148" s="41"/>
      <c r="Z1148" s="41"/>
      <c r="AA1148" s="41"/>
      <c r="AB1148" s="41"/>
      <c r="AC1148" s="41">
        <v>5.14</v>
      </c>
      <c r="AD1148" s="41"/>
      <c r="AE1148" s="41"/>
      <c r="AF1148" s="41"/>
      <c r="AG1148" s="41"/>
      <c r="AH1148" s="41">
        <v>0.12</v>
      </c>
      <c r="AI1148" s="41"/>
      <c r="AJ1148" s="41"/>
      <c r="AK1148" s="41"/>
    </row>
    <row r="1149" spans="1:37" ht="11.25" hidden="1" customHeight="1" x14ac:dyDescent="0.2">
      <c r="A1149" s="21">
        <v>234</v>
      </c>
      <c r="B1149" s="39" t="s">
        <v>522</v>
      </c>
      <c r="C1149" s="39"/>
      <c r="D1149" s="39"/>
      <c r="E1149" s="39"/>
      <c r="F1149" s="39"/>
      <c r="G1149" s="39"/>
      <c r="H1149" s="39"/>
      <c r="I1149" s="39"/>
      <c r="J1149" s="39"/>
      <c r="K1149" s="39"/>
      <c r="L1149" s="39"/>
      <c r="M1149" s="39"/>
      <c r="N1149" s="39"/>
      <c r="O1149" s="39"/>
      <c r="P1149" s="39"/>
      <c r="Q1149" s="43">
        <v>0.11899999999999999</v>
      </c>
      <c r="R1149" s="43"/>
      <c r="S1149" s="43"/>
      <c r="T1149" s="43"/>
      <c r="U1149" s="43"/>
      <c r="V1149" s="43"/>
      <c r="W1149" s="43"/>
      <c r="X1149" s="59">
        <v>6.7</v>
      </c>
      <c r="Y1149" s="59"/>
      <c r="Z1149" s="59"/>
      <c r="AA1149" s="59"/>
      <c r="AB1149" s="59"/>
      <c r="AC1149" s="43">
        <v>6.8380000000000001</v>
      </c>
      <c r="AD1149" s="43"/>
      <c r="AE1149" s="43"/>
      <c r="AF1149" s="43"/>
      <c r="AG1149" s="43"/>
      <c r="AH1149" s="43">
        <v>-0.13800000000000001</v>
      </c>
      <c r="AI1149" s="43"/>
      <c r="AJ1149" s="43"/>
      <c r="AK1149" s="43"/>
    </row>
    <row r="1150" spans="1:37" ht="11.25" hidden="1" customHeight="1" x14ac:dyDescent="0.2">
      <c r="A1150" s="21">
        <v>235</v>
      </c>
      <c r="B1150" s="39" t="s">
        <v>797</v>
      </c>
      <c r="C1150" s="39"/>
      <c r="D1150" s="39"/>
      <c r="E1150" s="39"/>
      <c r="F1150" s="39"/>
      <c r="G1150" s="39"/>
      <c r="H1150" s="39"/>
      <c r="I1150" s="39"/>
      <c r="J1150" s="39"/>
      <c r="K1150" s="39"/>
      <c r="L1150" s="39"/>
      <c r="M1150" s="39"/>
      <c r="N1150" s="39"/>
      <c r="O1150" s="39"/>
      <c r="P1150" s="39"/>
      <c r="Q1150" s="43">
        <v>0.11799999999999999</v>
      </c>
      <c r="R1150" s="43"/>
      <c r="S1150" s="43"/>
      <c r="T1150" s="43"/>
      <c r="U1150" s="43"/>
      <c r="V1150" s="43"/>
      <c r="W1150" s="43"/>
      <c r="X1150" s="59">
        <v>47.3</v>
      </c>
      <c r="Y1150" s="59"/>
      <c r="Z1150" s="59"/>
      <c r="AA1150" s="59"/>
      <c r="AB1150" s="59"/>
      <c r="AC1150" s="43">
        <v>48.957999999999998</v>
      </c>
      <c r="AD1150" s="43"/>
      <c r="AE1150" s="43"/>
      <c r="AF1150" s="43"/>
      <c r="AG1150" s="43"/>
      <c r="AH1150" s="43">
        <v>-1.6579999999999999</v>
      </c>
      <c r="AI1150" s="43"/>
      <c r="AJ1150" s="43"/>
      <c r="AK1150" s="43"/>
    </row>
    <row r="1151" spans="1:37" ht="11.25" hidden="1" customHeight="1" x14ac:dyDescent="0.2">
      <c r="A1151" s="21">
        <v>236</v>
      </c>
      <c r="B1151" s="39" t="s">
        <v>487</v>
      </c>
      <c r="C1151" s="39"/>
      <c r="D1151" s="39"/>
      <c r="E1151" s="39"/>
      <c r="F1151" s="39"/>
      <c r="G1151" s="39"/>
      <c r="H1151" s="39"/>
      <c r="I1151" s="39"/>
      <c r="J1151" s="39"/>
      <c r="K1151" s="39"/>
      <c r="L1151" s="39"/>
      <c r="M1151" s="39"/>
      <c r="N1151" s="39"/>
      <c r="O1151" s="39"/>
      <c r="P1151" s="39"/>
      <c r="Q1151" s="43">
        <v>0.11600000000000001</v>
      </c>
      <c r="R1151" s="43"/>
      <c r="S1151" s="43"/>
      <c r="T1151" s="43"/>
      <c r="U1151" s="43"/>
      <c r="V1151" s="43"/>
      <c r="W1151" s="43"/>
      <c r="X1151" s="41">
        <v>28.56</v>
      </c>
      <c r="Y1151" s="41"/>
      <c r="Z1151" s="41"/>
      <c r="AA1151" s="41"/>
      <c r="AB1151" s="41"/>
      <c r="AC1151" s="43">
        <v>29.024000000000001</v>
      </c>
      <c r="AD1151" s="43"/>
      <c r="AE1151" s="43"/>
      <c r="AF1151" s="43"/>
      <c r="AG1151" s="43"/>
      <c r="AH1151" s="43">
        <v>-0.46400000000000002</v>
      </c>
      <c r="AI1151" s="43"/>
      <c r="AJ1151" s="43"/>
      <c r="AK1151" s="43"/>
    </row>
    <row r="1152" spans="1:37" ht="11.25" hidden="1" customHeight="1" x14ac:dyDescent="0.2">
      <c r="A1152" s="21">
        <v>237</v>
      </c>
      <c r="B1152" s="39" t="s">
        <v>408</v>
      </c>
      <c r="C1152" s="39"/>
      <c r="D1152" s="39"/>
      <c r="E1152" s="39"/>
      <c r="F1152" s="39"/>
      <c r="G1152" s="39"/>
      <c r="H1152" s="39"/>
      <c r="I1152" s="39"/>
      <c r="J1152" s="39"/>
      <c r="K1152" s="39"/>
      <c r="L1152" s="39"/>
      <c r="M1152" s="39"/>
      <c r="N1152" s="39"/>
      <c r="O1152" s="39"/>
      <c r="P1152" s="39"/>
      <c r="Q1152" s="43">
        <v>0.109</v>
      </c>
      <c r="R1152" s="43"/>
      <c r="S1152" s="43"/>
      <c r="T1152" s="43"/>
      <c r="U1152" s="43"/>
      <c r="V1152" s="43"/>
      <c r="W1152" s="43"/>
      <c r="X1152" s="59">
        <v>128.80000000000001</v>
      </c>
      <c r="Y1152" s="59"/>
      <c r="Z1152" s="59"/>
      <c r="AA1152" s="59"/>
      <c r="AB1152" s="59"/>
      <c r="AC1152" s="43">
        <v>134.05199999999999</v>
      </c>
      <c r="AD1152" s="43"/>
      <c r="AE1152" s="43"/>
      <c r="AF1152" s="43"/>
      <c r="AG1152" s="43"/>
      <c r="AH1152" s="43">
        <v>-5.2519999999999998</v>
      </c>
      <c r="AI1152" s="43"/>
      <c r="AJ1152" s="43"/>
      <c r="AK1152" s="43"/>
    </row>
    <row r="1153" spans="1:37" ht="11.25" hidden="1" customHeight="1" x14ac:dyDescent="0.2">
      <c r="A1153" s="21">
        <v>238</v>
      </c>
      <c r="B1153" s="39" t="s">
        <v>760</v>
      </c>
      <c r="C1153" s="39"/>
      <c r="D1153" s="39"/>
      <c r="E1153" s="39"/>
      <c r="F1153" s="39"/>
      <c r="G1153" s="39"/>
      <c r="H1153" s="39"/>
      <c r="I1153" s="39"/>
      <c r="J1153" s="39"/>
      <c r="K1153" s="39"/>
      <c r="L1153" s="39"/>
      <c r="M1153" s="39"/>
      <c r="N1153" s="39"/>
      <c r="O1153" s="39"/>
      <c r="P1153" s="39"/>
      <c r="Q1153" s="43">
        <v>0.10299999999999999</v>
      </c>
      <c r="R1153" s="43"/>
      <c r="S1153" s="43"/>
      <c r="T1153" s="43"/>
      <c r="U1153" s="43"/>
      <c r="V1153" s="43"/>
      <c r="W1153" s="43"/>
      <c r="X1153" s="41">
        <v>28.37</v>
      </c>
      <c r="Y1153" s="41"/>
      <c r="Z1153" s="41"/>
      <c r="AA1153" s="41"/>
      <c r="AB1153" s="41"/>
      <c r="AC1153" s="41">
        <v>28.52</v>
      </c>
      <c r="AD1153" s="41"/>
      <c r="AE1153" s="41"/>
      <c r="AF1153" s="41"/>
      <c r="AG1153" s="41"/>
      <c r="AH1153" s="41">
        <v>-0.15</v>
      </c>
      <c r="AI1153" s="41"/>
      <c r="AJ1153" s="41"/>
      <c r="AK1153" s="41"/>
    </row>
    <row r="1154" spans="1:37" ht="11.25" hidden="1" customHeight="1" x14ac:dyDescent="0.2">
      <c r="A1154" s="21">
        <v>239</v>
      </c>
      <c r="B1154" s="39" t="s">
        <v>440</v>
      </c>
      <c r="C1154" s="39"/>
      <c r="D1154" s="39"/>
      <c r="E1154" s="39"/>
      <c r="F1154" s="39"/>
      <c r="G1154" s="39"/>
      <c r="H1154" s="39"/>
      <c r="I1154" s="39"/>
      <c r="J1154" s="39"/>
      <c r="K1154" s="39"/>
      <c r="L1154" s="39"/>
      <c r="M1154" s="39"/>
      <c r="N1154" s="39"/>
      <c r="O1154" s="39"/>
      <c r="P1154" s="39"/>
      <c r="Q1154" s="43">
        <v>0.10199999999999999</v>
      </c>
      <c r="R1154" s="43"/>
      <c r="S1154" s="43"/>
      <c r="T1154" s="43"/>
      <c r="U1154" s="43"/>
      <c r="V1154" s="43"/>
      <c r="W1154" s="43"/>
      <c r="X1154" s="41">
        <v>27.26</v>
      </c>
      <c r="Y1154" s="41"/>
      <c r="Z1154" s="41"/>
      <c r="AA1154" s="41"/>
      <c r="AB1154" s="41"/>
      <c r="AC1154" s="43">
        <v>27.707000000000001</v>
      </c>
      <c r="AD1154" s="43"/>
      <c r="AE1154" s="43"/>
      <c r="AF1154" s="43"/>
      <c r="AG1154" s="43"/>
      <c r="AH1154" s="43">
        <v>-0.44700000000000001</v>
      </c>
      <c r="AI1154" s="43"/>
      <c r="AJ1154" s="43"/>
      <c r="AK1154" s="43"/>
    </row>
    <row r="1155" spans="1:37" ht="11.25" hidden="1" customHeight="1" x14ac:dyDescent="0.2">
      <c r="A1155" s="21">
        <v>240</v>
      </c>
      <c r="B1155" s="39" t="s">
        <v>523</v>
      </c>
      <c r="C1155" s="39"/>
      <c r="D1155" s="39"/>
      <c r="E1155" s="39"/>
      <c r="F1155" s="39"/>
      <c r="G1155" s="39"/>
      <c r="H1155" s="39"/>
      <c r="I1155" s="39"/>
      <c r="J1155" s="39"/>
      <c r="K1155" s="39"/>
      <c r="L1155" s="39"/>
      <c r="M1155" s="39"/>
      <c r="N1155" s="39"/>
      <c r="O1155" s="39"/>
      <c r="P1155" s="39"/>
      <c r="Q1155" s="59">
        <v>0.1</v>
      </c>
      <c r="R1155" s="59"/>
      <c r="S1155" s="59"/>
      <c r="T1155" s="59"/>
      <c r="U1155" s="59"/>
      <c r="V1155" s="59"/>
      <c r="W1155" s="59"/>
      <c r="X1155" s="41">
        <v>0.49</v>
      </c>
      <c r="Y1155" s="41"/>
      <c r="Z1155" s="41"/>
      <c r="AA1155" s="41"/>
      <c r="AB1155" s="41"/>
      <c r="AC1155" s="41">
        <v>0.39</v>
      </c>
      <c r="AD1155" s="41"/>
      <c r="AE1155" s="41"/>
      <c r="AF1155" s="41"/>
      <c r="AG1155" s="41"/>
      <c r="AH1155" s="59">
        <v>0.1</v>
      </c>
      <c r="AI1155" s="59"/>
      <c r="AJ1155" s="59"/>
      <c r="AK1155" s="59"/>
    </row>
    <row r="1156" spans="1:37" ht="21.75" hidden="1" customHeight="1" x14ac:dyDescent="0.2">
      <c r="A1156" s="21">
        <v>241</v>
      </c>
      <c r="B1156" s="39" t="s">
        <v>588</v>
      </c>
      <c r="C1156" s="39"/>
      <c r="D1156" s="39"/>
      <c r="E1156" s="39"/>
      <c r="F1156" s="39"/>
      <c r="G1156" s="39"/>
      <c r="H1156" s="39"/>
      <c r="I1156" s="39"/>
      <c r="J1156" s="39"/>
      <c r="K1156" s="39"/>
      <c r="L1156" s="39"/>
      <c r="M1156" s="39"/>
      <c r="N1156" s="39"/>
      <c r="O1156" s="39"/>
      <c r="P1156" s="39"/>
      <c r="Q1156" s="43">
        <v>9.8000000000000004E-2</v>
      </c>
      <c r="R1156" s="43"/>
      <c r="S1156" s="43"/>
      <c r="T1156" s="43"/>
      <c r="U1156" s="43"/>
      <c r="V1156" s="43"/>
      <c r="W1156" s="43"/>
      <c r="X1156" s="59">
        <v>12.7</v>
      </c>
      <c r="Y1156" s="59"/>
      <c r="Z1156" s="59"/>
      <c r="AA1156" s="59"/>
      <c r="AB1156" s="59"/>
      <c r="AC1156" s="43">
        <v>12.965</v>
      </c>
      <c r="AD1156" s="43"/>
      <c r="AE1156" s="43"/>
      <c r="AF1156" s="43"/>
      <c r="AG1156" s="43"/>
      <c r="AH1156" s="43">
        <v>-0.26500000000000001</v>
      </c>
      <c r="AI1156" s="43"/>
      <c r="AJ1156" s="43"/>
      <c r="AK1156" s="43"/>
    </row>
    <row r="1157" spans="1:37" ht="11.25" hidden="1" customHeight="1" x14ac:dyDescent="0.2">
      <c r="A1157" s="21">
        <v>242</v>
      </c>
      <c r="B1157" s="39" t="s">
        <v>798</v>
      </c>
      <c r="C1157" s="39"/>
      <c r="D1157" s="39"/>
      <c r="E1157" s="39"/>
      <c r="F1157" s="39"/>
      <c r="G1157" s="39"/>
      <c r="H1157" s="39"/>
      <c r="I1157" s="39"/>
      <c r="J1157" s="39"/>
      <c r="K1157" s="39"/>
      <c r="L1157" s="39"/>
      <c r="M1157" s="39"/>
      <c r="N1157" s="39"/>
      <c r="O1157" s="39"/>
      <c r="P1157" s="39"/>
      <c r="Q1157" s="43">
        <v>9.1999999999999998E-2</v>
      </c>
      <c r="R1157" s="43"/>
      <c r="S1157" s="43"/>
      <c r="T1157" s="43"/>
      <c r="U1157" s="43"/>
      <c r="V1157" s="43"/>
      <c r="W1157" s="43"/>
      <c r="X1157" s="41">
        <v>11.32</v>
      </c>
      <c r="Y1157" s="41"/>
      <c r="Z1157" s="41"/>
      <c r="AA1157" s="41"/>
      <c r="AB1157" s="41"/>
      <c r="AC1157" s="59">
        <v>11.4</v>
      </c>
      <c r="AD1157" s="59"/>
      <c r="AE1157" s="59"/>
      <c r="AF1157" s="59"/>
      <c r="AG1157" s="59"/>
      <c r="AH1157" s="41">
        <v>-0.08</v>
      </c>
      <c r="AI1157" s="41"/>
      <c r="AJ1157" s="41"/>
      <c r="AK1157" s="41"/>
    </row>
    <row r="1158" spans="1:37" ht="11.25" hidden="1" customHeight="1" x14ac:dyDescent="0.2">
      <c r="A1158" s="21">
        <v>243</v>
      </c>
      <c r="B1158" s="39" t="s">
        <v>686</v>
      </c>
      <c r="C1158" s="39"/>
      <c r="D1158" s="39"/>
      <c r="E1158" s="39"/>
      <c r="F1158" s="39"/>
      <c r="G1158" s="39"/>
      <c r="H1158" s="39"/>
      <c r="I1158" s="39"/>
      <c r="J1158" s="39"/>
      <c r="K1158" s="39"/>
      <c r="L1158" s="39"/>
      <c r="M1158" s="39"/>
      <c r="N1158" s="39"/>
      <c r="O1158" s="39"/>
      <c r="P1158" s="39"/>
      <c r="Q1158" s="43">
        <v>9.0999999999999998E-2</v>
      </c>
      <c r="R1158" s="43"/>
      <c r="S1158" s="43"/>
      <c r="T1158" s="43"/>
      <c r="U1158" s="43"/>
      <c r="V1158" s="43"/>
      <c r="W1158" s="43"/>
      <c r="X1158" s="59">
        <v>25.2</v>
      </c>
      <c r="Y1158" s="59"/>
      <c r="Z1158" s="59"/>
      <c r="AA1158" s="59"/>
      <c r="AB1158" s="59"/>
      <c r="AC1158" s="43">
        <v>25.829000000000001</v>
      </c>
      <c r="AD1158" s="43"/>
      <c r="AE1158" s="43"/>
      <c r="AF1158" s="43"/>
      <c r="AG1158" s="43"/>
      <c r="AH1158" s="43">
        <v>-0.629</v>
      </c>
      <c r="AI1158" s="43"/>
      <c r="AJ1158" s="43"/>
      <c r="AK1158" s="43"/>
    </row>
    <row r="1159" spans="1:37" ht="11.25" hidden="1" customHeight="1" x14ac:dyDescent="0.2">
      <c r="A1159" s="21">
        <v>244</v>
      </c>
      <c r="B1159" s="39" t="s">
        <v>441</v>
      </c>
      <c r="C1159" s="39"/>
      <c r="D1159" s="39"/>
      <c r="E1159" s="39"/>
      <c r="F1159" s="39"/>
      <c r="G1159" s="39"/>
      <c r="H1159" s="39"/>
      <c r="I1159" s="39"/>
      <c r="J1159" s="39"/>
      <c r="K1159" s="39"/>
      <c r="L1159" s="39"/>
      <c r="M1159" s="39"/>
      <c r="N1159" s="39"/>
      <c r="O1159" s="39"/>
      <c r="P1159" s="39"/>
      <c r="Q1159" s="43">
        <v>9.0999999999999998E-2</v>
      </c>
      <c r="R1159" s="43"/>
      <c r="S1159" s="43"/>
      <c r="T1159" s="43"/>
      <c r="U1159" s="43"/>
      <c r="V1159" s="43"/>
      <c r="W1159" s="43"/>
      <c r="X1159" s="41">
        <v>102.56</v>
      </c>
      <c r="Y1159" s="41"/>
      <c r="Z1159" s="41"/>
      <c r="AA1159" s="41"/>
      <c r="AB1159" s="41"/>
      <c r="AC1159" s="43">
        <v>109.995</v>
      </c>
      <c r="AD1159" s="43"/>
      <c r="AE1159" s="43"/>
      <c r="AF1159" s="43"/>
      <c r="AG1159" s="43"/>
      <c r="AH1159" s="43">
        <v>-7.4349999999999996</v>
      </c>
      <c r="AI1159" s="43"/>
      <c r="AJ1159" s="43"/>
      <c r="AK1159" s="43"/>
    </row>
    <row r="1160" spans="1:37" ht="11.25" hidden="1" customHeight="1" x14ac:dyDescent="0.2">
      <c r="A1160" s="21">
        <v>245</v>
      </c>
      <c r="B1160" s="39" t="s">
        <v>852</v>
      </c>
      <c r="C1160" s="39"/>
      <c r="D1160" s="39"/>
      <c r="E1160" s="39"/>
      <c r="F1160" s="39"/>
      <c r="G1160" s="39"/>
      <c r="H1160" s="39"/>
      <c r="I1160" s="39"/>
      <c r="J1160" s="39"/>
      <c r="K1160" s="39"/>
      <c r="L1160" s="39"/>
      <c r="M1160" s="39"/>
      <c r="N1160" s="39"/>
      <c r="O1160" s="39"/>
      <c r="P1160" s="39"/>
      <c r="Q1160" s="41">
        <v>0.09</v>
      </c>
      <c r="R1160" s="41"/>
      <c r="S1160" s="41"/>
      <c r="T1160" s="41"/>
      <c r="U1160" s="41"/>
      <c r="V1160" s="41"/>
      <c r="W1160" s="41"/>
      <c r="X1160" s="41">
        <v>25.44</v>
      </c>
      <c r="Y1160" s="41"/>
      <c r="Z1160" s="41"/>
      <c r="AA1160" s="41"/>
      <c r="AB1160" s="41"/>
      <c r="AC1160" s="43">
        <v>26.673999999999999</v>
      </c>
      <c r="AD1160" s="43"/>
      <c r="AE1160" s="43"/>
      <c r="AF1160" s="43"/>
      <c r="AG1160" s="43"/>
      <c r="AH1160" s="43">
        <v>-1.234</v>
      </c>
      <c r="AI1160" s="43"/>
      <c r="AJ1160" s="43"/>
      <c r="AK1160" s="43"/>
    </row>
    <row r="1161" spans="1:37" ht="11.25" hidden="1" customHeight="1" x14ac:dyDescent="0.2">
      <c r="A1161" s="21">
        <v>246</v>
      </c>
      <c r="B1161" s="39" t="s">
        <v>442</v>
      </c>
      <c r="C1161" s="39"/>
      <c r="D1161" s="39"/>
      <c r="E1161" s="39"/>
      <c r="F1161" s="39"/>
      <c r="G1161" s="39"/>
      <c r="H1161" s="39"/>
      <c r="I1161" s="39"/>
      <c r="J1161" s="39"/>
      <c r="K1161" s="39"/>
      <c r="L1161" s="39"/>
      <c r="M1161" s="39"/>
      <c r="N1161" s="39"/>
      <c r="O1161" s="39"/>
      <c r="P1161" s="39"/>
      <c r="Q1161" s="43">
        <v>8.8999999999999996E-2</v>
      </c>
      <c r="R1161" s="43"/>
      <c r="S1161" s="43"/>
      <c r="T1161" s="43"/>
      <c r="U1161" s="43"/>
      <c r="V1161" s="43"/>
      <c r="W1161" s="43"/>
      <c r="X1161" s="41">
        <v>39.54</v>
      </c>
      <c r="Y1161" s="41"/>
      <c r="Z1161" s="41"/>
      <c r="AA1161" s="41"/>
      <c r="AB1161" s="41"/>
      <c r="AC1161" s="43">
        <v>39.500999999999998</v>
      </c>
      <c r="AD1161" s="43"/>
      <c r="AE1161" s="43"/>
      <c r="AF1161" s="43"/>
      <c r="AG1161" s="43"/>
      <c r="AH1161" s="43">
        <v>3.9E-2</v>
      </c>
      <c r="AI1161" s="43"/>
      <c r="AJ1161" s="43"/>
      <c r="AK1161" s="43"/>
    </row>
    <row r="1162" spans="1:37" ht="11.25" hidden="1" customHeight="1" x14ac:dyDescent="0.2">
      <c r="A1162" s="21">
        <v>247</v>
      </c>
      <c r="B1162" s="39" t="s">
        <v>687</v>
      </c>
      <c r="C1162" s="39"/>
      <c r="D1162" s="39"/>
      <c r="E1162" s="39"/>
      <c r="F1162" s="39"/>
      <c r="G1162" s="39"/>
      <c r="H1162" s="39"/>
      <c r="I1162" s="39"/>
      <c r="J1162" s="39"/>
      <c r="K1162" s="39"/>
      <c r="L1162" s="39"/>
      <c r="M1162" s="39"/>
      <c r="N1162" s="39"/>
      <c r="O1162" s="39"/>
      <c r="P1162" s="39"/>
      <c r="Q1162" s="43">
        <v>8.7999999999999995E-2</v>
      </c>
      <c r="R1162" s="43"/>
      <c r="S1162" s="43"/>
      <c r="T1162" s="43"/>
      <c r="U1162" s="43"/>
      <c r="V1162" s="43"/>
      <c r="W1162" s="43"/>
      <c r="X1162" s="41">
        <v>51.08</v>
      </c>
      <c r="Y1162" s="41"/>
      <c r="Z1162" s="41"/>
      <c r="AA1162" s="41"/>
      <c r="AB1162" s="41"/>
      <c r="AC1162" s="43">
        <v>52.509</v>
      </c>
      <c r="AD1162" s="43"/>
      <c r="AE1162" s="43"/>
      <c r="AF1162" s="43"/>
      <c r="AG1162" s="43"/>
      <c r="AH1162" s="43">
        <v>-1.429</v>
      </c>
      <c r="AI1162" s="43"/>
      <c r="AJ1162" s="43"/>
      <c r="AK1162" s="43"/>
    </row>
    <row r="1163" spans="1:37" ht="11.25" hidden="1" customHeight="1" x14ac:dyDescent="0.2">
      <c r="A1163" s="21">
        <v>248</v>
      </c>
      <c r="B1163" s="39" t="s">
        <v>718</v>
      </c>
      <c r="C1163" s="39"/>
      <c r="D1163" s="39"/>
      <c r="E1163" s="39"/>
      <c r="F1163" s="39"/>
      <c r="G1163" s="39"/>
      <c r="H1163" s="39"/>
      <c r="I1163" s="39"/>
      <c r="J1163" s="39"/>
      <c r="K1163" s="39"/>
      <c r="L1163" s="39"/>
      <c r="M1163" s="39"/>
      <c r="N1163" s="39"/>
      <c r="O1163" s="39"/>
      <c r="P1163" s="39"/>
      <c r="Q1163" s="43">
        <v>8.5000000000000006E-2</v>
      </c>
      <c r="R1163" s="43"/>
      <c r="S1163" s="43"/>
      <c r="T1163" s="43"/>
      <c r="U1163" s="43"/>
      <c r="V1163" s="43"/>
      <c r="W1163" s="43"/>
      <c r="X1163" s="41">
        <v>2.36</v>
      </c>
      <c r="Y1163" s="41"/>
      <c r="Z1163" s="41"/>
      <c r="AA1163" s="41"/>
      <c r="AB1163" s="41"/>
      <c r="AC1163" s="43">
        <v>2.335</v>
      </c>
      <c r="AD1163" s="43"/>
      <c r="AE1163" s="43"/>
      <c r="AF1163" s="43"/>
      <c r="AG1163" s="43"/>
      <c r="AH1163" s="43">
        <v>2.5000000000000001E-2</v>
      </c>
      <c r="AI1163" s="43"/>
      <c r="AJ1163" s="43"/>
      <c r="AK1163" s="43"/>
    </row>
    <row r="1164" spans="1:37" ht="11.25" hidden="1" customHeight="1" x14ac:dyDescent="0.2">
      <c r="A1164" s="21">
        <v>249</v>
      </c>
      <c r="B1164" s="39" t="s">
        <v>589</v>
      </c>
      <c r="C1164" s="39"/>
      <c r="D1164" s="39"/>
      <c r="E1164" s="39"/>
      <c r="F1164" s="39"/>
      <c r="G1164" s="39"/>
      <c r="H1164" s="39"/>
      <c r="I1164" s="39"/>
      <c r="J1164" s="39"/>
      <c r="K1164" s="39"/>
      <c r="L1164" s="39"/>
      <c r="M1164" s="39"/>
      <c r="N1164" s="39"/>
      <c r="O1164" s="39"/>
      <c r="P1164" s="39"/>
      <c r="Q1164" s="43">
        <v>8.5000000000000006E-2</v>
      </c>
      <c r="R1164" s="43"/>
      <c r="S1164" s="43"/>
      <c r="T1164" s="43"/>
      <c r="U1164" s="43"/>
      <c r="V1164" s="43"/>
      <c r="W1164" s="43"/>
      <c r="X1164" s="58">
        <v>10</v>
      </c>
      <c r="Y1164" s="58"/>
      <c r="Z1164" s="58"/>
      <c r="AA1164" s="58"/>
      <c r="AB1164" s="58"/>
      <c r="AC1164" s="43">
        <v>10.093</v>
      </c>
      <c r="AD1164" s="43"/>
      <c r="AE1164" s="43"/>
      <c r="AF1164" s="43"/>
      <c r="AG1164" s="43"/>
      <c r="AH1164" s="43">
        <v>-9.2999999999999999E-2</v>
      </c>
      <c r="AI1164" s="43"/>
      <c r="AJ1164" s="43"/>
      <c r="AK1164" s="43"/>
    </row>
    <row r="1165" spans="1:37" ht="11.25" hidden="1" customHeight="1" x14ac:dyDescent="0.2">
      <c r="A1165" s="21">
        <v>250</v>
      </c>
      <c r="B1165" s="39" t="s">
        <v>799</v>
      </c>
      <c r="C1165" s="39"/>
      <c r="D1165" s="39"/>
      <c r="E1165" s="39"/>
      <c r="F1165" s="39"/>
      <c r="G1165" s="39"/>
      <c r="H1165" s="39"/>
      <c r="I1165" s="39"/>
      <c r="J1165" s="39"/>
      <c r="K1165" s="39"/>
      <c r="L1165" s="39"/>
      <c r="M1165" s="39"/>
      <c r="N1165" s="39"/>
      <c r="O1165" s="39"/>
      <c r="P1165" s="39"/>
      <c r="Q1165" s="43">
        <v>8.3000000000000004E-2</v>
      </c>
      <c r="R1165" s="43"/>
      <c r="S1165" s="43"/>
      <c r="T1165" s="43"/>
      <c r="U1165" s="43"/>
      <c r="V1165" s="43"/>
      <c r="W1165" s="43"/>
      <c r="X1165" s="41">
        <v>16.75</v>
      </c>
      <c r="Y1165" s="41"/>
      <c r="Z1165" s="41"/>
      <c r="AA1165" s="41"/>
      <c r="AB1165" s="41"/>
      <c r="AC1165" s="43">
        <v>16.942</v>
      </c>
      <c r="AD1165" s="43"/>
      <c r="AE1165" s="43"/>
      <c r="AF1165" s="43"/>
      <c r="AG1165" s="43"/>
      <c r="AH1165" s="43">
        <v>-0.192</v>
      </c>
      <c r="AI1165" s="43"/>
      <c r="AJ1165" s="43"/>
      <c r="AK1165" s="43"/>
    </row>
    <row r="1166" spans="1:37" ht="11.25" hidden="1" customHeight="1" x14ac:dyDescent="0.2">
      <c r="A1166" s="21">
        <v>251</v>
      </c>
      <c r="B1166" s="39" t="s">
        <v>688</v>
      </c>
      <c r="C1166" s="39"/>
      <c r="D1166" s="39"/>
      <c r="E1166" s="39"/>
      <c r="F1166" s="39"/>
      <c r="G1166" s="39"/>
      <c r="H1166" s="39"/>
      <c r="I1166" s="39"/>
      <c r="J1166" s="39"/>
      <c r="K1166" s="39"/>
      <c r="L1166" s="39"/>
      <c r="M1166" s="39"/>
      <c r="N1166" s="39"/>
      <c r="O1166" s="39"/>
      <c r="P1166" s="39"/>
      <c r="Q1166" s="43">
        <v>8.2000000000000003E-2</v>
      </c>
      <c r="R1166" s="43"/>
      <c r="S1166" s="43"/>
      <c r="T1166" s="43"/>
      <c r="U1166" s="43"/>
      <c r="V1166" s="43"/>
      <c r="W1166" s="43"/>
      <c r="X1166" s="41">
        <v>405.82</v>
      </c>
      <c r="Y1166" s="41"/>
      <c r="Z1166" s="41"/>
      <c r="AA1166" s="41"/>
      <c r="AB1166" s="41"/>
      <c r="AC1166" s="43">
        <v>426.15899999999999</v>
      </c>
      <c r="AD1166" s="43"/>
      <c r="AE1166" s="43"/>
      <c r="AF1166" s="43"/>
      <c r="AG1166" s="43"/>
      <c r="AH1166" s="43">
        <v>-20.338999999999999</v>
      </c>
      <c r="AI1166" s="43"/>
      <c r="AJ1166" s="43"/>
      <c r="AK1166" s="43"/>
    </row>
    <row r="1167" spans="1:37" ht="11.25" hidden="1" customHeight="1" x14ac:dyDescent="0.2">
      <c r="A1167" s="21">
        <v>252</v>
      </c>
      <c r="B1167" s="39" t="s">
        <v>546</v>
      </c>
      <c r="C1167" s="39"/>
      <c r="D1167" s="39"/>
      <c r="E1167" s="39"/>
      <c r="F1167" s="39"/>
      <c r="G1167" s="39"/>
      <c r="H1167" s="39"/>
      <c r="I1167" s="39"/>
      <c r="J1167" s="39"/>
      <c r="K1167" s="39"/>
      <c r="L1167" s="39"/>
      <c r="M1167" s="39"/>
      <c r="N1167" s="39"/>
      <c r="O1167" s="39"/>
      <c r="P1167" s="39"/>
      <c r="Q1167" s="43">
        <v>7.5999999999999998E-2</v>
      </c>
      <c r="R1167" s="43"/>
      <c r="S1167" s="43"/>
      <c r="T1167" s="43"/>
      <c r="U1167" s="43"/>
      <c r="V1167" s="43"/>
      <c r="W1167" s="43"/>
      <c r="X1167" s="41">
        <v>11.66</v>
      </c>
      <c r="Y1167" s="41"/>
      <c r="Z1167" s="41"/>
      <c r="AA1167" s="41"/>
      <c r="AB1167" s="41"/>
      <c r="AC1167" s="43">
        <v>11.782</v>
      </c>
      <c r="AD1167" s="43"/>
      <c r="AE1167" s="43"/>
      <c r="AF1167" s="43"/>
      <c r="AG1167" s="43"/>
      <c r="AH1167" s="43">
        <v>-0.122</v>
      </c>
      <c r="AI1167" s="43"/>
      <c r="AJ1167" s="43"/>
      <c r="AK1167" s="43"/>
    </row>
    <row r="1168" spans="1:37" ht="21.75" hidden="1" customHeight="1" x14ac:dyDescent="0.2">
      <c r="A1168" s="21">
        <v>253</v>
      </c>
      <c r="B1168" s="39" t="s">
        <v>379</v>
      </c>
      <c r="C1168" s="39"/>
      <c r="D1168" s="39"/>
      <c r="E1168" s="39"/>
      <c r="F1168" s="39"/>
      <c r="G1168" s="39"/>
      <c r="H1168" s="39"/>
      <c r="I1168" s="39"/>
      <c r="J1168" s="39"/>
      <c r="K1168" s="39"/>
      <c r="L1168" s="39"/>
      <c r="M1168" s="39"/>
      <c r="N1168" s="39"/>
      <c r="O1168" s="39"/>
      <c r="P1168" s="39"/>
      <c r="Q1168" s="43">
        <v>7.1999999999999995E-2</v>
      </c>
      <c r="R1168" s="43"/>
      <c r="S1168" s="43"/>
      <c r="T1168" s="43"/>
      <c r="U1168" s="43"/>
      <c r="V1168" s="43"/>
      <c r="W1168" s="43"/>
      <c r="X1168" s="59">
        <v>12.4</v>
      </c>
      <c r="Y1168" s="59"/>
      <c r="Z1168" s="59"/>
      <c r="AA1168" s="59"/>
      <c r="AB1168" s="59"/>
      <c r="AC1168" s="43">
        <v>12.510999999999999</v>
      </c>
      <c r="AD1168" s="43"/>
      <c r="AE1168" s="43"/>
      <c r="AF1168" s="43"/>
      <c r="AG1168" s="43"/>
      <c r="AH1168" s="43">
        <v>-0.111</v>
      </c>
      <c r="AI1168" s="43"/>
      <c r="AJ1168" s="43"/>
      <c r="AK1168" s="43"/>
    </row>
    <row r="1169" spans="1:37" ht="11.25" hidden="1" customHeight="1" x14ac:dyDescent="0.2">
      <c r="A1169" s="21">
        <v>254</v>
      </c>
      <c r="B1169" s="39" t="s">
        <v>719</v>
      </c>
      <c r="C1169" s="39"/>
      <c r="D1169" s="39"/>
      <c r="E1169" s="39"/>
      <c r="F1169" s="39"/>
      <c r="G1169" s="39"/>
      <c r="H1169" s="39"/>
      <c r="I1169" s="39"/>
      <c r="J1169" s="39"/>
      <c r="K1169" s="39"/>
      <c r="L1169" s="39"/>
      <c r="M1169" s="39"/>
      <c r="N1169" s="39"/>
      <c r="O1169" s="39"/>
      <c r="P1169" s="39"/>
      <c r="Q1169" s="43">
        <v>7.1999999999999995E-2</v>
      </c>
      <c r="R1169" s="43"/>
      <c r="S1169" s="43"/>
      <c r="T1169" s="43"/>
      <c r="U1169" s="43"/>
      <c r="V1169" s="43"/>
      <c r="W1169" s="43"/>
      <c r="X1169" s="59">
        <v>71.099999999999994</v>
      </c>
      <c r="Y1169" s="59"/>
      <c r="Z1169" s="59"/>
      <c r="AA1169" s="59"/>
      <c r="AB1169" s="59"/>
      <c r="AC1169" s="43">
        <v>71.686999999999998</v>
      </c>
      <c r="AD1169" s="43"/>
      <c r="AE1169" s="43"/>
      <c r="AF1169" s="43"/>
      <c r="AG1169" s="43"/>
      <c r="AH1169" s="43">
        <v>-0.58699999999999997</v>
      </c>
      <c r="AI1169" s="43"/>
      <c r="AJ1169" s="43"/>
      <c r="AK1169" s="43"/>
    </row>
    <row r="1170" spans="1:37" ht="21.75" hidden="1" customHeight="1" x14ac:dyDescent="0.2">
      <c r="A1170" s="21">
        <v>255</v>
      </c>
      <c r="B1170" s="39" t="s">
        <v>662</v>
      </c>
      <c r="C1170" s="39"/>
      <c r="D1170" s="39"/>
      <c r="E1170" s="39"/>
      <c r="F1170" s="39"/>
      <c r="G1170" s="39"/>
      <c r="H1170" s="39"/>
      <c r="I1170" s="39"/>
      <c r="J1170" s="39"/>
      <c r="K1170" s="39"/>
      <c r="L1170" s="39"/>
      <c r="M1170" s="39"/>
      <c r="N1170" s="39"/>
      <c r="O1170" s="39"/>
      <c r="P1170" s="39"/>
      <c r="Q1170" s="43">
        <v>7.0999999999999994E-2</v>
      </c>
      <c r="R1170" s="43"/>
      <c r="S1170" s="43"/>
      <c r="T1170" s="43"/>
      <c r="U1170" s="43"/>
      <c r="V1170" s="43"/>
      <c r="W1170" s="43"/>
      <c r="X1170" s="59">
        <v>7.6</v>
      </c>
      <c r="Y1170" s="59"/>
      <c r="Z1170" s="59"/>
      <c r="AA1170" s="59"/>
      <c r="AB1170" s="59"/>
      <c r="AC1170" s="43">
        <v>7.6790000000000003</v>
      </c>
      <c r="AD1170" s="43"/>
      <c r="AE1170" s="43"/>
      <c r="AF1170" s="43"/>
      <c r="AG1170" s="43"/>
      <c r="AH1170" s="43">
        <v>-7.9000000000000001E-2</v>
      </c>
      <c r="AI1170" s="43"/>
      <c r="AJ1170" s="43"/>
      <c r="AK1170" s="43"/>
    </row>
    <row r="1171" spans="1:37" ht="11.25" hidden="1" customHeight="1" x14ac:dyDescent="0.2">
      <c r="A1171" s="21">
        <v>256</v>
      </c>
      <c r="B1171" s="39" t="s">
        <v>443</v>
      </c>
      <c r="C1171" s="39"/>
      <c r="D1171" s="39"/>
      <c r="E1171" s="39"/>
      <c r="F1171" s="39"/>
      <c r="G1171" s="39"/>
      <c r="H1171" s="39"/>
      <c r="I1171" s="39"/>
      <c r="J1171" s="39"/>
      <c r="K1171" s="39"/>
      <c r="L1171" s="39"/>
      <c r="M1171" s="39"/>
      <c r="N1171" s="39"/>
      <c r="O1171" s="39"/>
      <c r="P1171" s="39"/>
      <c r="Q1171" s="41">
        <v>7.0000000000000007E-2</v>
      </c>
      <c r="R1171" s="41"/>
      <c r="S1171" s="41"/>
      <c r="T1171" s="41"/>
      <c r="U1171" s="41"/>
      <c r="V1171" s="41"/>
      <c r="W1171" s="41"/>
      <c r="X1171" s="41">
        <v>42.72</v>
      </c>
      <c r="Y1171" s="41"/>
      <c r="Z1171" s="41"/>
      <c r="AA1171" s="41"/>
      <c r="AB1171" s="41"/>
      <c r="AC1171" s="43">
        <v>44.119</v>
      </c>
      <c r="AD1171" s="43"/>
      <c r="AE1171" s="43"/>
      <c r="AF1171" s="43"/>
      <c r="AG1171" s="43"/>
      <c r="AH1171" s="43">
        <v>-1.399</v>
      </c>
      <c r="AI1171" s="43"/>
      <c r="AJ1171" s="43"/>
      <c r="AK1171" s="43"/>
    </row>
    <row r="1172" spans="1:37" ht="11.25" hidden="1" customHeight="1" x14ac:dyDescent="0.2">
      <c r="A1172" s="21">
        <v>257</v>
      </c>
      <c r="B1172" s="39" t="s">
        <v>409</v>
      </c>
      <c r="C1172" s="39"/>
      <c r="D1172" s="39"/>
      <c r="E1172" s="39"/>
      <c r="F1172" s="39"/>
      <c r="G1172" s="39"/>
      <c r="H1172" s="39"/>
      <c r="I1172" s="39"/>
      <c r="J1172" s="39"/>
      <c r="K1172" s="39"/>
      <c r="L1172" s="39"/>
      <c r="M1172" s="39"/>
      <c r="N1172" s="39"/>
      <c r="O1172" s="39"/>
      <c r="P1172" s="39"/>
      <c r="Q1172" s="41">
        <v>7.0000000000000007E-2</v>
      </c>
      <c r="R1172" s="41"/>
      <c r="S1172" s="41"/>
      <c r="T1172" s="41"/>
      <c r="U1172" s="41"/>
      <c r="V1172" s="41"/>
      <c r="W1172" s="41"/>
      <c r="X1172" s="41">
        <v>23.59</v>
      </c>
      <c r="Y1172" s="41"/>
      <c r="Z1172" s="41"/>
      <c r="AA1172" s="41"/>
      <c r="AB1172" s="41"/>
      <c r="AC1172" s="43">
        <v>23.638000000000002</v>
      </c>
      <c r="AD1172" s="43"/>
      <c r="AE1172" s="43"/>
      <c r="AF1172" s="43"/>
      <c r="AG1172" s="43"/>
      <c r="AH1172" s="43">
        <v>-4.8000000000000001E-2</v>
      </c>
      <c r="AI1172" s="43"/>
      <c r="AJ1172" s="43"/>
      <c r="AK1172" s="43"/>
    </row>
    <row r="1173" spans="1:37" ht="11.25" hidden="1" customHeight="1" x14ac:dyDescent="0.2">
      <c r="A1173" s="21">
        <v>258</v>
      </c>
      <c r="B1173" s="39" t="s">
        <v>689</v>
      </c>
      <c r="C1173" s="39"/>
      <c r="D1173" s="39"/>
      <c r="E1173" s="39"/>
      <c r="F1173" s="39"/>
      <c r="G1173" s="39"/>
      <c r="H1173" s="39"/>
      <c r="I1173" s="39"/>
      <c r="J1173" s="39"/>
      <c r="K1173" s="39"/>
      <c r="L1173" s="39"/>
      <c r="M1173" s="39"/>
      <c r="N1173" s="39"/>
      <c r="O1173" s="39"/>
      <c r="P1173" s="39"/>
      <c r="Q1173" s="43">
        <v>6.9000000000000006E-2</v>
      </c>
      <c r="R1173" s="43"/>
      <c r="S1173" s="43"/>
      <c r="T1173" s="43"/>
      <c r="U1173" s="43"/>
      <c r="V1173" s="43"/>
      <c r="W1173" s="43"/>
      <c r="X1173" s="41">
        <v>160.91999999999999</v>
      </c>
      <c r="Y1173" s="41"/>
      <c r="Z1173" s="41"/>
      <c r="AA1173" s="41"/>
      <c r="AB1173" s="41"/>
      <c r="AC1173" s="43">
        <v>162.63399999999999</v>
      </c>
      <c r="AD1173" s="43"/>
      <c r="AE1173" s="43"/>
      <c r="AF1173" s="43"/>
      <c r="AG1173" s="43"/>
      <c r="AH1173" s="43">
        <v>-1.714</v>
      </c>
      <c r="AI1173" s="43"/>
      <c r="AJ1173" s="43"/>
      <c r="AK1173" s="43"/>
    </row>
    <row r="1174" spans="1:37" ht="11.25" hidden="1" customHeight="1" x14ac:dyDescent="0.2">
      <c r="A1174" s="21">
        <v>259</v>
      </c>
      <c r="B1174" s="39" t="s">
        <v>410</v>
      </c>
      <c r="C1174" s="39"/>
      <c r="D1174" s="39"/>
      <c r="E1174" s="39"/>
      <c r="F1174" s="39"/>
      <c r="G1174" s="39"/>
      <c r="H1174" s="39"/>
      <c r="I1174" s="39"/>
      <c r="J1174" s="39"/>
      <c r="K1174" s="39"/>
      <c r="L1174" s="39"/>
      <c r="M1174" s="39"/>
      <c r="N1174" s="39"/>
      <c r="O1174" s="39"/>
      <c r="P1174" s="39"/>
      <c r="Q1174" s="43">
        <v>6.8000000000000005E-2</v>
      </c>
      <c r="R1174" s="43"/>
      <c r="S1174" s="43"/>
      <c r="T1174" s="43"/>
      <c r="U1174" s="43"/>
      <c r="V1174" s="43"/>
      <c r="W1174" s="43"/>
      <c r="X1174" s="59">
        <v>48.7</v>
      </c>
      <c r="Y1174" s="59"/>
      <c r="Z1174" s="59"/>
      <c r="AA1174" s="59"/>
      <c r="AB1174" s="59"/>
      <c r="AC1174" s="43">
        <v>49.122999999999998</v>
      </c>
      <c r="AD1174" s="43"/>
      <c r="AE1174" s="43"/>
      <c r="AF1174" s="43"/>
      <c r="AG1174" s="43"/>
      <c r="AH1174" s="43">
        <v>-0.42299999999999999</v>
      </c>
      <c r="AI1174" s="43"/>
      <c r="AJ1174" s="43"/>
      <c r="AK1174" s="43"/>
    </row>
    <row r="1175" spans="1:37" ht="11.25" hidden="1" customHeight="1" x14ac:dyDescent="0.2">
      <c r="A1175" s="21">
        <v>260</v>
      </c>
      <c r="B1175" s="39" t="s">
        <v>690</v>
      </c>
      <c r="C1175" s="39"/>
      <c r="D1175" s="39"/>
      <c r="E1175" s="39"/>
      <c r="F1175" s="39"/>
      <c r="G1175" s="39"/>
      <c r="H1175" s="39"/>
      <c r="I1175" s="39"/>
      <c r="J1175" s="39"/>
      <c r="K1175" s="39"/>
      <c r="L1175" s="39"/>
      <c r="M1175" s="39"/>
      <c r="N1175" s="39"/>
      <c r="O1175" s="39"/>
      <c r="P1175" s="39"/>
      <c r="Q1175" s="43">
        <v>6.8000000000000005E-2</v>
      </c>
      <c r="R1175" s="43"/>
      <c r="S1175" s="43"/>
      <c r="T1175" s="43"/>
      <c r="U1175" s="43"/>
      <c r="V1175" s="43"/>
      <c r="W1175" s="43"/>
      <c r="X1175" s="41">
        <v>26.48</v>
      </c>
      <c r="Y1175" s="41"/>
      <c r="Z1175" s="41"/>
      <c r="AA1175" s="41"/>
      <c r="AB1175" s="41"/>
      <c r="AC1175" s="43">
        <v>26.606000000000002</v>
      </c>
      <c r="AD1175" s="43"/>
      <c r="AE1175" s="43"/>
      <c r="AF1175" s="43"/>
      <c r="AG1175" s="43"/>
      <c r="AH1175" s="43">
        <v>-0.126</v>
      </c>
      <c r="AI1175" s="43"/>
      <c r="AJ1175" s="43"/>
      <c r="AK1175" s="43"/>
    </row>
    <row r="1176" spans="1:37" ht="11.25" hidden="1" customHeight="1" x14ac:dyDescent="0.2">
      <c r="A1176" s="21">
        <v>261</v>
      </c>
      <c r="B1176" s="39" t="s">
        <v>411</v>
      </c>
      <c r="C1176" s="39"/>
      <c r="D1176" s="39"/>
      <c r="E1176" s="39"/>
      <c r="F1176" s="39"/>
      <c r="G1176" s="39"/>
      <c r="H1176" s="39"/>
      <c r="I1176" s="39"/>
      <c r="J1176" s="39"/>
      <c r="K1176" s="39"/>
      <c r="L1176" s="39"/>
      <c r="M1176" s="39"/>
      <c r="N1176" s="39"/>
      <c r="O1176" s="39"/>
      <c r="P1176" s="39"/>
      <c r="Q1176" s="43">
        <v>6.5000000000000002E-2</v>
      </c>
      <c r="R1176" s="43"/>
      <c r="S1176" s="43"/>
      <c r="T1176" s="43"/>
      <c r="U1176" s="43"/>
      <c r="V1176" s="43"/>
      <c r="W1176" s="43"/>
      <c r="X1176" s="59">
        <v>38.4</v>
      </c>
      <c r="Y1176" s="59"/>
      <c r="Z1176" s="59"/>
      <c r="AA1176" s="59"/>
      <c r="AB1176" s="59"/>
      <c r="AC1176" s="43">
        <v>39.401000000000003</v>
      </c>
      <c r="AD1176" s="43"/>
      <c r="AE1176" s="43"/>
      <c r="AF1176" s="43"/>
      <c r="AG1176" s="43"/>
      <c r="AH1176" s="43">
        <v>-1.0009999999999999</v>
      </c>
      <c r="AI1176" s="43"/>
      <c r="AJ1176" s="43"/>
      <c r="AK1176" s="43"/>
    </row>
    <row r="1177" spans="1:37" ht="21.75" hidden="1" customHeight="1" x14ac:dyDescent="0.2">
      <c r="A1177" s="21">
        <v>262</v>
      </c>
      <c r="B1177" s="39" t="s">
        <v>380</v>
      </c>
      <c r="C1177" s="39"/>
      <c r="D1177" s="39"/>
      <c r="E1177" s="39"/>
      <c r="F1177" s="39"/>
      <c r="G1177" s="39"/>
      <c r="H1177" s="39"/>
      <c r="I1177" s="39"/>
      <c r="J1177" s="39"/>
      <c r="K1177" s="39"/>
      <c r="L1177" s="39"/>
      <c r="M1177" s="39"/>
      <c r="N1177" s="39"/>
      <c r="O1177" s="39"/>
      <c r="P1177" s="39"/>
      <c r="Q1177" s="43">
        <v>6.4000000000000001E-2</v>
      </c>
      <c r="R1177" s="43"/>
      <c r="S1177" s="43"/>
      <c r="T1177" s="43"/>
      <c r="U1177" s="43"/>
      <c r="V1177" s="43"/>
      <c r="W1177" s="43"/>
      <c r="X1177" s="59">
        <v>16.3</v>
      </c>
      <c r="Y1177" s="59"/>
      <c r="Z1177" s="59"/>
      <c r="AA1177" s="59"/>
      <c r="AB1177" s="59"/>
      <c r="AC1177" s="43">
        <v>16.289000000000001</v>
      </c>
      <c r="AD1177" s="43"/>
      <c r="AE1177" s="43"/>
      <c r="AF1177" s="43"/>
      <c r="AG1177" s="43"/>
      <c r="AH1177" s="43">
        <v>1.0999999999999999E-2</v>
      </c>
      <c r="AI1177" s="43"/>
      <c r="AJ1177" s="43"/>
      <c r="AK1177" s="43"/>
    </row>
    <row r="1178" spans="1:37" ht="11.25" hidden="1" customHeight="1" x14ac:dyDescent="0.2">
      <c r="A1178" s="21">
        <v>263</v>
      </c>
      <c r="B1178" s="39" t="s">
        <v>853</v>
      </c>
      <c r="C1178" s="39"/>
      <c r="D1178" s="39"/>
      <c r="E1178" s="39"/>
      <c r="F1178" s="39"/>
      <c r="G1178" s="39"/>
      <c r="H1178" s="39"/>
      <c r="I1178" s="39"/>
      <c r="J1178" s="39"/>
      <c r="K1178" s="39"/>
      <c r="L1178" s="39"/>
      <c r="M1178" s="39"/>
      <c r="N1178" s="39"/>
      <c r="O1178" s="39"/>
      <c r="P1178" s="39"/>
      <c r="Q1178" s="43">
        <v>6.4000000000000001E-2</v>
      </c>
      <c r="R1178" s="43"/>
      <c r="S1178" s="43"/>
      <c r="T1178" s="43"/>
      <c r="U1178" s="43"/>
      <c r="V1178" s="43"/>
      <c r="W1178" s="43"/>
      <c r="X1178" s="59">
        <v>24.3</v>
      </c>
      <c r="Y1178" s="59"/>
      <c r="Z1178" s="59"/>
      <c r="AA1178" s="59"/>
      <c r="AB1178" s="59"/>
      <c r="AC1178" s="43">
        <v>25.356000000000002</v>
      </c>
      <c r="AD1178" s="43"/>
      <c r="AE1178" s="43"/>
      <c r="AF1178" s="43"/>
      <c r="AG1178" s="43"/>
      <c r="AH1178" s="43">
        <v>-1.056</v>
      </c>
      <c r="AI1178" s="43"/>
      <c r="AJ1178" s="43"/>
      <c r="AK1178" s="43"/>
    </row>
    <row r="1179" spans="1:37" ht="21.75" hidden="1" customHeight="1" x14ac:dyDescent="0.2">
      <c r="A1179" s="21">
        <v>264</v>
      </c>
      <c r="B1179" s="39" t="s">
        <v>444</v>
      </c>
      <c r="C1179" s="39"/>
      <c r="D1179" s="39"/>
      <c r="E1179" s="39"/>
      <c r="F1179" s="39"/>
      <c r="G1179" s="39"/>
      <c r="H1179" s="39"/>
      <c r="I1179" s="39"/>
      <c r="J1179" s="39"/>
      <c r="K1179" s="39"/>
      <c r="L1179" s="39"/>
      <c r="M1179" s="39"/>
      <c r="N1179" s="39"/>
      <c r="O1179" s="39"/>
      <c r="P1179" s="39"/>
      <c r="Q1179" s="43">
        <v>6.3E-2</v>
      </c>
      <c r="R1179" s="43"/>
      <c r="S1179" s="43"/>
      <c r="T1179" s="43"/>
      <c r="U1179" s="43"/>
      <c r="V1179" s="43"/>
      <c r="W1179" s="43"/>
      <c r="X1179" s="59">
        <v>20.7</v>
      </c>
      <c r="Y1179" s="59"/>
      <c r="Z1179" s="59"/>
      <c r="AA1179" s="59"/>
      <c r="AB1179" s="59"/>
      <c r="AC1179" s="41">
        <v>21.85</v>
      </c>
      <c r="AD1179" s="41"/>
      <c r="AE1179" s="41"/>
      <c r="AF1179" s="41"/>
      <c r="AG1179" s="41"/>
      <c r="AH1179" s="41">
        <v>-1.1499999999999999</v>
      </c>
      <c r="AI1179" s="41"/>
      <c r="AJ1179" s="41"/>
      <c r="AK1179" s="41"/>
    </row>
    <row r="1180" spans="1:37" ht="11.25" hidden="1" customHeight="1" x14ac:dyDescent="0.2">
      <c r="A1180" s="21">
        <v>265</v>
      </c>
      <c r="B1180" s="39" t="s">
        <v>691</v>
      </c>
      <c r="C1180" s="39"/>
      <c r="D1180" s="39"/>
      <c r="E1180" s="39"/>
      <c r="F1180" s="39"/>
      <c r="G1180" s="39"/>
      <c r="H1180" s="39"/>
      <c r="I1180" s="39"/>
      <c r="J1180" s="39"/>
      <c r="K1180" s="39"/>
      <c r="L1180" s="39"/>
      <c r="M1180" s="39"/>
      <c r="N1180" s="39"/>
      <c r="O1180" s="39"/>
      <c r="P1180" s="39"/>
      <c r="Q1180" s="43">
        <v>6.2E-2</v>
      </c>
      <c r="R1180" s="43"/>
      <c r="S1180" s="43"/>
      <c r="T1180" s="43"/>
      <c r="U1180" s="43"/>
      <c r="V1180" s="43"/>
      <c r="W1180" s="43"/>
      <c r="X1180" s="59">
        <v>15.9</v>
      </c>
      <c r="Y1180" s="59"/>
      <c r="Z1180" s="59"/>
      <c r="AA1180" s="59"/>
      <c r="AB1180" s="59"/>
      <c r="AC1180" s="43">
        <v>15.837999999999999</v>
      </c>
      <c r="AD1180" s="43"/>
      <c r="AE1180" s="43"/>
      <c r="AF1180" s="43"/>
      <c r="AG1180" s="43"/>
      <c r="AH1180" s="43">
        <v>6.2E-2</v>
      </c>
      <c r="AI1180" s="43"/>
      <c r="AJ1180" s="43"/>
      <c r="AK1180" s="43"/>
    </row>
    <row r="1181" spans="1:37" ht="11.25" hidden="1" customHeight="1" x14ac:dyDescent="0.2">
      <c r="A1181" s="21">
        <v>266</v>
      </c>
      <c r="B1181" s="39" t="s">
        <v>590</v>
      </c>
      <c r="C1181" s="39"/>
      <c r="D1181" s="39"/>
      <c r="E1181" s="39"/>
      <c r="F1181" s="39"/>
      <c r="G1181" s="39"/>
      <c r="H1181" s="39"/>
      <c r="I1181" s="39"/>
      <c r="J1181" s="39"/>
      <c r="K1181" s="39"/>
      <c r="L1181" s="39"/>
      <c r="M1181" s="39"/>
      <c r="N1181" s="39"/>
      <c r="O1181" s="39"/>
      <c r="P1181" s="39"/>
      <c r="Q1181" s="41">
        <v>0.06</v>
      </c>
      <c r="R1181" s="41"/>
      <c r="S1181" s="41"/>
      <c r="T1181" s="41"/>
      <c r="U1181" s="41"/>
      <c r="V1181" s="41"/>
      <c r="W1181" s="41"/>
      <c r="X1181" s="59">
        <v>20.7</v>
      </c>
      <c r="Y1181" s="59"/>
      <c r="Z1181" s="59"/>
      <c r="AA1181" s="59"/>
      <c r="AB1181" s="59"/>
      <c r="AC1181" s="43">
        <v>21.103999999999999</v>
      </c>
      <c r="AD1181" s="43"/>
      <c r="AE1181" s="43"/>
      <c r="AF1181" s="43"/>
      <c r="AG1181" s="43"/>
      <c r="AH1181" s="43">
        <v>-0.40400000000000003</v>
      </c>
      <c r="AI1181" s="43"/>
      <c r="AJ1181" s="43"/>
      <c r="AK1181" s="43"/>
    </row>
    <row r="1182" spans="1:37" ht="21.75" hidden="1" customHeight="1" x14ac:dyDescent="0.2">
      <c r="A1182" s="21">
        <v>267</v>
      </c>
      <c r="B1182" s="39" t="s">
        <v>854</v>
      </c>
      <c r="C1182" s="39"/>
      <c r="D1182" s="39"/>
      <c r="E1182" s="39"/>
      <c r="F1182" s="39"/>
      <c r="G1182" s="39"/>
      <c r="H1182" s="39"/>
      <c r="I1182" s="39"/>
      <c r="J1182" s="39"/>
      <c r="K1182" s="39"/>
      <c r="L1182" s="39"/>
      <c r="M1182" s="39"/>
      <c r="N1182" s="39"/>
      <c r="O1182" s="39"/>
      <c r="P1182" s="39"/>
      <c r="Q1182" s="43">
        <v>5.8999999999999997E-2</v>
      </c>
      <c r="R1182" s="43"/>
      <c r="S1182" s="43"/>
      <c r="T1182" s="43"/>
      <c r="U1182" s="43"/>
      <c r="V1182" s="43"/>
      <c r="W1182" s="43"/>
      <c r="X1182" s="41">
        <v>36.06</v>
      </c>
      <c r="Y1182" s="41"/>
      <c r="Z1182" s="41"/>
      <c r="AA1182" s="41"/>
      <c r="AB1182" s="41"/>
      <c r="AC1182" s="43">
        <v>36.279000000000003</v>
      </c>
      <c r="AD1182" s="43"/>
      <c r="AE1182" s="43"/>
      <c r="AF1182" s="43"/>
      <c r="AG1182" s="43"/>
      <c r="AH1182" s="43">
        <v>-0.219</v>
      </c>
      <c r="AI1182" s="43"/>
      <c r="AJ1182" s="43"/>
      <c r="AK1182" s="43"/>
    </row>
    <row r="1183" spans="1:37" ht="11.25" hidden="1" customHeight="1" x14ac:dyDescent="0.2">
      <c r="A1183" s="21">
        <v>268</v>
      </c>
      <c r="B1183" s="39" t="s">
        <v>800</v>
      </c>
      <c r="C1183" s="39"/>
      <c r="D1183" s="39"/>
      <c r="E1183" s="39"/>
      <c r="F1183" s="39"/>
      <c r="G1183" s="39"/>
      <c r="H1183" s="39"/>
      <c r="I1183" s="39"/>
      <c r="J1183" s="39"/>
      <c r="K1183" s="39"/>
      <c r="L1183" s="39"/>
      <c r="M1183" s="39"/>
      <c r="N1183" s="39"/>
      <c r="O1183" s="39"/>
      <c r="P1183" s="39"/>
      <c r="Q1183" s="43">
        <v>5.7000000000000002E-2</v>
      </c>
      <c r="R1183" s="43"/>
      <c r="S1183" s="43"/>
      <c r="T1183" s="43"/>
      <c r="U1183" s="43"/>
      <c r="V1183" s="43"/>
      <c r="W1183" s="43"/>
      <c r="X1183" s="59">
        <v>15.4</v>
      </c>
      <c r="Y1183" s="59"/>
      <c r="Z1183" s="59"/>
      <c r="AA1183" s="59"/>
      <c r="AB1183" s="59"/>
      <c r="AC1183" s="41">
        <v>15.89</v>
      </c>
      <c r="AD1183" s="41"/>
      <c r="AE1183" s="41"/>
      <c r="AF1183" s="41"/>
      <c r="AG1183" s="41"/>
      <c r="AH1183" s="41">
        <v>-0.49</v>
      </c>
      <c r="AI1183" s="41"/>
      <c r="AJ1183" s="41"/>
      <c r="AK1183" s="41"/>
    </row>
    <row r="1184" spans="1:37" ht="21.75" hidden="1" customHeight="1" x14ac:dyDescent="0.2">
      <c r="A1184" s="21">
        <v>269</v>
      </c>
      <c r="B1184" s="39" t="s">
        <v>381</v>
      </c>
      <c r="C1184" s="39"/>
      <c r="D1184" s="39"/>
      <c r="E1184" s="39"/>
      <c r="F1184" s="39"/>
      <c r="G1184" s="39"/>
      <c r="H1184" s="39"/>
      <c r="I1184" s="39"/>
      <c r="J1184" s="39"/>
      <c r="K1184" s="39"/>
      <c r="L1184" s="39"/>
      <c r="M1184" s="39"/>
      <c r="N1184" s="39"/>
      <c r="O1184" s="39"/>
      <c r="P1184" s="39"/>
      <c r="Q1184" s="43">
        <v>5.6000000000000001E-2</v>
      </c>
      <c r="R1184" s="43"/>
      <c r="S1184" s="43"/>
      <c r="T1184" s="43"/>
      <c r="U1184" s="43"/>
      <c r="V1184" s="43"/>
      <c r="W1184" s="43"/>
      <c r="X1184" s="59">
        <v>6.8</v>
      </c>
      <c r="Y1184" s="59"/>
      <c r="Z1184" s="59"/>
      <c r="AA1184" s="59"/>
      <c r="AB1184" s="59"/>
      <c r="AC1184" s="41">
        <v>6.97</v>
      </c>
      <c r="AD1184" s="41"/>
      <c r="AE1184" s="41"/>
      <c r="AF1184" s="41"/>
      <c r="AG1184" s="41"/>
      <c r="AH1184" s="41">
        <v>-0.17</v>
      </c>
      <c r="AI1184" s="41"/>
      <c r="AJ1184" s="41"/>
      <c r="AK1184" s="41"/>
    </row>
    <row r="1185" spans="1:37" ht="11.25" hidden="1" customHeight="1" x14ac:dyDescent="0.2">
      <c r="A1185" s="21">
        <v>270</v>
      </c>
      <c r="B1185" s="39" t="s">
        <v>692</v>
      </c>
      <c r="C1185" s="39"/>
      <c r="D1185" s="39"/>
      <c r="E1185" s="39"/>
      <c r="F1185" s="39"/>
      <c r="G1185" s="39"/>
      <c r="H1185" s="39"/>
      <c r="I1185" s="39"/>
      <c r="J1185" s="39"/>
      <c r="K1185" s="39"/>
      <c r="L1185" s="39"/>
      <c r="M1185" s="39"/>
      <c r="N1185" s="39"/>
      <c r="O1185" s="39"/>
      <c r="P1185" s="39"/>
      <c r="Q1185" s="43">
        <v>5.6000000000000001E-2</v>
      </c>
      <c r="R1185" s="43"/>
      <c r="S1185" s="43"/>
      <c r="T1185" s="43"/>
      <c r="U1185" s="43"/>
      <c r="V1185" s="43"/>
      <c r="W1185" s="43"/>
      <c r="X1185" s="59">
        <v>23.6</v>
      </c>
      <c r="Y1185" s="59"/>
      <c r="Z1185" s="59"/>
      <c r="AA1185" s="59"/>
      <c r="AB1185" s="59"/>
      <c r="AC1185" s="41">
        <v>23.74</v>
      </c>
      <c r="AD1185" s="41"/>
      <c r="AE1185" s="41"/>
      <c r="AF1185" s="41"/>
      <c r="AG1185" s="41"/>
      <c r="AH1185" s="41">
        <v>-0.14000000000000001</v>
      </c>
      <c r="AI1185" s="41"/>
      <c r="AJ1185" s="41"/>
      <c r="AK1185" s="41"/>
    </row>
    <row r="1186" spans="1:37" ht="11.25" hidden="1" customHeight="1" x14ac:dyDescent="0.2">
      <c r="A1186" s="21">
        <v>271</v>
      </c>
      <c r="B1186" s="39" t="s">
        <v>591</v>
      </c>
      <c r="C1186" s="39"/>
      <c r="D1186" s="39"/>
      <c r="E1186" s="39"/>
      <c r="F1186" s="39"/>
      <c r="G1186" s="39"/>
      <c r="H1186" s="39"/>
      <c r="I1186" s="39"/>
      <c r="J1186" s="39"/>
      <c r="K1186" s="39"/>
      <c r="L1186" s="39"/>
      <c r="M1186" s="39"/>
      <c r="N1186" s="39"/>
      <c r="O1186" s="39"/>
      <c r="P1186" s="39"/>
      <c r="Q1186" s="43">
        <v>5.3999999999999999E-2</v>
      </c>
      <c r="R1186" s="43"/>
      <c r="S1186" s="43"/>
      <c r="T1186" s="43"/>
      <c r="U1186" s="43"/>
      <c r="V1186" s="43"/>
      <c r="W1186" s="43"/>
      <c r="X1186" s="59">
        <v>12.5</v>
      </c>
      <c r="Y1186" s="59"/>
      <c r="Z1186" s="59"/>
      <c r="AA1186" s="59"/>
      <c r="AB1186" s="59"/>
      <c r="AC1186" s="43">
        <v>12.481999999999999</v>
      </c>
      <c r="AD1186" s="43"/>
      <c r="AE1186" s="43"/>
      <c r="AF1186" s="43"/>
      <c r="AG1186" s="43"/>
      <c r="AH1186" s="43">
        <v>1.7999999999999999E-2</v>
      </c>
      <c r="AI1186" s="43"/>
      <c r="AJ1186" s="43"/>
      <c r="AK1186" s="43"/>
    </row>
    <row r="1187" spans="1:37" ht="11.25" hidden="1" customHeight="1" x14ac:dyDescent="0.2">
      <c r="A1187" s="21">
        <v>272</v>
      </c>
      <c r="B1187" s="39" t="s">
        <v>720</v>
      </c>
      <c r="C1187" s="39"/>
      <c r="D1187" s="39"/>
      <c r="E1187" s="39"/>
      <c r="F1187" s="39"/>
      <c r="G1187" s="39"/>
      <c r="H1187" s="39"/>
      <c r="I1187" s="39"/>
      <c r="J1187" s="39"/>
      <c r="K1187" s="39"/>
      <c r="L1187" s="39"/>
      <c r="M1187" s="39"/>
      <c r="N1187" s="39"/>
      <c r="O1187" s="39"/>
      <c r="P1187" s="39"/>
      <c r="Q1187" s="43">
        <v>5.3999999999999999E-2</v>
      </c>
      <c r="R1187" s="43"/>
      <c r="S1187" s="43"/>
      <c r="T1187" s="43"/>
      <c r="U1187" s="43"/>
      <c r="V1187" s="43"/>
      <c r="W1187" s="43"/>
      <c r="X1187" s="41">
        <v>6.45</v>
      </c>
      <c r="Y1187" s="41"/>
      <c r="Z1187" s="41"/>
      <c r="AA1187" s="41"/>
      <c r="AB1187" s="41"/>
      <c r="AC1187" s="43">
        <v>6.5330000000000004</v>
      </c>
      <c r="AD1187" s="43"/>
      <c r="AE1187" s="43"/>
      <c r="AF1187" s="43"/>
      <c r="AG1187" s="43"/>
      <c r="AH1187" s="43">
        <v>-8.3000000000000004E-2</v>
      </c>
      <c r="AI1187" s="43"/>
      <c r="AJ1187" s="43"/>
      <c r="AK1187" s="43"/>
    </row>
    <row r="1188" spans="1:37" ht="21.75" hidden="1" customHeight="1" x14ac:dyDescent="0.2">
      <c r="A1188" s="21">
        <v>273</v>
      </c>
      <c r="B1188" s="39" t="s">
        <v>761</v>
      </c>
      <c r="C1188" s="39"/>
      <c r="D1188" s="39"/>
      <c r="E1188" s="39"/>
      <c r="F1188" s="39"/>
      <c r="G1188" s="39"/>
      <c r="H1188" s="39"/>
      <c r="I1188" s="39"/>
      <c r="J1188" s="39"/>
      <c r="K1188" s="39"/>
      <c r="L1188" s="39"/>
      <c r="M1188" s="39"/>
      <c r="N1188" s="39"/>
      <c r="O1188" s="39"/>
      <c r="P1188" s="39"/>
      <c r="Q1188" s="43">
        <v>5.3999999999999999E-2</v>
      </c>
      <c r="R1188" s="43"/>
      <c r="S1188" s="43"/>
      <c r="T1188" s="43"/>
      <c r="U1188" s="43"/>
      <c r="V1188" s="43"/>
      <c r="W1188" s="43"/>
      <c r="X1188" s="41">
        <v>3.88</v>
      </c>
      <c r="Y1188" s="41"/>
      <c r="Z1188" s="41"/>
      <c r="AA1188" s="41"/>
      <c r="AB1188" s="41"/>
      <c r="AC1188" s="43">
        <v>3.8260000000000001</v>
      </c>
      <c r="AD1188" s="43"/>
      <c r="AE1188" s="43"/>
      <c r="AF1188" s="43"/>
      <c r="AG1188" s="43"/>
      <c r="AH1188" s="43">
        <v>5.3999999999999999E-2</v>
      </c>
      <c r="AI1188" s="43"/>
      <c r="AJ1188" s="43"/>
      <c r="AK1188" s="43"/>
    </row>
    <row r="1189" spans="1:37" ht="11.25" hidden="1" customHeight="1" x14ac:dyDescent="0.2">
      <c r="A1189" s="21">
        <v>274</v>
      </c>
      <c r="B1189" s="39" t="s">
        <v>855</v>
      </c>
      <c r="C1189" s="39"/>
      <c r="D1189" s="39"/>
      <c r="E1189" s="39"/>
      <c r="F1189" s="39"/>
      <c r="G1189" s="39"/>
      <c r="H1189" s="39"/>
      <c r="I1189" s="39"/>
      <c r="J1189" s="39"/>
      <c r="K1189" s="39"/>
      <c r="L1189" s="39"/>
      <c r="M1189" s="39"/>
      <c r="N1189" s="39"/>
      <c r="O1189" s="39"/>
      <c r="P1189" s="39"/>
      <c r="Q1189" s="43">
        <v>5.0999999999999997E-2</v>
      </c>
      <c r="R1189" s="43"/>
      <c r="S1189" s="43"/>
      <c r="T1189" s="43"/>
      <c r="U1189" s="43"/>
      <c r="V1189" s="43"/>
      <c r="W1189" s="43"/>
      <c r="X1189" s="59">
        <v>21.5</v>
      </c>
      <c r="Y1189" s="59"/>
      <c r="Z1189" s="59"/>
      <c r="AA1189" s="59"/>
      <c r="AB1189" s="59"/>
      <c r="AC1189" s="43">
        <v>21.742999999999999</v>
      </c>
      <c r="AD1189" s="43"/>
      <c r="AE1189" s="43"/>
      <c r="AF1189" s="43"/>
      <c r="AG1189" s="43"/>
      <c r="AH1189" s="43">
        <v>-0.24299999999999999</v>
      </c>
      <c r="AI1189" s="43"/>
      <c r="AJ1189" s="43"/>
      <c r="AK1189" s="43"/>
    </row>
    <row r="1190" spans="1:37" ht="11.25" hidden="1" customHeight="1" x14ac:dyDescent="0.2">
      <c r="A1190" s="21">
        <v>275</v>
      </c>
      <c r="B1190" s="39" t="s">
        <v>801</v>
      </c>
      <c r="C1190" s="39"/>
      <c r="D1190" s="39"/>
      <c r="E1190" s="39"/>
      <c r="F1190" s="39"/>
      <c r="G1190" s="39"/>
      <c r="H1190" s="39"/>
      <c r="I1190" s="39"/>
      <c r="J1190" s="39"/>
      <c r="K1190" s="39"/>
      <c r="L1190" s="39"/>
      <c r="M1190" s="39"/>
      <c r="N1190" s="39"/>
      <c r="O1190" s="39"/>
      <c r="P1190" s="39"/>
      <c r="Q1190" s="43">
        <v>5.0999999999999997E-2</v>
      </c>
      <c r="R1190" s="43"/>
      <c r="S1190" s="43"/>
      <c r="T1190" s="43"/>
      <c r="U1190" s="43"/>
      <c r="V1190" s="43"/>
      <c r="W1190" s="43"/>
      <c r="X1190" s="59">
        <v>20.9</v>
      </c>
      <c r="Y1190" s="59"/>
      <c r="Z1190" s="59"/>
      <c r="AA1190" s="59"/>
      <c r="AB1190" s="59"/>
      <c r="AC1190" s="43">
        <v>21.646000000000001</v>
      </c>
      <c r="AD1190" s="43"/>
      <c r="AE1190" s="43"/>
      <c r="AF1190" s="43"/>
      <c r="AG1190" s="43"/>
      <c r="AH1190" s="43">
        <v>-0.746</v>
      </c>
      <c r="AI1190" s="43"/>
      <c r="AJ1190" s="43"/>
      <c r="AK1190" s="43"/>
    </row>
    <row r="1191" spans="1:37" ht="21.75" hidden="1" customHeight="1" x14ac:dyDescent="0.2">
      <c r="A1191" s="21">
        <v>276</v>
      </c>
      <c r="B1191" s="39" t="s">
        <v>693</v>
      </c>
      <c r="C1191" s="39"/>
      <c r="D1191" s="39"/>
      <c r="E1191" s="39"/>
      <c r="F1191" s="39"/>
      <c r="G1191" s="39"/>
      <c r="H1191" s="39"/>
      <c r="I1191" s="39"/>
      <c r="J1191" s="39"/>
      <c r="K1191" s="39"/>
      <c r="L1191" s="39"/>
      <c r="M1191" s="39"/>
      <c r="N1191" s="39"/>
      <c r="O1191" s="39"/>
      <c r="P1191" s="39"/>
      <c r="Q1191" s="41">
        <v>0.05</v>
      </c>
      <c r="R1191" s="41"/>
      <c r="S1191" s="41"/>
      <c r="T1191" s="41"/>
      <c r="U1191" s="41"/>
      <c r="V1191" s="41"/>
      <c r="W1191" s="41"/>
      <c r="X1191" s="59">
        <v>12.9</v>
      </c>
      <c r="Y1191" s="59"/>
      <c r="Z1191" s="59"/>
      <c r="AA1191" s="59"/>
      <c r="AB1191" s="59"/>
      <c r="AC1191" s="43">
        <v>12.996</v>
      </c>
      <c r="AD1191" s="43"/>
      <c r="AE1191" s="43"/>
      <c r="AF1191" s="43"/>
      <c r="AG1191" s="43"/>
      <c r="AH1191" s="43">
        <v>-9.6000000000000002E-2</v>
      </c>
      <c r="AI1191" s="43"/>
      <c r="AJ1191" s="43"/>
      <c r="AK1191" s="43"/>
    </row>
    <row r="1192" spans="1:37" ht="11.25" hidden="1" customHeight="1" x14ac:dyDescent="0.2">
      <c r="A1192" s="21">
        <v>277</v>
      </c>
      <c r="B1192" s="39" t="s">
        <v>694</v>
      </c>
      <c r="C1192" s="39"/>
      <c r="D1192" s="39"/>
      <c r="E1192" s="39"/>
      <c r="F1192" s="39"/>
      <c r="G1192" s="39"/>
      <c r="H1192" s="39"/>
      <c r="I1192" s="39"/>
      <c r="J1192" s="39"/>
      <c r="K1192" s="39"/>
      <c r="L1192" s="39"/>
      <c r="M1192" s="39"/>
      <c r="N1192" s="39"/>
      <c r="O1192" s="39"/>
      <c r="P1192" s="39"/>
      <c r="Q1192" s="43">
        <v>4.7E-2</v>
      </c>
      <c r="R1192" s="43"/>
      <c r="S1192" s="43"/>
      <c r="T1192" s="43"/>
      <c r="U1192" s="43"/>
      <c r="V1192" s="43"/>
      <c r="W1192" s="43"/>
      <c r="X1192" s="59">
        <v>18.399999999999999</v>
      </c>
      <c r="Y1192" s="59"/>
      <c r="Z1192" s="59"/>
      <c r="AA1192" s="59"/>
      <c r="AB1192" s="59"/>
      <c r="AC1192" s="43">
        <v>18.451000000000001</v>
      </c>
      <c r="AD1192" s="43"/>
      <c r="AE1192" s="43"/>
      <c r="AF1192" s="43"/>
      <c r="AG1192" s="43"/>
      <c r="AH1192" s="43">
        <v>-5.0999999999999997E-2</v>
      </c>
      <c r="AI1192" s="43"/>
      <c r="AJ1192" s="43"/>
      <c r="AK1192" s="43"/>
    </row>
    <row r="1193" spans="1:37" ht="11.25" hidden="1" customHeight="1" x14ac:dyDescent="0.2">
      <c r="A1193" s="21">
        <v>278</v>
      </c>
      <c r="B1193" s="39" t="s">
        <v>364</v>
      </c>
      <c r="C1193" s="39"/>
      <c r="D1193" s="39"/>
      <c r="E1193" s="39"/>
      <c r="F1193" s="39"/>
      <c r="G1193" s="39"/>
      <c r="H1193" s="39"/>
      <c r="I1193" s="39"/>
      <c r="J1193" s="39"/>
      <c r="K1193" s="39"/>
      <c r="L1193" s="39"/>
      <c r="M1193" s="39"/>
      <c r="N1193" s="39"/>
      <c r="O1193" s="39"/>
      <c r="P1193" s="39"/>
      <c r="Q1193" s="43">
        <v>4.5999999999999999E-2</v>
      </c>
      <c r="R1193" s="43"/>
      <c r="S1193" s="43"/>
      <c r="T1193" s="43"/>
      <c r="U1193" s="43"/>
      <c r="V1193" s="43"/>
      <c r="W1193" s="43"/>
      <c r="X1193" s="89">
        <v>1428</v>
      </c>
      <c r="Y1193" s="89"/>
      <c r="Z1193" s="89"/>
      <c r="AA1193" s="89"/>
      <c r="AB1193" s="89"/>
      <c r="AC1193" s="56">
        <v>1451.1510000000001</v>
      </c>
      <c r="AD1193" s="56"/>
      <c r="AE1193" s="56"/>
      <c r="AF1193" s="56"/>
      <c r="AG1193" s="56"/>
      <c r="AH1193" s="43">
        <v>-23.151</v>
      </c>
      <c r="AI1193" s="43"/>
      <c r="AJ1193" s="43"/>
      <c r="AK1193" s="43"/>
    </row>
    <row r="1194" spans="1:37" ht="11.25" hidden="1" customHeight="1" x14ac:dyDescent="0.2">
      <c r="A1194" s="21">
        <v>279</v>
      </c>
      <c r="B1194" s="39" t="s">
        <v>488</v>
      </c>
      <c r="C1194" s="39"/>
      <c r="D1194" s="39"/>
      <c r="E1194" s="39"/>
      <c r="F1194" s="39"/>
      <c r="G1194" s="39"/>
      <c r="H1194" s="39"/>
      <c r="I1194" s="39"/>
      <c r="J1194" s="39"/>
      <c r="K1194" s="39"/>
      <c r="L1194" s="39"/>
      <c r="M1194" s="39"/>
      <c r="N1194" s="39"/>
      <c r="O1194" s="39"/>
      <c r="P1194" s="39"/>
      <c r="Q1194" s="43">
        <v>4.4999999999999998E-2</v>
      </c>
      <c r="R1194" s="43"/>
      <c r="S1194" s="43"/>
      <c r="T1194" s="43"/>
      <c r="U1194" s="43"/>
      <c r="V1194" s="43"/>
      <c r="W1194" s="43"/>
      <c r="X1194" s="58">
        <v>10</v>
      </c>
      <c r="Y1194" s="58"/>
      <c r="Z1194" s="58"/>
      <c r="AA1194" s="58"/>
      <c r="AB1194" s="58"/>
      <c r="AC1194" s="43">
        <v>9.9550000000000001</v>
      </c>
      <c r="AD1194" s="43"/>
      <c r="AE1194" s="43"/>
      <c r="AF1194" s="43"/>
      <c r="AG1194" s="43"/>
      <c r="AH1194" s="43">
        <v>4.4999999999999998E-2</v>
      </c>
      <c r="AI1194" s="43"/>
      <c r="AJ1194" s="43"/>
      <c r="AK1194" s="43"/>
    </row>
    <row r="1195" spans="1:37" ht="11.25" hidden="1" customHeight="1" x14ac:dyDescent="0.2">
      <c r="A1195" s="21">
        <v>280</v>
      </c>
      <c r="B1195" s="39" t="s">
        <v>695</v>
      </c>
      <c r="C1195" s="39"/>
      <c r="D1195" s="39"/>
      <c r="E1195" s="39"/>
      <c r="F1195" s="39"/>
      <c r="G1195" s="39"/>
      <c r="H1195" s="39"/>
      <c r="I1195" s="39"/>
      <c r="J1195" s="39"/>
      <c r="K1195" s="39"/>
      <c r="L1195" s="39"/>
      <c r="M1195" s="39"/>
      <c r="N1195" s="39"/>
      <c r="O1195" s="39"/>
      <c r="P1195" s="39"/>
      <c r="Q1195" s="43">
        <v>4.3999999999999997E-2</v>
      </c>
      <c r="R1195" s="43"/>
      <c r="S1195" s="43"/>
      <c r="T1195" s="43"/>
      <c r="U1195" s="43"/>
      <c r="V1195" s="43"/>
      <c r="W1195" s="43"/>
      <c r="X1195" s="59">
        <v>84.9</v>
      </c>
      <c r="Y1195" s="59"/>
      <c r="Z1195" s="59"/>
      <c r="AA1195" s="59"/>
      <c r="AB1195" s="59"/>
      <c r="AC1195" s="43">
        <v>87.497</v>
      </c>
      <c r="AD1195" s="43"/>
      <c r="AE1195" s="43"/>
      <c r="AF1195" s="43"/>
      <c r="AG1195" s="43"/>
      <c r="AH1195" s="43">
        <v>-2.597</v>
      </c>
      <c r="AI1195" s="43"/>
      <c r="AJ1195" s="43"/>
      <c r="AK1195" s="43"/>
    </row>
    <row r="1196" spans="1:37" ht="11.25" hidden="1" customHeight="1" x14ac:dyDescent="0.2">
      <c r="A1196" s="21">
        <v>281</v>
      </c>
      <c r="B1196" s="39" t="s">
        <v>592</v>
      </c>
      <c r="C1196" s="39"/>
      <c r="D1196" s="39"/>
      <c r="E1196" s="39"/>
      <c r="F1196" s="39"/>
      <c r="G1196" s="39"/>
      <c r="H1196" s="39"/>
      <c r="I1196" s="39"/>
      <c r="J1196" s="39"/>
      <c r="K1196" s="39"/>
      <c r="L1196" s="39"/>
      <c r="M1196" s="39"/>
      <c r="N1196" s="39"/>
      <c r="O1196" s="39"/>
      <c r="P1196" s="39"/>
      <c r="Q1196" s="43">
        <v>4.2000000000000003E-2</v>
      </c>
      <c r="R1196" s="43"/>
      <c r="S1196" s="43"/>
      <c r="T1196" s="43"/>
      <c r="U1196" s="43"/>
      <c r="V1196" s="43"/>
      <c r="W1196" s="43"/>
      <c r="X1196" s="59">
        <v>15.6</v>
      </c>
      <c r="Y1196" s="59"/>
      <c r="Z1196" s="59"/>
      <c r="AA1196" s="59"/>
      <c r="AB1196" s="59"/>
      <c r="AC1196" s="43">
        <v>16.050999999999998</v>
      </c>
      <c r="AD1196" s="43"/>
      <c r="AE1196" s="43"/>
      <c r="AF1196" s="43"/>
      <c r="AG1196" s="43"/>
      <c r="AH1196" s="43">
        <v>-0.45100000000000001</v>
      </c>
      <c r="AI1196" s="43"/>
      <c r="AJ1196" s="43"/>
      <c r="AK1196" s="43"/>
    </row>
    <row r="1197" spans="1:37" ht="11.25" hidden="1" customHeight="1" x14ac:dyDescent="0.2">
      <c r="A1197" s="21">
        <v>282</v>
      </c>
      <c r="B1197" s="39" t="s">
        <v>856</v>
      </c>
      <c r="C1197" s="39"/>
      <c r="D1197" s="39"/>
      <c r="E1197" s="39"/>
      <c r="F1197" s="39"/>
      <c r="G1197" s="39"/>
      <c r="H1197" s="39"/>
      <c r="I1197" s="39"/>
      <c r="J1197" s="39"/>
      <c r="K1197" s="39"/>
      <c r="L1197" s="39"/>
      <c r="M1197" s="39"/>
      <c r="N1197" s="39"/>
      <c r="O1197" s="39"/>
      <c r="P1197" s="39"/>
      <c r="Q1197" s="43">
        <v>4.2000000000000003E-2</v>
      </c>
      <c r="R1197" s="43"/>
      <c r="S1197" s="43"/>
      <c r="T1197" s="43"/>
      <c r="U1197" s="43"/>
      <c r="V1197" s="43"/>
      <c r="W1197" s="43"/>
      <c r="X1197" s="41">
        <v>5.32</v>
      </c>
      <c r="Y1197" s="41"/>
      <c r="Z1197" s="41"/>
      <c r="AA1197" s="41"/>
      <c r="AB1197" s="41"/>
      <c r="AC1197" s="43">
        <v>5.3760000000000003</v>
      </c>
      <c r="AD1197" s="43"/>
      <c r="AE1197" s="43"/>
      <c r="AF1197" s="43"/>
      <c r="AG1197" s="43"/>
      <c r="AH1197" s="43">
        <v>-5.6000000000000001E-2</v>
      </c>
      <c r="AI1197" s="43"/>
      <c r="AJ1197" s="43"/>
      <c r="AK1197" s="43"/>
    </row>
    <row r="1198" spans="1:37" ht="11.25" hidden="1" customHeight="1" x14ac:dyDescent="0.2">
      <c r="A1198" s="21">
        <v>283</v>
      </c>
      <c r="B1198" s="39" t="s">
        <v>593</v>
      </c>
      <c r="C1198" s="39"/>
      <c r="D1198" s="39"/>
      <c r="E1198" s="39"/>
      <c r="F1198" s="39"/>
      <c r="G1198" s="39"/>
      <c r="H1198" s="39"/>
      <c r="I1198" s="39"/>
      <c r="J1198" s="39"/>
      <c r="K1198" s="39"/>
      <c r="L1198" s="39"/>
      <c r="M1198" s="39"/>
      <c r="N1198" s="39"/>
      <c r="O1198" s="39"/>
      <c r="P1198" s="39"/>
      <c r="Q1198" s="43">
        <v>4.2000000000000003E-2</v>
      </c>
      <c r="R1198" s="43"/>
      <c r="S1198" s="43"/>
      <c r="T1198" s="43"/>
      <c r="U1198" s="43"/>
      <c r="V1198" s="43"/>
      <c r="W1198" s="43"/>
      <c r="X1198" s="59">
        <v>8.5</v>
      </c>
      <c r="Y1198" s="59"/>
      <c r="Z1198" s="59"/>
      <c r="AA1198" s="59"/>
      <c r="AB1198" s="59"/>
      <c r="AC1198" s="43">
        <v>9.4130000000000003</v>
      </c>
      <c r="AD1198" s="43"/>
      <c r="AE1198" s="43"/>
      <c r="AF1198" s="43"/>
      <c r="AG1198" s="43"/>
      <c r="AH1198" s="43">
        <v>-0.91300000000000003</v>
      </c>
      <c r="AI1198" s="43"/>
      <c r="AJ1198" s="43"/>
      <c r="AK1198" s="43"/>
    </row>
    <row r="1199" spans="1:37" ht="11.25" hidden="1" customHeight="1" x14ac:dyDescent="0.2">
      <c r="A1199" s="21">
        <v>284</v>
      </c>
      <c r="B1199" s="39" t="s">
        <v>857</v>
      </c>
      <c r="C1199" s="39"/>
      <c r="D1199" s="39"/>
      <c r="E1199" s="39"/>
      <c r="F1199" s="39"/>
      <c r="G1199" s="39"/>
      <c r="H1199" s="39"/>
      <c r="I1199" s="39"/>
      <c r="J1199" s="39"/>
      <c r="K1199" s="39"/>
      <c r="L1199" s="39"/>
      <c r="M1199" s="39"/>
      <c r="N1199" s="39"/>
      <c r="O1199" s="39"/>
      <c r="P1199" s="39"/>
      <c r="Q1199" s="43">
        <v>4.2000000000000003E-2</v>
      </c>
      <c r="R1199" s="43"/>
      <c r="S1199" s="43"/>
      <c r="T1199" s="43"/>
      <c r="U1199" s="43"/>
      <c r="V1199" s="43"/>
      <c r="W1199" s="43"/>
      <c r="X1199" s="41">
        <v>35.21</v>
      </c>
      <c r="Y1199" s="41"/>
      <c r="Z1199" s="41"/>
      <c r="AA1199" s="41"/>
      <c r="AB1199" s="41"/>
      <c r="AC1199" s="43">
        <v>35.747999999999998</v>
      </c>
      <c r="AD1199" s="43"/>
      <c r="AE1199" s="43"/>
      <c r="AF1199" s="43"/>
      <c r="AG1199" s="43"/>
      <c r="AH1199" s="43">
        <v>-0.53800000000000003</v>
      </c>
      <c r="AI1199" s="43"/>
      <c r="AJ1199" s="43"/>
      <c r="AK1199" s="43"/>
    </row>
    <row r="1200" spans="1:37" ht="11.25" hidden="1" customHeight="1" x14ac:dyDescent="0.2">
      <c r="A1200" s="21">
        <v>285</v>
      </c>
      <c r="B1200" s="39" t="s">
        <v>382</v>
      </c>
      <c r="C1200" s="39"/>
      <c r="D1200" s="39"/>
      <c r="E1200" s="39"/>
      <c r="F1200" s="39"/>
      <c r="G1200" s="39"/>
      <c r="H1200" s="39"/>
      <c r="I1200" s="39"/>
      <c r="J1200" s="39"/>
      <c r="K1200" s="39"/>
      <c r="L1200" s="39"/>
      <c r="M1200" s="39"/>
      <c r="N1200" s="39"/>
      <c r="O1200" s="39"/>
      <c r="P1200" s="39"/>
      <c r="Q1200" s="43">
        <v>4.1000000000000002E-2</v>
      </c>
      <c r="R1200" s="43"/>
      <c r="S1200" s="43"/>
      <c r="T1200" s="43"/>
      <c r="U1200" s="43"/>
      <c r="V1200" s="43"/>
      <c r="W1200" s="43"/>
      <c r="X1200" s="59">
        <v>21.3</v>
      </c>
      <c r="Y1200" s="59"/>
      <c r="Z1200" s="59"/>
      <c r="AA1200" s="59"/>
      <c r="AB1200" s="59"/>
      <c r="AC1200" s="43">
        <v>21.420999999999999</v>
      </c>
      <c r="AD1200" s="43"/>
      <c r="AE1200" s="43"/>
      <c r="AF1200" s="43"/>
      <c r="AG1200" s="43"/>
      <c r="AH1200" s="43">
        <v>-0.121</v>
      </c>
      <c r="AI1200" s="43"/>
      <c r="AJ1200" s="43"/>
      <c r="AK1200" s="43"/>
    </row>
    <row r="1201" spans="1:37" ht="21.75" hidden="1" customHeight="1" x14ac:dyDescent="0.2">
      <c r="A1201" s="21">
        <v>286</v>
      </c>
      <c r="B1201" s="39" t="s">
        <v>594</v>
      </c>
      <c r="C1201" s="39"/>
      <c r="D1201" s="39"/>
      <c r="E1201" s="39"/>
      <c r="F1201" s="39"/>
      <c r="G1201" s="39"/>
      <c r="H1201" s="39"/>
      <c r="I1201" s="39"/>
      <c r="J1201" s="39"/>
      <c r="K1201" s="39"/>
      <c r="L1201" s="39"/>
      <c r="M1201" s="39"/>
      <c r="N1201" s="39"/>
      <c r="O1201" s="39"/>
      <c r="P1201" s="39"/>
      <c r="Q1201" s="41">
        <v>0.04</v>
      </c>
      <c r="R1201" s="41"/>
      <c r="S1201" s="41"/>
      <c r="T1201" s="41"/>
      <c r="U1201" s="41"/>
      <c r="V1201" s="41"/>
      <c r="W1201" s="41"/>
      <c r="X1201" s="41">
        <v>43.15</v>
      </c>
      <c r="Y1201" s="41"/>
      <c r="Z1201" s="41"/>
      <c r="AA1201" s="41"/>
      <c r="AB1201" s="41"/>
      <c r="AC1201" s="43">
        <v>45.140999999999998</v>
      </c>
      <c r="AD1201" s="43"/>
      <c r="AE1201" s="43"/>
      <c r="AF1201" s="43"/>
      <c r="AG1201" s="43"/>
      <c r="AH1201" s="43">
        <v>-1.9910000000000001</v>
      </c>
      <c r="AI1201" s="43"/>
      <c r="AJ1201" s="43"/>
      <c r="AK1201" s="43"/>
    </row>
    <row r="1202" spans="1:37" ht="11.25" hidden="1" customHeight="1" x14ac:dyDescent="0.2">
      <c r="A1202" s="21">
        <v>287</v>
      </c>
      <c r="B1202" s="39" t="s">
        <v>383</v>
      </c>
      <c r="C1202" s="39"/>
      <c r="D1202" s="39"/>
      <c r="E1202" s="39"/>
      <c r="F1202" s="39"/>
      <c r="G1202" s="39"/>
      <c r="H1202" s="39"/>
      <c r="I1202" s="39"/>
      <c r="J1202" s="39"/>
      <c r="K1202" s="39"/>
      <c r="L1202" s="39"/>
      <c r="M1202" s="39"/>
      <c r="N1202" s="39"/>
      <c r="O1202" s="39"/>
      <c r="P1202" s="39"/>
      <c r="Q1202" s="43">
        <v>3.9E-2</v>
      </c>
      <c r="R1202" s="43"/>
      <c r="S1202" s="43"/>
      <c r="T1202" s="43"/>
      <c r="U1202" s="43"/>
      <c r="V1202" s="43"/>
      <c r="W1202" s="43"/>
      <c r="X1202" s="59">
        <v>15.4</v>
      </c>
      <c r="Y1202" s="59"/>
      <c r="Z1202" s="59"/>
      <c r="AA1202" s="59"/>
      <c r="AB1202" s="59"/>
      <c r="AC1202" s="43">
        <v>15.738</v>
      </c>
      <c r="AD1202" s="43"/>
      <c r="AE1202" s="43"/>
      <c r="AF1202" s="43"/>
      <c r="AG1202" s="43"/>
      <c r="AH1202" s="43">
        <v>-0.33800000000000002</v>
      </c>
      <c r="AI1202" s="43"/>
      <c r="AJ1202" s="43"/>
      <c r="AK1202" s="43"/>
    </row>
    <row r="1203" spans="1:37" ht="11.25" hidden="1" customHeight="1" x14ac:dyDescent="0.2">
      <c r="A1203" s="21">
        <v>288</v>
      </c>
      <c r="B1203" s="39" t="s">
        <v>595</v>
      </c>
      <c r="C1203" s="39"/>
      <c r="D1203" s="39"/>
      <c r="E1203" s="39"/>
      <c r="F1203" s="39"/>
      <c r="G1203" s="39"/>
      <c r="H1203" s="39"/>
      <c r="I1203" s="39"/>
      <c r="J1203" s="39"/>
      <c r="K1203" s="39"/>
      <c r="L1203" s="39"/>
      <c r="M1203" s="39"/>
      <c r="N1203" s="39"/>
      <c r="O1203" s="39"/>
      <c r="P1203" s="39"/>
      <c r="Q1203" s="43">
        <v>3.7999999999999999E-2</v>
      </c>
      <c r="R1203" s="43"/>
      <c r="S1203" s="43"/>
      <c r="T1203" s="43"/>
      <c r="U1203" s="43"/>
      <c r="V1203" s="43"/>
      <c r="W1203" s="43"/>
      <c r="X1203" s="59">
        <v>23.5</v>
      </c>
      <c r="Y1203" s="59"/>
      <c r="Z1203" s="59"/>
      <c r="AA1203" s="59"/>
      <c r="AB1203" s="59"/>
      <c r="AC1203" s="43">
        <v>24.295000000000002</v>
      </c>
      <c r="AD1203" s="43"/>
      <c r="AE1203" s="43"/>
      <c r="AF1203" s="43"/>
      <c r="AG1203" s="43"/>
      <c r="AH1203" s="43">
        <v>-0.79500000000000004</v>
      </c>
      <c r="AI1203" s="43"/>
      <c r="AJ1203" s="43"/>
      <c r="AK1203" s="43"/>
    </row>
    <row r="1204" spans="1:37" ht="21.75" hidden="1" customHeight="1" x14ac:dyDescent="0.2">
      <c r="A1204" s="21">
        <v>289</v>
      </c>
      <c r="B1204" s="39" t="s">
        <v>384</v>
      </c>
      <c r="C1204" s="39"/>
      <c r="D1204" s="39"/>
      <c r="E1204" s="39"/>
      <c r="F1204" s="39"/>
      <c r="G1204" s="39"/>
      <c r="H1204" s="39"/>
      <c r="I1204" s="39"/>
      <c r="J1204" s="39"/>
      <c r="K1204" s="39"/>
      <c r="L1204" s="39"/>
      <c r="M1204" s="39"/>
      <c r="N1204" s="39"/>
      <c r="O1204" s="39"/>
      <c r="P1204" s="39"/>
      <c r="Q1204" s="43">
        <v>3.7999999999999999E-2</v>
      </c>
      <c r="R1204" s="43"/>
      <c r="S1204" s="43"/>
      <c r="T1204" s="43"/>
      <c r="U1204" s="43"/>
      <c r="V1204" s="43"/>
      <c r="W1204" s="43"/>
      <c r="X1204" s="59">
        <v>15.2</v>
      </c>
      <c r="Y1204" s="59"/>
      <c r="Z1204" s="59"/>
      <c r="AA1204" s="59"/>
      <c r="AB1204" s="59"/>
      <c r="AC1204" s="43">
        <v>15.734999999999999</v>
      </c>
      <c r="AD1204" s="43"/>
      <c r="AE1204" s="43"/>
      <c r="AF1204" s="43"/>
      <c r="AG1204" s="43"/>
      <c r="AH1204" s="43">
        <v>-0.53500000000000003</v>
      </c>
      <c r="AI1204" s="43"/>
      <c r="AJ1204" s="43"/>
      <c r="AK1204" s="43"/>
    </row>
    <row r="1205" spans="1:37" ht="11.25" hidden="1" customHeight="1" x14ac:dyDescent="0.2">
      <c r="A1205" s="21">
        <v>290</v>
      </c>
      <c r="B1205" s="39" t="s">
        <v>721</v>
      </c>
      <c r="C1205" s="39"/>
      <c r="D1205" s="39"/>
      <c r="E1205" s="39"/>
      <c r="F1205" s="39"/>
      <c r="G1205" s="39"/>
      <c r="H1205" s="39"/>
      <c r="I1205" s="39"/>
      <c r="J1205" s="39"/>
      <c r="K1205" s="39"/>
      <c r="L1205" s="39"/>
      <c r="M1205" s="39"/>
      <c r="N1205" s="39"/>
      <c r="O1205" s="39"/>
      <c r="P1205" s="39"/>
      <c r="Q1205" s="43">
        <v>3.5999999999999997E-2</v>
      </c>
      <c r="R1205" s="43"/>
      <c r="S1205" s="43"/>
      <c r="T1205" s="43"/>
      <c r="U1205" s="43"/>
      <c r="V1205" s="43"/>
      <c r="W1205" s="43"/>
      <c r="X1205" s="41">
        <v>16.690000000000001</v>
      </c>
      <c r="Y1205" s="41"/>
      <c r="Z1205" s="41"/>
      <c r="AA1205" s="41"/>
      <c r="AB1205" s="41"/>
      <c r="AC1205" s="43">
        <v>16.762</v>
      </c>
      <c r="AD1205" s="43"/>
      <c r="AE1205" s="43"/>
      <c r="AF1205" s="43"/>
      <c r="AG1205" s="43"/>
      <c r="AH1205" s="43">
        <v>-7.1999999999999995E-2</v>
      </c>
      <c r="AI1205" s="43"/>
      <c r="AJ1205" s="43"/>
      <c r="AK1205" s="43"/>
    </row>
    <row r="1206" spans="1:37" ht="11.25" hidden="1" customHeight="1" x14ac:dyDescent="0.2">
      <c r="A1206" s="21">
        <v>291</v>
      </c>
      <c r="B1206" s="39" t="s">
        <v>627</v>
      </c>
      <c r="C1206" s="39"/>
      <c r="D1206" s="39"/>
      <c r="E1206" s="39"/>
      <c r="F1206" s="39"/>
      <c r="G1206" s="39"/>
      <c r="H1206" s="39"/>
      <c r="I1206" s="39"/>
      <c r="J1206" s="39"/>
      <c r="K1206" s="39"/>
      <c r="L1206" s="39"/>
      <c r="M1206" s="39"/>
      <c r="N1206" s="39"/>
      <c r="O1206" s="39"/>
      <c r="P1206" s="39"/>
      <c r="Q1206" s="43">
        <v>3.5999999999999997E-2</v>
      </c>
      <c r="R1206" s="43"/>
      <c r="S1206" s="43"/>
      <c r="T1206" s="43"/>
      <c r="U1206" s="43"/>
      <c r="V1206" s="43"/>
      <c r="W1206" s="43"/>
      <c r="X1206" s="59">
        <v>13.1</v>
      </c>
      <c r="Y1206" s="59"/>
      <c r="Z1206" s="59"/>
      <c r="AA1206" s="59"/>
      <c r="AB1206" s="59"/>
      <c r="AC1206" s="41">
        <v>13.36</v>
      </c>
      <c r="AD1206" s="41"/>
      <c r="AE1206" s="41"/>
      <c r="AF1206" s="41"/>
      <c r="AG1206" s="41"/>
      <c r="AH1206" s="41">
        <v>-0.26</v>
      </c>
      <c r="AI1206" s="41"/>
      <c r="AJ1206" s="41"/>
      <c r="AK1206" s="41"/>
    </row>
    <row r="1207" spans="1:37" ht="11.25" hidden="1" customHeight="1" x14ac:dyDescent="0.2">
      <c r="A1207" s="21">
        <v>292</v>
      </c>
      <c r="B1207" s="39" t="s">
        <v>489</v>
      </c>
      <c r="C1207" s="39"/>
      <c r="D1207" s="39"/>
      <c r="E1207" s="39"/>
      <c r="F1207" s="39"/>
      <c r="G1207" s="39"/>
      <c r="H1207" s="39"/>
      <c r="I1207" s="39"/>
      <c r="J1207" s="39"/>
      <c r="K1207" s="39"/>
      <c r="L1207" s="39"/>
      <c r="M1207" s="39"/>
      <c r="N1207" s="39"/>
      <c r="O1207" s="39"/>
      <c r="P1207" s="39"/>
      <c r="Q1207" s="43">
        <v>3.5999999999999997E-2</v>
      </c>
      <c r="R1207" s="43"/>
      <c r="S1207" s="43"/>
      <c r="T1207" s="43"/>
      <c r="U1207" s="43"/>
      <c r="V1207" s="43"/>
      <c r="W1207" s="43"/>
      <c r="X1207" s="58">
        <v>10</v>
      </c>
      <c r="Y1207" s="58"/>
      <c r="Z1207" s="58"/>
      <c r="AA1207" s="58"/>
      <c r="AB1207" s="58"/>
      <c r="AC1207" s="43">
        <v>9.9870000000000001</v>
      </c>
      <c r="AD1207" s="43"/>
      <c r="AE1207" s="43"/>
      <c r="AF1207" s="43"/>
      <c r="AG1207" s="43"/>
      <c r="AH1207" s="43">
        <v>1.2999999999999999E-2</v>
      </c>
      <c r="AI1207" s="43"/>
      <c r="AJ1207" s="43"/>
      <c r="AK1207" s="43"/>
    </row>
    <row r="1208" spans="1:37" ht="21.75" hidden="1" customHeight="1" x14ac:dyDescent="0.2">
      <c r="A1208" s="21">
        <v>293</v>
      </c>
      <c r="B1208" s="39" t="s">
        <v>490</v>
      </c>
      <c r="C1208" s="39"/>
      <c r="D1208" s="39"/>
      <c r="E1208" s="39"/>
      <c r="F1208" s="39"/>
      <c r="G1208" s="39"/>
      <c r="H1208" s="39"/>
      <c r="I1208" s="39"/>
      <c r="J1208" s="39"/>
      <c r="K1208" s="39"/>
      <c r="L1208" s="39"/>
      <c r="M1208" s="39"/>
      <c r="N1208" s="39"/>
      <c r="O1208" s="39"/>
      <c r="P1208" s="39"/>
      <c r="Q1208" s="43">
        <v>3.5000000000000003E-2</v>
      </c>
      <c r="R1208" s="43"/>
      <c r="S1208" s="43"/>
      <c r="T1208" s="43"/>
      <c r="U1208" s="43"/>
      <c r="V1208" s="43"/>
      <c r="W1208" s="43"/>
      <c r="X1208" s="41">
        <v>17.25</v>
      </c>
      <c r="Y1208" s="41"/>
      <c r="Z1208" s="41"/>
      <c r="AA1208" s="41"/>
      <c r="AB1208" s="41"/>
      <c r="AC1208" s="43">
        <v>17.504000000000001</v>
      </c>
      <c r="AD1208" s="43"/>
      <c r="AE1208" s="43"/>
      <c r="AF1208" s="43"/>
      <c r="AG1208" s="43"/>
      <c r="AH1208" s="43">
        <v>-0.254</v>
      </c>
      <c r="AI1208" s="43"/>
      <c r="AJ1208" s="43"/>
      <c r="AK1208" s="43"/>
    </row>
    <row r="1209" spans="1:37" ht="11.25" hidden="1" customHeight="1" x14ac:dyDescent="0.2">
      <c r="A1209" s="21">
        <v>294</v>
      </c>
      <c r="B1209" s="39" t="s">
        <v>828</v>
      </c>
      <c r="C1209" s="39"/>
      <c r="D1209" s="39"/>
      <c r="E1209" s="39"/>
      <c r="F1209" s="39"/>
      <c r="G1209" s="39"/>
      <c r="H1209" s="39"/>
      <c r="I1209" s="39"/>
      <c r="J1209" s="39"/>
      <c r="K1209" s="39"/>
      <c r="L1209" s="39"/>
      <c r="M1209" s="39"/>
      <c r="N1209" s="39"/>
      <c r="O1209" s="39"/>
      <c r="P1209" s="39"/>
      <c r="Q1209" s="43">
        <v>3.5000000000000003E-2</v>
      </c>
      <c r="R1209" s="43"/>
      <c r="S1209" s="43"/>
      <c r="T1209" s="43"/>
      <c r="U1209" s="43"/>
      <c r="V1209" s="43"/>
      <c r="W1209" s="43"/>
      <c r="X1209" s="59">
        <v>16.5</v>
      </c>
      <c r="Y1209" s="59"/>
      <c r="Z1209" s="59"/>
      <c r="AA1209" s="59"/>
      <c r="AB1209" s="59"/>
      <c r="AC1209" s="41">
        <v>16.75</v>
      </c>
      <c r="AD1209" s="41"/>
      <c r="AE1209" s="41"/>
      <c r="AF1209" s="41"/>
      <c r="AG1209" s="41"/>
      <c r="AH1209" s="41">
        <v>-0.25</v>
      </c>
      <c r="AI1209" s="41"/>
      <c r="AJ1209" s="41"/>
      <c r="AK1209" s="41"/>
    </row>
    <row r="1210" spans="1:37" ht="11.25" hidden="1" customHeight="1" x14ac:dyDescent="0.2">
      <c r="A1210" s="21">
        <v>295</v>
      </c>
      <c r="B1210" s="39" t="s">
        <v>628</v>
      </c>
      <c r="C1210" s="39"/>
      <c r="D1210" s="39"/>
      <c r="E1210" s="39"/>
      <c r="F1210" s="39"/>
      <c r="G1210" s="39"/>
      <c r="H1210" s="39"/>
      <c r="I1210" s="39"/>
      <c r="J1210" s="39"/>
      <c r="K1210" s="39"/>
      <c r="L1210" s="39"/>
      <c r="M1210" s="39"/>
      <c r="N1210" s="39"/>
      <c r="O1210" s="39"/>
      <c r="P1210" s="39"/>
      <c r="Q1210" s="43">
        <v>3.5000000000000003E-2</v>
      </c>
      <c r="R1210" s="43"/>
      <c r="S1210" s="43"/>
      <c r="T1210" s="43"/>
      <c r="U1210" s="43"/>
      <c r="V1210" s="43"/>
      <c r="W1210" s="43"/>
      <c r="X1210" s="59">
        <v>20.3</v>
      </c>
      <c r="Y1210" s="59"/>
      <c r="Z1210" s="59"/>
      <c r="AA1210" s="59"/>
      <c r="AB1210" s="59"/>
      <c r="AC1210" s="43">
        <v>20.718</v>
      </c>
      <c r="AD1210" s="43"/>
      <c r="AE1210" s="43"/>
      <c r="AF1210" s="43"/>
      <c r="AG1210" s="43"/>
      <c r="AH1210" s="43">
        <v>-0.41799999999999998</v>
      </c>
      <c r="AI1210" s="43"/>
      <c r="AJ1210" s="43"/>
      <c r="AK1210" s="43"/>
    </row>
    <row r="1211" spans="1:37" ht="21.75" hidden="1" customHeight="1" x14ac:dyDescent="0.2">
      <c r="A1211" s="21">
        <v>296</v>
      </c>
      <c r="B1211" s="39" t="s">
        <v>445</v>
      </c>
      <c r="C1211" s="39"/>
      <c r="D1211" s="39"/>
      <c r="E1211" s="39"/>
      <c r="F1211" s="39"/>
      <c r="G1211" s="39"/>
      <c r="H1211" s="39"/>
      <c r="I1211" s="39"/>
      <c r="J1211" s="39"/>
      <c r="K1211" s="39"/>
      <c r="L1211" s="39"/>
      <c r="M1211" s="39"/>
      <c r="N1211" s="39"/>
      <c r="O1211" s="39"/>
      <c r="P1211" s="39"/>
      <c r="Q1211" s="43">
        <v>3.4000000000000002E-2</v>
      </c>
      <c r="R1211" s="43"/>
      <c r="S1211" s="43"/>
      <c r="T1211" s="43"/>
      <c r="U1211" s="43"/>
      <c r="V1211" s="43"/>
      <c r="W1211" s="43"/>
      <c r="X1211" s="59">
        <v>15.6</v>
      </c>
      <c r="Y1211" s="59"/>
      <c r="Z1211" s="59"/>
      <c r="AA1211" s="59"/>
      <c r="AB1211" s="59"/>
      <c r="AC1211" s="43">
        <v>15.936</v>
      </c>
      <c r="AD1211" s="43"/>
      <c r="AE1211" s="43"/>
      <c r="AF1211" s="43"/>
      <c r="AG1211" s="43"/>
      <c r="AH1211" s="43">
        <v>-0.33600000000000002</v>
      </c>
      <c r="AI1211" s="43"/>
      <c r="AJ1211" s="43"/>
      <c r="AK1211" s="43"/>
    </row>
    <row r="1212" spans="1:37" ht="11.25" hidden="1" customHeight="1" x14ac:dyDescent="0.2">
      <c r="A1212" s="21">
        <v>297</v>
      </c>
      <c r="B1212" s="39" t="s">
        <v>631</v>
      </c>
      <c r="C1212" s="39"/>
      <c r="D1212" s="39"/>
      <c r="E1212" s="39"/>
      <c r="F1212" s="39"/>
      <c r="G1212" s="39"/>
      <c r="H1212" s="39"/>
      <c r="I1212" s="39"/>
      <c r="J1212" s="39"/>
      <c r="K1212" s="39"/>
      <c r="L1212" s="39"/>
      <c r="M1212" s="39"/>
      <c r="N1212" s="39"/>
      <c r="O1212" s="39"/>
      <c r="P1212" s="39"/>
      <c r="Q1212" s="43">
        <v>3.3000000000000002E-2</v>
      </c>
      <c r="R1212" s="43"/>
      <c r="S1212" s="43"/>
      <c r="T1212" s="43"/>
      <c r="U1212" s="43"/>
      <c r="V1212" s="43"/>
      <c r="W1212" s="43"/>
      <c r="X1212" s="41">
        <v>93.13</v>
      </c>
      <c r="Y1212" s="41"/>
      <c r="Z1212" s="41"/>
      <c r="AA1212" s="41"/>
      <c r="AB1212" s="41"/>
      <c r="AC1212" s="43">
        <v>93.594999999999999</v>
      </c>
      <c r="AD1212" s="43"/>
      <c r="AE1212" s="43"/>
      <c r="AF1212" s="43"/>
      <c r="AG1212" s="43"/>
      <c r="AH1212" s="43">
        <v>-0.46500000000000002</v>
      </c>
      <c r="AI1212" s="43"/>
      <c r="AJ1212" s="43"/>
      <c r="AK1212" s="43"/>
    </row>
    <row r="1213" spans="1:37" ht="21.75" hidden="1" customHeight="1" x14ac:dyDescent="0.2">
      <c r="A1213" s="21">
        <v>298</v>
      </c>
      <c r="B1213" s="39" t="s">
        <v>596</v>
      </c>
      <c r="C1213" s="39"/>
      <c r="D1213" s="39"/>
      <c r="E1213" s="39"/>
      <c r="F1213" s="39"/>
      <c r="G1213" s="39"/>
      <c r="H1213" s="39"/>
      <c r="I1213" s="39"/>
      <c r="J1213" s="39"/>
      <c r="K1213" s="39"/>
      <c r="L1213" s="39"/>
      <c r="M1213" s="39"/>
      <c r="N1213" s="39"/>
      <c r="O1213" s="39"/>
      <c r="P1213" s="39"/>
      <c r="Q1213" s="43">
        <v>3.3000000000000002E-2</v>
      </c>
      <c r="R1213" s="43"/>
      <c r="S1213" s="43"/>
      <c r="T1213" s="43"/>
      <c r="U1213" s="43"/>
      <c r="V1213" s="43"/>
      <c r="W1213" s="43"/>
      <c r="X1213" s="43">
        <v>15.875</v>
      </c>
      <c r="Y1213" s="43"/>
      <c r="Z1213" s="43"/>
      <c r="AA1213" s="43"/>
      <c r="AB1213" s="43"/>
      <c r="AC1213" s="43">
        <v>16.803999999999998</v>
      </c>
      <c r="AD1213" s="43"/>
      <c r="AE1213" s="43"/>
      <c r="AF1213" s="43"/>
      <c r="AG1213" s="43"/>
      <c r="AH1213" s="43">
        <v>-0.92900000000000005</v>
      </c>
      <c r="AI1213" s="43"/>
      <c r="AJ1213" s="43"/>
      <c r="AK1213" s="43"/>
    </row>
    <row r="1214" spans="1:37" ht="11.25" hidden="1" customHeight="1" x14ac:dyDescent="0.2">
      <c r="A1214" s="21">
        <v>299</v>
      </c>
      <c r="B1214" s="39" t="s">
        <v>629</v>
      </c>
      <c r="C1214" s="39"/>
      <c r="D1214" s="39"/>
      <c r="E1214" s="39"/>
      <c r="F1214" s="39"/>
      <c r="G1214" s="39"/>
      <c r="H1214" s="39"/>
      <c r="I1214" s="39"/>
      <c r="J1214" s="39"/>
      <c r="K1214" s="39"/>
      <c r="L1214" s="39"/>
      <c r="M1214" s="39"/>
      <c r="N1214" s="39"/>
      <c r="O1214" s="39"/>
      <c r="P1214" s="39"/>
      <c r="Q1214" s="43">
        <v>3.3000000000000002E-2</v>
      </c>
      <c r="R1214" s="43"/>
      <c r="S1214" s="43"/>
      <c r="T1214" s="43"/>
      <c r="U1214" s="43"/>
      <c r="V1214" s="43"/>
      <c r="W1214" s="43"/>
      <c r="X1214" s="41">
        <v>21.25</v>
      </c>
      <c r="Y1214" s="41"/>
      <c r="Z1214" s="41"/>
      <c r="AA1214" s="41"/>
      <c r="AB1214" s="41"/>
      <c r="AC1214" s="43">
        <v>21.532</v>
      </c>
      <c r="AD1214" s="43"/>
      <c r="AE1214" s="43"/>
      <c r="AF1214" s="43"/>
      <c r="AG1214" s="43"/>
      <c r="AH1214" s="43">
        <v>-0.28199999999999997</v>
      </c>
      <c r="AI1214" s="43"/>
      <c r="AJ1214" s="43"/>
      <c r="AK1214" s="43"/>
    </row>
    <row r="1215" spans="1:37" ht="11.25" hidden="1" customHeight="1" x14ac:dyDescent="0.2">
      <c r="A1215" s="21">
        <v>300</v>
      </c>
      <c r="B1215" s="39" t="s">
        <v>630</v>
      </c>
      <c r="C1215" s="39"/>
      <c r="D1215" s="39"/>
      <c r="E1215" s="39"/>
      <c r="F1215" s="39"/>
      <c r="G1215" s="39"/>
      <c r="H1215" s="39"/>
      <c r="I1215" s="39"/>
      <c r="J1215" s="39"/>
      <c r="K1215" s="39"/>
      <c r="L1215" s="39"/>
      <c r="M1215" s="39"/>
      <c r="N1215" s="39"/>
      <c r="O1215" s="39"/>
      <c r="P1215" s="39"/>
      <c r="Q1215" s="43">
        <v>3.3000000000000002E-2</v>
      </c>
      <c r="R1215" s="43"/>
      <c r="S1215" s="43"/>
      <c r="T1215" s="43"/>
      <c r="U1215" s="43"/>
      <c r="V1215" s="43"/>
      <c r="W1215" s="43"/>
      <c r="X1215" s="41">
        <v>24.23</v>
      </c>
      <c r="Y1215" s="41"/>
      <c r="Z1215" s="41"/>
      <c r="AA1215" s="41"/>
      <c r="AB1215" s="41"/>
      <c r="AC1215" s="43">
        <v>24.236000000000001</v>
      </c>
      <c r="AD1215" s="43"/>
      <c r="AE1215" s="43"/>
      <c r="AF1215" s="43"/>
      <c r="AG1215" s="43"/>
      <c r="AH1215" s="43">
        <v>-6.0000000000000001E-3</v>
      </c>
      <c r="AI1215" s="43"/>
      <c r="AJ1215" s="43"/>
      <c r="AK1215" s="43"/>
    </row>
    <row r="1216" spans="1:37" ht="11.25" hidden="1" customHeight="1" x14ac:dyDescent="0.2">
      <c r="A1216" s="21">
        <v>301</v>
      </c>
      <c r="B1216" s="39" t="s">
        <v>632</v>
      </c>
      <c r="C1216" s="39"/>
      <c r="D1216" s="39"/>
      <c r="E1216" s="39"/>
      <c r="F1216" s="39"/>
      <c r="G1216" s="39"/>
      <c r="H1216" s="39"/>
      <c r="I1216" s="39"/>
      <c r="J1216" s="39"/>
      <c r="K1216" s="39"/>
      <c r="L1216" s="39"/>
      <c r="M1216" s="39"/>
      <c r="N1216" s="39"/>
      <c r="O1216" s="39"/>
      <c r="P1216" s="39"/>
      <c r="Q1216" s="43">
        <v>3.2000000000000001E-2</v>
      </c>
      <c r="R1216" s="43"/>
      <c r="S1216" s="43"/>
      <c r="T1216" s="43"/>
      <c r="U1216" s="43"/>
      <c r="V1216" s="43"/>
      <c r="W1216" s="43"/>
      <c r="X1216" s="59">
        <v>18.399999999999999</v>
      </c>
      <c r="Y1216" s="59"/>
      <c r="Z1216" s="59"/>
      <c r="AA1216" s="59"/>
      <c r="AB1216" s="59"/>
      <c r="AC1216" s="41">
        <v>18.52</v>
      </c>
      <c r="AD1216" s="41"/>
      <c r="AE1216" s="41"/>
      <c r="AF1216" s="41"/>
      <c r="AG1216" s="41"/>
      <c r="AH1216" s="41">
        <v>-0.12</v>
      </c>
      <c r="AI1216" s="41"/>
      <c r="AJ1216" s="41"/>
      <c r="AK1216" s="41"/>
    </row>
    <row r="1217" spans="1:37" ht="21.75" hidden="1" customHeight="1" x14ac:dyDescent="0.2">
      <c r="A1217" s="21">
        <v>302</v>
      </c>
      <c r="B1217" s="39" t="s">
        <v>802</v>
      </c>
      <c r="C1217" s="39"/>
      <c r="D1217" s="39"/>
      <c r="E1217" s="39"/>
      <c r="F1217" s="39"/>
      <c r="G1217" s="39"/>
      <c r="H1217" s="39"/>
      <c r="I1217" s="39"/>
      <c r="J1217" s="39"/>
      <c r="K1217" s="39"/>
      <c r="L1217" s="39"/>
      <c r="M1217" s="39"/>
      <c r="N1217" s="39"/>
      <c r="O1217" s="39"/>
      <c r="P1217" s="39"/>
      <c r="Q1217" s="43">
        <v>3.1E-2</v>
      </c>
      <c r="R1217" s="43"/>
      <c r="S1217" s="43"/>
      <c r="T1217" s="43"/>
      <c r="U1217" s="43"/>
      <c r="V1217" s="43"/>
      <c r="W1217" s="43"/>
      <c r="X1217" s="59">
        <v>21.7</v>
      </c>
      <c r="Y1217" s="59"/>
      <c r="Z1217" s="59"/>
      <c r="AA1217" s="59"/>
      <c r="AB1217" s="59"/>
      <c r="AC1217" s="43">
        <v>22.073</v>
      </c>
      <c r="AD1217" s="43"/>
      <c r="AE1217" s="43"/>
      <c r="AF1217" s="43"/>
      <c r="AG1217" s="43"/>
      <c r="AH1217" s="43">
        <v>-0.373</v>
      </c>
      <c r="AI1217" s="43"/>
      <c r="AJ1217" s="43"/>
      <c r="AK1217" s="43"/>
    </row>
    <row r="1218" spans="1:37" ht="21.75" hidden="1" customHeight="1" x14ac:dyDescent="0.2">
      <c r="A1218" s="21">
        <v>303</v>
      </c>
      <c r="B1218" s="39" t="s">
        <v>547</v>
      </c>
      <c r="C1218" s="39"/>
      <c r="D1218" s="39"/>
      <c r="E1218" s="39"/>
      <c r="F1218" s="39"/>
      <c r="G1218" s="39"/>
      <c r="H1218" s="39"/>
      <c r="I1218" s="39"/>
      <c r="J1218" s="39"/>
      <c r="K1218" s="39"/>
      <c r="L1218" s="39"/>
      <c r="M1218" s="39"/>
      <c r="N1218" s="39"/>
      <c r="O1218" s="39"/>
      <c r="P1218" s="39"/>
      <c r="Q1218" s="43">
        <v>3.1E-2</v>
      </c>
      <c r="R1218" s="43"/>
      <c r="S1218" s="43"/>
      <c r="T1218" s="43"/>
      <c r="U1218" s="43"/>
      <c r="V1218" s="43"/>
      <c r="W1218" s="43"/>
      <c r="X1218" s="59">
        <v>16.100000000000001</v>
      </c>
      <c r="Y1218" s="59"/>
      <c r="Z1218" s="59"/>
      <c r="AA1218" s="59"/>
      <c r="AB1218" s="59"/>
      <c r="AC1218" s="43">
        <v>16.577999999999999</v>
      </c>
      <c r="AD1218" s="43"/>
      <c r="AE1218" s="43"/>
      <c r="AF1218" s="43"/>
      <c r="AG1218" s="43"/>
      <c r="AH1218" s="43">
        <v>-0.47799999999999998</v>
      </c>
      <c r="AI1218" s="43"/>
      <c r="AJ1218" s="43"/>
      <c r="AK1218" s="43"/>
    </row>
    <row r="1219" spans="1:37" ht="11.25" hidden="1" customHeight="1" x14ac:dyDescent="0.2">
      <c r="A1219" s="21">
        <v>304</v>
      </c>
      <c r="B1219" s="39" t="s">
        <v>412</v>
      </c>
      <c r="C1219" s="39"/>
      <c r="D1219" s="39"/>
      <c r="E1219" s="39"/>
      <c r="F1219" s="39"/>
      <c r="G1219" s="39"/>
      <c r="H1219" s="39"/>
      <c r="I1219" s="39"/>
      <c r="J1219" s="39"/>
      <c r="K1219" s="39"/>
      <c r="L1219" s="39"/>
      <c r="M1219" s="39"/>
      <c r="N1219" s="39"/>
      <c r="O1219" s="39"/>
      <c r="P1219" s="39"/>
      <c r="Q1219" s="41">
        <v>0.03</v>
      </c>
      <c r="R1219" s="41"/>
      <c r="S1219" s="41"/>
      <c r="T1219" s="41"/>
      <c r="U1219" s="41"/>
      <c r="V1219" s="41"/>
      <c r="W1219" s="41"/>
      <c r="X1219" s="59">
        <v>12.3</v>
      </c>
      <c r="Y1219" s="59"/>
      <c r="Z1219" s="59"/>
      <c r="AA1219" s="59"/>
      <c r="AB1219" s="59"/>
      <c r="AC1219" s="43">
        <v>12.722</v>
      </c>
      <c r="AD1219" s="43"/>
      <c r="AE1219" s="43"/>
      <c r="AF1219" s="43"/>
      <c r="AG1219" s="43"/>
      <c r="AH1219" s="43">
        <v>-0.42199999999999999</v>
      </c>
      <c r="AI1219" s="43"/>
      <c r="AJ1219" s="43"/>
      <c r="AK1219" s="43"/>
    </row>
    <row r="1220" spans="1:37" ht="11.25" hidden="1" customHeight="1" x14ac:dyDescent="0.2">
      <c r="A1220" s="21">
        <v>305</v>
      </c>
      <c r="B1220" s="39" t="s">
        <v>634</v>
      </c>
      <c r="C1220" s="39"/>
      <c r="D1220" s="39"/>
      <c r="E1220" s="39"/>
      <c r="F1220" s="39"/>
      <c r="G1220" s="39"/>
      <c r="H1220" s="39"/>
      <c r="I1220" s="39"/>
      <c r="J1220" s="39"/>
      <c r="K1220" s="39"/>
      <c r="L1220" s="39"/>
      <c r="M1220" s="39"/>
      <c r="N1220" s="39"/>
      <c r="O1220" s="39"/>
      <c r="P1220" s="39"/>
      <c r="Q1220" s="43">
        <v>2.8000000000000001E-2</v>
      </c>
      <c r="R1220" s="43"/>
      <c r="S1220" s="43"/>
      <c r="T1220" s="43"/>
      <c r="U1220" s="43"/>
      <c r="V1220" s="43"/>
      <c r="W1220" s="43"/>
      <c r="X1220" s="59">
        <v>62.8</v>
      </c>
      <c r="Y1220" s="59"/>
      <c r="Z1220" s="59"/>
      <c r="AA1220" s="59"/>
      <c r="AB1220" s="59"/>
      <c r="AC1220" s="43">
        <v>63.177999999999997</v>
      </c>
      <c r="AD1220" s="43"/>
      <c r="AE1220" s="43"/>
      <c r="AF1220" s="43"/>
      <c r="AG1220" s="43"/>
      <c r="AH1220" s="43">
        <v>-0.378</v>
      </c>
      <c r="AI1220" s="43"/>
      <c r="AJ1220" s="43"/>
      <c r="AK1220" s="43"/>
    </row>
    <row r="1221" spans="1:37" ht="11.25" hidden="1" customHeight="1" x14ac:dyDescent="0.2">
      <c r="A1221" s="21">
        <v>306</v>
      </c>
      <c r="B1221" s="39" t="s">
        <v>633</v>
      </c>
      <c r="C1221" s="39"/>
      <c r="D1221" s="39"/>
      <c r="E1221" s="39"/>
      <c r="F1221" s="39"/>
      <c r="G1221" s="39"/>
      <c r="H1221" s="39"/>
      <c r="I1221" s="39"/>
      <c r="J1221" s="39"/>
      <c r="K1221" s="39"/>
      <c r="L1221" s="39"/>
      <c r="M1221" s="39"/>
      <c r="N1221" s="39"/>
      <c r="O1221" s="39"/>
      <c r="P1221" s="39"/>
      <c r="Q1221" s="43">
        <v>2.8000000000000001E-2</v>
      </c>
      <c r="R1221" s="43"/>
      <c r="S1221" s="43"/>
      <c r="T1221" s="43"/>
      <c r="U1221" s="43"/>
      <c r="V1221" s="43"/>
      <c r="W1221" s="43"/>
      <c r="X1221" s="41">
        <v>9.85</v>
      </c>
      <c r="Y1221" s="41"/>
      <c r="Z1221" s="41"/>
      <c r="AA1221" s="41"/>
      <c r="AB1221" s="41"/>
      <c r="AC1221" s="43">
        <v>9.9280000000000008</v>
      </c>
      <c r="AD1221" s="43"/>
      <c r="AE1221" s="43"/>
      <c r="AF1221" s="43"/>
      <c r="AG1221" s="43"/>
      <c r="AH1221" s="43">
        <v>-7.8E-2</v>
      </c>
      <c r="AI1221" s="43"/>
      <c r="AJ1221" s="43"/>
      <c r="AK1221" s="43"/>
    </row>
    <row r="1222" spans="1:37" ht="11.25" hidden="1" customHeight="1" x14ac:dyDescent="0.2">
      <c r="A1222" s="21">
        <v>307</v>
      </c>
      <c r="B1222" s="39" t="s">
        <v>858</v>
      </c>
      <c r="C1222" s="39"/>
      <c r="D1222" s="39"/>
      <c r="E1222" s="39"/>
      <c r="F1222" s="39"/>
      <c r="G1222" s="39"/>
      <c r="H1222" s="39"/>
      <c r="I1222" s="39"/>
      <c r="J1222" s="39"/>
      <c r="K1222" s="39"/>
      <c r="L1222" s="39"/>
      <c r="M1222" s="39"/>
      <c r="N1222" s="39"/>
      <c r="O1222" s="39"/>
      <c r="P1222" s="39"/>
      <c r="Q1222" s="43">
        <v>2.8000000000000001E-2</v>
      </c>
      <c r="R1222" s="43"/>
      <c r="S1222" s="43"/>
      <c r="T1222" s="43"/>
      <c r="U1222" s="43"/>
      <c r="V1222" s="43"/>
      <c r="W1222" s="43"/>
      <c r="X1222" s="41">
        <v>15.75</v>
      </c>
      <c r="Y1222" s="41"/>
      <c r="Z1222" s="41"/>
      <c r="AA1222" s="41"/>
      <c r="AB1222" s="41"/>
      <c r="AC1222" s="43">
        <v>15.964</v>
      </c>
      <c r="AD1222" s="43"/>
      <c r="AE1222" s="43"/>
      <c r="AF1222" s="43"/>
      <c r="AG1222" s="43"/>
      <c r="AH1222" s="43">
        <v>-0.214</v>
      </c>
      <c r="AI1222" s="43"/>
      <c r="AJ1222" s="43"/>
      <c r="AK1222" s="43"/>
    </row>
    <row r="1223" spans="1:37" ht="21.75" hidden="1" customHeight="1" x14ac:dyDescent="0.2">
      <c r="A1223" s="21">
        <v>308</v>
      </c>
      <c r="B1223" s="39" t="s">
        <v>548</v>
      </c>
      <c r="C1223" s="39"/>
      <c r="D1223" s="39"/>
      <c r="E1223" s="39"/>
      <c r="F1223" s="39"/>
      <c r="G1223" s="39"/>
      <c r="H1223" s="39"/>
      <c r="I1223" s="39"/>
      <c r="J1223" s="39"/>
      <c r="K1223" s="39"/>
      <c r="L1223" s="39"/>
      <c r="M1223" s="39"/>
      <c r="N1223" s="39"/>
      <c r="O1223" s="39"/>
      <c r="P1223" s="39"/>
      <c r="Q1223" s="43">
        <v>2.7E-2</v>
      </c>
      <c r="R1223" s="43"/>
      <c r="S1223" s="43"/>
      <c r="T1223" s="43"/>
      <c r="U1223" s="43"/>
      <c r="V1223" s="43"/>
      <c r="W1223" s="43"/>
      <c r="X1223" s="59">
        <v>23.2</v>
      </c>
      <c r="Y1223" s="59"/>
      <c r="Z1223" s="59"/>
      <c r="AA1223" s="59"/>
      <c r="AB1223" s="59"/>
      <c r="AC1223" s="43">
        <v>23.744</v>
      </c>
      <c r="AD1223" s="43"/>
      <c r="AE1223" s="43"/>
      <c r="AF1223" s="43"/>
      <c r="AG1223" s="43"/>
      <c r="AH1223" s="43">
        <v>-0.54400000000000004</v>
      </c>
      <c r="AI1223" s="43"/>
      <c r="AJ1223" s="43"/>
      <c r="AK1223" s="43"/>
    </row>
    <row r="1224" spans="1:37" ht="11.25" hidden="1" customHeight="1" x14ac:dyDescent="0.2">
      <c r="A1224" s="21">
        <v>309</v>
      </c>
      <c r="B1224" s="39" t="s">
        <v>413</v>
      </c>
      <c r="C1224" s="39"/>
      <c r="D1224" s="39"/>
      <c r="E1224" s="39"/>
      <c r="F1224" s="39"/>
      <c r="G1224" s="39"/>
      <c r="H1224" s="39"/>
      <c r="I1224" s="39"/>
      <c r="J1224" s="39"/>
      <c r="K1224" s="39"/>
      <c r="L1224" s="39"/>
      <c r="M1224" s="39"/>
      <c r="N1224" s="39"/>
      <c r="O1224" s="39"/>
      <c r="P1224" s="39"/>
      <c r="Q1224" s="43">
        <v>2.5000000000000001E-2</v>
      </c>
      <c r="R1224" s="43"/>
      <c r="S1224" s="43"/>
      <c r="T1224" s="43"/>
      <c r="U1224" s="43"/>
      <c r="V1224" s="43"/>
      <c r="W1224" s="43"/>
      <c r="X1224" s="41">
        <v>18.25</v>
      </c>
      <c r="Y1224" s="41"/>
      <c r="Z1224" s="41"/>
      <c r="AA1224" s="41"/>
      <c r="AB1224" s="41"/>
      <c r="AC1224" s="43">
        <v>18.693000000000001</v>
      </c>
      <c r="AD1224" s="43"/>
      <c r="AE1224" s="43"/>
      <c r="AF1224" s="43"/>
      <c r="AG1224" s="43"/>
      <c r="AH1224" s="43">
        <v>-0.443</v>
      </c>
      <c r="AI1224" s="43"/>
      <c r="AJ1224" s="43"/>
      <c r="AK1224" s="43"/>
    </row>
    <row r="1225" spans="1:37" ht="21.75" hidden="1" customHeight="1" x14ac:dyDescent="0.2">
      <c r="A1225" s="21">
        <v>310</v>
      </c>
      <c r="B1225" s="39" t="s">
        <v>663</v>
      </c>
      <c r="C1225" s="39"/>
      <c r="D1225" s="39"/>
      <c r="E1225" s="39"/>
      <c r="F1225" s="39"/>
      <c r="G1225" s="39"/>
      <c r="H1225" s="39"/>
      <c r="I1225" s="39"/>
      <c r="J1225" s="39"/>
      <c r="K1225" s="39"/>
      <c r="L1225" s="39"/>
      <c r="M1225" s="39"/>
      <c r="N1225" s="39"/>
      <c r="O1225" s="39"/>
      <c r="P1225" s="39"/>
      <c r="Q1225" s="43">
        <v>2.4E-2</v>
      </c>
      <c r="R1225" s="43"/>
      <c r="S1225" s="43"/>
      <c r="T1225" s="43"/>
      <c r="U1225" s="43"/>
      <c r="V1225" s="43"/>
      <c r="W1225" s="43"/>
      <c r="X1225" s="41">
        <v>21.33</v>
      </c>
      <c r="Y1225" s="41"/>
      <c r="Z1225" s="41"/>
      <c r="AA1225" s="41"/>
      <c r="AB1225" s="41"/>
      <c r="AC1225" s="43">
        <v>21.704000000000001</v>
      </c>
      <c r="AD1225" s="43"/>
      <c r="AE1225" s="43"/>
      <c r="AF1225" s="43"/>
      <c r="AG1225" s="43"/>
      <c r="AH1225" s="43">
        <v>-0.374</v>
      </c>
      <c r="AI1225" s="43"/>
      <c r="AJ1225" s="43"/>
      <c r="AK1225" s="43"/>
    </row>
    <row r="1226" spans="1:37" ht="21.75" hidden="1" customHeight="1" x14ac:dyDescent="0.2">
      <c r="A1226" s="21">
        <v>311</v>
      </c>
      <c r="B1226" s="39" t="s">
        <v>446</v>
      </c>
      <c r="C1226" s="39"/>
      <c r="D1226" s="39"/>
      <c r="E1226" s="39"/>
      <c r="F1226" s="39"/>
      <c r="G1226" s="39"/>
      <c r="H1226" s="39"/>
      <c r="I1226" s="39"/>
      <c r="J1226" s="39"/>
      <c r="K1226" s="39"/>
      <c r="L1226" s="39"/>
      <c r="M1226" s="39"/>
      <c r="N1226" s="39"/>
      <c r="O1226" s="39"/>
      <c r="P1226" s="39"/>
      <c r="Q1226" s="43">
        <v>2.4E-2</v>
      </c>
      <c r="R1226" s="43"/>
      <c r="S1226" s="43"/>
      <c r="T1226" s="43"/>
      <c r="U1226" s="43"/>
      <c r="V1226" s="43"/>
      <c r="W1226" s="43"/>
      <c r="X1226" s="59">
        <v>27.5</v>
      </c>
      <c r="Y1226" s="59"/>
      <c r="Z1226" s="59"/>
      <c r="AA1226" s="59"/>
      <c r="AB1226" s="59"/>
      <c r="AC1226" s="43">
        <v>27.486999999999998</v>
      </c>
      <c r="AD1226" s="43"/>
      <c r="AE1226" s="43"/>
      <c r="AF1226" s="43"/>
      <c r="AG1226" s="43"/>
      <c r="AH1226" s="43">
        <v>1.2999999999999999E-2</v>
      </c>
      <c r="AI1226" s="43"/>
      <c r="AJ1226" s="43"/>
      <c r="AK1226" s="43"/>
    </row>
    <row r="1227" spans="1:37" ht="11.25" hidden="1" customHeight="1" x14ac:dyDescent="0.2">
      <c r="A1227" s="21">
        <v>312</v>
      </c>
      <c r="B1227" s="39" t="s">
        <v>635</v>
      </c>
      <c r="C1227" s="39"/>
      <c r="D1227" s="39"/>
      <c r="E1227" s="39"/>
      <c r="F1227" s="39"/>
      <c r="G1227" s="39"/>
      <c r="H1227" s="39"/>
      <c r="I1227" s="39"/>
      <c r="J1227" s="39"/>
      <c r="K1227" s="39"/>
      <c r="L1227" s="39"/>
      <c r="M1227" s="39"/>
      <c r="N1227" s="39"/>
      <c r="O1227" s="39"/>
      <c r="P1227" s="39"/>
      <c r="Q1227" s="43">
        <v>2.3E-2</v>
      </c>
      <c r="R1227" s="43"/>
      <c r="S1227" s="43"/>
      <c r="T1227" s="43"/>
      <c r="U1227" s="43"/>
      <c r="V1227" s="43"/>
      <c r="W1227" s="43"/>
      <c r="X1227" s="59">
        <v>12.8</v>
      </c>
      <c r="Y1227" s="59"/>
      <c r="Z1227" s="59"/>
      <c r="AA1227" s="59"/>
      <c r="AB1227" s="59"/>
      <c r="AC1227" s="43">
        <v>12.971</v>
      </c>
      <c r="AD1227" s="43"/>
      <c r="AE1227" s="43"/>
      <c r="AF1227" s="43"/>
      <c r="AG1227" s="43"/>
      <c r="AH1227" s="43">
        <v>-0.17100000000000001</v>
      </c>
      <c r="AI1227" s="43"/>
      <c r="AJ1227" s="43"/>
      <c r="AK1227" s="43"/>
    </row>
    <row r="1228" spans="1:37" ht="21.75" hidden="1" customHeight="1" x14ac:dyDescent="0.2">
      <c r="A1228" s="21">
        <v>313</v>
      </c>
      <c r="B1228" s="39" t="s">
        <v>803</v>
      </c>
      <c r="C1228" s="39"/>
      <c r="D1228" s="39"/>
      <c r="E1228" s="39"/>
      <c r="F1228" s="39"/>
      <c r="G1228" s="39"/>
      <c r="H1228" s="39"/>
      <c r="I1228" s="39"/>
      <c r="J1228" s="39"/>
      <c r="K1228" s="39"/>
      <c r="L1228" s="39"/>
      <c r="M1228" s="39"/>
      <c r="N1228" s="39"/>
      <c r="O1228" s="39"/>
      <c r="P1228" s="39"/>
      <c r="Q1228" s="43">
        <v>2.1999999999999999E-2</v>
      </c>
      <c r="R1228" s="43"/>
      <c r="S1228" s="43"/>
      <c r="T1228" s="43"/>
      <c r="U1228" s="43"/>
      <c r="V1228" s="43"/>
      <c r="W1228" s="43"/>
      <c r="X1228" s="58">
        <v>17</v>
      </c>
      <c r="Y1228" s="58"/>
      <c r="Z1228" s="58"/>
      <c r="AA1228" s="58"/>
      <c r="AB1228" s="58"/>
      <c r="AC1228" s="43">
        <v>17.837</v>
      </c>
      <c r="AD1228" s="43"/>
      <c r="AE1228" s="43"/>
      <c r="AF1228" s="43"/>
      <c r="AG1228" s="43"/>
      <c r="AH1228" s="43">
        <v>-0.83699999999999997</v>
      </c>
      <c r="AI1228" s="43"/>
      <c r="AJ1228" s="43"/>
      <c r="AK1228" s="43"/>
    </row>
    <row r="1229" spans="1:37" ht="21.75" hidden="1" customHeight="1" x14ac:dyDescent="0.2">
      <c r="A1229" s="21">
        <v>314</v>
      </c>
      <c r="B1229" s="39" t="s">
        <v>597</v>
      </c>
      <c r="C1229" s="39"/>
      <c r="D1229" s="39"/>
      <c r="E1229" s="39"/>
      <c r="F1229" s="39"/>
      <c r="G1229" s="39"/>
      <c r="H1229" s="39"/>
      <c r="I1229" s="39"/>
      <c r="J1229" s="39"/>
      <c r="K1229" s="39"/>
      <c r="L1229" s="39"/>
      <c r="M1229" s="39"/>
      <c r="N1229" s="39"/>
      <c r="O1229" s="39"/>
      <c r="P1229" s="39"/>
      <c r="Q1229" s="43">
        <v>2.1999999999999999E-2</v>
      </c>
      <c r="R1229" s="43"/>
      <c r="S1229" s="43"/>
      <c r="T1229" s="43"/>
      <c r="U1229" s="43"/>
      <c r="V1229" s="43"/>
      <c r="W1229" s="43"/>
      <c r="X1229" s="41">
        <v>21.35</v>
      </c>
      <c r="Y1229" s="41"/>
      <c r="Z1229" s="41"/>
      <c r="AA1229" s="41"/>
      <c r="AB1229" s="41"/>
      <c r="AC1229" s="43">
        <v>22.405000000000001</v>
      </c>
      <c r="AD1229" s="43"/>
      <c r="AE1229" s="43"/>
      <c r="AF1229" s="43"/>
      <c r="AG1229" s="43"/>
      <c r="AH1229" s="43">
        <v>-1.0549999999999999</v>
      </c>
      <c r="AI1229" s="43"/>
      <c r="AJ1229" s="43"/>
      <c r="AK1229" s="43"/>
    </row>
    <row r="1230" spans="1:37" ht="11.25" hidden="1" customHeight="1" x14ac:dyDescent="0.2">
      <c r="A1230" s="21">
        <v>315</v>
      </c>
      <c r="B1230" s="39" t="s">
        <v>696</v>
      </c>
      <c r="C1230" s="39"/>
      <c r="D1230" s="39"/>
      <c r="E1230" s="39"/>
      <c r="F1230" s="39"/>
      <c r="G1230" s="39"/>
      <c r="H1230" s="39"/>
      <c r="I1230" s="39"/>
      <c r="J1230" s="39"/>
      <c r="K1230" s="39"/>
      <c r="L1230" s="39"/>
      <c r="M1230" s="39"/>
      <c r="N1230" s="39"/>
      <c r="O1230" s="39"/>
      <c r="P1230" s="39"/>
      <c r="Q1230" s="43">
        <v>2.1000000000000001E-2</v>
      </c>
      <c r="R1230" s="43"/>
      <c r="S1230" s="43"/>
      <c r="T1230" s="43"/>
      <c r="U1230" s="43"/>
      <c r="V1230" s="43"/>
      <c r="W1230" s="43"/>
      <c r="X1230" s="41">
        <v>12.79</v>
      </c>
      <c r="Y1230" s="41"/>
      <c r="Z1230" s="41"/>
      <c r="AA1230" s="41"/>
      <c r="AB1230" s="41"/>
      <c r="AC1230" s="43">
        <v>12.811</v>
      </c>
      <c r="AD1230" s="43"/>
      <c r="AE1230" s="43"/>
      <c r="AF1230" s="43"/>
      <c r="AG1230" s="43"/>
      <c r="AH1230" s="43">
        <v>-2.1000000000000001E-2</v>
      </c>
      <c r="AI1230" s="43"/>
      <c r="AJ1230" s="43"/>
      <c r="AK1230" s="43"/>
    </row>
    <row r="1231" spans="1:37" ht="11.25" hidden="1" customHeight="1" x14ac:dyDescent="0.2">
      <c r="A1231" s="21">
        <v>316</v>
      </c>
      <c r="B1231" s="39" t="s">
        <v>598</v>
      </c>
      <c r="C1231" s="39"/>
      <c r="D1231" s="39"/>
      <c r="E1231" s="39"/>
      <c r="F1231" s="39"/>
      <c r="G1231" s="39"/>
      <c r="H1231" s="39"/>
      <c r="I1231" s="39"/>
      <c r="J1231" s="39"/>
      <c r="K1231" s="39"/>
      <c r="L1231" s="39"/>
      <c r="M1231" s="39"/>
      <c r="N1231" s="39"/>
      <c r="O1231" s="39"/>
      <c r="P1231" s="39"/>
      <c r="Q1231" s="43">
        <v>2.1000000000000001E-2</v>
      </c>
      <c r="R1231" s="43"/>
      <c r="S1231" s="43"/>
      <c r="T1231" s="43"/>
      <c r="U1231" s="43"/>
      <c r="V1231" s="43"/>
      <c r="W1231" s="43"/>
      <c r="X1231" s="41">
        <v>24.36</v>
      </c>
      <c r="Y1231" s="41"/>
      <c r="Z1231" s="41"/>
      <c r="AA1231" s="41"/>
      <c r="AB1231" s="41"/>
      <c r="AC1231" s="43">
        <v>24.393000000000001</v>
      </c>
      <c r="AD1231" s="43"/>
      <c r="AE1231" s="43"/>
      <c r="AF1231" s="43"/>
      <c r="AG1231" s="43"/>
      <c r="AH1231" s="43">
        <v>-3.3000000000000002E-2</v>
      </c>
      <c r="AI1231" s="43"/>
      <c r="AJ1231" s="43"/>
      <c r="AK1231" s="43"/>
    </row>
    <row r="1232" spans="1:37" ht="11.25" hidden="1" customHeight="1" x14ac:dyDescent="0.2">
      <c r="A1232" s="21">
        <v>317</v>
      </c>
      <c r="B1232" s="39" t="s">
        <v>385</v>
      </c>
      <c r="C1232" s="39"/>
      <c r="D1232" s="39"/>
      <c r="E1232" s="39"/>
      <c r="F1232" s="39"/>
      <c r="G1232" s="39"/>
      <c r="H1232" s="39"/>
      <c r="I1232" s="39"/>
      <c r="J1232" s="39"/>
      <c r="K1232" s="39"/>
      <c r="L1232" s="39"/>
      <c r="M1232" s="39"/>
      <c r="N1232" s="39"/>
      <c r="O1232" s="39"/>
      <c r="P1232" s="39"/>
      <c r="Q1232" s="43">
        <v>1.9E-2</v>
      </c>
      <c r="R1232" s="43"/>
      <c r="S1232" s="43"/>
      <c r="T1232" s="43"/>
      <c r="U1232" s="43"/>
      <c r="V1232" s="43"/>
      <c r="W1232" s="43"/>
      <c r="X1232" s="59">
        <v>10.5</v>
      </c>
      <c r="Y1232" s="59"/>
      <c r="Z1232" s="59"/>
      <c r="AA1232" s="59"/>
      <c r="AB1232" s="59"/>
      <c r="AC1232" s="43">
        <v>10.747</v>
      </c>
      <c r="AD1232" s="43"/>
      <c r="AE1232" s="43"/>
      <c r="AF1232" s="43"/>
      <c r="AG1232" s="43"/>
      <c r="AH1232" s="43">
        <v>-0.247</v>
      </c>
      <c r="AI1232" s="43"/>
      <c r="AJ1232" s="43"/>
      <c r="AK1232" s="43"/>
    </row>
    <row r="1233" spans="1:37" ht="11.25" hidden="1" customHeight="1" x14ac:dyDescent="0.2">
      <c r="A1233" s="21">
        <v>318</v>
      </c>
      <c r="B1233" s="39" t="s">
        <v>636</v>
      </c>
      <c r="C1233" s="39"/>
      <c r="D1233" s="39"/>
      <c r="E1233" s="39"/>
      <c r="F1233" s="39"/>
      <c r="G1233" s="39"/>
      <c r="H1233" s="39"/>
      <c r="I1233" s="39"/>
      <c r="J1233" s="39"/>
      <c r="K1233" s="39"/>
      <c r="L1233" s="39"/>
      <c r="M1233" s="39"/>
      <c r="N1233" s="39"/>
      <c r="O1233" s="39"/>
      <c r="P1233" s="39"/>
      <c r="Q1233" s="43">
        <v>1.9E-2</v>
      </c>
      <c r="R1233" s="43"/>
      <c r="S1233" s="43"/>
      <c r="T1233" s="43"/>
      <c r="U1233" s="43"/>
      <c r="V1233" s="43"/>
      <c r="W1233" s="43"/>
      <c r="X1233" s="59">
        <v>16.600000000000001</v>
      </c>
      <c r="Y1233" s="59"/>
      <c r="Z1233" s="59"/>
      <c r="AA1233" s="59"/>
      <c r="AB1233" s="59"/>
      <c r="AC1233" s="43">
        <v>17.407</v>
      </c>
      <c r="AD1233" s="43"/>
      <c r="AE1233" s="43"/>
      <c r="AF1233" s="43"/>
      <c r="AG1233" s="43"/>
      <c r="AH1233" s="43">
        <v>-0.80700000000000005</v>
      </c>
      <c r="AI1233" s="43"/>
      <c r="AJ1233" s="43"/>
      <c r="AK1233" s="43"/>
    </row>
    <row r="1234" spans="1:37" ht="11.25" hidden="1" customHeight="1" x14ac:dyDescent="0.2">
      <c r="A1234" s="21">
        <v>319</v>
      </c>
      <c r="B1234" s="39" t="s">
        <v>637</v>
      </c>
      <c r="C1234" s="39"/>
      <c r="D1234" s="39"/>
      <c r="E1234" s="39"/>
      <c r="F1234" s="39"/>
      <c r="G1234" s="39"/>
      <c r="H1234" s="39"/>
      <c r="I1234" s="39"/>
      <c r="J1234" s="39"/>
      <c r="K1234" s="39"/>
      <c r="L1234" s="39"/>
      <c r="M1234" s="39"/>
      <c r="N1234" s="39"/>
      <c r="O1234" s="39"/>
      <c r="P1234" s="39"/>
      <c r="Q1234" s="43">
        <v>1.9E-2</v>
      </c>
      <c r="R1234" s="43"/>
      <c r="S1234" s="43"/>
      <c r="T1234" s="43"/>
      <c r="U1234" s="43"/>
      <c r="V1234" s="43"/>
      <c r="W1234" s="43"/>
      <c r="X1234" s="41">
        <v>37.81</v>
      </c>
      <c r="Y1234" s="41"/>
      <c r="Z1234" s="41"/>
      <c r="AA1234" s="41"/>
      <c r="AB1234" s="41"/>
      <c r="AC1234" s="43">
        <v>39.164000000000001</v>
      </c>
      <c r="AD1234" s="43"/>
      <c r="AE1234" s="43"/>
      <c r="AF1234" s="43"/>
      <c r="AG1234" s="43"/>
      <c r="AH1234" s="43">
        <v>-1.3540000000000001</v>
      </c>
      <c r="AI1234" s="43"/>
      <c r="AJ1234" s="43"/>
      <c r="AK1234" s="43"/>
    </row>
    <row r="1235" spans="1:37" ht="11.25" hidden="1" customHeight="1" x14ac:dyDescent="0.2">
      <c r="A1235" s="21">
        <v>320</v>
      </c>
      <c r="B1235" s="39" t="s">
        <v>638</v>
      </c>
      <c r="C1235" s="39"/>
      <c r="D1235" s="39"/>
      <c r="E1235" s="39"/>
      <c r="F1235" s="39"/>
      <c r="G1235" s="39"/>
      <c r="H1235" s="39"/>
      <c r="I1235" s="39"/>
      <c r="J1235" s="39"/>
      <c r="K1235" s="39"/>
      <c r="L1235" s="39"/>
      <c r="M1235" s="39"/>
      <c r="N1235" s="39"/>
      <c r="O1235" s="39"/>
      <c r="P1235" s="39"/>
      <c r="Q1235" s="43">
        <v>1.7999999999999999E-2</v>
      </c>
      <c r="R1235" s="43"/>
      <c r="S1235" s="43"/>
      <c r="T1235" s="43"/>
      <c r="U1235" s="43"/>
      <c r="V1235" s="43"/>
      <c r="W1235" s="43"/>
      <c r="X1235" s="41">
        <v>10.45</v>
      </c>
      <c r="Y1235" s="41"/>
      <c r="Z1235" s="41"/>
      <c r="AA1235" s="41"/>
      <c r="AB1235" s="41"/>
      <c r="AC1235" s="43">
        <v>10.763</v>
      </c>
      <c r="AD1235" s="43"/>
      <c r="AE1235" s="43"/>
      <c r="AF1235" s="43"/>
      <c r="AG1235" s="43"/>
      <c r="AH1235" s="43">
        <v>-0.313</v>
      </c>
      <c r="AI1235" s="43"/>
      <c r="AJ1235" s="43"/>
      <c r="AK1235" s="43"/>
    </row>
    <row r="1236" spans="1:37" ht="21.75" hidden="1" customHeight="1" x14ac:dyDescent="0.2">
      <c r="A1236" s="21">
        <v>321</v>
      </c>
      <c r="B1236" s="39" t="s">
        <v>549</v>
      </c>
      <c r="C1236" s="39"/>
      <c r="D1236" s="39"/>
      <c r="E1236" s="39"/>
      <c r="F1236" s="39"/>
      <c r="G1236" s="39"/>
      <c r="H1236" s="39"/>
      <c r="I1236" s="39"/>
      <c r="J1236" s="39"/>
      <c r="K1236" s="39"/>
      <c r="L1236" s="39"/>
      <c r="M1236" s="39"/>
      <c r="N1236" s="39"/>
      <c r="O1236" s="39"/>
      <c r="P1236" s="39"/>
      <c r="Q1236" s="43">
        <v>1.7999999999999999E-2</v>
      </c>
      <c r="R1236" s="43"/>
      <c r="S1236" s="43"/>
      <c r="T1236" s="43"/>
      <c r="U1236" s="43"/>
      <c r="V1236" s="43"/>
      <c r="W1236" s="43"/>
      <c r="X1236" s="59">
        <v>2.5</v>
      </c>
      <c r="Y1236" s="59"/>
      <c r="Z1236" s="59"/>
      <c r="AA1236" s="59"/>
      <c r="AB1236" s="59"/>
      <c r="AC1236" s="43">
        <v>2.4820000000000002</v>
      </c>
      <c r="AD1236" s="43"/>
      <c r="AE1236" s="43"/>
      <c r="AF1236" s="43"/>
      <c r="AG1236" s="43"/>
      <c r="AH1236" s="43">
        <v>1.7999999999999999E-2</v>
      </c>
      <c r="AI1236" s="43"/>
      <c r="AJ1236" s="43"/>
      <c r="AK1236" s="43"/>
    </row>
    <row r="1237" spans="1:37" ht="11.25" hidden="1" customHeight="1" x14ac:dyDescent="0.2">
      <c r="A1237" s="21">
        <v>322</v>
      </c>
      <c r="B1237" s="39" t="s">
        <v>664</v>
      </c>
      <c r="C1237" s="39"/>
      <c r="D1237" s="39"/>
      <c r="E1237" s="39"/>
      <c r="F1237" s="39"/>
      <c r="G1237" s="39"/>
      <c r="H1237" s="39"/>
      <c r="I1237" s="39"/>
      <c r="J1237" s="39"/>
      <c r="K1237" s="39"/>
      <c r="L1237" s="39"/>
      <c r="M1237" s="39"/>
      <c r="N1237" s="39"/>
      <c r="O1237" s="39"/>
      <c r="P1237" s="39"/>
      <c r="Q1237" s="43">
        <v>1.6E-2</v>
      </c>
      <c r="R1237" s="43"/>
      <c r="S1237" s="43"/>
      <c r="T1237" s="43"/>
      <c r="U1237" s="43"/>
      <c r="V1237" s="43"/>
      <c r="W1237" s="43"/>
      <c r="X1237" s="41">
        <v>28.52</v>
      </c>
      <c r="Y1237" s="41"/>
      <c r="Z1237" s="41"/>
      <c r="AA1237" s="41"/>
      <c r="AB1237" s="41"/>
      <c r="AC1237" s="43">
        <v>28.863</v>
      </c>
      <c r="AD1237" s="43"/>
      <c r="AE1237" s="43"/>
      <c r="AF1237" s="43"/>
      <c r="AG1237" s="43"/>
      <c r="AH1237" s="43">
        <v>-0.34300000000000003</v>
      </c>
      <c r="AI1237" s="43"/>
      <c r="AJ1237" s="43"/>
      <c r="AK1237" s="43"/>
    </row>
    <row r="1238" spans="1:37" ht="11.25" hidden="1" customHeight="1" x14ac:dyDescent="0.2">
      <c r="A1238" s="21">
        <v>323</v>
      </c>
      <c r="B1238" s="39" t="s">
        <v>804</v>
      </c>
      <c r="C1238" s="39"/>
      <c r="D1238" s="39"/>
      <c r="E1238" s="39"/>
      <c r="F1238" s="39"/>
      <c r="G1238" s="39"/>
      <c r="H1238" s="39"/>
      <c r="I1238" s="39"/>
      <c r="J1238" s="39"/>
      <c r="K1238" s="39"/>
      <c r="L1238" s="39"/>
      <c r="M1238" s="39"/>
      <c r="N1238" s="39"/>
      <c r="O1238" s="39"/>
      <c r="P1238" s="39"/>
      <c r="Q1238" s="43">
        <v>1.6E-2</v>
      </c>
      <c r="R1238" s="43"/>
      <c r="S1238" s="43"/>
      <c r="T1238" s="43"/>
      <c r="U1238" s="43"/>
      <c r="V1238" s="43"/>
      <c r="W1238" s="43"/>
      <c r="X1238" s="41">
        <v>19.36</v>
      </c>
      <c r="Y1238" s="41"/>
      <c r="Z1238" s="41"/>
      <c r="AA1238" s="41"/>
      <c r="AB1238" s="41"/>
      <c r="AC1238" s="43">
        <v>20.047000000000001</v>
      </c>
      <c r="AD1238" s="43"/>
      <c r="AE1238" s="43"/>
      <c r="AF1238" s="43"/>
      <c r="AG1238" s="43"/>
      <c r="AH1238" s="43">
        <v>-0.68700000000000006</v>
      </c>
      <c r="AI1238" s="43"/>
      <c r="AJ1238" s="43"/>
      <c r="AK1238" s="43"/>
    </row>
    <row r="1239" spans="1:37" ht="11.25" hidden="1" customHeight="1" x14ac:dyDescent="0.2">
      <c r="A1239" s="21">
        <v>324</v>
      </c>
      <c r="B1239" s="39" t="s">
        <v>762</v>
      </c>
      <c r="C1239" s="39"/>
      <c r="D1239" s="39"/>
      <c r="E1239" s="39"/>
      <c r="F1239" s="39"/>
      <c r="G1239" s="39"/>
      <c r="H1239" s="39"/>
      <c r="I1239" s="39"/>
      <c r="J1239" s="39"/>
      <c r="K1239" s="39"/>
      <c r="L1239" s="39"/>
      <c r="M1239" s="39"/>
      <c r="N1239" s="39"/>
      <c r="O1239" s="39"/>
      <c r="P1239" s="39"/>
      <c r="Q1239" s="43">
        <v>1.6E-2</v>
      </c>
      <c r="R1239" s="43"/>
      <c r="S1239" s="43"/>
      <c r="T1239" s="43"/>
      <c r="U1239" s="43"/>
      <c r="V1239" s="43"/>
      <c r="W1239" s="43"/>
      <c r="X1239" s="41">
        <v>35.869999999999997</v>
      </c>
      <c r="Y1239" s="41"/>
      <c r="Z1239" s="41"/>
      <c r="AA1239" s="41"/>
      <c r="AB1239" s="41"/>
      <c r="AC1239" s="43">
        <v>36.152999999999999</v>
      </c>
      <c r="AD1239" s="43"/>
      <c r="AE1239" s="43"/>
      <c r="AF1239" s="43"/>
      <c r="AG1239" s="43"/>
      <c r="AH1239" s="43">
        <v>-0.28299999999999997</v>
      </c>
      <c r="AI1239" s="43"/>
      <c r="AJ1239" s="43"/>
      <c r="AK1239" s="43"/>
    </row>
    <row r="1240" spans="1:37" ht="11.25" hidden="1" customHeight="1" x14ac:dyDescent="0.2">
      <c r="A1240" s="21">
        <v>325</v>
      </c>
      <c r="B1240" s="39" t="s">
        <v>763</v>
      </c>
      <c r="C1240" s="39"/>
      <c r="D1240" s="39"/>
      <c r="E1240" s="39"/>
      <c r="F1240" s="39"/>
      <c r="G1240" s="39"/>
      <c r="H1240" s="39"/>
      <c r="I1240" s="39"/>
      <c r="J1240" s="39"/>
      <c r="K1240" s="39"/>
      <c r="L1240" s="39"/>
      <c r="M1240" s="39"/>
      <c r="N1240" s="39"/>
      <c r="O1240" s="39"/>
      <c r="P1240" s="39"/>
      <c r="Q1240" s="43">
        <v>1.4999999999999999E-2</v>
      </c>
      <c r="R1240" s="43"/>
      <c r="S1240" s="43"/>
      <c r="T1240" s="43"/>
      <c r="U1240" s="43"/>
      <c r="V1240" s="43"/>
      <c r="W1240" s="43"/>
      <c r="X1240" s="41">
        <v>31.14</v>
      </c>
      <c r="Y1240" s="41"/>
      <c r="Z1240" s="41"/>
      <c r="AA1240" s="41"/>
      <c r="AB1240" s="41"/>
      <c r="AC1240" s="41">
        <v>31.38</v>
      </c>
      <c r="AD1240" s="41"/>
      <c r="AE1240" s="41"/>
      <c r="AF1240" s="41"/>
      <c r="AG1240" s="41"/>
      <c r="AH1240" s="41">
        <v>-0.24</v>
      </c>
      <c r="AI1240" s="41"/>
      <c r="AJ1240" s="41"/>
      <c r="AK1240" s="41"/>
    </row>
    <row r="1241" spans="1:37" ht="21.75" hidden="1" customHeight="1" x14ac:dyDescent="0.2">
      <c r="A1241" s="21">
        <v>326</v>
      </c>
      <c r="B1241" s="39" t="s">
        <v>653</v>
      </c>
      <c r="C1241" s="39"/>
      <c r="D1241" s="39"/>
      <c r="E1241" s="39"/>
      <c r="F1241" s="39"/>
      <c r="G1241" s="39"/>
      <c r="H1241" s="39"/>
      <c r="I1241" s="39"/>
      <c r="J1241" s="39"/>
      <c r="K1241" s="39"/>
      <c r="L1241" s="39"/>
      <c r="M1241" s="39"/>
      <c r="N1241" s="39"/>
      <c r="O1241" s="39"/>
      <c r="P1241" s="39"/>
      <c r="Q1241" s="43">
        <v>1.4E-2</v>
      </c>
      <c r="R1241" s="43"/>
      <c r="S1241" s="43"/>
      <c r="T1241" s="43"/>
      <c r="U1241" s="43"/>
      <c r="V1241" s="43"/>
      <c r="W1241" s="43"/>
      <c r="X1241" s="59">
        <v>3.4</v>
      </c>
      <c r="Y1241" s="59"/>
      <c r="Z1241" s="59"/>
      <c r="AA1241" s="59"/>
      <c r="AB1241" s="59"/>
      <c r="AC1241" s="43">
        <v>3.419</v>
      </c>
      <c r="AD1241" s="43"/>
      <c r="AE1241" s="43"/>
      <c r="AF1241" s="43"/>
      <c r="AG1241" s="43"/>
      <c r="AH1241" s="43">
        <v>-1.9E-2</v>
      </c>
      <c r="AI1241" s="43"/>
      <c r="AJ1241" s="43"/>
      <c r="AK1241" s="43"/>
    </row>
    <row r="1242" spans="1:37" ht="11.25" hidden="1" customHeight="1" x14ac:dyDescent="0.2">
      <c r="A1242" s="21">
        <v>327</v>
      </c>
      <c r="B1242" s="39" t="s">
        <v>491</v>
      </c>
      <c r="C1242" s="39"/>
      <c r="D1242" s="39"/>
      <c r="E1242" s="39"/>
      <c r="F1242" s="39"/>
      <c r="G1242" s="39"/>
      <c r="H1242" s="39"/>
      <c r="I1242" s="39"/>
      <c r="J1242" s="39"/>
      <c r="K1242" s="39"/>
      <c r="L1242" s="39"/>
      <c r="M1242" s="39"/>
      <c r="N1242" s="39"/>
      <c r="O1242" s="39"/>
      <c r="P1242" s="39"/>
      <c r="Q1242" s="43">
        <v>1.4E-2</v>
      </c>
      <c r="R1242" s="43"/>
      <c r="S1242" s="43"/>
      <c r="T1242" s="43"/>
      <c r="U1242" s="43"/>
      <c r="V1242" s="43"/>
      <c r="W1242" s="43"/>
      <c r="X1242" s="41">
        <v>37.24</v>
      </c>
      <c r="Y1242" s="41"/>
      <c r="Z1242" s="41"/>
      <c r="AA1242" s="41"/>
      <c r="AB1242" s="41"/>
      <c r="AC1242" s="43">
        <v>37.994</v>
      </c>
      <c r="AD1242" s="43"/>
      <c r="AE1242" s="43"/>
      <c r="AF1242" s="43"/>
      <c r="AG1242" s="43"/>
      <c r="AH1242" s="43">
        <v>-0.754</v>
      </c>
      <c r="AI1242" s="43"/>
      <c r="AJ1242" s="43"/>
      <c r="AK1242" s="43"/>
    </row>
    <row r="1243" spans="1:37" ht="11.25" hidden="1" customHeight="1" x14ac:dyDescent="0.2">
      <c r="A1243" s="21">
        <v>328</v>
      </c>
      <c r="B1243" s="39" t="s">
        <v>805</v>
      </c>
      <c r="C1243" s="39"/>
      <c r="D1243" s="39"/>
      <c r="E1243" s="39"/>
      <c r="F1243" s="39"/>
      <c r="G1243" s="39"/>
      <c r="H1243" s="39"/>
      <c r="I1243" s="39"/>
      <c r="J1243" s="39"/>
      <c r="K1243" s="39"/>
      <c r="L1243" s="39"/>
      <c r="M1243" s="39"/>
      <c r="N1243" s="39"/>
      <c r="O1243" s="39"/>
      <c r="P1243" s="39"/>
      <c r="Q1243" s="43">
        <v>1.4E-2</v>
      </c>
      <c r="R1243" s="43"/>
      <c r="S1243" s="43"/>
      <c r="T1243" s="43"/>
      <c r="U1243" s="43"/>
      <c r="V1243" s="43"/>
      <c r="W1243" s="43"/>
      <c r="X1243" s="59">
        <v>17.8</v>
      </c>
      <c r="Y1243" s="59"/>
      <c r="Z1243" s="59"/>
      <c r="AA1243" s="59"/>
      <c r="AB1243" s="59"/>
      <c r="AC1243" s="43">
        <v>18.498999999999999</v>
      </c>
      <c r="AD1243" s="43"/>
      <c r="AE1243" s="43"/>
      <c r="AF1243" s="43"/>
      <c r="AG1243" s="43"/>
      <c r="AH1243" s="43">
        <v>-0.69899999999999995</v>
      </c>
      <c r="AI1243" s="43"/>
      <c r="AJ1243" s="43"/>
      <c r="AK1243" s="43"/>
    </row>
    <row r="1244" spans="1:37" ht="11.25" hidden="1" customHeight="1" x14ac:dyDescent="0.2">
      <c r="A1244" s="21">
        <v>329</v>
      </c>
      <c r="B1244" s="39" t="s">
        <v>859</v>
      </c>
      <c r="C1244" s="39"/>
      <c r="D1244" s="39"/>
      <c r="E1244" s="39"/>
      <c r="F1244" s="39"/>
      <c r="G1244" s="39"/>
      <c r="H1244" s="39"/>
      <c r="I1244" s="39"/>
      <c r="J1244" s="39"/>
      <c r="K1244" s="39"/>
      <c r="L1244" s="39"/>
      <c r="M1244" s="39"/>
      <c r="N1244" s="39"/>
      <c r="O1244" s="39"/>
      <c r="P1244" s="39"/>
      <c r="Q1244" s="43">
        <v>1.2999999999999999E-2</v>
      </c>
      <c r="R1244" s="43"/>
      <c r="S1244" s="43"/>
      <c r="T1244" s="43"/>
      <c r="U1244" s="43"/>
      <c r="V1244" s="43"/>
      <c r="W1244" s="43"/>
      <c r="X1244" s="41">
        <v>10.14</v>
      </c>
      <c r="Y1244" s="41"/>
      <c r="Z1244" s="41"/>
      <c r="AA1244" s="41"/>
      <c r="AB1244" s="41"/>
      <c r="AC1244" s="43">
        <v>10.147</v>
      </c>
      <c r="AD1244" s="43"/>
      <c r="AE1244" s="43"/>
      <c r="AF1244" s="43"/>
      <c r="AG1244" s="43"/>
      <c r="AH1244" s="43">
        <v>-7.0000000000000001E-3</v>
      </c>
      <c r="AI1244" s="43"/>
      <c r="AJ1244" s="43"/>
      <c r="AK1244" s="43"/>
    </row>
    <row r="1245" spans="1:37" ht="11.25" hidden="1" customHeight="1" x14ac:dyDescent="0.2">
      <c r="A1245" s="21">
        <v>330</v>
      </c>
      <c r="B1245" s="39" t="s">
        <v>722</v>
      </c>
      <c r="C1245" s="39"/>
      <c r="D1245" s="39"/>
      <c r="E1245" s="39"/>
      <c r="F1245" s="39"/>
      <c r="G1245" s="39"/>
      <c r="H1245" s="39"/>
      <c r="I1245" s="39"/>
      <c r="J1245" s="39"/>
      <c r="K1245" s="39"/>
      <c r="L1245" s="39"/>
      <c r="M1245" s="39"/>
      <c r="N1245" s="39"/>
      <c r="O1245" s="39"/>
      <c r="P1245" s="39"/>
      <c r="Q1245" s="43">
        <v>1.2999999999999999E-2</v>
      </c>
      <c r="R1245" s="43"/>
      <c r="S1245" s="43"/>
      <c r="T1245" s="43"/>
      <c r="U1245" s="43"/>
      <c r="V1245" s="43"/>
      <c r="W1245" s="43"/>
      <c r="X1245" s="41">
        <v>78.48</v>
      </c>
      <c r="Y1245" s="41"/>
      <c r="Z1245" s="41"/>
      <c r="AA1245" s="41"/>
      <c r="AB1245" s="41"/>
      <c r="AC1245" s="43">
        <v>79.159000000000006</v>
      </c>
      <c r="AD1245" s="43"/>
      <c r="AE1245" s="43"/>
      <c r="AF1245" s="43"/>
      <c r="AG1245" s="43"/>
      <c r="AH1245" s="43">
        <v>-0.67900000000000005</v>
      </c>
      <c r="AI1245" s="43"/>
      <c r="AJ1245" s="43"/>
      <c r="AK1245" s="43"/>
    </row>
    <row r="1246" spans="1:37" ht="21.75" hidden="1" customHeight="1" x14ac:dyDescent="0.2">
      <c r="A1246" s="21">
        <v>331</v>
      </c>
      <c r="B1246" s="39" t="s">
        <v>665</v>
      </c>
      <c r="C1246" s="39"/>
      <c r="D1246" s="39"/>
      <c r="E1246" s="39"/>
      <c r="F1246" s="39"/>
      <c r="G1246" s="39"/>
      <c r="H1246" s="39"/>
      <c r="I1246" s="39"/>
      <c r="J1246" s="39"/>
      <c r="K1246" s="39"/>
      <c r="L1246" s="39"/>
      <c r="M1246" s="39"/>
      <c r="N1246" s="39"/>
      <c r="O1246" s="39"/>
      <c r="P1246" s="39"/>
      <c r="Q1246" s="43">
        <v>1.2E-2</v>
      </c>
      <c r="R1246" s="43"/>
      <c r="S1246" s="43"/>
      <c r="T1246" s="43"/>
      <c r="U1246" s="43"/>
      <c r="V1246" s="43"/>
      <c r="W1246" s="43"/>
      <c r="X1246" s="59">
        <v>33.299999999999997</v>
      </c>
      <c r="Y1246" s="59"/>
      <c r="Z1246" s="59"/>
      <c r="AA1246" s="59"/>
      <c r="AB1246" s="59"/>
      <c r="AC1246" s="43">
        <v>33.667000000000002</v>
      </c>
      <c r="AD1246" s="43"/>
      <c r="AE1246" s="43"/>
      <c r="AF1246" s="43"/>
      <c r="AG1246" s="43"/>
      <c r="AH1246" s="43">
        <v>-0.36699999999999999</v>
      </c>
      <c r="AI1246" s="43"/>
      <c r="AJ1246" s="43"/>
      <c r="AK1246" s="43"/>
    </row>
    <row r="1247" spans="1:37" ht="21.75" hidden="1" customHeight="1" x14ac:dyDescent="0.2">
      <c r="A1247" s="21">
        <v>332</v>
      </c>
      <c r="B1247" s="39" t="s">
        <v>599</v>
      </c>
      <c r="C1247" s="39"/>
      <c r="D1247" s="39"/>
      <c r="E1247" s="39"/>
      <c r="F1247" s="39"/>
      <c r="G1247" s="39"/>
      <c r="H1247" s="39"/>
      <c r="I1247" s="39"/>
      <c r="J1247" s="39"/>
      <c r="K1247" s="39"/>
      <c r="L1247" s="39"/>
      <c r="M1247" s="39"/>
      <c r="N1247" s="39"/>
      <c r="O1247" s="39"/>
      <c r="P1247" s="39"/>
      <c r="Q1247" s="43">
        <v>1.2E-2</v>
      </c>
      <c r="R1247" s="43"/>
      <c r="S1247" s="43"/>
      <c r="T1247" s="43"/>
      <c r="U1247" s="43"/>
      <c r="V1247" s="43"/>
      <c r="W1247" s="43"/>
      <c r="X1247" s="41">
        <v>9.26</v>
      </c>
      <c r="Y1247" s="41"/>
      <c r="Z1247" s="41"/>
      <c r="AA1247" s="41"/>
      <c r="AB1247" s="41"/>
      <c r="AC1247" s="43">
        <v>9.8049999999999997</v>
      </c>
      <c r="AD1247" s="43"/>
      <c r="AE1247" s="43"/>
      <c r="AF1247" s="43"/>
      <c r="AG1247" s="43"/>
      <c r="AH1247" s="43">
        <v>-0.54500000000000004</v>
      </c>
      <c r="AI1247" s="43"/>
      <c r="AJ1247" s="43"/>
      <c r="AK1247" s="43"/>
    </row>
    <row r="1248" spans="1:37" ht="21.75" hidden="1" customHeight="1" x14ac:dyDescent="0.2">
      <c r="A1248" s="21">
        <v>333</v>
      </c>
      <c r="B1248" s="39" t="s">
        <v>550</v>
      </c>
      <c r="C1248" s="39"/>
      <c r="D1248" s="39"/>
      <c r="E1248" s="39"/>
      <c r="F1248" s="39"/>
      <c r="G1248" s="39"/>
      <c r="H1248" s="39"/>
      <c r="I1248" s="39"/>
      <c r="J1248" s="39"/>
      <c r="K1248" s="39"/>
      <c r="L1248" s="39"/>
      <c r="M1248" s="39"/>
      <c r="N1248" s="39"/>
      <c r="O1248" s="39"/>
      <c r="P1248" s="39"/>
      <c r="Q1248" s="43">
        <v>1.2E-2</v>
      </c>
      <c r="R1248" s="43"/>
      <c r="S1248" s="43"/>
      <c r="T1248" s="43"/>
      <c r="U1248" s="43"/>
      <c r="V1248" s="43"/>
      <c r="W1248" s="43"/>
      <c r="X1248" s="58">
        <v>13</v>
      </c>
      <c r="Y1248" s="58"/>
      <c r="Z1248" s="58"/>
      <c r="AA1248" s="58"/>
      <c r="AB1248" s="58"/>
      <c r="AC1248" s="43">
        <v>13.289</v>
      </c>
      <c r="AD1248" s="43"/>
      <c r="AE1248" s="43"/>
      <c r="AF1248" s="43"/>
      <c r="AG1248" s="43"/>
      <c r="AH1248" s="43">
        <v>-0.28899999999999998</v>
      </c>
      <c r="AI1248" s="43"/>
      <c r="AJ1248" s="43"/>
      <c r="AK1248" s="43"/>
    </row>
    <row r="1249" spans="1:37" ht="21.75" hidden="1" customHeight="1" x14ac:dyDescent="0.2">
      <c r="A1249" s="21">
        <v>334</v>
      </c>
      <c r="B1249" s="39" t="s">
        <v>639</v>
      </c>
      <c r="C1249" s="39"/>
      <c r="D1249" s="39"/>
      <c r="E1249" s="39"/>
      <c r="F1249" s="39"/>
      <c r="G1249" s="39"/>
      <c r="H1249" s="39"/>
      <c r="I1249" s="39"/>
      <c r="J1249" s="39"/>
      <c r="K1249" s="39"/>
      <c r="L1249" s="39"/>
      <c r="M1249" s="39"/>
      <c r="N1249" s="39"/>
      <c r="O1249" s="39"/>
      <c r="P1249" s="39"/>
      <c r="Q1249" s="43">
        <v>1.2E-2</v>
      </c>
      <c r="R1249" s="43"/>
      <c r="S1249" s="43"/>
      <c r="T1249" s="43"/>
      <c r="U1249" s="43"/>
      <c r="V1249" s="43"/>
      <c r="W1249" s="43"/>
      <c r="X1249" s="41">
        <v>26.25</v>
      </c>
      <c r="Y1249" s="41"/>
      <c r="Z1249" s="41"/>
      <c r="AA1249" s="41"/>
      <c r="AB1249" s="41"/>
      <c r="AC1249" s="41">
        <v>27.07</v>
      </c>
      <c r="AD1249" s="41"/>
      <c r="AE1249" s="41"/>
      <c r="AF1249" s="41"/>
      <c r="AG1249" s="41"/>
      <c r="AH1249" s="41">
        <v>-0.82</v>
      </c>
      <c r="AI1249" s="41"/>
      <c r="AJ1249" s="41"/>
      <c r="AK1249" s="41"/>
    </row>
    <row r="1250" spans="1:37" ht="11.25" hidden="1" customHeight="1" x14ac:dyDescent="0.2">
      <c r="A1250" s="21">
        <v>335</v>
      </c>
      <c r="B1250" s="39" t="s">
        <v>860</v>
      </c>
      <c r="C1250" s="39"/>
      <c r="D1250" s="39"/>
      <c r="E1250" s="39"/>
      <c r="F1250" s="39"/>
      <c r="G1250" s="39"/>
      <c r="H1250" s="39"/>
      <c r="I1250" s="39"/>
      <c r="J1250" s="39"/>
      <c r="K1250" s="39"/>
      <c r="L1250" s="39"/>
      <c r="M1250" s="39"/>
      <c r="N1250" s="39"/>
      <c r="O1250" s="39"/>
      <c r="P1250" s="39"/>
      <c r="Q1250" s="43">
        <v>1.2E-2</v>
      </c>
      <c r="R1250" s="43"/>
      <c r="S1250" s="43"/>
      <c r="T1250" s="43"/>
      <c r="U1250" s="43"/>
      <c r="V1250" s="43"/>
      <c r="W1250" s="43"/>
      <c r="X1250" s="59">
        <v>19.899999999999999</v>
      </c>
      <c r="Y1250" s="59"/>
      <c r="Z1250" s="59"/>
      <c r="AA1250" s="59"/>
      <c r="AB1250" s="59"/>
      <c r="AC1250" s="43">
        <v>20.716999999999999</v>
      </c>
      <c r="AD1250" s="43"/>
      <c r="AE1250" s="43"/>
      <c r="AF1250" s="43"/>
      <c r="AG1250" s="43"/>
      <c r="AH1250" s="43">
        <v>-0.81699999999999995</v>
      </c>
      <c r="AI1250" s="43"/>
      <c r="AJ1250" s="43"/>
      <c r="AK1250" s="43"/>
    </row>
    <row r="1251" spans="1:37" ht="21.75" hidden="1" customHeight="1" x14ac:dyDescent="0.2">
      <c r="A1251" s="21">
        <v>336</v>
      </c>
      <c r="B1251" s="39" t="s">
        <v>764</v>
      </c>
      <c r="C1251" s="39"/>
      <c r="D1251" s="39"/>
      <c r="E1251" s="39"/>
      <c r="F1251" s="39"/>
      <c r="G1251" s="39"/>
      <c r="H1251" s="39"/>
      <c r="I1251" s="39"/>
      <c r="J1251" s="39"/>
      <c r="K1251" s="39"/>
      <c r="L1251" s="39"/>
      <c r="M1251" s="39"/>
      <c r="N1251" s="39"/>
      <c r="O1251" s="39"/>
      <c r="P1251" s="39"/>
      <c r="Q1251" s="43">
        <v>1.0999999999999999E-2</v>
      </c>
      <c r="R1251" s="43"/>
      <c r="S1251" s="43"/>
      <c r="T1251" s="43"/>
      <c r="U1251" s="43"/>
      <c r="V1251" s="43"/>
      <c r="W1251" s="43"/>
      <c r="X1251" s="59">
        <v>17.899999999999999</v>
      </c>
      <c r="Y1251" s="59"/>
      <c r="Z1251" s="59"/>
      <c r="AA1251" s="59"/>
      <c r="AB1251" s="59"/>
      <c r="AC1251" s="43">
        <v>17.992999999999999</v>
      </c>
      <c r="AD1251" s="43"/>
      <c r="AE1251" s="43"/>
      <c r="AF1251" s="43"/>
      <c r="AG1251" s="43"/>
      <c r="AH1251" s="43">
        <v>-9.2999999999999999E-2</v>
      </c>
      <c r="AI1251" s="43"/>
      <c r="AJ1251" s="43"/>
      <c r="AK1251" s="43"/>
    </row>
    <row r="1252" spans="1:37" ht="21.75" hidden="1" customHeight="1" x14ac:dyDescent="0.2">
      <c r="A1252" s="21">
        <v>337</v>
      </c>
      <c r="B1252" s="39" t="s">
        <v>551</v>
      </c>
      <c r="C1252" s="39"/>
      <c r="D1252" s="39"/>
      <c r="E1252" s="39"/>
      <c r="F1252" s="39"/>
      <c r="G1252" s="39"/>
      <c r="H1252" s="39"/>
      <c r="I1252" s="39"/>
      <c r="J1252" s="39"/>
      <c r="K1252" s="39"/>
      <c r="L1252" s="39"/>
      <c r="M1252" s="39"/>
      <c r="N1252" s="39"/>
      <c r="O1252" s="39"/>
      <c r="P1252" s="39"/>
      <c r="Q1252" s="41">
        <v>0.01</v>
      </c>
      <c r="R1252" s="41"/>
      <c r="S1252" s="41"/>
      <c r="T1252" s="41"/>
      <c r="U1252" s="41"/>
      <c r="V1252" s="41"/>
      <c r="W1252" s="41"/>
      <c r="X1252" s="41">
        <v>14.08</v>
      </c>
      <c r="Y1252" s="41"/>
      <c r="Z1252" s="41"/>
      <c r="AA1252" s="41"/>
      <c r="AB1252" s="41"/>
      <c r="AC1252" s="43">
        <v>14.284000000000001</v>
      </c>
      <c r="AD1252" s="43"/>
      <c r="AE1252" s="43"/>
      <c r="AF1252" s="43"/>
      <c r="AG1252" s="43"/>
      <c r="AH1252" s="43">
        <v>-0.20399999999999999</v>
      </c>
      <c r="AI1252" s="43"/>
      <c r="AJ1252" s="43"/>
      <c r="AK1252" s="43"/>
    </row>
    <row r="1253" spans="1:37" ht="21.75" hidden="1" customHeight="1" x14ac:dyDescent="0.2">
      <c r="A1253" s="21">
        <v>338</v>
      </c>
      <c r="B1253" s="39" t="s">
        <v>552</v>
      </c>
      <c r="C1253" s="39"/>
      <c r="D1253" s="39"/>
      <c r="E1253" s="39"/>
      <c r="F1253" s="39"/>
      <c r="G1253" s="39"/>
      <c r="H1253" s="39"/>
      <c r="I1253" s="39"/>
      <c r="J1253" s="39"/>
      <c r="K1253" s="39"/>
      <c r="L1253" s="39"/>
      <c r="M1253" s="39"/>
      <c r="N1253" s="39"/>
      <c r="O1253" s="39"/>
      <c r="P1253" s="39"/>
      <c r="Q1253" s="41">
        <v>0.01</v>
      </c>
      <c r="R1253" s="41"/>
      <c r="S1253" s="41"/>
      <c r="T1253" s="41"/>
      <c r="U1253" s="41"/>
      <c r="V1253" s="41"/>
      <c r="W1253" s="41"/>
      <c r="X1253" s="59">
        <v>14.2</v>
      </c>
      <c r="Y1253" s="59"/>
      <c r="Z1253" s="59"/>
      <c r="AA1253" s="59"/>
      <c r="AB1253" s="59"/>
      <c r="AC1253" s="43">
        <v>14.858000000000001</v>
      </c>
      <c r="AD1253" s="43"/>
      <c r="AE1253" s="43"/>
      <c r="AF1253" s="43"/>
      <c r="AG1253" s="43"/>
      <c r="AH1253" s="43">
        <v>-0.65800000000000003</v>
      </c>
      <c r="AI1253" s="43"/>
      <c r="AJ1253" s="43"/>
      <c r="AK1253" s="43"/>
    </row>
    <row r="1254" spans="1:37" ht="11.25" hidden="1" customHeight="1" x14ac:dyDescent="0.2">
      <c r="A1254" s="21">
        <v>339</v>
      </c>
      <c r="B1254" s="39" t="s">
        <v>697</v>
      </c>
      <c r="C1254" s="39"/>
      <c r="D1254" s="39"/>
      <c r="E1254" s="39"/>
      <c r="F1254" s="39"/>
      <c r="G1254" s="39"/>
      <c r="H1254" s="39"/>
      <c r="I1254" s="39"/>
      <c r="J1254" s="39"/>
      <c r="K1254" s="39"/>
      <c r="L1254" s="39"/>
      <c r="M1254" s="39"/>
      <c r="N1254" s="39"/>
      <c r="O1254" s="39"/>
      <c r="P1254" s="39"/>
      <c r="Q1254" s="41">
        <v>0.01</v>
      </c>
      <c r="R1254" s="41"/>
      <c r="S1254" s="41"/>
      <c r="T1254" s="41"/>
      <c r="U1254" s="41"/>
      <c r="V1254" s="41"/>
      <c r="W1254" s="41"/>
      <c r="X1254" s="41">
        <v>35.85</v>
      </c>
      <c r="Y1254" s="41"/>
      <c r="Z1254" s="41"/>
      <c r="AA1254" s="41"/>
      <c r="AB1254" s="41"/>
      <c r="AC1254" s="43">
        <v>37.192999999999998</v>
      </c>
      <c r="AD1254" s="43"/>
      <c r="AE1254" s="43"/>
      <c r="AF1254" s="43"/>
      <c r="AG1254" s="43"/>
      <c r="AH1254" s="43">
        <v>-1.343</v>
      </c>
      <c r="AI1254" s="43"/>
      <c r="AJ1254" s="43"/>
      <c r="AK1254" s="43"/>
    </row>
    <row r="1255" spans="1:37" ht="11.25" hidden="1" customHeight="1" x14ac:dyDescent="0.2">
      <c r="A1255" s="21">
        <v>340</v>
      </c>
      <c r="B1255" s="39" t="s">
        <v>640</v>
      </c>
      <c r="C1255" s="39"/>
      <c r="D1255" s="39"/>
      <c r="E1255" s="39"/>
      <c r="F1255" s="39"/>
      <c r="G1255" s="39"/>
      <c r="H1255" s="39"/>
      <c r="I1255" s="39"/>
      <c r="J1255" s="39"/>
      <c r="K1255" s="39"/>
      <c r="L1255" s="39"/>
      <c r="M1255" s="39"/>
      <c r="N1255" s="39"/>
      <c r="O1255" s="39"/>
      <c r="P1255" s="39"/>
      <c r="Q1255" s="41">
        <v>0.01</v>
      </c>
      <c r="R1255" s="41"/>
      <c r="S1255" s="41"/>
      <c r="T1255" s="41"/>
      <c r="U1255" s="41"/>
      <c r="V1255" s="41"/>
      <c r="W1255" s="41"/>
      <c r="X1255" s="41">
        <v>26.95</v>
      </c>
      <c r="Y1255" s="41"/>
      <c r="Z1255" s="41"/>
      <c r="AA1255" s="41"/>
      <c r="AB1255" s="41"/>
      <c r="AC1255" s="43">
        <v>27.067</v>
      </c>
      <c r="AD1255" s="43"/>
      <c r="AE1255" s="43"/>
      <c r="AF1255" s="43"/>
      <c r="AG1255" s="43"/>
      <c r="AH1255" s="43">
        <v>-0.11700000000000001</v>
      </c>
      <c r="AI1255" s="43"/>
      <c r="AJ1255" s="43"/>
      <c r="AK1255" s="43"/>
    </row>
    <row r="1256" spans="1:37" ht="21.75" hidden="1" customHeight="1" x14ac:dyDescent="0.2">
      <c r="A1256" s="21">
        <v>341</v>
      </c>
      <c r="B1256" s="39" t="s">
        <v>553</v>
      </c>
      <c r="C1256" s="39"/>
      <c r="D1256" s="39"/>
      <c r="E1256" s="39"/>
      <c r="F1256" s="39"/>
      <c r="G1256" s="39"/>
      <c r="H1256" s="39"/>
      <c r="I1256" s="39"/>
      <c r="J1256" s="39"/>
      <c r="K1256" s="39"/>
      <c r="L1256" s="39"/>
      <c r="M1256" s="39"/>
      <c r="N1256" s="39"/>
      <c r="O1256" s="39"/>
      <c r="P1256" s="39"/>
      <c r="Q1256" s="43">
        <v>8.9999999999999993E-3</v>
      </c>
      <c r="R1256" s="43"/>
      <c r="S1256" s="43"/>
      <c r="T1256" s="43"/>
      <c r="U1256" s="43"/>
      <c r="V1256" s="43"/>
      <c r="W1256" s="43"/>
      <c r="X1256" s="59">
        <v>14.5</v>
      </c>
      <c r="Y1256" s="59"/>
      <c r="Z1256" s="59"/>
      <c r="AA1256" s="59"/>
      <c r="AB1256" s="59"/>
      <c r="AC1256" s="43">
        <v>14.878</v>
      </c>
      <c r="AD1256" s="43"/>
      <c r="AE1256" s="43"/>
      <c r="AF1256" s="43"/>
      <c r="AG1256" s="43"/>
      <c r="AH1256" s="43">
        <v>-0.378</v>
      </c>
      <c r="AI1256" s="43"/>
      <c r="AJ1256" s="43"/>
      <c r="AK1256" s="43"/>
    </row>
    <row r="1257" spans="1:37" ht="21.75" hidden="1" customHeight="1" x14ac:dyDescent="0.2">
      <c r="A1257" s="21">
        <v>342</v>
      </c>
      <c r="B1257" s="39" t="s">
        <v>600</v>
      </c>
      <c r="C1257" s="39"/>
      <c r="D1257" s="39"/>
      <c r="E1257" s="39"/>
      <c r="F1257" s="39"/>
      <c r="G1257" s="39"/>
      <c r="H1257" s="39"/>
      <c r="I1257" s="39"/>
      <c r="J1257" s="39"/>
      <c r="K1257" s="39"/>
      <c r="L1257" s="39"/>
      <c r="M1257" s="39"/>
      <c r="N1257" s="39"/>
      <c r="O1257" s="39"/>
      <c r="P1257" s="39"/>
      <c r="Q1257" s="43">
        <v>8.9999999999999993E-3</v>
      </c>
      <c r="R1257" s="43"/>
      <c r="S1257" s="43"/>
      <c r="T1257" s="43"/>
      <c r="U1257" s="43"/>
      <c r="V1257" s="43"/>
      <c r="W1257" s="43"/>
      <c r="X1257" s="41">
        <v>15.96</v>
      </c>
      <c r="Y1257" s="41"/>
      <c r="Z1257" s="41"/>
      <c r="AA1257" s="41"/>
      <c r="AB1257" s="41"/>
      <c r="AC1257" s="43">
        <v>16.402000000000001</v>
      </c>
      <c r="AD1257" s="43"/>
      <c r="AE1257" s="43"/>
      <c r="AF1257" s="43"/>
      <c r="AG1257" s="43"/>
      <c r="AH1257" s="43">
        <v>-0.442</v>
      </c>
      <c r="AI1257" s="43"/>
      <c r="AJ1257" s="43"/>
      <c r="AK1257" s="43"/>
    </row>
    <row r="1258" spans="1:37" ht="11.25" hidden="1" customHeight="1" x14ac:dyDescent="0.2">
      <c r="A1258" s="21">
        <v>343</v>
      </c>
      <c r="B1258" s="39" t="s">
        <v>666</v>
      </c>
      <c r="C1258" s="39"/>
      <c r="D1258" s="39"/>
      <c r="E1258" s="39"/>
      <c r="F1258" s="39"/>
      <c r="G1258" s="39"/>
      <c r="H1258" s="39"/>
      <c r="I1258" s="39"/>
      <c r="J1258" s="39"/>
      <c r="K1258" s="39"/>
      <c r="L1258" s="39"/>
      <c r="M1258" s="39"/>
      <c r="N1258" s="39"/>
      <c r="O1258" s="39"/>
      <c r="P1258" s="39"/>
      <c r="Q1258" s="43">
        <v>8.0000000000000002E-3</v>
      </c>
      <c r="R1258" s="43"/>
      <c r="S1258" s="43"/>
      <c r="T1258" s="43"/>
      <c r="U1258" s="43"/>
      <c r="V1258" s="43"/>
      <c r="W1258" s="43"/>
      <c r="X1258" s="41">
        <v>18.16</v>
      </c>
      <c r="Y1258" s="41"/>
      <c r="Z1258" s="41"/>
      <c r="AA1258" s="41"/>
      <c r="AB1258" s="41"/>
      <c r="AC1258" s="43">
        <v>18.300999999999998</v>
      </c>
      <c r="AD1258" s="43"/>
      <c r="AE1258" s="43"/>
      <c r="AF1258" s="43"/>
      <c r="AG1258" s="43"/>
      <c r="AH1258" s="43">
        <v>-0.14099999999999999</v>
      </c>
      <c r="AI1258" s="43"/>
      <c r="AJ1258" s="43"/>
      <c r="AK1258" s="43"/>
    </row>
    <row r="1259" spans="1:37" ht="11.25" hidden="1" customHeight="1" x14ac:dyDescent="0.2">
      <c r="A1259" s="21">
        <v>344</v>
      </c>
      <c r="B1259" s="39" t="s">
        <v>861</v>
      </c>
      <c r="C1259" s="39"/>
      <c r="D1259" s="39"/>
      <c r="E1259" s="39"/>
      <c r="F1259" s="39"/>
      <c r="G1259" s="39"/>
      <c r="H1259" s="39"/>
      <c r="I1259" s="39"/>
      <c r="J1259" s="39"/>
      <c r="K1259" s="39"/>
      <c r="L1259" s="39"/>
      <c r="M1259" s="39"/>
      <c r="N1259" s="39"/>
      <c r="O1259" s="39"/>
      <c r="P1259" s="39"/>
      <c r="Q1259" s="43">
        <v>8.0000000000000002E-3</v>
      </c>
      <c r="R1259" s="43"/>
      <c r="S1259" s="43"/>
      <c r="T1259" s="43"/>
      <c r="U1259" s="43"/>
      <c r="V1259" s="43"/>
      <c r="W1259" s="43"/>
      <c r="X1259" s="41">
        <v>18.78</v>
      </c>
      <c r="Y1259" s="41"/>
      <c r="Z1259" s="41"/>
      <c r="AA1259" s="41"/>
      <c r="AB1259" s="41"/>
      <c r="AC1259" s="43">
        <v>19.396999999999998</v>
      </c>
      <c r="AD1259" s="43"/>
      <c r="AE1259" s="43"/>
      <c r="AF1259" s="43"/>
      <c r="AG1259" s="43"/>
      <c r="AH1259" s="43">
        <v>-0.61699999999999999</v>
      </c>
      <c r="AI1259" s="43"/>
      <c r="AJ1259" s="43"/>
      <c r="AK1259" s="43"/>
    </row>
    <row r="1260" spans="1:37" ht="21.75" hidden="1" customHeight="1" x14ac:dyDescent="0.2">
      <c r="A1260" s="21">
        <v>345</v>
      </c>
      <c r="B1260" s="39" t="s">
        <v>601</v>
      </c>
      <c r="C1260" s="39"/>
      <c r="D1260" s="39"/>
      <c r="E1260" s="39"/>
      <c r="F1260" s="39"/>
      <c r="G1260" s="39"/>
      <c r="H1260" s="39"/>
      <c r="I1260" s="39"/>
      <c r="J1260" s="39"/>
      <c r="K1260" s="39"/>
      <c r="L1260" s="39"/>
      <c r="M1260" s="39"/>
      <c r="N1260" s="39"/>
      <c r="O1260" s="39"/>
      <c r="P1260" s="39"/>
      <c r="Q1260" s="43">
        <v>7.0000000000000001E-3</v>
      </c>
      <c r="R1260" s="43"/>
      <c r="S1260" s="43"/>
      <c r="T1260" s="43"/>
      <c r="U1260" s="43"/>
      <c r="V1260" s="43"/>
      <c r="W1260" s="43"/>
      <c r="X1260" s="59">
        <v>16.3</v>
      </c>
      <c r="Y1260" s="59"/>
      <c r="Z1260" s="59"/>
      <c r="AA1260" s="59"/>
      <c r="AB1260" s="59"/>
      <c r="AC1260" s="43">
        <v>17.245999999999999</v>
      </c>
      <c r="AD1260" s="43"/>
      <c r="AE1260" s="43"/>
      <c r="AF1260" s="43"/>
      <c r="AG1260" s="43"/>
      <c r="AH1260" s="43">
        <v>-0.94599999999999995</v>
      </c>
      <c r="AI1260" s="43"/>
      <c r="AJ1260" s="43"/>
      <c r="AK1260" s="43"/>
    </row>
    <row r="1261" spans="1:37" ht="21.75" hidden="1" customHeight="1" x14ac:dyDescent="0.2">
      <c r="A1261" s="21">
        <v>346</v>
      </c>
      <c r="B1261" s="39" t="s">
        <v>554</v>
      </c>
      <c r="C1261" s="39"/>
      <c r="D1261" s="39"/>
      <c r="E1261" s="39"/>
      <c r="F1261" s="39"/>
      <c r="G1261" s="39"/>
      <c r="H1261" s="39"/>
      <c r="I1261" s="39"/>
      <c r="J1261" s="39"/>
      <c r="K1261" s="39"/>
      <c r="L1261" s="39"/>
      <c r="M1261" s="39"/>
      <c r="N1261" s="39"/>
      <c r="O1261" s="39"/>
      <c r="P1261" s="39"/>
      <c r="Q1261" s="43">
        <v>7.0000000000000001E-3</v>
      </c>
      <c r="R1261" s="43"/>
      <c r="S1261" s="43"/>
      <c r="T1261" s="43"/>
      <c r="U1261" s="43"/>
      <c r="V1261" s="43"/>
      <c r="W1261" s="43"/>
      <c r="X1261" s="59">
        <v>13.3</v>
      </c>
      <c r="Y1261" s="59"/>
      <c r="Z1261" s="59"/>
      <c r="AA1261" s="59"/>
      <c r="AB1261" s="59"/>
      <c r="AC1261" s="43">
        <v>13.712999999999999</v>
      </c>
      <c r="AD1261" s="43"/>
      <c r="AE1261" s="43"/>
      <c r="AF1261" s="43"/>
      <c r="AG1261" s="43"/>
      <c r="AH1261" s="43">
        <v>-0.41299999999999998</v>
      </c>
      <c r="AI1261" s="43"/>
      <c r="AJ1261" s="43"/>
      <c r="AK1261" s="43"/>
    </row>
    <row r="1262" spans="1:37" ht="11.25" hidden="1" customHeight="1" x14ac:dyDescent="0.2">
      <c r="A1262" s="21">
        <v>347</v>
      </c>
      <c r="B1262" s="39" t="s">
        <v>468</v>
      </c>
      <c r="C1262" s="39"/>
      <c r="D1262" s="39"/>
      <c r="E1262" s="39"/>
      <c r="F1262" s="39"/>
      <c r="G1262" s="39"/>
      <c r="H1262" s="39"/>
      <c r="I1262" s="39"/>
      <c r="J1262" s="39"/>
      <c r="K1262" s="39"/>
      <c r="L1262" s="39"/>
      <c r="M1262" s="39"/>
      <c r="N1262" s="39"/>
      <c r="O1262" s="39"/>
      <c r="P1262" s="39"/>
      <c r="Q1262" s="43">
        <v>7.0000000000000001E-3</v>
      </c>
      <c r="R1262" s="43"/>
      <c r="S1262" s="43"/>
      <c r="T1262" s="43"/>
      <c r="U1262" s="43"/>
      <c r="V1262" s="43"/>
      <c r="W1262" s="43"/>
      <c r="X1262" s="41">
        <v>94.28</v>
      </c>
      <c r="Y1262" s="41"/>
      <c r="Z1262" s="41"/>
      <c r="AA1262" s="41"/>
      <c r="AB1262" s="41"/>
      <c r="AC1262" s="43">
        <v>94.290999999999997</v>
      </c>
      <c r="AD1262" s="43"/>
      <c r="AE1262" s="43"/>
      <c r="AF1262" s="43"/>
      <c r="AG1262" s="43"/>
      <c r="AH1262" s="43">
        <v>-1.0999999999999999E-2</v>
      </c>
      <c r="AI1262" s="43"/>
      <c r="AJ1262" s="43"/>
      <c r="AK1262" s="43"/>
    </row>
    <row r="1263" spans="1:37" ht="11.25" hidden="1" customHeight="1" x14ac:dyDescent="0.2">
      <c r="A1263" s="21">
        <v>348</v>
      </c>
      <c r="B1263" s="39" t="s">
        <v>447</v>
      </c>
      <c r="C1263" s="39"/>
      <c r="D1263" s="39"/>
      <c r="E1263" s="39"/>
      <c r="F1263" s="39"/>
      <c r="G1263" s="39"/>
      <c r="H1263" s="39"/>
      <c r="I1263" s="39"/>
      <c r="J1263" s="39"/>
      <c r="K1263" s="39"/>
      <c r="L1263" s="39"/>
      <c r="M1263" s="39"/>
      <c r="N1263" s="39"/>
      <c r="O1263" s="39"/>
      <c r="P1263" s="39"/>
      <c r="Q1263" s="43">
        <v>7.0000000000000001E-3</v>
      </c>
      <c r="R1263" s="43"/>
      <c r="S1263" s="43"/>
      <c r="T1263" s="43"/>
      <c r="U1263" s="43"/>
      <c r="V1263" s="43"/>
      <c r="W1263" s="43"/>
      <c r="X1263" s="59">
        <v>18.3</v>
      </c>
      <c r="Y1263" s="59"/>
      <c r="Z1263" s="59"/>
      <c r="AA1263" s="59"/>
      <c r="AB1263" s="59"/>
      <c r="AC1263" s="43">
        <v>19.178999999999998</v>
      </c>
      <c r="AD1263" s="43"/>
      <c r="AE1263" s="43"/>
      <c r="AF1263" s="43"/>
      <c r="AG1263" s="43"/>
      <c r="AH1263" s="43">
        <v>-0.879</v>
      </c>
      <c r="AI1263" s="43"/>
      <c r="AJ1263" s="43"/>
      <c r="AK1263" s="43"/>
    </row>
    <row r="1264" spans="1:37" ht="11.25" hidden="1" customHeight="1" x14ac:dyDescent="0.2">
      <c r="A1264" s="21">
        <v>349</v>
      </c>
      <c r="B1264" s="39" t="s">
        <v>667</v>
      </c>
      <c r="C1264" s="39"/>
      <c r="D1264" s="39"/>
      <c r="E1264" s="39"/>
      <c r="F1264" s="39"/>
      <c r="G1264" s="39"/>
      <c r="H1264" s="39"/>
      <c r="I1264" s="39"/>
      <c r="J1264" s="39"/>
      <c r="K1264" s="39"/>
      <c r="L1264" s="39"/>
      <c r="M1264" s="39"/>
      <c r="N1264" s="39"/>
      <c r="O1264" s="39"/>
      <c r="P1264" s="39"/>
      <c r="Q1264" s="43">
        <v>6.0000000000000001E-3</v>
      </c>
      <c r="R1264" s="43"/>
      <c r="S1264" s="43"/>
      <c r="T1264" s="43"/>
      <c r="U1264" s="43"/>
      <c r="V1264" s="43"/>
      <c r="W1264" s="43"/>
      <c r="X1264" s="41">
        <v>20.45</v>
      </c>
      <c r="Y1264" s="41"/>
      <c r="Z1264" s="41"/>
      <c r="AA1264" s="41"/>
      <c r="AB1264" s="41"/>
      <c r="AC1264" s="43">
        <v>20.638000000000002</v>
      </c>
      <c r="AD1264" s="43"/>
      <c r="AE1264" s="43"/>
      <c r="AF1264" s="43"/>
      <c r="AG1264" s="43"/>
      <c r="AH1264" s="43">
        <v>-0.188</v>
      </c>
      <c r="AI1264" s="43"/>
      <c r="AJ1264" s="43"/>
      <c r="AK1264" s="43"/>
    </row>
    <row r="1265" spans="1:37" ht="21.75" hidden="1" customHeight="1" x14ac:dyDescent="0.2">
      <c r="A1265" s="21">
        <v>350</v>
      </c>
      <c r="B1265" s="39" t="s">
        <v>492</v>
      </c>
      <c r="C1265" s="39"/>
      <c r="D1265" s="39"/>
      <c r="E1265" s="39"/>
      <c r="F1265" s="39"/>
      <c r="G1265" s="39"/>
      <c r="H1265" s="39"/>
      <c r="I1265" s="39"/>
      <c r="J1265" s="39"/>
      <c r="K1265" s="39"/>
      <c r="L1265" s="39"/>
      <c r="M1265" s="39"/>
      <c r="N1265" s="39"/>
      <c r="O1265" s="39"/>
      <c r="P1265" s="39"/>
      <c r="Q1265" s="43">
        <v>6.0000000000000001E-3</v>
      </c>
      <c r="R1265" s="43"/>
      <c r="S1265" s="43"/>
      <c r="T1265" s="43"/>
      <c r="U1265" s="43"/>
      <c r="V1265" s="43"/>
      <c r="W1265" s="43"/>
      <c r="X1265" s="41">
        <v>13.75</v>
      </c>
      <c r="Y1265" s="41"/>
      <c r="Z1265" s="41"/>
      <c r="AA1265" s="41"/>
      <c r="AB1265" s="41"/>
      <c r="AC1265" s="43">
        <v>13.976000000000001</v>
      </c>
      <c r="AD1265" s="43"/>
      <c r="AE1265" s="43"/>
      <c r="AF1265" s="43"/>
      <c r="AG1265" s="43"/>
      <c r="AH1265" s="43">
        <v>-0.22600000000000001</v>
      </c>
      <c r="AI1265" s="43"/>
      <c r="AJ1265" s="43"/>
      <c r="AK1265" s="43"/>
    </row>
    <row r="1266" spans="1:37" ht="11.25" hidden="1" customHeight="1" x14ac:dyDescent="0.2">
      <c r="A1266" s="21">
        <v>351</v>
      </c>
      <c r="B1266" s="39" t="s">
        <v>448</v>
      </c>
      <c r="C1266" s="39"/>
      <c r="D1266" s="39"/>
      <c r="E1266" s="39"/>
      <c r="F1266" s="39"/>
      <c r="G1266" s="39"/>
      <c r="H1266" s="39"/>
      <c r="I1266" s="39"/>
      <c r="J1266" s="39"/>
      <c r="K1266" s="39"/>
      <c r="L1266" s="39"/>
      <c r="M1266" s="39"/>
      <c r="N1266" s="39"/>
      <c r="O1266" s="39"/>
      <c r="P1266" s="39"/>
      <c r="Q1266" s="43">
        <v>6.0000000000000001E-3</v>
      </c>
      <c r="R1266" s="43"/>
      <c r="S1266" s="43"/>
      <c r="T1266" s="43"/>
      <c r="U1266" s="43"/>
      <c r="V1266" s="43"/>
      <c r="W1266" s="43"/>
      <c r="X1266" s="41">
        <v>14.75</v>
      </c>
      <c r="Y1266" s="41"/>
      <c r="Z1266" s="41"/>
      <c r="AA1266" s="41"/>
      <c r="AB1266" s="41"/>
      <c r="AC1266" s="43">
        <v>15.295999999999999</v>
      </c>
      <c r="AD1266" s="43"/>
      <c r="AE1266" s="43"/>
      <c r="AF1266" s="43"/>
      <c r="AG1266" s="43"/>
      <c r="AH1266" s="43">
        <v>-0.54600000000000004</v>
      </c>
      <c r="AI1266" s="43"/>
      <c r="AJ1266" s="43"/>
      <c r="AK1266" s="43"/>
    </row>
    <row r="1267" spans="1:37" ht="11.25" hidden="1" customHeight="1" x14ac:dyDescent="0.2">
      <c r="A1267" s="21">
        <v>352</v>
      </c>
      <c r="B1267" s="39" t="s">
        <v>723</v>
      </c>
      <c r="C1267" s="39"/>
      <c r="D1267" s="39"/>
      <c r="E1267" s="39"/>
      <c r="F1267" s="39"/>
      <c r="G1267" s="39"/>
      <c r="H1267" s="39"/>
      <c r="I1267" s="39"/>
      <c r="J1267" s="39"/>
      <c r="K1267" s="39"/>
      <c r="L1267" s="39"/>
      <c r="M1267" s="39"/>
      <c r="N1267" s="39"/>
      <c r="O1267" s="39"/>
      <c r="P1267" s="39"/>
      <c r="Q1267" s="43">
        <v>6.0000000000000001E-3</v>
      </c>
      <c r="R1267" s="43"/>
      <c r="S1267" s="43"/>
      <c r="T1267" s="43"/>
      <c r="U1267" s="43"/>
      <c r="V1267" s="43"/>
      <c r="W1267" s="43"/>
      <c r="X1267" s="41">
        <v>23.04</v>
      </c>
      <c r="Y1267" s="41"/>
      <c r="Z1267" s="41"/>
      <c r="AA1267" s="41"/>
      <c r="AB1267" s="41"/>
      <c r="AC1267" s="43">
        <v>23.635999999999999</v>
      </c>
      <c r="AD1267" s="43"/>
      <c r="AE1267" s="43"/>
      <c r="AF1267" s="43"/>
      <c r="AG1267" s="43"/>
      <c r="AH1267" s="43">
        <v>-0.59599999999999997</v>
      </c>
      <c r="AI1267" s="43"/>
      <c r="AJ1267" s="43"/>
      <c r="AK1267" s="43"/>
    </row>
    <row r="1268" spans="1:37" ht="11.25" hidden="1" customHeight="1" x14ac:dyDescent="0.2">
      <c r="A1268" s="21">
        <v>353</v>
      </c>
      <c r="B1268" s="39" t="s">
        <v>806</v>
      </c>
      <c r="C1268" s="39"/>
      <c r="D1268" s="39"/>
      <c r="E1268" s="39"/>
      <c r="F1268" s="39"/>
      <c r="G1268" s="39"/>
      <c r="H1268" s="39"/>
      <c r="I1268" s="39"/>
      <c r="J1268" s="39"/>
      <c r="K1268" s="39"/>
      <c r="L1268" s="39"/>
      <c r="M1268" s="39"/>
      <c r="N1268" s="39"/>
      <c r="O1268" s="39"/>
      <c r="P1268" s="39"/>
      <c r="Q1268" s="43">
        <v>5.0000000000000001E-3</v>
      </c>
      <c r="R1268" s="43"/>
      <c r="S1268" s="43"/>
      <c r="T1268" s="43"/>
      <c r="U1268" s="43"/>
      <c r="V1268" s="43"/>
      <c r="W1268" s="43"/>
      <c r="X1268" s="41">
        <v>11.85</v>
      </c>
      <c r="Y1268" s="41"/>
      <c r="Z1268" s="41"/>
      <c r="AA1268" s="41"/>
      <c r="AB1268" s="41"/>
      <c r="AC1268" s="43">
        <v>12.108000000000001</v>
      </c>
      <c r="AD1268" s="43"/>
      <c r="AE1268" s="43"/>
      <c r="AF1268" s="43"/>
      <c r="AG1268" s="43"/>
      <c r="AH1268" s="43">
        <v>-0.25800000000000001</v>
      </c>
      <c r="AI1268" s="43"/>
      <c r="AJ1268" s="43"/>
      <c r="AK1268" s="43"/>
    </row>
    <row r="1269" spans="1:37" ht="11.25" hidden="1" customHeight="1" x14ac:dyDescent="0.2">
      <c r="A1269" s="21">
        <v>354</v>
      </c>
      <c r="B1269" s="39" t="s">
        <v>699</v>
      </c>
      <c r="C1269" s="39"/>
      <c r="D1269" s="39"/>
      <c r="E1269" s="39"/>
      <c r="F1269" s="39"/>
      <c r="G1269" s="39"/>
      <c r="H1269" s="39"/>
      <c r="I1269" s="39"/>
      <c r="J1269" s="39"/>
      <c r="K1269" s="39"/>
      <c r="L1269" s="39"/>
      <c r="M1269" s="39"/>
      <c r="N1269" s="39"/>
      <c r="O1269" s="39"/>
      <c r="P1269" s="39"/>
      <c r="Q1269" s="43">
        <v>5.0000000000000001E-3</v>
      </c>
      <c r="R1269" s="43"/>
      <c r="S1269" s="43"/>
      <c r="T1269" s="43"/>
      <c r="U1269" s="43"/>
      <c r="V1269" s="43"/>
      <c r="W1269" s="43"/>
      <c r="X1269" s="59">
        <v>6.4</v>
      </c>
      <c r="Y1269" s="59"/>
      <c r="Z1269" s="59"/>
      <c r="AA1269" s="59"/>
      <c r="AB1269" s="59"/>
      <c r="AC1269" s="43">
        <v>6.3949999999999996</v>
      </c>
      <c r="AD1269" s="43"/>
      <c r="AE1269" s="43"/>
      <c r="AF1269" s="43"/>
      <c r="AG1269" s="43"/>
      <c r="AH1269" s="43">
        <v>5.0000000000000001E-3</v>
      </c>
      <c r="AI1269" s="43"/>
      <c r="AJ1269" s="43"/>
      <c r="AK1269" s="43"/>
    </row>
    <row r="1270" spans="1:37" ht="11.25" hidden="1" customHeight="1" x14ac:dyDescent="0.2">
      <c r="A1270" s="21">
        <v>355</v>
      </c>
      <c r="B1270" s="39" t="s">
        <v>698</v>
      </c>
      <c r="C1270" s="39"/>
      <c r="D1270" s="39"/>
      <c r="E1270" s="39"/>
      <c r="F1270" s="39"/>
      <c r="G1270" s="39"/>
      <c r="H1270" s="39"/>
      <c r="I1270" s="39"/>
      <c r="J1270" s="39"/>
      <c r="K1270" s="39"/>
      <c r="L1270" s="39"/>
      <c r="M1270" s="39"/>
      <c r="N1270" s="39"/>
      <c r="O1270" s="39"/>
      <c r="P1270" s="39"/>
      <c r="Q1270" s="43">
        <v>5.0000000000000001E-3</v>
      </c>
      <c r="R1270" s="43"/>
      <c r="S1270" s="43"/>
      <c r="T1270" s="43"/>
      <c r="U1270" s="43"/>
      <c r="V1270" s="43"/>
      <c r="W1270" s="43"/>
      <c r="X1270" s="59">
        <v>23.8</v>
      </c>
      <c r="Y1270" s="59"/>
      <c r="Z1270" s="59"/>
      <c r="AA1270" s="59"/>
      <c r="AB1270" s="59"/>
      <c r="AC1270" s="43">
        <v>24.960999999999999</v>
      </c>
      <c r="AD1270" s="43"/>
      <c r="AE1270" s="43"/>
      <c r="AF1270" s="43"/>
      <c r="AG1270" s="43"/>
      <c r="AH1270" s="43">
        <v>-1.161</v>
      </c>
      <c r="AI1270" s="43"/>
      <c r="AJ1270" s="43"/>
      <c r="AK1270" s="43"/>
    </row>
    <row r="1271" spans="1:37" ht="21.75" hidden="1" customHeight="1" x14ac:dyDescent="0.2">
      <c r="A1271" s="21">
        <v>356</v>
      </c>
      <c r="B1271" s="39" t="s">
        <v>555</v>
      </c>
      <c r="C1271" s="39"/>
      <c r="D1271" s="39"/>
      <c r="E1271" s="39"/>
      <c r="F1271" s="39"/>
      <c r="G1271" s="39"/>
      <c r="H1271" s="39"/>
      <c r="I1271" s="39"/>
      <c r="J1271" s="39"/>
      <c r="K1271" s="39"/>
      <c r="L1271" s="39"/>
      <c r="M1271" s="39"/>
      <c r="N1271" s="39"/>
      <c r="O1271" s="39"/>
      <c r="P1271" s="39"/>
      <c r="Q1271" s="43">
        <v>5.0000000000000001E-3</v>
      </c>
      <c r="R1271" s="43"/>
      <c r="S1271" s="43"/>
      <c r="T1271" s="43"/>
      <c r="U1271" s="43"/>
      <c r="V1271" s="43"/>
      <c r="W1271" s="43"/>
      <c r="X1271" s="59">
        <v>28.8</v>
      </c>
      <c r="Y1271" s="59"/>
      <c r="Z1271" s="59"/>
      <c r="AA1271" s="59"/>
      <c r="AB1271" s="59"/>
      <c r="AC1271" s="43">
        <v>28.846</v>
      </c>
      <c r="AD1271" s="43"/>
      <c r="AE1271" s="43"/>
      <c r="AF1271" s="43"/>
      <c r="AG1271" s="43"/>
      <c r="AH1271" s="43">
        <v>-4.5999999999999999E-2</v>
      </c>
      <c r="AI1271" s="43"/>
      <c r="AJ1271" s="43"/>
      <c r="AK1271" s="43"/>
    </row>
    <row r="1272" spans="1:37" ht="11.25" hidden="1" customHeight="1" x14ac:dyDescent="0.2">
      <c r="A1272" s="21">
        <v>357</v>
      </c>
      <c r="B1272" s="39" t="s">
        <v>641</v>
      </c>
      <c r="C1272" s="39"/>
      <c r="D1272" s="39"/>
      <c r="E1272" s="39"/>
      <c r="F1272" s="39"/>
      <c r="G1272" s="39"/>
      <c r="H1272" s="39"/>
      <c r="I1272" s="39"/>
      <c r="J1272" s="39"/>
      <c r="K1272" s="39"/>
      <c r="L1272" s="39"/>
      <c r="M1272" s="39"/>
      <c r="N1272" s="39"/>
      <c r="O1272" s="39"/>
      <c r="P1272" s="39"/>
      <c r="Q1272" s="43">
        <v>4.0000000000000001E-3</v>
      </c>
      <c r="R1272" s="43"/>
      <c r="S1272" s="43"/>
      <c r="T1272" s="43"/>
      <c r="U1272" s="43"/>
      <c r="V1272" s="43"/>
      <c r="W1272" s="43"/>
      <c r="X1272" s="59">
        <v>8.8000000000000007</v>
      </c>
      <c r="Y1272" s="59"/>
      <c r="Z1272" s="59"/>
      <c r="AA1272" s="59"/>
      <c r="AB1272" s="59"/>
      <c r="AC1272" s="43">
        <v>9.0760000000000005</v>
      </c>
      <c r="AD1272" s="43"/>
      <c r="AE1272" s="43"/>
      <c r="AF1272" s="43"/>
      <c r="AG1272" s="43"/>
      <c r="AH1272" s="43">
        <v>-0.27600000000000002</v>
      </c>
      <c r="AI1272" s="43"/>
      <c r="AJ1272" s="43"/>
      <c r="AK1272" s="43"/>
    </row>
    <row r="1273" spans="1:37" ht="21.75" hidden="1" customHeight="1" x14ac:dyDescent="0.2">
      <c r="A1273" s="21">
        <v>358</v>
      </c>
      <c r="B1273" s="39" t="s">
        <v>807</v>
      </c>
      <c r="C1273" s="39"/>
      <c r="D1273" s="39"/>
      <c r="E1273" s="39"/>
      <c r="F1273" s="39"/>
      <c r="G1273" s="39"/>
      <c r="H1273" s="39"/>
      <c r="I1273" s="39"/>
      <c r="J1273" s="39"/>
      <c r="K1273" s="39"/>
      <c r="L1273" s="39"/>
      <c r="M1273" s="39"/>
      <c r="N1273" s="39"/>
      <c r="O1273" s="39"/>
      <c r="P1273" s="39"/>
      <c r="Q1273" s="43">
        <v>4.0000000000000001E-3</v>
      </c>
      <c r="R1273" s="43"/>
      <c r="S1273" s="43"/>
      <c r="T1273" s="43"/>
      <c r="U1273" s="43"/>
      <c r="V1273" s="43"/>
      <c r="W1273" s="43"/>
      <c r="X1273" s="41">
        <v>7.85</v>
      </c>
      <c r="Y1273" s="41"/>
      <c r="Z1273" s="41"/>
      <c r="AA1273" s="41"/>
      <c r="AB1273" s="41"/>
      <c r="AC1273" s="43">
        <v>7.9749999999999996</v>
      </c>
      <c r="AD1273" s="43"/>
      <c r="AE1273" s="43"/>
      <c r="AF1273" s="43"/>
      <c r="AG1273" s="43"/>
      <c r="AH1273" s="43">
        <v>-0.125</v>
      </c>
      <c r="AI1273" s="43"/>
      <c r="AJ1273" s="43"/>
      <c r="AK1273" s="43"/>
    </row>
    <row r="1274" spans="1:37" ht="11.25" hidden="1" customHeight="1" x14ac:dyDescent="0.2">
      <c r="A1274" s="21">
        <v>359</v>
      </c>
      <c r="B1274" s="39" t="s">
        <v>449</v>
      </c>
      <c r="C1274" s="39"/>
      <c r="D1274" s="39"/>
      <c r="E1274" s="39"/>
      <c r="F1274" s="39"/>
      <c r="G1274" s="39"/>
      <c r="H1274" s="39"/>
      <c r="I1274" s="39"/>
      <c r="J1274" s="39"/>
      <c r="K1274" s="39"/>
      <c r="L1274" s="39"/>
      <c r="M1274" s="39"/>
      <c r="N1274" s="39"/>
      <c r="O1274" s="39"/>
      <c r="P1274" s="39"/>
      <c r="Q1274" s="43">
        <v>4.0000000000000001E-3</v>
      </c>
      <c r="R1274" s="43"/>
      <c r="S1274" s="43"/>
      <c r="T1274" s="43"/>
      <c r="U1274" s="43"/>
      <c r="V1274" s="43"/>
      <c r="W1274" s="43"/>
      <c r="X1274" s="41">
        <v>42.25</v>
      </c>
      <c r="Y1274" s="41"/>
      <c r="Z1274" s="41"/>
      <c r="AA1274" s="41"/>
      <c r="AB1274" s="41"/>
      <c r="AC1274" s="43">
        <v>43.290999999999997</v>
      </c>
      <c r="AD1274" s="43"/>
      <c r="AE1274" s="43"/>
      <c r="AF1274" s="43"/>
      <c r="AG1274" s="43"/>
      <c r="AH1274" s="43">
        <v>-1.0409999999999999</v>
      </c>
      <c r="AI1274" s="43"/>
      <c r="AJ1274" s="43"/>
      <c r="AK1274" s="43"/>
    </row>
    <row r="1275" spans="1:37" ht="11.25" hidden="1" customHeight="1" x14ac:dyDescent="0.2">
      <c r="A1275" s="21">
        <v>360</v>
      </c>
      <c r="B1275" s="39" t="s">
        <v>556</v>
      </c>
      <c r="C1275" s="39"/>
      <c r="D1275" s="39"/>
      <c r="E1275" s="39"/>
      <c r="F1275" s="39"/>
      <c r="G1275" s="39"/>
      <c r="H1275" s="39"/>
      <c r="I1275" s="39"/>
      <c r="J1275" s="39"/>
      <c r="K1275" s="39"/>
      <c r="L1275" s="39"/>
      <c r="M1275" s="39"/>
      <c r="N1275" s="39"/>
      <c r="O1275" s="39"/>
      <c r="P1275" s="39"/>
      <c r="Q1275" s="43">
        <v>2E-3</v>
      </c>
      <c r="R1275" s="43"/>
      <c r="S1275" s="43"/>
      <c r="T1275" s="43"/>
      <c r="U1275" s="43"/>
      <c r="V1275" s="43"/>
      <c r="W1275" s="43"/>
      <c r="X1275" s="59">
        <v>23.2</v>
      </c>
      <c r="Y1275" s="59"/>
      <c r="Z1275" s="59"/>
      <c r="AA1275" s="59"/>
      <c r="AB1275" s="59"/>
      <c r="AC1275" s="43">
        <v>23.599</v>
      </c>
      <c r="AD1275" s="43"/>
      <c r="AE1275" s="43"/>
      <c r="AF1275" s="43"/>
      <c r="AG1275" s="43"/>
      <c r="AH1275" s="43">
        <v>-0.39900000000000002</v>
      </c>
      <c r="AI1275" s="43"/>
      <c r="AJ1275" s="43"/>
      <c r="AK1275" s="43"/>
    </row>
    <row r="1276" spans="1:37" ht="11.25" hidden="1" customHeight="1" x14ac:dyDescent="0.2">
      <c r="A1276" s="21">
        <v>361</v>
      </c>
      <c r="B1276" s="39" t="s">
        <v>668</v>
      </c>
      <c r="C1276" s="39"/>
      <c r="D1276" s="39"/>
      <c r="E1276" s="39"/>
      <c r="F1276" s="39"/>
      <c r="G1276" s="39"/>
      <c r="H1276" s="39"/>
      <c r="I1276" s="39"/>
      <c r="J1276" s="39"/>
      <c r="K1276" s="39"/>
      <c r="L1276" s="39"/>
      <c r="M1276" s="39"/>
      <c r="N1276" s="39"/>
      <c r="O1276" s="39"/>
      <c r="P1276" s="39"/>
      <c r="Q1276" s="43">
        <v>2E-3</v>
      </c>
      <c r="R1276" s="43"/>
      <c r="S1276" s="43"/>
      <c r="T1276" s="43"/>
      <c r="U1276" s="43"/>
      <c r="V1276" s="43"/>
      <c r="W1276" s="43"/>
      <c r="X1276" s="41">
        <v>15.31</v>
      </c>
      <c r="Y1276" s="41"/>
      <c r="Z1276" s="41"/>
      <c r="AA1276" s="41"/>
      <c r="AB1276" s="41"/>
      <c r="AC1276" s="43">
        <v>15.433999999999999</v>
      </c>
      <c r="AD1276" s="43"/>
      <c r="AE1276" s="43"/>
      <c r="AF1276" s="43"/>
      <c r="AG1276" s="43"/>
      <c r="AH1276" s="43">
        <v>-0.124</v>
      </c>
      <c r="AI1276" s="43"/>
      <c r="AJ1276" s="43"/>
      <c r="AK1276" s="43"/>
    </row>
    <row r="1277" spans="1:37" ht="11.25" hidden="1" customHeight="1" x14ac:dyDescent="0.2">
      <c r="A1277" s="21">
        <v>362</v>
      </c>
      <c r="B1277" s="39" t="s">
        <v>414</v>
      </c>
      <c r="C1277" s="39"/>
      <c r="D1277" s="39"/>
      <c r="E1277" s="39"/>
      <c r="F1277" s="39"/>
      <c r="G1277" s="39"/>
      <c r="H1277" s="39"/>
      <c r="I1277" s="39"/>
      <c r="J1277" s="39"/>
      <c r="K1277" s="39"/>
      <c r="L1277" s="39"/>
      <c r="M1277" s="39"/>
      <c r="N1277" s="39"/>
      <c r="O1277" s="39"/>
      <c r="P1277" s="39"/>
      <c r="Q1277" s="43">
        <v>2E-3</v>
      </c>
      <c r="R1277" s="43"/>
      <c r="S1277" s="43"/>
      <c r="T1277" s="43"/>
      <c r="U1277" s="43"/>
      <c r="V1277" s="43"/>
      <c r="W1277" s="43"/>
      <c r="X1277" s="41">
        <v>10.23</v>
      </c>
      <c r="Y1277" s="41"/>
      <c r="Z1277" s="41"/>
      <c r="AA1277" s="41"/>
      <c r="AB1277" s="41"/>
      <c r="AC1277" s="43">
        <v>10.656000000000001</v>
      </c>
      <c r="AD1277" s="43"/>
      <c r="AE1277" s="43"/>
      <c r="AF1277" s="43"/>
      <c r="AG1277" s="43"/>
      <c r="AH1277" s="43">
        <v>-0.42599999999999999</v>
      </c>
      <c r="AI1277" s="43"/>
      <c r="AJ1277" s="43"/>
      <c r="AK1277" s="43"/>
    </row>
    <row r="1278" spans="1:37" ht="11.25" hidden="1" customHeight="1" x14ac:dyDescent="0.2">
      <c r="A1278" s="21">
        <v>363</v>
      </c>
      <c r="B1278" s="39" t="s">
        <v>765</v>
      </c>
      <c r="C1278" s="39"/>
      <c r="D1278" s="39"/>
      <c r="E1278" s="39"/>
      <c r="F1278" s="39"/>
      <c r="G1278" s="39"/>
      <c r="H1278" s="39"/>
      <c r="I1278" s="39"/>
      <c r="J1278" s="39"/>
      <c r="K1278" s="39"/>
      <c r="L1278" s="39"/>
      <c r="M1278" s="39"/>
      <c r="N1278" s="39"/>
      <c r="O1278" s="39"/>
      <c r="P1278" s="39"/>
      <c r="Q1278" s="43">
        <v>2E-3</v>
      </c>
      <c r="R1278" s="43"/>
      <c r="S1278" s="43"/>
      <c r="T1278" s="43"/>
      <c r="U1278" s="43"/>
      <c r="V1278" s="43"/>
      <c r="W1278" s="43"/>
      <c r="X1278" s="59">
        <v>28.3</v>
      </c>
      <c r="Y1278" s="59"/>
      <c r="Z1278" s="59"/>
      <c r="AA1278" s="59"/>
      <c r="AB1278" s="59"/>
      <c r="AC1278" s="43">
        <v>28.405000000000001</v>
      </c>
      <c r="AD1278" s="43"/>
      <c r="AE1278" s="43"/>
      <c r="AF1278" s="43"/>
      <c r="AG1278" s="43"/>
      <c r="AH1278" s="43">
        <v>-0.105</v>
      </c>
      <c r="AI1278" s="43"/>
      <c r="AJ1278" s="43"/>
      <c r="AK1278" s="43"/>
    </row>
    <row r="1279" spans="1:37" ht="11.25" hidden="1" customHeight="1" x14ac:dyDescent="0.2">
      <c r="A1279" s="21">
        <v>364</v>
      </c>
      <c r="B1279" s="39" t="s">
        <v>829</v>
      </c>
      <c r="C1279" s="39"/>
      <c r="D1279" s="39"/>
      <c r="E1279" s="39"/>
      <c r="F1279" s="39"/>
      <c r="G1279" s="39"/>
      <c r="H1279" s="39"/>
      <c r="I1279" s="39"/>
      <c r="J1279" s="39"/>
      <c r="K1279" s="39"/>
      <c r="L1279" s="39"/>
      <c r="M1279" s="39"/>
      <c r="N1279" s="39"/>
      <c r="O1279" s="39"/>
      <c r="P1279" s="39"/>
      <c r="Q1279" s="43">
        <v>2E-3</v>
      </c>
      <c r="R1279" s="43"/>
      <c r="S1279" s="43"/>
      <c r="T1279" s="43"/>
      <c r="U1279" s="43"/>
      <c r="V1279" s="43"/>
      <c r="W1279" s="43"/>
      <c r="X1279" s="41">
        <v>14.09</v>
      </c>
      <c r="Y1279" s="41"/>
      <c r="Z1279" s="41"/>
      <c r="AA1279" s="41"/>
      <c r="AB1279" s="41"/>
      <c r="AC1279" s="43">
        <v>14.414</v>
      </c>
      <c r="AD1279" s="43"/>
      <c r="AE1279" s="43"/>
      <c r="AF1279" s="43"/>
      <c r="AG1279" s="43"/>
      <c r="AH1279" s="43">
        <v>-0.32400000000000001</v>
      </c>
      <c r="AI1279" s="43"/>
      <c r="AJ1279" s="43"/>
      <c r="AK1279" s="43"/>
    </row>
    <row r="1280" spans="1:37" ht="21.75" hidden="1" customHeight="1" x14ac:dyDescent="0.2">
      <c r="A1280" s="21">
        <v>365</v>
      </c>
      <c r="B1280" s="39" t="s">
        <v>557</v>
      </c>
      <c r="C1280" s="39"/>
      <c r="D1280" s="39"/>
      <c r="E1280" s="39"/>
      <c r="F1280" s="39"/>
      <c r="G1280" s="39"/>
      <c r="H1280" s="39"/>
      <c r="I1280" s="39"/>
      <c r="J1280" s="39"/>
      <c r="K1280" s="39"/>
      <c r="L1280" s="39"/>
      <c r="M1280" s="39"/>
      <c r="N1280" s="39"/>
      <c r="O1280" s="39"/>
      <c r="P1280" s="39"/>
      <c r="Q1280" s="43">
        <v>1E-3</v>
      </c>
      <c r="R1280" s="43"/>
      <c r="S1280" s="43"/>
      <c r="T1280" s="43"/>
      <c r="U1280" s="43"/>
      <c r="V1280" s="43"/>
      <c r="W1280" s="43"/>
      <c r="X1280" s="41">
        <v>11.82</v>
      </c>
      <c r="Y1280" s="41"/>
      <c r="Z1280" s="41"/>
      <c r="AA1280" s="41"/>
      <c r="AB1280" s="41"/>
      <c r="AC1280" s="43">
        <v>11.922000000000001</v>
      </c>
      <c r="AD1280" s="43"/>
      <c r="AE1280" s="43"/>
      <c r="AF1280" s="43"/>
      <c r="AG1280" s="43"/>
      <c r="AH1280" s="43">
        <v>-0.10199999999999999</v>
      </c>
      <c r="AI1280" s="43"/>
      <c r="AJ1280" s="43"/>
      <c r="AK1280" s="43"/>
    </row>
    <row r="1281" spans="1:37" ht="21.75" hidden="1" customHeight="1" x14ac:dyDescent="0.2">
      <c r="A1281" s="21">
        <v>366</v>
      </c>
      <c r="B1281" s="39" t="s">
        <v>862</v>
      </c>
      <c r="C1281" s="39"/>
      <c r="D1281" s="39"/>
      <c r="E1281" s="39"/>
      <c r="F1281" s="39"/>
      <c r="G1281" s="39"/>
      <c r="H1281" s="39"/>
      <c r="I1281" s="39"/>
      <c r="J1281" s="39"/>
      <c r="K1281" s="39"/>
      <c r="L1281" s="39"/>
      <c r="M1281" s="39"/>
      <c r="N1281" s="39"/>
      <c r="O1281" s="39"/>
      <c r="P1281" s="39"/>
      <c r="Q1281" s="43">
        <v>1E-3</v>
      </c>
      <c r="R1281" s="43"/>
      <c r="S1281" s="43"/>
      <c r="T1281" s="43"/>
      <c r="U1281" s="43"/>
      <c r="V1281" s="43"/>
      <c r="W1281" s="43"/>
      <c r="X1281" s="59">
        <v>20.2</v>
      </c>
      <c r="Y1281" s="59"/>
      <c r="Z1281" s="59"/>
      <c r="AA1281" s="59"/>
      <c r="AB1281" s="59"/>
      <c r="AC1281" s="43">
        <v>20.670999999999999</v>
      </c>
      <c r="AD1281" s="43"/>
      <c r="AE1281" s="43"/>
      <c r="AF1281" s="43"/>
      <c r="AG1281" s="43"/>
      <c r="AH1281" s="43">
        <v>-0.47099999999999997</v>
      </c>
      <c r="AI1281" s="43"/>
      <c r="AJ1281" s="43"/>
      <c r="AK1281" s="43"/>
    </row>
    <row r="1282" spans="1:37" ht="11.25" hidden="1" customHeight="1" x14ac:dyDescent="0.2">
      <c r="A1282" s="21">
        <v>367</v>
      </c>
      <c r="B1282" s="39" t="s">
        <v>450</v>
      </c>
      <c r="C1282" s="39"/>
      <c r="D1282" s="39"/>
      <c r="E1282" s="39"/>
      <c r="F1282" s="39"/>
      <c r="G1282" s="39"/>
      <c r="H1282" s="39"/>
      <c r="I1282" s="39"/>
      <c r="J1282" s="39"/>
      <c r="K1282" s="39"/>
      <c r="L1282" s="39"/>
      <c r="M1282" s="39"/>
      <c r="N1282" s="39"/>
      <c r="O1282" s="39"/>
      <c r="P1282" s="39"/>
      <c r="Q1282" s="43">
        <v>1E-3</v>
      </c>
      <c r="R1282" s="43"/>
      <c r="S1282" s="43"/>
      <c r="T1282" s="43"/>
      <c r="U1282" s="43"/>
      <c r="V1282" s="43"/>
      <c r="W1282" s="43"/>
      <c r="X1282" s="41">
        <v>18.25</v>
      </c>
      <c r="Y1282" s="41"/>
      <c r="Z1282" s="41"/>
      <c r="AA1282" s="41"/>
      <c r="AB1282" s="41"/>
      <c r="AC1282" s="43">
        <v>18.702000000000002</v>
      </c>
      <c r="AD1282" s="43"/>
      <c r="AE1282" s="43"/>
      <c r="AF1282" s="43"/>
      <c r="AG1282" s="43"/>
      <c r="AH1282" s="43">
        <v>-0.45200000000000001</v>
      </c>
      <c r="AI1282" s="43"/>
      <c r="AJ1282" s="43"/>
      <c r="AK1282" s="43"/>
    </row>
    <row r="1283" spans="1:37" ht="21.75" hidden="1" customHeight="1" x14ac:dyDescent="0.2">
      <c r="A1283" s="21">
        <v>368</v>
      </c>
      <c r="B1283" s="39" t="s">
        <v>386</v>
      </c>
      <c r="C1283" s="39"/>
      <c r="D1283" s="39"/>
      <c r="E1283" s="39"/>
      <c r="F1283" s="39"/>
      <c r="G1283" s="39"/>
      <c r="H1283" s="39"/>
      <c r="I1283" s="39"/>
      <c r="J1283" s="39"/>
      <c r="K1283" s="39"/>
      <c r="L1283" s="39"/>
      <c r="M1283" s="39"/>
      <c r="N1283" s="39"/>
      <c r="O1283" s="39"/>
      <c r="P1283" s="39"/>
      <c r="Q1283" s="9"/>
      <c r="R1283" s="10"/>
      <c r="S1283" s="10"/>
      <c r="T1283" s="10"/>
      <c r="U1283" s="10"/>
      <c r="V1283" s="10"/>
      <c r="W1283" s="11"/>
      <c r="X1283" s="59">
        <v>10.8</v>
      </c>
      <c r="Y1283" s="59"/>
      <c r="Z1283" s="59"/>
      <c r="AA1283" s="59"/>
      <c r="AB1283" s="59"/>
      <c r="AC1283" s="41">
        <v>11.25</v>
      </c>
      <c r="AD1283" s="41"/>
      <c r="AE1283" s="41"/>
      <c r="AF1283" s="41"/>
      <c r="AG1283" s="41"/>
      <c r="AH1283" s="41">
        <v>-0.45</v>
      </c>
      <c r="AI1283" s="41"/>
      <c r="AJ1283" s="41"/>
      <c r="AK1283" s="41"/>
    </row>
    <row r="1284" spans="1:37" ht="21.75" hidden="1" customHeight="1" x14ac:dyDescent="0.2">
      <c r="A1284" s="21">
        <v>369</v>
      </c>
      <c r="B1284" s="39" t="s">
        <v>812</v>
      </c>
      <c r="C1284" s="39"/>
      <c r="D1284" s="39"/>
      <c r="E1284" s="39"/>
      <c r="F1284" s="39"/>
      <c r="G1284" s="39"/>
      <c r="H1284" s="39"/>
      <c r="I1284" s="39"/>
      <c r="J1284" s="39"/>
      <c r="K1284" s="39"/>
      <c r="L1284" s="39"/>
      <c r="M1284" s="39"/>
      <c r="N1284" s="39"/>
      <c r="O1284" s="39"/>
      <c r="P1284" s="39"/>
      <c r="Q1284" s="9"/>
      <c r="R1284" s="10"/>
      <c r="S1284" s="10"/>
      <c r="T1284" s="10"/>
      <c r="U1284" s="10"/>
      <c r="V1284" s="10"/>
      <c r="W1284" s="11"/>
      <c r="X1284" s="43">
        <v>5.4059999999999997</v>
      </c>
      <c r="Y1284" s="43"/>
      <c r="Z1284" s="43"/>
      <c r="AA1284" s="43"/>
      <c r="AB1284" s="43"/>
      <c r="AC1284" s="43">
        <v>5.4059999999999997</v>
      </c>
      <c r="AD1284" s="43"/>
      <c r="AE1284" s="43"/>
      <c r="AF1284" s="43"/>
      <c r="AG1284" s="43"/>
      <c r="AH1284" s="12"/>
      <c r="AI1284" s="13"/>
      <c r="AJ1284" s="13"/>
      <c r="AK1284" s="14"/>
    </row>
    <row r="1285" spans="1:37" ht="21.75" hidden="1" customHeight="1" x14ac:dyDescent="0.2">
      <c r="A1285" s="21">
        <v>370</v>
      </c>
      <c r="B1285" s="39" t="s">
        <v>564</v>
      </c>
      <c r="C1285" s="39"/>
      <c r="D1285" s="39"/>
      <c r="E1285" s="39"/>
      <c r="F1285" s="39"/>
      <c r="G1285" s="39"/>
      <c r="H1285" s="39"/>
      <c r="I1285" s="39"/>
      <c r="J1285" s="39"/>
      <c r="K1285" s="39"/>
      <c r="L1285" s="39"/>
      <c r="M1285" s="39"/>
      <c r="N1285" s="39"/>
      <c r="O1285" s="39"/>
      <c r="P1285" s="39"/>
      <c r="Q1285" s="9"/>
      <c r="R1285" s="10"/>
      <c r="S1285" s="10"/>
      <c r="T1285" s="10"/>
      <c r="U1285" s="10"/>
      <c r="V1285" s="10"/>
      <c r="W1285" s="11"/>
      <c r="X1285" s="41">
        <v>5.75</v>
      </c>
      <c r="Y1285" s="41"/>
      <c r="Z1285" s="41"/>
      <c r="AA1285" s="41"/>
      <c r="AB1285" s="41"/>
      <c r="AC1285" s="43">
        <v>6.056</v>
      </c>
      <c r="AD1285" s="43"/>
      <c r="AE1285" s="43"/>
      <c r="AF1285" s="43"/>
      <c r="AG1285" s="43"/>
      <c r="AH1285" s="43">
        <v>-0.30599999999999999</v>
      </c>
      <c r="AI1285" s="43"/>
      <c r="AJ1285" s="43"/>
      <c r="AK1285" s="43"/>
    </row>
    <row r="1286" spans="1:37" ht="21.75" hidden="1" customHeight="1" x14ac:dyDescent="0.2">
      <c r="A1286" s="21">
        <v>371</v>
      </c>
      <c r="B1286" s="39" t="s">
        <v>606</v>
      </c>
      <c r="C1286" s="39"/>
      <c r="D1286" s="39"/>
      <c r="E1286" s="39"/>
      <c r="F1286" s="39"/>
      <c r="G1286" s="39"/>
      <c r="H1286" s="39"/>
      <c r="I1286" s="39"/>
      <c r="J1286" s="39"/>
      <c r="K1286" s="39"/>
      <c r="L1286" s="39"/>
      <c r="M1286" s="39"/>
      <c r="N1286" s="39"/>
      <c r="O1286" s="39"/>
      <c r="P1286" s="39"/>
      <c r="Q1286" s="9"/>
      <c r="R1286" s="10"/>
      <c r="S1286" s="10"/>
      <c r="T1286" s="10"/>
      <c r="U1286" s="10"/>
      <c r="V1286" s="10"/>
      <c r="W1286" s="11"/>
      <c r="X1286" s="41">
        <v>8.85</v>
      </c>
      <c r="Y1286" s="41"/>
      <c r="Z1286" s="41"/>
      <c r="AA1286" s="41"/>
      <c r="AB1286" s="41"/>
      <c r="AC1286" s="43">
        <v>9.0609999999999999</v>
      </c>
      <c r="AD1286" s="43"/>
      <c r="AE1286" s="43"/>
      <c r="AF1286" s="43"/>
      <c r="AG1286" s="43"/>
      <c r="AH1286" s="43">
        <v>-0.21099999999999999</v>
      </c>
      <c r="AI1286" s="43"/>
      <c r="AJ1286" s="43"/>
      <c r="AK1286" s="43"/>
    </row>
    <row r="1287" spans="1:37" ht="21.75" hidden="1" customHeight="1" x14ac:dyDescent="0.2">
      <c r="A1287" s="21">
        <v>372</v>
      </c>
      <c r="B1287" s="39" t="s">
        <v>575</v>
      </c>
      <c r="C1287" s="39"/>
      <c r="D1287" s="39"/>
      <c r="E1287" s="39"/>
      <c r="F1287" s="39"/>
      <c r="G1287" s="39"/>
      <c r="H1287" s="39"/>
      <c r="I1287" s="39"/>
      <c r="J1287" s="39"/>
      <c r="K1287" s="39"/>
      <c r="L1287" s="39"/>
      <c r="M1287" s="39"/>
      <c r="N1287" s="39"/>
      <c r="O1287" s="39"/>
      <c r="P1287" s="39"/>
      <c r="Q1287" s="9"/>
      <c r="R1287" s="10"/>
      <c r="S1287" s="10"/>
      <c r="T1287" s="10"/>
      <c r="U1287" s="10"/>
      <c r="V1287" s="10"/>
      <c r="W1287" s="11"/>
      <c r="X1287" s="58">
        <v>37</v>
      </c>
      <c r="Y1287" s="58"/>
      <c r="Z1287" s="58"/>
      <c r="AA1287" s="58"/>
      <c r="AB1287" s="58"/>
      <c r="AC1287" s="58">
        <v>37</v>
      </c>
      <c r="AD1287" s="58"/>
      <c r="AE1287" s="58"/>
      <c r="AF1287" s="58"/>
      <c r="AG1287" s="58"/>
      <c r="AH1287" s="12"/>
      <c r="AI1287" s="13"/>
      <c r="AJ1287" s="13"/>
      <c r="AK1287" s="14"/>
    </row>
    <row r="1288" spans="1:37" ht="21.75" hidden="1" customHeight="1" x14ac:dyDescent="0.2">
      <c r="A1288" s="21">
        <v>373</v>
      </c>
      <c r="B1288" s="39" t="s">
        <v>572</v>
      </c>
      <c r="C1288" s="39"/>
      <c r="D1288" s="39"/>
      <c r="E1288" s="39"/>
      <c r="F1288" s="39"/>
      <c r="G1288" s="39"/>
      <c r="H1288" s="39"/>
      <c r="I1288" s="39"/>
      <c r="J1288" s="39"/>
      <c r="K1288" s="39"/>
      <c r="L1288" s="39"/>
      <c r="M1288" s="39"/>
      <c r="N1288" s="39"/>
      <c r="O1288" s="39"/>
      <c r="P1288" s="39"/>
      <c r="Q1288" s="9"/>
      <c r="R1288" s="10"/>
      <c r="S1288" s="10"/>
      <c r="T1288" s="10"/>
      <c r="U1288" s="10"/>
      <c r="V1288" s="10"/>
      <c r="W1288" s="11"/>
      <c r="X1288" s="59">
        <v>33.4</v>
      </c>
      <c r="Y1288" s="59"/>
      <c r="Z1288" s="59"/>
      <c r="AA1288" s="59"/>
      <c r="AB1288" s="59"/>
      <c r="AC1288" s="43">
        <v>34.127000000000002</v>
      </c>
      <c r="AD1288" s="43"/>
      <c r="AE1288" s="43"/>
      <c r="AF1288" s="43"/>
      <c r="AG1288" s="43"/>
      <c r="AH1288" s="43">
        <v>-0.72699999999999998</v>
      </c>
      <c r="AI1288" s="43"/>
      <c r="AJ1288" s="43"/>
      <c r="AK1288" s="43"/>
    </row>
    <row r="1289" spans="1:37" ht="11.25" hidden="1" customHeight="1" x14ac:dyDescent="0.2">
      <c r="A1289" s="21">
        <v>374</v>
      </c>
      <c r="B1289" s="39" t="s">
        <v>728</v>
      </c>
      <c r="C1289" s="39"/>
      <c r="D1289" s="39"/>
      <c r="E1289" s="39"/>
      <c r="F1289" s="39"/>
      <c r="G1289" s="39"/>
      <c r="H1289" s="39"/>
      <c r="I1289" s="39"/>
      <c r="J1289" s="39"/>
      <c r="K1289" s="39"/>
      <c r="L1289" s="39"/>
      <c r="M1289" s="39"/>
      <c r="N1289" s="39"/>
      <c r="O1289" s="39"/>
      <c r="P1289" s="39"/>
      <c r="Q1289" s="9"/>
      <c r="R1289" s="10"/>
      <c r="S1289" s="10"/>
      <c r="T1289" s="10"/>
      <c r="U1289" s="10"/>
      <c r="V1289" s="10"/>
      <c r="W1289" s="11"/>
      <c r="X1289" s="59">
        <v>8.6999999999999993</v>
      </c>
      <c r="Y1289" s="59"/>
      <c r="Z1289" s="59"/>
      <c r="AA1289" s="59"/>
      <c r="AB1289" s="59"/>
      <c r="AC1289" s="43">
        <v>9.2219999999999995</v>
      </c>
      <c r="AD1289" s="43"/>
      <c r="AE1289" s="43"/>
      <c r="AF1289" s="43"/>
      <c r="AG1289" s="43"/>
      <c r="AH1289" s="43">
        <v>-0.52200000000000002</v>
      </c>
      <c r="AI1289" s="43"/>
      <c r="AJ1289" s="43"/>
      <c r="AK1289" s="43"/>
    </row>
    <row r="1290" spans="1:37" ht="11.25" hidden="1" customHeight="1" x14ac:dyDescent="0.2">
      <c r="A1290" s="21">
        <v>375</v>
      </c>
      <c r="B1290" s="39" t="s">
        <v>863</v>
      </c>
      <c r="C1290" s="39"/>
      <c r="D1290" s="39"/>
      <c r="E1290" s="39"/>
      <c r="F1290" s="39"/>
      <c r="G1290" s="39"/>
      <c r="H1290" s="39"/>
      <c r="I1290" s="39"/>
      <c r="J1290" s="39"/>
      <c r="K1290" s="39"/>
      <c r="L1290" s="39"/>
      <c r="M1290" s="39"/>
      <c r="N1290" s="39"/>
      <c r="O1290" s="39"/>
      <c r="P1290" s="39"/>
      <c r="Q1290" s="9"/>
      <c r="R1290" s="10"/>
      <c r="S1290" s="10"/>
      <c r="T1290" s="10"/>
      <c r="U1290" s="10"/>
      <c r="V1290" s="10"/>
      <c r="W1290" s="11"/>
      <c r="X1290" s="41">
        <v>19.93</v>
      </c>
      <c r="Y1290" s="41"/>
      <c r="Z1290" s="41"/>
      <c r="AA1290" s="41"/>
      <c r="AB1290" s="41"/>
      <c r="AC1290" s="43">
        <v>21.219000000000001</v>
      </c>
      <c r="AD1290" s="43"/>
      <c r="AE1290" s="43"/>
      <c r="AF1290" s="43"/>
      <c r="AG1290" s="43"/>
      <c r="AH1290" s="43">
        <v>-1.2889999999999999</v>
      </c>
      <c r="AI1290" s="43"/>
      <c r="AJ1290" s="43"/>
      <c r="AK1290" s="43"/>
    </row>
    <row r="1291" spans="1:37" ht="11.25" hidden="1" customHeight="1" x14ac:dyDescent="0.2">
      <c r="A1291" s="21">
        <v>376</v>
      </c>
      <c r="B1291" s="39" t="s">
        <v>647</v>
      </c>
      <c r="C1291" s="39"/>
      <c r="D1291" s="39"/>
      <c r="E1291" s="39"/>
      <c r="F1291" s="39"/>
      <c r="G1291" s="39"/>
      <c r="H1291" s="39"/>
      <c r="I1291" s="39"/>
      <c r="J1291" s="39"/>
      <c r="K1291" s="39"/>
      <c r="L1291" s="39"/>
      <c r="M1291" s="39"/>
      <c r="N1291" s="39"/>
      <c r="O1291" s="39"/>
      <c r="P1291" s="39"/>
      <c r="Q1291" s="9"/>
      <c r="R1291" s="10"/>
      <c r="S1291" s="10"/>
      <c r="T1291" s="10"/>
      <c r="U1291" s="10"/>
      <c r="V1291" s="10"/>
      <c r="W1291" s="11"/>
      <c r="X1291" s="59">
        <v>11.9</v>
      </c>
      <c r="Y1291" s="59"/>
      <c r="Z1291" s="59"/>
      <c r="AA1291" s="59"/>
      <c r="AB1291" s="59"/>
      <c r="AC1291" s="43">
        <v>12.192</v>
      </c>
      <c r="AD1291" s="43"/>
      <c r="AE1291" s="43"/>
      <c r="AF1291" s="43"/>
      <c r="AG1291" s="43"/>
      <c r="AH1291" s="43">
        <v>-0.29199999999999998</v>
      </c>
      <c r="AI1291" s="43"/>
      <c r="AJ1291" s="43"/>
      <c r="AK1291" s="43"/>
    </row>
    <row r="1292" spans="1:37" ht="11.25" hidden="1" customHeight="1" x14ac:dyDescent="0.2">
      <c r="A1292" s="21">
        <v>377</v>
      </c>
      <c r="B1292" s="39" t="s">
        <v>494</v>
      </c>
      <c r="C1292" s="39"/>
      <c r="D1292" s="39"/>
      <c r="E1292" s="39"/>
      <c r="F1292" s="39"/>
      <c r="G1292" s="39"/>
      <c r="H1292" s="39"/>
      <c r="I1292" s="39"/>
      <c r="J1292" s="39"/>
      <c r="K1292" s="39"/>
      <c r="L1292" s="39"/>
      <c r="M1292" s="39"/>
      <c r="N1292" s="39"/>
      <c r="O1292" s="39"/>
      <c r="P1292" s="39"/>
      <c r="Q1292" s="9"/>
      <c r="R1292" s="10"/>
      <c r="S1292" s="10"/>
      <c r="T1292" s="10"/>
      <c r="U1292" s="10"/>
      <c r="V1292" s="10"/>
      <c r="W1292" s="11"/>
      <c r="X1292" s="41">
        <v>12.55</v>
      </c>
      <c r="Y1292" s="41"/>
      <c r="Z1292" s="41"/>
      <c r="AA1292" s="41"/>
      <c r="AB1292" s="41"/>
      <c r="AC1292" s="43">
        <v>12.849</v>
      </c>
      <c r="AD1292" s="43"/>
      <c r="AE1292" s="43"/>
      <c r="AF1292" s="43"/>
      <c r="AG1292" s="43"/>
      <c r="AH1292" s="43">
        <v>-0.29899999999999999</v>
      </c>
      <c r="AI1292" s="43"/>
      <c r="AJ1292" s="43"/>
      <c r="AK1292" s="43"/>
    </row>
    <row r="1293" spans="1:37" ht="11.25" hidden="1" customHeight="1" x14ac:dyDescent="0.2">
      <c r="A1293" s="21">
        <v>378</v>
      </c>
      <c r="B1293" s="39" t="s">
        <v>573</v>
      </c>
      <c r="C1293" s="39"/>
      <c r="D1293" s="39"/>
      <c r="E1293" s="39"/>
      <c r="F1293" s="39"/>
      <c r="G1293" s="39"/>
      <c r="H1293" s="39"/>
      <c r="I1293" s="39"/>
      <c r="J1293" s="39"/>
      <c r="K1293" s="39"/>
      <c r="L1293" s="39"/>
      <c r="M1293" s="39"/>
      <c r="N1293" s="39"/>
      <c r="O1293" s="39"/>
      <c r="P1293" s="39"/>
      <c r="Q1293" s="9"/>
      <c r="R1293" s="10"/>
      <c r="S1293" s="10"/>
      <c r="T1293" s="10"/>
      <c r="U1293" s="10"/>
      <c r="V1293" s="10"/>
      <c r="W1293" s="11"/>
      <c r="X1293" s="59">
        <v>8.4</v>
      </c>
      <c r="Y1293" s="59"/>
      <c r="Z1293" s="59"/>
      <c r="AA1293" s="59"/>
      <c r="AB1293" s="59"/>
      <c r="AC1293" s="43">
        <v>8.8170000000000002</v>
      </c>
      <c r="AD1293" s="43"/>
      <c r="AE1293" s="43"/>
      <c r="AF1293" s="43"/>
      <c r="AG1293" s="43"/>
      <c r="AH1293" s="43">
        <v>-0.41699999999999998</v>
      </c>
      <c r="AI1293" s="43"/>
      <c r="AJ1293" s="43"/>
      <c r="AK1293" s="43"/>
    </row>
    <row r="1294" spans="1:37" ht="11.25" hidden="1" customHeight="1" x14ac:dyDescent="0.2">
      <c r="A1294" s="21">
        <v>379</v>
      </c>
      <c r="B1294" s="39" t="s">
        <v>702</v>
      </c>
      <c r="C1294" s="39"/>
      <c r="D1294" s="39"/>
      <c r="E1294" s="39"/>
      <c r="F1294" s="39"/>
      <c r="G1294" s="39"/>
      <c r="H1294" s="39"/>
      <c r="I1294" s="39"/>
      <c r="J1294" s="39"/>
      <c r="K1294" s="39"/>
      <c r="L1294" s="39"/>
      <c r="M1294" s="39"/>
      <c r="N1294" s="39"/>
      <c r="O1294" s="39"/>
      <c r="P1294" s="39"/>
      <c r="Q1294" s="9"/>
      <c r="R1294" s="10"/>
      <c r="S1294" s="10"/>
      <c r="T1294" s="10"/>
      <c r="U1294" s="10"/>
      <c r="V1294" s="10"/>
      <c r="W1294" s="11"/>
      <c r="X1294" s="41">
        <v>8.74</v>
      </c>
      <c r="Y1294" s="41"/>
      <c r="Z1294" s="41"/>
      <c r="AA1294" s="41"/>
      <c r="AB1294" s="41"/>
      <c r="AC1294" s="43">
        <v>8.9469999999999992</v>
      </c>
      <c r="AD1294" s="43"/>
      <c r="AE1294" s="43"/>
      <c r="AF1294" s="43"/>
      <c r="AG1294" s="43"/>
      <c r="AH1294" s="43">
        <v>-0.20699999999999999</v>
      </c>
      <c r="AI1294" s="43"/>
      <c r="AJ1294" s="43"/>
      <c r="AK1294" s="43"/>
    </row>
    <row r="1295" spans="1:37" ht="11.25" hidden="1" customHeight="1" x14ac:dyDescent="0.2">
      <c r="A1295" s="21">
        <v>380</v>
      </c>
      <c r="B1295" s="39" t="s">
        <v>459</v>
      </c>
      <c r="C1295" s="39"/>
      <c r="D1295" s="39"/>
      <c r="E1295" s="39"/>
      <c r="F1295" s="39"/>
      <c r="G1295" s="39"/>
      <c r="H1295" s="39"/>
      <c r="I1295" s="39"/>
      <c r="J1295" s="39"/>
      <c r="K1295" s="39"/>
      <c r="L1295" s="39"/>
      <c r="M1295" s="39"/>
      <c r="N1295" s="39"/>
      <c r="O1295" s="39"/>
      <c r="P1295" s="39"/>
      <c r="Q1295" s="9"/>
      <c r="R1295" s="10"/>
      <c r="S1295" s="10"/>
      <c r="T1295" s="10"/>
      <c r="U1295" s="10"/>
      <c r="V1295" s="10"/>
      <c r="W1295" s="11"/>
      <c r="X1295" s="58">
        <v>1</v>
      </c>
      <c r="Y1295" s="58"/>
      <c r="Z1295" s="58"/>
      <c r="AA1295" s="58"/>
      <c r="AB1295" s="58"/>
      <c r="AC1295" s="58">
        <v>1</v>
      </c>
      <c r="AD1295" s="58"/>
      <c r="AE1295" s="58"/>
      <c r="AF1295" s="58"/>
      <c r="AG1295" s="58"/>
      <c r="AH1295" s="12"/>
      <c r="AI1295" s="13"/>
      <c r="AJ1295" s="13"/>
      <c r="AK1295" s="14"/>
    </row>
    <row r="1296" spans="1:37" ht="11.25" hidden="1" customHeight="1" x14ac:dyDescent="0.2">
      <c r="A1296" s="21">
        <v>381</v>
      </c>
      <c r="B1296" s="39" t="s">
        <v>418</v>
      </c>
      <c r="C1296" s="39"/>
      <c r="D1296" s="39"/>
      <c r="E1296" s="39"/>
      <c r="F1296" s="39"/>
      <c r="G1296" s="39"/>
      <c r="H1296" s="39"/>
      <c r="I1296" s="39"/>
      <c r="J1296" s="39"/>
      <c r="K1296" s="39"/>
      <c r="L1296" s="39"/>
      <c r="M1296" s="39"/>
      <c r="N1296" s="39"/>
      <c r="O1296" s="39"/>
      <c r="P1296" s="39"/>
      <c r="Q1296" s="9"/>
      <c r="R1296" s="10"/>
      <c r="S1296" s="10"/>
      <c r="T1296" s="10"/>
      <c r="U1296" s="10"/>
      <c r="V1296" s="10"/>
      <c r="W1296" s="11"/>
      <c r="X1296" s="59">
        <v>7.5</v>
      </c>
      <c r="Y1296" s="59"/>
      <c r="Z1296" s="59"/>
      <c r="AA1296" s="59"/>
      <c r="AB1296" s="59"/>
      <c r="AC1296" s="43">
        <v>7.5739999999999998</v>
      </c>
      <c r="AD1296" s="43"/>
      <c r="AE1296" s="43"/>
      <c r="AF1296" s="43"/>
      <c r="AG1296" s="43"/>
      <c r="AH1296" s="43">
        <v>-7.3999999999999996E-2</v>
      </c>
      <c r="AI1296" s="43"/>
      <c r="AJ1296" s="43"/>
      <c r="AK1296" s="43"/>
    </row>
    <row r="1297" spans="1:37" ht="11.25" hidden="1" customHeight="1" x14ac:dyDescent="0.2">
      <c r="A1297" s="21">
        <v>382</v>
      </c>
      <c r="B1297" s="39" t="s">
        <v>738</v>
      </c>
      <c r="C1297" s="39"/>
      <c r="D1297" s="39"/>
      <c r="E1297" s="39"/>
      <c r="F1297" s="39"/>
      <c r="G1297" s="39"/>
      <c r="H1297" s="39"/>
      <c r="I1297" s="39"/>
      <c r="J1297" s="39"/>
      <c r="K1297" s="39"/>
      <c r="L1297" s="39"/>
      <c r="M1297" s="39"/>
      <c r="N1297" s="39"/>
      <c r="O1297" s="39"/>
      <c r="P1297" s="39"/>
      <c r="Q1297" s="9"/>
      <c r="R1297" s="10"/>
      <c r="S1297" s="10"/>
      <c r="T1297" s="10"/>
      <c r="U1297" s="10"/>
      <c r="V1297" s="10"/>
      <c r="W1297" s="11"/>
      <c r="X1297" s="41">
        <v>14.76</v>
      </c>
      <c r="Y1297" s="41"/>
      <c r="Z1297" s="41"/>
      <c r="AA1297" s="41"/>
      <c r="AB1297" s="41"/>
      <c r="AC1297" s="41">
        <v>14.76</v>
      </c>
      <c r="AD1297" s="41"/>
      <c r="AE1297" s="41"/>
      <c r="AF1297" s="41"/>
      <c r="AG1297" s="41"/>
      <c r="AH1297" s="12"/>
      <c r="AI1297" s="13"/>
      <c r="AJ1297" s="13"/>
      <c r="AK1297" s="14"/>
    </row>
    <row r="1298" spans="1:37" ht="11.25" hidden="1" customHeight="1" x14ac:dyDescent="0.2">
      <c r="A1298" s="21">
        <v>383</v>
      </c>
      <c r="B1298" s="39" t="s">
        <v>561</v>
      </c>
      <c r="C1298" s="39"/>
      <c r="D1298" s="39"/>
      <c r="E1298" s="39"/>
      <c r="F1298" s="39"/>
      <c r="G1298" s="39"/>
      <c r="H1298" s="39"/>
      <c r="I1298" s="39"/>
      <c r="J1298" s="39"/>
      <c r="K1298" s="39"/>
      <c r="L1298" s="39"/>
      <c r="M1298" s="39"/>
      <c r="N1298" s="39"/>
      <c r="O1298" s="39"/>
      <c r="P1298" s="39"/>
      <c r="Q1298" s="9"/>
      <c r="R1298" s="10"/>
      <c r="S1298" s="10"/>
      <c r="T1298" s="10"/>
      <c r="U1298" s="10"/>
      <c r="V1298" s="10"/>
      <c r="W1298" s="11"/>
      <c r="X1298" s="41">
        <v>12.44</v>
      </c>
      <c r="Y1298" s="41"/>
      <c r="Z1298" s="41"/>
      <c r="AA1298" s="41"/>
      <c r="AB1298" s="41"/>
      <c r="AC1298" s="43">
        <v>12.596</v>
      </c>
      <c r="AD1298" s="43"/>
      <c r="AE1298" s="43"/>
      <c r="AF1298" s="43"/>
      <c r="AG1298" s="43"/>
      <c r="AH1298" s="43">
        <v>-0.156</v>
      </c>
      <c r="AI1298" s="43"/>
      <c r="AJ1298" s="43"/>
      <c r="AK1298" s="43"/>
    </row>
    <row r="1299" spans="1:37" ht="11.25" hidden="1" customHeight="1" x14ac:dyDescent="0.2">
      <c r="A1299" s="21">
        <v>384</v>
      </c>
      <c r="B1299" s="39" t="s">
        <v>576</v>
      </c>
      <c r="C1299" s="39"/>
      <c r="D1299" s="39"/>
      <c r="E1299" s="39"/>
      <c r="F1299" s="39"/>
      <c r="G1299" s="39"/>
      <c r="H1299" s="39"/>
      <c r="I1299" s="39"/>
      <c r="J1299" s="39"/>
      <c r="K1299" s="39"/>
      <c r="L1299" s="39"/>
      <c r="M1299" s="39"/>
      <c r="N1299" s="39"/>
      <c r="O1299" s="39"/>
      <c r="P1299" s="39"/>
      <c r="Q1299" s="9"/>
      <c r="R1299" s="10"/>
      <c r="S1299" s="10"/>
      <c r="T1299" s="10"/>
      <c r="U1299" s="10"/>
      <c r="V1299" s="10"/>
      <c r="W1299" s="11"/>
      <c r="X1299" s="59">
        <v>6.9</v>
      </c>
      <c r="Y1299" s="59"/>
      <c r="Z1299" s="59"/>
      <c r="AA1299" s="59"/>
      <c r="AB1299" s="59"/>
      <c r="AC1299" s="59">
        <v>6.9</v>
      </c>
      <c r="AD1299" s="59"/>
      <c r="AE1299" s="59"/>
      <c r="AF1299" s="59"/>
      <c r="AG1299" s="59"/>
      <c r="AH1299" s="12"/>
      <c r="AI1299" s="13"/>
      <c r="AJ1299" s="13"/>
      <c r="AK1299" s="14"/>
    </row>
    <row r="1300" spans="1:37" ht="11.25" hidden="1" customHeight="1" x14ac:dyDescent="0.2">
      <c r="A1300" s="21">
        <v>385</v>
      </c>
      <c r="B1300" s="39" t="s">
        <v>610</v>
      </c>
      <c r="C1300" s="39"/>
      <c r="D1300" s="39"/>
      <c r="E1300" s="39"/>
      <c r="F1300" s="39"/>
      <c r="G1300" s="39"/>
      <c r="H1300" s="39"/>
      <c r="I1300" s="39"/>
      <c r="J1300" s="39"/>
      <c r="K1300" s="39"/>
      <c r="L1300" s="39"/>
      <c r="M1300" s="39"/>
      <c r="N1300" s="39"/>
      <c r="O1300" s="39"/>
      <c r="P1300" s="39"/>
      <c r="Q1300" s="9"/>
      <c r="R1300" s="10"/>
      <c r="S1300" s="10"/>
      <c r="T1300" s="10"/>
      <c r="U1300" s="10"/>
      <c r="V1300" s="10"/>
      <c r="W1300" s="11"/>
      <c r="X1300" s="58">
        <v>15</v>
      </c>
      <c r="Y1300" s="58"/>
      <c r="Z1300" s="58"/>
      <c r="AA1300" s="58"/>
      <c r="AB1300" s="58"/>
      <c r="AC1300" s="43">
        <v>15.002000000000001</v>
      </c>
      <c r="AD1300" s="43"/>
      <c r="AE1300" s="43"/>
      <c r="AF1300" s="43"/>
      <c r="AG1300" s="43"/>
      <c r="AH1300" s="43">
        <v>-2E-3</v>
      </c>
      <c r="AI1300" s="43"/>
      <c r="AJ1300" s="43"/>
      <c r="AK1300" s="43"/>
    </row>
    <row r="1301" spans="1:37" ht="11.25" hidden="1" customHeight="1" x14ac:dyDescent="0.2">
      <c r="A1301" s="21">
        <v>386</v>
      </c>
      <c r="B1301" s="39" t="s">
        <v>767</v>
      </c>
      <c r="C1301" s="39"/>
      <c r="D1301" s="39"/>
      <c r="E1301" s="39"/>
      <c r="F1301" s="39"/>
      <c r="G1301" s="39"/>
      <c r="H1301" s="39"/>
      <c r="I1301" s="39"/>
      <c r="J1301" s="39"/>
      <c r="K1301" s="39"/>
      <c r="L1301" s="39"/>
      <c r="M1301" s="39"/>
      <c r="N1301" s="39"/>
      <c r="O1301" s="39"/>
      <c r="P1301" s="39"/>
      <c r="Q1301" s="9"/>
      <c r="R1301" s="10"/>
      <c r="S1301" s="10"/>
      <c r="T1301" s="10"/>
      <c r="U1301" s="10"/>
      <c r="V1301" s="10"/>
      <c r="W1301" s="11"/>
      <c r="X1301" s="41">
        <v>19.350000000000001</v>
      </c>
      <c r="Y1301" s="41"/>
      <c r="Z1301" s="41"/>
      <c r="AA1301" s="41"/>
      <c r="AB1301" s="41"/>
      <c r="AC1301" s="43">
        <v>19.594000000000001</v>
      </c>
      <c r="AD1301" s="43"/>
      <c r="AE1301" s="43"/>
      <c r="AF1301" s="43"/>
      <c r="AG1301" s="43"/>
      <c r="AH1301" s="43">
        <v>-0.24399999999999999</v>
      </c>
      <c r="AI1301" s="43"/>
      <c r="AJ1301" s="43"/>
      <c r="AK1301" s="43"/>
    </row>
    <row r="1302" spans="1:37" ht="11.25" hidden="1" customHeight="1" x14ac:dyDescent="0.2">
      <c r="A1302" s="21">
        <v>387</v>
      </c>
      <c r="B1302" s="39" t="s">
        <v>868</v>
      </c>
      <c r="C1302" s="39"/>
      <c r="D1302" s="39"/>
      <c r="E1302" s="39"/>
      <c r="F1302" s="39"/>
      <c r="G1302" s="39"/>
      <c r="H1302" s="39"/>
      <c r="I1302" s="39"/>
      <c r="J1302" s="39"/>
      <c r="K1302" s="39"/>
      <c r="L1302" s="39"/>
      <c r="M1302" s="39"/>
      <c r="N1302" s="39"/>
      <c r="O1302" s="39"/>
      <c r="P1302" s="39"/>
      <c r="Q1302" s="9"/>
      <c r="R1302" s="10"/>
      <c r="S1302" s="10"/>
      <c r="T1302" s="10"/>
      <c r="U1302" s="10"/>
      <c r="V1302" s="10"/>
      <c r="W1302" s="11"/>
      <c r="X1302" s="41">
        <v>4.6500000000000004</v>
      </c>
      <c r="Y1302" s="41"/>
      <c r="Z1302" s="41"/>
      <c r="AA1302" s="41"/>
      <c r="AB1302" s="41"/>
      <c r="AC1302" s="41">
        <v>4.6500000000000004</v>
      </c>
      <c r="AD1302" s="41"/>
      <c r="AE1302" s="41"/>
      <c r="AF1302" s="41"/>
      <c r="AG1302" s="41"/>
      <c r="AH1302" s="12"/>
      <c r="AI1302" s="13"/>
      <c r="AJ1302" s="13"/>
      <c r="AK1302" s="14"/>
    </row>
    <row r="1303" spans="1:37" ht="11.25" hidden="1" customHeight="1" x14ac:dyDescent="0.2">
      <c r="A1303" s="21">
        <v>388</v>
      </c>
      <c r="B1303" s="39" t="s">
        <v>389</v>
      </c>
      <c r="C1303" s="39"/>
      <c r="D1303" s="39"/>
      <c r="E1303" s="39"/>
      <c r="F1303" s="39"/>
      <c r="G1303" s="39"/>
      <c r="H1303" s="39"/>
      <c r="I1303" s="39"/>
      <c r="J1303" s="39"/>
      <c r="K1303" s="39"/>
      <c r="L1303" s="39"/>
      <c r="M1303" s="39"/>
      <c r="N1303" s="39"/>
      <c r="O1303" s="39"/>
      <c r="P1303" s="39"/>
      <c r="Q1303" s="9"/>
      <c r="R1303" s="10"/>
      <c r="S1303" s="10"/>
      <c r="T1303" s="10"/>
      <c r="U1303" s="10"/>
      <c r="V1303" s="10"/>
      <c r="W1303" s="11"/>
      <c r="X1303" s="59">
        <v>9.3000000000000007</v>
      </c>
      <c r="Y1303" s="59"/>
      <c r="Z1303" s="59"/>
      <c r="AA1303" s="59"/>
      <c r="AB1303" s="59"/>
      <c r="AC1303" s="43">
        <v>9.7789999999999999</v>
      </c>
      <c r="AD1303" s="43"/>
      <c r="AE1303" s="43"/>
      <c r="AF1303" s="43"/>
      <c r="AG1303" s="43"/>
      <c r="AH1303" s="43">
        <v>-0.47899999999999998</v>
      </c>
      <c r="AI1303" s="43"/>
      <c r="AJ1303" s="43"/>
      <c r="AK1303" s="43"/>
    </row>
    <row r="1304" spans="1:37" ht="11.25" hidden="1" customHeight="1" x14ac:dyDescent="0.2">
      <c r="A1304" s="21">
        <v>389</v>
      </c>
      <c r="B1304" s="39" t="s">
        <v>560</v>
      </c>
      <c r="C1304" s="39"/>
      <c r="D1304" s="39"/>
      <c r="E1304" s="39"/>
      <c r="F1304" s="39"/>
      <c r="G1304" s="39"/>
      <c r="H1304" s="39"/>
      <c r="I1304" s="39"/>
      <c r="J1304" s="39"/>
      <c r="K1304" s="39"/>
      <c r="L1304" s="39"/>
      <c r="M1304" s="39"/>
      <c r="N1304" s="39"/>
      <c r="O1304" s="39"/>
      <c r="P1304" s="39"/>
      <c r="Q1304" s="9"/>
      <c r="R1304" s="10"/>
      <c r="S1304" s="10"/>
      <c r="T1304" s="10"/>
      <c r="U1304" s="10"/>
      <c r="V1304" s="10"/>
      <c r="W1304" s="11"/>
      <c r="X1304" s="59">
        <v>14.9</v>
      </c>
      <c r="Y1304" s="59"/>
      <c r="Z1304" s="59"/>
      <c r="AA1304" s="59"/>
      <c r="AB1304" s="59"/>
      <c r="AC1304" s="43">
        <v>15.137</v>
      </c>
      <c r="AD1304" s="43"/>
      <c r="AE1304" s="43"/>
      <c r="AF1304" s="43"/>
      <c r="AG1304" s="43"/>
      <c r="AH1304" s="43">
        <v>-0.23699999999999999</v>
      </c>
      <c r="AI1304" s="43"/>
      <c r="AJ1304" s="43"/>
      <c r="AK1304" s="43"/>
    </row>
    <row r="1305" spans="1:37" ht="11.25" hidden="1" customHeight="1" x14ac:dyDescent="0.2">
      <c r="A1305" s="21">
        <v>390</v>
      </c>
      <c r="B1305" s="39" t="s">
        <v>567</v>
      </c>
      <c r="C1305" s="39"/>
      <c r="D1305" s="39"/>
      <c r="E1305" s="39"/>
      <c r="F1305" s="39"/>
      <c r="G1305" s="39"/>
      <c r="H1305" s="39"/>
      <c r="I1305" s="39"/>
      <c r="J1305" s="39"/>
      <c r="K1305" s="39"/>
      <c r="L1305" s="39"/>
      <c r="M1305" s="39"/>
      <c r="N1305" s="39"/>
      <c r="O1305" s="39"/>
      <c r="P1305" s="39"/>
      <c r="Q1305" s="9"/>
      <c r="R1305" s="10"/>
      <c r="S1305" s="10"/>
      <c r="T1305" s="10"/>
      <c r="U1305" s="10"/>
      <c r="V1305" s="10"/>
      <c r="W1305" s="11"/>
      <c r="X1305" s="41">
        <v>13.64</v>
      </c>
      <c r="Y1305" s="41"/>
      <c r="Z1305" s="41"/>
      <c r="AA1305" s="41"/>
      <c r="AB1305" s="41"/>
      <c r="AC1305" s="43">
        <v>14.212999999999999</v>
      </c>
      <c r="AD1305" s="43"/>
      <c r="AE1305" s="43"/>
      <c r="AF1305" s="43"/>
      <c r="AG1305" s="43"/>
      <c r="AH1305" s="43">
        <v>-0.57299999999999995</v>
      </c>
      <c r="AI1305" s="43"/>
      <c r="AJ1305" s="43"/>
      <c r="AK1305" s="43"/>
    </row>
    <row r="1306" spans="1:37" ht="11.25" hidden="1" customHeight="1" x14ac:dyDescent="0.2">
      <c r="A1306" s="21">
        <v>391</v>
      </c>
      <c r="B1306" s="39" t="s">
        <v>726</v>
      </c>
      <c r="C1306" s="39"/>
      <c r="D1306" s="39"/>
      <c r="E1306" s="39"/>
      <c r="F1306" s="39"/>
      <c r="G1306" s="39"/>
      <c r="H1306" s="39"/>
      <c r="I1306" s="39"/>
      <c r="J1306" s="39"/>
      <c r="K1306" s="39"/>
      <c r="L1306" s="39"/>
      <c r="M1306" s="39"/>
      <c r="N1306" s="39"/>
      <c r="O1306" s="39"/>
      <c r="P1306" s="39"/>
      <c r="Q1306" s="9"/>
      <c r="R1306" s="10"/>
      <c r="S1306" s="10"/>
      <c r="T1306" s="10"/>
      <c r="U1306" s="10"/>
      <c r="V1306" s="10"/>
      <c r="W1306" s="11"/>
      <c r="X1306" s="41">
        <v>13.21</v>
      </c>
      <c r="Y1306" s="41"/>
      <c r="Z1306" s="41"/>
      <c r="AA1306" s="41"/>
      <c r="AB1306" s="41"/>
      <c r="AC1306" s="43">
        <v>13.510999999999999</v>
      </c>
      <c r="AD1306" s="43"/>
      <c r="AE1306" s="43"/>
      <c r="AF1306" s="43"/>
      <c r="AG1306" s="43"/>
      <c r="AH1306" s="43">
        <v>-0.30099999999999999</v>
      </c>
      <c r="AI1306" s="43"/>
      <c r="AJ1306" s="43"/>
      <c r="AK1306" s="43"/>
    </row>
    <row r="1307" spans="1:37" ht="11.25" hidden="1" customHeight="1" x14ac:dyDescent="0.2">
      <c r="A1307" s="21">
        <v>392</v>
      </c>
      <c r="B1307" s="39" t="s">
        <v>870</v>
      </c>
      <c r="C1307" s="39"/>
      <c r="D1307" s="39"/>
      <c r="E1307" s="39"/>
      <c r="F1307" s="39"/>
      <c r="G1307" s="39"/>
      <c r="H1307" s="39"/>
      <c r="I1307" s="39"/>
      <c r="J1307" s="39"/>
      <c r="K1307" s="39"/>
      <c r="L1307" s="39"/>
      <c r="M1307" s="39"/>
      <c r="N1307" s="39"/>
      <c r="O1307" s="39"/>
      <c r="P1307" s="39"/>
      <c r="Q1307" s="9"/>
      <c r="R1307" s="10"/>
      <c r="S1307" s="10"/>
      <c r="T1307" s="10"/>
      <c r="U1307" s="10"/>
      <c r="V1307" s="10"/>
      <c r="W1307" s="11"/>
      <c r="X1307" s="41">
        <v>10.88</v>
      </c>
      <c r="Y1307" s="41"/>
      <c r="Z1307" s="41"/>
      <c r="AA1307" s="41"/>
      <c r="AB1307" s="41"/>
      <c r="AC1307" s="41">
        <v>10.88</v>
      </c>
      <c r="AD1307" s="41"/>
      <c r="AE1307" s="41"/>
      <c r="AF1307" s="41"/>
      <c r="AG1307" s="41"/>
      <c r="AH1307" s="12"/>
      <c r="AI1307" s="13"/>
      <c r="AJ1307" s="13"/>
      <c r="AK1307" s="14"/>
    </row>
    <row r="1308" spans="1:37" ht="11.25" hidden="1" customHeight="1" x14ac:dyDescent="0.2">
      <c r="A1308" s="21">
        <v>393</v>
      </c>
      <c r="B1308" s="39" t="s">
        <v>770</v>
      </c>
      <c r="C1308" s="39"/>
      <c r="D1308" s="39"/>
      <c r="E1308" s="39"/>
      <c r="F1308" s="39"/>
      <c r="G1308" s="39"/>
      <c r="H1308" s="39"/>
      <c r="I1308" s="39"/>
      <c r="J1308" s="39"/>
      <c r="K1308" s="39"/>
      <c r="L1308" s="39"/>
      <c r="M1308" s="39"/>
      <c r="N1308" s="39"/>
      <c r="O1308" s="39"/>
      <c r="P1308" s="39"/>
      <c r="Q1308" s="9"/>
      <c r="R1308" s="10"/>
      <c r="S1308" s="10"/>
      <c r="T1308" s="10"/>
      <c r="U1308" s="10"/>
      <c r="V1308" s="10"/>
      <c r="W1308" s="11"/>
      <c r="X1308" s="58">
        <v>8</v>
      </c>
      <c r="Y1308" s="58"/>
      <c r="Z1308" s="58"/>
      <c r="AA1308" s="58"/>
      <c r="AB1308" s="58"/>
      <c r="AC1308" s="58">
        <v>8</v>
      </c>
      <c r="AD1308" s="58"/>
      <c r="AE1308" s="58"/>
      <c r="AF1308" s="58"/>
      <c r="AG1308" s="58"/>
      <c r="AH1308" s="12"/>
      <c r="AI1308" s="13"/>
      <c r="AJ1308" s="13"/>
      <c r="AK1308" s="14"/>
    </row>
    <row r="1309" spans="1:37" ht="11.25" hidden="1" customHeight="1" x14ac:dyDescent="0.2">
      <c r="A1309" s="21">
        <v>394</v>
      </c>
      <c r="B1309" s="39" t="s">
        <v>563</v>
      </c>
      <c r="C1309" s="39"/>
      <c r="D1309" s="39"/>
      <c r="E1309" s="39"/>
      <c r="F1309" s="39"/>
      <c r="G1309" s="39"/>
      <c r="H1309" s="39"/>
      <c r="I1309" s="39"/>
      <c r="J1309" s="39"/>
      <c r="K1309" s="39"/>
      <c r="L1309" s="39"/>
      <c r="M1309" s="39"/>
      <c r="N1309" s="39"/>
      <c r="O1309" s="39"/>
      <c r="P1309" s="39"/>
      <c r="Q1309" s="9"/>
      <c r="R1309" s="10"/>
      <c r="S1309" s="10"/>
      <c r="T1309" s="10"/>
      <c r="U1309" s="10"/>
      <c r="V1309" s="10"/>
      <c r="W1309" s="11"/>
      <c r="X1309" s="59">
        <v>7.3</v>
      </c>
      <c r="Y1309" s="59"/>
      <c r="Z1309" s="59"/>
      <c r="AA1309" s="59"/>
      <c r="AB1309" s="59"/>
      <c r="AC1309" s="43">
        <v>7.5439999999999996</v>
      </c>
      <c r="AD1309" s="43"/>
      <c r="AE1309" s="43"/>
      <c r="AF1309" s="43"/>
      <c r="AG1309" s="43"/>
      <c r="AH1309" s="43">
        <v>-0.24399999999999999</v>
      </c>
      <c r="AI1309" s="43"/>
      <c r="AJ1309" s="43"/>
      <c r="AK1309" s="43"/>
    </row>
    <row r="1310" spans="1:37" ht="11.25" hidden="1" customHeight="1" x14ac:dyDescent="0.2">
      <c r="A1310" s="21">
        <v>395</v>
      </c>
      <c r="B1310" s="39" t="s">
        <v>648</v>
      </c>
      <c r="C1310" s="39"/>
      <c r="D1310" s="39"/>
      <c r="E1310" s="39"/>
      <c r="F1310" s="39"/>
      <c r="G1310" s="39"/>
      <c r="H1310" s="39"/>
      <c r="I1310" s="39"/>
      <c r="J1310" s="39"/>
      <c r="K1310" s="39"/>
      <c r="L1310" s="39"/>
      <c r="M1310" s="39"/>
      <c r="N1310" s="39"/>
      <c r="O1310" s="39"/>
      <c r="P1310" s="39"/>
      <c r="Q1310" s="9"/>
      <c r="R1310" s="10"/>
      <c r="S1310" s="10"/>
      <c r="T1310" s="10"/>
      <c r="U1310" s="10"/>
      <c r="V1310" s="10"/>
      <c r="W1310" s="11"/>
      <c r="X1310" s="59">
        <v>6.5</v>
      </c>
      <c r="Y1310" s="59"/>
      <c r="Z1310" s="59"/>
      <c r="AA1310" s="59"/>
      <c r="AB1310" s="59"/>
      <c r="AC1310" s="43">
        <v>6.5229999999999997</v>
      </c>
      <c r="AD1310" s="43"/>
      <c r="AE1310" s="43"/>
      <c r="AF1310" s="43"/>
      <c r="AG1310" s="43"/>
      <c r="AH1310" s="43">
        <v>-2.3E-2</v>
      </c>
      <c r="AI1310" s="43"/>
      <c r="AJ1310" s="43"/>
      <c r="AK1310" s="43"/>
    </row>
    <row r="1311" spans="1:37" ht="11.25" hidden="1" customHeight="1" x14ac:dyDescent="0.2">
      <c r="A1311" s="21">
        <v>396</v>
      </c>
      <c r="B1311" s="39" t="s">
        <v>454</v>
      </c>
      <c r="C1311" s="39"/>
      <c r="D1311" s="39"/>
      <c r="E1311" s="39"/>
      <c r="F1311" s="39"/>
      <c r="G1311" s="39"/>
      <c r="H1311" s="39"/>
      <c r="I1311" s="39"/>
      <c r="J1311" s="39"/>
      <c r="K1311" s="39"/>
      <c r="L1311" s="39"/>
      <c r="M1311" s="39"/>
      <c r="N1311" s="39"/>
      <c r="O1311" s="39"/>
      <c r="P1311" s="39"/>
      <c r="Q1311" s="9"/>
      <c r="R1311" s="10"/>
      <c r="S1311" s="10"/>
      <c r="T1311" s="10"/>
      <c r="U1311" s="10"/>
      <c r="V1311" s="10"/>
      <c r="W1311" s="11"/>
      <c r="X1311" s="41">
        <v>4.72</v>
      </c>
      <c r="Y1311" s="41"/>
      <c r="Z1311" s="41"/>
      <c r="AA1311" s="41"/>
      <c r="AB1311" s="41"/>
      <c r="AC1311" s="59">
        <v>4.8</v>
      </c>
      <c r="AD1311" s="59"/>
      <c r="AE1311" s="59"/>
      <c r="AF1311" s="59"/>
      <c r="AG1311" s="59"/>
      <c r="AH1311" s="41">
        <v>-0.08</v>
      </c>
      <c r="AI1311" s="41"/>
      <c r="AJ1311" s="41"/>
      <c r="AK1311" s="41"/>
    </row>
    <row r="1312" spans="1:37" ht="11.25" hidden="1" customHeight="1" x14ac:dyDescent="0.2">
      <c r="A1312" s="21">
        <v>397</v>
      </c>
      <c r="B1312" s="39" t="s">
        <v>392</v>
      </c>
      <c r="C1312" s="39"/>
      <c r="D1312" s="39"/>
      <c r="E1312" s="39"/>
      <c r="F1312" s="39"/>
      <c r="G1312" s="39"/>
      <c r="H1312" s="39"/>
      <c r="I1312" s="39"/>
      <c r="J1312" s="39"/>
      <c r="K1312" s="39"/>
      <c r="L1312" s="39"/>
      <c r="M1312" s="39"/>
      <c r="N1312" s="39"/>
      <c r="O1312" s="39"/>
      <c r="P1312" s="39"/>
      <c r="Q1312" s="9"/>
      <c r="R1312" s="10"/>
      <c r="S1312" s="10"/>
      <c r="T1312" s="10"/>
      <c r="U1312" s="10"/>
      <c r="V1312" s="10"/>
      <c r="W1312" s="11"/>
      <c r="X1312" s="58">
        <v>6</v>
      </c>
      <c r="Y1312" s="58"/>
      <c r="Z1312" s="58"/>
      <c r="AA1312" s="58"/>
      <c r="AB1312" s="58"/>
      <c r="AC1312" s="58">
        <v>6</v>
      </c>
      <c r="AD1312" s="58"/>
      <c r="AE1312" s="58"/>
      <c r="AF1312" s="58"/>
      <c r="AG1312" s="58"/>
      <c r="AH1312" s="12"/>
      <c r="AI1312" s="13"/>
      <c r="AJ1312" s="13"/>
      <c r="AK1312" s="14"/>
    </row>
    <row r="1313" spans="1:37" ht="11.25" hidden="1" customHeight="1" x14ac:dyDescent="0.2">
      <c r="A1313" s="21">
        <v>398</v>
      </c>
      <c r="B1313" s="39" t="s">
        <v>651</v>
      </c>
      <c r="C1313" s="39"/>
      <c r="D1313" s="39"/>
      <c r="E1313" s="39"/>
      <c r="F1313" s="39"/>
      <c r="G1313" s="39"/>
      <c r="H1313" s="39"/>
      <c r="I1313" s="39"/>
      <c r="J1313" s="39"/>
      <c r="K1313" s="39"/>
      <c r="L1313" s="39"/>
      <c r="M1313" s="39"/>
      <c r="N1313" s="39"/>
      <c r="O1313" s="39"/>
      <c r="P1313" s="39"/>
      <c r="Q1313" s="9"/>
      <c r="R1313" s="10"/>
      <c r="S1313" s="10"/>
      <c r="T1313" s="10"/>
      <c r="U1313" s="10"/>
      <c r="V1313" s="10"/>
      <c r="W1313" s="11"/>
      <c r="X1313" s="41">
        <v>12.15</v>
      </c>
      <c r="Y1313" s="41"/>
      <c r="Z1313" s="41"/>
      <c r="AA1313" s="41"/>
      <c r="AB1313" s="41"/>
      <c r="AC1313" s="41">
        <v>12.15</v>
      </c>
      <c r="AD1313" s="41"/>
      <c r="AE1313" s="41"/>
      <c r="AF1313" s="41"/>
      <c r="AG1313" s="41"/>
      <c r="AH1313" s="12"/>
      <c r="AI1313" s="13"/>
      <c r="AJ1313" s="13"/>
      <c r="AK1313" s="14"/>
    </row>
    <row r="1314" spans="1:37" ht="11.25" hidden="1" customHeight="1" x14ac:dyDescent="0.2">
      <c r="A1314" s="21">
        <v>399</v>
      </c>
      <c r="B1314" s="39" t="s">
        <v>701</v>
      </c>
      <c r="C1314" s="39"/>
      <c r="D1314" s="39"/>
      <c r="E1314" s="39"/>
      <c r="F1314" s="39"/>
      <c r="G1314" s="39"/>
      <c r="H1314" s="39"/>
      <c r="I1314" s="39"/>
      <c r="J1314" s="39"/>
      <c r="K1314" s="39"/>
      <c r="L1314" s="39"/>
      <c r="M1314" s="39"/>
      <c r="N1314" s="39"/>
      <c r="O1314" s="39"/>
      <c r="P1314" s="39"/>
      <c r="Q1314" s="9"/>
      <c r="R1314" s="10"/>
      <c r="S1314" s="10"/>
      <c r="T1314" s="10"/>
      <c r="U1314" s="10"/>
      <c r="V1314" s="10"/>
      <c r="W1314" s="11"/>
      <c r="X1314" s="59">
        <v>9.5</v>
      </c>
      <c r="Y1314" s="59"/>
      <c r="Z1314" s="59"/>
      <c r="AA1314" s="59"/>
      <c r="AB1314" s="59"/>
      <c r="AC1314" s="43">
        <v>10.086</v>
      </c>
      <c r="AD1314" s="43"/>
      <c r="AE1314" s="43"/>
      <c r="AF1314" s="43"/>
      <c r="AG1314" s="43"/>
      <c r="AH1314" s="43">
        <v>-0.58599999999999997</v>
      </c>
      <c r="AI1314" s="43"/>
      <c r="AJ1314" s="43"/>
      <c r="AK1314" s="43"/>
    </row>
    <row r="1315" spans="1:37" ht="11.25" hidden="1" customHeight="1" x14ac:dyDescent="0.2">
      <c r="A1315" s="21">
        <v>400</v>
      </c>
      <c r="B1315" s="39" t="s">
        <v>811</v>
      </c>
      <c r="C1315" s="39"/>
      <c r="D1315" s="39"/>
      <c r="E1315" s="39"/>
      <c r="F1315" s="39"/>
      <c r="G1315" s="39"/>
      <c r="H1315" s="39"/>
      <c r="I1315" s="39"/>
      <c r="J1315" s="39"/>
      <c r="K1315" s="39"/>
      <c r="L1315" s="39"/>
      <c r="M1315" s="39"/>
      <c r="N1315" s="39"/>
      <c r="O1315" s="39"/>
      <c r="P1315" s="39"/>
      <c r="Q1315" s="9"/>
      <c r="R1315" s="10"/>
      <c r="S1315" s="10"/>
      <c r="T1315" s="10"/>
      <c r="U1315" s="10"/>
      <c r="V1315" s="10"/>
      <c r="W1315" s="11"/>
      <c r="X1315" s="59">
        <v>7.6</v>
      </c>
      <c r="Y1315" s="59"/>
      <c r="Z1315" s="59"/>
      <c r="AA1315" s="59"/>
      <c r="AB1315" s="59"/>
      <c r="AC1315" s="43">
        <v>7.6520000000000001</v>
      </c>
      <c r="AD1315" s="43"/>
      <c r="AE1315" s="43"/>
      <c r="AF1315" s="43"/>
      <c r="AG1315" s="43"/>
      <c r="AH1315" s="43">
        <v>-5.1999999999999998E-2</v>
      </c>
      <c r="AI1315" s="43"/>
      <c r="AJ1315" s="43"/>
      <c r="AK1315" s="43"/>
    </row>
    <row r="1316" spans="1:37" ht="11.25" hidden="1" customHeight="1" x14ac:dyDescent="0.2">
      <c r="A1316" s="21">
        <v>401</v>
      </c>
      <c r="B1316" s="39" t="s">
        <v>460</v>
      </c>
      <c r="C1316" s="39"/>
      <c r="D1316" s="39"/>
      <c r="E1316" s="39"/>
      <c r="F1316" s="39"/>
      <c r="G1316" s="39"/>
      <c r="H1316" s="39"/>
      <c r="I1316" s="39"/>
      <c r="J1316" s="39"/>
      <c r="K1316" s="39"/>
      <c r="L1316" s="39"/>
      <c r="M1316" s="39"/>
      <c r="N1316" s="39"/>
      <c r="O1316" s="39"/>
      <c r="P1316" s="39"/>
      <c r="Q1316" s="9"/>
      <c r="R1316" s="10"/>
      <c r="S1316" s="10"/>
      <c r="T1316" s="10"/>
      <c r="U1316" s="10"/>
      <c r="V1316" s="10"/>
      <c r="W1316" s="11"/>
      <c r="X1316" s="58">
        <v>1</v>
      </c>
      <c r="Y1316" s="58"/>
      <c r="Z1316" s="58"/>
      <c r="AA1316" s="58"/>
      <c r="AB1316" s="58"/>
      <c r="AC1316" s="58">
        <v>1</v>
      </c>
      <c r="AD1316" s="58"/>
      <c r="AE1316" s="58"/>
      <c r="AF1316" s="58"/>
      <c r="AG1316" s="58"/>
      <c r="AH1316" s="12"/>
      <c r="AI1316" s="13"/>
      <c r="AJ1316" s="13"/>
      <c r="AK1316" s="14"/>
    </row>
    <row r="1317" spans="1:37" ht="11.25" hidden="1" customHeight="1" x14ac:dyDescent="0.2">
      <c r="A1317" s="21">
        <v>402</v>
      </c>
      <c r="B1317" s="39" t="s">
        <v>495</v>
      </c>
      <c r="C1317" s="39"/>
      <c r="D1317" s="39"/>
      <c r="E1317" s="39"/>
      <c r="F1317" s="39"/>
      <c r="G1317" s="39"/>
      <c r="H1317" s="39"/>
      <c r="I1317" s="39"/>
      <c r="J1317" s="39"/>
      <c r="K1317" s="39"/>
      <c r="L1317" s="39"/>
      <c r="M1317" s="39"/>
      <c r="N1317" s="39"/>
      <c r="O1317" s="39"/>
      <c r="P1317" s="39"/>
      <c r="Q1317" s="9"/>
      <c r="R1317" s="10"/>
      <c r="S1317" s="10"/>
      <c r="T1317" s="10"/>
      <c r="U1317" s="10"/>
      <c r="V1317" s="10"/>
      <c r="W1317" s="11"/>
      <c r="X1317" s="59">
        <v>10.3</v>
      </c>
      <c r="Y1317" s="59"/>
      <c r="Z1317" s="59"/>
      <c r="AA1317" s="59"/>
      <c r="AB1317" s="59"/>
      <c r="AC1317" s="43">
        <v>10.816000000000001</v>
      </c>
      <c r="AD1317" s="43"/>
      <c r="AE1317" s="43"/>
      <c r="AF1317" s="43"/>
      <c r="AG1317" s="43"/>
      <c r="AH1317" s="43">
        <v>-0.51600000000000001</v>
      </c>
      <c r="AI1317" s="43"/>
      <c r="AJ1317" s="43"/>
      <c r="AK1317" s="43"/>
    </row>
    <row r="1318" spans="1:37" ht="11.25" hidden="1" customHeight="1" x14ac:dyDescent="0.2">
      <c r="A1318" s="21">
        <v>403</v>
      </c>
      <c r="B1318" s="39" t="s">
        <v>420</v>
      </c>
      <c r="C1318" s="39"/>
      <c r="D1318" s="39"/>
      <c r="E1318" s="39"/>
      <c r="F1318" s="39"/>
      <c r="G1318" s="39"/>
      <c r="H1318" s="39"/>
      <c r="I1318" s="39"/>
      <c r="J1318" s="39"/>
      <c r="K1318" s="39"/>
      <c r="L1318" s="39"/>
      <c r="M1318" s="39"/>
      <c r="N1318" s="39"/>
      <c r="O1318" s="39"/>
      <c r="P1318" s="39"/>
      <c r="Q1318" s="9"/>
      <c r="R1318" s="10"/>
      <c r="S1318" s="10"/>
      <c r="T1318" s="10"/>
      <c r="U1318" s="10"/>
      <c r="V1318" s="10"/>
      <c r="W1318" s="11"/>
      <c r="X1318" s="59">
        <v>8.6999999999999993</v>
      </c>
      <c r="Y1318" s="59"/>
      <c r="Z1318" s="59"/>
      <c r="AA1318" s="59"/>
      <c r="AB1318" s="59"/>
      <c r="AC1318" s="59">
        <v>8.6999999999999993</v>
      </c>
      <c r="AD1318" s="59"/>
      <c r="AE1318" s="59"/>
      <c r="AF1318" s="59"/>
      <c r="AG1318" s="59"/>
      <c r="AH1318" s="12"/>
      <c r="AI1318" s="13"/>
      <c r="AJ1318" s="13"/>
      <c r="AK1318" s="14"/>
    </row>
    <row r="1319" spans="1:37" ht="11.25" hidden="1" customHeight="1" x14ac:dyDescent="0.2">
      <c r="A1319" s="21">
        <v>404</v>
      </c>
      <c r="B1319" s="39" t="s">
        <v>503</v>
      </c>
      <c r="C1319" s="39"/>
      <c r="D1319" s="39"/>
      <c r="E1319" s="39"/>
      <c r="F1319" s="39"/>
      <c r="G1319" s="39"/>
      <c r="H1319" s="39"/>
      <c r="I1319" s="39"/>
      <c r="J1319" s="39"/>
      <c r="K1319" s="39"/>
      <c r="L1319" s="39"/>
      <c r="M1319" s="39"/>
      <c r="N1319" s="39"/>
      <c r="O1319" s="39"/>
      <c r="P1319" s="39"/>
      <c r="Q1319" s="9"/>
      <c r="R1319" s="10"/>
      <c r="S1319" s="10"/>
      <c r="T1319" s="10"/>
      <c r="U1319" s="10"/>
      <c r="V1319" s="10"/>
      <c r="W1319" s="11"/>
      <c r="X1319" s="59">
        <v>7.7</v>
      </c>
      <c r="Y1319" s="59"/>
      <c r="Z1319" s="59"/>
      <c r="AA1319" s="59"/>
      <c r="AB1319" s="59"/>
      <c r="AC1319" s="43">
        <v>8.0169999999999995</v>
      </c>
      <c r="AD1319" s="43"/>
      <c r="AE1319" s="43"/>
      <c r="AF1319" s="43"/>
      <c r="AG1319" s="43"/>
      <c r="AH1319" s="43">
        <v>-0.317</v>
      </c>
      <c r="AI1319" s="43"/>
      <c r="AJ1319" s="43"/>
      <c r="AK1319" s="43"/>
    </row>
    <row r="1320" spans="1:37" ht="11.25" hidden="1" customHeight="1" x14ac:dyDescent="0.2">
      <c r="A1320" s="21">
        <v>405</v>
      </c>
      <c r="B1320" s="39" t="s">
        <v>499</v>
      </c>
      <c r="C1320" s="39"/>
      <c r="D1320" s="39"/>
      <c r="E1320" s="39"/>
      <c r="F1320" s="39"/>
      <c r="G1320" s="39"/>
      <c r="H1320" s="39"/>
      <c r="I1320" s="39"/>
      <c r="J1320" s="39"/>
      <c r="K1320" s="39"/>
      <c r="L1320" s="39"/>
      <c r="M1320" s="39"/>
      <c r="N1320" s="39"/>
      <c r="O1320" s="39"/>
      <c r="P1320" s="39"/>
      <c r="Q1320" s="9"/>
      <c r="R1320" s="10"/>
      <c r="S1320" s="10"/>
      <c r="T1320" s="10"/>
      <c r="U1320" s="10"/>
      <c r="V1320" s="10"/>
      <c r="W1320" s="11"/>
      <c r="X1320" s="41">
        <v>11.29</v>
      </c>
      <c r="Y1320" s="41"/>
      <c r="Z1320" s="41"/>
      <c r="AA1320" s="41"/>
      <c r="AB1320" s="41"/>
      <c r="AC1320" s="43">
        <v>11.545999999999999</v>
      </c>
      <c r="AD1320" s="43"/>
      <c r="AE1320" s="43"/>
      <c r="AF1320" s="43"/>
      <c r="AG1320" s="43"/>
      <c r="AH1320" s="43">
        <v>-0.25600000000000001</v>
      </c>
      <c r="AI1320" s="43"/>
      <c r="AJ1320" s="43"/>
      <c r="AK1320" s="43"/>
    </row>
    <row r="1321" spans="1:37" ht="11.25" hidden="1" customHeight="1" x14ac:dyDescent="0.2">
      <c r="A1321" s="21">
        <v>406</v>
      </c>
      <c r="B1321" s="39" t="s">
        <v>612</v>
      </c>
      <c r="C1321" s="39"/>
      <c r="D1321" s="39"/>
      <c r="E1321" s="39"/>
      <c r="F1321" s="39"/>
      <c r="G1321" s="39"/>
      <c r="H1321" s="39"/>
      <c r="I1321" s="39"/>
      <c r="J1321" s="39"/>
      <c r="K1321" s="39"/>
      <c r="L1321" s="39"/>
      <c r="M1321" s="39"/>
      <c r="N1321" s="39"/>
      <c r="O1321" s="39"/>
      <c r="P1321" s="39"/>
      <c r="Q1321" s="9"/>
      <c r="R1321" s="10"/>
      <c r="S1321" s="10"/>
      <c r="T1321" s="10"/>
      <c r="U1321" s="10"/>
      <c r="V1321" s="10"/>
      <c r="W1321" s="11"/>
      <c r="X1321" s="41">
        <v>6.56</v>
      </c>
      <c r="Y1321" s="41"/>
      <c r="Z1321" s="41"/>
      <c r="AA1321" s="41"/>
      <c r="AB1321" s="41"/>
      <c r="AC1321" s="41">
        <v>6.56</v>
      </c>
      <c r="AD1321" s="41"/>
      <c r="AE1321" s="41"/>
      <c r="AF1321" s="41"/>
      <c r="AG1321" s="41"/>
      <c r="AH1321" s="12"/>
      <c r="AI1321" s="13"/>
      <c r="AJ1321" s="13"/>
      <c r="AK1321" s="14"/>
    </row>
    <row r="1322" spans="1:37" ht="11.25" hidden="1" customHeight="1" x14ac:dyDescent="0.2">
      <c r="A1322" s="21">
        <v>407</v>
      </c>
      <c r="B1322" s="39" t="s">
        <v>395</v>
      </c>
      <c r="C1322" s="39"/>
      <c r="D1322" s="39"/>
      <c r="E1322" s="39"/>
      <c r="F1322" s="39"/>
      <c r="G1322" s="39"/>
      <c r="H1322" s="39"/>
      <c r="I1322" s="39"/>
      <c r="J1322" s="39"/>
      <c r="K1322" s="39"/>
      <c r="L1322" s="39"/>
      <c r="M1322" s="39"/>
      <c r="N1322" s="39"/>
      <c r="O1322" s="39"/>
      <c r="P1322" s="39"/>
      <c r="Q1322" s="9"/>
      <c r="R1322" s="10"/>
      <c r="S1322" s="10"/>
      <c r="T1322" s="10"/>
      <c r="U1322" s="10"/>
      <c r="V1322" s="10"/>
      <c r="W1322" s="11"/>
      <c r="X1322" s="59">
        <v>5.2</v>
      </c>
      <c r="Y1322" s="59"/>
      <c r="Z1322" s="59"/>
      <c r="AA1322" s="59"/>
      <c r="AB1322" s="59"/>
      <c r="AC1322" s="43">
        <v>5.6479999999999997</v>
      </c>
      <c r="AD1322" s="43"/>
      <c r="AE1322" s="43"/>
      <c r="AF1322" s="43"/>
      <c r="AG1322" s="43"/>
      <c r="AH1322" s="43">
        <v>-0.44800000000000001</v>
      </c>
      <c r="AI1322" s="43"/>
      <c r="AJ1322" s="43"/>
      <c r="AK1322" s="43"/>
    </row>
    <row r="1323" spans="1:37" ht="21.75" hidden="1" customHeight="1" x14ac:dyDescent="0.2">
      <c r="A1323" s="21">
        <v>408</v>
      </c>
      <c r="B1323" s="39" t="s">
        <v>455</v>
      </c>
      <c r="C1323" s="39"/>
      <c r="D1323" s="39"/>
      <c r="E1323" s="39"/>
      <c r="F1323" s="39"/>
      <c r="G1323" s="39"/>
      <c r="H1323" s="39"/>
      <c r="I1323" s="39"/>
      <c r="J1323" s="39"/>
      <c r="K1323" s="39"/>
      <c r="L1323" s="39"/>
      <c r="M1323" s="39"/>
      <c r="N1323" s="39"/>
      <c r="O1323" s="39"/>
      <c r="P1323" s="39"/>
      <c r="Q1323" s="9"/>
      <c r="R1323" s="10"/>
      <c r="S1323" s="10"/>
      <c r="T1323" s="10"/>
      <c r="U1323" s="10"/>
      <c r="V1323" s="10"/>
      <c r="W1323" s="11"/>
      <c r="X1323" s="41">
        <v>20.76</v>
      </c>
      <c r="Y1323" s="41"/>
      <c r="Z1323" s="41"/>
      <c r="AA1323" s="41"/>
      <c r="AB1323" s="41"/>
      <c r="AC1323" s="41">
        <v>20.76</v>
      </c>
      <c r="AD1323" s="41"/>
      <c r="AE1323" s="41"/>
      <c r="AF1323" s="41"/>
      <c r="AG1323" s="41"/>
      <c r="AH1323" s="12"/>
      <c r="AI1323" s="13"/>
      <c r="AJ1323" s="13"/>
      <c r="AK1323" s="14"/>
    </row>
    <row r="1324" spans="1:37" ht="11.25" hidden="1" customHeight="1" x14ac:dyDescent="0.2">
      <c r="A1324" s="21">
        <v>409</v>
      </c>
      <c r="B1324" s="39" t="s">
        <v>394</v>
      </c>
      <c r="C1324" s="39"/>
      <c r="D1324" s="39"/>
      <c r="E1324" s="39"/>
      <c r="F1324" s="39"/>
      <c r="G1324" s="39"/>
      <c r="H1324" s="39"/>
      <c r="I1324" s="39"/>
      <c r="J1324" s="39"/>
      <c r="K1324" s="39"/>
      <c r="L1324" s="39"/>
      <c r="M1324" s="39"/>
      <c r="N1324" s="39"/>
      <c r="O1324" s="39"/>
      <c r="P1324" s="39"/>
      <c r="Q1324" s="9"/>
      <c r="R1324" s="10"/>
      <c r="S1324" s="10"/>
      <c r="T1324" s="10"/>
      <c r="U1324" s="10"/>
      <c r="V1324" s="10"/>
      <c r="W1324" s="11"/>
      <c r="X1324" s="41">
        <v>3.55</v>
      </c>
      <c r="Y1324" s="41"/>
      <c r="Z1324" s="41"/>
      <c r="AA1324" s="41"/>
      <c r="AB1324" s="41"/>
      <c r="AC1324" s="41">
        <v>3.55</v>
      </c>
      <c r="AD1324" s="41"/>
      <c r="AE1324" s="41"/>
      <c r="AF1324" s="41"/>
      <c r="AG1324" s="41"/>
      <c r="AH1324" s="12"/>
      <c r="AI1324" s="13"/>
      <c r="AJ1324" s="13"/>
      <c r="AK1324" s="14"/>
    </row>
    <row r="1325" spans="1:37" ht="11.25" hidden="1" customHeight="1" x14ac:dyDescent="0.2">
      <c r="A1325" s="21">
        <v>410</v>
      </c>
      <c r="B1325" s="39" t="s">
        <v>873</v>
      </c>
      <c r="C1325" s="39"/>
      <c r="D1325" s="39"/>
      <c r="E1325" s="39"/>
      <c r="F1325" s="39"/>
      <c r="G1325" s="39"/>
      <c r="H1325" s="39"/>
      <c r="I1325" s="39"/>
      <c r="J1325" s="39"/>
      <c r="K1325" s="39"/>
      <c r="L1325" s="39"/>
      <c r="M1325" s="39"/>
      <c r="N1325" s="39"/>
      <c r="O1325" s="39"/>
      <c r="P1325" s="39"/>
      <c r="Q1325" s="9"/>
      <c r="R1325" s="10"/>
      <c r="S1325" s="10"/>
      <c r="T1325" s="10"/>
      <c r="U1325" s="10"/>
      <c r="V1325" s="10"/>
      <c r="W1325" s="11"/>
      <c r="X1325" s="59">
        <v>1.3</v>
      </c>
      <c r="Y1325" s="59"/>
      <c r="Z1325" s="59"/>
      <c r="AA1325" s="59"/>
      <c r="AB1325" s="59"/>
      <c r="AC1325" s="59">
        <v>1.3</v>
      </c>
      <c r="AD1325" s="59"/>
      <c r="AE1325" s="59"/>
      <c r="AF1325" s="59"/>
      <c r="AG1325" s="59"/>
      <c r="AH1325" s="12"/>
      <c r="AI1325" s="13"/>
      <c r="AJ1325" s="13"/>
      <c r="AK1325" s="14"/>
    </row>
    <row r="1326" spans="1:37" ht="21.75" hidden="1" customHeight="1" x14ac:dyDescent="0.2">
      <c r="A1326" s="21">
        <v>411</v>
      </c>
      <c r="B1326" s="39" t="s">
        <v>493</v>
      </c>
      <c r="C1326" s="39"/>
      <c r="D1326" s="39"/>
      <c r="E1326" s="39"/>
      <c r="F1326" s="39"/>
      <c r="G1326" s="39"/>
      <c r="H1326" s="39"/>
      <c r="I1326" s="39"/>
      <c r="J1326" s="39"/>
      <c r="K1326" s="39"/>
      <c r="L1326" s="39"/>
      <c r="M1326" s="39"/>
      <c r="N1326" s="39"/>
      <c r="O1326" s="39"/>
      <c r="P1326" s="39"/>
      <c r="Q1326" s="9"/>
      <c r="R1326" s="10"/>
      <c r="S1326" s="10"/>
      <c r="T1326" s="10"/>
      <c r="U1326" s="10"/>
      <c r="V1326" s="10"/>
      <c r="W1326" s="11"/>
      <c r="X1326" s="59">
        <v>19.600000000000001</v>
      </c>
      <c r="Y1326" s="59"/>
      <c r="Z1326" s="59"/>
      <c r="AA1326" s="59"/>
      <c r="AB1326" s="59"/>
      <c r="AC1326" s="43">
        <v>20.148</v>
      </c>
      <c r="AD1326" s="43"/>
      <c r="AE1326" s="43"/>
      <c r="AF1326" s="43"/>
      <c r="AG1326" s="43"/>
      <c r="AH1326" s="43">
        <v>-0.54800000000000004</v>
      </c>
      <c r="AI1326" s="43"/>
      <c r="AJ1326" s="43"/>
      <c r="AK1326" s="43"/>
    </row>
    <row r="1327" spans="1:37" ht="21.75" hidden="1" customHeight="1" x14ac:dyDescent="0.2">
      <c r="A1327" s="21">
        <v>412</v>
      </c>
      <c r="B1327" s="39" t="s">
        <v>387</v>
      </c>
      <c r="C1327" s="39"/>
      <c r="D1327" s="39"/>
      <c r="E1327" s="39"/>
      <c r="F1327" s="39"/>
      <c r="G1327" s="39"/>
      <c r="H1327" s="39"/>
      <c r="I1327" s="39"/>
      <c r="J1327" s="39"/>
      <c r="K1327" s="39"/>
      <c r="L1327" s="39"/>
      <c r="M1327" s="39"/>
      <c r="N1327" s="39"/>
      <c r="O1327" s="39"/>
      <c r="P1327" s="39"/>
      <c r="Q1327" s="9"/>
      <c r="R1327" s="10"/>
      <c r="S1327" s="10"/>
      <c r="T1327" s="10"/>
      <c r="U1327" s="10"/>
      <c r="V1327" s="10"/>
      <c r="W1327" s="11"/>
      <c r="X1327" s="59">
        <v>9.6999999999999993</v>
      </c>
      <c r="Y1327" s="59"/>
      <c r="Z1327" s="59"/>
      <c r="AA1327" s="59"/>
      <c r="AB1327" s="59"/>
      <c r="AC1327" s="43">
        <v>9.8130000000000006</v>
      </c>
      <c r="AD1327" s="43"/>
      <c r="AE1327" s="43"/>
      <c r="AF1327" s="43"/>
      <c r="AG1327" s="43"/>
      <c r="AH1327" s="43">
        <v>-0.113</v>
      </c>
      <c r="AI1327" s="43"/>
      <c r="AJ1327" s="43"/>
      <c r="AK1327" s="43"/>
    </row>
    <row r="1328" spans="1:37" ht="21.75" hidden="1" customHeight="1" x14ac:dyDescent="0.2">
      <c r="A1328" s="21">
        <v>413</v>
      </c>
      <c r="B1328" s="39" t="s">
        <v>562</v>
      </c>
      <c r="C1328" s="39"/>
      <c r="D1328" s="39"/>
      <c r="E1328" s="39"/>
      <c r="F1328" s="39"/>
      <c r="G1328" s="39"/>
      <c r="H1328" s="39"/>
      <c r="I1328" s="39"/>
      <c r="J1328" s="39"/>
      <c r="K1328" s="39"/>
      <c r="L1328" s="39"/>
      <c r="M1328" s="39"/>
      <c r="N1328" s="39"/>
      <c r="O1328" s="39"/>
      <c r="P1328" s="39"/>
      <c r="Q1328" s="9"/>
      <c r="R1328" s="10"/>
      <c r="S1328" s="10"/>
      <c r="T1328" s="10"/>
      <c r="U1328" s="10"/>
      <c r="V1328" s="10"/>
      <c r="W1328" s="11"/>
      <c r="X1328" s="59">
        <v>18.3</v>
      </c>
      <c r="Y1328" s="59"/>
      <c r="Z1328" s="59"/>
      <c r="AA1328" s="59"/>
      <c r="AB1328" s="59"/>
      <c r="AC1328" s="43">
        <v>18.963000000000001</v>
      </c>
      <c r="AD1328" s="43"/>
      <c r="AE1328" s="43"/>
      <c r="AF1328" s="43"/>
      <c r="AG1328" s="43"/>
      <c r="AH1328" s="43">
        <v>-0.66300000000000003</v>
      </c>
      <c r="AI1328" s="43"/>
      <c r="AJ1328" s="43"/>
      <c r="AK1328" s="43"/>
    </row>
    <row r="1329" spans="1:37" ht="11.25" hidden="1" customHeight="1" x14ac:dyDescent="0.2">
      <c r="A1329" s="21">
        <v>414</v>
      </c>
      <c r="B1329" s="39" t="s">
        <v>504</v>
      </c>
      <c r="C1329" s="39"/>
      <c r="D1329" s="39"/>
      <c r="E1329" s="39"/>
      <c r="F1329" s="39"/>
      <c r="G1329" s="39"/>
      <c r="H1329" s="39"/>
      <c r="I1329" s="39"/>
      <c r="J1329" s="39"/>
      <c r="K1329" s="39"/>
      <c r="L1329" s="39"/>
      <c r="M1329" s="39"/>
      <c r="N1329" s="39"/>
      <c r="O1329" s="39"/>
      <c r="P1329" s="39"/>
      <c r="Q1329" s="9"/>
      <c r="R1329" s="10"/>
      <c r="S1329" s="10"/>
      <c r="T1329" s="10"/>
      <c r="U1329" s="10"/>
      <c r="V1329" s="10"/>
      <c r="W1329" s="11"/>
      <c r="X1329" s="59">
        <v>14.7</v>
      </c>
      <c r="Y1329" s="59"/>
      <c r="Z1329" s="59"/>
      <c r="AA1329" s="59"/>
      <c r="AB1329" s="59"/>
      <c r="AC1329" s="43">
        <v>14.769</v>
      </c>
      <c r="AD1329" s="43"/>
      <c r="AE1329" s="43"/>
      <c r="AF1329" s="43"/>
      <c r="AG1329" s="43"/>
      <c r="AH1329" s="43">
        <v>-6.9000000000000006E-2</v>
      </c>
      <c r="AI1329" s="43"/>
      <c r="AJ1329" s="43"/>
      <c r="AK1329" s="43"/>
    </row>
    <row r="1330" spans="1:37" ht="11.25" hidden="1" customHeight="1" x14ac:dyDescent="0.2">
      <c r="A1330" s="21">
        <v>415</v>
      </c>
      <c r="B1330" s="39" t="s">
        <v>727</v>
      </c>
      <c r="C1330" s="39"/>
      <c r="D1330" s="39"/>
      <c r="E1330" s="39"/>
      <c r="F1330" s="39"/>
      <c r="G1330" s="39"/>
      <c r="H1330" s="39"/>
      <c r="I1330" s="39"/>
      <c r="J1330" s="39"/>
      <c r="K1330" s="39"/>
      <c r="L1330" s="39"/>
      <c r="M1330" s="39"/>
      <c r="N1330" s="39"/>
      <c r="O1330" s="39"/>
      <c r="P1330" s="39"/>
      <c r="Q1330" s="9"/>
      <c r="R1330" s="10"/>
      <c r="S1330" s="10"/>
      <c r="T1330" s="10"/>
      <c r="U1330" s="10"/>
      <c r="V1330" s="10"/>
      <c r="W1330" s="11"/>
      <c r="X1330" s="59">
        <v>28.2</v>
      </c>
      <c r="Y1330" s="59"/>
      <c r="Z1330" s="59"/>
      <c r="AA1330" s="59"/>
      <c r="AB1330" s="59"/>
      <c r="AC1330" s="43">
        <v>29.103000000000002</v>
      </c>
      <c r="AD1330" s="43"/>
      <c r="AE1330" s="43"/>
      <c r="AF1330" s="43"/>
      <c r="AG1330" s="43"/>
      <c r="AH1330" s="43">
        <v>-0.90300000000000002</v>
      </c>
      <c r="AI1330" s="43"/>
      <c r="AJ1330" s="43"/>
      <c r="AK1330" s="43"/>
    </row>
    <row r="1331" spans="1:37" ht="21.75" hidden="1" customHeight="1" x14ac:dyDescent="0.2">
      <c r="A1331" s="21">
        <v>416</v>
      </c>
      <c r="B1331" s="39" t="s">
        <v>566</v>
      </c>
      <c r="C1331" s="39"/>
      <c r="D1331" s="39"/>
      <c r="E1331" s="39"/>
      <c r="F1331" s="39"/>
      <c r="G1331" s="39"/>
      <c r="H1331" s="39"/>
      <c r="I1331" s="39"/>
      <c r="J1331" s="39"/>
      <c r="K1331" s="39"/>
      <c r="L1331" s="39"/>
      <c r="M1331" s="39"/>
      <c r="N1331" s="39"/>
      <c r="O1331" s="39"/>
      <c r="P1331" s="39"/>
      <c r="Q1331" s="9"/>
      <c r="R1331" s="10"/>
      <c r="S1331" s="10"/>
      <c r="T1331" s="10"/>
      <c r="U1331" s="10"/>
      <c r="V1331" s="10"/>
      <c r="W1331" s="11"/>
      <c r="X1331" s="59">
        <v>16.8</v>
      </c>
      <c r="Y1331" s="59"/>
      <c r="Z1331" s="59"/>
      <c r="AA1331" s="59"/>
      <c r="AB1331" s="59"/>
      <c r="AC1331" s="41">
        <v>17.46</v>
      </c>
      <c r="AD1331" s="41"/>
      <c r="AE1331" s="41"/>
      <c r="AF1331" s="41"/>
      <c r="AG1331" s="41"/>
      <c r="AH1331" s="41">
        <v>-0.66</v>
      </c>
      <c r="AI1331" s="41"/>
      <c r="AJ1331" s="41"/>
      <c r="AK1331" s="41"/>
    </row>
    <row r="1332" spans="1:37" ht="21.75" hidden="1" customHeight="1" x14ac:dyDescent="0.2">
      <c r="A1332" s="21">
        <v>417</v>
      </c>
      <c r="B1332" s="39" t="s">
        <v>809</v>
      </c>
      <c r="C1332" s="39"/>
      <c r="D1332" s="39"/>
      <c r="E1332" s="39"/>
      <c r="F1332" s="39"/>
      <c r="G1332" s="39"/>
      <c r="H1332" s="39"/>
      <c r="I1332" s="39"/>
      <c r="J1332" s="39"/>
      <c r="K1332" s="39"/>
      <c r="L1332" s="39"/>
      <c r="M1332" s="39"/>
      <c r="N1332" s="39"/>
      <c r="O1332" s="39"/>
      <c r="P1332" s="39"/>
      <c r="Q1332" s="9"/>
      <c r="R1332" s="10"/>
      <c r="S1332" s="10"/>
      <c r="T1332" s="10"/>
      <c r="U1332" s="10"/>
      <c r="V1332" s="10"/>
      <c r="W1332" s="11"/>
      <c r="X1332" s="59">
        <v>5.2</v>
      </c>
      <c r="Y1332" s="59"/>
      <c r="Z1332" s="59"/>
      <c r="AA1332" s="59"/>
      <c r="AB1332" s="59"/>
      <c r="AC1332" s="59">
        <v>5.2</v>
      </c>
      <c r="AD1332" s="59"/>
      <c r="AE1332" s="59"/>
      <c r="AF1332" s="59"/>
      <c r="AG1332" s="59"/>
      <c r="AH1332" s="12"/>
      <c r="AI1332" s="13"/>
      <c r="AJ1332" s="13"/>
      <c r="AK1332" s="14"/>
    </row>
    <row r="1333" spans="1:37" ht="21.75" hidden="1" customHeight="1" x14ac:dyDescent="0.2">
      <c r="A1333" s="21">
        <v>418</v>
      </c>
      <c r="B1333" s="39" t="s">
        <v>607</v>
      </c>
      <c r="C1333" s="39"/>
      <c r="D1333" s="39"/>
      <c r="E1333" s="39"/>
      <c r="F1333" s="39"/>
      <c r="G1333" s="39"/>
      <c r="H1333" s="39"/>
      <c r="I1333" s="39"/>
      <c r="J1333" s="39"/>
      <c r="K1333" s="39"/>
      <c r="L1333" s="39"/>
      <c r="M1333" s="39"/>
      <c r="N1333" s="39"/>
      <c r="O1333" s="39"/>
      <c r="P1333" s="39"/>
      <c r="Q1333" s="9"/>
      <c r="R1333" s="10"/>
      <c r="S1333" s="10"/>
      <c r="T1333" s="10"/>
      <c r="U1333" s="10"/>
      <c r="V1333" s="10"/>
      <c r="W1333" s="11"/>
      <c r="X1333" s="41">
        <v>7.16</v>
      </c>
      <c r="Y1333" s="41"/>
      <c r="Z1333" s="41"/>
      <c r="AA1333" s="41"/>
      <c r="AB1333" s="41"/>
      <c r="AC1333" s="43">
        <v>7.4379999999999997</v>
      </c>
      <c r="AD1333" s="43"/>
      <c r="AE1333" s="43"/>
      <c r="AF1333" s="43"/>
      <c r="AG1333" s="43"/>
      <c r="AH1333" s="43">
        <v>-0.27800000000000002</v>
      </c>
      <c r="AI1333" s="43"/>
      <c r="AJ1333" s="43"/>
      <c r="AK1333" s="43"/>
    </row>
    <row r="1334" spans="1:37" ht="11.25" hidden="1" customHeight="1" x14ac:dyDescent="0.2">
      <c r="A1334" s="21">
        <v>419</v>
      </c>
      <c r="B1334" s="39" t="s">
        <v>650</v>
      </c>
      <c r="C1334" s="39"/>
      <c r="D1334" s="39"/>
      <c r="E1334" s="39"/>
      <c r="F1334" s="39"/>
      <c r="G1334" s="39"/>
      <c r="H1334" s="39"/>
      <c r="I1334" s="39"/>
      <c r="J1334" s="39"/>
      <c r="K1334" s="39"/>
      <c r="L1334" s="39"/>
      <c r="M1334" s="39"/>
      <c r="N1334" s="39"/>
      <c r="O1334" s="39"/>
      <c r="P1334" s="39"/>
      <c r="Q1334" s="9"/>
      <c r="R1334" s="10"/>
      <c r="S1334" s="10"/>
      <c r="T1334" s="10"/>
      <c r="U1334" s="10"/>
      <c r="V1334" s="10"/>
      <c r="W1334" s="11"/>
      <c r="X1334" s="59">
        <v>9.1999999999999993</v>
      </c>
      <c r="Y1334" s="59"/>
      <c r="Z1334" s="59"/>
      <c r="AA1334" s="59"/>
      <c r="AB1334" s="59"/>
      <c r="AC1334" s="59">
        <v>9.1999999999999993</v>
      </c>
      <c r="AD1334" s="59"/>
      <c r="AE1334" s="59"/>
      <c r="AF1334" s="59"/>
      <c r="AG1334" s="59"/>
      <c r="AH1334" s="12"/>
      <c r="AI1334" s="13"/>
      <c r="AJ1334" s="13"/>
      <c r="AK1334" s="14"/>
    </row>
    <row r="1335" spans="1:37" ht="21.75" hidden="1" customHeight="1" x14ac:dyDescent="0.2">
      <c r="A1335" s="21">
        <v>420</v>
      </c>
      <c r="B1335" s="39" t="s">
        <v>772</v>
      </c>
      <c r="C1335" s="39"/>
      <c r="D1335" s="39"/>
      <c r="E1335" s="39"/>
      <c r="F1335" s="39"/>
      <c r="G1335" s="39"/>
      <c r="H1335" s="39"/>
      <c r="I1335" s="39"/>
      <c r="J1335" s="39"/>
      <c r="K1335" s="39"/>
      <c r="L1335" s="39"/>
      <c r="M1335" s="39"/>
      <c r="N1335" s="39"/>
      <c r="O1335" s="39"/>
      <c r="P1335" s="39"/>
      <c r="Q1335" s="9"/>
      <c r="R1335" s="10"/>
      <c r="S1335" s="10"/>
      <c r="T1335" s="10"/>
      <c r="U1335" s="10"/>
      <c r="V1335" s="10"/>
      <c r="W1335" s="11"/>
      <c r="X1335" s="59">
        <v>2.8</v>
      </c>
      <c r="Y1335" s="59"/>
      <c r="Z1335" s="59"/>
      <c r="AA1335" s="59"/>
      <c r="AB1335" s="59"/>
      <c r="AC1335" s="59">
        <v>2.8</v>
      </c>
      <c r="AD1335" s="59"/>
      <c r="AE1335" s="59"/>
      <c r="AF1335" s="59"/>
      <c r="AG1335" s="59"/>
      <c r="AH1335" s="12"/>
      <c r="AI1335" s="13"/>
      <c r="AJ1335" s="13"/>
      <c r="AK1335" s="14"/>
    </row>
    <row r="1336" spans="1:37" ht="11.25" hidden="1" customHeight="1" x14ac:dyDescent="0.2">
      <c r="A1336" s="21">
        <v>421</v>
      </c>
      <c r="B1336" s="39" t="s">
        <v>461</v>
      </c>
      <c r="C1336" s="39"/>
      <c r="D1336" s="39"/>
      <c r="E1336" s="39"/>
      <c r="F1336" s="39"/>
      <c r="G1336" s="39"/>
      <c r="H1336" s="39"/>
      <c r="I1336" s="39"/>
      <c r="J1336" s="39"/>
      <c r="K1336" s="39"/>
      <c r="L1336" s="39"/>
      <c r="M1336" s="39"/>
      <c r="N1336" s="39"/>
      <c r="O1336" s="39"/>
      <c r="P1336" s="39"/>
      <c r="Q1336" s="9"/>
      <c r="R1336" s="10"/>
      <c r="S1336" s="10"/>
      <c r="T1336" s="10"/>
      <c r="U1336" s="10"/>
      <c r="V1336" s="10"/>
      <c r="W1336" s="11"/>
      <c r="X1336" s="58">
        <v>1</v>
      </c>
      <c r="Y1336" s="58"/>
      <c r="Z1336" s="58"/>
      <c r="AA1336" s="58"/>
      <c r="AB1336" s="58"/>
      <c r="AC1336" s="58">
        <v>1</v>
      </c>
      <c r="AD1336" s="58"/>
      <c r="AE1336" s="58"/>
      <c r="AF1336" s="58"/>
      <c r="AG1336" s="58"/>
      <c r="AH1336" s="12"/>
      <c r="AI1336" s="13"/>
      <c r="AJ1336" s="13"/>
      <c r="AK1336" s="14"/>
    </row>
    <row r="1337" spans="1:37" ht="21.75" hidden="1" customHeight="1" x14ac:dyDescent="0.2">
      <c r="A1337" s="21">
        <v>422</v>
      </c>
      <c r="B1337" s="39" t="s">
        <v>558</v>
      </c>
      <c r="C1337" s="39"/>
      <c r="D1337" s="39"/>
      <c r="E1337" s="39"/>
      <c r="F1337" s="39"/>
      <c r="G1337" s="39"/>
      <c r="H1337" s="39"/>
      <c r="I1337" s="39"/>
      <c r="J1337" s="39"/>
      <c r="K1337" s="39"/>
      <c r="L1337" s="39"/>
      <c r="M1337" s="39"/>
      <c r="N1337" s="39"/>
      <c r="O1337" s="39"/>
      <c r="P1337" s="39"/>
      <c r="Q1337" s="9"/>
      <c r="R1337" s="10"/>
      <c r="S1337" s="10"/>
      <c r="T1337" s="10"/>
      <c r="U1337" s="10"/>
      <c r="V1337" s="10"/>
      <c r="W1337" s="11"/>
      <c r="X1337" s="59">
        <v>6.8</v>
      </c>
      <c r="Y1337" s="59"/>
      <c r="Z1337" s="59"/>
      <c r="AA1337" s="59"/>
      <c r="AB1337" s="59"/>
      <c r="AC1337" s="43">
        <v>7.2629999999999999</v>
      </c>
      <c r="AD1337" s="43"/>
      <c r="AE1337" s="43"/>
      <c r="AF1337" s="43"/>
      <c r="AG1337" s="43"/>
      <c r="AH1337" s="43">
        <v>-0.46300000000000002</v>
      </c>
      <c r="AI1337" s="43"/>
      <c r="AJ1337" s="43"/>
      <c r="AK1337" s="43"/>
    </row>
    <row r="1338" spans="1:37" ht="21.75" hidden="1" customHeight="1" x14ac:dyDescent="0.2">
      <c r="A1338" s="21">
        <v>423</v>
      </c>
      <c r="B1338" s="39" t="s">
        <v>769</v>
      </c>
      <c r="C1338" s="39"/>
      <c r="D1338" s="39"/>
      <c r="E1338" s="39"/>
      <c r="F1338" s="39"/>
      <c r="G1338" s="39"/>
      <c r="H1338" s="39"/>
      <c r="I1338" s="39"/>
      <c r="J1338" s="39"/>
      <c r="K1338" s="39"/>
      <c r="L1338" s="39"/>
      <c r="M1338" s="39"/>
      <c r="N1338" s="39"/>
      <c r="O1338" s="39"/>
      <c r="P1338" s="39"/>
      <c r="Q1338" s="9"/>
      <c r="R1338" s="10"/>
      <c r="S1338" s="10"/>
      <c r="T1338" s="10"/>
      <c r="U1338" s="10"/>
      <c r="V1338" s="10"/>
      <c r="W1338" s="11"/>
      <c r="X1338" s="41">
        <v>3.66</v>
      </c>
      <c r="Y1338" s="41"/>
      <c r="Z1338" s="41"/>
      <c r="AA1338" s="41"/>
      <c r="AB1338" s="41"/>
      <c r="AC1338" s="41">
        <v>3.66</v>
      </c>
      <c r="AD1338" s="41"/>
      <c r="AE1338" s="41"/>
      <c r="AF1338" s="41"/>
      <c r="AG1338" s="41"/>
      <c r="AH1338" s="12"/>
      <c r="AI1338" s="13"/>
      <c r="AJ1338" s="13"/>
      <c r="AK1338" s="14"/>
    </row>
    <row r="1339" spans="1:37" ht="11.25" hidden="1" customHeight="1" x14ac:dyDescent="0.2">
      <c r="A1339" s="21">
        <v>424</v>
      </c>
      <c r="B1339" s="39" t="s">
        <v>393</v>
      </c>
      <c r="C1339" s="39"/>
      <c r="D1339" s="39"/>
      <c r="E1339" s="39"/>
      <c r="F1339" s="39"/>
      <c r="G1339" s="39"/>
      <c r="H1339" s="39"/>
      <c r="I1339" s="39"/>
      <c r="J1339" s="39"/>
      <c r="K1339" s="39"/>
      <c r="L1339" s="39"/>
      <c r="M1339" s="39"/>
      <c r="N1339" s="39"/>
      <c r="O1339" s="39"/>
      <c r="P1339" s="39"/>
      <c r="Q1339" s="9"/>
      <c r="R1339" s="10"/>
      <c r="S1339" s="10"/>
      <c r="T1339" s="10"/>
      <c r="U1339" s="10"/>
      <c r="V1339" s="10"/>
      <c r="W1339" s="11"/>
      <c r="X1339" s="41">
        <v>10.19</v>
      </c>
      <c r="Y1339" s="41"/>
      <c r="Z1339" s="41"/>
      <c r="AA1339" s="41"/>
      <c r="AB1339" s="41"/>
      <c r="AC1339" s="41">
        <v>10.19</v>
      </c>
      <c r="AD1339" s="41"/>
      <c r="AE1339" s="41"/>
      <c r="AF1339" s="41"/>
      <c r="AG1339" s="41"/>
      <c r="AH1339" s="12"/>
      <c r="AI1339" s="13"/>
      <c r="AJ1339" s="13"/>
      <c r="AK1339" s="14"/>
    </row>
    <row r="1340" spans="1:37" ht="21.75" hidden="1" customHeight="1" x14ac:dyDescent="0.2">
      <c r="A1340" s="21">
        <v>425</v>
      </c>
      <c r="B1340" s="39" t="s">
        <v>642</v>
      </c>
      <c r="C1340" s="39"/>
      <c r="D1340" s="39"/>
      <c r="E1340" s="39"/>
      <c r="F1340" s="39"/>
      <c r="G1340" s="39"/>
      <c r="H1340" s="39"/>
      <c r="I1340" s="39"/>
      <c r="J1340" s="39"/>
      <c r="K1340" s="39"/>
      <c r="L1340" s="39"/>
      <c r="M1340" s="39"/>
      <c r="N1340" s="39"/>
      <c r="O1340" s="39"/>
      <c r="P1340" s="39"/>
      <c r="Q1340" s="9"/>
      <c r="R1340" s="10"/>
      <c r="S1340" s="10"/>
      <c r="T1340" s="10"/>
      <c r="U1340" s="10"/>
      <c r="V1340" s="10"/>
      <c r="W1340" s="11"/>
      <c r="X1340" s="41">
        <v>9.0500000000000007</v>
      </c>
      <c r="Y1340" s="41"/>
      <c r="Z1340" s="41"/>
      <c r="AA1340" s="41"/>
      <c r="AB1340" s="41"/>
      <c r="AC1340" s="43">
        <v>9.5630000000000006</v>
      </c>
      <c r="AD1340" s="43"/>
      <c r="AE1340" s="43"/>
      <c r="AF1340" s="43"/>
      <c r="AG1340" s="43"/>
      <c r="AH1340" s="43">
        <v>-0.51300000000000001</v>
      </c>
      <c r="AI1340" s="43"/>
      <c r="AJ1340" s="43"/>
      <c r="AK1340" s="43"/>
    </row>
    <row r="1341" spans="1:37" ht="11.25" hidden="1" customHeight="1" x14ac:dyDescent="0.2">
      <c r="A1341" s="21">
        <v>426</v>
      </c>
      <c r="B1341" s="39" t="s">
        <v>671</v>
      </c>
      <c r="C1341" s="39"/>
      <c r="D1341" s="39"/>
      <c r="E1341" s="39"/>
      <c r="F1341" s="39"/>
      <c r="G1341" s="39"/>
      <c r="H1341" s="39"/>
      <c r="I1341" s="39"/>
      <c r="J1341" s="39"/>
      <c r="K1341" s="39"/>
      <c r="L1341" s="39"/>
      <c r="M1341" s="39"/>
      <c r="N1341" s="39"/>
      <c r="O1341" s="39"/>
      <c r="P1341" s="39"/>
      <c r="Q1341" s="9"/>
      <c r="R1341" s="10"/>
      <c r="S1341" s="10"/>
      <c r="T1341" s="10"/>
      <c r="U1341" s="10"/>
      <c r="V1341" s="10"/>
      <c r="W1341" s="11"/>
      <c r="X1341" s="41">
        <v>15.95</v>
      </c>
      <c r="Y1341" s="41"/>
      <c r="Z1341" s="41"/>
      <c r="AA1341" s="41"/>
      <c r="AB1341" s="41"/>
      <c r="AC1341" s="43">
        <v>17.584</v>
      </c>
      <c r="AD1341" s="43"/>
      <c r="AE1341" s="43"/>
      <c r="AF1341" s="43"/>
      <c r="AG1341" s="43"/>
      <c r="AH1341" s="43">
        <v>-1.6339999999999999</v>
      </c>
      <c r="AI1341" s="43"/>
      <c r="AJ1341" s="43"/>
      <c r="AK1341" s="43"/>
    </row>
    <row r="1342" spans="1:37" ht="21.75" hidden="1" customHeight="1" x14ac:dyDescent="0.2">
      <c r="A1342" s="21">
        <v>427</v>
      </c>
      <c r="B1342" s="39" t="s">
        <v>458</v>
      </c>
      <c r="C1342" s="39"/>
      <c r="D1342" s="39"/>
      <c r="E1342" s="39"/>
      <c r="F1342" s="39"/>
      <c r="G1342" s="39"/>
      <c r="H1342" s="39"/>
      <c r="I1342" s="39"/>
      <c r="J1342" s="39"/>
      <c r="K1342" s="39"/>
      <c r="L1342" s="39"/>
      <c r="M1342" s="39"/>
      <c r="N1342" s="39"/>
      <c r="O1342" s="39"/>
      <c r="P1342" s="39"/>
      <c r="Q1342" s="9"/>
      <c r="R1342" s="10"/>
      <c r="S1342" s="10"/>
      <c r="T1342" s="10"/>
      <c r="U1342" s="10"/>
      <c r="V1342" s="10"/>
      <c r="W1342" s="11"/>
      <c r="X1342" s="41">
        <v>1.05</v>
      </c>
      <c r="Y1342" s="41"/>
      <c r="Z1342" s="41"/>
      <c r="AA1342" s="41"/>
      <c r="AB1342" s="41"/>
      <c r="AC1342" s="41">
        <v>1.05</v>
      </c>
      <c r="AD1342" s="41"/>
      <c r="AE1342" s="41"/>
      <c r="AF1342" s="41"/>
      <c r="AG1342" s="41"/>
      <c r="AH1342" s="12"/>
      <c r="AI1342" s="13"/>
      <c r="AJ1342" s="13"/>
      <c r="AK1342" s="14"/>
    </row>
    <row r="1343" spans="1:37" ht="21.75" hidden="1" customHeight="1" x14ac:dyDescent="0.2">
      <c r="A1343" s="21">
        <v>428</v>
      </c>
      <c r="B1343" s="39" t="s">
        <v>609</v>
      </c>
      <c r="C1343" s="39"/>
      <c r="D1343" s="39"/>
      <c r="E1343" s="39"/>
      <c r="F1343" s="39"/>
      <c r="G1343" s="39"/>
      <c r="H1343" s="39"/>
      <c r="I1343" s="39"/>
      <c r="J1343" s="39"/>
      <c r="K1343" s="39"/>
      <c r="L1343" s="39"/>
      <c r="M1343" s="39"/>
      <c r="N1343" s="39"/>
      <c r="O1343" s="39"/>
      <c r="P1343" s="39"/>
      <c r="Q1343" s="9"/>
      <c r="R1343" s="10"/>
      <c r="S1343" s="10"/>
      <c r="T1343" s="10"/>
      <c r="U1343" s="10"/>
      <c r="V1343" s="10"/>
      <c r="W1343" s="11"/>
      <c r="X1343" s="59">
        <v>21.4</v>
      </c>
      <c r="Y1343" s="59"/>
      <c r="Z1343" s="59"/>
      <c r="AA1343" s="59"/>
      <c r="AB1343" s="59"/>
      <c r="AC1343" s="59">
        <v>21.4</v>
      </c>
      <c r="AD1343" s="59"/>
      <c r="AE1343" s="59"/>
      <c r="AF1343" s="59"/>
      <c r="AG1343" s="59"/>
      <c r="AH1343" s="12"/>
      <c r="AI1343" s="13"/>
      <c r="AJ1343" s="13"/>
      <c r="AK1343" s="14"/>
    </row>
    <row r="1344" spans="1:37" ht="21.75" hidden="1" customHeight="1" x14ac:dyDescent="0.2">
      <c r="A1344" s="21">
        <v>429</v>
      </c>
      <c r="B1344" s="39" t="s">
        <v>832</v>
      </c>
      <c r="C1344" s="39"/>
      <c r="D1344" s="39"/>
      <c r="E1344" s="39"/>
      <c r="F1344" s="39"/>
      <c r="G1344" s="39"/>
      <c r="H1344" s="39"/>
      <c r="I1344" s="39"/>
      <c r="J1344" s="39"/>
      <c r="K1344" s="39"/>
      <c r="L1344" s="39"/>
      <c r="M1344" s="39"/>
      <c r="N1344" s="39"/>
      <c r="O1344" s="39"/>
      <c r="P1344" s="39"/>
      <c r="Q1344" s="9"/>
      <c r="R1344" s="10"/>
      <c r="S1344" s="10"/>
      <c r="T1344" s="10"/>
      <c r="U1344" s="10"/>
      <c r="V1344" s="10"/>
      <c r="W1344" s="11"/>
      <c r="X1344" s="59">
        <v>6.8</v>
      </c>
      <c r="Y1344" s="59"/>
      <c r="Z1344" s="59"/>
      <c r="AA1344" s="59"/>
      <c r="AB1344" s="59"/>
      <c r="AC1344" s="59">
        <v>6.8</v>
      </c>
      <c r="AD1344" s="59"/>
      <c r="AE1344" s="59"/>
      <c r="AF1344" s="59"/>
      <c r="AG1344" s="59"/>
      <c r="AH1344" s="12"/>
      <c r="AI1344" s="13"/>
      <c r="AJ1344" s="13"/>
      <c r="AK1344" s="14"/>
    </row>
    <row r="1345" spans="1:37" ht="21.75" hidden="1" customHeight="1" x14ac:dyDescent="0.2">
      <c r="A1345" s="21">
        <v>430</v>
      </c>
      <c r="B1345" s="39" t="s">
        <v>417</v>
      </c>
      <c r="C1345" s="39"/>
      <c r="D1345" s="39"/>
      <c r="E1345" s="39"/>
      <c r="F1345" s="39"/>
      <c r="G1345" s="39"/>
      <c r="H1345" s="39"/>
      <c r="I1345" s="39"/>
      <c r="J1345" s="39"/>
      <c r="K1345" s="39"/>
      <c r="L1345" s="39"/>
      <c r="M1345" s="39"/>
      <c r="N1345" s="39"/>
      <c r="O1345" s="39"/>
      <c r="P1345" s="39"/>
      <c r="Q1345" s="9"/>
      <c r="R1345" s="10"/>
      <c r="S1345" s="10"/>
      <c r="T1345" s="10"/>
      <c r="U1345" s="10"/>
      <c r="V1345" s="10"/>
      <c r="W1345" s="11"/>
      <c r="X1345" s="58">
        <v>9</v>
      </c>
      <c r="Y1345" s="58"/>
      <c r="Z1345" s="58"/>
      <c r="AA1345" s="58"/>
      <c r="AB1345" s="58"/>
      <c r="AC1345" s="43">
        <v>9.577</v>
      </c>
      <c r="AD1345" s="43"/>
      <c r="AE1345" s="43"/>
      <c r="AF1345" s="43"/>
      <c r="AG1345" s="43"/>
      <c r="AH1345" s="43">
        <v>-0.57699999999999996</v>
      </c>
      <c r="AI1345" s="43"/>
      <c r="AJ1345" s="43"/>
      <c r="AK1345" s="43"/>
    </row>
    <row r="1346" spans="1:37" ht="21.75" hidden="1" customHeight="1" x14ac:dyDescent="0.2">
      <c r="A1346" s="21">
        <v>431</v>
      </c>
      <c r="B1346" s="39" t="s">
        <v>604</v>
      </c>
      <c r="C1346" s="39"/>
      <c r="D1346" s="39"/>
      <c r="E1346" s="39"/>
      <c r="F1346" s="39"/>
      <c r="G1346" s="39"/>
      <c r="H1346" s="39"/>
      <c r="I1346" s="39"/>
      <c r="J1346" s="39"/>
      <c r="K1346" s="39"/>
      <c r="L1346" s="39"/>
      <c r="M1346" s="39"/>
      <c r="N1346" s="39"/>
      <c r="O1346" s="39"/>
      <c r="P1346" s="39"/>
      <c r="Q1346" s="9"/>
      <c r="R1346" s="10"/>
      <c r="S1346" s="10"/>
      <c r="T1346" s="10"/>
      <c r="U1346" s="10"/>
      <c r="V1346" s="10"/>
      <c r="W1346" s="11"/>
      <c r="X1346" s="59">
        <v>13.1</v>
      </c>
      <c r="Y1346" s="59"/>
      <c r="Z1346" s="59"/>
      <c r="AA1346" s="59"/>
      <c r="AB1346" s="59"/>
      <c r="AC1346" s="43">
        <v>13.724</v>
      </c>
      <c r="AD1346" s="43"/>
      <c r="AE1346" s="43"/>
      <c r="AF1346" s="43"/>
      <c r="AG1346" s="43"/>
      <c r="AH1346" s="43">
        <v>-0.624</v>
      </c>
      <c r="AI1346" s="43"/>
      <c r="AJ1346" s="43"/>
      <c r="AK1346" s="43"/>
    </row>
    <row r="1347" spans="1:37" ht="21.75" hidden="1" customHeight="1" x14ac:dyDescent="0.2">
      <c r="A1347" s="21">
        <v>432</v>
      </c>
      <c r="B1347" s="39" t="s">
        <v>457</v>
      </c>
      <c r="C1347" s="39"/>
      <c r="D1347" s="39"/>
      <c r="E1347" s="39"/>
      <c r="F1347" s="39"/>
      <c r="G1347" s="39"/>
      <c r="H1347" s="39"/>
      <c r="I1347" s="39"/>
      <c r="J1347" s="39"/>
      <c r="K1347" s="39"/>
      <c r="L1347" s="39"/>
      <c r="M1347" s="39"/>
      <c r="N1347" s="39"/>
      <c r="O1347" s="39"/>
      <c r="P1347" s="39"/>
      <c r="Q1347" s="9"/>
      <c r="R1347" s="10"/>
      <c r="S1347" s="10"/>
      <c r="T1347" s="10"/>
      <c r="U1347" s="10"/>
      <c r="V1347" s="10"/>
      <c r="W1347" s="11"/>
      <c r="X1347" s="41">
        <v>47.21</v>
      </c>
      <c r="Y1347" s="41"/>
      <c r="Z1347" s="41"/>
      <c r="AA1347" s="41"/>
      <c r="AB1347" s="41"/>
      <c r="AC1347" s="43">
        <v>48.109000000000002</v>
      </c>
      <c r="AD1347" s="43"/>
      <c r="AE1347" s="43"/>
      <c r="AF1347" s="43"/>
      <c r="AG1347" s="43"/>
      <c r="AH1347" s="43">
        <v>-0.89900000000000002</v>
      </c>
      <c r="AI1347" s="43"/>
      <c r="AJ1347" s="43"/>
      <c r="AK1347" s="43"/>
    </row>
    <row r="1348" spans="1:37" ht="11.25" hidden="1" customHeight="1" x14ac:dyDescent="0.2">
      <c r="A1348" s="21">
        <v>433</v>
      </c>
      <c r="B1348" s="39" t="s">
        <v>674</v>
      </c>
      <c r="C1348" s="39"/>
      <c r="D1348" s="39"/>
      <c r="E1348" s="39"/>
      <c r="F1348" s="39"/>
      <c r="G1348" s="39"/>
      <c r="H1348" s="39"/>
      <c r="I1348" s="39"/>
      <c r="J1348" s="39"/>
      <c r="K1348" s="39"/>
      <c r="L1348" s="39"/>
      <c r="M1348" s="39"/>
      <c r="N1348" s="39"/>
      <c r="O1348" s="39"/>
      <c r="P1348" s="39"/>
      <c r="Q1348" s="9"/>
      <c r="R1348" s="10"/>
      <c r="S1348" s="10"/>
      <c r="T1348" s="10"/>
      <c r="U1348" s="10"/>
      <c r="V1348" s="10"/>
      <c r="W1348" s="11"/>
      <c r="X1348" s="41">
        <v>13.21</v>
      </c>
      <c r="Y1348" s="41"/>
      <c r="Z1348" s="41"/>
      <c r="AA1348" s="41"/>
      <c r="AB1348" s="41"/>
      <c r="AC1348" s="41">
        <v>13.21</v>
      </c>
      <c r="AD1348" s="41"/>
      <c r="AE1348" s="41"/>
      <c r="AF1348" s="41"/>
      <c r="AG1348" s="41"/>
      <c r="AH1348" s="12"/>
      <c r="AI1348" s="13"/>
      <c r="AJ1348" s="13"/>
      <c r="AK1348" s="14"/>
    </row>
    <row r="1349" spans="1:37" ht="11.25" hidden="1" customHeight="1" x14ac:dyDescent="0.2">
      <c r="A1349" s="21">
        <v>434</v>
      </c>
      <c r="B1349" s="39" t="s">
        <v>390</v>
      </c>
      <c r="C1349" s="39"/>
      <c r="D1349" s="39"/>
      <c r="E1349" s="39"/>
      <c r="F1349" s="39"/>
      <c r="G1349" s="39"/>
      <c r="H1349" s="39"/>
      <c r="I1349" s="39"/>
      <c r="J1349" s="39"/>
      <c r="K1349" s="39"/>
      <c r="L1349" s="39"/>
      <c r="M1349" s="39"/>
      <c r="N1349" s="39"/>
      <c r="O1349" s="39"/>
      <c r="P1349" s="39"/>
      <c r="Q1349" s="9"/>
      <c r="R1349" s="10"/>
      <c r="S1349" s="10"/>
      <c r="T1349" s="10"/>
      <c r="U1349" s="10"/>
      <c r="V1349" s="10"/>
      <c r="W1349" s="11"/>
      <c r="X1349" s="59">
        <v>4.3</v>
      </c>
      <c r="Y1349" s="59"/>
      <c r="Z1349" s="59"/>
      <c r="AA1349" s="59"/>
      <c r="AB1349" s="59"/>
      <c r="AC1349" s="43">
        <v>4.3460000000000001</v>
      </c>
      <c r="AD1349" s="43"/>
      <c r="AE1349" s="43"/>
      <c r="AF1349" s="43"/>
      <c r="AG1349" s="43"/>
      <c r="AH1349" s="43">
        <v>-4.5999999999999999E-2</v>
      </c>
      <c r="AI1349" s="43"/>
      <c r="AJ1349" s="43"/>
      <c r="AK1349" s="43"/>
    </row>
    <row r="1350" spans="1:37" ht="21.75" hidden="1" customHeight="1" x14ac:dyDescent="0.2">
      <c r="A1350" s="21">
        <v>435</v>
      </c>
      <c r="B1350" s="39" t="s">
        <v>831</v>
      </c>
      <c r="C1350" s="39"/>
      <c r="D1350" s="39"/>
      <c r="E1350" s="39"/>
      <c r="F1350" s="39"/>
      <c r="G1350" s="39"/>
      <c r="H1350" s="39"/>
      <c r="I1350" s="39"/>
      <c r="J1350" s="39"/>
      <c r="K1350" s="39"/>
      <c r="L1350" s="39"/>
      <c r="M1350" s="39"/>
      <c r="N1350" s="39"/>
      <c r="O1350" s="39"/>
      <c r="P1350" s="39"/>
      <c r="Q1350" s="9"/>
      <c r="R1350" s="10"/>
      <c r="S1350" s="10"/>
      <c r="T1350" s="10"/>
      <c r="U1350" s="10"/>
      <c r="V1350" s="10"/>
      <c r="W1350" s="11"/>
      <c r="X1350" s="41">
        <v>5.82</v>
      </c>
      <c r="Y1350" s="41"/>
      <c r="Z1350" s="41"/>
      <c r="AA1350" s="41"/>
      <c r="AB1350" s="41"/>
      <c r="AC1350" s="43">
        <v>5.9889999999999999</v>
      </c>
      <c r="AD1350" s="43"/>
      <c r="AE1350" s="43"/>
      <c r="AF1350" s="43"/>
      <c r="AG1350" s="43"/>
      <c r="AH1350" s="43">
        <v>-0.16900000000000001</v>
      </c>
      <c r="AI1350" s="43"/>
      <c r="AJ1350" s="43"/>
      <c r="AK1350" s="43"/>
    </row>
    <row r="1351" spans="1:37" ht="11.25" hidden="1" customHeight="1" x14ac:dyDescent="0.2">
      <c r="A1351" s="21">
        <v>436</v>
      </c>
      <c r="B1351" s="39" t="s">
        <v>724</v>
      </c>
      <c r="C1351" s="39"/>
      <c r="D1351" s="39"/>
      <c r="E1351" s="39"/>
      <c r="F1351" s="39"/>
      <c r="G1351" s="39"/>
      <c r="H1351" s="39"/>
      <c r="I1351" s="39"/>
      <c r="J1351" s="39"/>
      <c r="K1351" s="39"/>
      <c r="L1351" s="39"/>
      <c r="M1351" s="39"/>
      <c r="N1351" s="39"/>
      <c r="O1351" s="39"/>
      <c r="P1351" s="39"/>
      <c r="Q1351" s="9"/>
      <c r="R1351" s="10"/>
      <c r="S1351" s="10"/>
      <c r="T1351" s="10"/>
      <c r="U1351" s="10"/>
      <c r="V1351" s="10"/>
      <c r="W1351" s="11"/>
      <c r="X1351" s="59">
        <v>13.4</v>
      </c>
      <c r="Y1351" s="59"/>
      <c r="Z1351" s="59"/>
      <c r="AA1351" s="59"/>
      <c r="AB1351" s="59"/>
      <c r="AC1351" s="41">
        <v>13.74</v>
      </c>
      <c r="AD1351" s="41"/>
      <c r="AE1351" s="41"/>
      <c r="AF1351" s="41"/>
      <c r="AG1351" s="41"/>
      <c r="AH1351" s="41">
        <v>-0.34</v>
      </c>
      <c r="AI1351" s="41"/>
      <c r="AJ1351" s="41"/>
      <c r="AK1351" s="41"/>
    </row>
    <row r="1352" spans="1:37" ht="21.75" hidden="1" customHeight="1" x14ac:dyDescent="0.2">
      <c r="A1352" s="21">
        <v>437</v>
      </c>
      <c r="B1352" s="39" t="s">
        <v>568</v>
      </c>
      <c r="C1352" s="39"/>
      <c r="D1352" s="39"/>
      <c r="E1352" s="39"/>
      <c r="F1352" s="39"/>
      <c r="G1352" s="39"/>
      <c r="H1352" s="39"/>
      <c r="I1352" s="39"/>
      <c r="J1352" s="39"/>
      <c r="K1352" s="39"/>
      <c r="L1352" s="39"/>
      <c r="M1352" s="39"/>
      <c r="N1352" s="39"/>
      <c r="O1352" s="39"/>
      <c r="P1352" s="39"/>
      <c r="Q1352" s="9"/>
      <c r="R1352" s="10"/>
      <c r="S1352" s="10"/>
      <c r="T1352" s="10"/>
      <c r="U1352" s="10"/>
      <c r="V1352" s="10"/>
      <c r="W1352" s="11"/>
      <c r="X1352" s="41">
        <v>9.93</v>
      </c>
      <c r="Y1352" s="41"/>
      <c r="Z1352" s="41"/>
      <c r="AA1352" s="41"/>
      <c r="AB1352" s="41"/>
      <c r="AC1352" s="43">
        <v>9.952</v>
      </c>
      <c r="AD1352" s="43"/>
      <c r="AE1352" s="43"/>
      <c r="AF1352" s="43"/>
      <c r="AG1352" s="43"/>
      <c r="AH1352" s="43">
        <v>-2.1999999999999999E-2</v>
      </c>
      <c r="AI1352" s="43"/>
      <c r="AJ1352" s="43"/>
      <c r="AK1352" s="43"/>
    </row>
    <row r="1353" spans="1:37" ht="11.25" hidden="1" customHeight="1" x14ac:dyDescent="0.2">
      <c r="A1353" s="21">
        <v>438</v>
      </c>
      <c r="B1353" s="39" t="s">
        <v>388</v>
      </c>
      <c r="C1353" s="39"/>
      <c r="D1353" s="39"/>
      <c r="E1353" s="39"/>
      <c r="F1353" s="39"/>
      <c r="G1353" s="39"/>
      <c r="H1353" s="39"/>
      <c r="I1353" s="39"/>
      <c r="J1353" s="39"/>
      <c r="K1353" s="39"/>
      <c r="L1353" s="39"/>
      <c r="M1353" s="39"/>
      <c r="N1353" s="39"/>
      <c r="O1353" s="39"/>
      <c r="P1353" s="39"/>
      <c r="Q1353" s="9"/>
      <c r="R1353" s="10"/>
      <c r="S1353" s="10"/>
      <c r="T1353" s="10"/>
      <c r="U1353" s="10"/>
      <c r="V1353" s="10"/>
      <c r="W1353" s="11"/>
      <c r="X1353" s="59">
        <v>6.4</v>
      </c>
      <c r="Y1353" s="59"/>
      <c r="Z1353" s="59"/>
      <c r="AA1353" s="59"/>
      <c r="AB1353" s="59"/>
      <c r="AC1353" s="43">
        <v>6.9829999999999997</v>
      </c>
      <c r="AD1353" s="43"/>
      <c r="AE1353" s="43"/>
      <c r="AF1353" s="43"/>
      <c r="AG1353" s="43"/>
      <c r="AH1353" s="43">
        <v>-0.58299999999999996</v>
      </c>
      <c r="AI1353" s="43"/>
      <c r="AJ1353" s="43"/>
      <c r="AK1353" s="43"/>
    </row>
    <row r="1354" spans="1:37" ht="21.75" hidden="1" customHeight="1" x14ac:dyDescent="0.2">
      <c r="A1354" s="21">
        <v>439</v>
      </c>
      <c r="B1354" s="39" t="s">
        <v>810</v>
      </c>
      <c r="C1354" s="39"/>
      <c r="D1354" s="39"/>
      <c r="E1354" s="39"/>
      <c r="F1354" s="39"/>
      <c r="G1354" s="39"/>
      <c r="H1354" s="39"/>
      <c r="I1354" s="39"/>
      <c r="J1354" s="39"/>
      <c r="K1354" s="39"/>
      <c r="L1354" s="39"/>
      <c r="M1354" s="39"/>
      <c r="N1354" s="39"/>
      <c r="O1354" s="39"/>
      <c r="P1354" s="39"/>
      <c r="Q1354" s="9"/>
      <c r="R1354" s="10"/>
      <c r="S1354" s="10"/>
      <c r="T1354" s="10"/>
      <c r="U1354" s="10"/>
      <c r="V1354" s="10"/>
      <c r="W1354" s="11"/>
      <c r="X1354" s="59">
        <v>23.3</v>
      </c>
      <c r="Y1354" s="59"/>
      <c r="Z1354" s="59"/>
      <c r="AA1354" s="59"/>
      <c r="AB1354" s="59"/>
      <c r="AC1354" s="43">
        <v>23.832999999999998</v>
      </c>
      <c r="AD1354" s="43"/>
      <c r="AE1354" s="43"/>
      <c r="AF1354" s="43"/>
      <c r="AG1354" s="43"/>
      <c r="AH1354" s="43">
        <v>-0.53300000000000003</v>
      </c>
      <c r="AI1354" s="43"/>
      <c r="AJ1354" s="43"/>
      <c r="AK1354" s="43"/>
    </row>
    <row r="1355" spans="1:37" ht="21.75" hidden="1" customHeight="1" x14ac:dyDescent="0.2">
      <c r="A1355" s="21">
        <v>440</v>
      </c>
      <c r="B1355" s="39" t="s">
        <v>452</v>
      </c>
      <c r="C1355" s="39"/>
      <c r="D1355" s="39"/>
      <c r="E1355" s="39"/>
      <c r="F1355" s="39"/>
      <c r="G1355" s="39"/>
      <c r="H1355" s="39"/>
      <c r="I1355" s="39"/>
      <c r="J1355" s="39"/>
      <c r="K1355" s="39"/>
      <c r="L1355" s="39"/>
      <c r="M1355" s="39"/>
      <c r="N1355" s="39"/>
      <c r="O1355" s="39"/>
      <c r="P1355" s="39"/>
      <c r="Q1355" s="9"/>
      <c r="R1355" s="10"/>
      <c r="S1355" s="10"/>
      <c r="T1355" s="10"/>
      <c r="U1355" s="10"/>
      <c r="V1355" s="10"/>
      <c r="W1355" s="11"/>
      <c r="X1355" s="41">
        <v>11.33</v>
      </c>
      <c r="Y1355" s="41"/>
      <c r="Z1355" s="41"/>
      <c r="AA1355" s="41"/>
      <c r="AB1355" s="41"/>
      <c r="AC1355" s="43">
        <v>11.592000000000001</v>
      </c>
      <c r="AD1355" s="43"/>
      <c r="AE1355" s="43"/>
      <c r="AF1355" s="43"/>
      <c r="AG1355" s="43"/>
      <c r="AH1355" s="43">
        <v>-0.26200000000000001</v>
      </c>
      <c r="AI1355" s="43"/>
      <c r="AJ1355" s="43"/>
      <c r="AK1355" s="43"/>
    </row>
    <row r="1356" spans="1:37" ht="11.25" hidden="1" customHeight="1" x14ac:dyDescent="0.2">
      <c r="A1356" s="21">
        <v>441</v>
      </c>
      <c r="B1356" s="39" t="s">
        <v>570</v>
      </c>
      <c r="C1356" s="39"/>
      <c r="D1356" s="39"/>
      <c r="E1356" s="39"/>
      <c r="F1356" s="39"/>
      <c r="G1356" s="39"/>
      <c r="H1356" s="39"/>
      <c r="I1356" s="39"/>
      <c r="J1356" s="39"/>
      <c r="K1356" s="39"/>
      <c r="L1356" s="39"/>
      <c r="M1356" s="39"/>
      <c r="N1356" s="39"/>
      <c r="O1356" s="39"/>
      <c r="P1356" s="39"/>
      <c r="Q1356" s="9"/>
      <c r="R1356" s="10"/>
      <c r="S1356" s="10"/>
      <c r="T1356" s="10"/>
      <c r="U1356" s="10"/>
      <c r="V1356" s="10"/>
      <c r="W1356" s="11"/>
      <c r="X1356" s="59">
        <v>11.8</v>
      </c>
      <c r="Y1356" s="59"/>
      <c r="Z1356" s="59"/>
      <c r="AA1356" s="59"/>
      <c r="AB1356" s="59"/>
      <c r="AC1356" s="43">
        <v>12.038</v>
      </c>
      <c r="AD1356" s="43"/>
      <c r="AE1356" s="43"/>
      <c r="AF1356" s="43"/>
      <c r="AG1356" s="43"/>
      <c r="AH1356" s="43">
        <v>-0.23799999999999999</v>
      </c>
      <c r="AI1356" s="43"/>
      <c r="AJ1356" s="43"/>
      <c r="AK1356" s="43"/>
    </row>
    <row r="1357" spans="1:37" ht="11.25" hidden="1" customHeight="1" x14ac:dyDescent="0.2">
      <c r="A1357" s="21">
        <v>442</v>
      </c>
      <c r="B1357" s="39" t="s">
        <v>497</v>
      </c>
      <c r="C1357" s="39"/>
      <c r="D1357" s="39"/>
      <c r="E1357" s="39"/>
      <c r="F1357" s="39"/>
      <c r="G1357" s="39"/>
      <c r="H1357" s="39"/>
      <c r="I1357" s="39"/>
      <c r="J1357" s="39"/>
      <c r="K1357" s="39"/>
      <c r="L1357" s="39"/>
      <c r="M1357" s="39"/>
      <c r="N1357" s="39"/>
      <c r="O1357" s="39"/>
      <c r="P1357" s="39"/>
      <c r="Q1357" s="9"/>
      <c r="R1357" s="10"/>
      <c r="S1357" s="10"/>
      <c r="T1357" s="10"/>
      <c r="U1357" s="10"/>
      <c r="V1357" s="10"/>
      <c r="W1357" s="11"/>
      <c r="X1357" s="59">
        <v>16.8</v>
      </c>
      <c r="Y1357" s="59"/>
      <c r="Z1357" s="59"/>
      <c r="AA1357" s="59"/>
      <c r="AB1357" s="59"/>
      <c r="AC1357" s="43">
        <v>16.971</v>
      </c>
      <c r="AD1357" s="43"/>
      <c r="AE1357" s="43"/>
      <c r="AF1357" s="43"/>
      <c r="AG1357" s="43"/>
      <c r="AH1357" s="43">
        <v>-0.17100000000000001</v>
      </c>
      <c r="AI1357" s="43"/>
      <c r="AJ1357" s="43"/>
      <c r="AK1357" s="43"/>
    </row>
    <row r="1358" spans="1:37" ht="21.75" hidden="1" customHeight="1" x14ac:dyDescent="0.2">
      <c r="A1358" s="21">
        <v>443</v>
      </c>
      <c r="B1358" s="39" t="s">
        <v>646</v>
      </c>
      <c r="C1358" s="39"/>
      <c r="D1358" s="39"/>
      <c r="E1358" s="39"/>
      <c r="F1358" s="39"/>
      <c r="G1358" s="39"/>
      <c r="H1358" s="39"/>
      <c r="I1358" s="39"/>
      <c r="J1358" s="39"/>
      <c r="K1358" s="39"/>
      <c r="L1358" s="39"/>
      <c r="M1358" s="39"/>
      <c r="N1358" s="39"/>
      <c r="O1358" s="39"/>
      <c r="P1358" s="39"/>
      <c r="Q1358" s="9"/>
      <c r="R1358" s="10"/>
      <c r="S1358" s="10"/>
      <c r="T1358" s="10"/>
      <c r="U1358" s="10"/>
      <c r="V1358" s="10"/>
      <c r="W1358" s="11"/>
      <c r="X1358" s="41">
        <v>5.05</v>
      </c>
      <c r="Y1358" s="41"/>
      <c r="Z1358" s="41"/>
      <c r="AA1358" s="41"/>
      <c r="AB1358" s="41"/>
      <c r="AC1358" s="43">
        <v>5.1890000000000001</v>
      </c>
      <c r="AD1358" s="43"/>
      <c r="AE1358" s="43"/>
      <c r="AF1358" s="43"/>
      <c r="AG1358" s="43"/>
      <c r="AH1358" s="43">
        <v>-0.13900000000000001</v>
      </c>
      <c r="AI1358" s="43"/>
      <c r="AJ1358" s="43"/>
      <c r="AK1358" s="43"/>
    </row>
    <row r="1359" spans="1:37" ht="21.75" hidden="1" customHeight="1" x14ac:dyDescent="0.2">
      <c r="A1359" s="21">
        <v>444</v>
      </c>
      <c r="B1359" s="39" t="s">
        <v>814</v>
      </c>
      <c r="C1359" s="39"/>
      <c r="D1359" s="39"/>
      <c r="E1359" s="39"/>
      <c r="F1359" s="39"/>
      <c r="G1359" s="39"/>
      <c r="H1359" s="39"/>
      <c r="I1359" s="39"/>
      <c r="J1359" s="39"/>
      <c r="K1359" s="39"/>
      <c r="L1359" s="39"/>
      <c r="M1359" s="39"/>
      <c r="N1359" s="39"/>
      <c r="O1359" s="39"/>
      <c r="P1359" s="39"/>
      <c r="Q1359" s="9"/>
      <c r="R1359" s="10"/>
      <c r="S1359" s="10"/>
      <c r="T1359" s="10"/>
      <c r="U1359" s="10"/>
      <c r="V1359" s="10"/>
      <c r="W1359" s="11"/>
      <c r="X1359" s="41">
        <v>7.43</v>
      </c>
      <c r="Y1359" s="41"/>
      <c r="Z1359" s="41"/>
      <c r="AA1359" s="41"/>
      <c r="AB1359" s="41"/>
      <c r="AC1359" s="43">
        <v>7.5570000000000004</v>
      </c>
      <c r="AD1359" s="43"/>
      <c r="AE1359" s="43"/>
      <c r="AF1359" s="43"/>
      <c r="AG1359" s="43"/>
      <c r="AH1359" s="43">
        <v>-0.127</v>
      </c>
      <c r="AI1359" s="43"/>
      <c r="AJ1359" s="43"/>
      <c r="AK1359" s="43"/>
    </row>
    <row r="1360" spans="1:37" ht="21.75" hidden="1" customHeight="1" x14ac:dyDescent="0.2">
      <c r="A1360" s="21">
        <v>445</v>
      </c>
      <c r="B1360" s="39" t="s">
        <v>645</v>
      </c>
      <c r="C1360" s="39"/>
      <c r="D1360" s="39"/>
      <c r="E1360" s="39"/>
      <c r="F1360" s="39"/>
      <c r="G1360" s="39"/>
      <c r="H1360" s="39"/>
      <c r="I1360" s="39"/>
      <c r="J1360" s="39"/>
      <c r="K1360" s="39"/>
      <c r="L1360" s="39"/>
      <c r="M1360" s="39"/>
      <c r="N1360" s="39"/>
      <c r="O1360" s="39"/>
      <c r="P1360" s="39"/>
      <c r="Q1360" s="9"/>
      <c r="R1360" s="10"/>
      <c r="S1360" s="10"/>
      <c r="T1360" s="10"/>
      <c r="U1360" s="10"/>
      <c r="V1360" s="10"/>
      <c r="W1360" s="11"/>
      <c r="X1360" s="41">
        <v>4.82</v>
      </c>
      <c r="Y1360" s="41"/>
      <c r="Z1360" s="41"/>
      <c r="AA1360" s="41"/>
      <c r="AB1360" s="41"/>
      <c r="AC1360" s="43">
        <v>5.0259999999999998</v>
      </c>
      <c r="AD1360" s="43"/>
      <c r="AE1360" s="43"/>
      <c r="AF1360" s="43"/>
      <c r="AG1360" s="43"/>
      <c r="AH1360" s="43">
        <v>-0.20599999999999999</v>
      </c>
      <c r="AI1360" s="43"/>
      <c r="AJ1360" s="43"/>
      <c r="AK1360" s="43"/>
    </row>
    <row r="1361" spans="1:37" ht="21.75" hidden="1" customHeight="1" x14ac:dyDescent="0.2">
      <c r="A1361" s="21">
        <v>446</v>
      </c>
      <c r="B1361" s="39" t="s">
        <v>766</v>
      </c>
      <c r="C1361" s="39"/>
      <c r="D1361" s="39"/>
      <c r="E1361" s="39"/>
      <c r="F1361" s="39"/>
      <c r="G1361" s="39"/>
      <c r="H1361" s="39"/>
      <c r="I1361" s="39"/>
      <c r="J1361" s="39"/>
      <c r="K1361" s="39"/>
      <c r="L1361" s="39"/>
      <c r="M1361" s="39"/>
      <c r="N1361" s="39"/>
      <c r="O1361" s="39"/>
      <c r="P1361" s="39"/>
      <c r="Q1361" s="9"/>
      <c r="R1361" s="10"/>
      <c r="S1361" s="10"/>
      <c r="T1361" s="10"/>
      <c r="U1361" s="10"/>
      <c r="V1361" s="10"/>
      <c r="W1361" s="11"/>
      <c r="X1361" s="41">
        <v>17.61</v>
      </c>
      <c r="Y1361" s="41"/>
      <c r="Z1361" s="41"/>
      <c r="AA1361" s="41"/>
      <c r="AB1361" s="41"/>
      <c r="AC1361" s="43">
        <v>17.841999999999999</v>
      </c>
      <c r="AD1361" s="43"/>
      <c r="AE1361" s="43"/>
      <c r="AF1361" s="43"/>
      <c r="AG1361" s="43"/>
      <c r="AH1361" s="43">
        <v>-0.23200000000000001</v>
      </c>
      <c r="AI1361" s="43"/>
      <c r="AJ1361" s="43"/>
      <c r="AK1361" s="43"/>
    </row>
    <row r="1362" spans="1:37" ht="11.25" hidden="1" customHeight="1" x14ac:dyDescent="0.2">
      <c r="A1362" s="21">
        <v>447</v>
      </c>
      <c r="B1362" s="39" t="s">
        <v>871</v>
      </c>
      <c r="C1362" s="39"/>
      <c r="D1362" s="39"/>
      <c r="E1362" s="39"/>
      <c r="F1362" s="39"/>
      <c r="G1362" s="39"/>
      <c r="H1362" s="39"/>
      <c r="I1362" s="39"/>
      <c r="J1362" s="39"/>
      <c r="K1362" s="39"/>
      <c r="L1362" s="39"/>
      <c r="M1362" s="39"/>
      <c r="N1362" s="39"/>
      <c r="O1362" s="39"/>
      <c r="P1362" s="39"/>
      <c r="Q1362" s="9"/>
      <c r="R1362" s="10"/>
      <c r="S1362" s="10"/>
      <c r="T1362" s="10"/>
      <c r="U1362" s="10"/>
      <c r="V1362" s="10"/>
      <c r="W1362" s="11"/>
      <c r="X1362" s="59">
        <v>1.6</v>
      </c>
      <c r="Y1362" s="59"/>
      <c r="Z1362" s="59"/>
      <c r="AA1362" s="59"/>
      <c r="AB1362" s="59"/>
      <c r="AC1362" s="59">
        <v>1.6</v>
      </c>
      <c r="AD1362" s="59"/>
      <c r="AE1362" s="59"/>
      <c r="AF1362" s="59"/>
      <c r="AG1362" s="59"/>
      <c r="AH1362" s="12"/>
      <c r="AI1362" s="13"/>
      <c r="AJ1362" s="13"/>
      <c r="AK1362" s="14"/>
    </row>
    <row r="1363" spans="1:37" ht="21.75" hidden="1" customHeight="1" x14ac:dyDescent="0.2">
      <c r="A1363" s="21">
        <v>448</v>
      </c>
      <c r="B1363" s="39" t="s">
        <v>462</v>
      </c>
      <c r="C1363" s="39"/>
      <c r="D1363" s="39"/>
      <c r="E1363" s="39"/>
      <c r="F1363" s="39"/>
      <c r="G1363" s="39"/>
      <c r="H1363" s="39"/>
      <c r="I1363" s="39"/>
      <c r="J1363" s="39"/>
      <c r="K1363" s="39"/>
      <c r="L1363" s="39"/>
      <c r="M1363" s="39"/>
      <c r="N1363" s="39"/>
      <c r="O1363" s="39"/>
      <c r="P1363" s="39"/>
      <c r="Q1363" s="9"/>
      <c r="R1363" s="10"/>
      <c r="S1363" s="10"/>
      <c r="T1363" s="10"/>
      <c r="U1363" s="10"/>
      <c r="V1363" s="10"/>
      <c r="W1363" s="11"/>
      <c r="X1363" s="58">
        <v>2</v>
      </c>
      <c r="Y1363" s="58"/>
      <c r="Z1363" s="58"/>
      <c r="AA1363" s="58"/>
      <c r="AB1363" s="58"/>
      <c r="AC1363" s="58">
        <v>2</v>
      </c>
      <c r="AD1363" s="58"/>
      <c r="AE1363" s="58"/>
      <c r="AF1363" s="58"/>
      <c r="AG1363" s="58"/>
      <c r="AH1363" s="12"/>
      <c r="AI1363" s="13"/>
      <c r="AJ1363" s="13"/>
      <c r="AK1363" s="14"/>
    </row>
    <row r="1364" spans="1:37" ht="11.25" hidden="1" customHeight="1" x14ac:dyDescent="0.2">
      <c r="A1364" s="21">
        <v>449</v>
      </c>
      <c r="B1364" s="39" t="s">
        <v>415</v>
      </c>
      <c r="C1364" s="39"/>
      <c r="D1364" s="39"/>
      <c r="E1364" s="39"/>
      <c r="F1364" s="39"/>
      <c r="G1364" s="39"/>
      <c r="H1364" s="39"/>
      <c r="I1364" s="39"/>
      <c r="J1364" s="39"/>
      <c r="K1364" s="39"/>
      <c r="L1364" s="39"/>
      <c r="M1364" s="39"/>
      <c r="N1364" s="39"/>
      <c r="O1364" s="39"/>
      <c r="P1364" s="39"/>
      <c r="Q1364" s="9"/>
      <c r="R1364" s="10"/>
      <c r="S1364" s="10"/>
      <c r="T1364" s="10"/>
      <c r="U1364" s="10"/>
      <c r="V1364" s="10"/>
      <c r="W1364" s="11"/>
      <c r="X1364" s="41">
        <v>28.12</v>
      </c>
      <c r="Y1364" s="41"/>
      <c r="Z1364" s="41"/>
      <c r="AA1364" s="41"/>
      <c r="AB1364" s="41"/>
      <c r="AC1364" s="43">
        <v>28.228000000000002</v>
      </c>
      <c r="AD1364" s="43"/>
      <c r="AE1364" s="43"/>
      <c r="AF1364" s="43"/>
      <c r="AG1364" s="43"/>
      <c r="AH1364" s="43">
        <v>-0.108</v>
      </c>
      <c r="AI1364" s="43"/>
      <c r="AJ1364" s="43"/>
      <c r="AK1364" s="43"/>
    </row>
    <row r="1365" spans="1:37" ht="11.25" hidden="1" customHeight="1" x14ac:dyDescent="0.2">
      <c r="A1365" s="21">
        <v>450</v>
      </c>
      <c r="B1365" s="39" t="s">
        <v>867</v>
      </c>
      <c r="C1365" s="39"/>
      <c r="D1365" s="39"/>
      <c r="E1365" s="39"/>
      <c r="F1365" s="39"/>
      <c r="G1365" s="39"/>
      <c r="H1365" s="39"/>
      <c r="I1365" s="39"/>
      <c r="J1365" s="39"/>
      <c r="K1365" s="39"/>
      <c r="L1365" s="39"/>
      <c r="M1365" s="39"/>
      <c r="N1365" s="39"/>
      <c r="O1365" s="39"/>
      <c r="P1365" s="39"/>
      <c r="Q1365" s="9"/>
      <c r="R1365" s="10"/>
      <c r="S1365" s="10"/>
      <c r="T1365" s="10"/>
      <c r="U1365" s="10"/>
      <c r="V1365" s="10"/>
      <c r="W1365" s="11"/>
      <c r="X1365" s="59">
        <v>121.5</v>
      </c>
      <c r="Y1365" s="59"/>
      <c r="Z1365" s="59"/>
      <c r="AA1365" s="59"/>
      <c r="AB1365" s="59"/>
      <c r="AC1365" s="59">
        <v>121.7</v>
      </c>
      <c r="AD1365" s="59"/>
      <c r="AE1365" s="59"/>
      <c r="AF1365" s="59"/>
      <c r="AG1365" s="59"/>
      <c r="AH1365" s="59">
        <v>-0.2</v>
      </c>
      <c r="AI1365" s="59"/>
      <c r="AJ1365" s="59"/>
      <c r="AK1365" s="59"/>
    </row>
    <row r="1366" spans="1:37" ht="11.25" hidden="1" customHeight="1" x14ac:dyDescent="0.2">
      <c r="A1366" s="21">
        <v>451</v>
      </c>
      <c r="B1366" s="39" t="s">
        <v>734</v>
      </c>
      <c r="C1366" s="39"/>
      <c r="D1366" s="39"/>
      <c r="E1366" s="39"/>
      <c r="F1366" s="39"/>
      <c r="G1366" s="39"/>
      <c r="H1366" s="39"/>
      <c r="I1366" s="39"/>
      <c r="J1366" s="39"/>
      <c r="K1366" s="39"/>
      <c r="L1366" s="39"/>
      <c r="M1366" s="39"/>
      <c r="N1366" s="39"/>
      <c r="O1366" s="39"/>
      <c r="P1366" s="39"/>
      <c r="Q1366" s="9"/>
      <c r="R1366" s="10"/>
      <c r="S1366" s="10"/>
      <c r="T1366" s="10"/>
      <c r="U1366" s="10"/>
      <c r="V1366" s="10"/>
      <c r="W1366" s="11"/>
      <c r="X1366" s="41">
        <v>6.57</v>
      </c>
      <c r="Y1366" s="41"/>
      <c r="Z1366" s="41"/>
      <c r="AA1366" s="41"/>
      <c r="AB1366" s="41"/>
      <c r="AC1366" s="41">
        <v>6.57</v>
      </c>
      <c r="AD1366" s="41"/>
      <c r="AE1366" s="41"/>
      <c r="AF1366" s="41"/>
      <c r="AG1366" s="41"/>
      <c r="AH1366" s="12"/>
      <c r="AI1366" s="13"/>
      <c r="AJ1366" s="13"/>
      <c r="AK1366" s="14"/>
    </row>
    <row r="1367" spans="1:37" ht="11.25" hidden="1" customHeight="1" x14ac:dyDescent="0.2">
      <c r="A1367" s="21">
        <v>452</v>
      </c>
      <c r="B1367" s="39" t="s">
        <v>608</v>
      </c>
      <c r="C1367" s="39"/>
      <c r="D1367" s="39"/>
      <c r="E1367" s="39"/>
      <c r="F1367" s="39"/>
      <c r="G1367" s="39"/>
      <c r="H1367" s="39"/>
      <c r="I1367" s="39"/>
      <c r="J1367" s="39"/>
      <c r="K1367" s="39"/>
      <c r="L1367" s="39"/>
      <c r="M1367" s="39"/>
      <c r="N1367" s="39"/>
      <c r="O1367" s="39"/>
      <c r="P1367" s="39"/>
      <c r="Q1367" s="9"/>
      <c r="R1367" s="10"/>
      <c r="S1367" s="10"/>
      <c r="T1367" s="10"/>
      <c r="U1367" s="10"/>
      <c r="V1367" s="10"/>
      <c r="W1367" s="11"/>
      <c r="X1367" s="41">
        <v>4.33</v>
      </c>
      <c r="Y1367" s="41"/>
      <c r="Z1367" s="41"/>
      <c r="AA1367" s="41"/>
      <c r="AB1367" s="41"/>
      <c r="AC1367" s="41">
        <v>4.33</v>
      </c>
      <c r="AD1367" s="41"/>
      <c r="AE1367" s="41"/>
      <c r="AF1367" s="41"/>
      <c r="AG1367" s="41"/>
      <c r="AH1367" s="12"/>
      <c r="AI1367" s="13"/>
      <c r="AJ1367" s="13"/>
      <c r="AK1367" s="14"/>
    </row>
    <row r="1368" spans="1:37" ht="11.25" hidden="1" customHeight="1" x14ac:dyDescent="0.2">
      <c r="A1368" s="21">
        <v>453</v>
      </c>
      <c r="B1368" s="39" t="s">
        <v>602</v>
      </c>
      <c r="C1368" s="39"/>
      <c r="D1368" s="39"/>
      <c r="E1368" s="39"/>
      <c r="F1368" s="39"/>
      <c r="G1368" s="39"/>
      <c r="H1368" s="39"/>
      <c r="I1368" s="39"/>
      <c r="J1368" s="39"/>
      <c r="K1368" s="39"/>
      <c r="L1368" s="39"/>
      <c r="M1368" s="39"/>
      <c r="N1368" s="39"/>
      <c r="O1368" s="39"/>
      <c r="P1368" s="39"/>
      <c r="Q1368" s="9"/>
      <c r="R1368" s="10"/>
      <c r="S1368" s="10"/>
      <c r="T1368" s="10"/>
      <c r="U1368" s="10"/>
      <c r="V1368" s="10"/>
      <c r="W1368" s="11"/>
      <c r="X1368" s="41">
        <v>8.67</v>
      </c>
      <c r="Y1368" s="41"/>
      <c r="Z1368" s="41"/>
      <c r="AA1368" s="41"/>
      <c r="AB1368" s="41"/>
      <c r="AC1368" s="43">
        <v>8.7449999999999992</v>
      </c>
      <c r="AD1368" s="43"/>
      <c r="AE1368" s="43"/>
      <c r="AF1368" s="43"/>
      <c r="AG1368" s="43"/>
      <c r="AH1368" s="43">
        <v>-7.4999999999999997E-2</v>
      </c>
      <c r="AI1368" s="43"/>
      <c r="AJ1368" s="43"/>
      <c r="AK1368" s="43"/>
    </row>
    <row r="1369" spans="1:37" ht="11.25" hidden="1" customHeight="1" x14ac:dyDescent="0.2">
      <c r="A1369" s="21">
        <v>454</v>
      </c>
      <c r="B1369" s="39" t="s">
        <v>865</v>
      </c>
      <c r="C1369" s="39"/>
      <c r="D1369" s="39"/>
      <c r="E1369" s="39"/>
      <c r="F1369" s="39"/>
      <c r="G1369" s="39"/>
      <c r="H1369" s="39"/>
      <c r="I1369" s="39"/>
      <c r="J1369" s="39"/>
      <c r="K1369" s="39"/>
      <c r="L1369" s="39"/>
      <c r="M1369" s="39"/>
      <c r="N1369" s="39"/>
      <c r="O1369" s="39"/>
      <c r="P1369" s="39"/>
      <c r="Q1369" s="9"/>
      <c r="R1369" s="10"/>
      <c r="S1369" s="10"/>
      <c r="T1369" s="10"/>
      <c r="U1369" s="10"/>
      <c r="V1369" s="10"/>
      <c r="W1369" s="11"/>
      <c r="X1369" s="59">
        <v>5.5</v>
      </c>
      <c r="Y1369" s="59"/>
      <c r="Z1369" s="59"/>
      <c r="AA1369" s="59"/>
      <c r="AB1369" s="59"/>
      <c r="AC1369" s="59">
        <v>6.5</v>
      </c>
      <c r="AD1369" s="59"/>
      <c r="AE1369" s="59"/>
      <c r="AF1369" s="59"/>
      <c r="AG1369" s="59"/>
      <c r="AH1369" s="58">
        <v>-1</v>
      </c>
      <c r="AI1369" s="58"/>
      <c r="AJ1369" s="58"/>
      <c r="AK1369" s="58"/>
    </row>
    <row r="1370" spans="1:37" ht="11.25" hidden="1" customHeight="1" x14ac:dyDescent="0.2">
      <c r="A1370" s="21">
        <v>455</v>
      </c>
      <c r="B1370" s="39" t="s">
        <v>675</v>
      </c>
      <c r="C1370" s="39"/>
      <c r="D1370" s="39"/>
      <c r="E1370" s="39"/>
      <c r="F1370" s="39"/>
      <c r="G1370" s="39"/>
      <c r="H1370" s="39"/>
      <c r="I1370" s="39"/>
      <c r="J1370" s="39"/>
      <c r="K1370" s="39"/>
      <c r="L1370" s="39"/>
      <c r="M1370" s="39"/>
      <c r="N1370" s="39"/>
      <c r="O1370" s="39"/>
      <c r="P1370" s="39"/>
      <c r="Q1370" s="9"/>
      <c r="R1370" s="10"/>
      <c r="S1370" s="10"/>
      <c r="T1370" s="10"/>
      <c r="U1370" s="10"/>
      <c r="V1370" s="10"/>
      <c r="W1370" s="11"/>
      <c r="X1370" s="41">
        <v>5.24</v>
      </c>
      <c r="Y1370" s="41"/>
      <c r="Z1370" s="41"/>
      <c r="AA1370" s="41"/>
      <c r="AB1370" s="41"/>
      <c r="AC1370" s="41">
        <v>5.24</v>
      </c>
      <c r="AD1370" s="41"/>
      <c r="AE1370" s="41"/>
      <c r="AF1370" s="41"/>
      <c r="AG1370" s="41"/>
      <c r="AH1370" s="12"/>
      <c r="AI1370" s="13"/>
      <c r="AJ1370" s="13"/>
      <c r="AK1370" s="14"/>
    </row>
    <row r="1371" spans="1:37" ht="11.25" hidden="1" customHeight="1" x14ac:dyDescent="0.2">
      <c r="A1371" s="21">
        <v>456</v>
      </c>
      <c r="B1371" s="39" t="s">
        <v>729</v>
      </c>
      <c r="C1371" s="39"/>
      <c r="D1371" s="39"/>
      <c r="E1371" s="39"/>
      <c r="F1371" s="39"/>
      <c r="G1371" s="39"/>
      <c r="H1371" s="39"/>
      <c r="I1371" s="39"/>
      <c r="J1371" s="39"/>
      <c r="K1371" s="39"/>
      <c r="L1371" s="39"/>
      <c r="M1371" s="39"/>
      <c r="N1371" s="39"/>
      <c r="O1371" s="39"/>
      <c r="P1371" s="39"/>
      <c r="Q1371" s="9"/>
      <c r="R1371" s="10"/>
      <c r="S1371" s="10"/>
      <c r="T1371" s="10"/>
      <c r="U1371" s="10"/>
      <c r="V1371" s="10"/>
      <c r="W1371" s="11"/>
      <c r="X1371" s="41">
        <v>15.85</v>
      </c>
      <c r="Y1371" s="41"/>
      <c r="Z1371" s="41"/>
      <c r="AA1371" s="41"/>
      <c r="AB1371" s="41"/>
      <c r="AC1371" s="43">
        <v>16.251999999999999</v>
      </c>
      <c r="AD1371" s="43"/>
      <c r="AE1371" s="43"/>
      <c r="AF1371" s="43"/>
      <c r="AG1371" s="43"/>
      <c r="AH1371" s="43">
        <v>-0.40200000000000002</v>
      </c>
      <c r="AI1371" s="43"/>
      <c r="AJ1371" s="43"/>
      <c r="AK1371" s="43"/>
    </row>
    <row r="1372" spans="1:37" ht="11.25" hidden="1" customHeight="1" x14ac:dyDescent="0.2">
      <c r="A1372" s="21">
        <v>457</v>
      </c>
      <c r="B1372" s="39" t="s">
        <v>502</v>
      </c>
      <c r="C1372" s="39"/>
      <c r="D1372" s="39"/>
      <c r="E1372" s="39"/>
      <c r="F1372" s="39"/>
      <c r="G1372" s="39"/>
      <c r="H1372" s="39"/>
      <c r="I1372" s="39"/>
      <c r="J1372" s="39"/>
      <c r="K1372" s="39"/>
      <c r="L1372" s="39"/>
      <c r="M1372" s="39"/>
      <c r="N1372" s="39"/>
      <c r="O1372" s="39"/>
      <c r="P1372" s="39"/>
      <c r="Q1372" s="9"/>
      <c r="R1372" s="10"/>
      <c r="S1372" s="10"/>
      <c r="T1372" s="10"/>
      <c r="U1372" s="10"/>
      <c r="V1372" s="10"/>
      <c r="W1372" s="11"/>
      <c r="X1372" s="59">
        <v>10.199999999999999</v>
      </c>
      <c r="Y1372" s="59"/>
      <c r="Z1372" s="59"/>
      <c r="AA1372" s="59"/>
      <c r="AB1372" s="59"/>
      <c r="AC1372" s="43">
        <v>10.564</v>
      </c>
      <c r="AD1372" s="43"/>
      <c r="AE1372" s="43"/>
      <c r="AF1372" s="43"/>
      <c r="AG1372" s="43"/>
      <c r="AH1372" s="43">
        <v>-0.36399999999999999</v>
      </c>
      <c r="AI1372" s="43"/>
      <c r="AJ1372" s="43"/>
      <c r="AK1372" s="43"/>
    </row>
    <row r="1373" spans="1:37" ht="11.25" hidden="1" customHeight="1" x14ac:dyDescent="0.2">
      <c r="A1373" s="21">
        <v>458</v>
      </c>
      <c r="B1373" s="39" t="s">
        <v>736</v>
      </c>
      <c r="C1373" s="39"/>
      <c r="D1373" s="39"/>
      <c r="E1373" s="39"/>
      <c r="F1373" s="39"/>
      <c r="G1373" s="39"/>
      <c r="H1373" s="39"/>
      <c r="I1373" s="39"/>
      <c r="J1373" s="39"/>
      <c r="K1373" s="39"/>
      <c r="L1373" s="39"/>
      <c r="M1373" s="39"/>
      <c r="N1373" s="39"/>
      <c r="O1373" s="39"/>
      <c r="P1373" s="39"/>
      <c r="Q1373" s="9"/>
      <c r="R1373" s="10"/>
      <c r="S1373" s="10"/>
      <c r="T1373" s="10"/>
      <c r="U1373" s="10"/>
      <c r="V1373" s="10"/>
      <c r="W1373" s="11"/>
      <c r="X1373" s="58">
        <v>20</v>
      </c>
      <c r="Y1373" s="58"/>
      <c r="Z1373" s="58"/>
      <c r="AA1373" s="58"/>
      <c r="AB1373" s="58"/>
      <c r="AC1373" s="58">
        <v>20</v>
      </c>
      <c r="AD1373" s="58"/>
      <c r="AE1373" s="58"/>
      <c r="AF1373" s="58"/>
      <c r="AG1373" s="58"/>
      <c r="AH1373" s="12"/>
      <c r="AI1373" s="13"/>
      <c r="AJ1373" s="13"/>
      <c r="AK1373" s="14"/>
    </row>
    <row r="1374" spans="1:37" ht="21.75" hidden="1" customHeight="1" x14ac:dyDescent="0.2">
      <c r="A1374" s="21">
        <v>459</v>
      </c>
      <c r="B1374" s="39" t="s">
        <v>453</v>
      </c>
      <c r="C1374" s="39"/>
      <c r="D1374" s="39"/>
      <c r="E1374" s="39"/>
      <c r="F1374" s="39"/>
      <c r="G1374" s="39"/>
      <c r="H1374" s="39"/>
      <c r="I1374" s="39"/>
      <c r="J1374" s="39"/>
      <c r="K1374" s="39"/>
      <c r="L1374" s="39"/>
      <c r="M1374" s="39"/>
      <c r="N1374" s="39"/>
      <c r="O1374" s="39"/>
      <c r="P1374" s="39"/>
      <c r="Q1374" s="9"/>
      <c r="R1374" s="10"/>
      <c r="S1374" s="10"/>
      <c r="T1374" s="10"/>
      <c r="U1374" s="10"/>
      <c r="V1374" s="10"/>
      <c r="W1374" s="11"/>
      <c r="X1374" s="41">
        <v>50.51</v>
      </c>
      <c r="Y1374" s="41"/>
      <c r="Z1374" s="41"/>
      <c r="AA1374" s="41"/>
      <c r="AB1374" s="41"/>
      <c r="AC1374" s="43">
        <v>50.969000000000001</v>
      </c>
      <c r="AD1374" s="43"/>
      <c r="AE1374" s="43"/>
      <c r="AF1374" s="43"/>
      <c r="AG1374" s="43"/>
      <c r="AH1374" s="43">
        <v>-0.45900000000000002</v>
      </c>
      <c r="AI1374" s="43"/>
      <c r="AJ1374" s="43"/>
      <c r="AK1374" s="43"/>
    </row>
    <row r="1375" spans="1:37" ht="11.25" hidden="1" customHeight="1" x14ac:dyDescent="0.2">
      <c r="A1375" s="21">
        <v>460</v>
      </c>
      <c r="B1375" s="39" t="s">
        <v>603</v>
      </c>
      <c r="C1375" s="39"/>
      <c r="D1375" s="39"/>
      <c r="E1375" s="39"/>
      <c r="F1375" s="39"/>
      <c r="G1375" s="39"/>
      <c r="H1375" s="39"/>
      <c r="I1375" s="39"/>
      <c r="J1375" s="39"/>
      <c r="K1375" s="39"/>
      <c r="L1375" s="39"/>
      <c r="M1375" s="39"/>
      <c r="N1375" s="39"/>
      <c r="O1375" s="39"/>
      <c r="P1375" s="39"/>
      <c r="Q1375" s="9"/>
      <c r="R1375" s="10"/>
      <c r="S1375" s="10"/>
      <c r="T1375" s="10"/>
      <c r="U1375" s="10"/>
      <c r="V1375" s="10"/>
      <c r="W1375" s="11"/>
      <c r="X1375" s="41">
        <v>12.67</v>
      </c>
      <c r="Y1375" s="41"/>
      <c r="Z1375" s="41"/>
      <c r="AA1375" s="41"/>
      <c r="AB1375" s="41"/>
      <c r="AC1375" s="43">
        <v>13.166</v>
      </c>
      <c r="AD1375" s="43"/>
      <c r="AE1375" s="43"/>
      <c r="AF1375" s="43"/>
      <c r="AG1375" s="43"/>
      <c r="AH1375" s="43">
        <v>-0.496</v>
      </c>
      <c r="AI1375" s="43"/>
      <c r="AJ1375" s="43"/>
      <c r="AK1375" s="43"/>
    </row>
    <row r="1376" spans="1:37" ht="11.25" hidden="1" customHeight="1" x14ac:dyDescent="0.2">
      <c r="A1376" s="21">
        <v>461</v>
      </c>
      <c r="B1376" s="39" t="s">
        <v>872</v>
      </c>
      <c r="C1376" s="39"/>
      <c r="D1376" s="39"/>
      <c r="E1376" s="39"/>
      <c r="F1376" s="39"/>
      <c r="G1376" s="39"/>
      <c r="H1376" s="39"/>
      <c r="I1376" s="39"/>
      <c r="J1376" s="39"/>
      <c r="K1376" s="39"/>
      <c r="L1376" s="39"/>
      <c r="M1376" s="39"/>
      <c r="N1376" s="39"/>
      <c r="O1376" s="39"/>
      <c r="P1376" s="39"/>
      <c r="Q1376" s="9"/>
      <c r="R1376" s="10"/>
      <c r="S1376" s="10"/>
      <c r="T1376" s="10"/>
      <c r="U1376" s="10"/>
      <c r="V1376" s="10"/>
      <c r="W1376" s="11"/>
      <c r="X1376" s="59">
        <v>1.6</v>
      </c>
      <c r="Y1376" s="59"/>
      <c r="Z1376" s="59"/>
      <c r="AA1376" s="59"/>
      <c r="AB1376" s="59"/>
      <c r="AC1376" s="59">
        <v>1.6</v>
      </c>
      <c r="AD1376" s="59"/>
      <c r="AE1376" s="59"/>
      <c r="AF1376" s="59"/>
      <c r="AG1376" s="59"/>
      <c r="AH1376" s="12"/>
      <c r="AI1376" s="13"/>
      <c r="AJ1376" s="13"/>
      <c r="AK1376" s="14"/>
    </row>
    <row r="1377" spans="1:37" ht="11.25" hidden="1" customHeight="1" x14ac:dyDescent="0.2">
      <c r="A1377" s="21">
        <v>462</v>
      </c>
      <c r="B1377" s="39" t="s">
        <v>673</v>
      </c>
      <c r="C1377" s="39"/>
      <c r="D1377" s="39"/>
      <c r="E1377" s="39"/>
      <c r="F1377" s="39"/>
      <c r="G1377" s="39"/>
      <c r="H1377" s="39"/>
      <c r="I1377" s="39"/>
      <c r="J1377" s="39"/>
      <c r="K1377" s="39"/>
      <c r="L1377" s="39"/>
      <c r="M1377" s="39"/>
      <c r="N1377" s="39"/>
      <c r="O1377" s="39"/>
      <c r="P1377" s="39"/>
      <c r="Q1377" s="9"/>
      <c r="R1377" s="10"/>
      <c r="S1377" s="10"/>
      <c r="T1377" s="10"/>
      <c r="U1377" s="10"/>
      <c r="V1377" s="10"/>
      <c r="W1377" s="11"/>
      <c r="X1377" s="41">
        <v>21.36</v>
      </c>
      <c r="Y1377" s="41"/>
      <c r="Z1377" s="41"/>
      <c r="AA1377" s="41"/>
      <c r="AB1377" s="41"/>
      <c r="AC1377" s="41">
        <v>21.36</v>
      </c>
      <c r="AD1377" s="41"/>
      <c r="AE1377" s="41"/>
      <c r="AF1377" s="41"/>
      <c r="AG1377" s="41"/>
      <c r="AH1377" s="12"/>
      <c r="AI1377" s="13"/>
      <c r="AJ1377" s="13"/>
      <c r="AK1377" s="14"/>
    </row>
    <row r="1378" spans="1:37" ht="11.25" hidden="1" customHeight="1" x14ac:dyDescent="0.2">
      <c r="A1378" s="21">
        <v>463</v>
      </c>
      <c r="B1378" s="39" t="s">
        <v>669</v>
      </c>
      <c r="C1378" s="39"/>
      <c r="D1378" s="39"/>
      <c r="E1378" s="39"/>
      <c r="F1378" s="39"/>
      <c r="G1378" s="39"/>
      <c r="H1378" s="39"/>
      <c r="I1378" s="39"/>
      <c r="J1378" s="39"/>
      <c r="K1378" s="39"/>
      <c r="L1378" s="39"/>
      <c r="M1378" s="39"/>
      <c r="N1378" s="39"/>
      <c r="O1378" s="39"/>
      <c r="P1378" s="39"/>
      <c r="Q1378" s="9"/>
      <c r="R1378" s="10"/>
      <c r="S1378" s="10"/>
      <c r="T1378" s="10"/>
      <c r="U1378" s="10"/>
      <c r="V1378" s="10"/>
      <c r="W1378" s="11"/>
      <c r="X1378" s="59">
        <v>18.399999999999999</v>
      </c>
      <c r="Y1378" s="59"/>
      <c r="Z1378" s="59"/>
      <c r="AA1378" s="59"/>
      <c r="AB1378" s="59"/>
      <c r="AC1378" s="43">
        <v>19.219000000000001</v>
      </c>
      <c r="AD1378" s="43"/>
      <c r="AE1378" s="43"/>
      <c r="AF1378" s="43"/>
      <c r="AG1378" s="43"/>
      <c r="AH1378" s="43">
        <v>-0.81899999999999995</v>
      </c>
      <c r="AI1378" s="43"/>
      <c r="AJ1378" s="43"/>
      <c r="AK1378" s="43"/>
    </row>
    <row r="1379" spans="1:37" ht="11.25" hidden="1" customHeight="1" x14ac:dyDescent="0.2">
      <c r="A1379" s="21">
        <v>464</v>
      </c>
      <c r="B1379" s="39" t="s">
        <v>501</v>
      </c>
      <c r="C1379" s="39"/>
      <c r="D1379" s="39"/>
      <c r="E1379" s="39"/>
      <c r="F1379" s="39"/>
      <c r="G1379" s="39"/>
      <c r="H1379" s="39"/>
      <c r="I1379" s="39"/>
      <c r="J1379" s="39"/>
      <c r="K1379" s="39"/>
      <c r="L1379" s="39"/>
      <c r="M1379" s="39"/>
      <c r="N1379" s="39"/>
      <c r="O1379" s="39"/>
      <c r="P1379" s="39"/>
      <c r="Q1379" s="9"/>
      <c r="R1379" s="10"/>
      <c r="S1379" s="10"/>
      <c r="T1379" s="10"/>
      <c r="U1379" s="10"/>
      <c r="V1379" s="10"/>
      <c r="W1379" s="11"/>
      <c r="X1379" s="43">
        <v>7.0960000000000001</v>
      </c>
      <c r="Y1379" s="43"/>
      <c r="Z1379" s="43"/>
      <c r="AA1379" s="43"/>
      <c r="AB1379" s="43"/>
      <c r="AC1379" s="43">
        <v>7.3860000000000001</v>
      </c>
      <c r="AD1379" s="43"/>
      <c r="AE1379" s="43"/>
      <c r="AF1379" s="43"/>
      <c r="AG1379" s="43"/>
      <c r="AH1379" s="41">
        <v>-0.28999999999999998</v>
      </c>
      <c r="AI1379" s="41"/>
      <c r="AJ1379" s="41"/>
      <c r="AK1379" s="41"/>
    </row>
    <row r="1380" spans="1:37" ht="11.25" hidden="1" customHeight="1" x14ac:dyDescent="0.2">
      <c r="A1380" s="21">
        <v>465</v>
      </c>
      <c r="B1380" s="39" t="s">
        <v>813</v>
      </c>
      <c r="C1380" s="39"/>
      <c r="D1380" s="39"/>
      <c r="E1380" s="39"/>
      <c r="F1380" s="39"/>
      <c r="G1380" s="39"/>
      <c r="H1380" s="39"/>
      <c r="I1380" s="39"/>
      <c r="J1380" s="39"/>
      <c r="K1380" s="39"/>
      <c r="L1380" s="39"/>
      <c r="M1380" s="39"/>
      <c r="N1380" s="39"/>
      <c r="O1380" s="39"/>
      <c r="P1380" s="39"/>
      <c r="Q1380" s="9"/>
      <c r="R1380" s="10"/>
      <c r="S1380" s="10"/>
      <c r="T1380" s="10"/>
      <c r="U1380" s="10"/>
      <c r="V1380" s="10"/>
      <c r="W1380" s="11"/>
      <c r="X1380" s="41">
        <v>2.81</v>
      </c>
      <c r="Y1380" s="41"/>
      <c r="Z1380" s="41"/>
      <c r="AA1380" s="41"/>
      <c r="AB1380" s="41"/>
      <c r="AC1380" s="41">
        <v>2.81</v>
      </c>
      <c r="AD1380" s="41"/>
      <c r="AE1380" s="41"/>
      <c r="AF1380" s="41"/>
      <c r="AG1380" s="41"/>
      <c r="AH1380" s="12"/>
      <c r="AI1380" s="13"/>
      <c r="AJ1380" s="13"/>
      <c r="AK1380" s="14"/>
    </row>
    <row r="1381" spans="1:37" ht="11.25" hidden="1" customHeight="1" x14ac:dyDescent="0.2">
      <c r="A1381" s="21">
        <v>466</v>
      </c>
      <c r="B1381" s="39" t="s">
        <v>643</v>
      </c>
      <c r="C1381" s="39"/>
      <c r="D1381" s="39"/>
      <c r="E1381" s="39"/>
      <c r="F1381" s="39"/>
      <c r="G1381" s="39"/>
      <c r="H1381" s="39"/>
      <c r="I1381" s="39"/>
      <c r="J1381" s="39"/>
      <c r="K1381" s="39"/>
      <c r="L1381" s="39"/>
      <c r="M1381" s="39"/>
      <c r="N1381" s="39"/>
      <c r="O1381" s="39"/>
      <c r="P1381" s="39"/>
      <c r="Q1381" s="9"/>
      <c r="R1381" s="10"/>
      <c r="S1381" s="10"/>
      <c r="T1381" s="10"/>
      <c r="U1381" s="10"/>
      <c r="V1381" s="10"/>
      <c r="W1381" s="11"/>
      <c r="X1381" s="41">
        <v>11.94</v>
      </c>
      <c r="Y1381" s="41"/>
      <c r="Z1381" s="41"/>
      <c r="AA1381" s="41"/>
      <c r="AB1381" s="41"/>
      <c r="AC1381" s="43">
        <v>12.195</v>
      </c>
      <c r="AD1381" s="43"/>
      <c r="AE1381" s="43"/>
      <c r="AF1381" s="43"/>
      <c r="AG1381" s="43"/>
      <c r="AH1381" s="43">
        <v>-0.255</v>
      </c>
      <c r="AI1381" s="43"/>
      <c r="AJ1381" s="43"/>
      <c r="AK1381" s="43"/>
    </row>
    <row r="1382" spans="1:37" ht="11.25" hidden="1" customHeight="1" x14ac:dyDescent="0.2">
      <c r="A1382" s="21">
        <v>467</v>
      </c>
      <c r="B1382" s="39" t="s">
        <v>391</v>
      </c>
      <c r="C1382" s="39"/>
      <c r="D1382" s="39"/>
      <c r="E1382" s="39"/>
      <c r="F1382" s="39"/>
      <c r="G1382" s="39"/>
      <c r="H1382" s="39"/>
      <c r="I1382" s="39"/>
      <c r="J1382" s="39"/>
      <c r="K1382" s="39"/>
      <c r="L1382" s="39"/>
      <c r="M1382" s="39"/>
      <c r="N1382" s="39"/>
      <c r="O1382" s="39"/>
      <c r="P1382" s="39"/>
      <c r="Q1382" s="9"/>
      <c r="R1382" s="10"/>
      <c r="S1382" s="10"/>
      <c r="T1382" s="10"/>
      <c r="U1382" s="10"/>
      <c r="V1382" s="10"/>
      <c r="W1382" s="11"/>
      <c r="X1382" s="41">
        <v>1.48</v>
      </c>
      <c r="Y1382" s="41"/>
      <c r="Z1382" s="41"/>
      <c r="AA1382" s="41"/>
      <c r="AB1382" s="41"/>
      <c r="AC1382" s="41">
        <v>1.48</v>
      </c>
      <c r="AD1382" s="41"/>
      <c r="AE1382" s="41"/>
      <c r="AF1382" s="41"/>
      <c r="AG1382" s="41"/>
      <c r="AH1382" s="12"/>
      <c r="AI1382" s="13"/>
      <c r="AJ1382" s="13"/>
      <c r="AK1382" s="14"/>
    </row>
    <row r="1383" spans="1:37" ht="11.25" hidden="1" customHeight="1" x14ac:dyDescent="0.2">
      <c r="A1383" s="21">
        <v>468</v>
      </c>
      <c r="B1383" s="39" t="s">
        <v>670</v>
      </c>
      <c r="C1383" s="39"/>
      <c r="D1383" s="39"/>
      <c r="E1383" s="39"/>
      <c r="F1383" s="39"/>
      <c r="G1383" s="39"/>
      <c r="H1383" s="39"/>
      <c r="I1383" s="39"/>
      <c r="J1383" s="39"/>
      <c r="K1383" s="39"/>
      <c r="L1383" s="39"/>
      <c r="M1383" s="39"/>
      <c r="N1383" s="39"/>
      <c r="O1383" s="39"/>
      <c r="P1383" s="39"/>
      <c r="Q1383" s="9"/>
      <c r="R1383" s="10"/>
      <c r="S1383" s="10"/>
      <c r="T1383" s="10"/>
      <c r="U1383" s="10"/>
      <c r="V1383" s="10"/>
      <c r="W1383" s="11"/>
      <c r="X1383" s="59">
        <v>46.5</v>
      </c>
      <c r="Y1383" s="59"/>
      <c r="Z1383" s="59"/>
      <c r="AA1383" s="59"/>
      <c r="AB1383" s="59"/>
      <c r="AC1383" s="43">
        <v>48.558</v>
      </c>
      <c r="AD1383" s="43"/>
      <c r="AE1383" s="43"/>
      <c r="AF1383" s="43"/>
      <c r="AG1383" s="43"/>
      <c r="AH1383" s="43">
        <v>-2.0579999999999998</v>
      </c>
      <c r="AI1383" s="43"/>
      <c r="AJ1383" s="43"/>
      <c r="AK1383" s="43"/>
    </row>
    <row r="1384" spans="1:37" ht="11.25" hidden="1" customHeight="1" x14ac:dyDescent="0.2">
      <c r="A1384" s="21">
        <v>469</v>
      </c>
      <c r="B1384" s="39" t="s">
        <v>416</v>
      </c>
      <c r="C1384" s="39"/>
      <c r="D1384" s="39"/>
      <c r="E1384" s="39"/>
      <c r="F1384" s="39"/>
      <c r="G1384" s="39"/>
      <c r="H1384" s="39"/>
      <c r="I1384" s="39"/>
      <c r="J1384" s="39"/>
      <c r="K1384" s="39"/>
      <c r="L1384" s="39"/>
      <c r="M1384" s="39"/>
      <c r="N1384" s="39"/>
      <c r="O1384" s="39"/>
      <c r="P1384" s="39"/>
      <c r="Q1384" s="9"/>
      <c r="R1384" s="10"/>
      <c r="S1384" s="10"/>
      <c r="T1384" s="10"/>
      <c r="U1384" s="10"/>
      <c r="V1384" s="10"/>
      <c r="W1384" s="11"/>
      <c r="X1384" s="58">
        <v>24</v>
      </c>
      <c r="Y1384" s="58"/>
      <c r="Z1384" s="58"/>
      <c r="AA1384" s="58"/>
      <c r="AB1384" s="58"/>
      <c r="AC1384" s="43">
        <v>24.306999999999999</v>
      </c>
      <c r="AD1384" s="43"/>
      <c r="AE1384" s="43"/>
      <c r="AF1384" s="43"/>
      <c r="AG1384" s="43"/>
      <c r="AH1384" s="43">
        <v>-0.307</v>
      </c>
      <c r="AI1384" s="43"/>
      <c r="AJ1384" s="43"/>
      <c r="AK1384" s="43"/>
    </row>
    <row r="1385" spans="1:37" ht="11.25" hidden="1" customHeight="1" x14ac:dyDescent="0.2">
      <c r="A1385" s="21">
        <v>470</v>
      </c>
      <c r="B1385" s="39" t="s">
        <v>731</v>
      </c>
      <c r="C1385" s="39"/>
      <c r="D1385" s="39"/>
      <c r="E1385" s="39"/>
      <c r="F1385" s="39"/>
      <c r="G1385" s="39"/>
      <c r="H1385" s="39"/>
      <c r="I1385" s="39"/>
      <c r="J1385" s="39"/>
      <c r="K1385" s="39"/>
      <c r="L1385" s="39"/>
      <c r="M1385" s="39"/>
      <c r="N1385" s="39"/>
      <c r="O1385" s="39"/>
      <c r="P1385" s="39"/>
      <c r="Q1385" s="9"/>
      <c r="R1385" s="10"/>
      <c r="S1385" s="10"/>
      <c r="T1385" s="10"/>
      <c r="U1385" s="10"/>
      <c r="V1385" s="10"/>
      <c r="W1385" s="11"/>
      <c r="X1385" s="59">
        <v>5.0999999999999996</v>
      </c>
      <c r="Y1385" s="59"/>
      <c r="Z1385" s="59"/>
      <c r="AA1385" s="59"/>
      <c r="AB1385" s="59"/>
      <c r="AC1385" s="59">
        <v>5.0999999999999996</v>
      </c>
      <c r="AD1385" s="59"/>
      <c r="AE1385" s="59"/>
      <c r="AF1385" s="59"/>
      <c r="AG1385" s="59"/>
      <c r="AH1385" s="12"/>
      <c r="AI1385" s="13"/>
      <c r="AJ1385" s="13"/>
      <c r="AK1385" s="14"/>
    </row>
    <row r="1386" spans="1:37" ht="11.25" hidden="1" customHeight="1" x14ac:dyDescent="0.2">
      <c r="A1386" s="21">
        <v>471</v>
      </c>
      <c r="B1386" s="39" t="s">
        <v>649</v>
      </c>
      <c r="C1386" s="39"/>
      <c r="D1386" s="39"/>
      <c r="E1386" s="39"/>
      <c r="F1386" s="39"/>
      <c r="G1386" s="39"/>
      <c r="H1386" s="39"/>
      <c r="I1386" s="39"/>
      <c r="J1386" s="39"/>
      <c r="K1386" s="39"/>
      <c r="L1386" s="39"/>
      <c r="M1386" s="39"/>
      <c r="N1386" s="39"/>
      <c r="O1386" s="39"/>
      <c r="P1386" s="39"/>
      <c r="Q1386" s="9"/>
      <c r="R1386" s="10"/>
      <c r="S1386" s="10"/>
      <c r="T1386" s="10"/>
      <c r="U1386" s="10"/>
      <c r="V1386" s="10"/>
      <c r="W1386" s="11"/>
      <c r="X1386" s="41">
        <v>7.86</v>
      </c>
      <c r="Y1386" s="41"/>
      <c r="Z1386" s="41"/>
      <c r="AA1386" s="41"/>
      <c r="AB1386" s="41"/>
      <c r="AC1386" s="43">
        <v>7.8819999999999997</v>
      </c>
      <c r="AD1386" s="43"/>
      <c r="AE1386" s="43"/>
      <c r="AF1386" s="43"/>
      <c r="AG1386" s="43"/>
      <c r="AH1386" s="43">
        <v>-2.1999999999999999E-2</v>
      </c>
      <c r="AI1386" s="43"/>
      <c r="AJ1386" s="43"/>
      <c r="AK1386" s="43"/>
    </row>
    <row r="1387" spans="1:37" ht="11.25" hidden="1" customHeight="1" x14ac:dyDescent="0.2">
      <c r="A1387" s="21">
        <v>472</v>
      </c>
      <c r="B1387" s="39" t="s">
        <v>496</v>
      </c>
      <c r="C1387" s="39"/>
      <c r="D1387" s="39"/>
      <c r="E1387" s="39"/>
      <c r="F1387" s="39"/>
      <c r="G1387" s="39"/>
      <c r="H1387" s="39"/>
      <c r="I1387" s="39"/>
      <c r="J1387" s="39"/>
      <c r="K1387" s="39"/>
      <c r="L1387" s="39"/>
      <c r="M1387" s="39"/>
      <c r="N1387" s="39"/>
      <c r="O1387" s="39"/>
      <c r="P1387" s="39"/>
      <c r="Q1387" s="9"/>
      <c r="R1387" s="10"/>
      <c r="S1387" s="10"/>
      <c r="T1387" s="10"/>
      <c r="U1387" s="10"/>
      <c r="V1387" s="10"/>
      <c r="W1387" s="11"/>
      <c r="X1387" s="41">
        <v>12.95</v>
      </c>
      <c r="Y1387" s="41"/>
      <c r="Z1387" s="41"/>
      <c r="AA1387" s="41"/>
      <c r="AB1387" s="41"/>
      <c r="AC1387" s="43">
        <v>13.076000000000001</v>
      </c>
      <c r="AD1387" s="43"/>
      <c r="AE1387" s="43"/>
      <c r="AF1387" s="43"/>
      <c r="AG1387" s="43"/>
      <c r="AH1387" s="43">
        <v>-0.126</v>
      </c>
      <c r="AI1387" s="43"/>
      <c r="AJ1387" s="43"/>
      <c r="AK1387" s="43"/>
    </row>
    <row r="1388" spans="1:37" ht="11.25" hidden="1" customHeight="1" x14ac:dyDescent="0.2">
      <c r="A1388" s="21">
        <v>473</v>
      </c>
      <c r="B1388" s="39" t="s">
        <v>569</v>
      </c>
      <c r="C1388" s="39"/>
      <c r="D1388" s="39"/>
      <c r="E1388" s="39"/>
      <c r="F1388" s="39"/>
      <c r="G1388" s="39"/>
      <c r="H1388" s="39"/>
      <c r="I1388" s="39"/>
      <c r="J1388" s="39"/>
      <c r="K1388" s="39"/>
      <c r="L1388" s="39"/>
      <c r="M1388" s="39"/>
      <c r="N1388" s="39"/>
      <c r="O1388" s="39"/>
      <c r="P1388" s="39"/>
      <c r="Q1388" s="9"/>
      <c r="R1388" s="10"/>
      <c r="S1388" s="10"/>
      <c r="T1388" s="10"/>
      <c r="U1388" s="10"/>
      <c r="V1388" s="10"/>
      <c r="W1388" s="11"/>
      <c r="X1388" s="59">
        <v>9.6</v>
      </c>
      <c r="Y1388" s="59"/>
      <c r="Z1388" s="59"/>
      <c r="AA1388" s="59"/>
      <c r="AB1388" s="59"/>
      <c r="AC1388" s="43">
        <v>9.7210000000000001</v>
      </c>
      <c r="AD1388" s="43"/>
      <c r="AE1388" s="43"/>
      <c r="AF1388" s="43"/>
      <c r="AG1388" s="43"/>
      <c r="AH1388" s="43">
        <v>-0.121</v>
      </c>
      <c r="AI1388" s="43"/>
      <c r="AJ1388" s="43"/>
      <c r="AK1388" s="43"/>
    </row>
    <row r="1389" spans="1:37" ht="21.75" hidden="1" customHeight="1" x14ac:dyDescent="0.2">
      <c r="A1389" s="21">
        <v>474</v>
      </c>
      <c r="B1389" s="39" t="s">
        <v>732</v>
      </c>
      <c r="C1389" s="39"/>
      <c r="D1389" s="39"/>
      <c r="E1389" s="39"/>
      <c r="F1389" s="39"/>
      <c r="G1389" s="39"/>
      <c r="H1389" s="39"/>
      <c r="I1389" s="39"/>
      <c r="J1389" s="39"/>
      <c r="K1389" s="39"/>
      <c r="L1389" s="39"/>
      <c r="M1389" s="39"/>
      <c r="N1389" s="39"/>
      <c r="O1389" s="39"/>
      <c r="P1389" s="39"/>
      <c r="Q1389" s="9"/>
      <c r="R1389" s="10"/>
      <c r="S1389" s="10"/>
      <c r="T1389" s="10"/>
      <c r="U1389" s="10"/>
      <c r="V1389" s="10"/>
      <c r="W1389" s="11"/>
      <c r="X1389" s="59">
        <v>12.8</v>
      </c>
      <c r="Y1389" s="59"/>
      <c r="Z1389" s="59"/>
      <c r="AA1389" s="59"/>
      <c r="AB1389" s="59"/>
      <c r="AC1389" s="41">
        <v>13.96</v>
      </c>
      <c r="AD1389" s="41"/>
      <c r="AE1389" s="41"/>
      <c r="AF1389" s="41"/>
      <c r="AG1389" s="41"/>
      <c r="AH1389" s="41">
        <v>-1.1599999999999999</v>
      </c>
      <c r="AI1389" s="41"/>
      <c r="AJ1389" s="41"/>
      <c r="AK1389" s="41"/>
    </row>
    <row r="1390" spans="1:37" ht="11.25" hidden="1" customHeight="1" x14ac:dyDescent="0.2">
      <c r="A1390" s="21">
        <v>475</v>
      </c>
      <c r="B1390" s="39" t="s">
        <v>771</v>
      </c>
      <c r="C1390" s="39"/>
      <c r="D1390" s="39"/>
      <c r="E1390" s="39"/>
      <c r="F1390" s="39"/>
      <c r="G1390" s="39"/>
      <c r="H1390" s="39"/>
      <c r="I1390" s="39"/>
      <c r="J1390" s="39"/>
      <c r="K1390" s="39"/>
      <c r="L1390" s="39"/>
      <c r="M1390" s="39"/>
      <c r="N1390" s="39"/>
      <c r="O1390" s="39"/>
      <c r="P1390" s="39"/>
      <c r="Q1390" s="9"/>
      <c r="R1390" s="10"/>
      <c r="S1390" s="10"/>
      <c r="T1390" s="10"/>
      <c r="U1390" s="10"/>
      <c r="V1390" s="10"/>
      <c r="W1390" s="11"/>
      <c r="X1390" s="41">
        <v>5.03</v>
      </c>
      <c r="Y1390" s="41"/>
      <c r="Z1390" s="41"/>
      <c r="AA1390" s="41"/>
      <c r="AB1390" s="41"/>
      <c r="AC1390" s="41">
        <v>5.03</v>
      </c>
      <c r="AD1390" s="41"/>
      <c r="AE1390" s="41"/>
      <c r="AF1390" s="41"/>
      <c r="AG1390" s="41"/>
      <c r="AH1390" s="12"/>
      <c r="AI1390" s="13"/>
      <c r="AJ1390" s="13"/>
      <c r="AK1390" s="14"/>
    </row>
    <row r="1391" spans="1:37" ht="11.25" hidden="1" customHeight="1" x14ac:dyDescent="0.2">
      <c r="A1391" s="21">
        <v>476</v>
      </c>
      <c r="B1391" s="39" t="s">
        <v>498</v>
      </c>
      <c r="C1391" s="39"/>
      <c r="D1391" s="39"/>
      <c r="E1391" s="39"/>
      <c r="F1391" s="39"/>
      <c r="G1391" s="39"/>
      <c r="H1391" s="39"/>
      <c r="I1391" s="39"/>
      <c r="J1391" s="39"/>
      <c r="K1391" s="39"/>
      <c r="L1391" s="39"/>
      <c r="M1391" s="39"/>
      <c r="N1391" s="39"/>
      <c r="O1391" s="39"/>
      <c r="P1391" s="39"/>
      <c r="Q1391" s="9"/>
      <c r="R1391" s="10"/>
      <c r="S1391" s="10"/>
      <c r="T1391" s="10"/>
      <c r="U1391" s="10"/>
      <c r="V1391" s="10"/>
      <c r="W1391" s="11"/>
      <c r="X1391" s="41">
        <v>9.93</v>
      </c>
      <c r="Y1391" s="41"/>
      <c r="Z1391" s="41"/>
      <c r="AA1391" s="41"/>
      <c r="AB1391" s="41"/>
      <c r="AC1391" s="43">
        <v>10.048</v>
      </c>
      <c r="AD1391" s="43"/>
      <c r="AE1391" s="43"/>
      <c r="AF1391" s="43"/>
      <c r="AG1391" s="43"/>
      <c r="AH1391" s="43">
        <v>-0.11799999999999999</v>
      </c>
      <c r="AI1391" s="43"/>
      <c r="AJ1391" s="43"/>
      <c r="AK1391" s="43"/>
    </row>
    <row r="1392" spans="1:37" ht="11.25" hidden="1" customHeight="1" x14ac:dyDescent="0.2">
      <c r="A1392" s="21">
        <v>477</v>
      </c>
      <c r="B1392" s="39" t="s">
        <v>565</v>
      </c>
      <c r="C1392" s="39"/>
      <c r="D1392" s="39"/>
      <c r="E1392" s="39"/>
      <c r="F1392" s="39"/>
      <c r="G1392" s="39"/>
      <c r="H1392" s="39"/>
      <c r="I1392" s="39"/>
      <c r="J1392" s="39"/>
      <c r="K1392" s="39"/>
      <c r="L1392" s="39"/>
      <c r="M1392" s="39"/>
      <c r="N1392" s="39"/>
      <c r="O1392" s="39"/>
      <c r="P1392" s="39"/>
      <c r="Q1392" s="9"/>
      <c r="R1392" s="10"/>
      <c r="S1392" s="10"/>
      <c r="T1392" s="10"/>
      <c r="U1392" s="10"/>
      <c r="V1392" s="10"/>
      <c r="W1392" s="11"/>
      <c r="X1392" s="41">
        <v>4.29</v>
      </c>
      <c r="Y1392" s="41"/>
      <c r="Z1392" s="41"/>
      <c r="AA1392" s="41"/>
      <c r="AB1392" s="41"/>
      <c r="AC1392" s="43">
        <v>4.3239999999999998</v>
      </c>
      <c r="AD1392" s="43"/>
      <c r="AE1392" s="43"/>
      <c r="AF1392" s="43"/>
      <c r="AG1392" s="43"/>
      <c r="AH1392" s="43">
        <v>-3.4000000000000002E-2</v>
      </c>
      <c r="AI1392" s="43"/>
      <c r="AJ1392" s="43"/>
      <c r="AK1392" s="43"/>
    </row>
    <row r="1393" spans="1:37" ht="11.25" hidden="1" customHeight="1" x14ac:dyDescent="0.2">
      <c r="A1393" s="21">
        <v>478</v>
      </c>
      <c r="B1393" s="39" t="s">
        <v>451</v>
      </c>
      <c r="C1393" s="39"/>
      <c r="D1393" s="39"/>
      <c r="E1393" s="39"/>
      <c r="F1393" s="39"/>
      <c r="G1393" s="39"/>
      <c r="H1393" s="39"/>
      <c r="I1393" s="39"/>
      <c r="J1393" s="39"/>
      <c r="K1393" s="39"/>
      <c r="L1393" s="39"/>
      <c r="M1393" s="39"/>
      <c r="N1393" s="39"/>
      <c r="O1393" s="39"/>
      <c r="P1393" s="39"/>
      <c r="Q1393" s="9"/>
      <c r="R1393" s="10"/>
      <c r="S1393" s="10"/>
      <c r="T1393" s="10"/>
      <c r="U1393" s="10"/>
      <c r="V1393" s="10"/>
      <c r="W1393" s="11"/>
      <c r="X1393" s="43">
        <v>16.315999999999999</v>
      </c>
      <c r="Y1393" s="43"/>
      <c r="Z1393" s="43"/>
      <c r="AA1393" s="43"/>
      <c r="AB1393" s="43"/>
      <c r="AC1393" s="43">
        <v>16.657</v>
      </c>
      <c r="AD1393" s="43"/>
      <c r="AE1393" s="43"/>
      <c r="AF1393" s="43"/>
      <c r="AG1393" s="43"/>
      <c r="AH1393" s="43">
        <v>-0.34100000000000003</v>
      </c>
      <c r="AI1393" s="43"/>
      <c r="AJ1393" s="43"/>
      <c r="AK1393" s="43"/>
    </row>
    <row r="1394" spans="1:37" ht="11.25" hidden="1" customHeight="1" x14ac:dyDescent="0.2">
      <c r="A1394" s="21">
        <v>479</v>
      </c>
      <c r="B1394" s="39" t="s">
        <v>456</v>
      </c>
      <c r="C1394" s="39"/>
      <c r="D1394" s="39"/>
      <c r="E1394" s="39"/>
      <c r="F1394" s="39"/>
      <c r="G1394" s="39"/>
      <c r="H1394" s="39"/>
      <c r="I1394" s="39"/>
      <c r="J1394" s="39"/>
      <c r="K1394" s="39"/>
      <c r="L1394" s="39"/>
      <c r="M1394" s="39"/>
      <c r="N1394" s="39"/>
      <c r="O1394" s="39"/>
      <c r="P1394" s="39"/>
      <c r="Q1394" s="9"/>
      <c r="R1394" s="10"/>
      <c r="S1394" s="10"/>
      <c r="T1394" s="10"/>
      <c r="U1394" s="10"/>
      <c r="V1394" s="10"/>
      <c r="W1394" s="11"/>
      <c r="X1394" s="41">
        <v>28.87</v>
      </c>
      <c r="Y1394" s="41"/>
      <c r="Z1394" s="41"/>
      <c r="AA1394" s="41"/>
      <c r="AB1394" s="41"/>
      <c r="AC1394" s="41">
        <v>29.73</v>
      </c>
      <c r="AD1394" s="41"/>
      <c r="AE1394" s="41"/>
      <c r="AF1394" s="41"/>
      <c r="AG1394" s="41"/>
      <c r="AH1394" s="41">
        <v>-0.86</v>
      </c>
      <c r="AI1394" s="41"/>
      <c r="AJ1394" s="41"/>
      <c r="AK1394" s="41"/>
    </row>
    <row r="1395" spans="1:37" ht="11.25" hidden="1" customHeight="1" x14ac:dyDescent="0.2">
      <c r="A1395" s="21">
        <v>480</v>
      </c>
      <c r="B1395" s="39" t="s">
        <v>500</v>
      </c>
      <c r="C1395" s="39"/>
      <c r="D1395" s="39"/>
      <c r="E1395" s="39"/>
      <c r="F1395" s="39"/>
      <c r="G1395" s="39"/>
      <c r="H1395" s="39"/>
      <c r="I1395" s="39"/>
      <c r="J1395" s="39"/>
      <c r="K1395" s="39"/>
      <c r="L1395" s="39"/>
      <c r="M1395" s="39"/>
      <c r="N1395" s="39"/>
      <c r="O1395" s="39"/>
      <c r="P1395" s="39"/>
      <c r="Q1395" s="9"/>
      <c r="R1395" s="10"/>
      <c r="S1395" s="10"/>
      <c r="T1395" s="10"/>
      <c r="U1395" s="10"/>
      <c r="V1395" s="10"/>
      <c r="W1395" s="11"/>
      <c r="X1395" s="59">
        <v>79.599999999999994</v>
      </c>
      <c r="Y1395" s="59"/>
      <c r="Z1395" s="59"/>
      <c r="AA1395" s="59"/>
      <c r="AB1395" s="59"/>
      <c r="AC1395" s="43">
        <v>81.198999999999998</v>
      </c>
      <c r="AD1395" s="43"/>
      <c r="AE1395" s="43"/>
      <c r="AF1395" s="43"/>
      <c r="AG1395" s="43"/>
      <c r="AH1395" s="43">
        <v>-1.599</v>
      </c>
      <c r="AI1395" s="43"/>
      <c r="AJ1395" s="43"/>
      <c r="AK1395" s="43"/>
    </row>
    <row r="1396" spans="1:37" ht="11.25" hidden="1" customHeight="1" x14ac:dyDescent="0.2">
      <c r="A1396" s="21">
        <v>481</v>
      </c>
      <c r="B1396" s="39" t="s">
        <v>471</v>
      </c>
      <c r="C1396" s="39"/>
      <c r="D1396" s="39"/>
      <c r="E1396" s="39"/>
      <c r="F1396" s="39"/>
      <c r="G1396" s="39"/>
      <c r="H1396" s="39"/>
      <c r="I1396" s="39"/>
      <c r="J1396" s="39"/>
      <c r="K1396" s="39"/>
      <c r="L1396" s="39"/>
      <c r="M1396" s="39"/>
      <c r="N1396" s="39"/>
      <c r="O1396" s="39"/>
      <c r="P1396" s="39"/>
      <c r="Q1396" s="9"/>
      <c r="R1396" s="10"/>
      <c r="S1396" s="10"/>
      <c r="T1396" s="10"/>
      <c r="U1396" s="10"/>
      <c r="V1396" s="10"/>
      <c r="W1396" s="11"/>
      <c r="X1396" s="41">
        <v>93.74</v>
      </c>
      <c r="Y1396" s="41"/>
      <c r="Z1396" s="41"/>
      <c r="AA1396" s="41"/>
      <c r="AB1396" s="41"/>
      <c r="AC1396" s="41">
        <v>93.74</v>
      </c>
      <c r="AD1396" s="41"/>
      <c r="AE1396" s="41"/>
      <c r="AF1396" s="41"/>
      <c r="AG1396" s="41"/>
      <c r="AH1396" s="12"/>
      <c r="AI1396" s="13"/>
      <c r="AJ1396" s="13"/>
      <c r="AK1396" s="14"/>
    </row>
    <row r="1397" spans="1:37" ht="11.25" hidden="1" customHeight="1" x14ac:dyDescent="0.2">
      <c r="A1397" s="21">
        <v>482</v>
      </c>
      <c r="B1397" s="39" t="s">
        <v>470</v>
      </c>
      <c r="C1397" s="39"/>
      <c r="D1397" s="39"/>
      <c r="E1397" s="39"/>
      <c r="F1397" s="39"/>
      <c r="G1397" s="39"/>
      <c r="H1397" s="39"/>
      <c r="I1397" s="39"/>
      <c r="J1397" s="39"/>
      <c r="K1397" s="39"/>
      <c r="L1397" s="39"/>
      <c r="M1397" s="39"/>
      <c r="N1397" s="39"/>
      <c r="O1397" s="39"/>
      <c r="P1397" s="39"/>
      <c r="Q1397" s="9"/>
      <c r="R1397" s="10"/>
      <c r="S1397" s="10"/>
      <c r="T1397" s="10"/>
      <c r="U1397" s="10"/>
      <c r="V1397" s="10"/>
      <c r="W1397" s="11"/>
      <c r="X1397" s="41">
        <v>93.74</v>
      </c>
      <c r="Y1397" s="41"/>
      <c r="Z1397" s="41"/>
      <c r="AA1397" s="41"/>
      <c r="AB1397" s="41"/>
      <c r="AC1397" s="59">
        <v>95.1</v>
      </c>
      <c r="AD1397" s="59"/>
      <c r="AE1397" s="59"/>
      <c r="AF1397" s="59"/>
      <c r="AG1397" s="59"/>
      <c r="AH1397" s="41">
        <v>-1.36</v>
      </c>
      <c r="AI1397" s="41"/>
      <c r="AJ1397" s="41"/>
      <c r="AK1397" s="41"/>
    </row>
    <row r="1398" spans="1:37" ht="11.25" hidden="1" customHeight="1" x14ac:dyDescent="0.2">
      <c r="A1398" s="21">
        <v>483</v>
      </c>
      <c r="B1398" s="39" t="s">
        <v>469</v>
      </c>
      <c r="C1398" s="39"/>
      <c r="D1398" s="39"/>
      <c r="E1398" s="39"/>
      <c r="F1398" s="39"/>
      <c r="G1398" s="39"/>
      <c r="H1398" s="39"/>
      <c r="I1398" s="39"/>
      <c r="J1398" s="39"/>
      <c r="K1398" s="39"/>
      <c r="L1398" s="39"/>
      <c r="M1398" s="39"/>
      <c r="N1398" s="39"/>
      <c r="O1398" s="39"/>
      <c r="P1398" s="39"/>
      <c r="Q1398" s="9"/>
      <c r="R1398" s="10"/>
      <c r="S1398" s="10"/>
      <c r="T1398" s="10"/>
      <c r="U1398" s="10"/>
      <c r="V1398" s="10"/>
      <c r="W1398" s="11"/>
      <c r="X1398" s="41">
        <v>80.14</v>
      </c>
      <c r="Y1398" s="41"/>
      <c r="Z1398" s="41"/>
      <c r="AA1398" s="41"/>
      <c r="AB1398" s="41"/>
      <c r="AC1398" s="41">
        <v>80.14</v>
      </c>
      <c r="AD1398" s="41"/>
      <c r="AE1398" s="41"/>
      <c r="AF1398" s="41"/>
      <c r="AG1398" s="41"/>
      <c r="AH1398" s="12"/>
      <c r="AI1398" s="13"/>
      <c r="AJ1398" s="13"/>
      <c r="AK1398" s="14"/>
    </row>
    <row r="1399" spans="1:37" ht="11.25" hidden="1" customHeight="1" x14ac:dyDescent="0.2">
      <c r="A1399" s="21">
        <v>484</v>
      </c>
      <c r="B1399" s="39" t="s">
        <v>735</v>
      </c>
      <c r="C1399" s="39"/>
      <c r="D1399" s="39"/>
      <c r="E1399" s="39"/>
      <c r="F1399" s="39"/>
      <c r="G1399" s="39"/>
      <c r="H1399" s="39"/>
      <c r="I1399" s="39"/>
      <c r="J1399" s="39"/>
      <c r="K1399" s="39"/>
      <c r="L1399" s="39"/>
      <c r="M1399" s="39"/>
      <c r="N1399" s="39"/>
      <c r="O1399" s="39"/>
      <c r="P1399" s="39"/>
      <c r="Q1399" s="9"/>
      <c r="R1399" s="10"/>
      <c r="S1399" s="10"/>
      <c r="T1399" s="10"/>
      <c r="U1399" s="10"/>
      <c r="V1399" s="10"/>
      <c r="W1399" s="11"/>
      <c r="X1399" s="59">
        <v>15.6</v>
      </c>
      <c r="Y1399" s="59"/>
      <c r="Z1399" s="59"/>
      <c r="AA1399" s="59"/>
      <c r="AB1399" s="59"/>
      <c r="AC1399" s="43">
        <v>15.922000000000001</v>
      </c>
      <c r="AD1399" s="43"/>
      <c r="AE1399" s="43"/>
      <c r="AF1399" s="43"/>
      <c r="AG1399" s="43"/>
      <c r="AH1399" s="43">
        <v>-0.32200000000000001</v>
      </c>
      <c r="AI1399" s="43"/>
      <c r="AJ1399" s="43"/>
      <c r="AK1399" s="43"/>
    </row>
    <row r="1400" spans="1:37" ht="11.25" hidden="1" customHeight="1" x14ac:dyDescent="0.2">
      <c r="A1400" s="21">
        <v>485</v>
      </c>
      <c r="B1400" s="39" t="s">
        <v>419</v>
      </c>
      <c r="C1400" s="39"/>
      <c r="D1400" s="39"/>
      <c r="E1400" s="39"/>
      <c r="F1400" s="39"/>
      <c r="G1400" s="39"/>
      <c r="H1400" s="39"/>
      <c r="I1400" s="39"/>
      <c r="J1400" s="39"/>
      <c r="K1400" s="39"/>
      <c r="L1400" s="39"/>
      <c r="M1400" s="39"/>
      <c r="N1400" s="39"/>
      <c r="O1400" s="39"/>
      <c r="P1400" s="39"/>
      <c r="Q1400" s="9"/>
      <c r="R1400" s="10"/>
      <c r="S1400" s="10"/>
      <c r="T1400" s="10"/>
      <c r="U1400" s="10"/>
      <c r="V1400" s="10"/>
      <c r="W1400" s="11"/>
      <c r="X1400" s="59">
        <v>9.6</v>
      </c>
      <c r="Y1400" s="59"/>
      <c r="Z1400" s="59"/>
      <c r="AA1400" s="59"/>
      <c r="AB1400" s="59"/>
      <c r="AC1400" s="41">
        <v>9.77</v>
      </c>
      <c r="AD1400" s="41"/>
      <c r="AE1400" s="41"/>
      <c r="AF1400" s="41"/>
      <c r="AG1400" s="41"/>
      <c r="AH1400" s="41">
        <v>-0.17</v>
      </c>
      <c r="AI1400" s="41"/>
      <c r="AJ1400" s="41"/>
      <c r="AK1400" s="41"/>
    </row>
    <row r="1401" spans="1:37" ht="11.25" hidden="1" customHeight="1" x14ac:dyDescent="0.2">
      <c r="A1401" s="21">
        <v>486</v>
      </c>
      <c r="B1401" s="39" t="s">
        <v>672</v>
      </c>
      <c r="C1401" s="39"/>
      <c r="D1401" s="39"/>
      <c r="E1401" s="39"/>
      <c r="F1401" s="39"/>
      <c r="G1401" s="39"/>
      <c r="H1401" s="39"/>
      <c r="I1401" s="39"/>
      <c r="J1401" s="39"/>
      <c r="K1401" s="39"/>
      <c r="L1401" s="39"/>
      <c r="M1401" s="39"/>
      <c r="N1401" s="39"/>
      <c r="O1401" s="39"/>
      <c r="P1401" s="39"/>
      <c r="Q1401" s="9"/>
      <c r="R1401" s="10"/>
      <c r="S1401" s="10"/>
      <c r="T1401" s="10"/>
      <c r="U1401" s="10"/>
      <c r="V1401" s="10"/>
      <c r="W1401" s="11"/>
      <c r="X1401" s="41">
        <v>30.68</v>
      </c>
      <c r="Y1401" s="41"/>
      <c r="Z1401" s="41"/>
      <c r="AA1401" s="41"/>
      <c r="AB1401" s="41"/>
      <c r="AC1401" s="43">
        <v>30.731000000000002</v>
      </c>
      <c r="AD1401" s="43"/>
      <c r="AE1401" s="43"/>
      <c r="AF1401" s="43"/>
      <c r="AG1401" s="43"/>
      <c r="AH1401" s="43">
        <v>-5.0999999999999997E-2</v>
      </c>
      <c r="AI1401" s="43"/>
      <c r="AJ1401" s="43"/>
      <c r="AK1401" s="43"/>
    </row>
    <row r="1402" spans="1:37" ht="11.25" hidden="1" customHeight="1" x14ac:dyDescent="0.2">
      <c r="A1402" s="21">
        <v>487</v>
      </c>
      <c r="B1402" s="39" t="s">
        <v>421</v>
      </c>
      <c r="C1402" s="39"/>
      <c r="D1402" s="39"/>
      <c r="E1402" s="39"/>
      <c r="F1402" s="39"/>
      <c r="G1402" s="39"/>
      <c r="H1402" s="39"/>
      <c r="I1402" s="39"/>
      <c r="J1402" s="39"/>
      <c r="K1402" s="39"/>
      <c r="L1402" s="39"/>
      <c r="M1402" s="39"/>
      <c r="N1402" s="39"/>
      <c r="O1402" s="39"/>
      <c r="P1402" s="39"/>
      <c r="Q1402" s="9"/>
      <c r="R1402" s="10"/>
      <c r="S1402" s="10"/>
      <c r="T1402" s="10"/>
      <c r="U1402" s="10"/>
      <c r="V1402" s="10"/>
      <c r="W1402" s="11"/>
      <c r="X1402" s="41">
        <v>13.79</v>
      </c>
      <c r="Y1402" s="41"/>
      <c r="Z1402" s="41"/>
      <c r="AA1402" s="41"/>
      <c r="AB1402" s="41"/>
      <c r="AC1402" s="41">
        <v>13.79</v>
      </c>
      <c r="AD1402" s="41"/>
      <c r="AE1402" s="41"/>
      <c r="AF1402" s="41"/>
      <c r="AG1402" s="41"/>
      <c r="AH1402" s="12"/>
      <c r="AI1402" s="13"/>
      <c r="AJ1402" s="13"/>
      <c r="AK1402" s="14"/>
    </row>
    <row r="1403" spans="1:37" ht="11.25" hidden="1" customHeight="1" x14ac:dyDescent="0.2">
      <c r="A1403" s="21">
        <v>488</v>
      </c>
      <c r="B1403" s="39" t="s">
        <v>833</v>
      </c>
      <c r="C1403" s="39"/>
      <c r="D1403" s="39"/>
      <c r="E1403" s="39"/>
      <c r="F1403" s="39"/>
      <c r="G1403" s="39"/>
      <c r="H1403" s="39"/>
      <c r="I1403" s="39"/>
      <c r="J1403" s="39"/>
      <c r="K1403" s="39"/>
      <c r="L1403" s="39"/>
      <c r="M1403" s="39"/>
      <c r="N1403" s="39"/>
      <c r="O1403" s="39"/>
      <c r="P1403" s="39"/>
      <c r="Q1403" s="9"/>
      <c r="R1403" s="10"/>
      <c r="S1403" s="10"/>
      <c r="T1403" s="10"/>
      <c r="U1403" s="10"/>
      <c r="V1403" s="10"/>
      <c r="W1403" s="11"/>
      <c r="X1403" s="41">
        <v>15.14</v>
      </c>
      <c r="Y1403" s="41"/>
      <c r="Z1403" s="41"/>
      <c r="AA1403" s="41"/>
      <c r="AB1403" s="41"/>
      <c r="AC1403" s="41">
        <v>15.14</v>
      </c>
      <c r="AD1403" s="41"/>
      <c r="AE1403" s="41"/>
      <c r="AF1403" s="41"/>
      <c r="AG1403" s="41"/>
      <c r="AH1403" s="12"/>
      <c r="AI1403" s="13"/>
      <c r="AJ1403" s="13"/>
      <c r="AK1403" s="14"/>
    </row>
    <row r="1404" spans="1:37" ht="11.25" hidden="1" customHeight="1" x14ac:dyDescent="0.2">
      <c r="A1404" s="21">
        <v>489</v>
      </c>
      <c r="B1404" s="39" t="s">
        <v>700</v>
      </c>
      <c r="C1404" s="39"/>
      <c r="D1404" s="39"/>
      <c r="E1404" s="39"/>
      <c r="F1404" s="39"/>
      <c r="G1404" s="39"/>
      <c r="H1404" s="39"/>
      <c r="I1404" s="39"/>
      <c r="J1404" s="39"/>
      <c r="K1404" s="39"/>
      <c r="L1404" s="39"/>
      <c r="M1404" s="39"/>
      <c r="N1404" s="39"/>
      <c r="O1404" s="39"/>
      <c r="P1404" s="39"/>
      <c r="Q1404" s="9"/>
      <c r="R1404" s="10"/>
      <c r="S1404" s="10"/>
      <c r="T1404" s="10"/>
      <c r="U1404" s="10"/>
      <c r="V1404" s="10"/>
      <c r="W1404" s="11"/>
      <c r="X1404" s="41">
        <v>17.29</v>
      </c>
      <c r="Y1404" s="41"/>
      <c r="Z1404" s="41"/>
      <c r="AA1404" s="41"/>
      <c r="AB1404" s="41"/>
      <c r="AC1404" s="43">
        <v>17.361000000000001</v>
      </c>
      <c r="AD1404" s="43"/>
      <c r="AE1404" s="43"/>
      <c r="AF1404" s="43"/>
      <c r="AG1404" s="43"/>
      <c r="AH1404" s="43">
        <v>-7.0999999999999994E-2</v>
      </c>
      <c r="AI1404" s="43"/>
      <c r="AJ1404" s="43"/>
      <c r="AK1404" s="43"/>
    </row>
    <row r="1405" spans="1:37" ht="21.75" hidden="1" customHeight="1" x14ac:dyDescent="0.2">
      <c r="A1405" s="21">
        <v>490</v>
      </c>
      <c r="B1405" s="39" t="s">
        <v>644</v>
      </c>
      <c r="C1405" s="39"/>
      <c r="D1405" s="39"/>
      <c r="E1405" s="39"/>
      <c r="F1405" s="39"/>
      <c r="G1405" s="39"/>
      <c r="H1405" s="39"/>
      <c r="I1405" s="39"/>
      <c r="J1405" s="39"/>
      <c r="K1405" s="39"/>
      <c r="L1405" s="39"/>
      <c r="M1405" s="39"/>
      <c r="N1405" s="39"/>
      <c r="O1405" s="39"/>
      <c r="P1405" s="39"/>
      <c r="Q1405" s="9"/>
      <c r="R1405" s="10"/>
      <c r="S1405" s="10"/>
      <c r="T1405" s="10"/>
      <c r="U1405" s="10"/>
      <c r="V1405" s="10"/>
      <c r="W1405" s="11"/>
      <c r="X1405" s="41">
        <v>12.36</v>
      </c>
      <c r="Y1405" s="41"/>
      <c r="Z1405" s="41"/>
      <c r="AA1405" s="41"/>
      <c r="AB1405" s="41"/>
      <c r="AC1405" s="41">
        <v>12.36</v>
      </c>
      <c r="AD1405" s="41"/>
      <c r="AE1405" s="41"/>
      <c r="AF1405" s="41"/>
      <c r="AG1405" s="41"/>
      <c r="AH1405" s="12"/>
      <c r="AI1405" s="13"/>
      <c r="AJ1405" s="13"/>
      <c r="AK1405" s="14"/>
    </row>
    <row r="1406" spans="1:37" ht="11.25" hidden="1" customHeight="1" x14ac:dyDescent="0.2">
      <c r="A1406" s="21">
        <v>491</v>
      </c>
      <c r="B1406" s="39" t="s">
        <v>524</v>
      </c>
      <c r="C1406" s="39"/>
      <c r="D1406" s="39"/>
      <c r="E1406" s="39"/>
      <c r="F1406" s="39"/>
      <c r="G1406" s="39"/>
      <c r="H1406" s="39"/>
      <c r="I1406" s="39"/>
      <c r="J1406" s="39"/>
      <c r="K1406" s="39"/>
      <c r="L1406" s="39"/>
      <c r="M1406" s="39"/>
      <c r="N1406" s="39"/>
      <c r="O1406" s="39"/>
      <c r="P1406" s="39"/>
      <c r="Q1406" s="9"/>
      <c r="R1406" s="10"/>
      <c r="S1406" s="10"/>
      <c r="T1406" s="10"/>
      <c r="U1406" s="10"/>
      <c r="V1406" s="10"/>
      <c r="W1406" s="11"/>
      <c r="X1406" s="59">
        <v>18.2</v>
      </c>
      <c r="Y1406" s="59"/>
      <c r="Z1406" s="59"/>
      <c r="AA1406" s="59"/>
      <c r="AB1406" s="59"/>
      <c r="AC1406" s="43">
        <v>18.437999999999999</v>
      </c>
      <c r="AD1406" s="43"/>
      <c r="AE1406" s="43"/>
      <c r="AF1406" s="43"/>
      <c r="AG1406" s="43"/>
      <c r="AH1406" s="43">
        <v>-0.23799999999999999</v>
      </c>
      <c r="AI1406" s="43"/>
      <c r="AJ1406" s="43"/>
      <c r="AK1406" s="43"/>
    </row>
    <row r="1407" spans="1:37" ht="11.25" hidden="1" customHeight="1" x14ac:dyDescent="0.2">
      <c r="A1407" s="21">
        <v>492</v>
      </c>
      <c r="B1407" s="39" t="s">
        <v>611</v>
      </c>
      <c r="C1407" s="39"/>
      <c r="D1407" s="39"/>
      <c r="E1407" s="39"/>
      <c r="F1407" s="39"/>
      <c r="G1407" s="39"/>
      <c r="H1407" s="39"/>
      <c r="I1407" s="39"/>
      <c r="J1407" s="39"/>
      <c r="K1407" s="39"/>
      <c r="L1407" s="39"/>
      <c r="M1407" s="39"/>
      <c r="N1407" s="39"/>
      <c r="O1407" s="39"/>
      <c r="P1407" s="39"/>
      <c r="Q1407" s="9"/>
      <c r="R1407" s="10"/>
      <c r="S1407" s="10"/>
      <c r="T1407" s="10"/>
      <c r="U1407" s="10"/>
      <c r="V1407" s="10"/>
      <c r="W1407" s="11"/>
      <c r="X1407" s="58">
        <v>15</v>
      </c>
      <c r="Y1407" s="58"/>
      <c r="Z1407" s="58"/>
      <c r="AA1407" s="58"/>
      <c r="AB1407" s="58"/>
      <c r="AC1407" s="43">
        <v>15.061</v>
      </c>
      <c r="AD1407" s="43"/>
      <c r="AE1407" s="43"/>
      <c r="AF1407" s="43"/>
      <c r="AG1407" s="43"/>
      <c r="AH1407" s="43">
        <v>-6.0999999999999999E-2</v>
      </c>
      <c r="AI1407" s="43"/>
      <c r="AJ1407" s="43"/>
      <c r="AK1407" s="43"/>
    </row>
    <row r="1408" spans="1:37" ht="11.25" hidden="1" customHeight="1" x14ac:dyDescent="0.2">
      <c r="A1408" s="21">
        <v>493</v>
      </c>
      <c r="B1408" s="39" t="s">
        <v>808</v>
      </c>
      <c r="C1408" s="39"/>
      <c r="D1408" s="39"/>
      <c r="E1408" s="39"/>
      <c r="F1408" s="39"/>
      <c r="G1408" s="39"/>
      <c r="H1408" s="39"/>
      <c r="I1408" s="39"/>
      <c r="J1408" s="39"/>
      <c r="K1408" s="39"/>
      <c r="L1408" s="39"/>
      <c r="M1408" s="39"/>
      <c r="N1408" s="39"/>
      <c r="O1408" s="39"/>
      <c r="P1408" s="39"/>
      <c r="Q1408" s="9"/>
      <c r="R1408" s="10"/>
      <c r="S1408" s="10"/>
      <c r="T1408" s="10"/>
      <c r="U1408" s="10"/>
      <c r="V1408" s="10"/>
      <c r="W1408" s="11"/>
      <c r="X1408" s="59">
        <v>27.6</v>
      </c>
      <c r="Y1408" s="59"/>
      <c r="Z1408" s="59"/>
      <c r="AA1408" s="59"/>
      <c r="AB1408" s="59"/>
      <c r="AC1408" s="43">
        <v>28.484000000000002</v>
      </c>
      <c r="AD1408" s="43"/>
      <c r="AE1408" s="43"/>
      <c r="AF1408" s="43"/>
      <c r="AG1408" s="43"/>
      <c r="AH1408" s="43">
        <v>-0.88400000000000001</v>
      </c>
      <c r="AI1408" s="43"/>
      <c r="AJ1408" s="43"/>
      <c r="AK1408" s="43"/>
    </row>
    <row r="1409" spans="1:37" ht="11.25" hidden="1" customHeight="1" x14ac:dyDescent="0.2">
      <c r="A1409" s="21">
        <v>494</v>
      </c>
      <c r="B1409" s="39" t="s">
        <v>676</v>
      </c>
      <c r="C1409" s="39"/>
      <c r="D1409" s="39"/>
      <c r="E1409" s="39"/>
      <c r="F1409" s="39"/>
      <c r="G1409" s="39"/>
      <c r="H1409" s="39"/>
      <c r="I1409" s="39"/>
      <c r="J1409" s="39"/>
      <c r="K1409" s="39"/>
      <c r="L1409" s="39"/>
      <c r="M1409" s="39"/>
      <c r="N1409" s="39"/>
      <c r="O1409" s="39"/>
      <c r="P1409" s="39"/>
      <c r="Q1409" s="9"/>
      <c r="R1409" s="10"/>
      <c r="S1409" s="10"/>
      <c r="T1409" s="10"/>
      <c r="U1409" s="10"/>
      <c r="V1409" s="10"/>
      <c r="W1409" s="11"/>
      <c r="X1409" s="59">
        <v>1.4</v>
      </c>
      <c r="Y1409" s="59"/>
      <c r="Z1409" s="59"/>
      <c r="AA1409" s="59"/>
      <c r="AB1409" s="59"/>
      <c r="AC1409" s="43">
        <v>1.4119999999999999</v>
      </c>
      <c r="AD1409" s="43"/>
      <c r="AE1409" s="43"/>
      <c r="AF1409" s="43"/>
      <c r="AG1409" s="43"/>
      <c r="AH1409" s="43">
        <v>-1.2E-2</v>
      </c>
      <c r="AI1409" s="43"/>
      <c r="AJ1409" s="43"/>
      <c r="AK1409" s="43"/>
    </row>
    <row r="1410" spans="1:37" ht="11.25" hidden="1" customHeight="1" x14ac:dyDescent="0.2">
      <c r="A1410" s="21">
        <v>495</v>
      </c>
      <c r="B1410" s="39" t="s">
        <v>725</v>
      </c>
      <c r="C1410" s="39"/>
      <c r="D1410" s="39"/>
      <c r="E1410" s="39"/>
      <c r="F1410" s="39"/>
      <c r="G1410" s="39"/>
      <c r="H1410" s="39"/>
      <c r="I1410" s="39"/>
      <c r="J1410" s="39"/>
      <c r="K1410" s="39"/>
      <c r="L1410" s="39"/>
      <c r="M1410" s="39"/>
      <c r="N1410" s="39"/>
      <c r="O1410" s="39"/>
      <c r="P1410" s="39"/>
      <c r="Q1410" s="9"/>
      <c r="R1410" s="10"/>
      <c r="S1410" s="10"/>
      <c r="T1410" s="10"/>
      <c r="U1410" s="10"/>
      <c r="V1410" s="10"/>
      <c r="W1410" s="11"/>
      <c r="X1410" s="59">
        <v>10.199999999999999</v>
      </c>
      <c r="Y1410" s="59"/>
      <c r="Z1410" s="59"/>
      <c r="AA1410" s="59"/>
      <c r="AB1410" s="59"/>
      <c r="AC1410" s="41">
        <v>10.87</v>
      </c>
      <c r="AD1410" s="41"/>
      <c r="AE1410" s="41"/>
      <c r="AF1410" s="41"/>
      <c r="AG1410" s="41"/>
      <c r="AH1410" s="41">
        <v>-0.67</v>
      </c>
      <c r="AI1410" s="41"/>
      <c r="AJ1410" s="41"/>
      <c r="AK1410" s="41"/>
    </row>
    <row r="1411" spans="1:37" ht="11.25" hidden="1" customHeight="1" x14ac:dyDescent="0.2">
      <c r="A1411" s="21">
        <v>496</v>
      </c>
      <c r="B1411" s="39" t="s">
        <v>830</v>
      </c>
      <c r="C1411" s="39"/>
      <c r="D1411" s="39"/>
      <c r="E1411" s="39"/>
      <c r="F1411" s="39"/>
      <c r="G1411" s="39"/>
      <c r="H1411" s="39"/>
      <c r="I1411" s="39"/>
      <c r="J1411" s="39"/>
      <c r="K1411" s="39"/>
      <c r="L1411" s="39"/>
      <c r="M1411" s="39"/>
      <c r="N1411" s="39"/>
      <c r="O1411" s="39"/>
      <c r="P1411" s="39"/>
      <c r="Q1411" s="9"/>
      <c r="R1411" s="10"/>
      <c r="S1411" s="10"/>
      <c r="T1411" s="10"/>
      <c r="U1411" s="10"/>
      <c r="V1411" s="10"/>
      <c r="W1411" s="11"/>
      <c r="X1411" s="58">
        <v>103</v>
      </c>
      <c r="Y1411" s="58"/>
      <c r="Z1411" s="58"/>
      <c r="AA1411" s="58"/>
      <c r="AB1411" s="58"/>
      <c r="AC1411" s="43">
        <v>112.77500000000001</v>
      </c>
      <c r="AD1411" s="43"/>
      <c r="AE1411" s="43"/>
      <c r="AF1411" s="43"/>
      <c r="AG1411" s="43"/>
      <c r="AH1411" s="43">
        <v>-9.7750000000000004</v>
      </c>
      <c r="AI1411" s="43"/>
      <c r="AJ1411" s="43"/>
      <c r="AK1411" s="43"/>
    </row>
    <row r="1412" spans="1:37" ht="11.25" hidden="1" customHeight="1" x14ac:dyDescent="0.2">
      <c r="A1412" s="21">
        <v>497</v>
      </c>
      <c r="B1412" s="39" t="s">
        <v>864</v>
      </c>
      <c r="C1412" s="39"/>
      <c r="D1412" s="39"/>
      <c r="E1412" s="39"/>
      <c r="F1412" s="39"/>
      <c r="G1412" s="39"/>
      <c r="H1412" s="39"/>
      <c r="I1412" s="39"/>
      <c r="J1412" s="39"/>
      <c r="K1412" s="39"/>
      <c r="L1412" s="39"/>
      <c r="M1412" s="39"/>
      <c r="N1412" s="39"/>
      <c r="O1412" s="39"/>
      <c r="P1412" s="39"/>
      <c r="Q1412" s="9"/>
      <c r="R1412" s="10"/>
      <c r="S1412" s="10"/>
      <c r="T1412" s="10"/>
      <c r="U1412" s="10"/>
      <c r="V1412" s="10"/>
      <c r="W1412" s="11"/>
      <c r="X1412" s="41">
        <v>42.78</v>
      </c>
      <c r="Y1412" s="41"/>
      <c r="Z1412" s="41"/>
      <c r="AA1412" s="41"/>
      <c r="AB1412" s="41"/>
      <c r="AC1412" s="43">
        <v>43.466999999999999</v>
      </c>
      <c r="AD1412" s="43"/>
      <c r="AE1412" s="43"/>
      <c r="AF1412" s="43"/>
      <c r="AG1412" s="43"/>
      <c r="AH1412" s="43">
        <v>-0.68700000000000006</v>
      </c>
      <c r="AI1412" s="43"/>
      <c r="AJ1412" s="43"/>
      <c r="AK1412" s="43"/>
    </row>
    <row r="1413" spans="1:37" ht="11.25" hidden="1" customHeight="1" x14ac:dyDescent="0.2">
      <c r="A1413" s="21">
        <v>498</v>
      </c>
      <c r="B1413" s="39" t="s">
        <v>730</v>
      </c>
      <c r="C1413" s="39"/>
      <c r="D1413" s="39"/>
      <c r="E1413" s="39"/>
      <c r="F1413" s="39"/>
      <c r="G1413" s="39"/>
      <c r="H1413" s="39"/>
      <c r="I1413" s="39"/>
      <c r="J1413" s="39"/>
      <c r="K1413" s="39"/>
      <c r="L1413" s="39"/>
      <c r="M1413" s="39"/>
      <c r="N1413" s="39"/>
      <c r="O1413" s="39"/>
      <c r="P1413" s="39"/>
      <c r="Q1413" s="9"/>
      <c r="R1413" s="10"/>
      <c r="S1413" s="10"/>
      <c r="T1413" s="10"/>
      <c r="U1413" s="10"/>
      <c r="V1413" s="10"/>
      <c r="W1413" s="11"/>
      <c r="X1413" s="41">
        <v>10.16</v>
      </c>
      <c r="Y1413" s="41"/>
      <c r="Z1413" s="41"/>
      <c r="AA1413" s="41"/>
      <c r="AB1413" s="41"/>
      <c r="AC1413" s="43">
        <v>10.458</v>
      </c>
      <c r="AD1413" s="43"/>
      <c r="AE1413" s="43"/>
      <c r="AF1413" s="43"/>
      <c r="AG1413" s="43"/>
      <c r="AH1413" s="43">
        <v>-0.29799999999999999</v>
      </c>
      <c r="AI1413" s="43"/>
      <c r="AJ1413" s="43"/>
      <c r="AK1413" s="43"/>
    </row>
    <row r="1414" spans="1:37" ht="11.25" hidden="1" customHeight="1" x14ac:dyDescent="0.2">
      <c r="A1414" s="21">
        <v>499</v>
      </c>
      <c r="B1414" s="39" t="s">
        <v>733</v>
      </c>
      <c r="C1414" s="39"/>
      <c r="D1414" s="39"/>
      <c r="E1414" s="39"/>
      <c r="F1414" s="39"/>
      <c r="G1414" s="39"/>
      <c r="H1414" s="39"/>
      <c r="I1414" s="39"/>
      <c r="J1414" s="39"/>
      <c r="K1414" s="39"/>
      <c r="L1414" s="39"/>
      <c r="M1414" s="39"/>
      <c r="N1414" s="39"/>
      <c r="O1414" s="39"/>
      <c r="P1414" s="39"/>
      <c r="Q1414" s="9"/>
      <c r="R1414" s="10"/>
      <c r="S1414" s="10"/>
      <c r="T1414" s="10"/>
      <c r="U1414" s="10"/>
      <c r="V1414" s="10"/>
      <c r="W1414" s="11"/>
      <c r="X1414" s="59">
        <v>6.5</v>
      </c>
      <c r="Y1414" s="59"/>
      <c r="Z1414" s="59"/>
      <c r="AA1414" s="59"/>
      <c r="AB1414" s="59"/>
      <c r="AC1414" s="43">
        <v>6.7069999999999999</v>
      </c>
      <c r="AD1414" s="43"/>
      <c r="AE1414" s="43"/>
      <c r="AF1414" s="43"/>
      <c r="AG1414" s="43"/>
      <c r="AH1414" s="43">
        <v>-0.20699999999999999</v>
      </c>
      <c r="AI1414" s="43"/>
      <c r="AJ1414" s="43"/>
      <c r="AK1414" s="43"/>
    </row>
    <row r="1415" spans="1:37" ht="11.25" hidden="1" customHeight="1" x14ac:dyDescent="0.2">
      <c r="A1415" s="21">
        <v>500</v>
      </c>
      <c r="B1415" s="39" t="s">
        <v>571</v>
      </c>
      <c r="C1415" s="39"/>
      <c r="D1415" s="39"/>
      <c r="E1415" s="39"/>
      <c r="F1415" s="39"/>
      <c r="G1415" s="39"/>
      <c r="H1415" s="39"/>
      <c r="I1415" s="39"/>
      <c r="J1415" s="39"/>
      <c r="K1415" s="39"/>
      <c r="L1415" s="39"/>
      <c r="M1415" s="39"/>
      <c r="N1415" s="39"/>
      <c r="O1415" s="39"/>
      <c r="P1415" s="39"/>
      <c r="Q1415" s="9"/>
      <c r="R1415" s="10"/>
      <c r="S1415" s="10"/>
      <c r="T1415" s="10"/>
      <c r="U1415" s="10"/>
      <c r="V1415" s="10"/>
      <c r="W1415" s="11"/>
      <c r="X1415" s="41">
        <v>12.55</v>
      </c>
      <c r="Y1415" s="41"/>
      <c r="Z1415" s="41"/>
      <c r="AA1415" s="41"/>
      <c r="AB1415" s="41"/>
      <c r="AC1415" s="41">
        <v>12.55</v>
      </c>
      <c r="AD1415" s="41"/>
      <c r="AE1415" s="41"/>
      <c r="AF1415" s="41"/>
      <c r="AG1415" s="41"/>
      <c r="AH1415" s="12"/>
      <c r="AI1415" s="13"/>
      <c r="AJ1415" s="13"/>
      <c r="AK1415" s="14"/>
    </row>
    <row r="1416" spans="1:37" ht="11.25" hidden="1" customHeight="1" x14ac:dyDescent="0.2">
      <c r="A1416" s="21">
        <v>501</v>
      </c>
      <c r="B1416" s="39" t="s">
        <v>605</v>
      </c>
      <c r="C1416" s="39"/>
      <c r="D1416" s="39"/>
      <c r="E1416" s="39"/>
      <c r="F1416" s="39"/>
      <c r="G1416" s="39"/>
      <c r="H1416" s="39"/>
      <c r="I1416" s="39"/>
      <c r="J1416" s="39"/>
      <c r="K1416" s="39"/>
      <c r="L1416" s="39"/>
      <c r="M1416" s="39"/>
      <c r="N1416" s="39"/>
      <c r="O1416" s="39"/>
      <c r="P1416" s="39"/>
      <c r="Q1416" s="9"/>
      <c r="R1416" s="10"/>
      <c r="S1416" s="10"/>
      <c r="T1416" s="10"/>
      <c r="U1416" s="10"/>
      <c r="V1416" s="10"/>
      <c r="W1416" s="11"/>
      <c r="X1416" s="59">
        <v>25.5</v>
      </c>
      <c r="Y1416" s="59"/>
      <c r="Z1416" s="59"/>
      <c r="AA1416" s="59"/>
      <c r="AB1416" s="59"/>
      <c r="AC1416" s="43">
        <v>25.629000000000001</v>
      </c>
      <c r="AD1416" s="43"/>
      <c r="AE1416" s="43"/>
      <c r="AF1416" s="43"/>
      <c r="AG1416" s="43"/>
      <c r="AH1416" s="43">
        <v>-0.129</v>
      </c>
      <c r="AI1416" s="43"/>
      <c r="AJ1416" s="43"/>
      <c r="AK1416" s="43"/>
    </row>
    <row r="1417" spans="1:37" ht="11.25" hidden="1" customHeight="1" x14ac:dyDescent="0.2">
      <c r="A1417" s="21">
        <v>502</v>
      </c>
      <c r="B1417" s="39" t="s">
        <v>574</v>
      </c>
      <c r="C1417" s="39"/>
      <c r="D1417" s="39"/>
      <c r="E1417" s="39"/>
      <c r="F1417" s="39"/>
      <c r="G1417" s="39"/>
      <c r="H1417" s="39"/>
      <c r="I1417" s="39"/>
      <c r="J1417" s="39"/>
      <c r="K1417" s="39"/>
      <c r="L1417" s="39"/>
      <c r="M1417" s="39"/>
      <c r="N1417" s="39"/>
      <c r="O1417" s="39"/>
      <c r="P1417" s="39"/>
      <c r="Q1417" s="9"/>
      <c r="R1417" s="10"/>
      <c r="S1417" s="10"/>
      <c r="T1417" s="10"/>
      <c r="U1417" s="10"/>
      <c r="V1417" s="10"/>
      <c r="W1417" s="11"/>
      <c r="X1417" s="59">
        <v>12.6</v>
      </c>
      <c r="Y1417" s="59"/>
      <c r="Z1417" s="59"/>
      <c r="AA1417" s="59"/>
      <c r="AB1417" s="59"/>
      <c r="AC1417" s="43">
        <v>12.948</v>
      </c>
      <c r="AD1417" s="43"/>
      <c r="AE1417" s="43"/>
      <c r="AF1417" s="43"/>
      <c r="AG1417" s="43"/>
      <c r="AH1417" s="43">
        <v>-0.34799999999999998</v>
      </c>
      <c r="AI1417" s="43"/>
      <c r="AJ1417" s="43"/>
      <c r="AK1417" s="43"/>
    </row>
    <row r="1418" spans="1:37" ht="11.25" hidden="1" customHeight="1" x14ac:dyDescent="0.2">
      <c r="A1418" s="21">
        <v>503</v>
      </c>
      <c r="B1418" s="39" t="s">
        <v>737</v>
      </c>
      <c r="C1418" s="39"/>
      <c r="D1418" s="39"/>
      <c r="E1418" s="39"/>
      <c r="F1418" s="39"/>
      <c r="G1418" s="39"/>
      <c r="H1418" s="39"/>
      <c r="I1418" s="39"/>
      <c r="J1418" s="39"/>
      <c r="K1418" s="39"/>
      <c r="L1418" s="39"/>
      <c r="M1418" s="39"/>
      <c r="N1418" s="39"/>
      <c r="O1418" s="39"/>
      <c r="P1418" s="39"/>
      <c r="Q1418" s="9"/>
      <c r="R1418" s="10"/>
      <c r="S1418" s="10"/>
      <c r="T1418" s="10"/>
      <c r="U1418" s="10"/>
      <c r="V1418" s="10"/>
      <c r="W1418" s="11"/>
      <c r="X1418" s="59">
        <v>9.5</v>
      </c>
      <c r="Y1418" s="59"/>
      <c r="Z1418" s="59"/>
      <c r="AA1418" s="59"/>
      <c r="AB1418" s="59"/>
      <c r="AC1418" s="43">
        <v>9.8209999999999997</v>
      </c>
      <c r="AD1418" s="43"/>
      <c r="AE1418" s="43"/>
      <c r="AF1418" s="43"/>
      <c r="AG1418" s="43"/>
      <c r="AH1418" s="43">
        <v>-0.32100000000000001</v>
      </c>
      <c r="AI1418" s="43"/>
      <c r="AJ1418" s="43"/>
      <c r="AK1418" s="43"/>
    </row>
    <row r="1419" spans="1:37" ht="11.25" hidden="1" customHeight="1" x14ac:dyDescent="0.2">
      <c r="A1419" s="21">
        <v>504</v>
      </c>
      <c r="B1419" s="39" t="s">
        <v>768</v>
      </c>
      <c r="C1419" s="39"/>
      <c r="D1419" s="39"/>
      <c r="E1419" s="39"/>
      <c r="F1419" s="39"/>
      <c r="G1419" s="39"/>
      <c r="H1419" s="39"/>
      <c r="I1419" s="39"/>
      <c r="J1419" s="39"/>
      <c r="K1419" s="39"/>
      <c r="L1419" s="39"/>
      <c r="M1419" s="39"/>
      <c r="N1419" s="39"/>
      <c r="O1419" s="39"/>
      <c r="P1419" s="39"/>
      <c r="Q1419" s="9"/>
      <c r="R1419" s="10"/>
      <c r="S1419" s="10"/>
      <c r="T1419" s="10"/>
      <c r="U1419" s="10"/>
      <c r="V1419" s="10"/>
      <c r="W1419" s="11"/>
      <c r="X1419" s="41">
        <v>21.48</v>
      </c>
      <c r="Y1419" s="41"/>
      <c r="Z1419" s="41"/>
      <c r="AA1419" s="41"/>
      <c r="AB1419" s="41"/>
      <c r="AC1419" s="43">
        <v>23.478999999999999</v>
      </c>
      <c r="AD1419" s="43"/>
      <c r="AE1419" s="43"/>
      <c r="AF1419" s="43"/>
      <c r="AG1419" s="43"/>
      <c r="AH1419" s="43">
        <v>-1.9990000000000001</v>
      </c>
      <c r="AI1419" s="43"/>
      <c r="AJ1419" s="43"/>
      <c r="AK1419" s="43"/>
    </row>
    <row r="1420" spans="1:37" ht="11.25" hidden="1" customHeight="1" x14ac:dyDescent="0.2">
      <c r="A1420" s="21">
        <v>505</v>
      </c>
      <c r="B1420" s="39" t="s">
        <v>866</v>
      </c>
      <c r="C1420" s="39"/>
      <c r="D1420" s="39"/>
      <c r="E1420" s="39"/>
      <c r="F1420" s="39"/>
      <c r="G1420" s="39"/>
      <c r="H1420" s="39"/>
      <c r="I1420" s="39"/>
      <c r="J1420" s="39"/>
      <c r="K1420" s="39"/>
      <c r="L1420" s="39"/>
      <c r="M1420" s="39"/>
      <c r="N1420" s="39"/>
      <c r="O1420" s="39"/>
      <c r="P1420" s="39"/>
      <c r="Q1420" s="9"/>
      <c r="R1420" s="10"/>
      <c r="S1420" s="10"/>
      <c r="T1420" s="10"/>
      <c r="U1420" s="10"/>
      <c r="V1420" s="10"/>
      <c r="W1420" s="11"/>
      <c r="X1420" s="41">
        <v>8.5500000000000007</v>
      </c>
      <c r="Y1420" s="41"/>
      <c r="Z1420" s="41"/>
      <c r="AA1420" s="41"/>
      <c r="AB1420" s="41"/>
      <c r="AC1420" s="43">
        <v>8.8010000000000002</v>
      </c>
      <c r="AD1420" s="43"/>
      <c r="AE1420" s="43"/>
      <c r="AF1420" s="43"/>
      <c r="AG1420" s="43"/>
      <c r="AH1420" s="43">
        <v>-0.251</v>
      </c>
      <c r="AI1420" s="43"/>
      <c r="AJ1420" s="43"/>
      <c r="AK1420" s="43"/>
    </row>
    <row r="1421" spans="1:37" ht="11.25" hidden="1" customHeight="1" x14ac:dyDescent="0.2">
      <c r="A1421" s="21">
        <v>506</v>
      </c>
      <c r="B1421" s="39" t="s">
        <v>869</v>
      </c>
      <c r="C1421" s="39"/>
      <c r="D1421" s="39"/>
      <c r="E1421" s="39"/>
      <c r="F1421" s="39"/>
      <c r="G1421" s="39"/>
      <c r="H1421" s="39"/>
      <c r="I1421" s="39"/>
      <c r="J1421" s="39"/>
      <c r="K1421" s="39"/>
      <c r="L1421" s="39"/>
      <c r="M1421" s="39"/>
      <c r="N1421" s="39"/>
      <c r="O1421" s="39"/>
      <c r="P1421" s="39"/>
      <c r="Q1421" s="9"/>
      <c r="R1421" s="10"/>
      <c r="S1421" s="10"/>
      <c r="T1421" s="10"/>
      <c r="U1421" s="10"/>
      <c r="V1421" s="10"/>
      <c r="W1421" s="11"/>
      <c r="X1421" s="58">
        <v>44</v>
      </c>
      <c r="Y1421" s="58"/>
      <c r="Z1421" s="58"/>
      <c r="AA1421" s="58"/>
      <c r="AB1421" s="58"/>
      <c r="AC1421" s="43">
        <v>46.235999999999997</v>
      </c>
      <c r="AD1421" s="43"/>
      <c r="AE1421" s="43"/>
      <c r="AF1421" s="43"/>
      <c r="AG1421" s="43"/>
      <c r="AH1421" s="43">
        <v>-2.2360000000000002</v>
      </c>
      <c r="AI1421" s="43"/>
      <c r="AJ1421" s="43"/>
      <c r="AK1421" s="43"/>
    </row>
    <row r="1422" spans="1:37" ht="11.25" hidden="1" customHeight="1" x14ac:dyDescent="0.2">
      <c r="A1422" s="21">
        <v>507</v>
      </c>
      <c r="B1422" s="39" t="s">
        <v>559</v>
      </c>
      <c r="C1422" s="39"/>
      <c r="D1422" s="39"/>
      <c r="E1422" s="39"/>
      <c r="F1422" s="39"/>
      <c r="G1422" s="39"/>
      <c r="H1422" s="39"/>
      <c r="I1422" s="39"/>
      <c r="J1422" s="39"/>
      <c r="K1422" s="39"/>
      <c r="L1422" s="39"/>
      <c r="M1422" s="39"/>
      <c r="N1422" s="39"/>
      <c r="O1422" s="39"/>
      <c r="P1422" s="39"/>
      <c r="Q1422" s="9"/>
      <c r="R1422" s="10"/>
      <c r="S1422" s="10"/>
      <c r="T1422" s="10"/>
      <c r="U1422" s="10"/>
      <c r="V1422" s="10"/>
      <c r="W1422" s="11"/>
      <c r="X1422" s="41">
        <v>22.91</v>
      </c>
      <c r="Y1422" s="41"/>
      <c r="Z1422" s="41"/>
      <c r="AA1422" s="41"/>
      <c r="AB1422" s="41"/>
      <c r="AC1422" s="43">
        <v>23.308</v>
      </c>
      <c r="AD1422" s="43"/>
      <c r="AE1422" s="43"/>
      <c r="AF1422" s="43"/>
      <c r="AG1422" s="43"/>
      <c r="AH1422" s="43">
        <v>-0.39800000000000002</v>
      </c>
      <c r="AI1422" s="43"/>
      <c r="AJ1422" s="43"/>
      <c r="AK1422" s="43"/>
    </row>
    <row r="1423" spans="1:37" ht="12.75" hidden="1" customHeight="1" x14ac:dyDescent="0.2">
      <c r="A1423" s="52" t="s">
        <v>6</v>
      </c>
      <c r="B1423" s="52"/>
      <c r="C1423" s="52"/>
      <c r="D1423" s="52"/>
      <c r="E1423" s="52"/>
      <c r="F1423" s="52"/>
      <c r="G1423" s="52"/>
      <c r="H1423" s="52"/>
      <c r="I1423" s="52"/>
      <c r="J1423" s="52"/>
      <c r="K1423" s="52"/>
      <c r="L1423" s="52"/>
      <c r="M1423" s="52"/>
      <c r="N1423" s="52"/>
      <c r="O1423" s="52"/>
      <c r="P1423" s="52"/>
      <c r="Q1423" s="55">
        <v>516.74199999999996</v>
      </c>
      <c r="R1423" s="55"/>
      <c r="S1423" s="55"/>
      <c r="T1423" s="55"/>
      <c r="U1423" s="55"/>
      <c r="V1423" s="55"/>
      <c r="W1423" s="55"/>
      <c r="X1423" s="54">
        <v>19617.499</v>
      </c>
      <c r="Y1423" s="54"/>
      <c r="Z1423" s="54"/>
      <c r="AA1423" s="54"/>
      <c r="AB1423" s="54"/>
      <c r="AC1423" s="54">
        <v>19550.260999999999</v>
      </c>
      <c r="AD1423" s="54"/>
      <c r="AE1423" s="54"/>
      <c r="AF1423" s="54"/>
      <c r="AG1423" s="54"/>
      <c r="AH1423" s="55">
        <v>67.238</v>
      </c>
      <c r="AI1423" s="55"/>
      <c r="AJ1423" s="55"/>
      <c r="AK1423" s="55"/>
    </row>
  </sheetData>
  <autoFilter ref="P17:AJ18" xr:uid="{00000000-0009-0000-0000-00000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7" showButton="0"/>
    <filterColumn colId="8" showButton="0"/>
    <filterColumn colId="9" showButton="0"/>
    <filterColumn colId="10" showButton="0"/>
    <filterColumn colId="12" showButton="0"/>
    <filterColumn colId="13" showButton="0"/>
    <filterColumn colId="14" showButton="0"/>
    <filterColumn colId="15" showButton="0"/>
    <filterColumn colId="17" showButton="0"/>
    <filterColumn colId="18" showButton="0"/>
    <filterColumn colId="19" showButton="0"/>
  </autoFilter>
  <mergeCells count="5910">
    <mergeCell ref="A1423:P1423"/>
    <mergeCell ref="Q1423:W1423"/>
    <mergeCell ref="X1423:AB1423"/>
    <mergeCell ref="AC1423:AG1423"/>
    <mergeCell ref="AH1423:AK1423"/>
    <mergeCell ref="B1421:P1421"/>
    <mergeCell ref="X1421:AB1421"/>
    <mergeCell ref="AC1421:AG1421"/>
    <mergeCell ref="AH1421:AK1421"/>
    <mergeCell ref="B1422:P1422"/>
    <mergeCell ref="X1422:AB1422"/>
    <mergeCell ref="AC1422:AG1422"/>
    <mergeCell ref="AH1422:AK1422"/>
    <mergeCell ref="B1419:P1419"/>
    <mergeCell ref="X1419:AB1419"/>
    <mergeCell ref="AC1419:AG1419"/>
    <mergeCell ref="AH1419:AK1419"/>
    <mergeCell ref="B1420:P1420"/>
    <mergeCell ref="X1420:AB1420"/>
    <mergeCell ref="AC1420:AG1420"/>
    <mergeCell ref="AH1420:AK1420"/>
    <mergeCell ref="AH1416:AK1416"/>
    <mergeCell ref="B1417:P1417"/>
    <mergeCell ref="X1417:AB1417"/>
    <mergeCell ref="AC1417:AG1417"/>
    <mergeCell ref="AH1417:AK1417"/>
    <mergeCell ref="B1418:P1418"/>
    <mergeCell ref="X1418:AB1418"/>
    <mergeCell ref="AC1418:AG1418"/>
    <mergeCell ref="AH1418:AK1418"/>
    <mergeCell ref="B1415:P1415"/>
    <mergeCell ref="X1415:AB1415"/>
    <mergeCell ref="AC1415:AG1415"/>
    <mergeCell ref="B1416:P1416"/>
    <mergeCell ref="X1416:AB1416"/>
    <mergeCell ref="AC1416:AG1416"/>
    <mergeCell ref="B1413:P1413"/>
    <mergeCell ref="X1413:AB1413"/>
    <mergeCell ref="AC1413:AG1413"/>
    <mergeCell ref="AH1413:AK1413"/>
    <mergeCell ref="B1414:P1414"/>
    <mergeCell ref="X1414:AB1414"/>
    <mergeCell ref="AC1414:AG1414"/>
    <mergeCell ref="AH1414:AK1414"/>
    <mergeCell ref="B1411:P1411"/>
    <mergeCell ref="X1411:AB1411"/>
    <mergeCell ref="AC1411:AG1411"/>
    <mergeCell ref="AH1411:AK1411"/>
    <mergeCell ref="B1412:P1412"/>
    <mergeCell ref="X1412:AB1412"/>
    <mergeCell ref="AC1412:AG1412"/>
    <mergeCell ref="AH1412:AK1412"/>
    <mergeCell ref="B1409:P1409"/>
    <mergeCell ref="X1409:AB1409"/>
    <mergeCell ref="AC1409:AG1409"/>
    <mergeCell ref="AH1409:AK1409"/>
    <mergeCell ref="B1410:P1410"/>
    <mergeCell ref="X1410:AB1410"/>
    <mergeCell ref="AC1410:AG1410"/>
    <mergeCell ref="AH1410:AK1410"/>
    <mergeCell ref="B1407:P1407"/>
    <mergeCell ref="X1407:AB1407"/>
    <mergeCell ref="AC1407:AG1407"/>
    <mergeCell ref="AH1407:AK1407"/>
    <mergeCell ref="B1408:P1408"/>
    <mergeCell ref="X1408:AB1408"/>
    <mergeCell ref="AC1408:AG1408"/>
    <mergeCell ref="AH1408:AK1408"/>
    <mergeCell ref="AH1404:AK1404"/>
    <mergeCell ref="B1405:P1405"/>
    <mergeCell ref="X1405:AB1405"/>
    <mergeCell ref="AC1405:AG1405"/>
    <mergeCell ref="B1406:P1406"/>
    <mergeCell ref="X1406:AB1406"/>
    <mergeCell ref="AC1406:AG1406"/>
    <mergeCell ref="AH1406:AK1406"/>
    <mergeCell ref="B1403:P1403"/>
    <mergeCell ref="X1403:AB1403"/>
    <mergeCell ref="AC1403:AG1403"/>
    <mergeCell ref="B1404:P1404"/>
    <mergeCell ref="X1404:AB1404"/>
    <mergeCell ref="AC1404:AG1404"/>
    <mergeCell ref="B1401:P1401"/>
    <mergeCell ref="X1401:AB1401"/>
    <mergeCell ref="AC1401:AG1401"/>
    <mergeCell ref="AH1401:AK1401"/>
    <mergeCell ref="B1402:P1402"/>
    <mergeCell ref="X1402:AB1402"/>
    <mergeCell ref="AC1402:AG1402"/>
    <mergeCell ref="B1399:P1399"/>
    <mergeCell ref="X1399:AB1399"/>
    <mergeCell ref="AC1399:AG1399"/>
    <mergeCell ref="AH1399:AK1399"/>
    <mergeCell ref="B1400:P1400"/>
    <mergeCell ref="X1400:AB1400"/>
    <mergeCell ref="AC1400:AG1400"/>
    <mergeCell ref="AH1400:AK1400"/>
    <mergeCell ref="B1397:P1397"/>
    <mergeCell ref="X1397:AB1397"/>
    <mergeCell ref="AC1397:AG1397"/>
    <mergeCell ref="AH1397:AK1397"/>
    <mergeCell ref="B1398:P1398"/>
    <mergeCell ref="X1398:AB1398"/>
    <mergeCell ref="AC1398:AG1398"/>
    <mergeCell ref="B1395:P1395"/>
    <mergeCell ref="X1395:AB1395"/>
    <mergeCell ref="AC1395:AG1395"/>
    <mergeCell ref="AH1395:AK1395"/>
    <mergeCell ref="B1396:P1396"/>
    <mergeCell ref="X1396:AB1396"/>
    <mergeCell ref="AC1396:AG1396"/>
    <mergeCell ref="B1393:P1393"/>
    <mergeCell ref="X1393:AB1393"/>
    <mergeCell ref="AC1393:AG1393"/>
    <mergeCell ref="AH1393:AK1393"/>
    <mergeCell ref="B1394:P1394"/>
    <mergeCell ref="X1394:AB1394"/>
    <mergeCell ref="AC1394:AG1394"/>
    <mergeCell ref="AH1394:AK1394"/>
    <mergeCell ref="B1391:P1391"/>
    <mergeCell ref="X1391:AB1391"/>
    <mergeCell ref="AC1391:AG1391"/>
    <mergeCell ref="AH1391:AK1391"/>
    <mergeCell ref="B1392:P1392"/>
    <mergeCell ref="X1392:AB1392"/>
    <mergeCell ref="AC1392:AG1392"/>
    <mergeCell ref="AH1392:AK1392"/>
    <mergeCell ref="B1389:P1389"/>
    <mergeCell ref="X1389:AB1389"/>
    <mergeCell ref="AC1389:AG1389"/>
    <mergeCell ref="AH1389:AK1389"/>
    <mergeCell ref="B1390:P1390"/>
    <mergeCell ref="X1390:AB1390"/>
    <mergeCell ref="AC1390:AG1390"/>
    <mergeCell ref="AH1386:AK1386"/>
    <mergeCell ref="B1387:P1387"/>
    <mergeCell ref="X1387:AB1387"/>
    <mergeCell ref="AC1387:AG1387"/>
    <mergeCell ref="AH1387:AK1387"/>
    <mergeCell ref="B1388:P1388"/>
    <mergeCell ref="X1388:AB1388"/>
    <mergeCell ref="AC1388:AG1388"/>
    <mergeCell ref="AH1388:AK1388"/>
    <mergeCell ref="B1385:P1385"/>
    <mergeCell ref="X1385:AB1385"/>
    <mergeCell ref="AC1385:AG1385"/>
    <mergeCell ref="B1386:P1386"/>
    <mergeCell ref="X1386:AB1386"/>
    <mergeCell ref="AC1386:AG1386"/>
    <mergeCell ref="B1383:P1383"/>
    <mergeCell ref="X1383:AB1383"/>
    <mergeCell ref="AC1383:AG1383"/>
    <mergeCell ref="AH1383:AK1383"/>
    <mergeCell ref="B1384:P1384"/>
    <mergeCell ref="X1384:AB1384"/>
    <mergeCell ref="AC1384:AG1384"/>
    <mergeCell ref="AH1384:AK1384"/>
    <mergeCell ref="B1381:P1381"/>
    <mergeCell ref="X1381:AB1381"/>
    <mergeCell ref="AC1381:AG1381"/>
    <mergeCell ref="AH1381:AK1381"/>
    <mergeCell ref="B1382:P1382"/>
    <mergeCell ref="X1382:AB1382"/>
    <mergeCell ref="AC1382:AG1382"/>
    <mergeCell ref="AH1378:AK1378"/>
    <mergeCell ref="B1379:P1379"/>
    <mergeCell ref="X1379:AB1379"/>
    <mergeCell ref="AC1379:AG1379"/>
    <mergeCell ref="AH1379:AK1379"/>
    <mergeCell ref="B1380:P1380"/>
    <mergeCell ref="X1380:AB1380"/>
    <mergeCell ref="AC1380:AG1380"/>
    <mergeCell ref="B1377:P1377"/>
    <mergeCell ref="X1377:AB1377"/>
    <mergeCell ref="AC1377:AG1377"/>
    <mergeCell ref="B1378:P1378"/>
    <mergeCell ref="X1378:AB1378"/>
    <mergeCell ref="AC1378:AG1378"/>
    <mergeCell ref="AH1374:AK1374"/>
    <mergeCell ref="B1375:P1375"/>
    <mergeCell ref="X1375:AB1375"/>
    <mergeCell ref="AC1375:AG1375"/>
    <mergeCell ref="AH1375:AK1375"/>
    <mergeCell ref="B1376:P1376"/>
    <mergeCell ref="X1376:AB1376"/>
    <mergeCell ref="AC1376:AG1376"/>
    <mergeCell ref="B1373:P1373"/>
    <mergeCell ref="X1373:AB1373"/>
    <mergeCell ref="AC1373:AG1373"/>
    <mergeCell ref="B1374:P1374"/>
    <mergeCell ref="X1374:AB1374"/>
    <mergeCell ref="AC1374:AG1374"/>
    <mergeCell ref="B1371:P1371"/>
    <mergeCell ref="X1371:AB1371"/>
    <mergeCell ref="AC1371:AG1371"/>
    <mergeCell ref="AH1371:AK1371"/>
    <mergeCell ref="B1372:P1372"/>
    <mergeCell ref="X1372:AB1372"/>
    <mergeCell ref="AC1372:AG1372"/>
    <mergeCell ref="AH1372:AK1372"/>
    <mergeCell ref="AH1368:AK1368"/>
    <mergeCell ref="B1369:P1369"/>
    <mergeCell ref="X1369:AB1369"/>
    <mergeCell ref="AC1369:AG1369"/>
    <mergeCell ref="AH1369:AK1369"/>
    <mergeCell ref="B1370:P1370"/>
    <mergeCell ref="X1370:AB1370"/>
    <mergeCell ref="AC1370:AG1370"/>
    <mergeCell ref="B1367:P1367"/>
    <mergeCell ref="X1367:AB1367"/>
    <mergeCell ref="AC1367:AG1367"/>
    <mergeCell ref="B1368:P1368"/>
    <mergeCell ref="X1368:AB1368"/>
    <mergeCell ref="AC1368:AG1368"/>
    <mergeCell ref="AH1364:AK1364"/>
    <mergeCell ref="B1365:P1365"/>
    <mergeCell ref="X1365:AB1365"/>
    <mergeCell ref="AC1365:AG1365"/>
    <mergeCell ref="AH1365:AK1365"/>
    <mergeCell ref="B1366:P1366"/>
    <mergeCell ref="X1366:AB1366"/>
    <mergeCell ref="AC1366:AG1366"/>
    <mergeCell ref="B1363:P1363"/>
    <mergeCell ref="X1363:AB1363"/>
    <mergeCell ref="AC1363:AG1363"/>
    <mergeCell ref="B1364:P1364"/>
    <mergeCell ref="X1364:AB1364"/>
    <mergeCell ref="AC1364:AG1364"/>
    <mergeCell ref="B1361:P1361"/>
    <mergeCell ref="X1361:AB1361"/>
    <mergeCell ref="AC1361:AG1361"/>
    <mergeCell ref="AH1361:AK1361"/>
    <mergeCell ref="B1362:P1362"/>
    <mergeCell ref="X1362:AB1362"/>
    <mergeCell ref="AC1362:AG1362"/>
    <mergeCell ref="B1359:P1359"/>
    <mergeCell ref="X1359:AB1359"/>
    <mergeCell ref="AC1359:AG1359"/>
    <mergeCell ref="AH1359:AK1359"/>
    <mergeCell ref="B1360:P1360"/>
    <mergeCell ref="X1360:AB1360"/>
    <mergeCell ref="AC1360:AG1360"/>
    <mergeCell ref="AH1360:AK1360"/>
    <mergeCell ref="B1357:P1357"/>
    <mergeCell ref="X1357:AB1357"/>
    <mergeCell ref="AC1357:AG1357"/>
    <mergeCell ref="AH1357:AK1357"/>
    <mergeCell ref="B1358:P1358"/>
    <mergeCell ref="X1358:AB1358"/>
    <mergeCell ref="AC1358:AG1358"/>
    <mergeCell ref="AH1358:AK1358"/>
    <mergeCell ref="B1355:P1355"/>
    <mergeCell ref="X1355:AB1355"/>
    <mergeCell ref="AC1355:AG1355"/>
    <mergeCell ref="AH1355:AK1355"/>
    <mergeCell ref="B1356:P1356"/>
    <mergeCell ref="X1356:AB1356"/>
    <mergeCell ref="AC1356:AG1356"/>
    <mergeCell ref="AH1356:AK1356"/>
    <mergeCell ref="B1353:P1353"/>
    <mergeCell ref="X1353:AB1353"/>
    <mergeCell ref="AC1353:AG1353"/>
    <mergeCell ref="AH1353:AK1353"/>
    <mergeCell ref="B1354:P1354"/>
    <mergeCell ref="X1354:AB1354"/>
    <mergeCell ref="AC1354:AG1354"/>
    <mergeCell ref="AH1354:AK1354"/>
    <mergeCell ref="B1351:P1351"/>
    <mergeCell ref="X1351:AB1351"/>
    <mergeCell ref="AC1351:AG1351"/>
    <mergeCell ref="AH1351:AK1351"/>
    <mergeCell ref="B1352:P1352"/>
    <mergeCell ref="X1352:AB1352"/>
    <mergeCell ref="AC1352:AG1352"/>
    <mergeCell ref="AH1352:AK1352"/>
    <mergeCell ref="B1349:P1349"/>
    <mergeCell ref="X1349:AB1349"/>
    <mergeCell ref="AC1349:AG1349"/>
    <mergeCell ref="AH1349:AK1349"/>
    <mergeCell ref="B1350:P1350"/>
    <mergeCell ref="X1350:AB1350"/>
    <mergeCell ref="AC1350:AG1350"/>
    <mergeCell ref="AH1350:AK1350"/>
    <mergeCell ref="B1347:P1347"/>
    <mergeCell ref="X1347:AB1347"/>
    <mergeCell ref="AC1347:AG1347"/>
    <mergeCell ref="AH1347:AK1347"/>
    <mergeCell ref="B1348:P1348"/>
    <mergeCell ref="X1348:AB1348"/>
    <mergeCell ref="AC1348:AG1348"/>
    <mergeCell ref="B1345:P1345"/>
    <mergeCell ref="X1345:AB1345"/>
    <mergeCell ref="AC1345:AG1345"/>
    <mergeCell ref="AH1345:AK1345"/>
    <mergeCell ref="B1346:P1346"/>
    <mergeCell ref="X1346:AB1346"/>
    <mergeCell ref="AC1346:AG1346"/>
    <mergeCell ref="AH1346:AK1346"/>
    <mergeCell ref="B1343:P1343"/>
    <mergeCell ref="X1343:AB1343"/>
    <mergeCell ref="AC1343:AG1343"/>
    <mergeCell ref="B1344:P1344"/>
    <mergeCell ref="X1344:AB1344"/>
    <mergeCell ref="AC1344:AG1344"/>
    <mergeCell ref="AH1340:AK1340"/>
    <mergeCell ref="B1341:P1341"/>
    <mergeCell ref="X1341:AB1341"/>
    <mergeCell ref="AC1341:AG1341"/>
    <mergeCell ref="AH1341:AK1341"/>
    <mergeCell ref="B1342:P1342"/>
    <mergeCell ref="X1342:AB1342"/>
    <mergeCell ref="AC1342:AG1342"/>
    <mergeCell ref="B1339:P1339"/>
    <mergeCell ref="X1339:AB1339"/>
    <mergeCell ref="AC1339:AG1339"/>
    <mergeCell ref="B1340:P1340"/>
    <mergeCell ref="X1340:AB1340"/>
    <mergeCell ref="AC1340:AG1340"/>
    <mergeCell ref="B1337:P1337"/>
    <mergeCell ref="X1337:AB1337"/>
    <mergeCell ref="AC1337:AG1337"/>
    <mergeCell ref="AH1337:AK1337"/>
    <mergeCell ref="B1338:P1338"/>
    <mergeCell ref="X1338:AB1338"/>
    <mergeCell ref="AC1338:AG1338"/>
    <mergeCell ref="B1335:P1335"/>
    <mergeCell ref="X1335:AB1335"/>
    <mergeCell ref="AC1335:AG1335"/>
    <mergeCell ref="B1336:P1336"/>
    <mergeCell ref="X1336:AB1336"/>
    <mergeCell ref="AC1336:AG1336"/>
    <mergeCell ref="B1333:P1333"/>
    <mergeCell ref="X1333:AB1333"/>
    <mergeCell ref="AC1333:AG1333"/>
    <mergeCell ref="AH1333:AK1333"/>
    <mergeCell ref="B1334:P1334"/>
    <mergeCell ref="X1334:AB1334"/>
    <mergeCell ref="AC1334:AG1334"/>
    <mergeCell ref="B1331:P1331"/>
    <mergeCell ref="X1331:AB1331"/>
    <mergeCell ref="AC1331:AG1331"/>
    <mergeCell ref="AH1331:AK1331"/>
    <mergeCell ref="B1332:P1332"/>
    <mergeCell ref="X1332:AB1332"/>
    <mergeCell ref="AC1332:AG1332"/>
    <mergeCell ref="B1329:P1329"/>
    <mergeCell ref="X1329:AB1329"/>
    <mergeCell ref="AC1329:AG1329"/>
    <mergeCell ref="AH1329:AK1329"/>
    <mergeCell ref="B1330:P1330"/>
    <mergeCell ref="X1330:AB1330"/>
    <mergeCell ref="AC1330:AG1330"/>
    <mergeCell ref="AH1330:AK1330"/>
    <mergeCell ref="AH1326:AK1326"/>
    <mergeCell ref="B1327:P1327"/>
    <mergeCell ref="X1327:AB1327"/>
    <mergeCell ref="AC1327:AG1327"/>
    <mergeCell ref="AH1327:AK1327"/>
    <mergeCell ref="B1328:P1328"/>
    <mergeCell ref="X1328:AB1328"/>
    <mergeCell ref="AC1328:AG1328"/>
    <mergeCell ref="AH1328:AK1328"/>
    <mergeCell ref="B1325:P1325"/>
    <mergeCell ref="X1325:AB1325"/>
    <mergeCell ref="AC1325:AG1325"/>
    <mergeCell ref="B1326:P1326"/>
    <mergeCell ref="X1326:AB1326"/>
    <mergeCell ref="AC1326:AG1326"/>
    <mergeCell ref="AH1322:AK1322"/>
    <mergeCell ref="B1323:P1323"/>
    <mergeCell ref="X1323:AB1323"/>
    <mergeCell ref="AC1323:AG1323"/>
    <mergeCell ref="B1324:P1324"/>
    <mergeCell ref="X1324:AB1324"/>
    <mergeCell ref="AC1324:AG1324"/>
    <mergeCell ref="B1321:P1321"/>
    <mergeCell ref="X1321:AB1321"/>
    <mergeCell ref="AC1321:AG1321"/>
    <mergeCell ref="B1322:P1322"/>
    <mergeCell ref="X1322:AB1322"/>
    <mergeCell ref="AC1322:AG1322"/>
    <mergeCell ref="B1319:P1319"/>
    <mergeCell ref="X1319:AB1319"/>
    <mergeCell ref="AC1319:AG1319"/>
    <mergeCell ref="AH1319:AK1319"/>
    <mergeCell ref="B1320:P1320"/>
    <mergeCell ref="X1320:AB1320"/>
    <mergeCell ref="AC1320:AG1320"/>
    <mergeCell ref="AH1320:AK1320"/>
    <mergeCell ref="B1317:P1317"/>
    <mergeCell ref="X1317:AB1317"/>
    <mergeCell ref="AC1317:AG1317"/>
    <mergeCell ref="AH1317:AK1317"/>
    <mergeCell ref="B1318:P1318"/>
    <mergeCell ref="X1318:AB1318"/>
    <mergeCell ref="AC1318:AG1318"/>
    <mergeCell ref="AH1314:AK1314"/>
    <mergeCell ref="B1315:P1315"/>
    <mergeCell ref="X1315:AB1315"/>
    <mergeCell ref="AC1315:AG1315"/>
    <mergeCell ref="AH1315:AK1315"/>
    <mergeCell ref="B1316:P1316"/>
    <mergeCell ref="X1316:AB1316"/>
    <mergeCell ref="AC1316:AG1316"/>
    <mergeCell ref="B1313:P1313"/>
    <mergeCell ref="X1313:AB1313"/>
    <mergeCell ref="AC1313:AG1313"/>
    <mergeCell ref="B1314:P1314"/>
    <mergeCell ref="X1314:AB1314"/>
    <mergeCell ref="AC1314:AG1314"/>
    <mergeCell ref="B1311:P1311"/>
    <mergeCell ref="X1311:AB1311"/>
    <mergeCell ref="AC1311:AG1311"/>
    <mergeCell ref="AH1311:AK1311"/>
    <mergeCell ref="B1312:P1312"/>
    <mergeCell ref="X1312:AB1312"/>
    <mergeCell ref="AC1312:AG1312"/>
    <mergeCell ref="B1309:P1309"/>
    <mergeCell ref="X1309:AB1309"/>
    <mergeCell ref="AC1309:AG1309"/>
    <mergeCell ref="AH1309:AK1309"/>
    <mergeCell ref="B1310:P1310"/>
    <mergeCell ref="X1310:AB1310"/>
    <mergeCell ref="AC1310:AG1310"/>
    <mergeCell ref="AH1310:AK1310"/>
    <mergeCell ref="B1307:P1307"/>
    <mergeCell ref="X1307:AB1307"/>
    <mergeCell ref="AC1307:AG1307"/>
    <mergeCell ref="B1308:P1308"/>
    <mergeCell ref="X1308:AB1308"/>
    <mergeCell ref="AC1308:AG1308"/>
    <mergeCell ref="B1305:P1305"/>
    <mergeCell ref="X1305:AB1305"/>
    <mergeCell ref="AC1305:AG1305"/>
    <mergeCell ref="AH1305:AK1305"/>
    <mergeCell ref="B1306:P1306"/>
    <mergeCell ref="X1306:AB1306"/>
    <mergeCell ref="AC1306:AG1306"/>
    <mergeCell ref="AH1306:AK1306"/>
    <mergeCell ref="B1303:P1303"/>
    <mergeCell ref="X1303:AB1303"/>
    <mergeCell ref="AC1303:AG1303"/>
    <mergeCell ref="AH1303:AK1303"/>
    <mergeCell ref="B1304:P1304"/>
    <mergeCell ref="X1304:AB1304"/>
    <mergeCell ref="AC1304:AG1304"/>
    <mergeCell ref="AH1304:AK1304"/>
    <mergeCell ref="AH1300:AK1300"/>
    <mergeCell ref="B1301:P1301"/>
    <mergeCell ref="X1301:AB1301"/>
    <mergeCell ref="AC1301:AG1301"/>
    <mergeCell ref="AH1301:AK1301"/>
    <mergeCell ref="B1302:P1302"/>
    <mergeCell ref="X1302:AB1302"/>
    <mergeCell ref="AC1302:AG1302"/>
    <mergeCell ref="B1299:P1299"/>
    <mergeCell ref="X1299:AB1299"/>
    <mergeCell ref="AC1299:AG1299"/>
    <mergeCell ref="B1300:P1300"/>
    <mergeCell ref="X1300:AB1300"/>
    <mergeCell ref="AC1300:AG1300"/>
    <mergeCell ref="AH1296:AK1296"/>
    <mergeCell ref="B1297:P1297"/>
    <mergeCell ref="X1297:AB1297"/>
    <mergeCell ref="AC1297:AG1297"/>
    <mergeCell ref="B1298:P1298"/>
    <mergeCell ref="X1298:AB1298"/>
    <mergeCell ref="AC1298:AG1298"/>
    <mergeCell ref="AH1298:AK1298"/>
    <mergeCell ref="B1295:P1295"/>
    <mergeCell ref="X1295:AB1295"/>
    <mergeCell ref="AC1295:AG1295"/>
    <mergeCell ref="B1296:P1296"/>
    <mergeCell ref="X1296:AB1296"/>
    <mergeCell ref="AC1296:AG1296"/>
    <mergeCell ref="B1293:P1293"/>
    <mergeCell ref="X1293:AB1293"/>
    <mergeCell ref="AC1293:AG1293"/>
    <mergeCell ref="AH1293:AK1293"/>
    <mergeCell ref="B1294:P1294"/>
    <mergeCell ref="X1294:AB1294"/>
    <mergeCell ref="AC1294:AG1294"/>
    <mergeCell ref="AH1294:AK1294"/>
    <mergeCell ref="B1291:P1291"/>
    <mergeCell ref="X1291:AB1291"/>
    <mergeCell ref="AC1291:AG1291"/>
    <mergeCell ref="AH1291:AK1291"/>
    <mergeCell ref="B1292:P1292"/>
    <mergeCell ref="X1292:AB1292"/>
    <mergeCell ref="AC1292:AG1292"/>
    <mergeCell ref="AH1292:AK1292"/>
    <mergeCell ref="AH1288:AK1288"/>
    <mergeCell ref="B1289:P1289"/>
    <mergeCell ref="X1289:AB1289"/>
    <mergeCell ref="AC1289:AG1289"/>
    <mergeCell ref="AH1289:AK1289"/>
    <mergeCell ref="B1290:P1290"/>
    <mergeCell ref="X1290:AB1290"/>
    <mergeCell ref="AC1290:AG1290"/>
    <mergeCell ref="AH1290:AK1290"/>
    <mergeCell ref="B1287:P1287"/>
    <mergeCell ref="X1287:AB1287"/>
    <mergeCell ref="AC1287:AG1287"/>
    <mergeCell ref="B1288:P1288"/>
    <mergeCell ref="X1288:AB1288"/>
    <mergeCell ref="AC1288:AG1288"/>
    <mergeCell ref="B1285:P1285"/>
    <mergeCell ref="X1285:AB1285"/>
    <mergeCell ref="AC1285:AG1285"/>
    <mergeCell ref="AH1285:AK1285"/>
    <mergeCell ref="B1286:P1286"/>
    <mergeCell ref="X1286:AB1286"/>
    <mergeCell ref="AC1286:AG1286"/>
    <mergeCell ref="AH1286:AK1286"/>
    <mergeCell ref="B1283:P1283"/>
    <mergeCell ref="X1283:AB1283"/>
    <mergeCell ref="AC1283:AG1283"/>
    <mergeCell ref="AH1283:AK1283"/>
    <mergeCell ref="B1284:P1284"/>
    <mergeCell ref="X1284:AB1284"/>
    <mergeCell ref="AC1284:AG1284"/>
    <mergeCell ref="B1281:P1281"/>
    <mergeCell ref="Q1281:W1281"/>
    <mergeCell ref="X1281:AB1281"/>
    <mergeCell ref="AC1281:AG1281"/>
    <mergeCell ref="AH1281:AK1281"/>
    <mergeCell ref="B1282:P1282"/>
    <mergeCell ref="Q1282:W1282"/>
    <mergeCell ref="X1282:AB1282"/>
    <mergeCell ref="AC1282:AG1282"/>
    <mergeCell ref="AH1282:AK1282"/>
    <mergeCell ref="B1279:P1279"/>
    <mergeCell ref="Q1279:W1279"/>
    <mergeCell ref="X1279:AB1279"/>
    <mergeCell ref="AC1279:AG1279"/>
    <mergeCell ref="AH1279:AK1279"/>
    <mergeCell ref="B1280:P1280"/>
    <mergeCell ref="Q1280:W1280"/>
    <mergeCell ref="X1280:AB1280"/>
    <mergeCell ref="AC1280:AG1280"/>
    <mergeCell ref="AH1280:AK1280"/>
    <mergeCell ref="B1277:P1277"/>
    <mergeCell ref="Q1277:W1277"/>
    <mergeCell ref="X1277:AB1277"/>
    <mergeCell ref="AC1277:AG1277"/>
    <mergeCell ref="AH1277:AK1277"/>
    <mergeCell ref="B1278:P1278"/>
    <mergeCell ref="Q1278:W1278"/>
    <mergeCell ref="X1278:AB1278"/>
    <mergeCell ref="AC1278:AG1278"/>
    <mergeCell ref="AH1278:AK1278"/>
    <mergeCell ref="B1275:P1275"/>
    <mergeCell ref="Q1275:W1275"/>
    <mergeCell ref="X1275:AB1275"/>
    <mergeCell ref="AC1275:AG1275"/>
    <mergeCell ref="AH1275:AK1275"/>
    <mergeCell ref="B1276:P1276"/>
    <mergeCell ref="Q1276:W1276"/>
    <mergeCell ref="X1276:AB1276"/>
    <mergeCell ref="AC1276:AG1276"/>
    <mergeCell ref="AH1276:AK1276"/>
    <mergeCell ref="B1273:P1273"/>
    <mergeCell ref="Q1273:W1273"/>
    <mergeCell ref="X1273:AB1273"/>
    <mergeCell ref="AC1273:AG1273"/>
    <mergeCell ref="AH1273:AK1273"/>
    <mergeCell ref="B1274:P1274"/>
    <mergeCell ref="Q1274:W1274"/>
    <mergeCell ref="X1274:AB1274"/>
    <mergeCell ref="AC1274:AG1274"/>
    <mergeCell ref="AH1274:AK1274"/>
    <mergeCell ref="B1271:P1271"/>
    <mergeCell ref="Q1271:W1271"/>
    <mergeCell ref="X1271:AB1271"/>
    <mergeCell ref="AC1271:AG1271"/>
    <mergeCell ref="AH1271:AK1271"/>
    <mergeCell ref="B1272:P1272"/>
    <mergeCell ref="Q1272:W1272"/>
    <mergeCell ref="X1272:AB1272"/>
    <mergeCell ref="AC1272:AG1272"/>
    <mergeCell ref="AH1272:AK1272"/>
    <mergeCell ref="B1269:P1269"/>
    <mergeCell ref="Q1269:W1269"/>
    <mergeCell ref="X1269:AB1269"/>
    <mergeCell ref="AC1269:AG1269"/>
    <mergeCell ref="AH1269:AK1269"/>
    <mergeCell ref="B1270:P1270"/>
    <mergeCell ref="Q1270:W1270"/>
    <mergeCell ref="X1270:AB1270"/>
    <mergeCell ref="AC1270:AG1270"/>
    <mergeCell ref="AH1270:AK1270"/>
    <mergeCell ref="B1267:P1267"/>
    <mergeCell ref="Q1267:W1267"/>
    <mergeCell ref="X1267:AB1267"/>
    <mergeCell ref="AC1267:AG1267"/>
    <mergeCell ref="AH1267:AK1267"/>
    <mergeCell ref="B1268:P1268"/>
    <mergeCell ref="Q1268:W1268"/>
    <mergeCell ref="X1268:AB1268"/>
    <mergeCell ref="AC1268:AG1268"/>
    <mergeCell ref="AH1268:AK1268"/>
    <mergeCell ref="B1265:P1265"/>
    <mergeCell ref="Q1265:W1265"/>
    <mergeCell ref="X1265:AB1265"/>
    <mergeCell ref="AC1265:AG1265"/>
    <mergeCell ref="AH1265:AK1265"/>
    <mergeCell ref="B1266:P1266"/>
    <mergeCell ref="Q1266:W1266"/>
    <mergeCell ref="X1266:AB1266"/>
    <mergeCell ref="AC1266:AG1266"/>
    <mergeCell ref="AH1266:AK1266"/>
    <mergeCell ref="B1263:P1263"/>
    <mergeCell ref="Q1263:W1263"/>
    <mergeCell ref="X1263:AB1263"/>
    <mergeCell ref="AC1263:AG1263"/>
    <mergeCell ref="AH1263:AK1263"/>
    <mergeCell ref="B1264:P1264"/>
    <mergeCell ref="Q1264:W1264"/>
    <mergeCell ref="X1264:AB1264"/>
    <mergeCell ref="AC1264:AG1264"/>
    <mergeCell ref="AH1264:AK1264"/>
    <mergeCell ref="B1261:P1261"/>
    <mergeCell ref="Q1261:W1261"/>
    <mergeCell ref="X1261:AB1261"/>
    <mergeCell ref="AC1261:AG1261"/>
    <mergeCell ref="AH1261:AK1261"/>
    <mergeCell ref="B1262:P1262"/>
    <mergeCell ref="Q1262:W1262"/>
    <mergeCell ref="X1262:AB1262"/>
    <mergeCell ref="AC1262:AG1262"/>
    <mergeCell ref="AH1262:AK1262"/>
    <mergeCell ref="B1259:P1259"/>
    <mergeCell ref="Q1259:W1259"/>
    <mergeCell ref="X1259:AB1259"/>
    <mergeCell ref="AC1259:AG1259"/>
    <mergeCell ref="AH1259:AK1259"/>
    <mergeCell ref="B1260:P1260"/>
    <mergeCell ref="Q1260:W1260"/>
    <mergeCell ref="X1260:AB1260"/>
    <mergeCell ref="AC1260:AG1260"/>
    <mergeCell ref="AH1260:AK1260"/>
    <mergeCell ref="B1257:P1257"/>
    <mergeCell ref="Q1257:W1257"/>
    <mergeCell ref="X1257:AB1257"/>
    <mergeCell ref="AC1257:AG1257"/>
    <mergeCell ref="AH1257:AK1257"/>
    <mergeCell ref="B1258:P1258"/>
    <mergeCell ref="Q1258:W1258"/>
    <mergeCell ref="X1258:AB1258"/>
    <mergeCell ref="AC1258:AG1258"/>
    <mergeCell ref="AH1258:AK1258"/>
    <mergeCell ref="B1255:P1255"/>
    <mergeCell ref="Q1255:W1255"/>
    <mergeCell ref="X1255:AB1255"/>
    <mergeCell ref="AC1255:AG1255"/>
    <mergeCell ref="AH1255:AK1255"/>
    <mergeCell ref="B1256:P1256"/>
    <mergeCell ref="Q1256:W1256"/>
    <mergeCell ref="X1256:AB1256"/>
    <mergeCell ref="AC1256:AG1256"/>
    <mergeCell ref="AH1256:AK1256"/>
    <mergeCell ref="B1253:P1253"/>
    <mergeCell ref="Q1253:W1253"/>
    <mergeCell ref="X1253:AB1253"/>
    <mergeCell ref="AC1253:AG1253"/>
    <mergeCell ref="AH1253:AK1253"/>
    <mergeCell ref="B1254:P1254"/>
    <mergeCell ref="Q1254:W1254"/>
    <mergeCell ref="X1254:AB1254"/>
    <mergeCell ref="AC1254:AG1254"/>
    <mergeCell ref="AH1254:AK1254"/>
    <mergeCell ref="B1251:P1251"/>
    <mergeCell ref="Q1251:W1251"/>
    <mergeCell ref="X1251:AB1251"/>
    <mergeCell ref="AC1251:AG1251"/>
    <mergeCell ref="AH1251:AK1251"/>
    <mergeCell ref="B1252:P1252"/>
    <mergeCell ref="Q1252:W1252"/>
    <mergeCell ref="X1252:AB1252"/>
    <mergeCell ref="AC1252:AG1252"/>
    <mergeCell ref="AH1252:AK1252"/>
    <mergeCell ref="B1249:P1249"/>
    <mergeCell ref="Q1249:W1249"/>
    <mergeCell ref="X1249:AB1249"/>
    <mergeCell ref="AC1249:AG1249"/>
    <mergeCell ref="AH1249:AK1249"/>
    <mergeCell ref="B1250:P1250"/>
    <mergeCell ref="Q1250:W1250"/>
    <mergeCell ref="X1250:AB1250"/>
    <mergeCell ref="AC1250:AG1250"/>
    <mergeCell ref="AH1250:AK1250"/>
    <mergeCell ref="B1247:P1247"/>
    <mergeCell ref="Q1247:W1247"/>
    <mergeCell ref="X1247:AB1247"/>
    <mergeCell ref="AC1247:AG1247"/>
    <mergeCell ref="AH1247:AK1247"/>
    <mergeCell ref="B1248:P1248"/>
    <mergeCell ref="Q1248:W1248"/>
    <mergeCell ref="X1248:AB1248"/>
    <mergeCell ref="AC1248:AG1248"/>
    <mergeCell ref="AH1248:AK1248"/>
    <mergeCell ref="B1245:P1245"/>
    <mergeCell ref="Q1245:W1245"/>
    <mergeCell ref="X1245:AB1245"/>
    <mergeCell ref="AC1245:AG1245"/>
    <mergeCell ref="AH1245:AK1245"/>
    <mergeCell ref="B1246:P1246"/>
    <mergeCell ref="Q1246:W1246"/>
    <mergeCell ref="X1246:AB1246"/>
    <mergeCell ref="AC1246:AG1246"/>
    <mergeCell ref="AH1246:AK1246"/>
    <mergeCell ref="B1243:P1243"/>
    <mergeCell ref="Q1243:W1243"/>
    <mergeCell ref="X1243:AB1243"/>
    <mergeCell ref="AC1243:AG1243"/>
    <mergeCell ref="AH1243:AK1243"/>
    <mergeCell ref="B1244:P1244"/>
    <mergeCell ref="Q1244:W1244"/>
    <mergeCell ref="X1244:AB1244"/>
    <mergeCell ref="AC1244:AG1244"/>
    <mergeCell ref="AH1244:AK1244"/>
    <mergeCell ref="B1241:P1241"/>
    <mergeCell ref="Q1241:W1241"/>
    <mergeCell ref="X1241:AB1241"/>
    <mergeCell ref="AC1241:AG1241"/>
    <mergeCell ref="AH1241:AK1241"/>
    <mergeCell ref="B1242:P1242"/>
    <mergeCell ref="Q1242:W1242"/>
    <mergeCell ref="X1242:AB1242"/>
    <mergeCell ref="AC1242:AG1242"/>
    <mergeCell ref="AH1242:AK1242"/>
    <mergeCell ref="B1239:P1239"/>
    <mergeCell ref="Q1239:W1239"/>
    <mergeCell ref="X1239:AB1239"/>
    <mergeCell ref="AC1239:AG1239"/>
    <mergeCell ref="AH1239:AK1239"/>
    <mergeCell ref="B1240:P1240"/>
    <mergeCell ref="Q1240:W1240"/>
    <mergeCell ref="X1240:AB1240"/>
    <mergeCell ref="AC1240:AG1240"/>
    <mergeCell ref="AH1240:AK1240"/>
    <mergeCell ref="B1237:P1237"/>
    <mergeCell ref="Q1237:W1237"/>
    <mergeCell ref="X1237:AB1237"/>
    <mergeCell ref="AC1237:AG1237"/>
    <mergeCell ref="AH1237:AK1237"/>
    <mergeCell ref="B1238:P1238"/>
    <mergeCell ref="Q1238:W1238"/>
    <mergeCell ref="X1238:AB1238"/>
    <mergeCell ref="AC1238:AG1238"/>
    <mergeCell ref="AH1238:AK1238"/>
    <mergeCell ref="B1235:P1235"/>
    <mergeCell ref="Q1235:W1235"/>
    <mergeCell ref="X1235:AB1235"/>
    <mergeCell ref="AC1235:AG1235"/>
    <mergeCell ref="AH1235:AK1235"/>
    <mergeCell ref="B1236:P1236"/>
    <mergeCell ref="Q1236:W1236"/>
    <mergeCell ref="X1236:AB1236"/>
    <mergeCell ref="AC1236:AG1236"/>
    <mergeCell ref="AH1236:AK1236"/>
    <mergeCell ref="B1233:P1233"/>
    <mergeCell ref="Q1233:W1233"/>
    <mergeCell ref="X1233:AB1233"/>
    <mergeCell ref="AC1233:AG1233"/>
    <mergeCell ref="AH1233:AK1233"/>
    <mergeCell ref="B1234:P1234"/>
    <mergeCell ref="Q1234:W1234"/>
    <mergeCell ref="X1234:AB1234"/>
    <mergeCell ref="AC1234:AG1234"/>
    <mergeCell ref="AH1234:AK1234"/>
    <mergeCell ref="B1231:P1231"/>
    <mergeCell ref="Q1231:W1231"/>
    <mergeCell ref="X1231:AB1231"/>
    <mergeCell ref="AC1231:AG1231"/>
    <mergeCell ref="AH1231:AK1231"/>
    <mergeCell ref="B1232:P1232"/>
    <mergeCell ref="Q1232:W1232"/>
    <mergeCell ref="X1232:AB1232"/>
    <mergeCell ref="AC1232:AG1232"/>
    <mergeCell ref="AH1232:AK1232"/>
    <mergeCell ref="B1229:P1229"/>
    <mergeCell ref="Q1229:W1229"/>
    <mergeCell ref="X1229:AB1229"/>
    <mergeCell ref="AC1229:AG1229"/>
    <mergeCell ref="AH1229:AK1229"/>
    <mergeCell ref="B1230:P1230"/>
    <mergeCell ref="Q1230:W1230"/>
    <mergeCell ref="X1230:AB1230"/>
    <mergeCell ref="AC1230:AG1230"/>
    <mergeCell ref="AH1230:AK1230"/>
    <mergeCell ref="B1227:P1227"/>
    <mergeCell ref="Q1227:W1227"/>
    <mergeCell ref="X1227:AB1227"/>
    <mergeCell ref="AC1227:AG1227"/>
    <mergeCell ref="AH1227:AK1227"/>
    <mergeCell ref="B1228:P1228"/>
    <mergeCell ref="Q1228:W1228"/>
    <mergeCell ref="X1228:AB1228"/>
    <mergeCell ref="AC1228:AG1228"/>
    <mergeCell ref="AH1228:AK1228"/>
    <mergeCell ref="B1225:P1225"/>
    <mergeCell ref="Q1225:W1225"/>
    <mergeCell ref="X1225:AB1225"/>
    <mergeCell ref="AC1225:AG1225"/>
    <mergeCell ref="AH1225:AK1225"/>
    <mergeCell ref="B1226:P1226"/>
    <mergeCell ref="Q1226:W1226"/>
    <mergeCell ref="X1226:AB1226"/>
    <mergeCell ref="AC1226:AG1226"/>
    <mergeCell ref="AH1226:AK1226"/>
    <mergeCell ref="B1223:P1223"/>
    <mergeCell ref="Q1223:W1223"/>
    <mergeCell ref="X1223:AB1223"/>
    <mergeCell ref="AC1223:AG1223"/>
    <mergeCell ref="AH1223:AK1223"/>
    <mergeCell ref="B1224:P1224"/>
    <mergeCell ref="Q1224:W1224"/>
    <mergeCell ref="X1224:AB1224"/>
    <mergeCell ref="AC1224:AG1224"/>
    <mergeCell ref="AH1224:AK1224"/>
    <mergeCell ref="B1221:P1221"/>
    <mergeCell ref="Q1221:W1221"/>
    <mergeCell ref="X1221:AB1221"/>
    <mergeCell ref="AC1221:AG1221"/>
    <mergeCell ref="AH1221:AK1221"/>
    <mergeCell ref="B1222:P1222"/>
    <mergeCell ref="Q1222:W1222"/>
    <mergeCell ref="X1222:AB1222"/>
    <mergeCell ref="AC1222:AG1222"/>
    <mergeCell ref="AH1222:AK1222"/>
    <mergeCell ref="B1219:P1219"/>
    <mergeCell ref="Q1219:W1219"/>
    <mergeCell ref="X1219:AB1219"/>
    <mergeCell ref="AC1219:AG1219"/>
    <mergeCell ref="AH1219:AK1219"/>
    <mergeCell ref="B1220:P1220"/>
    <mergeCell ref="Q1220:W1220"/>
    <mergeCell ref="X1220:AB1220"/>
    <mergeCell ref="AC1220:AG1220"/>
    <mergeCell ref="AH1220:AK1220"/>
    <mergeCell ref="B1217:P1217"/>
    <mergeCell ref="Q1217:W1217"/>
    <mergeCell ref="X1217:AB1217"/>
    <mergeCell ref="AC1217:AG1217"/>
    <mergeCell ref="AH1217:AK1217"/>
    <mergeCell ref="B1218:P1218"/>
    <mergeCell ref="Q1218:W1218"/>
    <mergeCell ref="X1218:AB1218"/>
    <mergeCell ref="AC1218:AG1218"/>
    <mergeCell ref="AH1218:AK1218"/>
    <mergeCell ref="B1215:P1215"/>
    <mergeCell ref="Q1215:W1215"/>
    <mergeCell ref="X1215:AB1215"/>
    <mergeCell ref="AC1215:AG1215"/>
    <mergeCell ref="AH1215:AK1215"/>
    <mergeCell ref="B1216:P1216"/>
    <mergeCell ref="Q1216:W1216"/>
    <mergeCell ref="X1216:AB1216"/>
    <mergeCell ref="AC1216:AG1216"/>
    <mergeCell ref="AH1216:AK1216"/>
    <mergeCell ref="B1213:P1213"/>
    <mergeCell ref="Q1213:W1213"/>
    <mergeCell ref="X1213:AB1213"/>
    <mergeCell ref="AC1213:AG1213"/>
    <mergeCell ref="AH1213:AK1213"/>
    <mergeCell ref="B1214:P1214"/>
    <mergeCell ref="Q1214:W1214"/>
    <mergeCell ref="X1214:AB1214"/>
    <mergeCell ref="AC1214:AG1214"/>
    <mergeCell ref="AH1214:AK1214"/>
    <mergeCell ref="B1211:P1211"/>
    <mergeCell ref="Q1211:W1211"/>
    <mergeCell ref="X1211:AB1211"/>
    <mergeCell ref="AC1211:AG1211"/>
    <mergeCell ref="AH1211:AK1211"/>
    <mergeCell ref="B1212:P1212"/>
    <mergeCell ref="Q1212:W1212"/>
    <mergeCell ref="X1212:AB1212"/>
    <mergeCell ref="AC1212:AG1212"/>
    <mergeCell ref="AH1212:AK1212"/>
    <mergeCell ref="B1209:P1209"/>
    <mergeCell ref="Q1209:W1209"/>
    <mergeCell ref="X1209:AB1209"/>
    <mergeCell ref="AC1209:AG1209"/>
    <mergeCell ref="AH1209:AK1209"/>
    <mergeCell ref="B1210:P1210"/>
    <mergeCell ref="Q1210:W1210"/>
    <mergeCell ref="X1210:AB1210"/>
    <mergeCell ref="AC1210:AG1210"/>
    <mergeCell ref="AH1210:AK1210"/>
    <mergeCell ref="B1207:P1207"/>
    <mergeCell ref="Q1207:W1207"/>
    <mergeCell ref="X1207:AB1207"/>
    <mergeCell ref="AC1207:AG1207"/>
    <mergeCell ref="AH1207:AK1207"/>
    <mergeCell ref="B1208:P1208"/>
    <mergeCell ref="Q1208:W1208"/>
    <mergeCell ref="X1208:AB1208"/>
    <mergeCell ref="AC1208:AG1208"/>
    <mergeCell ref="AH1208:AK1208"/>
    <mergeCell ref="B1205:P1205"/>
    <mergeCell ref="Q1205:W1205"/>
    <mergeCell ref="X1205:AB1205"/>
    <mergeCell ref="AC1205:AG1205"/>
    <mergeCell ref="AH1205:AK1205"/>
    <mergeCell ref="B1206:P1206"/>
    <mergeCell ref="Q1206:W1206"/>
    <mergeCell ref="X1206:AB1206"/>
    <mergeCell ref="AC1206:AG1206"/>
    <mergeCell ref="AH1206:AK1206"/>
    <mergeCell ref="B1203:P1203"/>
    <mergeCell ref="Q1203:W1203"/>
    <mergeCell ref="X1203:AB1203"/>
    <mergeCell ref="AC1203:AG1203"/>
    <mergeCell ref="AH1203:AK1203"/>
    <mergeCell ref="B1204:P1204"/>
    <mergeCell ref="Q1204:W1204"/>
    <mergeCell ref="X1204:AB1204"/>
    <mergeCell ref="AC1204:AG1204"/>
    <mergeCell ref="AH1204:AK1204"/>
    <mergeCell ref="B1201:P1201"/>
    <mergeCell ref="Q1201:W1201"/>
    <mergeCell ref="X1201:AB1201"/>
    <mergeCell ref="AC1201:AG1201"/>
    <mergeCell ref="AH1201:AK1201"/>
    <mergeCell ref="B1202:P1202"/>
    <mergeCell ref="Q1202:W1202"/>
    <mergeCell ref="X1202:AB1202"/>
    <mergeCell ref="AC1202:AG1202"/>
    <mergeCell ref="AH1202:AK1202"/>
    <mergeCell ref="B1199:P1199"/>
    <mergeCell ref="Q1199:W1199"/>
    <mergeCell ref="X1199:AB1199"/>
    <mergeCell ref="AC1199:AG1199"/>
    <mergeCell ref="AH1199:AK1199"/>
    <mergeCell ref="B1200:P1200"/>
    <mergeCell ref="Q1200:W1200"/>
    <mergeCell ref="X1200:AB1200"/>
    <mergeCell ref="AC1200:AG1200"/>
    <mergeCell ref="AH1200:AK1200"/>
    <mergeCell ref="B1197:P1197"/>
    <mergeCell ref="Q1197:W1197"/>
    <mergeCell ref="X1197:AB1197"/>
    <mergeCell ref="AC1197:AG1197"/>
    <mergeCell ref="AH1197:AK1197"/>
    <mergeCell ref="B1198:P1198"/>
    <mergeCell ref="Q1198:W1198"/>
    <mergeCell ref="X1198:AB1198"/>
    <mergeCell ref="AC1198:AG1198"/>
    <mergeCell ref="AH1198:AK1198"/>
    <mergeCell ref="B1195:P1195"/>
    <mergeCell ref="Q1195:W1195"/>
    <mergeCell ref="X1195:AB1195"/>
    <mergeCell ref="AC1195:AG1195"/>
    <mergeCell ref="AH1195:AK1195"/>
    <mergeCell ref="B1196:P1196"/>
    <mergeCell ref="Q1196:W1196"/>
    <mergeCell ref="X1196:AB1196"/>
    <mergeCell ref="AC1196:AG1196"/>
    <mergeCell ref="AH1196:AK1196"/>
    <mergeCell ref="B1193:P1193"/>
    <mergeCell ref="Q1193:W1193"/>
    <mergeCell ref="X1193:AB1193"/>
    <mergeCell ref="AC1193:AG1193"/>
    <mergeCell ref="AH1193:AK1193"/>
    <mergeCell ref="B1194:P1194"/>
    <mergeCell ref="Q1194:W1194"/>
    <mergeCell ref="X1194:AB1194"/>
    <mergeCell ref="AC1194:AG1194"/>
    <mergeCell ref="AH1194:AK1194"/>
    <mergeCell ref="B1191:P1191"/>
    <mergeCell ref="Q1191:W1191"/>
    <mergeCell ref="X1191:AB1191"/>
    <mergeCell ref="AC1191:AG1191"/>
    <mergeCell ref="AH1191:AK1191"/>
    <mergeCell ref="B1192:P1192"/>
    <mergeCell ref="Q1192:W1192"/>
    <mergeCell ref="X1192:AB1192"/>
    <mergeCell ref="AC1192:AG1192"/>
    <mergeCell ref="AH1192:AK1192"/>
    <mergeCell ref="B1189:P1189"/>
    <mergeCell ref="Q1189:W1189"/>
    <mergeCell ref="X1189:AB1189"/>
    <mergeCell ref="AC1189:AG1189"/>
    <mergeCell ref="AH1189:AK1189"/>
    <mergeCell ref="B1190:P1190"/>
    <mergeCell ref="Q1190:W1190"/>
    <mergeCell ref="X1190:AB1190"/>
    <mergeCell ref="AC1190:AG1190"/>
    <mergeCell ref="AH1190:AK1190"/>
    <mergeCell ref="B1187:P1187"/>
    <mergeCell ref="Q1187:W1187"/>
    <mergeCell ref="X1187:AB1187"/>
    <mergeCell ref="AC1187:AG1187"/>
    <mergeCell ref="AH1187:AK1187"/>
    <mergeCell ref="B1188:P1188"/>
    <mergeCell ref="Q1188:W1188"/>
    <mergeCell ref="X1188:AB1188"/>
    <mergeCell ref="AC1188:AG1188"/>
    <mergeCell ref="AH1188:AK1188"/>
    <mergeCell ref="B1185:P1185"/>
    <mergeCell ref="Q1185:W1185"/>
    <mergeCell ref="X1185:AB1185"/>
    <mergeCell ref="AC1185:AG1185"/>
    <mergeCell ref="AH1185:AK1185"/>
    <mergeCell ref="B1186:P1186"/>
    <mergeCell ref="Q1186:W1186"/>
    <mergeCell ref="X1186:AB1186"/>
    <mergeCell ref="AC1186:AG1186"/>
    <mergeCell ref="AH1186:AK1186"/>
    <mergeCell ref="B1183:P1183"/>
    <mergeCell ref="Q1183:W1183"/>
    <mergeCell ref="X1183:AB1183"/>
    <mergeCell ref="AC1183:AG1183"/>
    <mergeCell ref="AH1183:AK1183"/>
    <mergeCell ref="B1184:P1184"/>
    <mergeCell ref="Q1184:W1184"/>
    <mergeCell ref="X1184:AB1184"/>
    <mergeCell ref="AC1184:AG1184"/>
    <mergeCell ref="AH1184:AK1184"/>
    <mergeCell ref="B1181:P1181"/>
    <mergeCell ref="Q1181:W1181"/>
    <mergeCell ref="X1181:AB1181"/>
    <mergeCell ref="AC1181:AG1181"/>
    <mergeCell ref="AH1181:AK1181"/>
    <mergeCell ref="B1182:P1182"/>
    <mergeCell ref="Q1182:W1182"/>
    <mergeCell ref="X1182:AB1182"/>
    <mergeCell ref="AC1182:AG1182"/>
    <mergeCell ref="AH1182:AK1182"/>
    <mergeCell ref="B1179:P1179"/>
    <mergeCell ref="Q1179:W1179"/>
    <mergeCell ref="X1179:AB1179"/>
    <mergeCell ref="AC1179:AG1179"/>
    <mergeCell ref="AH1179:AK1179"/>
    <mergeCell ref="B1180:P1180"/>
    <mergeCell ref="Q1180:W1180"/>
    <mergeCell ref="X1180:AB1180"/>
    <mergeCell ref="AC1180:AG1180"/>
    <mergeCell ref="AH1180:AK1180"/>
    <mergeCell ref="B1177:P1177"/>
    <mergeCell ref="Q1177:W1177"/>
    <mergeCell ref="X1177:AB1177"/>
    <mergeCell ref="AC1177:AG1177"/>
    <mergeCell ref="AH1177:AK1177"/>
    <mergeCell ref="B1178:P1178"/>
    <mergeCell ref="Q1178:W1178"/>
    <mergeCell ref="X1178:AB1178"/>
    <mergeCell ref="AC1178:AG1178"/>
    <mergeCell ref="AH1178:AK1178"/>
    <mergeCell ref="B1175:P1175"/>
    <mergeCell ref="Q1175:W1175"/>
    <mergeCell ref="X1175:AB1175"/>
    <mergeCell ref="AC1175:AG1175"/>
    <mergeCell ref="AH1175:AK1175"/>
    <mergeCell ref="B1176:P1176"/>
    <mergeCell ref="Q1176:W1176"/>
    <mergeCell ref="X1176:AB1176"/>
    <mergeCell ref="AC1176:AG1176"/>
    <mergeCell ref="AH1176:AK1176"/>
    <mergeCell ref="B1173:P1173"/>
    <mergeCell ref="Q1173:W1173"/>
    <mergeCell ref="X1173:AB1173"/>
    <mergeCell ref="AC1173:AG1173"/>
    <mergeCell ref="AH1173:AK1173"/>
    <mergeCell ref="B1174:P1174"/>
    <mergeCell ref="Q1174:W1174"/>
    <mergeCell ref="X1174:AB1174"/>
    <mergeCell ref="AC1174:AG1174"/>
    <mergeCell ref="AH1174:AK1174"/>
    <mergeCell ref="B1171:P1171"/>
    <mergeCell ref="Q1171:W1171"/>
    <mergeCell ref="X1171:AB1171"/>
    <mergeCell ref="AC1171:AG1171"/>
    <mergeCell ref="AH1171:AK1171"/>
    <mergeCell ref="B1172:P1172"/>
    <mergeCell ref="Q1172:W1172"/>
    <mergeCell ref="X1172:AB1172"/>
    <mergeCell ref="AC1172:AG1172"/>
    <mergeCell ref="AH1172:AK1172"/>
    <mergeCell ref="B1169:P1169"/>
    <mergeCell ref="Q1169:W1169"/>
    <mergeCell ref="X1169:AB1169"/>
    <mergeCell ref="AC1169:AG1169"/>
    <mergeCell ref="AH1169:AK1169"/>
    <mergeCell ref="B1170:P1170"/>
    <mergeCell ref="Q1170:W1170"/>
    <mergeCell ref="X1170:AB1170"/>
    <mergeCell ref="AC1170:AG1170"/>
    <mergeCell ref="AH1170:AK1170"/>
    <mergeCell ref="B1167:P1167"/>
    <mergeCell ref="Q1167:W1167"/>
    <mergeCell ref="X1167:AB1167"/>
    <mergeCell ref="AC1167:AG1167"/>
    <mergeCell ref="AH1167:AK1167"/>
    <mergeCell ref="B1168:P1168"/>
    <mergeCell ref="Q1168:W1168"/>
    <mergeCell ref="X1168:AB1168"/>
    <mergeCell ref="AC1168:AG1168"/>
    <mergeCell ref="AH1168:AK1168"/>
    <mergeCell ref="B1165:P1165"/>
    <mergeCell ref="Q1165:W1165"/>
    <mergeCell ref="X1165:AB1165"/>
    <mergeCell ref="AC1165:AG1165"/>
    <mergeCell ref="AH1165:AK1165"/>
    <mergeCell ref="B1166:P1166"/>
    <mergeCell ref="Q1166:W1166"/>
    <mergeCell ref="X1166:AB1166"/>
    <mergeCell ref="AC1166:AG1166"/>
    <mergeCell ref="AH1166:AK1166"/>
    <mergeCell ref="B1163:P1163"/>
    <mergeCell ref="Q1163:W1163"/>
    <mergeCell ref="X1163:AB1163"/>
    <mergeCell ref="AC1163:AG1163"/>
    <mergeCell ref="AH1163:AK1163"/>
    <mergeCell ref="B1164:P1164"/>
    <mergeCell ref="Q1164:W1164"/>
    <mergeCell ref="X1164:AB1164"/>
    <mergeCell ref="AC1164:AG1164"/>
    <mergeCell ref="AH1164:AK1164"/>
    <mergeCell ref="B1161:P1161"/>
    <mergeCell ref="Q1161:W1161"/>
    <mergeCell ref="X1161:AB1161"/>
    <mergeCell ref="AC1161:AG1161"/>
    <mergeCell ref="AH1161:AK1161"/>
    <mergeCell ref="B1162:P1162"/>
    <mergeCell ref="Q1162:W1162"/>
    <mergeCell ref="X1162:AB1162"/>
    <mergeCell ref="AC1162:AG1162"/>
    <mergeCell ref="AH1162:AK1162"/>
    <mergeCell ref="B1159:P1159"/>
    <mergeCell ref="Q1159:W1159"/>
    <mergeCell ref="X1159:AB1159"/>
    <mergeCell ref="AC1159:AG1159"/>
    <mergeCell ref="AH1159:AK1159"/>
    <mergeCell ref="B1160:P1160"/>
    <mergeCell ref="Q1160:W1160"/>
    <mergeCell ref="X1160:AB1160"/>
    <mergeCell ref="AC1160:AG1160"/>
    <mergeCell ref="AH1160:AK1160"/>
    <mergeCell ref="B1157:P1157"/>
    <mergeCell ref="Q1157:W1157"/>
    <mergeCell ref="X1157:AB1157"/>
    <mergeCell ref="AC1157:AG1157"/>
    <mergeCell ref="AH1157:AK1157"/>
    <mergeCell ref="B1158:P1158"/>
    <mergeCell ref="Q1158:W1158"/>
    <mergeCell ref="X1158:AB1158"/>
    <mergeCell ref="AC1158:AG1158"/>
    <mergeCell ref="AH1158:AK1158"/>
    <mergeCell ref="B1155:P1155"/>
    <mergeCell ref="Q1155:W1155"/>
    <mergeCell ref="X1155:AB1155"/>
    <mergeCell ref="AC1155:AG1155"/>
    <mergeCell ref="AH1155:AK1155"/>
    <mergeCell ref="B1156:P1156"/>
    <mergeCell ref="Q1156:W1156"/>
    <mergeCell ref="X1156:AB1156"/>
    <mergeCell ref="AC1156:AG1156"/>
    <mergeCell ref="AH1156:AK1156"/>
    <mergeCell ref="B1153:P1153"/>
    <mergeCell ref="Q1153:W1153"/>
    <mergeCell ref="X1153:AB1153"/>
    <mergeCell ref="AC1153:AG1153"/>
    <mergeCell ref="AH1153:AK1153"/>
    <mergeCell ref="B1154:P1154"/>
    <mergeCell ref="Q1154:W1154"/>
    <mergeCell ref="X1154:AB1154"/>
    <mergeCell ref="AC1154:AG1154"/>
    <mergeCell ref="AH1154:AK1154"/>
    <mergeCell ref="B1151:P1151"/>
    <mergeCell ref="Q1151:W1151"/>
    <mergeCell ref="X1151:AB1151"/>
    <mergeCell ref="AC1151:AG1151"/>
    <mergeCell ref="AH1151:AK1151"/>
    <mergeCell ref="B1152:P1152"/>
    <mergeCell ref="Q1152:W1152"/>
    <mergeCell ref="X1152:AB1152"/>
    <mergeCell ref="AC1152:AG1152"/>
    <mergeCell ref="AH1152:AK1152"/>
    <mergeCell ref="B1149:P1149"/>
    <mergeCell ref="Q1149:W1149"/>
    <mergeCell ref="X1149:AB1149"/>
    <mergeCell ref="AC1149:AG1149"/>
    <mergeCell ref="AH1149:AK1149"/>
    <mergeCell ref="B1150:P1150"/>
    <mergeCell ref="Q1150:W1150"/>
    <mergeCell ref="X1150:AB1150"/>
    <mergeCell ref="AC1150:AG1150"/>
    <mergeCell ref="AH1150:AK1150"/>
    <mergeCell ref="B1147:P1147"/>
    <mergeCell ref="Q1147:W1147"/>
    <mergeCell ref="X1147:AB1147"/>
    <mergeCell ref="AC1147:AG1147"/>
    <mergeCell ref="AH1147:AK1147"/>
    <mergeCell ref="B1148:P1148"/>
    <mergeCell ref="Q1148:W1148"/>
    <mergeCell ref="X1148:AB1148"/>
    <mergeCell ref="AC1148:AG1148"/>
    <mergeCell ref="AH1148:AK1148"/>
    <mergeCell ref="B1145:P1145"/>
    <mergeCell ref="Q1145:W1145"/>
    <mergeCell ref="X1145:AB1145"/>
    <mergeCell ref="AC1145:AG1145"/>
    <mergeCell ref="AH1145:AK1145"/>
    <mergeCell ref="B1146:P1146"/>
    <mergeCell ref="Q1146:W1146"/>
    <mergeCell ref="X1146:AB1146"/>
    <mergeCell ref="AC1146:AG1146"/>
    <mergeCell ref="AH1146:AK1146"/>
    <mergeCell ref="B1143:P1143"/>
    <mergeCell ref="Q1143:W1143"/>
    <mergeCell ref="X1143:AB1143"/>
    <mergeCell ref="AC1143:AG1143"/>
    <mergeCell ref="AH1143:AK1143"/>
    <mergeCell ref="B1144:P1144"/>
    <mergeCell ref="Q1144:W1144"/>
    <mergeCell ref="X1144:AB1144"/>
    <mergeCell ref="AC1144:AG1144"/>
    <mergeCell ref="AH1144:AK1144"/>
    <mergeCell ref="B1141:P1141"/>
    <mergeCell ref="Q1141:W1141"/>
    <mergeCell ref="X1141:AB1141"/>
    <mergeCell ref="AC1141:AG1141"/>
    <mergeCell ref="AH1141:AK1141"/>
    <mergeCell ref="B1142:P1142"/>
    <mergeCell ref="Q1142:W1142"/>
    <mergeCell ref="X1142:AB1142"/>
    <mergeCell ref="AC1142:AG1142"/>
    <mergeCell ref="AH1142:AK1142"/>
    <mergeCell ref="B1139:P1139"/>
    <mergeCell ref="Q1139:W1139"/>
    <mergeCell ref="X1139:AB1139"/>
    <mergeCell ref="AC1139:AG1139"/>
    <mergeCell ref="AH1139:AK1139"/>
    <mergeCell ref="B1140:P1140"/>
    <mergeCell ref="Q1140:W1140"/>
    <mergeCell ref="X1140:AB1140"/>
    <mergeCell ref="AC1140:AG1140"/>
    <mergeCell ref="AH1140:AK1140"/>
    <mergeCell ref="B1137:P1137"/>
    <mergeCell ref="Q1137:W1137"/>
    <mergeCell ref="X1137:AB1137"/>
    <mergeCell ref="AC1137:AG1137"/>
    <mergeCell ref="AH1137:AK1137"/>
    <mergeCell ref="B1138:P1138"/>
    <mergeCell ref="Q1138:W1138"/>
    <mergeCell ref="X1138:AB1138"/>
    <mergeCell ref="AC1138:AG1138"/>
    <mergeCell ref="AH1138:AK1138"/>
    <mergeCell ref="B1135:P1135"/>
    <mergeCell ref="Q1135:W1135"/>
    <mergeCell ref="X1135:AB1135"/>
    <mergeCell ref="AC1135:AG1135"/>
    <mergeCell ref="AH1135:AK1135"/>
    <mergeCell ref="B1136:P1136"/>
    <mergeCell ref="Q1136:W1136"/>
    <mergeCell ref="X1136:AB1136"/>
    <mergeCell ref="AC1136:AG1136"/>
    <mergeCell ref="AH1136:AK1136"/>
    <mergeCell ref="B1133:P1133"/>
    <mergeCell ref="Q1133:W1133"/>
    <mergeCell ref="X1133:AB1133"/>
    <mergeCell ref="AC1133:AG1133"/>
    <mergeCell ref="AH1133:AK1133"/>
    <mergeCell ref="B1134:P1134"/>
    <mergeCell ref="Q1134:W1134"/>
    <mergeCell ref="X1134:AB1134"/>
    <mergeCell ref="AC1134:AG1134"/>
    <mergeCell ref="AH1134:AK1134"/>
    <mergeCell ref="B1131:P1131"/>
    <mergeCell ref="Q1131:W1131"/>
    <mergeCell ref="X1131:AB1131"/>
    <mergeCell ref="AC1131:AG1131"/>
    <mergeCell ref="AH1131:AK1131"/>
    <mergeCell ref="B1132:P1132"/>
    <mergeCell ref="Q1132:W1132"/>
    <mergeCell ref="X1132:AB1132"/>
    <mergeCell ref="AC1132:AG1132"/>
    <mergeCell ref="AH1132:AK1132"/>
    <mergeCell ref="B1129:P1129"/>
    <mergeCell ref="Q1129:W1129"/>
    <mergeCell ref="X1129:AB1129"/>
    <mergeCell ref="AC1129:AG1129"/>
    <mergeCell ref="AH1129:AK1129"/>
    <mergeCell ref="B1130:P1130"/>
    <mergeCell ref="Q1130:W1130"/>
    <mergeCell ref="X1130:AB1130"/>
    <mergeCell ref="AC1130:AG1130"/>
    <mergeCell ref="AH1130:AK1130"/>
    <mergeCell ref="B1127:P1127"/>
    <mergeCell ref="Q1127:W1127"/>
    <mergeCell ref="X1127:AB1127"/>
    <mergeCell ref="AC1127:AG1127"/>
    <mergeCell ref="AH1127:AK1127"/>
    <mergeCell ref="B1128:P1128"/>
    <mergeCell ref="Q1128:W1128"/>
    <mergeCell ref="X1128:AB1128"/>
    <mergeCell ref="AC1128:AG1128"/>
    <mergeCell ref="AH1128:AK1128"/>
    <mergeCell ref="B1125:P1125"/>
    <mergeCell ref="Q1125:W1125"/>
    <mergeCell ref="X1125:AB1125"/>
    <mergeCell ref="AC1125:AG1125"/>
    <mergeCell ref="AH1125:AK1125"/>
    <mergeCell ref="B1126:P1126"/>
    <mergeCell ref="Q1126:W1126"/>
    <mergeCell ref="X1126:AB1126"/>
    <mergeCell ref="AC1126:AG1126"/>
    <mergeCell ref="AH1126:AK1126"/>
    <mergeCell ref="B1123:P1123"/>
    <mergeCell ref="Q1123:W1123"/>
    <mergeCell ref="X1123:AB1123"/>
    <mergeCell ref="AC1123:AG1123"/>
    <mergeCell ref="AH1123:AK1123"/>
    <mergeCell ref="B1124:P1124"/>
    <mergeCell ref="Q1124:W1124"/>
    <mergeCell ref="X1124:AB1124"/>
    <mergeCell ref="AC1124:AG1124"/>
    <mergeCell ref="AH1124:AK1124"/>
    <mergeCell ref="B1121:P1121"/>
    <mergeCell ref="Q1121:W1121"/>
    <mergeCell ref="X1121:AB1121"/>
    <mergeCell ref="AC1121:AG1121"/>
    <mergeCell ref="AH1121:AK1121"/>
    <mergeCell ref="B1122:P1122"/>
    <mergeCell ref="Q1122:W1122"/>
    <mergeCell ref="X1122:AB1122"/>
    <mergeCell ref="AC1122:AG1122"/>
    <mergeCell ref="AH1122:AK1122"/>
    <mergeCell ref="B1119:P1119"/>
    <mergeCell ref="Q1119:W1119"/>
    <mergeCell ref="X1119:AB1119"/>
    <mergeCell ref="AC1119:AG1119"/>
    <mergeCell ref="AH1119:AK1119"/>
    <mergeCell ref="B1120:P1120"/>
    <mergeCell ref="Q1120:W1120"/>
    <mergeCell ref="X1120:AB1120"/>
    <mergeCell ref="AC1120:AG1120"/>
    <mergeCell ref="AH1120:AK1120"/>
    <mergeCell ref="B1117:P1117"/>
    <mergeCell ref="Q1117:W1117"/>
    <mergeCell ref="X1117:AB1117"/>
    <mergeCell ref="AC1117:AG1117"/>
    <mergeCell ref="AH1117:AK1117"/>
    <mergeCell ref="B1118:P1118"/>
    <mergeCell ref="Q1118:W1118"/>
    <mergeCell ref="X1118:AB1118"/>
    <mergeCell ref="AC1118:AG1118"/>
    <mergeCell ref="AH1118:AK1118"/>
    <mergeCell ref="B1115:P1115"/>
    <mergeCell ref="Q1115:W1115"/>
    <mergeCell ref="X1115:AB1115"/>
    <mergeCell ref="AC1115:AG1115"/>
    <mergeCell ref="AH1115:AK1115"/>
    <mergeCell ref="B1116:P1116"/>
    <mergeCell ref="Q1116:W1116"/>
    <mergeCell ref="X1116:AB1116"/>
    <mergeCell ref="AC1116:AG1116"/>
    <mergeCell ref="AH1116:AK1116"/>
    <mergeCell ref="B1113:P1113"/>
    <mergeCell ref="Q1113:W1113"/>
    <mergeCell ref="X1113:AB1113"/>
    <mergeCell ref="AC1113:AG1113"/>
    <mergeCell ref="AH1113:AK1113"/>
    <mergeCell ref="B1114:P1114"/>
    <mergeCell ref="Q1114:W1114"/>
    <mergeCell ref="X1114:AB1114"/>
    <mergeCell ref="AC1114:AG1114"/>
    <mergeCell ref="AH1114:AK1114"/>
    <mergeCell ref="B1111:P1111"/>
    <mergeCell ref="Q1111:W1111"/>
    <mergeCell ref="X1111:AB1111"/>
    <mergeCell ref="AC1111:AG1111"/>
    <mergeCell ref="AH1111:AK1111"/>
    <mergeCell ref="B1112:P1112"/>
    <mergeCell ref="Q1112:W1112"/>
    <mergeCell ref="X1112:AB1112"/>
    <mergeCell ref="AC1112:AG1112"/>
    <mergeCell ref="AH1112:AK1112"/>
    <mergeCell ref="B1109:P1109"/>
    <mergeCell ref="Q1109:W1109"/>
    <mergeCell ref="X1109:AB1109"/>
    <mergeCell ref="AC1109:AG1109"/>
    <mergeCell ref="AH1109:AK1109"/>
    <mergeCell ref="B1110:P1110"/>
    <mergeCell ref="Q1110:W1110"/>
    <mergeCell ref="X1110:AB1110"/>
    <mergeCell ref="AC1110:AG1110"/>
    <mergeCell ref="AH1110:AK1110"/>
    <mergeCell ref="B1107:P1107"/>
    <mergeCell ref="Q1107:W1107"/>
    <mergeCell ref="X1107:AB1107"/>
    <mergeCell ref="AC1107:AG1107"/>
    <mergeCell ref="AH1107:AK1107"/>
    <mergeCell ref="B1108:P1108"/>
    <mergeCell ref="Q1108:W1108"/>
    <mergeCell ref="X1108:AB1108"/>
    <mergeCell ref="AC1108:AG1108"/>
    <mergeCell ref="AH1108:AK1108"/>
    <mergeCell ref="B1105:P1105"/>
    <mergeCell ref="Q1105:W1105"/>
    <mergeCell ref="X1105:AB1105"/>
    <mergeCell ref="AC1105:AG1105"/>
    <mergeCell ref="AH1105:AK1105"/>
    <mergeCell ref="B1106:P1106"/>
    <mergeCell ref="Q1106:W1106"/>
    <mergeCell ref="X1106:AB1106"/>
    <mergeCell ref="AC1106:AG1106"/>
    <mergeCell ref="AH1106:AK1106"/>
    <mergeCell ref="B1103:P1103"/>
    <mergeCell ref="Q1103:W1103"/>
    <mergeCell ref="X1103:AB1103"/>
    <mergeCell ref="AC1103:AG1103"/>
    <mergeCell ref="AH1103:AK1103"/>
    <mergeCell ref="B1104:P1104"/>
    <mergeCell ref="Q1104:W1104"/>
    <mergeCell ref="X1104:AB1104"/>
    <mergeCell ref="AC1104:AG1104"/>
    <mergeCell ref="AH1104:AK1104"/>
    <mergeCell ref="B1101:P1101"/>
    <mergeCell ref="Q1101:W1101"/>
    <mergeCell ref="X1101:AB1101"/>
    <mergeCell ref="AC1101:AG1101"/>
    <mergeCell ref="AH1101:AK1101"/>
    <mergeCell ref="B1102:P1102"/>
    <mergeCell ref="Q1102:W1102"/>
    <mergeCell ref="X1102:AB1102"/>
    <mergeCell ref="AC1102:AG1102"/>
    <mergeCell ref="AH1102:AK1102"/>
    <mergeCell ref="B1099:P1099"/>
    <mergeCell ref="Q1099:W1099"/>
    <mergeCell ref="X1099:AB1099"/>
    <mergeCell ref="AC1099:AG1099"/>
    <mergeCell ref="AH1099:AK1099"/>
    <mergeCell ref="B1100:P1100"/>
    <mergeCell ref="Q1100:W1100"/>
    <mergeCell ref="X1100:AB1100"/>
    <mergeCell ref="AC1100:AG1100"/>
    <mergeCell ref="AH1100:AK1100"/>
    <mergeCell ref="B1097:P1097"/>
    <mergeCell ref="Q1097:W1097"/>
    <mergeCell ref="X1097:AB1097"/>
    <mergeCell ref="AC1097:AG1097"/>
    <mergeCell ref="AH1097:AK1097"/>
    <mergeCell ref="B1098:P1098"/>
    <mergeCell ref="Q1098:W1098"/>
    <mergeCell ref="X1098:AB1098"/>
    <mergeCell ref="AC1098:AG1098"/>
    <mergeCell ref="AH1098:AK1098"/>
    <mergeCell ref="B1095:P1095"/>
    <mergeCell ref="Q1095:W1095"/>
    <mergeCell ref="X1095:AB1095"/>
    <mergeCell ref="AC1095:AG1095"/>
    <mergeCell ref="AH1095:AK1095"/>
    <mergeCell ref="B1096:P1096"/>
    <mergeCell ref="Q1096:W1096"/>
    <mergeCell ref="X1096:AB1096"/>
    <mergeCell ref="AC1096:AG1096"/>
    <mergeCell ref="AH1096:AK1096"/>
    <mergeCell ref="B1093:P1093"/>
    <mergeCell ref="Q1093:W1093"/>
    <mergeCell ref="X1093:AB1093"/>
    <mergeCell ref="AC1093:AG1093"/>
    <mergeCell ref="AH1093:AK1093"/>
    <mergeCell ref="B1094:P1094"/>
    <mergeCell ref="Q1094:W1094"/>
    <mergeCell ref="X1094:AB1094"/>
    <mergeCell ref="AC1094:AG1094"/>
    <mergeCell ref="AH1094:AK1094"/>
    <mergeCell ref="B1091:P1091"/>
    <mergeCell ref="Q1091:W1091"/>
    <mergeCell ref="X1091:AB1091"/>
    <mergeCell ref="AC1091:AG1091"/>
    <mergeCell ref="AH1091:AK1091"/>
    <mergeCell ref="B1092:P1092"/>
    <mergeCell ref="Q1092:W1092"/>
    <mergeCell ref="X1092:AB1092"/>
    <mergeCell ref="AC1092:AG1092"/>
    <mergeCell ref="AH1092:AK1092"/>
    <mergeCell ref="B1089:P1089"/>
    <mergeCell ref="Q1089:W1089"/>
    <mergeCell ref="X1089:AB1089"/>
    <mergeCell ref="AC1089:AG1089"/>
    <mergeCell ref="AH1089:AK1089"/>
    <mergeCell ref="B1090:P1090"/>
    <mergeCell ref="Q1090:W1090"/>
    <mergeCell ref="X1090:AB1090"/>
    <mergeCell ref="AC1090:AG1090"/>
    <mergeCell ref="AH1090:AK1090"/>
    <mergeCell ref="B1087:P1087"/>
    <mergeCell ref="Q1087:W1087"/>
    <mergeCell ref="X1087:AB1087"/>
    <mergeCell ref="AC1087:AG1087"/>
    <mergeCell ref="AH1087:AK1087"/>
    <mergeCell ref="B1088:P1088"/>
    <mergeCell ref="Q1088:W1088"/>
    <mergeCell ref="X1088:AB1088"/>
    <mergeCell ref="AC1088:AG1088"/>
    <mergeCell ref="AH1088:AK1088"/>
    <mergeCell ref="B1085:P1085"/>
    <mergeCell ref="Q1085:W1085"/>
    <mergeCell ref="X1085:AB1085"/>
    <mergeCell ref="AC1085:AG1085"/>
    <mergeCell ref="AH1085:AK1085"/>
    <mergeCell ref="B1086:P1086"/>
    <mergeCell ref="Q1086:W1086"/>
    <mergeCell ref="X1086:AB1086"/>
    <mergeCell ref="AC1086:AG1086"/>
    <mergeCell ref="AH1086:AK1086"/>
    <mergeCell ref="B1083:P1083"/>
    <mergeCell ref="Q1083:W1083"/>
    <mergeCell ref="X1083:AB1083"/>
    <mergeCell ref="AC1083:AG1083"/>
    <mergeCell ref="AH1083:AK1083"/>
    <mergeCell ref="B1084:P1084"/>
    <mergeCell ref="Q1084:W1084"/>
    <mergeCell ref="X1084:AB1084"/>
    <mergeCell ref="AC1084:AG1084"/>
    <mergeCell ref="AH1084:AK1084"/>
    <mergeCell ref="B1081:P1081"/>
    <mergeCell ref="Q1081:W1081"/>
    <mergeCell ref="X1081:AB1081"/>
    <mergeCell ref="AC1081:AG1081"/>
    <mergeCell ref="AH1081:AK1081"/>
    <mergeCell ref="B1082:P1082"/>
    <mergeCell ref="Q1082:W1082"/>
    <mergeCell ref="X1082:AB1082"/>
    <mergeCell ref="AC1082:AG1082"/>
    <mergeCell ref="AH1082:AK1082"/>
    <mergeCell ref="B1079:P1079"/>
    <mergeCell ref="Q1079:W1079"/>
    <mergeCell ref="X1079:AB1079"/>
    <mergeCell ref="AC1079:AG1079"/>
    <mergeCell ref="AH1079:AK1079"/>
    <mergeCell ref="B1080:P1080"/>
    <mergeCell ref="Q1080:W1080"/>
    <mergeCell ref="X1080:AB1080"/>
    <mergeCell ref="AC1080:AG1080"/>
    <mergeCell ref="AH1080:AK1080"/>
    <mergeCell ref="B1077:P1077"/>
    <mergeCell ref="Q1077:W1077"/>
    <mergeCell ref="X1077:AB1077"/>
    <mergeCell ref="AC1077:AG1077"/>
    <mergeCell ref="AH1077:AK1077"/>
    <mergeCell ref="B1078:P1078"/>
    <mergeCell ref="Q1078:W1078"/>
    <mergeCell ref="X1078:AB1078"/>
    <mergeCell ref="AC1078:AG1078"/>
    <mergeCell ref="AH1078:AK1078"/>
    <mergeCell ref="B1075:P1075"/>
    <mergeCell ref="Q1075:W1075"/>
    <mergeCell ref="X1075:AB1075"/>
    <mergeCell ref="AC1075:AG1075"/>
    <mergeCell ref="AH1075:AK1075"/>
    <mergeCell ref="B1076:P1076"/>
    <mergeCell ref="Q1076:W1076"/>
    <mergeCell ref="X1076:AB1076"/>
    <mergeCell ref="AC1076:AG1076"/>
    <mergeCell ref="AH1076:AK1076"/>
    <mergeCell ref="B1073:P1073"/>
    <mergeCell ref="Q1073:W1073"/>
    <mergeCell ref="X1073:AB1073"/>
    <mergeCell ref="AC1073:AG1073"/>
    <mergeCell ref="AH1073:AK1073"/>
    <mergeCell ref="B1074:P1074"/>
    <mergeCell ref="Q1074:W1074"/>
    <mergeCell ref="X1074:AB1074"/>
    <mergeCell ref="AC1074:AG1074"/>
    <mergeCell ref="AH1074:AK1074"/>
    <mergeCell ref="B1071:P1071"/>
    <mergeCell ref="Q1071:W1071"/>
    <mergeCell ref="X1071:AB1071"/>
    <mergeCell ref="AC1071:AG1071"/>
    <mergeCell ref="AH1071:AK1071"/>
    <mergeCell ref="B1072:P1072"/>
    <mergeCell ref="Q1072:W1072"/>
    <mergeCell ref="X1072:AB1072"/>
    <mergeCell ref="AC1072:AG1072"/>
    <mergeCell ref="AH1072:AK1072"/>
    <mergeCell ref="B1069:P1069"/>
    <mergeCell ref="Q1069:W1069"/>
    <mergeCell ref="X1069:AB1069"/>
    <mergeCell ref="AC1069:AG1069"/>
    <mergeCell ref="AH1069:AK1069"/>
    <mergeCell ref="B1070:P1070"/>
    <mergeCell ref="Q1070:W1070"/>
    <mergeCell ref="X1070:AB1070"/>
    <mergeCell ref="AC1070:AG1070"/>
    <mergeCell ref="AH1070:AK1070"/>
    <mergeCell ref="B1067:P1067"/>
    <mergeCell ref="Q1067:W1067"/>
    <mergeCell ref="X1067:AB1067"/>
    <mergeCell ref="AC1067:AG1067"/>
    <mergeCell ref="AH1067:AK1067"/>
    <mergeCell ref="B1068:P1068"/>
    <mergeCell ref="Q1068:W1068"/>
    <mergeCell ref="X1068:AB1068"/>
    <mergeCell ref="AC1068:AG1068"/>
    <mergeCell ref="AH1068:AK1068"/>
    <mergeCell ref="B1065:P1065"/>
    <mergeCell ref="Q1065:W1065"/>
    <mergeCell ref="X1065:AB1065"/>
    <mergeCell ref="AC1065:AG1065"/>
    <mergeCell ref="AH1065:AK1065"/>
    <mergeCell ref="B1066:P1066"/>
    <mergeCell ref="Q1066:W1066"/>
    <mergeCell ref="X1066:AB1066"/>
    <mergeCell ref="AC1066:AG1066"/>
    <mergeCell ref="AH1066:AK1066"/>
    <mergeCell ref="B1063:P1063"/>
    <mergeCell ref="Q1063:W1063"/>
    <mergeCell ref="X1063:AB1063"/>
    <mergeCell ref="AC1063:AG1063"/>
    <mergeCell ref="AH1063:AK1063"/>
    <mergeCell ref="B1064:P1064"/>
    <mergeCell ref="Q1064:W1064"/>
    <mergeCell ref="X1064:AB1064"/>
    <mergeCell ref="AC1064:AG1064"/>
    <mergeCell ref="AH1064:AK1064"/>
    <mergeCell ref="B1061:P1061"/>
    <mergeCell ref="Q1061:W1061"/>
    <mergeCell ref="X1061:AB1061"/>
    <mergeCell ref="AC1061:AG1061"/>
    <mergeCell ref="AH1061:AK1061"/>
    <mergeCell ref="B1062:P1062"/>
    <mergeCell ref="Q1062:W1062"/>
    <mergeCell ref="X1062:AB1062"/>
    <mergeCell ref="AC1062:AG1062"/>
    <mergeCell ref="AH1062:AK1062"/>
    <mergeCell ref="B1059:P1059"/>
    <mergeCell ref="Q1059:W1059"/>
    <mergeCell ref="X1059:AB1059"/>
    <mergeCell ref="AC1059:AG1059"/>
    <mergeCell ref="AH1059:AK1059"/>
    <mergeCell ref="B1060:P1060"/>
    <mergeCell ref="Q1060:W1060"/>
    <mergeCell ref="X1060:AB1060"/>
    <mergeCell ref="AC1060:AG1060"/>
    <mergeCell ref="AH1060:AK1060"/>
    <mergeCell ref="B1057:P1057"/>
    <mergeCell ref="Q1057:W1057"/>
    <mergeCell ref="X1057:AB1057"/>
    <mergeCell ref="AC1057:AG1057"/>
    <mergeCell ref="AH1057:AK1057"/>
    <mergeCell ref="B1058:P1058"/>
    <mergeCell ref="Q1058:W1058"/>
    <mergeCell ref="X1058:AB1058"/>
    <mergeCell ref="AC1058:AG1058"/>
    <mergeCell ref="AH1058:AK1058"/>
    <mergeCell ref="B1055:P1055"/>
    <mergeCell ref="Q1055:W1055"/>
    <mergeCell ref="X1055:AB1055"/>
    <mergeCell ref="AC1055:AG1055"/>
    <mergeCell ref="AH1055:AK1055"/>
    <mergeCell ref="B1056:P1056"/>
    <mergeCell ref="Q1056:W1056"/>
    <mergeCell ref="X1056:AB1056"/>
    <mergeCell ref="AC1056:AG1056"/>
    <mergeCell ref="AH1056:AK1056"/>
    <mergeCell ref="B1053:P1053"/>
    <mergeCell ref="Q1053:W1053"/>
    <mergeCell ref="X1053:AB1053"/>
    <mergeCell ref="AC1053:AG1053"/>
    <mergeCell ref="AH1053:AK1053"/>
    <mergeCell ref="B1054:P1054"/>
    <mergeCell ref="Q1054:W1054"/>
    <mergeCell ref="X1054:AB1054"/>
    <mergeCell ref="AC1054:AG1054"/>
    <mergeCell ref="AH1054:AK1054"/>
    <mergeCell ref="B1051:P1051"/>
    <mergeCell ref="Q1051:W1051"/>
    <mergeCell ref="X1051:AB1051"/>
    <mergeCell ref="AC1051:AG1051"/>
    <mergeCell ref="AH1051:AK1051"/>
    <mergeCell ref="B1052:P1052"/>
    <mergeCell ref="Q1052:W1052"/>
    <mergeCell ref="X1052:AB1052"/>
    <mergeCell ref="AC1052:AG1052"/>
    <mergeCell ref="AH1052:AK1052"/>
    <mergeCell ref="B1049:P1049"/>
    <mergeCell ref="Q1049:W1049"/>
    <mergeCell ref="X1049:AB1049"/>
    <mergeCell ref="AC1049:AG1049"/>
    <mergeCell ref="AH1049:AK1049"/>
    <mergeCell ref="B1050:P1050"/>
    <mergeCell ref="Q1050:W1050"/>
    <mergeCell ref="X1050:AB1050"/>
    <mergeCell ref="AC1050:AG1050"/>
    <mergeCell ref="AH1050:AK1050"/>
    <mergeCell ref="B1047:P1047"/>
    <mergeCell ref="Q1047:W1047"/>
    <mergeCell ref="X1047:AB1047"/>
    <mergeCell ref="AC1047:AG1047"/>
    <mergeCell ref="AH1047:AK1047"/>
    <mergeCell ref="B1048:P1048"/>
    <mergeCell ref="Q1048:W1048"/>
    <mergeCell ref="X1048:AB1048"/>
    <mergeCell ref="AC1048:AG1048"/>
    <mergeCell ref="AH1048:AK1048"/>
    <mergeCell ref="B1045:P1045"/>
    <mergeCell ref="Q1045:W1045"/>
    <mergeCell ref="X1045:AB1045"/>
    <mergeCell ref="AC1045:AG1045"/>
    <mergeCell ref="AH1045:AK1045"/>
    <mergeCell ref="B1046:P1046"/>
    <mergeCell ref="Q1046:W1046"/>
    <mergeCell ref="X1046:AB1046"/>
    <mergeCell ref="AC1046:AG1046"/>
    <mergeCell ref="AH1046:AK1046"/>
    <mergeCell ref="B1043:P1043"/>
    <mergeCell ref="Q1043:W1043"/>
    <mergeCell ref="X1043:AB1043"/>
    <mergeCell ref="AC1043:AG1043"/>
    <mergeCell ref="AH1043:AK1043"/>
    <mergeCell ref="B1044:P1044"/>
    <mergeCell ref="Q1044:W1044"/>
    <mergeCell ref="X1044:AB1044"/>
    <mergeCell ref="AC1044:AG1044"/>
    <mergeCell ref="AH1044:AK1044"/>
    <mergeCell ref="B1041:P1041"/>
    <mergeCell ref="Q1041:W1041"/>
    <mergeCell ref="X1041:AB1041"/>
    <mergeCell ref="AC1041:AG1041"/>
    <mergeCell ref="AH1041:AK1041"/>
    <mergeCell ref="B1042:P1042"/>
    <mergeCell ref="Q1042:W1042"/>
    <mergeCell ref="X1042:AB1042"/>
    <mergeCell ref="AC1042:AG1042"/>
    <mergeCell ref="AH1042:AK1042"/>
    <mergeCell ref="B1039:P1039"/>
    <mergeCell ref="Q1039:W1039"/>
    <mergeCell ref="X1039:AB1039"/>
    <mergeCell ref="AC1039:AG1039"/>
    <mergeCell ref="AH1039:AK1039"/>
    <mergeCell ref="B1040:P1040"/>
    <mergeCell ref="Q1040:W1040"/>
    <mergeCell ref="X1040:AB1040"/>
    <mergeCell ref="AC1040:AG1040"/>
    <mergeCell ref="AH1040:AK1040"/>
    <mergeCell ref="B1037:P1037"/>
    <mergeCell ref="Q1037:W1037"/>
    <mergeCell ref="X1037:AB1037"/>
    <mergeCell ref="AC1037:AG1037"/>
    <mergeCell ref="AH1037:AK1037"/>
    <mergeCell ref="B1038:P1038"/>
    <mergeCell ref="Q1038:W1038"/>
    <mergeCell ref="X1038:AB1038"/>
    <mergeCell ref="AC1038:AG1038"/>
    <mergeCell ref="AH1038:AK1038"/>
    <mergeCell ref="B1035:P1035"/>
    <mergeCell ref="Q1035:W1035"/>
    <mergeCell ref="X1035:AB1035"/>
    <mergeCell ref="AC1035:AG1035"/>
    <mergeCell ref="AH1035:AK1035"/>
    <mergeCell ref="B1036:P1036"/>
    <mergeCell ref="Q1036:W1036"/>
    <mergeCell ref="X1036:AB1036"/>
    <mergeCell ref="AC1036:AG1036"/>
    <mergeCell ref="AH1036:AK1036"/>
    <mergeCell ref="B1033:P1033"/>
    <mergeCell ref="Q1033:W1033"/>
    <mergeCell ref="X1033:AB1033"/>
    <mergeCell ref="AC1033:AG1033"/>
    <mergeCell ref="AH1033:AK1033"/>
    <mergeCell ref="B1034:P1034"/>
    <mergeCell ref="Q1034:W1034"/>
    <mergeCell ref="X1034:AB1034"/>
    <mergeCell ref="AC1034:AG1034"/>
    <mergeCell ref="AH1034:AK1034"/>
    <mergeCell ref="B1031:P1031"/>
    <mergeCell ref="Q1031:W1031"/>
    <mergeCell ref="X1031:AB1031"/>
    <mergeCell ref="AC1031:AG1031"/>
    <mergeCell ref="AH1031:AK1031"/>
    <mergeCell ref="B1032:P1032"/>
    <mergeCell ref="Q1032:W1032"/>
    <mergeCell ref="X1032:AB1032"/>
    <mergeCell ref="AC1032:AG1032"/>
    <mergeCell ref="AH1032:AK1032"/>
    <mergeCell ref="B1029:P1029"/>
    <mergeCell ref="Q1029:W1029"/>
    <mergeCell ref="X1029:AB1029"/>
    <mergeCell ref="AC1029:AG1029"/>
    <mergeCell ref="AH1029:AK1029"/>
    <mergeCell ref="B1030:P1030"/>
    <mergeCell ref="Q1030:W1030"/>
    <mergeCell ref="X1030:AB1030"/>
    <mergeCell ref="AC1030:AG1030"/>
    <mergeCell ref="AH1030:AK1030"/>
    <mergeCell ref="B1027:P1027"/>
    <mergeCell ref="Q1027:W1027"/>
    <mergeCell ref="X1027:AB1027"/>
    <mergeCell ref="AC1027:AG1027"/>
    <mergeCell ref="AH1027:AK1027"/>
    <mergeCell ref="B1028:P1028"/>
    <mergeCell ref="Q1028:W1028"/>
    <mergeCell ref="X1028:AB1028"/>
    <mergeCell ref="AC1028:AG1028"/>
    <mergeCell ref="AH1028:AK1028"/>
    <mergeCell ref="B1025:P1025"/>
    <mergeCell ref="Q1025:W1025"/>
    <mergeCell ref="X1025:AB1025"/>
    <mergeCell ref="AC1025:AG1025"/>
    <mergeCell ref="AH1025:AK1025"/>
    <mergeCell ref="B1026:P1026"/>
    <mergeCell ref="Q1026:W1026"/>
    <mergeCell ref="X1026:AB1026"/>
    <mergeCell ref="AC1026:AG1026"/>
    <mergeCell ref="AH1026:AK1026"/>
    <mergeCell ref="B1023:P1023"/>
    <mergeCell ref="Q1023:W1023"/>
    <mergeCell ref="X1023:AB1023"/>
    <mergeCell ref="AC1023:AG1023"/>
    <mergeCell ref="AH1023:AK1023"/>
    <mergeCell ref="B1024:P1024"/>
    <mergeCell ref="Q1024:W1024"/>
    <mergeCell ref="X1024:AB1024"/>
    <mergeCell ref="AH1024:AK1024"/>
    <mergeCell ref="B1021:P1021"/>
    <mergeCell ref="Q1021:W1021"/>
    <mergeCell ref="X1021:AB1021"/>
    <mergeCell ref="AC1021:AG1021"/>
    <mergeCell ref="AH1021:AK1021"/>
    <mergeCell ref="B1022:P1022"/>
    <mergeCell ref="Q1022:W1022"/>
    <mergeCell ref="X1022:AB1022"/>
    <mergeCell ref="AC1022:AG1022"/>
    <mergeCell ref="AH1022:AK1022"/>
    <mergeCell ref="B1019:P1019"/>
    <mergeCell ref="Q1019:W1019"/>
    <mergeCell ref="X1019:AB1019"/>
    <mergeCell ref="AC1019:AG1019"/>
    <mergeCell ref="AH1019:AK1019"/>
    <mergeCell ref="B1020:P1020"/>
    <mergeCell ref="Q1020:W1020"/>
    <mergeCell ref="X1020:AB1020"/>
    <mergeCell ref="AC1020:AG1020"/>
    <mergeCell ref="AH1020:AK1020"/>
    <mergeCell ref="B1017:P1017"/>
    <mergeCell ref="Q1017:W1017"/>
    <mergeCell ref="X1017:AB1017"/>
    <mergeCell ref="AC1017:AG1017"/>
    <mergeCell ref="AH1017:AK1017"/>
    <mergeCell ref="B1018:P1018"/>
    <mergeCell ref="Q1018:W1018"/>
    <mergeCell ref="X1018:AB1018"/>
    <mergeCell ref="AC1018:AG1018"/>
    <mergeCell ref="AH1018:AK1018"/>
    <mergeCell ref="B1015:P1015"/>
    <mergeCell ref="Q1015:W1015"/>
    <mergeCell ref="X1015:AB1015"/>
    <mergeCell ref="AC1015:AG1015"/>
    <mergeCell ref="AH1015:AK1015"/>
    <mergeCell ref="B1016:P1016"/>
    <mergeCell ref="Q1016:W1016"/>
    <mergeCell ref="X1016:AB1016"/>
    <mergeCell ref="AC1016:AG1016"/>
    <mergeCell ref="AH1016:AK1016"/>
    <mergeCell ref="B1013:P1013"/>
    <mergeCell ref="Q1013:W1013"/>
    <mergeCell ref="X1013:AB1013"/>
    <mergeCell ref="AC1013:AG1013"/>
    <mergeCell ref="AH1013:AK1013"/>
    <mergeCell ref="B1014:P1014"/>
    <mergeCell ref="Q1014:W1014"/>
    <mergeCell ref="X1014:AB1014"/>
    <mergeCell ref="AC1014:AG1014"/>
    <mergeCell ref="AH1014:AK1014"/>
    <mergeCell ref="B1011:P1011"/>
    <mergeCell ref="Q1011:W1011"/>
    <mergeCell ref="X1011:AB1011"/>
    <mergeCell ref="AC1011:AG1011"/>
    <mergeCell ref="AH1011:AK1011"/>
    <mergeCell ref="B1012:P1012"/>
    <mergeCell ref="Q1012:W1012"/>
    <mergeCell ref="X1012:AB1012"/>
    <mergeCell ref="AC1012:AG1012"/>
    <mergeCell ref="AH1012:AK1012"/>
    <mergeCell ref="B1009:P1009"/>
    <mergeCell ref="Q1009:W1009"/>
    <mergeCell ref="X1009:AB1009"/>
    <mergeCell ref="AC1009:AG1009"/>
    <mergeCell ref="AH1009:AK1009"/>
    <mergeCell ref="B1010:P1010"/>
    <mergeCell ref="Q1010:W1010"/>
    <mergeCell ref="X1010:AB1010"/>
    <mergeCell ref="AH1010:AK1010"/>
    <mergeCell ref="B1007:P1007"/>
    <mergeCell ref="Q1007:W1007"/>
    <mergeCell ref="X1007:AB1007"/>
    <mergeCell ref="AC1007:AG1007"/>
    <mergeCell ref="AH1007:AK1007"/>
    <mergeCell ref="B1008:P1008"/>
    <mergeCell ref="Q1008:W1008"/>
    <mergeCell ref="X1008:AB1008"/>
    <mergeCell ref="AH1008:AK1008"/>
    <mergeCell ref="B1005:P1005"/>
    <mergeCell ref="Q1005:W1005"/>
    <mergeCell ref="X1005:AB1005"/>
    <mergeCell ref="AC1005:AG1005"/>
    <mergeCell ref="AH1005:AK1005"/>
    <mergeCell ref="B1006:P1006"/>
    <mergeCell ref="Q1006:W1006"/>
    <mergeCell ref="X1006:AB1006"/>
    <mergeCell ref="AH1006:AK1006"/>
    <mergeCell ref="B1003:P1003"/>
    <mergeCell ref="Q1003:W1003"/>
    <mergeCell ref="X1003:AB1003"/>
    <mergeCell ref="AC1003:AG1003"/>
    <mergeCell ref="AH1003:AK1003"/>
    <mergeCell ref="B1004:P1004"/>
    <mergeCell ref="Q1004:W1004"/>
    <mergeCell ref="X1004:AB1004"/>
    <mergeCell ref="AC1004:AG1004"/>
    <mergeCell ref="AH1004:AK1004"/>
    <mergeCell ref="B1001:P1001"/>
    <mergeCell ref="Q1001:W1001"/>
    <mergeCell ref="X1001:AB1001"/>
    <mergeCell ref="AC1001:AG1001"/>
    <mergeCell ref="AH1001:AK1001"/>
    <mergeCell ref="B1002:P1002"/>
    <mergeCell ref="Q1002:W1002"/>
    <mergeCell ref="X1002:AB1002"/>
    <mergeCell ref="AH1002:AK1002"/>
    <mergeCell ref="B999:P999"/>
    <mergeCell ref="Q999:W999"/>
    <mergeCell ref="X999:AB999"/>
    <mergeCell ref="AC999:AG999"/>
    <mergeCell ref="AH999:AK999"/>
    <mergeCell ref="B1000:P1000"/>
    <mergeCell ref="Q1000:W1000"/>
    <mergeCell ref="X1000:AB1000"/>
    <mergeCell ref="AC1000:AG1000"/>
    <mergeCell ref="AH1000:AK1000"/>
    <mergeCell ref="B997:P997"/>
    <mergeCell ref="Q997:W997"/>
    <mergeCell ref="X997:AB997"/>
    <mergeCell ref="AC997:AG997"/>
    <mergeCell ref="AH997:AK997"/>
    <mergeCell ref="B998:P998"/>
    <mergeCell ref="Q998:W998"/>
    <mergeCell ref="X998:AB998"/>
    <mergeCell ref="AC998:AG998"/>
    <mergeCell ref="AH998:AK998"/>
    <mergeCell ref="B995:P995"/>
    <mergeCell ref="Q995:W995"/>
    <mergeCell ref="X995:AB995"/>
    <mergeCell ref="AC995:AG995"/>
    <mergeCell ref="AH995:AK995"/>
    <mergeCell ref="B996:P996"/>
    <mergeCell ref="Q996:W996"/>
    <mergeCell ref="X996:AB996"/>
    <mergeCell ref="AH996:AK996"/>
    <mergeCell ref="B993:P993"/>
    <mergeCell ref="Q993:W993"/>
    <mergeCell ref="X993:AB993"/>
    <mergeCell ref="AC993:AG993"/>
    <mergeCell ref="AH993:AK993"/>
    <mergeCell ref="B994:P994"/>
    <mergeCell ref="Q994:W994"/>
    <mergeCell ref="X994:AB994"/>
    <mergeCell ref="AC994:AG994"/>
    <mergeCell ref="AH994:AK994"/>
    <mergeCell ref="B991:P991"/>
    <mergeCell ref="Q991:W991"/>
    <mergeCell ref="X991:AB991"/>
    <mergeCell ref="AC991:AG991"/>
    <mergeCell ref="AH991:AK991"/>
    <mergeCell ref="B992:P992"/>
    <mergeCell ref="Q992:W992"/>
    <mergeCell ref="X992:AB992"/>
    <mergeCell ref="AC992:AG992"/>
    <mergeCell ref="AH992:AK992"/>
    <mergeCell ref="B989:P989"/>
    <mergeCell ref="Q989:W989"/>
    <mergeCell ref="X989:AB989"/>
    <mergeCell ref="AC989:AG989"/>
    <mergeCell ref="AH989:AK989"/>
    <mergeCell ref="B990:P990"/>
    <mergeCell ref="Q990:W990"/>
    <mergeCell ref="X990:AB990"/>
    <mergeCell ref="AC990:AG990"/>
    <mergeCell ref="AH990:AK990"/>
    <mergeCell ref="B987:P987"/>
    <mergeCell ref="Q987:W987"/>
    <mergeCell ref="X987:AB987"/>
    <mergeCell ref="AC987:AG987"/>
    <mergeCell ref="AH987:AK987"/>
    <mergeCell ref="B988:P988"/>
    <mergeCell ref="Q988:W988"/>
    <mergeCell ref="X988:AB988"/>
    <mergeCell ref="AC988:AG988"/>
    <mergeCell ref="AH988:AK988"/>
    <mergeCell ref="B985:P985"/>
    <mergeCell ref="Q985:W985"/>
    <mergeCell ref="X985:AB985"/>
    <mergeCell ref="AC985:AG985"/>
    <mergeCell ref="AH985:AK985"/>
    <mergeCell ref="B986:P986"/>
    <mergeCell ref="Q986:W986"/>
    <mergeCell ref="X986:AB986"/>
    <mergeCell ref="AC986:AG986"/>
    <mergeCell ref="AH986:AK986"/>
    <mergeCell ref="B983:P983"/>
    <mergeCell ref="Q983:W983"/>
    <mergeCell ref="X983:AB983"/>
    <mergeCell ref="AC983:AG983"/>
    <mergeCell ref="AH983:AK983"/>
    <mergeCell ref="B984:P984"/>
    <mergeCell ref="Q984:W984"/>
    <mergeCell ref="X984:AB984"/>
    <mergeCell ref="AC984:AG984"/>
    <mergeCell ref="AH984:AK984"/>
    <mergeCell ref="B981:P981"/>
    <mergeCell ref="Q981:W981"/>
    <mergeCell ref="X981:AB981"/>
    <mergeCell ref="AC981:AG981"/>
    <mergeCell ref="AH981:AK981"/>
    <mergeCell ref="B982:P982"/>
    <mergeCell ref="Q982:W982"/>
    <mergeCell ref="X982:AB982"/>
    <mergeCell ref="AC982:AG982"/>
    <mergeCell ref="AH982:AK982"/>
    <mergeCell ref="B979:P979"/>
    <mergeCell ref="Q979:W979"/>
    <mergeCell ref="X979:AB979"/>
    <mergeCell ref="AC979:AG979"/>
    <mergeCell ref="AH979:AK979"/>
    <mergeCell ref="B980:P980"/>
    <mergeCell ref="Q980:W980"/>
    <mergeCell ref="X980:AB980"/>
    <mergeCell ref="AC980:AG980"/>
    <mergeCell ref="AH980:AK980"/>
    <mergeCell ref="B977:P977"/>
    <mergeCell ref="Q977:W977"/>
    <mergeCell ref="X977:AB977"/>
    <mergeCell ref="AC977:AG977"/>
    <mergeCell ref="AH977:AK977"/>
    <mergeCell ref="B978:P978"/>
    <mergeCell ref="Q978:W978"/>
    <mergeCell ref="X978:AB978"/>
    <mergeCell ref="AC978:AG978"/>
    <mergeCell ref="AH978:AK978"/>
    <mergeCell ref="B975:P975"/>
    <mergeCell ref="Q975:W975"/>
    <mergeCell ref="X975:AB975"/>
    <mergeCell ref="AC975:AG975"/>
    <mergeCell ref="AH975:AK975"/>
    <mergeCell ref="B976:P976"/>
    <mergeCell ref="Q976:W976"/>
    <mergeCell ref="X976:AB976"/>
    <mergeCell ref="AC976:AG976"/>
    <mergeCell ref="AH976:AK976"/>
    <mergeCell ref="B973:P973"/>
    <mergeCell ref="Q973:W973"/>
    <mergeCell ref="X973:AB973"/>
    <mergeCell ref="AC973:AG973"/>
    <mergeCell ref="AH973:AK973"/>
    <mergeCell ref="B974:P974"/>
    <mergeCell ref="Q974:W974"/>
    <mergeCell ref="X974:AB974"/>
    <mergeCell ref="AC974:AG974"/>
    <mergeCell ref="AH974:AK974"/>
    <mergeCell ref="B971:P971"/>
    <mergeCell ref="Q971:W971"/>
    <mergeCell ref="X971:AB971"/>
    <mergeCell ref="AC971:AG971"/>
    <mergeCell ref="AH971:AK971"/>
    <mergeCell ref="B972:P972"/>
    <mergeCell ref="Q972:W972"/>
    <mergeCell ref="X972:AB972"/>
    <mergeCell ref="AC972:AG972"/>
    <mergeCell ref="AH972:AK972"/>
    <mergeCell ref="B969:P969"/>
    <mergeCell ref="Q969:W969"/>
    <mergeCell ref="X969:AB969"/>
    <mergeCell ref="AC969:AG969"/>
    <mergeCell ref="AH969:AK969"/>
    <mergeCell ref="B970:P970"/>
    <mergeCell ref="Q970:W970"/>
    <mergeCell ref="X970:AB970"/>
    <mergeCell ref="AC970:AG970"/>
    <mergeCell ref="AH970:AK970"/>
    <mergeCell ref="B967:P967"/>
    <mergeCell ref="Q967:W967"/>
    <mergeCell ref="X967:AB967"/>
    <mergeCell ref="AC967:AG967"/>
    <mergeCell ref="AH967:AK967"/>
    <mergeCell ref="B968:P968"/>
    <mergeCell ref="Q968:W968"/>
    <mergeCell ref="X968:AB968"/>
    <mergeCell ref="AC968:AG968"/>
    <mergeCell ref="AH968:AK968"/>
    <mergeCell ref="B965:P965"/>
    <mergeCell ref="Q965:W965"/>
    <mergeCell ref="X965:AB965"/>
    <mergeCell ref="AC965:AG965"/>
    <mergeCell ref="AH965:AK965"/>
    <mergeCell ref="B966:P966"/>
    <mergeCell ref="Q966:W966"/>
    <mergeCell ref="X966:AB966"/>
    <mergeCell ref="AC966:AG966"/>
    <mergeCell ref="AH966:AK966"/>
    <mergeCell ref="B963:P963"/>
    <mergeCell ref="Q963:W963"/>
    <mergeCell ref="X963:AB963"/>
    <mergeCell ref="AC963:AG963"/>
    <mergeCell ref="AH963:AK963"/>
    <mergeCell ref="B964:P964"/>
    <mergeCell ref="Q964:W964"/>
    <mergeCell ref="X964:AB964"/>
    <mergeCell ref="AC964:AG964"/>
    <mergeCell ref="AH964:AK964"/>
    <mergeCell ref="B961:P961"/>
    <mergeCell ref="Q961:W961"/>
    <mergeCell ref="X961:AB961"/>
    <mergeCell ref="AC961:AG961"/>
    <mergeCell ref="AH961:AK961"/>
    <mergeCell ref="B962:P962"/>
    <mergeCell ref="Q962:W962"/>
    <mergeCell ref="X962:AB962"/>
    <mergeCell ref="AC962:AG962"/>
    <mergeCell ref="AH962:AK962"/>
    <mergeCell ref="B959:P959"/>
    <mergeCell ref="Q959:W959"/>
    <mergeCell ref="X959:AB959"/>
    <mergeCell ref="AC959:AG959"/>
    <mergeCell ref="AH959:AK959"/>
    <mergeCell ref="B960:P960"/>
    <mergeCell ref="Q960:W960"/>
    <mergeCell ref="X960:AB960"/>
    <mergeCell ref="AC960:AG960"/>
    <mergeCell ref="AH960:AK960"/>
    <mergeCell ref="B957:P957"/>
    <mergeCell ref="Q957:W957"/>
    <mergeCell ref="X957:AB957"/>
    <mergeCell ref="AC957:AG957"/>
    <mergeCell ref="AH957:AK957"/>
    <mergeCell ref="B958:P958"/>
    <mergeCell ref="Q958:W958"/>
    <mergeCell ref="X958:AB958"/>
    <mergeCell ref="AC958:AG958"/>
    <mergeCell ref="AH958:AK958"/>
    <mergeCell ref="B955:P955"/>
    <mergeCell ref="Q955:W955"/>
    <mergeCell ref="X955:AB955"/>
    <mergeCell ref="AC955:AG955"/>
    <mergeCell ref="AH955:AK955"/>
    <mergeCell ref="B956:P956"/>
    <mergeCell ref="Q956:W956"/>
    <mergeCell ref="X956:AB956"/>
    <mergeCell ref="AC956:AG956"/>
    <mergeCell ref="AH956:AK956"/>
    <mergeCell ref="B953:P953"/>
    <mergeCell ref="Q953:W953"/>
    <mergeCell ref="X953:AB953"/>
    <mergeCell ref="AC953:AG953"/>
    <mergeCell ref="AH953:AK953"/>
    <mergeCell ref="B954:P954"/>
    <mergeCell ref="Q954:W954"/>
    <mergeCell ref="X954:AB954"/>
    <mergeCell ref="AC954:AG954"/>
    <mergeCell ref="AH954:AK954"/>
    <mergeCell ref="B951:P951"/>
    <mergeCell ref="Q951:W951"/>
    <mergeCell ref="X951:AB951"/>
    <mergeCell ref="AC951:AG951"/>
    <mergeCell ref="AH951:AK951"/>
    <mergeCell ref="B952:P952"/>
    <mergeCell ref="Q952:W952"/>
    <mergeCell ref="X952:AB952"/>
    <mergeCell ref="AC952:AG952"/>
    <mergeCell ref="AH952:AK952"/>
    <mergeCell ref="B949:P949"/>
    <mergeCell ref="Q949:W949"/>
    <mergeCell ref="X949:AB949"/>
    <mergeCell ref="AC949:AG949"/>
    <mergeCell ref="AH949:AK949"/>
    <mergeCell ref="B950:P950"/>
    <mergeCell ref="Q950:W950"/>
    <mergeCell ref="X950:AB950"/>
    <mergeCell ref="AC950:AG950"/>
    <mergeCell ref="AH950:AK950"/>
    <mergeCell ref="B947:P947"/>
    <mergeCell ref="Q947:W947"/>
    <mergeCell ref="X947:AB947"/>
    <mergeCell ref="AC947:AG947"/>
    <mergeCell ref="AH947:AK947"/>
    <mergeCell ref="B948:P948"/>
    <mergeCell ref="Q948:W948"/>
    <mergeCell ref="X948:AB948"/>
    <mergeCell ref="AC948:AG948"/>
    <mergeCell ref="AH948:AK948"/>
    <mergeCell ref="B945:P945"/>
    <mergeCell ref="Q945:W945"/>
    <mergeCell ref="X945:AB945"/>
    <mergeCell ref="AC945:AG945"/>
    <mergeCell ref="AH945:AK945"/>
    <mergeCell ref="B946:P946"/>
    <mergeCell ref="Q946:W946"/>
    <mergeCell ref="X946:AB946"/>
    <mergeCell ref="AC946:AG946"/>
    <mergeCell ref="AH946:AK946"/>
    <mergeCell ref="B943:P943"/>
    <mergeCell ref="Q943:W943"/>
    <mergeCell ref="X943:AB943"/>
    <mergeCell ref="AC943:AG943"/>
    <mergeCell ref="AH943:AK943"/>
    <mergeCell ref="B944:P944"/>
    <mergeCell ref="Q944:W944"/>
    <mergeCell ref="X944:AB944"/>
    <mergeCell ref="AC944:AG944"/>
    <mergeCell ref="AH944:AK944"/>
    <mergeCell ref="B941:P941"/>
    <mergeCell ref="Q941:W941"/>
    <mergeCell ref="X941:AB941"/>
    <mergeCell ref="AC941:AG941"/>
    <mergeCell ref="AH941:AK941"/>
    <mergeCell ref="B942:P942"/>
    <mergeCell ref="Q942:W942"/>
    <mergeCell ref="X942:AB942"/>
    <mergeCell ref="AC942:AG942"/>
    <mergeCell ref="AH942:AK942"/>
    <mergeCell ref="B939:P939"/>
    <mergeCell ref="Q939:W939"/>
    <mergeCell ref="X939:AB939"/>
    <mergeCell ref="AC939:AG939"/>
    <mergeCell ref="AH939:AK939"/>
    <mergeCell ref="B940:P940"/>
    <mergeCell ref="Q940:W940"/>
    <mergeCell ref="X940:AB940"/>
    <mergeCell ref="AC940:AG940"/>
    <mergeCell ref="AH940:AK940"/>
    <mergeCell ref="B937:P937"/>
    <mergeCell ref="Q937:W937"/>
    <mergeCell ref="X937:AB937"/>
    <mergeCell ref="AC937:AG937"/>
    <mergeCell ref="AH937:AK937"/>
    <mergeCell ref="B938:P938"/>
    <mergeCell ref="Q938:W938"/>
    <mergeCell ref="X938:AB938"/>
    <mergeCell ref="AC938:AG938"/>
    <mergeCell ref="AH938:AK938"/>
    <mergeCell ref="B935:P935"/>
    <mergeCell ref="Q935:W935"/>
    <mergeCell ref="X935:AB935"/>
    <mergeCell ref="AC935:AG935"/>
    <mergeCell ref="AH935:AK935"/>
    <mergeCell ref="B936:P936"/>
    <mergeCell ref="Q936:W936"/>
    <mergeCell ref="X936:AB936"/>
    <mergeCell ref="AC936:AG936"/>
    <mergeCell ref="AH936:AK936"/>
    <mergeCell ref="B933:P933"/>
    <mergeCell ref="Q933:W933"/>
    <mergeCell ref="X933:AB933"/>
    <mergeCell ref="AC933:AG933"/>
    <mergeCell ref="AH933:AK933"/>
    <mergeCell ref="B934:P934"/>
    <mergeCell ref="Q934:W934"/>
    <mergeCell ref="X934:AB934"/>
    <mergeCell ref="AC934:AG934"/>
    <mergeCell ref="AH934:AK934"/>
    <mergeCell ref="B931:P931"/>
    <mergeCell ref="Q931:W931"/>
    <mergeCell ref="X931:AB931"/>
    <mergeCell ref="AC931:AG931"/>
    <mergeCell ref="AH931:AK931"/>
    <mergeCell ref="B932:P932"/>
    <mergeCell ref="Q932:W932"/>
    <mergeCell ref="X932:AB932"/>
    <mergeCell ref="AC932:AG932"/>
    <mergeCell ref="AH932:AK932"/>
    <mergeCell ref="B929:P929"/>
    <mergeCell ref="Q929:W929"/>
    <mergeCell ref="X929:AB929"/>
    <mergeCell ref="AC929:AG929"/>
    <mergeCell ref="AH929:AK929"/>
    <mergeCell ref="B930:P930"/>
    <mergeCell ref="Q930:W930"/>
    <mergeCell ref="X930:AB930"/>
    <mergeCell ref="AC930:AG930"/>
    <mergeCell ref="AH930:AK930"/>
    <mergeCell ref="B927:P927"/>
    <mergeCell ref="Q927:W927"/>
    <mergeCell ref="X927:AB927"/>
    <mergeCell ref="AC927:AG927"/>
    <mergeCell ref="AH927:AK927"/>
    <mergeCell ref="B928:P928"/>
    <mergeCell ref="Q928:W928"/>
    <mergeCell ref="X928:AB928"/>
    <mergeCell ref="AC928:AG928"/>
    <mergeCell ref="AH928:AK928"/>
    <mergeCell ref="B925:P925"/>
    <mergeCell ref="Q925:W925"/>
    <mergeCell ref="X925:AB925"/>
    <mergeCell ref="AC925:AG925"/>
    <mergeCell ref="AH925:AK925"/>
    <mergeCell ref="B926:P926"/>
    <mergeCell ref="Q926:W926"/>
    <mergeCell ref="X926:AB926"/>
    <mergeCell ref="AC926:AG926"/>
    <mergeCell ref="AH926:AK926"/>
    <mergeCell ref="B923:P923"/>
    <mergeCell ref="Q923:W923"/>
    <mergeCell ref="X923:AB923"/>
    <mergeCell ref="AC923:AG923"/>
    <mergeCell ref="AH923:AK923"/>
    <mergeCell ref="B924:P924"/>
    <mergeCell ref="Q924:W924"/>
    <mergeCell ref="X924:AB924"/>
    <mergeCell ref="AC924:AG924"/>
    <mergeCell ref="AH924:AK924"/>
    <mergeCell ref="B921:P921"/>
    <mergeCell ref="Q921:W921"/>
    <mergeCell ref="X921:AB921"/>
    <mergeCell ref="AC921:AG921"/>
    <mergeCell ref="AH921:AK921"/>
    <mergeCell ref="B922:P922"/>
    <mergeCell ref="Q922:W922"/>
    <mergeCell ref="X922:AB922"/>
    <mergeCell ref="AC922:AG922"/>
    <mergeCell ref="AH922:AK922"/>
    <mergeCell ref="B919:P919"/>
    <mergeCell ref="Q919:W919"/>
    <mergeCell ref="X919:AB919"/>
    <mergeCell ref="AH919:AK919"/>
    <mergeCell ref="B920:P920"/>
    <mergeCell ref="Q920:W920"/>
    <mergeCell ref="X920:AB920"/>
    <mergeCell ref="AC920:AG920"/>
    <mergeCell ref="AH920:AK920"/>
    <mergeCell ref="B917:P917"/>
    <mergeCell ref="Q917:W917"/>
    <mergeCell ref="X917:AB917"/>
    <mergeCell ref="AC917:AG917"/>
    <mergeCell ref="AH917:AK917"/>
    <mergeCell ref="B918:P918"/>
    <mergeCell ref="Q918:W918"/>
    <mergeCell ref="X918:AB918"/>
    <mergeCell ref="AC918:AG918"/>
    <mergeCell ref="AH918:AK918"/>
    <mergeCell ref="AH914:AK914"/>
    <mergeCell ref="X915:AB915"/>
    <mergeCell ref="AC915:AG915"/>
    <mergeCell ref="AH915:AK915"/>
    <mergeCell ref="B916:P916"/>
    <mergeCell ref="Q916:W916"/>
    <mergeCell ref="X916:AB916"/>
    <mergeCell ref="AC916:AG916"/>
    <mergeCell ref="AH916:AK916"/>
    <mergeCell ref="A912:L912"/>
    <mergeCell ref="M912:R912"/>
    <mergeCell ref="S912:Y912"/>
    <mergeCell ref="Z912:AD912"/>
    <mergeCell ref="AE912:AH912"/>
    <mergeCell ref="A914:A915"/>
    <mergeCell ref="B914:P915"/>
    <mergeCell ref="Q914:W915"/>
    <mergeCell ref="X914:AB914"/>
    <mergeCell ref="AC914:AG914"/>
    <mergeCell ref="A911:E911"/>
    <mergeCell ref="F911:L911"/>
    <mergeCell ref="M911:R911"/>
    <mergeCell ref="S911:Y911"/>
    <mergeCell ref="Z911:AD911"/>
    <mergeCell ref="AE911:AH911"/>
    <mergeCell ref="A910:E910"/>
    <mergeCell ref="F910:L910"/>
    <mergeCell ref="M910:R910"/>
    <mergeCell ref="S910:Y910"/>
    <mergeCell ref="Z910:AD910"/>
    <mergeCell ref="AE910:AH910"/>
    <mergeCell ref="A909:E909"/>
    <mergeCell ref="F909:L909"/>
    <mergeCell ref="M909:R909"/>
    <mergeCell ref="S909:Y909"/>
    <mergeCell ref="Z909:AD909"/>
    <mergeCell ref="AE909:AH909"/>
    <mergeCell ref="A908:E908"/>
    <mergeCell ref="F908:L908"/>
    <mergeCell ref="M908:R908"/>
    <mergeCell ref="S908:Y908"/>
    <mergeCell ref="Z908:AD908"/>
    <mergeCell ref="AE908:AH908"/>
    <mergeCell ref="A907:E907"/>
    <mergeCell ref="F907:L907"/>
    <mergeCell ref="M907:R907"/>
    <mergeCell ref="S907:Y907"/>
    <mergeCell ref="Z907:AD907"/>
    <mergeCell ref="AE907:AH907"/>
    <mergeCell ref="A906:E906"/>
    <mergeCell ref="F906:L906"/>
    <mergeCell ref="M906:R906"/>
    <mergeCell ref="S906:Y906"/>
    <mergeCell ref="Z906:AD906"/>
    <mergeCell ref="AE906:AH906"/>
    <mergeCell ref="A905:E905"/>
    <mergeCell ref="F905:L905"/>
    <mergeCell ref="M905:R905"/>
    <mergeCell ref="S905:Y905"/>
    <mergeCell ref="Z905:AD905"/>
    <mergeCell ref="AE905:AH905"/>
    <mergeCell ref="A904:E904"/>
    <mergeCell ref="F904:L904"/>
    <mergeCell ref="M904:R904"/>
    <mergeCell ref="S904:Y904"/>
    <mergeCell ref="Z904:AD904"/>
    <mergeCell ref="AE904:AH904"/>
    <mergeCell ref="A903:E903"/>
    <mergeCell ref="F903:L903"/>
    <mergeCell ref="M903:R903"/>
    <mergeCell ref="S903:Y903"/>
    <mergeCell ref="Z903:AD903"/>
    <mergeCell ref="AE903:AH903"/>
    <mergeCell ref="A902:E902"/>
    <mergeCell ref="F902:L902"/>
    <mergeCell ref="M902:R902"/>
    <mergeCell ref="S902:Y902"/>
    <mergeCell ref="Z902:AD902"/>
    <mergeCell ref="AE902:AH902"/>
    <mergeCell ref="A901:E901"/>
    <mergeCell ref="F901:L901"/>
    <mergeCell ref="M901:R901"/>
    <mergeCell ref="S901:Y901"/>
    <mergeCell ref="Z901:AD901"/>
    <mergeCell ref="AE901:AH901"/>
    <mergeCell ref="A900:E900"/>
    <mergeCell ref="F900:L900"/>
    <mergeCell ref="M900:R900"/>
    <mergeCell ref="S900:Y900"/>
    <mergeCell ref="Z900:AD900"/>
    <mergeCell ref="AE900:AH900"/>
    <mergeCell ref="A899:E899"/>
    <mergeCell ref="F899:L899"/>
    <mergeCell ref="M899:R899"/>
    <mergeCell ref="S899:Y899"/>
    <mergeCell ref="Z899:AD899"/>
    <mergeCell ref="AE899:AH899"/>
    <mergeCell ref="A898:E898"/>
    <mergeCell ref="F898:L898"/>
    <mergeCell ref="M898:R898"/>
    <mergeCell ref="S898:Y898"/>
    <mergeCell ref="Z898:AD898"/>
    <mergeCell ref="AE898:AH898"/>
    <mergeCell ref="A897:E897"/>
    <mergeCell ref="F897:L897"/>
    <mergeCell ref="M897:R897"/>
    <mergeCell ref="S897:Y897"/>
    <mergeCell ref="Z897:AD897"/>
    <mergeCell ref="AE897:AH897"/>
    <mergeCell ref="A896:E896"/>
    <mergeCell ref="F896:L896"/>
    <mergeCell ref="M896:R896"/>
    <mergeCell ref="S896:Y896"/>
    <mergeCell ref="Z896:AD896"/>
    <mergeCell ref="AE896:AH896"/>
    <mergeCell ref="A895:E895"/>
    <mergeCell ref="F895:L895"/>
    <mergeCell ref="M895:R895"/>
    <mergeCell ref="S895:Y895"/>
    <mergeCell ref="Z895:AD895"/>
    <mergeCell ref="AE895:AH895"/>
    <mergeCell ref="M893:R893"/>
    <mergeCell ref="Z893:AD893"/>
    <mergeCell ref="AE893:AH893"/>
    <mergeCell ref="A894:E894"/>
    <mergeCell ref="F894:L894"/>
    <mergeCell ref="M894:R894"/>
    <mergeCell ref="S894:Y894"/>
    <mergeCell ref="Z894:AD894"/>
    <mergeCell ref="AE894:AH894"/>
    <mergeCell ref="AE890:AH891"/>
    <mergeCell ref="M891:R891"/>
    <mergeCell ref="S891:Y891"/>
    <mergeCell ref="Z891:AD891"/>
    <mergeCell ref="M892:R892"/>
    <mergeCell ref="Z892:AD892"/>
    <mergeCell ref="AE892:AH892"/>
    <mergeCell ref="A888:S888"/>
    <mergeCell ref="T888:X888"/>
    <mergeCell ref="Y888:AC888"/>
    <mergeCell ref="AD888:AI888"/>
    <mergeCell ref="AJ888:AL888"/>
    <mergeCell ref="A890:E891"/>
    <mergeCell ref="F890:L891"/>
    <mergeCell ref="M890:R890"/>
    <mergeCell ref="S890:Y890"/>
    <mergeCell ref="Z890:AD890"/>
    <mergeCell ref="B886:S886"/>
    <mergeCell ref="T886:X886"/>
    <mergeCell ref="Y886:AC886"/>
    <mergeCell ref="B887:S887"/>
    <mergeCell ref="T887:X887"/>
    <mergeCell ref="Y887:AC887"/>
    <mergeCell ref="AD883:AI883"/>
    <mergeCell ref="B884:S884"/>
    <mergeCell ref="T884:X884"/>
    <mergeCell ref="Y884:AC884"/>
    <mergeCell ref="B885:S885"/>
    <mergeCell ref="T885:X885"/>
    <mergeCell ref="Y885:AC885"/>
    <mergeCell ref="B882:S882"/>
    <mergeCell ref="T882:X882"/>
    <mergeCell ref="Y882:AC882"/>
    <mergeCell ref="B883:S883"/>
    <mergeCell ref="T883:X883"/>
    <mergeCell ref="Y883:AC883"/>
    <mergeCell ref="B880:S880"/>
    <mergeCell ref="T880:X880"/>
    <mergeCell ref="Y880:AC880"/>
    <mergeCell ref="AD880:AI880"/>
    <mergeCell ref="B881:S881"/>
    <mergeCell ref="T881:X881"/>
    <mergeCell ref="Y881:AC881"/>
    <mergeCell ref="AD881:AI881"/>
    <mergeCell ref="B878:S878"/>
    <mergeCell ref="T878:X878"/>
    <mergeCell ref="Y878:AC878"/>
    <mergeCell ref="AD878:AI878"/>
    <mergeCell ref="B879:S879"/>
    <mergeCell ref="T879:X879"/>
    <mergeCell ref="Y879:AC879"/>
    <mergeCell ref="AD879:AI879"/>
    <mergeCell ref="B876:S876"/>
    <mergeCell ref="T876:X876"/>
    <mergeCell ref="Y876:AC876"/>
    <mergeCell ref="AD876:AI876"/>
    <mergeCell ref="B877:S877"/>
    <mergeCell ref="T877:X877"/>
    <mergeCell ref="Y877:AC877"/>
    <mergeCell ref="AD877:AI877"/>
    <mergeCell ref="B874:S874"/>
    <mergeCell ref="T874:X874"/>
    <mergeCell ref="Y874:AC874"/>
    <mergeCell ref="AD874:AI874"/>
    <mergeCell ref="B875:S875"/>
    <mergeCell ref="T875:X875"/>
    <mergeCell ref="Y875:AC875"/>
    <mergeCell ref="AD875:AI875"/>
    <mergeCell ref="B872:S872"/>
    <mergeCell ref="T872:X872"/>
    <mergeCell ref="Y872:AC872"/>
    <mergeCell ref="AD872:AI872"/>
    <mergeCell ref="B873:S873"/>
    <mergeCell ref="T873:X873"/>
    <mergeCell ref="Y873:AC873"/>
    <mergeCell ref="AD873:AI873"/>
    <mergeCell ref="B870:S870"/>
    <mergeCell ref="T870:X870"/>
    <mergeCell ref="Y870:AC870"/>
    <mergeCell ref="AD870:AI870"/>
    <mergeCell ref="B871:S871"/>
    <mergeCell ref="T871:X871"/>
    <mergeCell ref="Y871:AC871"/>
    <mergeCell ref="AD871:AI871"/>
    <mergeCell ref="B868:S868"/>
    <mergeCell ref="T868:X868"/>
    <mergeCell ref="Y868:AC868"/>
    <mergeCell ref="AD868:AI868"/>
    <mergeCell ref="B869:S869"/>
    <mergeCell ref="T869:X869"/>
    <mergeCell ref="Y869:AC869"/>
    <mergeCell ref="AD869:AI869"/>
    <mergeCell ref="B866:S866"/>
    <mergeCell ref="T866:X866"/>
    <mergeCell ref="Y866:AC866"/>
    <mergeCell ref="AD866:AI866"/>
    <mergeCell ref="B867:S867"/>
    <mergeCell ref="T867:X867"/>
    <mergeCell ref="Y867:AC867"/>
    <mergeCell ref="AD867:AI867"/>
    <mergeCell ref="B864:S864"/>
    <mergeCell ref="T864:X864"/>
    <mergeCell ref="Y864:AC864"/>
    <mergeCell ref="AD864:AI864"/>
    <mergeCell ref="B865:S865"/>
    <mergeCell ref="T865:X865"/>
    <mergeCell ref="Y865:AC865"/>
    <mergeCell ref="AD865:AI865"/>
    <mergeCell ref="B862:S862"/>
    <mergeCell ref="T862:X862"/>
    <mergeCell ref="Y862:AC862"/>
    <mergeCell ref="AD862:AI862"/>
    <mergeCell ref="B863:S863"/>
    <mergeCell ref="T863:X863"/>
    <mergeCell ref="Y863:AC863"/>
    <mergeCell ref="AD863:AI863"/>
    <mergeCell ref="B860:S860"/>
    <mergeCell ref="T860:X860"/>
    <mergeCell ref="Y860:AC860"/>
    <mergeCell ref="AD860:AI860"/>
    <mergeCell ref="B861:S861"/>
    <mergeCell ref="T861:X861"/>
    <mergeCell ref="Y861:AC861"/>
    <mergeCell ref="AD861:AI861"/>
    <mergeCell ref="B858:S858"/>
    <mergeCell ref="T858:X858"/>
    <mergeCell ref="Y858:AC858"/>
    <mergeCell ref="AD858:AI858"/>
    <mergeCell ref="B859:S859"/>
    <mergeCell ref="T859:X859"/>
    <mergeCell ref="Y859:AC859"/>
    <mergeCell ref="AD859:AI859"/>
    <mergeCell ref="B856:S856"/>
    <mergeCell ref="T856:X856"/>
    <mergeCell ref="Y856:AC856"/>
    <mergeCell ref="AD856:AI856"/>
    <mergeCell ref="B857:S857"/>
    <mergeCell ref="T857:X857"/>
    <mergeCell ref="Y857:AC857"/>
    <mergeCell ref="AD857:AI857"/>
    <mergeCell ref="B854:S854"/>
    <mergeCell ref="T854:X854"/>
    <mergeCell ref="Y854:AC854"/>
    <mergeCell ref="AD854:AI854"/>
    <mergeCell ref="B855:S855"/>
    <mergeCell ref="T855:X855"/>
    <mergeCell ref="Y855:AC855"/>
    <mergeCell ref="AD855:AI855"/>
    <mergeCell ref="B852:S852"/>
    <mergeCell ref="T852:X852"/>
    <mergeCell ref="Y852:AC852"/>
    <mergeCell ref="AD852:AI852"/>
    <mergeCell ref="B853:S853"/>
    <mergeCell ref="T853:X853"/>
    <mergeCell ref="Y853:AC853"/>
    <mergeCell ref="AD853:AI853"/>
    <mergeCell ref="B850:S850"/>
    <mergeCell ref="T850:X850"/>
    <mergeCell ref="Y850:AC850"/>
    <mergeCell ref="AD850:AI850"/>
    <mergeCell ref="B851:S851"/>
    <mergeCell ref="T851:X851"/>
    <mergeCell ref="Y851:AC851"/>
    <mergeCell ref="AD851:AI851"/>
    <mergeCell ref="A848:S848"/>
    <mergeCell ref="T848:X848"/>
    <mergeCell ref="Y848:AC848"/>
    <mergeCell ref="AD848:AI848"/>
    <mergeCell ref="AJ848:AL848"/>
    <mergeCell ref="B849:S849"/>
    <mergeCell ref="T849:X849"/>
    <mergeCell ref="Y849:AC849"/>
    <mergeCell ref="AD849:AI849"/>
    <mergeCell ref="B846:S846"/>
    <mergeCell ref="T846:X846"/>
    <mergeCell ref="Y846:AC846"/>
    <mergeCell ref="B847:S847"/>
    <mergeCell ref="T847:X847"/>
    <mergeCell ref="Y847:AC847"/>
    <mergeCell ref="B844:S844"/>
    <mergeCell ref="T844:X844"/>
    <mergeCell ref="Y844:AC844"/>
    <mergeCell ref="AD844:AI844"/>
    <mergeCell ref="B845:S845"/>
    <mergeCell ref="T845:X845"/>
    <mergeCell ref="Y845:AC845"/>
    <mergeCell ref="AD845:AI845"/>
    <mergeCell ref="B842:S842"/>
    <mergeCell ref="T842:X842"/>
    <mergeCell ref="Y842:AC842"/>
    <mergeCell ref="AD842:AI842"/>
    <mergeCell ref="B843:S843"/>
    <mergeCell ref="T843:X843"/>
    <mergeCell ref="Y843:AC843"/>
    <mergeCell ref="AD843:AI843"/>
    <mergeCell ref="B840:S840"/>
    <mergeCell ref="T840:X840"/>
    <mergeCell ref="Y840:AC840"/>
    <mergeCell ref="AD840:AI840"/>
    <mergeCell ref="B841:S841"/>
    <mergeCell ref="T841:X841"/>
    <mergeCell ref="Y841:AC841"/>
    <mergeCell ref="AD841:AI841"/>
    <mergeCell ref="B838:S838"/>
    <mergeCell ref="T838:X838"/>
    <mergeCell ref="Y838:AC838"/>
    <mergeCell ref="AD838:AI838"/>
    <mergeCell ref="B839:S839"/>
    <mergeCell ref="T839:X839"/>
    <mergeCell ref="Y839:AC839"/>
    <mergeCell ref="AD839:AI839"/>
    <mergeCell ref="B836:S836"/>
    <mergeCell ref="T836:X836"/>
    <mergeCell ref="Y836:AC836"/>
    <mergeCell ref="AD836:AI836"/>
    <mergeCell ref="B837:S837"/>
    <mergeCell ref="T837:X837"/>
    <mergeCell ref="Y837:AC837"/>
    <mergeCell ref="AD837:AI837"/>
    <mergeCell ref="B834:S834"/>
    <mergeCell ref="T834:X834"/>
    <mergeCell ref="Y834:AC834"/>
    <mergeCell ref="AD834:AI834"/>
    <mergeCell ref="B835:S835"/>
    <mergeCell ref="T835:X835"/>
    <mergeCell ref="Y835:AC835"/>
    <mergeCell ref="AD835:AI835"/>
    <mergeCell ref="B832:S832"/>
    <mergeCell ref="T832:X832"/>
    <mergeCell ref="Y832:AC832"/>
    <mergeCell ref="AD832:AI832"/>
    <mergeCell ref="B833:S833"/>
    <mergeCell ref="T833:X833"/>
    <mergeCell ref="Y833:AC833"/>
    <mergeCell ref="AD833:AI833"/>
    <mergeCell ref="B830:S830"/>
    <mergeCell ref="T830:X830"/>
    <mergeCell ref="Y830:AC830"/>
    <mergeCell ref="AD830:AI830"/>
    <mergeCell ref="B831:S831"/>
    <mergeCell ref="T831:X831"/>
    <mergeCell ref="Y831:AC831"/>
    <mergeCell ref="AD831:AI831"/>
    <mergeCell ref="AD828:AI828"/>
    <mergeCell ref="A829:S829"/>
    <mergeCell ref="T829:X829"/>
    <mergeCell ref="Y829:AC829"/>
    <mergeCell ref="AD829:AI829"/>
    <mergeCell ref="AJ829:AL829"/>
    <mergeCell ref="B827:S827"/>
    <mergeCell ref="T827:X827"/>
    <mergeCell ref="Y827:AC827"/>
    <mergeCell ref="B828:S828"/>
    <mergeCell ref="T828:X828"/>
    <mergeCell ref="Y828:AC828"/>
    <mergeCell ref="AD824:AI824"/>
    <mergeCell ref="B825:S825"/>
    <mergeCell ref="T825:X825"/>
    <mergeCell ref="Y825:AC825"/>
    <mergeCell ref="AD825:AI825"/>
    <mergeCell ref="B826:S826"/>
    <mergeCell ref="T826:X826"/>
    <mergeCell ref="Y826:AC826"/>
    <mergeCell ref="B823:S823"/>
    <mergeCell ref="T823:X823"/>
    <mergeCell ref="Y823:AC823"/>
    <mergeCell ref="B824:S824"/>
    <mergeCell ref="T824:X824"/>
    <mergeCell ref="Y824:AC824"/>
    <mergeCell ref="B821:S821"/>
    <mergeCell ref="T821:X821"/>
    <mergeCell ref="Y821:AC821"/>
    <mergeCell ref="AD821:AI821"/>
    <mergeCell ref="B822:S822"/>
    <mergeCell ref="T822:X822"/>
    <mergeCell ref="Y822:AC822"/>
    <mergeCell ref="AD822:AI822"/>
    <mergeCell ref="B819:S819"/>
    <mergeCell ref="T819:X819"/>
    <mergeCell ref="Y819:AC819"/>
    <mergeCell ref="AD819:AI819"/>
    <mergeCell ref="B820:S820"/>
    <mergeCell ref="T820:X820"/>
    <mergeCell ref="Y820:AC820"/>
    <mergeCell ref="AD820:AI820"/>
    <mergeCell ref="B817:S817"/>
    <mergeCell ref="T817:X817"/>
    <mergeCell ref="Y817:AC817"/>
    <mergeCell ref="AD817:AI817"/>
    <mergeCell ref="B818:S818"/>
    <mergeCell ref="T818:X818"/>
    <mergeCell ref="Y818:AC818"/>
    <mergeCell ref="AD818:AI818"/>
    <mergeCell ref="B815:S815"/>
    <mergeCell ref="T815:X815"/>
    <mergeCell ref="Y815:AC815"/>
    <mergeCell ref="AD815:AI815"/>
    <mergeCell ref="B816:S816"/>
    <mergeCell ref="T816:X816"/>
    <mergeCell ref="Y816:AC816"/>
    <mergeCell ref="AD816:AI816"/>
    <mergeCell ref="B813:S813"/>
    <mergeCell ref="T813:X813"/>
    <mergeCell ref="Y813:AC813"/>
    <mergeCell ref="AD813:AI813"/>
    <mergeCell ref="B814:S814"/>
    <mergeCell ref="T814:X814"/>
    <mergeCell ref="Y814:AC814"/>
    <mergeCell ref="AD814:AI814"/>
    <mergeCell ref="B811:S811"/>
    <mergeCell ref="T811:X811"/>
    <mergeCell ref="Y811:AC811"/>
    <mergeCell ref="AD811:AI811"/>
    <mergeCell ref="B812:S812"/>
    <mergeCell ref="T812:X812"/>
    <mergeCell ref="Y812:AC812"/>
    <mergeCell ref="AD812:AI812"/>
    <mergeCell ref="B809:S809"/>
    <mergeCell ref="T809:X809"/>
    <mergeCell ref="Y809:AC809"/>
    <mergeCell ref="AD809:AI809"/>
    <mergeCell ref="B810:S810"/>
    <mergeCell ref="T810:X810"/>
    <mergeCell ref="Y810:AC810"/>
    <mergeCell ref="AD810:AI810"/>
    <mergeCell ref="B807:S807"/>
    <mergeCell ref="T807:X807"/>
    <mergeCell ref="Y807:AC807"/>
    <mergeCell ref="AD807:AI807"/>
    <mergeCell ref="B808:S808"/>
    <mergeCell ref="T808:X808"/>
    <mergeCell ref="Y808:AC808"/>
    <mergeCell ref="AD808:AI808"/>
    <mergeCell ref="B805:S805"/>
    <mergeCell ref="T805:X805"/>
    <mergeCell ref="Y805:AC805"/>
    <mergeCell ref="AD805:AI805"/>
    <mergeCell ref="B806:S806"/>
    <mergeCell ref="T806:X806"/>
    <mergeCell ref="Y806:AC806"/>
    <mergeCell ref="AD806:AI806"/>
    <mergeCell ref="B803:S803"/>
    <mergeCell ref="T803:X803"/>
    <mergeCell ref="Y803:AC803"/>
    <mergeCell ref="AD803:AI803"/>
    <mergeCell ref="B804:S804"/>
    <mergeCell ref="T804:X804"/>
    <mergeCell ref="Y804:AC804"/>
    <mergeCell ref="AD804:AI804"/>
    <mergeCell ref="B801:S801"/>
    <mergeCell ref="T801:X801"/>
    <mergeCell ref="Y801:AC801"/>
    <mergeCell ref="AD801:AI801"/>
    <mergeCell ref="B802:S802"/>
    <mergeCell ref="T802:X802"/>
    <mergeCell ref="Y802:AC802"/>
    <mergeCell ref="AD802:AI802"/>
    <mergeCell ref="B799:S799"/>
    <mergeCell ref="T799:X799"/>
    <mergeCell ref="Y799:AC799"/>
    <mergeCell ref="AD799:AI799"/>
    <mergeCell ref="B800:S800"/>
    <mergeCell ref="T800:X800"/>
    <mergeCell ref="Y800:AC800"/>
    <mergeCell ref="AD800:AI800"/>
    <mergeCell ref="B797:S797"/>
    <mergeCell ref="T797:X797"/>
    <mergeCell ref="Y797:AC797"/>
    <mergeCell ref="AD797:AI797"/>
    <mergeCell ref="B798:S798"/>
    <mergeCell ref="T798:X798"/>
    <mergeCell ref="Y798:AC798"/>
    <mergeCell ref="AD798:AI798"/>
    <mergeCell ref="B795:S795"/>
    <mergeCell ref="T795:X795"/>
    <mergeCell ref="Y795:AC795"/>
    <mergeCell ref="AD795:AI795"/>
    <mergeCell ref="B796:S796"/>
    <mergeCell ref="T796:X796"/>
    <mergeCell ref="Y796:AC796"/>
    <mergeCell ref="AD796:AI796"/>
    <mergeCell ref="B793:S793"/>
    <mergeCell ref="T793:X793"/>
    <mergeCell ref="Y793:AC793"/>
    <mergeCell ref="AD793:AI793"/>
    <mergeCell ref="B794:S794"/>
    <mergeCell ref="T794:X794"/>
    <mergeCell ref="Y794:AC794"/>
    <mergeCell ref="AD794:AI794"/>
    <mergeCell ref="B791:S791"/>
    <mergeCell ref="T791:X791"/>
    <mergeCell ref="Y791:AC791"/>
    <mergeCell ref="AD791:AI791"/>
    <mergeCell ref="B792:S792"/>
    <mergeCell ref="T792:X792"/>
    <mergeCell ref="Y792:AC792"/>
    <mergeCell ref="AD792:AI792"/>
    <mergeCell ref="B789:S789"/>
    <mergeCell ref="T789:X789"/>
    <mergeCell ref="Y789:AC789"/>
    <mergeCell ref="AD789:AI789"/>
    <mergeCell ref="B790:S790"/>
    <mergeCell ref="T790:X790"/>
    <mergeCell ref="Y790:AC790"/>
    <mergeCell ref="AD790:AI790"/>
    <mergeCell ref="A787:S787"/>
    <mergeCell ref="T787:X787"/>
    <mergeCell ref="Y787:AC787"/>
    <mergeCell ref="AD787:AI787"/>
    <mergeCell ref="AJ787:AL787"/>
    <mergeCell ref="B788:S788"/>
    <mergeCell ref="T788:X788"/>
    <mergeCell ref="Y788:AC788"/>
    <mergeCell ref="AD788:AI788"/>
    <mergeCell ref="B785:S785"/>
    <mergeCell ref="T785:X785"/>
    <mergeCell ref="Y785:AC785"/>
    <mergeCell ref="B786:S786"/>
    <mergeCell ref="T786:X786"/>
    <mergeCell ref="Y786:AC786"/>
    <mergeCell ref="B783:S783"/>
    <mergeCell ref="T783:X783"/>
    <mergeCell ref="Y783:AC783"/>
    <mergeCell ref="B784:S784"/>
    <mergeCell ref="T784:X784"/>
    <mergeCell ref="Y784:AC784"/>
    <mergeCell ref="B781:S781"/>
    <mergeCell ref="T781:X781"/>
    <mergeCell ref="Y781:AC781"/>
    <mergeCell ref="AD781:AI781"/>
    <mergeCell ref="B782:S782"/>
    <mergeCell ref="T782:X782"/>
    <mergeCell ref="Y782:AC782"/>
    <mergeCell ref="AD782:AI782"/>
    <mergeCell ref="B779:S779"/>
    <mergeCell ref="T779:X779"/>
    <mergeCell ref="Y779:AC779"/>
    <mergeCell ref="AD779:AI779"/>
    <mergeCell ref="B780:S780"/>
    <mergeCell ref="T780:X780"/>
    <mergeCell ref="Y780:AC780"/>
    <mergeCell ref="AD780:AI780"/>
    <mergeCell ref="B777:S777"/>
    <mergeCell ref="T777:X777"/>
    <mergeCell ref="Y777:AC777"/>
    <mergeCell ref="AD777:AI777"/>
    <mergeCell ref="B778:S778"/>
    <mergeCell ref="T778:X778"/>
    <mergeCell ref="Y778:AC778"/>
    <mergeCell ref="AD778:AI778"/>
    <mergeCell ref="B775:S775"/>
    <mergeCell ref="T775:X775"/>
    <mergeCell ref="Y775:AC775"/>
    <mergeCell ref="AD775:AI775"/>
    <mergeCell ref="B776:S776"/>
    <mergeCell ref="T776:X776"/>
    <mergeCell ref="Y776:AC776"/>
    <mergeCell ref="AD776:AI776"/>
    <mergeCell ref="B773:S773"/>
    <mergeCell ref="T773:X773"/>
    <mergeCell ref="Y773:AC773"/>
    <mergeCell ref="AD773:AI773"/>
    <mergeCell ref="B774:S774"/>
    <mergeCell ref="T774:X774"/>
    <mergeCell ref="Y774:AC774"/>
    <mergeCell ref="AD774:AI774"/>
    <mergeCell ref="B771:S771"/>
    <mergeCell ref="T771:X771"/>
    <mergeCell ref="Y771:AC771"/>
    <mergeCell ref="AD771:AI771"/>
    <mergeCell ref="B772:S772"/>
    <mergeCell ref="T772:X772"/>
    <mergeCell ref="Y772:AC772"/>
    <mergeCell ref="AD772:AI772"/>
    <mergeCell ref="B769:S769"/>
    <mergeCell ref="T769:X769"/>
    <mergeCell ref="Y769:AC769"/>
    <mergeCell ref="AD769:AI769"/>
    <mergeCell ref="B770:S770"/>
    <mergeCell ref="T770:X770"/>
    <mergeCell ref="Y770:AC770"/>
    <mergeCell ref="AD770:AI770"/>
    <mergeCell ref="B767:S767"/>
    <mergeCell ref="T767:X767"/>
    <mergeCell ref="Y767:AC767"/>
    <mergeCell ref="AD767:AI767"/>
    <mergeCell ref="B768:S768"/>
    <mergeCell ref="T768:X768"/>
    <mergeCell ref="Y768:AC768"/>
    <mergeCell ref="AD768:AI768"/>
    <mergeCell ref="B765:S765"/>
    <mergeCell ref="T765:X765"/>
    <mergeCell ref="Y765:AC765"/>
    <mergeCell ref="AD765:AI765"/>
    <mergeCell ref="B766:S766"/>
    <mergeCell ref="T766:X766"/>
    <mergeCell ref="Y766:AC766"/>
    <mergeCell ref="AD766:AI766"/>
    <mergeCell ref="B763:S763"/>
    <mergeCell ref="T763:X763"/>
    <mergeCell ref="Y763:AC763"/>
    <mergeCell ref="AD763:AI763"/>
    <mergeCell ref="B764:S764"/>
    <mergeCell ref="T764:X764"/>
    <mergeCell ref="Y764:AC764"/>
    <mergeCell ref="AD764:AI764"/>
    <mergeCell ref="B761:S761"/>
    <mergeCell ref="T761:X761"/>
    <mergeCell ref="Y761:AC761"/>
    <mergeCell ref="AD761:AI761"/>
    <mergeCell ref="B762:S762"/>
    <mergeCell ref="T762:X762"/>
    <mergeCell ref="Y762:AC762"/>
    <mergeCell ref="AD762:AI762"/>
    <mergeCell ref="B759:S759"/>
    <mergeCell ref="T759:X759"/>
    <mergeCell ref="Y759:AC759"/>
    <mergeCell ref="AD759:AI759"/>
    <mergeCell ref="B760:S760"/>
    <mergeCell ref="T760:X760"/>
    <mergeCell ref="Y760:AC760"/>
    <mergeCell ref="AD760:AI760"/>
    <mergeCell ref="B757:S757"/>
    <mergeCell ref="T757:X757"/>
    <mergeCell ref="Y757:AC757"/>
    <mergeCell ref="AD757:AI757"/>
    <mergeCell ref="B758:S758"/>
    <mergeCell ref="T758:X758"/>
    <mergeCell ref="Y758:AC758"/>
    <mergeCell ref="AD758:AI758"/>
    <mergeCell ref="B755:S755"/>
    <mergeCell ref="T755:X755"/>
    <mergeCell ref="Y755:AC755"/>
    <mergeCell ref="AD755:AI755"/>
    <mergeCell ref="B756:S756"/>
    <mergeCell ref="T756:X756"/>
    <mergeCell ref="Y756:AC756"/>
    <mergeCell ref="AD756:AI756"/>
    <mergeCell ref="A753:S753"/>
    <mergeCell ref="T753:X753"/>
    <mergeCell ref="Y753:AC753"/>
    <mergeCell ref="AD753:AI753"/>
    <mergeCell ref="AJ753:AL753"/>
    <mergeCell ref="B754:S754"/>
    <mergeCell ref="T754:X754"/>
    <mergeCell ref="Y754:AC754"/>
    <mergeCell ref="AD754:AI754"/>
    <mergeCell ref="B751:S751"/>
    <mergeCell ref="T751:X751"/>
    <mergeCell ref="Y751:AC751"/>
    <mergeCell ref="AD751:AI751"/>
    <mergeCell ref="B752:S752"/>
    <mergeCell ref="T752:X752"/>
    <mergeCell ref="Y752:AC752"/>
    <mergeCell ref="B749:S749"/>
    <mergeCell ref="T749:X749"/>
    <mergeCell ref="Y749:AC749"/>
    <mergeCell ref="AD749:AI749"/>
    <mergeCell ref="B750:S750"/>
    <mergeCell ref="T750:X750"/>
    <mergeCell ref="Y750:AC750"/>
    <mergeCell ref="AD746:AI746"/>
    <mergeCell ref="B747:S747"/>
    <mergeCell ref="T747:X747"/>
    <mergeCell ref="Y747:AC747"/>
    <mergeCell ref="AD747:AI747"/>
    <mergeCell ref="B748:S748"/>
    <mergeCell ref="T748:X748"/>
    <mergeCell ref="Y748:AC748"/>
    <mergeCell ref="B745:S745"/>
    <mergeCell ref="T745:X745"/>
    <mergeCell ref="Y745:AC745"/>
    <mergeCell ref="B746:S746"/>
    <mergeCell ref="T746:X746"/>
    <mergeCell ref="Y746:AC746"/>
    <mergeCell ref="B743:S743"/>
    <mergeCell ref="T743:X743"/>
    <mergeCell ref="Y743:AC743"/>
    <mergeCell ref="AD743:AI743"/>
    <mergeCell ref="B744:S744"/>
    <mergeCell ref="T744:X744"/>
    <mergeCell ref="Y744:AC744"/>
    <mergeCell ref="AD744:AI744"/>
    <mergeCell ref="B741:S741"/>
    <mergeCell ref="T741:X741"/>
    <mergeCell ref="Y741:AC741"/>
    <mergeCell ref="AD741:AI741"/>
    <mergeCell ref="B742:S742"/>
    <mergeCell ref="T742:X742"/>
    <mergeCell ref="Y742:AC742"/>
    <mergeCell ref="AD742:AI742"/>
    <mergeCell ref="B739:S739"/>
    <mergeCell ref="T739:X739"/>
    <mergeCell ref="Y739:AC739"/>
    <mergeCell ref="AD739:AI739"/>
    <mergeCell ref="B740:S740"/>
    <mergeCell ref="T740:X740"/>
    <mergeCell ref="Y740:AC740"/>
    <mergeCell ref="AD740:AI740"/>
    <mergeCell ref="B737:S737"/>
    <mergeCell ref="T737:X737"/>
    <mergeCell ref="Y737:AC737"/>
    <mergeCell ref="AD737:AI737"/>
    <mergeCell ref="B738:S738"/>
    <mergeCell ref="T738:X738"/>
    <mergeCell ref="Y738:AC738"/>
    <mergeCell ref="AD738:AI738"/>
    <mergeCell ref="B735:S735"/>
    <mergeCell ref="T735:X735"/>
    <mergeCell ref="Y735:AC735"/>
    <mergeCell ref="AD735:AI735"/>
    <mergeCell ref="B736:S736"/>
    <mergeCell ref="T736:X736"/>
    <mergeCell ref="Y736:AC736"/>
    <mergeCell ref="AD736:AI736"/>
    <mergeCell ref="B733:S733"/>
    <mergeCell ref="T733:X733"/>
    <mergeCell ref="Y733:AC733"/>
    <mergeCell ref="AD733:AI733"/>
    <mergeCell ref="B734:S734"/>
    <mergeCell ref="T734:X734"/>
    <mergeCell ref="Y734:AC734"/>
    <mergeCell ref="AD734:AI734"/>
    <mergeCell ref="B731:S731"/>
    <mergeCell ref="T731:X731"/>
    <mergeCell ref="Y731:AC731"/>
    <mergeCell ref="AD731:AI731"/>
    <mergeCell ref="B732:S732"/>
    <mergeCell ref="T732:X732"/>
    <mergeCell ref="Y732:AC732"/>
    <mergeCell ref="AD732:AI732"/>
    <mergeCell ref="B729:S729"/>
    <mergeCell ref="T729:X729"/>
    <mergeCell ref="Y729:AC729"/>
    <mergeCell ref="AD729:AI729"/>
    <mergeCell ref="B730:S730"/>
    <mergeCell ref="T730:X730"/>
    <mergeCell ref="Y730:AC730"/>
    <mergeCell ref="AD730:AI730"/>
    <mergeCell ref="B727:S727"/>
    <mergeCell ref="T727:X727"/>
    <mergeCell ref="Y727:AC727"/>
    <mergeCell ref="AD727:AI727"/>
    <mergeCell ref="B728:S728"/>
    <mergeCell ref="T728:X728"/>
    <mergeCell ref="Y728:AC728"/>
    <mergeCell ref="AD728:AI728"/>
    <mergeCell ref="B725:S725"/>
    <mergeCell ref="T725:X725"/>
    <mergeCell ref="Y725:AC725"/>
    <mergeCell ref="AD725:AI725"/>
    <mergeCell ref="B726:S726"/>
    <mergeCell ref="T726:X726"/>
    <mergeCell ref="Y726:AC726"/>
    <mergeCell ref="AD726:AI726"/>
    <mergeCell ref="B723:S723"/>
    <mergeCell ref="T723:X723"/>
    <mergeCell ref="Y723:AC723"/>
    <mergeCell ref="AD723:AI723"/>
    <mergeCell ref="B724:S724"/>
    <mergeCell ref="T724:X724"/>
    <mergeCell ref="Y724:AC724"/>
    <mergeCell ref="AD724:AI724"/>
    <mergeCell ref="B721:S721"/>
    <mergeCell ref="T721:X721"/>
    <mergeCell ref="Y721:AC721"/>
    <mergeCell ref="AD721:AI721"/>
    <mergeCell ref="B722:S722"/>
    <mergeCell ref="T722:X722"/>
    <mergeCell ref="Y722:AC722"/>
    <mergeCell ref="AD722:AI722"/>
    <mergeCell ref="B719:S719"/>
    <mergeCell ref="T719:X719"/>
    <mergeCell ref="Y719:AC719"/>
    <mergeCell ref="AD719:AI719"/>
    <mergeCell ref="B720:S720"/>
    <mergeCell ref="T720:X720"/>
    <mergeCell ref="Y720:AC720"/>
    <mergeCell ref="AD720:AI720"/>
    <mergeCell ref="AJ716:AL716"/>
    <mergeCell ref="B717:S717"/>
    <mergeCell ref="T717:X717"/>
    <mergeCell ref="Y717:AC717"/>
    <mergeCell ref="AD717:AI717"/>
    <mergeCell ref="B718:S718"/>
    <mergeCell ref="T718:X718"/>
    <mergeCell ref="Y718:AC718"/>
    <mergeCell ref="AD718:AI718"/>
    <mergeCell ref="B715:S715"/>
    <mergeCell ref="T715:X715"/>
    <mergeCell ref="Y715:AC715"/>
    <mergeCell ref="AD715:AI715"/>
    <mergeCell ref="A716:S716"/>
    <mergeCell ref="T716:X716"/>
    <mergeCell ref="Y716:AC716"/>
    <mergeCell ref="AD716:AI716"/>
    <mergeCell ref="B713:S713"/>
    <mergeCell ref="T713:X713"/>
    <mergeCell ref="Y713:AC713"/>
    <mergeCell ref="AD713:AI713"/>
    <mergeCell ref="B714:S714"/>
    <mergeCell ref="T714:X714"/>
    <mergeCell ref="Y714:AC714"/>
    <mergeCell ref="AD714:AI714"/>
    <mergeCell ref="B711:S711"/>
    <mergeCell ref="T711:X711"/>
    <mergeCell ref="Y711:AC711"/>
    <mergeCell ref="AD711:AI711"/>
    <mergeCell ref="B712:S712"/>
    <mergeCell ref="T712:X712"/>
    <mergeCell ref="Y712:AC712"/>
    <mergeCell ref="AD712:AI712"/>
    <mergeCell ref="B709:S709"/>
    <mergeCell ref="T709:X709"/>
    <mergeCell ref="Y709:AC709"/>
    <mergeCell ref="AD709:AI709"/>
    <mergeCell ref="B710:S710"/>
    <mergeCell ref="T710:X710"/>
    <mergeCell ref="Y710:AC710"/>
    <mergeCell ref="AD710:AI710"/>
    <mergeCell ref="B707:S707"/>
    <mergeCell ref="T707:X707"/>
    <mergeCell ref="Y707:AC707"/>
    <mergeCell ref="AD707:AI707"/>
    <mergeCell ref="B708:S708"/>
    <mergeCell ref="T708:X708"/>
    <mergeCell ref="Y708:AC708"/>
    <mergeCell ref="AD708:AI708"/>
    <mergeCell ref="B705:S705"/>
    <mergeCell ref="T705:X705"/>
    <mergeCell ref="Y705:AC705"/>
    <mergeCell ref="AD705:AI705"/>
    <mergeCell ref="B706:S706"/>
    <mergeCell ref="T706:X706"/>
    <mergeCell ref="Y706:AC706"/>
    <mergeCell ref="AD706:AI706"/>
    <mergeCell ref="B703:S703"/>
    <mergeCell ref="T703:X703"/>
    <mergeCell ref="Y703:AC703"/>
    <mergeCell ref="AD703:AI703"/>
    <mergeCell ref="B704:S704"/>
    <mergeCell ref="T704:X704"/>
    <mergeCell ref="Y704:AC704"/>
    <mergeCell ref="AD704:AI704"/>
    <mergeCell ref="B701:S701"/>
    <mergeCell ref="T701:X701"/>
    <mergeCell ref="Y701:AC701"/>
    <mergeCell ref="AD701:AI701"/>
    <mergeCell ref="B702:S702"/>
    <mergeCell ref="T702:X702"/>
    <mergeCell ref="Y702:AC702"/>
    <mergeCell ref="AD702:AI702"/>
    <mergeCell ref="B699:S699"/>
    <mergeCell ref="T699:X699"/>
    <mergeCell ref="Y699:AC699"/>
    <mergeCell ref="AD699:AI699"/>
    <mergeCell ref="B700:S700"/>
    <mergeCell ref="T700:X700"/>
    <mergeCell ref="Y700:AC700"/>
    <mergeCell ref="AD700:AI700"/>
    <mergeCell ref="B697:S697"/>
    <mergeCell ref="T697:X697"/>
    <mergeCell ref="Y697:AC697"/>
    <mergeCell ref="AD697:AI697"/>
    <mergeCell ref="B698:S698"/>
    <mergeCell ref="T698:X698"/>
    <mergeCell ref="Y698:AC698"/>
    <mergeCell ref="AD698:AI698"/>
    <mergeCell ref="B695:S695"/>
    <mergeCell ref="T695:X695"/>
    <mergeCell ref="Y695:AC695"/>
    <mergeCell ref="AD695:AI695"/>
    <mergeCell ref="B696:S696"/>
    <mergeCell ref="T696:X696"/>
    <mergeCell ref="Y696:AC696"/>
    <mergeCell ref="AD696:AI696"/>
    <mergeCell ref="B693:S693"/>
    <mergeCell ref="T693:X693"/>
    <mergeCell ref="Y693:AC693"/>
    <mergeCell ref="AD693:AI693"/>
    <mergeCell ref="B694:S694"/>
    <mergeCell ref="T694:X694"/>
    <mergeCell ref="Y694:AC694"/>
    <mergeCell ref="AD694:AI694"/>
    <mergeCell ref="B691:S691"/>
    <mergeCell ref="T691:X691"/>
    <mergeCell ref="Y691:AC691"/>
    <mergeCell ref="AD691:AI691"/>
    <mergeCell ref="B692:S692"/>
    <mergeCell ref="T692:X692"/>
    <mergeCell ref="Y692:AC692"/>
    <mergeCell ref="AD692:AI692"/>
    <mergeCell ref="AD689:AI689"/>
    <mergeCell ref="A690:S690"/>
    <mergeCell ref="T690:X690"/>
    <mergeCell ref="Y690:AC690"/>
    <mergeCell ref="AD690:AI690"/>
    <mergeCell ref="AJ690:AL690"/>
    <mergeCell ref="B688:S688"/>
    <mergeCell ref="T688:X688"/>
    <mergeCell ref="Y688:AC688"/>
    <mergeCell ref="B689:S689"/>
    <mergeCell ref="T689:X689"/>
    <mergeCell ref="Y689:AC689"/>
    <mergeCell ref="B686:S686"/>
    <mergeCell ref="T686:X686"/>
    <mergeCell ref="Y686:AC686"/>
    <mergeCell ref="B687:S687"/>
    <mergeCell ref="T687:X687"/>
    <mergeCell ref="Y687:AC687"/>
    <mergeCell ref="B684:S684"/>
    <mergeCell ref="T684:X684"/>
    <mergeCell ref="Y684:AC684"/>
    <mergeCell ref="AD684:AI684"/>
    <mergeCell ref="B685:S685"/>
    <mergeCell ref="T685:X685"/>
    <mergeCell ref="Y685:AC685"/>
    <mergeCell ref="AD685:AI685"/>
    <mergeCell ref="B682:S682"/>
    <mergeCell ref="T682:X682"/>
    <mergeCell ref="Y682:AC682"/>
    <mergeCell ref="AD682:AI682"/>
    <mergeCell ref="B683:S683"/>
    <mergeCell ref="T683:X683"/>
    <mergeCell ref="Y683:AC683"/>
    <mergeCell ref="AD683:AI683"/>
    <mergeCell ref="B680:S680"/>
    <mergeCell ref="T680:X680"/>
    <mergeCell ref="Y680:AC680"/>
    <mergeCell ref="AD680:AI680"/>
    <mergeCell ref="B681:S681"/>
    <mergeCell ref="T681:X681"/>
    <mergeCell ref="Y681:AC681"/>
    <mergeCell ref="AD681:AI681"/>
    <mergeCell ref="B678:S678"/>
    <mergeCell ref="T678:X678"/>
    <mergeCell ref="Y678:AC678"/>
    <mergeCell ref="AD678:AI678"/>
    <mergeCell ref="B679:S679"/>
    <mergeCell ref="T679:X679"/>
    <mergeCell ref="Y679:AC679"/>
    <mergeCell ref="AD679:AI679"/>
    <mergeCell ref="B676:S676"/>
    <mergeCell ref="T676:X676"/>
    <mergeCell ref="Y676:AC676"/>
    <mergeCell ref="AD676:AI676"/>
    <mergeCell ref="B677:S677"/>
    <mergeCell ref="T677:X677"/>
    <mergeCell ref="Y677:AC677"/>
    <mergeCell ref="AD677:AI677"/>
    <mergeCell ref="B674:S674"/>
    <mergeCell ref="T674:X674"/>
    <mergeCell ref="Y674:AC674"/>
    <mergeCell ref="AD674:AI674"/>
    <mergeCell ref="B675:S675"/>
    <mergeCell ref="T675:X675"/>
    <mergeCell ref="Y675:AC675"/>
    <mergeCell ref="AD675:AI675"/>
    <mergeCell ref="B672:S672"/>
    <mergeCell ref="T672:X672"/>
    <mergeCell ref="Y672:AC672"/>
    <mergeCell ref="AD672:AI672"/>
    <mergeCell ref="B673:S673"/>
    <mergeCell ref="T673:X673"/>
    <mergeCell ref="Y673:AC673"/>
    <mergeCell ref="AD673:AI673"/>
    <mergeCell ref="B670:S670"/>
    <mergeCell ref="T670:X670"/>
    <mergeCell ref="Y670:AC670"/>
    <mergeCell ref="AD670:AI670"/>
    <mergeCell ref="B671:S671"/>
    <mergeCell ref="T671:X671"/>
    <mergeCell ref="Y671:AC671"/>
    <mergeCell ref="AD671:AI671"/>
    <mergeCell ref="B668:S668"/>
    <mergeCell ref="T668:X668"/>
    <mergeCell ref="Y668:AC668"/>
    <mergeCell ref="AD668:AI668"/>
    <mergeCell ref="B669:S669"/>
    <mergeCell ref="T669:X669"/>
    <mergeCell ref="Y669:AC669"/>
    <mergeCell ref="AD669:AI669"/>
    <mergeCell ref="A666:S666"/>
    <mergeCell ref="T666:X666"/>
    <mergeCell ref="Y666:AC666"/>
    <mergeCell ref="AD666:AI666"/>
    <mergeCell ref="AJ666:AL666"/>
    <mergeCell ref="B667:S667"/>
    <mergeCell ref="T667:X667"/>
    <mergeCell ref="Y667:AC667"/>
    <mergeCell ref="AD667:AI667"/>
    <mergeCell ref="AD664:AI664"/>
    <mergeCell ref="AJ664:AL664"/>
    <mergeCell ref="B665:S665"/>
    <mergeCell ref="T665:X665"/>
    <mergeCell ref="Y665:AC665"/>
    <mergeCell ref="AD665:AI665"/>
    <mergeCell ref="B663:S663"/>
    <mergeCell ref="T663:X663"/>
    <mergeCell ref="Y663:AC663"/>
    <mergeCell ref="A664:S664"/>
    <mergeCell ref="T664:X664"/>
    <mergeCell ref="Y664:AC664"/>
    <mergeCell ref="B661:S661"/>
    <mergeCell ref="T661:X661"/>
    <mergeCell ref="Y661:AC661"/>
    <mergeCell ref="AD661:AI661"/>
    <mergeCell ref="B662:S662"/>
    <mergeCell ref="T662:X662"/>
    <mergeCell ref="Y662:AC662"/>
    <mergeCell ref="B659:S659"/>
    <mergeCell ref="T659:X659"/>
    <mergeCell ref="Y659:AC659"/>
    <mergeCell ref="AD659:AI659"/>
    <mergeCell ref="B660:S660"/>
    <mergeCell ref="T660:X660"/>
    <mergeCell ref="Y660:AC660"/>
    <mergeCell ref="AD660:AI660"/>
    <mergeCell ref="B657:S657"/>
    <mergeCell ref="T657:X657"/>
    <mergeCell ref="Y657:AC657"/>
    <mergeCell ref="AD657:AI657"/>
    <mergeCell ref="B658:S658"/>
    <mergeCell ref="T658:X658"/>
    <mergeCell ref="Y658:AC658"/>
    <mergeCell ref="AD658:AI658"/>
    <mergeCell ref="B655:S655"/>
    <mergeCell ref="T655:X655"/>
    <mergeCell ref="Y655:AC655"/>
    <mergeCell ref="AD655:AI655"/>
    <mergeCell ref="B656:S656"/>
    <mergeCell ref="T656:X656"/>
    <mergeCell ref="Y656:AC656"/>
    <mergeCell ref="B653:S653"/>
    <mergeCell ref="T653:X653"/>
    <mergeCell ref="Y653:AC653"/>
    <mergeCell ref="AD653:AI653"/>
    <mergeCell ref="B654:S654"/>
    <mergeCell ref="T654:X654"/>
    <mergeCell ref="Y654:AC654"/>
    <mergeCell ref="AD654:AI654"/>
    <mergeCell ref="B651:S651"/>
    <mergeCell ref="T651:X651"/>
    <mergeCell ref="Y651:AC651"/>
    <mergeCell ref="AD651:AI651"/>
    <mergeCell ref="B652:S652"/>
    <mergeCell ref="T652:X652"/>
    <mergeCell ref="Y652:AC652"/>
    <mergeCell ref="AD652:AI652"/>
    <mergeCell ref="B649:S649"/>
    <mergeCell ref="T649:X649"/>
    <mergeCell ref="Y649:AC649"/>
    <mergeCell ref="AD649:AI649"/>
    <mergeCell ref="B650:S650"/>
    <mergeCell ref="T650:X650"/>
    <mergeCell ref="Y650:AC650"/>
    <mergeCell ref="AD650:AI650"/>
    <mergeCell ref="B647:S647"/>
    <mergeCell ref="T647:X647"/>
    <mergeCell ref="Y647:AC647"/>
    <mergeCell ref="AD647:AI647"/>
    <mergeCell ref="B648:S648"/>
    <mergeCell ref="T648:X648"/>
    <mergeCell ref="Y648:AC648"/>
    <mergeCell ref="AD648:AI648"/>
    <mergeCell ref="B645:S645"/>
    <mergeCell ref="T645:X645"/>
    <mergeCell ref="Y645:AC645"/>
    <mergeCell ref="AD645:AI645"/>
    <mergeCell ref="B646:S646"/>
    <mergeCell ref="T646:X646"/>
    <mergeCell ref="Y646:AC646"/>
    <mergeCell ref="AD646:AI646"/>
    <mergeCell ref="B643:S643"/>
    <mergeCell ref="T643:X643"/>
    <mergeCell ref="Y643:AC643"/>
    <mergeCell ref="AD643:AI643"/>
    <mergeCell ref="B644:S644"/>
    <mergeCell ref="T644:X644"/>
    <mergeCell ref="Y644:AC644"/>
    <mergeCell ref="AD644:AI644"/>
    <mergeCell ref="B641:S641"/>
    <mergeCell ref="T641:X641"/>
    <mergeCell ref="Y641:AC641"/>
    <mergeCell ref="AD641:AI641"/>
    <mergeCell ref="B642:S642"/>
    <mergeCell ref="T642:X642"/>
    <mergeCell ref="Y642:AC642"/>
    <mergeCell ref="AD642:AI642"/>
    <mergeCell ref="B639:S639"/>
    <mergeCell ref="T639:X639"/>
    <mergeCell ref="Y639:AC639"/>
    <mergeCell ref="AD639:AI639"/>
    <mergeCell ref="B640:S640"/>
    <mergeCell ref="T640:X640"/>
    <mergeCell ref="Y640:AC640"/>
    <mergeCell ref="AD640:AI640"/>
    <mergeCell ref="B637:S637"/>
    <mergeCell ref="T637:X637"/>
    <mergeCell ref="Y637:AC637"/>
    <mergeCell ref="AD637:AI637"/>
    <mergeCell ref="B638:S638"/>
    <mergeCell ref="T638:X638"/>
    <mergeCell ref="Y638:AC638"/>
    <mergeCell ref="AD638:AI638"/>
    <mergeCell ref="B635:S635"/>
    <mergeCell ref="T635:X635"/>
    <mergeCell ref="Y635:AC635"/>
    <mergeCell ref="AD635:AI635"/>
    <mergeCell ref="B636:S636"/>
    <mergeCell ref="T636:X636"/>
    <mergeCell ref="Y636:AC636"/>
    <mergeCell ref="AD636:AI636"/>
    <mergeCell ref="B633:S633"/>
    <mergeCell ref="T633:X633"/>
    <mergeCell ref="Y633:AC633"/>
    <mergeCell ref="AD633:AI633"/>
    <mergeCell ref="B634:S634"/>
    <mergeCell ref="T634:X634"/>
    <mergeCell ref="Y634:AC634"/>
    <mergeCell ref="AD634:AI634"/>
    <mergeCell ref="B631:S631"/>
    <mergeCell ref="T631:X631"/>
    <mergeCell ref="Y631:AC631"/>
    <mergeCell ref="AD631:AI631"/>
    <mergeCell ref="B632:S632"/>
    <mergeCell ref="T632:X632"/>
    <mergeCell ref="Y632:AC632"/>
    <mergeCell ref="AD632:AI632"/>
    <mergeCell ref="B629:S629"/>
    <mergeCell ref="T629:X629"/>
    <mergeCell ref="Y629:AC629"/>
    <mergeCell ref="AD629:AI629"/>
    <mergeCell ref="B630:S630"/>
    <mergeCell ref="T630:X630"/>
    <mergeCell ref="Y630:AC630"/>
    <mergeCell ref="AD630:AI630"/>
    <mergeCell ref="B627:S627"/>
    <mergeCell ref="T627:X627"/>
    <mergeCell ref="Y627:AC627"/>
    <mergeCell ref="AD627:AI627"/>
    <mergeCell ref="B628:S628"/>
    <mergeCell ref="T628:X628"/>
    <mergeCell ref="Y628:AC628"/>
    <mergeCell ref="AD628:AI628"/>
    <mergeCell ref="A625:S625"/>
    <mergeCell ref="T625:X625"/>
    <mergeCell ref="Y625:AC625"/>
    <mergeCell ref="AD625:AI625"/>
    <mergeCell ref="AJ625:AL625"/>
    <mergeCell ref="B626:S626"/>
    <mergeCell ref="T626:X626"/>
    <mergeCell ref="Y626:AC626"/>
    <mergeCell ref="AD626:AI626"/>
    <mergeCell ref="AD622:AI622"/>
    <mergeCell ref="B623:S623"/>
    <mergeCell ref="T623:X623"/>
    <mergeCell ref="Y623:AC623"/>
    <mergeCell ref="AD623:AI623"/>
    <mergeCell ref="B624:S624"/>
    <mergeCell ref="T624:X624"/>
    <mergeCell ref="Y624:AC624"/>
    <mergeCell ref="B621:S621"/>
    <mergeCell ref="T621:X621"/>
    <mergeCell ref="Y621:AC621"/>
    <mergeCell ref="B622:S622"/>
    <mergeCell ref="T622:X622"/>
    <mergeCell ref="Y622:AC622"/>
    <mergeCell ref="B619:S619"/>
    <mergeCell ref="T619:X619"/>
    <mergeCell ref="Y619:AC619"/>
    <mergeCell ref="AD619:AI619"/>
    <mergeCell ref="B620:S620"/>
    <mergeCell ref="T620:X620"/>
    <mergeCell ref="Y620:AC620"/>
    <mergeCell ref="B617:S617"/>
    <mergeCell ref="T617:X617"/>
    <mergeCell ref="Y617:AC617"/>
    <mergeCell ref="AD617:AI617"/>
    <mergeCell ref="B618:S618"/>
    <mergeCell ref="T618:X618"/>
    <mergeCell ref="Y618:AC618"/>
    <mergeCell ref="AD618:AI618"/>
    <mergeCell ref="B615:S615"/>
    <mergeCell ref="T615:X615"/>
    <mergeCell ref="Y615:AC615"/>
    <mergeCell ref="AD615:AI615"/>
    <mergeCell ref="B616:S616"/>
    <mergeCell ref="T616:X616"/>
    <mergeCell ref="Y616:AC616"/>
    <mergeCell ref="AD616:AI616"/>
    <mergeCell ref="B613:S613"/>
    <mergeCell ref="T613:X613"/>
    <mergeCell ref="Y613:AC613"/>
    <mergeCell ref="AD613:AI613"/>
    <mergeCell ref="B614:S614"/>
    <mergeCell ref="T614:X614"/>
    <mergeCell ref="Y614:AC614"/>
    <mergeCell ref="AD614:AI614"/>
    <mergeCell ref="B611:S611"/>
    <mergeCell ref="T611:X611"/>
    <mergeCell ref="Y611:AC611"/>
    <mergeCell ref="AD611:AI611"/>
    <mergeCell ref="B612:S612"/>
    <mergeCell ref="T612:X612"/>
    <mergeCell ref="Y612:AC612"/>
    <mergeCell ref="AD612:AI612"/>
    <mergeCell ref="B609:S609"/>
    <mergeCell ref="T609:X609"/>
    <mergeCell ref="Y609:AC609"/>
    <mergeCell ref="AD609:AI609"/>
    <mergeCell ref="B610:S610"/>
    <mergeCell ref="T610:X610"/>
    <mergeCell ref="Y610:AC610"/>
    <mergeCell ref="AD610:AI610"/>
    <mergeCell ref="B607:S607"/>
    <mergeCell ref="T607:X607"/>
    <mergeCell ref="Y607:AC607"/>
    <mergeCell ref="AD607:AI607"/>
    <mergeCell ref="B608:S608"/>
    <mergeCell ref="T608:X608"/>
    <mergeCell ref="Y608:AC608"/>
    <mergeCell ref="AD608:AI608"/>
    <mergeCell ref="B605:S605"/>
    <mergeCell ref="T605:X605"/>
    <mergeCell ref="Y605:AC605"/>
    <mergeCell ref="AD605:AI605"/>
    <mergeCell ref="B606:S606"/>
    <mergeCell ref="T606:X606"/>
    <mergeCell ref="Y606:AC606"/>
    <mergeCell ref="AD606:AI606"/>
    <mergeCell ref="B603:S603"/>
    <mergeCell ref="T603:X603"/>
    <mergeCell ref="Y603:AC603"/>
    <mergeCell ref="AD603:AI603"/>
    <mergeCell ref="B604:S604"/>
    <mergeCell ref="T604:X604"/>
    <mergeCell ref="Y604:AC604"/>
    <mergeCell ref="AD604:AI604"/>
    <mergeCell ref="B601:S601"/>
    <mergeCell ref="T601:X601"/>
    <mergeCell ref="Y601:AC601"/>
    <mergeCell ref="AD601:AI601"/>
    <mergeCell ref="B602:S602"/>
    <mergeCell ref="T602:X602"/>
    <mergeCell ref="Y602:AC602"/>
    <mergeCell ref="AD602:AI602"/>
    <mergeCell ref="B599:S599"/>
    <mergeCell ref="T599:X599"/>
    <mergeCell ref="Y599:AC599"/>
    <mergeCell ref="AD599:AI599"/>
    <mergeCell ref="B600:S600"/>
    <mergeCell ref="T600:X600"/>
    <mergeCell ref="Y600:AC600"/>
    <mergeCell ref="AD600:AI600"/>
    <mergeCell ref="B597:S597"/>
    <mergeCell ref="T597:X597"/>
    <mergeCell ref="Y597:AC597"/>
    <mergeCell ref="AD597:AI597"/>
    <mergeCell ref="B598:S598"/>
    <mergeCell ref="T598:X598"/>
    <mergeCell ref="Y598:AC598"/>
    <mergeCell ref="AD598:AI598"/>
    <mergeCell ref="B595:S595"/>
    <mergeCell ref="T595:X595"/>
    <mergeCell ref="Y595:AC595"/>
    <mergeCell ref="AD595:AI595"/>
    <mergeCell ref="B596:S596"/>
    <mergeCell ref="T596:X596"/>
    <mergeCell ref="Y596:AC596"/>
    <mergeCell ref="AD596:AI596"/>
    <mergeCell ref="B593:S593"/>
    <mergeCell ref="T593:X593"/>
    <mergeCell ref="Y593:AC593"/>
    <mergeCell ref="AD593:AI593"/>
    <mergeCell ref="B594:S594"/>
    <mergeCell ref="T594:X594"/>
    <mergeCell ref="Y594:AC594"/>
    <mergeCell ref="AD594:AI594"/>
    <mergeCell ref="B591:S591"/>
    <mergeCell ref="T591:X591"/>
    <mergeCell ref="Y591:AC591"/>
    <mergeCell ref="AD591:AI591"/>
    <mergeCell ref="B592:S592"/>
    <mergeCell ref="T592:X592"/>
    <mergeCell ref="Y592:AC592"/>
    <mergeCell ref="AD592:AI592"/>
    <mergeCell ref="AD589:AI589"/>
    <mergeCell ref="AJ589:AL589"/>
    <mergeCell ref="B590:S590"/>
    <mergeCell ref="T590:X590"/>
    <mergeCell ref="Y590:AC590"/>
    <mergeCell ref="AD590:AI590"/>
    <mergeCell ref="B588:S588"/>
    <mergeCell ref="T588:X588"/>
    <mergeCell ref="Y588:AC588"/>
    <mergeCell ref="A589:S589"/>
    <mergeCell ref="T589:X589"/>
    <mergeCell ref="Y589:AC589"/>
    <mergeCell ref="B586:S586"/>
    <mergeCell ref="T586:X586"/>
    <mergeCell ref="Y586:AC586"/>
    <mergeCell ref="AD586:AI586"/>
    <mergeCell ref="B587:S587"/>
    <mergeCell ref="T587:X587"/>
    <mergeCell ref="Y587:AC587"/>
    <mergeCell ref="B584:S584"/>
    <mergeCell ref="T584:X584"/>
    <mergeCell ref="Y584:AC584"/>
    <mergeCell ref="AD584:AI584"/>
    <mergeCell ref="B585:S585"/>
    <mergeCell ref="T585:X585"/>
    <mergeCell ref="Y585:AC585"/>
    <mergeCell ref="AD585:AI585"/>
    <mergeCell ref="B582:S582"/>
    <mergeCell ref="T582:X582"/>
    <mergeCell ref="Y582:AC582"/>
    <mergeCell ref="AD582:AI582"/>
    <mergeCell ref="B583:S583"/>
    <mergeCell ref="T583:X583"/>
    <mergeCell ref="Y583:AC583"/>
    <mergeCell ref="B580:S580"/>
    <mergeCell ref="T580:X580"/>
    <mergeCell ref="Y580:AC580"/>
    <mergeCell ref="AD580:AI580"/>
    <mergeCell ref="B581:S581"/>
    <mergeCell ref="T581:X581"/>
    <mergeCell ref="Y581:AC581"/>
    <mergeCell ref="AD581:AI581"/>
    <mergeCell ref="B578:S578"/>
    <mergeCell ref="T578:X578"/>
    <mergeCell ref="Y578:AC578"/>
    <mergeCell ref="AD578:AI578"/>
    <mergeCell ref="B579:S579"/>
    <mergeCell ref="T579:X579"/>
    <mergeCell ref="Y579:AC579"/>
    <mergeCell ref="AD579:AI579"/>
    <mergeCell ref="B576:S576"/>
    <mergeCell ref="T576:X576"/>
    <mergeCell ref="Y576:AC576"/>
    <mergeCell ref="AD576:AI576"/>
    <mergeCell ref="B577:S577"/>
    <mergeCell ref="T577:X577"/>
    <mergeCell ref="Y577:AC577"/>
    <mergeCell ref="AD577:AI577"/>
    <mergeCell ref="B574:S574"/>
    <mergeCell ref="T574:X574"/>
    <mergeCell ref="Y574:AC574"/>
    <mergeCell ref="AD574:AI574"/>
    <mergeCell ref="B575:S575"/>
    <mergeCell ref="T575:X575"/>
    <mergeCell ref="Y575:AC575"/>
    <mergeCell ref="AD575:AI575"/>
    <mergeCell ref="B572:S572"/>
    <mergeCell ref="T572:X572"/>
    <mergeCell ref="Y572:AC572"/>
    <mergeCell ref="AD572:AI572"/>
    <mergeCell ref="B573:S573"/>
    <mergeCell ref="T573:X573"/>
    <mergeCell ref="Y573:AC573"/>
    <mergeCell ref="AD573:AI573"/>
    <mergeCell ref="B570:S570"/>
    <mergeCell ref="T570:X570"/>
    <mergeCell ref="Y570:AC570"/>
    <mergeCell ref="AD570:AI570"/>
    <mergeCell ref="B571:S571"/>
    <mergeCell ref="T571:X571"/>
    <mergeCell ref="Y571:AC571"/>
    <mergeCell ref="AD571:AI571"/>
    <mergeCell ref="B568:S568"/>
    <mergeCell ref="T568:X568"/>
    <mergeCell ref="Y568:AC568"/>
    <mergeCell ref="AD568:AI568"/>
    <mergeCell ref="B569:S569"/>
    <mergeCell ref="T569:X569"/>
    <mergeCell ref="Y569:AC569"/>
    <mergeCell ref="AD569:AI569"/>
    <mergeCell ref="B566:S566"/>
    <mergeCell ref="T566:X566"/>
    <mergeCell ref="Y566:AC566"/>
    <mergeCell ref="AD566:AI566"/>
    <mergeCell ref="B567:S567"/>
    <mergeCell ref="T567:X567"/>
    <mergeCell ref="Y567:AC567"/>
    <mergeCell ref="AD567:AI567"/>
    <mergeCell ref="B564:S564"/>
    <mergeCell ref="T564:X564"/>
    <mergeCell ref="Y564:AC564"/>
    <mergeCell ref="AD564:AI564"/>
    <mergeCell ref="B565:S565"/>
    <mergeCell ref="T565:X565"/>
    <mergeCell ref="Y565:AC565"/>
    <mergeCell ref="AD565:AI565"/>
    <mergeCell ref="B562:S562"/>
    <mergeCell ref="T562:X562"/>
    <mergeCell ref="Y562:AC562"/>
    <mergeCell ref="AD562:AI562"/>
    <mergeCell ref="B563:S563"/>
    <mergeCell ref="T563:X563"/>
    <mergeCell ref="Y563:AC563"/>
    <mergeCell ref="AD563:AI563"/>
    <mergeCell ref="B560:S560"/>
    <mergeCell ref="T560:X560"/>
    <mergeCell ref="Y560:AC560"/>
    <mergeCell ref="AD560:AI560"/>
    <mergeCell ref="B561:S561"/>
    <mergeCell ref="T561:X561"/>
    <mergeCell ref="Y561:AC561"/>
    <mergeCell ref="AD561:AI561"/>
    <mergeCell ref="B558:S558"/>
    <mergeCell ref="T558:X558"/>
    <mergeCell ref="Y558:AC558"/>
    <mergeCell ref="AD558:AI558"/>
    <mergeCell ref="B559:S559"/>
    <mergeCell ref="T559:X559"/>
    <mergeCell ref="Y559:AC559"/>
    <mergeCell ref="AD559:AI559"/>
    <mergeCell ref="B556:S556"/>
    <mergeCell ref="T556:X556"/>
    <mergeCell ref="Y556:AC556"/>
    <mergeCell ref="AD556:AI556"/>
    <mergeCell ref="B557:S557"/>
    <mergeCell ref="T557:X557"/>
    <mergeCell ref="Y557:AC557"/>
    <mergeCell ref="AD557:AI557"/>
    <mergeCell ref="B554:S554"/>
    <mergeCell ref="T554:X554"/>
    <mergeCell ref="Y554:AC554"/>
    <mergeCell ref="AD554:AI554"/>
    <mergeCell ref="B555:S555"/>
    <mergeCell ref="T555:X555"/>
    <mergeCell ref="Y555:AC555"/>
    <mergeCell ref="AD555:AI555"/>
    <mergeCell ref="B552:S552"/>
    <mergeCell ref="T552:X552"/>
    <mergeCell ref="Y552:AC552"/>
    <mergeCell ref="AD552:AI552"/>
    <mergeCell ref="B553:S553"/>
    <mergeCell ref="T553:X553"/>
    <mergeCell ref="Y553:AC553"/>
    <mergeCell ref="AD553:AI553"/>
    <mergeCell ref="B550:S550"/>
    <mergeCell ref="T550:X550"/>
    <mergeCell ref="Y550:AC550"/>
    <mergeCell ref="AD550:AI550"/>
    <mergeCell ref="B551:S551"/>
    <mergeCell ref="T551:X551"/>
    <mergeCell ref="Y551:AC551"/>
    <mergeCell ref="AD551:AI551"/>
    <mergeCell ref="B548:S548"/>
    <mergeCell ref="T548:X548"/>
    <mergeCell ref="Y548:AC548"/>
    <mergeCell ref="AD548:AI548"/>
    <mergeCell ref="B549:S549"/>
    <mergeCell ref="T549:X549"/>
    <mergeCell ref="Y549:AC549"/>
    <mergeCell ref="AD549:AI549"/>
    <mergeCell ref="B546:S546"/>
    <mergeCell ref="T546:X546"/>
    <mergeCell ref="Y546:AC546"/>
    <mergeCell ref="AD546:AI546"/>
    <mergeCell ref="B547:S547"/>
    <mergeCell ref="T547:X547"/>
    <mergeCell ref="Y547:AC547"/>
    <mergeCell ref="AD547:AI547"/>
    <mergeCell ref="B544:S544"/>
    <mergeCell ref="T544:X544"/>
    <mergeCell ref="Y544:AC544"/>
    <mergeCell ref="AD544:AI544"/>
    <mergeCell ref="B545:S545"/>
    <mergeCell ref="T545:X545"/>
    <mergeCell ref="Y545:AC545"/>
    <mergeCell ref="AD545:AI545"/>
    <mergeCell ref="B542:S542"/>
    <mergeCell ref="T542:X542"/>
    <mergeCell ref="Y542:AC542"/>
    <mergeCell ref="AD542:AI542"/>
    <mergeCell ref="B543:S543"/>
    <mergeCell ref="T543:X543"/>
    <mergeCell ref="Y543:AC543"/>
    <mergeCell ref="AD543:AI543"/>
    <mergeCell ref="B540:S540"/>
    <mergeCell ref="T540:X540"/>
    <mergeCell ref="Y540:AC540"/>
    <mergeCell ref="AD540:AI540"/>
    <mergeCell ref="B541:S541"/>
    <mergeCell ref="T541:X541"/>
    <mergeCell ref="Y541:AC541"/>
    <mergeCell ref="AD541:AI541"/>
    <mergeCell ref="AJ537:AL537"/>
    <mergeCell ref="B538:S538"/>
    <mergeCell ref="T538:X538"/>
    <mergeCell ref="Y538:AC538"/>
    <mergeCell ref="AD538:AI538"/>
    <mergeCell ref="B539:S539"/>
    <mergeCell ref="T539:X539"/>
    <mergeCell ref="Y539:AC539"/>
    <mergeCell ref="AD539:AI539"/>
    <mergeCell ref="B536:S536"/>
    <mergeCell ref="T536:X536"/>
    <mergeCell ref="Y536:AC536"/>
    <mergeCell ref="AD536:AI536"/>
    <mergeCell ref="A537:S537"/>
    <mergeCell ref="T537:X537"/>
    <mergeCell ref="Y537:AC537"/>
    <mergeCell ref="AD537:AI537"/>
    <mergeCell ref="B534:S534"/>
    <mergeCell ref="T534:X534"/>
    <mergeCell ref="Y534:AC534"/>
    <mergeCell ref="AD534:AI534"/>
    <mergeCell ref="B535:S535"/>
    <mergeCell ref="T535:X535"/>
    <mergeCell ref="Y535:AC535"/>
    <mergeCell ref="AD535:AI535"/>
    <mergeCell ref="B532:S532"/>
    <mergeCell ref="T532:X532"/>
    <mergeCell ref="Y532:AC532"/>
    <mergeCell ref="AD532:AI532"/>
    <mergeCell ref="B533:S533"/>
    <mergeCell ref="T533:X533"/>
    <mergeCell ref="Y533:AC533"/>
    <mergeCell ref="AD533:AI533"/>
    <mergeCell ref="B530:S530"/>
    <mergeCell ref="T530:X530"/>
    <mergeCell ref="Y530:AC530"/>
    <mergeCell ref="AD530:AI530"/>
    <mergeCell ref="B531:S531"/>
    <mergeCell ref="T531:X531"/>
    <mergeCell ref="Y531:AC531"/>
    <mergeCell ref="AD531:AI531"/>
    <mergeCell ref="B528:S528"/>
    <mergeCell ref="T528:X528"/>
    <mergeCell ref="Y528:AC528"/>
    <mergeCell ref="AD528:AI528"/>
    <mergeCell ref="B529:S529"/>
    <mergeCell ref="T529:X529"/>
    <mergeCell ref="Y529:AC529"/>
    <mergeCell ref="AD529:AI529"/>
    <mergeCell ref="B526:S526"/>
    <mergeCell ref="T526:X526"/>
    <mergeCell ref="Y526:AC526"/>
    <mergeCell ref="AD526:AI526"/>
    <mergeCell ref="B527:S527"/>
    <mergeCell ref="T527:X527"/>
    <mergeCell ref="Y527:AC527"/>
    <mergeCell ref="AD527:AI527"/>
    <mergeCell ref="B524:S524"/>
    <mergeCell ref="T524:X524"/>
    <mergeCell ref="Y524:AC524"/>
    <mergeCell ref="AD524:AI524"/>
    <mergeCell ref="B525:S525"/>
    <mergeCell ref="T525:X525"/>
    <mergeCell ref="Y525:AC525"/>
    <mergeCell ref="AD525:AI525"/>
    <mergeCell ref="B522:S522"/>
    <mergeCell ref="T522:X522"/>
    <mergeCell ref="Y522:AC522"/>
    <mergeCell ref="AD522:AI522"/>
    <mergeCell ref="B523:S523"/>
    <mergeCell ref="T523:X523"/>
    <mergeCell ref="Y523:AC523"/>
    <mergeCell ref="AD523:AI523"/>
    <mergeCell ref="B520:S520"/>
    <mergeCell ref="T520:X520"/>
    <mergeCell ref="Y520:AC520"/>
    <mergeCell ref="AD520:AI520"/>
    <mergeCell ref="B521:S521"/>
    <mergeCell ref="T521:X521"/>
    <mergeCell ref="Y521:AC521"/>
    <mergeCell ref="AD521:AI521"/>
    <mergeCell ref="B518:S518"/>
    <mergeCell ref="T518:X518"/>
    <mergeCell ref="Y518:AC518"/>
    <mergeCell ref="AD518:AI518"/>
    <mergeCell ref="B519:S519"/>
    <mergeCell ref="T519:X519"/>
    <mergeCell ref="Y519:AC519"/>
    <mergeCell ref="AD519:AI519"/>
    <mergeCell ref="AJ515:AL515"/>
    <mergeCell ref="B516:S516"/>
    <mergeCell ref="T516:X516"/>
    <mergeCell ref="Y516:AC516"/>
    <mergeCell ref="AD516:AI516"/>
    <mergeCell ref="B517:S517"/>
    <mergeCell ref="T517:X517"/>
    <mergeCell ref="Y517:AC517"/>
    <mergeCell ref="AD517:AI517"/>
    <mergeCell ref="B514:S514"/>
    <mergeCell ref="T514:X514"/>
    <mergeCell ref="Y514:AC514"/>
    <mergeCell ref="AD514:AI514"/>
    <mergeCell ref="A515:S515"/>
    <mergeCell ref="T515:X515"/>
    <mergeCell ref="Y515:AC515"/>
    <mergeCell ref="AD515:AI515"/>
    <mergeCell ref="B512:S512"/>
    <mergeCell ref="T512:X512"/>
    <mergeCell ref="Y512:AC512"/>
    <mergeCell ref="AD512:AI512"/>
    <mergeCell ref="B513:S513"/>
    <mergeCell ref="T513:X513"/>
    <mergeCell ref="Y513:AC513"/>
    <mergeCell ref="AD513:AI513"/>
    <mergeCell ref="B510:S510"/>
    <mergeCell ref="T510:X510"/>
    <mergeCell ref="Y510:AC510"/>
    <mergeCell ref="AD510:AI510"/>
    <mergeCell ref="B511:S511"/>
    <mergeCell ref="T511:X511"/>
    <mergeCell ref="Y511:AC511"/>
    <mergeCell ref="AD511:AI511"/>
    <mergeCell ref="B508:S508"/>
    <mergeCell ref="T508:X508"/>
    <mergeCell ref="Y508:AC508"/>
    <mergeCell ref="AD508:AI508"/>
    <mergeCell ref="B509:S509"/>
    <mergeCell ref="T509:X509"/>
    <mergeCell ref="Y509:AC509"/>
    <mergeCell ref="AD509:AI509"/>
    <mergeCell ref="B506:S506"/>
    <mergeCell ref="T506:X506"/>
    <mergeCell ref="Y506:AC506"/>
    <mergeCell ref="AD506:AI506"/>
    <mergeCell ref="B507:S507"/>
    <mergeCell ref="T507:X507"/>
    <mergeCell ref="Y507:AC507"/>
    <mergeCell ref="AD507:AI507"/>
    <mergeCell ref="B504:S504"/>
    <mergeCell ref="T504:X504"/>
    <mergeCell ref="Y504:AC504"/>
    <mergeCell ref="AD504:AI504"/>
    <mergeCell ref="B505:S505"/>
    <mergeCell ref="T505:X505"/>
    <mergeCell ref="Y505:AC505"/>
    <mergeCell ref="AD505:AI505"/>
    <mergeCell ref="B502:S502"/>
    <mergeCell ref="T502:X502"/>
    <mergeCell ref="Y502:AC502"/>
    <mergeCell ref="AD502:AI502"/>
    <mergeCell ref="B503:S503"/>
    <mergeCell ref="T503:X503"/>
    <mergeCell ref="Y503:AC503"/>
    <mergeCell ref="AD503:AI503"/>
    <mergeCell ref="B500:S500"/>
    <mergeCell ref="T500:X500"/>
    <mergeCell ref="Y500:AC500"/>
    <mergeCell ref="AD500:AI500"/>
    <mergeCell ref="B501:S501"/>
    <mergeCell ref="T501:X501"/>
    <mergeCell ref="Y501:AC501"/>
    <mergeCell ref="AD501:AI501"/>
    <mergeCell ref="B498:S498"/>
    <mergeCell ref="T498:X498"/>
    <mergeCell ref="Y498:AC498"/>
    <mergeCell ref="AD498:AI498"/>
    <mergeCell ref="B499:S499"/>
    <mergeCell ref="T499:X499"/>
    <mergeCell ref="Y499:AC499"/>
    <mergeCell ref="AD499:AI499"/>
    <mergeCell ref="B496:S496"/>
    <mergeCell ref="T496:X496"/>
    <mergeCell ref="Y496:AC496"/>
    <mergeCell ref="AD496:AI496"/>
    <mergeCell ref="B497:S497"/>
    <mergeCell ref="T497:X497"/>
    <mergeCell ref="Y497:AC497"/>
    <mergeCell ref="AD497:AI497"/>
    <mergeCell ref="B494:S494"/>
    <mergeCell ref="T494:X494"/>
    <mergeCell ref="Y494:AC494"/>
    <mergeCell ref="AD494:AI494"/>
    <mergeCell ref="B495:S495"/>
    <mergeCell ref="T495:X495"/>
    <mergeCell ref="Y495:AC495"/>
    <mergeCell ref="AD495:AI495"/>
    <mergeCell ref="B492:S492"/>
    <mergeCell ref="T492:X492"/>
    <mergeCell ref="Y492:AC492"/>
    <mergeCell ref="AD492:AI492"/>
    <mergeCell ref="B493:S493"/>
    <mergeCell ref="T493:X493"/>
    <mergeCell ref="Y493:AC493"/>
    <mergeCell ref="AD493:AI493"/>
    <mergeCell ref="B490:S490"/>
    <mergeCell ref="T490:X490"/>
    <mergeCell ref="Y490:AC490"/>
    <mergeCell ref="AD490:AI490"/>
    <mergeCell ref="B491:S491"/>
    <mergeCell ref="T491:X491"/>
    <mergeCell ref="Y491:AC491"/>
    <mergeCell ref="AD491:AI491"/>
    <mergeCell ref="B488:S488"/>
    <mergeCell ref="T488:X488"/>
    <mergeCell ref="Y488:AC488"/>
    <mergeCell ref="AD488:AI488"/>
    <mergeCell ref="B489:S489"/>
    <mergeCell ref="T489:X489"/>
    <mergeCell ref="Y489:AC489"/>
    <mergeCell ref="AD489:AI489"/>
    <mergeCell ref="B486:S486"/>
    <mergeCell ref="T486:X486"/>
    <mergeCell ref="Y486:AC486"/>
    <mergeCell ref="AD486:AI486"/>
    <mergeCell ref="B487:S487"/>
    <mergeCell ref="T487:X487"/>
    <mergeCell ref="Y487:AC487"/>
    <mergeCell ref="AD487:AI487"/>
    <mergeCell ref="B484:S484"/>
    <mergeCell ref="T484:X484"/>
    <mergeCell ref="Y484:AC484"/>
    <mergeCell ref="AD484:AI484"/>
    <mergeCell ref="B485:S485"/>
    <mergeCell ref="T485:X485"/>
    <mergeCell ref="Y485:AC485"/>
    <mergeCell ref="AD485:AI485"/>
    <mergeCell ref="AJ481:AL481"/>
    <mergeCell ref="B482:S482"/>
    <mergeCell ref="T482:X482"/>
    <mergeCell ref="Y482:AC482"/>
    <mergeCell ref="AD482:AI482"/>
    <mergeCell ref="B483:S483"/>
    <mergeCell ref="T483:X483"/>
    <mergeCell ref="Y483:AC483"/>
    <mergeCell ref="AD483:AI483"/>
    <mergeCell ref="AD479:AI479"/>
    <mergeCell ref="B480:S480"/>
    <mergeCell ref="T480:X480"/>
    <mergeCell ref="Y480:AC480"/>
    <mergeCell ref="A481:S481"/>
    <mergeCell ref="T481:X481"/>
    <mergeCell ref="Y481:AC481"/>
    <mergeCell ref="AD481:AI481"/>
    <mergeCell ref="B478:S478"/>
    <mergeCell ref="T478:X478"/>
    <mergeCell ref="Y478:AC478"/>
    <mergeCell ref="B479:S479"/>
    <mergeCell ref="T479:X479"/>
    <mergeCell ref="Y479:AC479"/>
    <mergeCell ref="B476:S476"/>
    <mergeCell ref="T476:X476"/>
    <mergeCell ref="Y476:AC476"/>
    <mergeCell ref="AD476:AI476"/>
    <mergeCell ref="B477:S477"/>
    <mergeCell ref="T477:X477"/>
    <mergeCell ref="Y477:AC477"/>
    <mergeCell ref="AD477:AI477"/>
    <mergeCell ref="B474:S474"/>
    <mergeCell ref="T474:X474"/>
    <mergeCell ref="Y474:AC474"/>
    <mergeCell ref="AD474:AI474"/>
    <mergeCell ref="B475:S475"/>
    <mergeCell ref="T475:X475"/>
    <mergeCell ref="Y475:AC475"/>
    <mergeCell ref="AD475:AI475"/>
    <mergeCell ref="AD472:AI472"/>
    <mergeCell ref="AJ472:AL472"/>
    <mergeCell ref="B473:S473"/>
    <mergeCell ref="T473:X473"/>
    <mergeCell ref="Y473:AC473"/>
    <mergeCell ref="AD473:AI473"/>
    <mergeCell ref="B471:S471"/>
    <mergeCell ref="T471:X471"/>
    <mergeCell ref="Y471:AC471"/>
    <mergeCell ref="A472:S472"/>
    <mergeCell ref="T472:X472"/>
    <mergeCell ref="Y472:AC472"/>
    <mergeCell ref="B469:S469"/>
    <mergeCell ref="T469:X469"/>
    <mergeCell ref="Y469:AC469"/>
    <mergeCell ref="B470:S470"/>
    <mergeCell ref="T470:X470"/>
    <mergeCell ref="Y470:AC470"/>
    <mergeCell ref="B467:S467"/>
    <mergeCell ref="T467:X467"/>
    <mergeCell ref="Y467:AC467"/>
    <mergeCell ref="B468:S468"/>
    <mergeCell ref="T468:X468"/>
    <mergeCell ref="Y468:AC468"/>
    <mergeCell ref="B465:S465"/>
    <mergeCell ref="T465:X465"/>
    <mergeCell ref="Y465:AC465"/>
    <mergeCell ref="AD465:AI465"/>
    <mergeCell ref="B466:S466"/>
    <mergeCell ref="T466:X466"/>
    <mergeCell ref="Y466:AC466"/>
    <mergeCell ref="AD466:AI466"/>
    <mergeCell ref="B463:S463"/>
    <mergeCell ref="T463:X463"/>
    <mergeCell ref="Y463:AC463"/>
    <mergeCell ref="AD463:AI463"/>
    <mergeCell ref="B464:S464"/>
    <mergeCell ref="T464:X464"/>
    <mergeCell ref="Y464:AC464"/>
    <mergeCell ref="B461:S461"/>
    <mergeCell ref="T461:X461"/>
    <mergeCell ref="Y461:AC461"/>
    <mergeCell ref="AD461:AI461"/>
    <mergeCell ref="B462:S462"/>
    <mergeCell ref="T462:X462"/>
    <mergeCell ref="Y462:AC462"/>
    <mergeCell ref="AD462:AI462"/>
    <mergeCell ref="B459:S459"/>
    <mergeCell ref="T459:X459"/>
    <mergeCell ref="Y459:AC459"/>
    <mergeCell ref="AD459:AI459"/>
    <mergeCell ref="B460:S460"/>
    <mergeCell ref="T460:X460"/>
    <mergeCell ref="Y460:AC460"/>
    <mergeCell ref="AD460:AI460"/>
    <mergeCell ref="B457:S457"/>
    <mergeCell ref="T457:X457"/>
    <mergeCell ref="Y457:AC457"/>
    <mergeCell ref="AD457:AI457"/>
    <mergeCell ref="B458:S458"/>
    <mergeCell ref="T458:X458"/>
    <mergeCell ref="Y458:AC458"/>
    <mergeCell ref="AD458:AI458"/>
    <mergeCell ref="B455:S455"/>
    <mergeCell ref="T455:X455"/>
    <mergeCell ref="Y455:AC455"/>
    <mergeCell ref="AD455:AI455"/>
    <mergeCell ref="B456:S456"/>
    <mergeCell ref="T456:X456"/>
    <mergeCell ref="Y456:AC456"/>
    <mergeCell ref="AD456:AI456"/>
    <mergeCell ref="B453:S453"/>
    <mergeCell ref="T453:X453"/>
    <mergeCell ref="Y453:AC453"/>
    <mergeCell ref="AD453:AI453"/>
    <mergeCell ref="B454:S454"/>
    <mergeCell ref="T454:X454"/>
    <mergeCell ref="Y454:AC454"/>
    <mergeCell ref="AD454:AI454"/>
    <mergeCell ref="B451:S451"/>
    <mergeCell ref="T451:X451"/>
    <mergeCell ref="Y451:AC451"/>
    <mergeCell ref="AD451:AI451"/>
    <mergeCell ref="B452:S452"/>
    <mergeCell ref="T452:X452"/>
    <mergeCell ref="Y452:AC452"/>
    <mergeCell ref="AD452:AI452"/>
    <mergeCell ref="B449:S449"/>
    <mergeCell ref="T449:X449"/>
    <mergeCell ref="Y449:AC449"/>
    <mergeCell ref="AD449:AI449"/>
    <mergeCell ref="B450:S450"/>
    <mergeCell ref="T450:X450"/>
    <mergeCell ref="Y450:AC450"/>
    <mergeCell ref="AD450:AI450"/>
    <mergeCell ref="B447:S447"/>
    <mergeCell ref="T447:X447"/>
    <mergeCell ref="Y447:AC447"/>
    <mergeCell ref="AD447:AI447"/>
    <mergeCell ref="B448:S448"/>
    <mergeCell ref="T448:X448"/>
    <mergeCell ref="Y448:AC448"/>
    <mergeCell ref="AD448:AI448"/>
    <mergeCell ref="B445:S445"/>
    <mergeCell ref="T445:X445"/>
    <mergeCell ref="Y445:AC445"/>
    <mergeCell ref="AD445:AI445"/>
    <mergeCell ref="B446:S446"/>
    <mergeCell ref="T446:X446"/>
    <mergeCell ref="Y446:AC446"/>
    <mergeCell ref="AD446:AI446"/>
    <mergeCell ref="B443:S443"/>
    <mergeCell ref="T443:X443"/>
    <mergeCell ref="Y443:AC443"/>
    <mergeCell ref="AD443:AI443"/>
    <mergeCell ref="B444:S444"/>
    <mergeCell ref="T444:X444"/>
    <mergeCell ref="Y444:AC444"/>
    <mergeCell ref="AD444:AI444"/>
    <mergeCell ref="B441:S441"/>
    <mergeCell ref="T441:X441"/>
    <mergeCell ref="Y441:AC441"/>
    <mergeCell ref="AD441:AI441"/>
    <mergeCell ref="B442:S442"/>
    <mergeCell ref="T442:X442"/>
    <mergeCell ref="Y442:AC442"/>
    <mergeCell ref="AD442:AI442"/>
    <mergeCell ref="B439:S439"/>
    <mergeCell ref="T439:X439"/>
    <mergeCell ref="Y439:AC439"/>
    <mergeCell ref="AD439:AI439"/>
    <mergeCell ref="B440:S440"/>
    <mergeCell ref="T440:X440"/>
    <mergeCell ref="Y440:AC440"/>
    <mergeCell ref="AD440:AI440"/>
    <mergeCell ref="B437:S437"/>
    <mergeCell ref="T437:X437"/>
    <mergeCell ref="Y437:AC437"/>
    <mergeCell ref="AD437:AI437"/>
    <mergeCell ref="B438:S438"/>
    <mergeCell ref="T438:X438"/>
    <mergeCell ref="Y438:AC438"/>
    <mergeCell ref="AD438:AI438"/>
    <mergeCell ref="B435:S435"/>
    <mergeCell ref="T435:X435"/>
    <mergeCell ref="Y435:AC435"/>
    <mergeCell ref="AD435:AI435"/>
    <mergeCell ref="B436:S436"/>
    <mergeCell ref="T436:X436"/>
    <mergeCell ref="Y436:AC436"/>
    <mergeCell ref="AD436:AI436"/>
    <mergeCell ref="B433:S433"/>
    <mergeCell ref="T433:X433"/>
    <mergeCell ref="Y433:AC433"/>
    <mergeCell ref="AD433:AI433"/>
    <mergeCell ref="B434:S434"/>
    <mergeCell ref="T434:X434"/>
    <mergeCell ref="Y434:AC434"/>
    <mergeCell ref="AD434:AI434"/>
    <mergeCell ref="AD431:AI431"/>
    <mergeCell ref="AJ431:AL431"/>
    <mergeCell ref="B432:S432"/>
    <mergeCell ref="T432:X432"/>
    <mergeCell ref="Y432:AC432"/>
    <mergeCell ref="AD432:AI432"/>
    <mergeCell ref="B430:S430"/>
    <mergeCell ref="T430:X430"/>
    <mergeCell ref="Y430:AC430"/>
    <mergeCell ref="A431:S431"/>
    <mergeCell ref="T431:X431"/>
    <mergeCell ref="Y431:AC431"/>
    <mergeCell ref="B428:S428"/>
    <mergeCell ref="T428:X428"/>
    <mergeCell ref="Y428:AC428"/>
    <mergeCell ref="AD428:AI428"/>
    <mergeCell ref="B429:S429"/>
    <mergeCell ref="T429:X429"/>
    <mergeCell ref="Y429:AC429"/>
    <mergeCell ref="B426:S426"/>
    <mergeCell ref="T426:X426"/>
    <mergeCell ref="Y426:AC426"/>
    <mergeCell ref="AD426:AI426"/>
    <mergeCell ref="B427:S427"/>
    <mergeCell ref="T427:X427"/>
    <mergeCell ref="Y427:AC427"/>
    <mergeCell ref="AD427:AI427"/>
    <mergeCell ref="B424:S424"/>
    <mergeCell ref="T424:X424"/>
    <mergeCell ref="Y424:AC424"/>
    <mergeCell ref="AD424:AI424"/>
    <mergeCell ref="B425:S425"/>
    <mergeCell ref="T425:X425"/>
    <mergeCell ref="Y425:AC425"/>
    <mergeCell ref="AD425:AI425"/>
    <mergeCell ref="B422:S422"/>
    <mergeCell ref="T422:X422"/>
    <mergeCell ref="Y422:AC422"/>
    <mergeCell ref="AD422:AI422"/>
    <mergeCell ref="B423:S423"/>
    <mergeCell ref="T423:X423"/>
    <mergeCell ref="Y423:AC423"/>
    <mergeCell ref="AD423:AI423"/>
    <mergeCell ref="B420:S420"/>
    <mergeCell ref="T420:X420"/>
    <mergeCell ref="Y420:AC420"/>
    <mergeCell ref="AD420:AI420"/>
    <mergeCell ref="B421:S421"/>
    <mergeCell ref="T421:X421"/>
    <mergeCell ref="Y421:AC421"/>
    <mergeCell ref="AD421:AI421"/>
    <mergeCell ref="B418:S418"/>
    <mergeCell ref="T418:X418"/>
    <mergeCell ref="Y418:AC418"/>
    <mergeCell ref="AD418:AI418"/>
    <mergeCell ref="B419:S419"/>
    <mergeCell ref="T419:X419"/>
    <mergeCell ref="Y419:AC419"/>
    <mergeCell ref="AD419:AI419"/>
    <mergeCell ref="B416:S416"/>
    <mergeCell ref="T416:X416"/>
    <mergeCell ref="Y416:AC416"/>
    <mergeCell ref="AD416:AI416"/>
    <mergeCell ref="B417:S417"/>
    <mergeCell ref="T417:X417"/>
    <mergeCell ref="Y417:AC417"/>
    <mergeCell ref="AD417:AI417"/>
    <mergeCell ref="B414:S414"/>
    <mergeCell ref="T414:X414"/>
    <mergeCell ref="Y414:AC414"/>
    <mergeCell ref="AD414:AI414"/>
    <mergeCell ref="B415:S415"/>
    <mergeCell ref="T415:X415"/>
    <mergeCell ref="Y415:AC415"/>
    <mergeCell ref="AD415:AI415"/>
    <mergeCell ref="B412:S412"/>
    <mergeCell ref="T412:X412"/>
    <mergeCell ref="Y412:AC412"/>
    <mergeCell ref="AD412:AI412"/>
    <mergeCell ref="B413:S413"/>
    <mergeCell ref="T413:X413"/>
    <mergeCell ref="Y413:AC413"/>
    <mergeCell ref="AD413:AI413"/>
    <mergeCell ref="B410:S410"/>
    <mergeCell ref="T410:X410"/>
    <mergeCell ref="Y410:AC410"/>
    <mergeCell ref="AD410:AI410"/>
    <mergeCell ref="B411:S411"/>
    <mergeCell ref="T411:X411"/>
    <mergeCell ref="Y411:AC411"/>
    <mergeCell ref="AD411:AI411"/>
    <mergeCell ref="B408:S408"/>
    <mergeCell ref="T408:X408"/>
    <mergeCell ref="Y408:AC408"/>
    <mergeCell ref="AD408:AI408"/>
    <mergeCell ref="B409:S409"/>
    <mergeCell ref="T409:X409"/>
    <mergeCell ref="Y409:AC409"/>
    <mergeCell ref="AD409:AI409"/>
    <mergeCell ref="B406:S406"/>
    <mergeCell ref="T406:X406"/>
    <mergeCell ref="Y406:AC406"/>
    <mergeCell ref="AD406:AI406"/>
    <mergeCell ref="B407:S407"/>
    <mergeCell ref="T407:X407"/>
    <mergeCell ref="Y407:AC407"/>
    <mergeCell ref="AD407:AI407"/>
    <mergeCell ref="AD404:AI404"/>
    <mergeCell ref="A405:S405"/>
    <mergeCell ref="T405:X405"/>
    <mergeCell ref="Y405:AC405"/>
    <mergeCell ref="AD405:AI405"/>
    <mergeCell ref="AJ405:AL405"/>
    <mergeCell ref="B403:S403"/>
    <mergeCell ref="T403:X403"/>
    <mergeCell ref="Y403:AC403"/>
    <mergeCell ref="B404:S404"/>
    <mergeCell ref="T404:X404"/>
    <mergeCell ref="Y404:AC404"/>
    <mergeCell ref="B401:S401"/>
    <mergeCell ref="T401:X401"/>
    <mergeCell ref="Y401:AC401"/>
    <mergeCell ref="B402:S402"/>
    <mergeCell ref="T402:X402"/>
    <mergeCell ref="Y402:AC402"/>
    <mergeCell ref="B399:S399"/>
    <mergeCell ref="T399:X399"/>
    <mergeCell ref="Y399:AC399"/>
    <mergeCell ref="AD399:AI399"/>
    <mergeCell ref="B400:S400"/>
    <mergeCell ref="T400:X400"/>
    <mergeCell ref="Y400:AC400"/>
    <mergeCell ref="B397:S397"/>
    <mergeCell ref="T397:X397"/>
    <mergeCell ref="Y397:AC397"/>
    <mergeCell ref="AD397:AI397"/>
    <mergeCell ref="B398:S398"/>
    <mergeCell ref="T398:X398"/>
    <mergeCell ref="Y398:AC398"/>
    <mergeCell ref="AD398:AI398"/>
    <mergeCell ref="B395:S395"/>
    <mergeCell ref="T395:X395"/>
    <mergeCell ref="Y395:AC395"/>
    <mergeCell ref="AD395:AI395"/>
    <mergeCell ref="B396:S396"/>
    <mergeCell ref="T396:X396"/>
    <mergeCell ref="Y396:AC396"/>
    <mergeCell ref="AD396:AI396"/>
    <mergeCell ref="B393:S393"/>
    <mergeCell ref="T393:X393"/>
    <mergeCell ref="Y393:AC393"/>
    <mergeCell ref="AD393:AI393"/>
    <mergeCell ref="B394:S394"/>
    <mergeCell ref="T394:X394"/>
    <mergeCell ref="Y394:AC394"/>
    <mergeCell ref="AD394:AI394"/>
    <mergeCell ref="B391:S391"/>
    <mergeCell ref="T391:X391"/>
    <mergeCell ref="Y391:AC391"/>
    <mergeCell ref="AD391:AI391"/>
    <mergeCell ref="B392:S392"/>
    <mergeCell ref="T392:X392"/>
    <mergeCell ref="Y392:AC392"/>
    <mergeCell ref="AD392:AI392"/>
    <mergeCell ref="B389:S389"/>
    <mergeCell ref="T389:X389"/>
    <mergeCell ref="Y389:AC389"/>
    <mergeCell ref="AD389:AI389"/>
    <mergeCell ref="B390:S390"/>
    <mergeCell ref="T390:X390"/>
    <mergeCell ref="Y390:AC390"/>
    <mergeCell ref="AD390:AI390"/>
    <mergeCell ref="B387:S387"/>
    <mergeCell ref="T387:X387"/>
    <mergeCell ref="Y387:AC387"/>
    <mergeCell ref="AD387:AI387"/>
    <mergeCell ref="B388:S388"/>
    <mergeCell ref="T388:X388"/>
    <mergeCell ref="Y388:AC388"/>
    <mergeCell ref="AD388:AI388"/>
    <mergeCell ref="B385:S385"/>
    <mergeCell ref="T385:X385"/>
    <mergeCell ref="Y385:AC385"/>
    <mergeCell ref="AD385:AI385"/>
    <mergeCell ref="B386:S386"/>
    <mergeCell ref="T386:X386"/>
    <mergeCell ref="Y386:AC386"/>
    <mergeCell ref="AD386:AI386"/>
    <mergeCell ref="B383:S383"/>
    <mergeCell ref="T383:X383"/>
    <mergeCell ref="Y383:AC383"/>
    <mergeCell ref="AD383:AI383"/>
    <mergeCell ref="B384:S384"/>
    <mergeCell ref="T384:X384"/>
    <mergeCell ref="Y384:AC384"/>
    <mergeCell ref="AD384:AI384"/>
    <mergeCell ref="B381:S381"/>
    <mergeCell ref="T381:X381"/>
    <mergeCell ref="Y381:AC381"/>
    <mergeCell ref="AD381:AI381"/>
    <mergeCell ref="B382:S382"/>
    <mergeCell ref="T382:X382"/>
    <mergeCell ref="Y382:AC382"/>
    <mergeCell ref="AD382:AI382"/>
    <mergeCell ref="B379:S379"/>
    <mergeCell ref="T379:X379"/>
    <mergeCell ref="Y379:AC379"/>
    <mergeCell ref="AD379:AI379"/>
    <mergeCell ref="B380:S380"/>
    <mergeCell ref="T380:X380"/>
    <mergeCell ref="Y380:AC380"/>
    <mergeCell ref="AD380:AI380"/>
    <mergeCell ref="B377:S377"/>
    <mergeCell ref="T377:X377"/>
    <mergeCell ref="Y377:AC377"/>
    <mergeCell ref="AD377:AI377"/>
    <mergeCell ref="B378:S378"/>
    <mergeCell ref="T378:X378"/>
    <mergeCell ref="Y378:AC378"/>
    <mergeCell ref="AD378:AI378"/>
    <mergeCell ref="AJ374:AL374"/>
    <mergeCell ref="B375:S375"/>
    <mergeCell ref="T375:X375"/>
    <mergeCell ref="Y375:AC375"/>
    <mergeCell ref="AD375:AI375"/>
    <mergeCell ref="B376:S376"/>
    <mergeCell ref="T376:X376"/>
    <mergeCell ref="Y376:AC376"/>
    <mergeCell ref="AD376:AI376"/>
    <mergeCell ref="B373:S373"/>
    <mergeCell ref="T373:X373"/>
    <mergeCell ref="Y373:AC373"/>
    <mergeCell ref="AD373:AI373"/>
    <mergeCell ref="A374:S374"/>
    <mergeCell ref="T374:X374"/>
    <mergeCell ref="Y374:AC374"/>
    <mergeCell ref="AD374:AI374"/>
    <mergeCell ref="AJ370:AL370"/>
    <mergeCell ref="B371:S371"/>
    <mergeCell ref="T371:X371"/>
    <mergeCell ref="Y371:AC371"/>
    <mergeCell ref="AD371:AI371"/>
    <mergeCell ref="B372:S372"/>
    <mergeCell ref="T372:X372"/>
    <mergeCell ref="Y372:AC372"/>
    <mergeCell ref="AD372:AI372"/>
    <mergeCell ref="B369:S369"/>
    <mergeCell ref="T369:X369"/>
    <mergeCell ref="AD369:AI369"/>
    <mergeCell ref="A370:S370"/>
    <mergeCell ref="T370:X370"/>
    <mergeCell ref="Y370:AC370"/>
    <mergeCell ref="AD370:AI370"/>
    <mergeCell ref="B367:S367"/>
    <mergeCell ref="T367:X367"/>
    <mergeCell ref="AD367:AI367"/>
    <mergeCell ref="B368:S368"/>
    <mergeCell ref="T368:X368"/>
    <mergeCell ref="AD368:AI368"/>
    <mergeCell ref="B365:S365"/>
    <mergeCell ref="T365:X365"/>
    <mergeCell ref="AD365:AI365"/>
    <mergeCell ref="B366:S366"/>
    <mergeCell ref="T366:X366"/>
    <mergeCell ref="AD366:AI366"/>
    <mergeCell ref="B363:S363"/>
    <mergeCell ref="T363:X363"/>
    <mergeCell ref="AD363:AI363"/>
    <mergeCell ref="B364:S364"/>
    <mergeCell ref="T364:X364"/>
    <mergeCell ref="AD364:AI364"/>
    <mergeCell ref="B361:S361"/>
    <mergeCell ref="T361:X361"/>
    <mergeCell ref="AD361:AI361"/>
    <mergeCell ref="B362:S362"/>
    <mergeCell ref="T362:X362"/>
    <mergeCell ref="AD362:AI362"/>
    <mergeCell ref="B359:S359"/>
    <mergeCell ref="T359:X359"/>
    <mergeCell ref="AD359:AI359"/>
    <mergeCell ref="B360:S360"/>
    <mergeCell ref="T360:X360"/>
    <mergeCell ref="AD360:AI360"/>
    <mergeCell ref="A357:S357"/>
    <mergeCell ref="T357:X357"/>
    <mergeCell ref="AD357:AI357"/>
    <mergeCell ref="AJ357:AL357"/>
    <mergeCell ref="B358:S358"/>
    <mergeCell ref="T358:X358"/>
    <mergeCell ref="AD358:AI358"/>
    <mergeCell ref="A355:S355"/>
    <mergeCell ref="T355:X355"/>
    <mergeCell ref="Y355:AC355"/>
    <mergeCell ref="AD355:AI355"/>
    <mergeCell ref="AJ355:AL356"/>
    <mergeCell ref="B356:S356"/>
    <mergeCell ref="T356:X356"/>
    <mergeCell ref="Y356:AC356"/>
    <mergeCell ref="AD356:AI356"/>
    <mergeCell ref="AA350:AE350"/>
    <mergeCell ref="A351:J351"/>
    <mergeCell ref="K351:M351"/>
    <mergeCell ref="N351:U351"/>
    <mergeCell ref="V351:Z351"/>
    <mergeCell ref="AA351:AE351"/>
    <mergeCell ref="K349:M349"/>
    <mergeCell ref="N349:U349"/>
    <mergeCell ref="V349:Z349"/>
    <mergeCell ref="A350:J350"/>
    <mergeCell ref="K350:M350"/>
    <mergeCell ref="N350:U350"/>
    <mergeCell ref="V350:Z350"/>
    <mergeCell ref="A343:O343"/>
    <mergeCell ref="P343:V343"/>
    <mergeCell ref="W343:AA343"/>
    <mergeCell ref="AB343:AF343"/>
    <mergeCell ref="AG343:AJ343"/>
    <mergeCell ref="A348:J349"/>
    <mergeCell ref="K348:M348"/>
    <mergeCell ref="N348:U348"/>
    <mergeCell ref="V348:Z348"/>
    <mergeCell ref="AA348:AE349"/>
    <mergeCell ref="A341:O341"/>
    <mergeCell ref="P341:V341"/>
    <mergeCell ref="W341:AA341"/>
    <mergeCell ref="A342:O342"/>
    <mergeCell ref="P342:V342"/>
    <mergeCell ref="W342:AA342"/>
    <mergeCell ref="A339:O339"/>
    <mergeCell ref="P339:V339"/>
    <mergeCell ref="W339:AA339"/>
    <mergeCell ref="A340:O340"/>
    <mergeCell ref="P340:V340"/>
    <mergeCell ref="W340:AA340"/>
    <mergeCell ref="A337:O337"/>
    <mergeCell ref="P337:V337"/>
    <mergeCell ref="W337:AA337"/>
    <mergeCell ref="A338:O338"/>
    <mergeCell ref="P338:V338"/>
    <mergeCell ref="W338:AA338"/>
    <mergeCell ref="A335:O335"/>
    <mergeCell ref="P335:V335"/>
    <mergeCell ref="W335:AA335"/>
    <mergeCell ref="A336:O336"/>
    <mergeCell ref="P336:V336"/>
    <mergeCell ref="W336:AA336"/>
    <mergeCell ref="A333:O333"/>
    <mergeCell ref="P333:V333"/>
    <mergeCell ref="W333:AA333"/>
    <mergeCell ref="A334:O334"/>
    <mergeCell ref="P334:V334"/>
    <mergeCell ref="W334:AA334"/>
    <mergeCell ref="A331:O331"/>
    <mergeCell ref="P331:V331"/>
    <mergeCell ref="W331:AA331"/>
    <mergeCell ref="A332:O332"/>
    <mergeCell ref="P332:V332"/>
    <mergeCell ref="W332:AA332"/>
    <mergeCell ref="A329:O329"/>
    <mergeCell ref="P329:V329"/>
    <mergeCell ref="W329:AA329"/>
    <mergeCell ref="AB329:AF329"/>
    <mergeCell ref="A330:O330"/>
    <mergeCell ref="P330:V330"/>
    <mergeCell ref="W330:AA330"/>
    <mergeCell ref="A327:O327"/>
    <mergeCell ref="P327:V327"/>
    <mergeCell ref="W327:AA327"/>
    <mergeCell ref="A328:O328"/>
    <mergeCell ref="P328:V328"/>
    <mergeCell ref="W328:AA328"/>
    <mergeCell ref="A325:O325"/>
    <mergeCell ref="P325:V325"/>
    <mergeCell ref="W325:AA325"/>
    <mergeCell ref="AB325:AF325"/>
    <mergeCell ref="A326:O326"/>
    <mergeCell ref="P326:V326"/>
    <mergeCell ref="W326:AA326"/>
    <mergeCell ref="AG322:AJ322"/>
    <mergeCell ref="A323:O323"/>
    <mergeCell ref="P323:V323"/>
    <mergeCell ref="W323:AA323"/>
    <mergeCell ref="A324:O324"/>
    <mergeCell ref="P324:V324"/>
    <mergeCell ref="W324:AA324"/>
    <mergeCell ref="A321:O321"/>
    <mergeCell ref="P321:V321"/>
    <mergeCell ref="W321:AA321"/>
    <mergeCell ref="A322:O322"/>
    <mergeCell ref="P322:V322"/>
    <mergeCell ref="AB322:AF322"/>
    <mergeCell ref="A319:O319"/>
    <mergeCell ref="P319:V319"/>
    <mergeCell ref="W319:AA319"/>
    <mergeCell ref="A320:O320"/>
    <mergeCell ref="P320:V320"/>
    <mergeCell ref="W320:AA320"/>
    <mergeCell ref="A317:O317"/>
    <mergeCell ref="P317:V317"/>
    <mergeCell ref="W317:AA317"/>
    <mergeCell ref="A318:O318"/>
    <mergeCell ref="P318:V318"/>
    <mergeCell ref="W318:AA318"/>
    <mergeCell ref="A315:O315"/>
    <mergeCell ref="P315:V315"/>
    <mergeCell ref="W315:AA315"/>
    <mergeCell ref="A316:O316"/>
    <mergeCell ref="P316:V316"/>
    <mergeCell ref="W316:AA316"/>
    <mergeCell ref="A313:O313"/>
    <mergeCell ref="P313:V313"/>
    <mergeCell ref="W313:AA313"/>
    <mergeCell ref="A314:O314"/>
    <mergeCell ref="P314:V314"/>
    <mergeCell ref="W314:AA314"/>
    <mergeCell ref="A311:O311"/>
    <mergeCell ref="P311:V311"/>
    <mergeCell ref="W311:AA311"/>
    <mergeCell ref="A312:O312"/>
    <mergeCell ref="P312:V312"/>
    <mergeCell ref="W312:AA312"/>
    <mergeCell ref="AB308:AF308"/>
    <mergeCell ref="AG308:AJ308"/>
    <mergeCell ref="A309:O309"/>
    <mergeCell ref="P309:V309"/>
    <mergeCell ref="W309:AA309"/>
    <mergeCell ref="A310:O310"/>
    <mergeCell ref="P310:V310"/>
    <mergeCell ref="W310:AA310"/>
    <mergeCell ref="A307:O307"/>
    <mergeCell ref="P307:V307"/>
    <mergeCell ref="W307:AA307"/>
    <mergeCell ref="A308:O308"/>
    <mergeCell ref="P308:V308"/>
    <mergeCell ref="W308:AA308"/>
    <mergeCell ref="A305:O305"/>
    <mergeCell ref="P305:V305"/>
    <mergeCell ref="W305:AA305"/>
    <mergeCell ref="A306:O306"/>
    <mergeCell ref="P306:V306"/>
    <mergeCell ref="W306:AA306"/>
    <mergeCell ref="AB303:AF303"/>
    <mergeCell ref="A304:O304"/>
    <mergeCell ref="P304:V304"/>
    <mergeCell ref="W304:AA304"/>
    <mergeCell ref="AB304:AF304"/>
    <mergeCell ref="AG304:AJ304"/>
    <mergeCell ref="A302:O302"/>
    <mergeCell ref="P302:V302"/>
    <mergeCell ref="W302:AA302"/>
    <mergeCell ref="A303:O303"/>
    <mergeCell ref="P303:V303"/>
    <mergeCell ref="W303:AA303"/>
    <mergeCell ref="A300:O300"/>
    <mergeCell ref="P300:V300"/>
    <mergeCell ref="W300:AA300"/>
    <mergeCell ref="A301:O301"/>
    <mergeCell ref="P301:V301"/>
    <mergeCell ref="W301:AA301"/>
    <mergeCell ref="A298:O298"/>
    <mergeCell ref="P298:V298"/>
    <mergeCell ref="W298:AA298"/>
    <mergeCell ref="A299:O299"/>
    <mergeCell ref="P299:V299"/>
    <mergeCell ref="W299:AA299"/>
    <mergeCell ref="A296:O296"/>
    <mergeCell ref="P296:V296"/>
    <mergeCell ref="W296:AA296"/>
    <mergeCell ref="A297:O297"/>
    <mergeCell ref="P297:V297"/>
    <mergeCell ref="W297:AA297"/>
    <mergeCell ref="A294:O294"/>
    <mergeCell ref="P294:V294"/>
    <mergeCell ref="W294:AA294"/>
    <mergeCell ref="A295:O295"/>
    <mergeCell ref="P295:V295"/>
    <mergeCell ref="W295:AA295"/>
    <mergeCell ref="A292:O292"/>
    <mergeCell ref="P292:V292"/>
    <mergeCell ref="W292:AA292"/>
    <mergeCell ref="A293:O293"/>
    <mergeCell ref="P293:V293"/>
    <mergeCell ref="W293:AA293"/>
    <mergeCell ref="A290:O290"/>
    <mergeCell ref="P290:V290"/>
    <mergeCell ref="W290:AA290"/>
    <mergeCell ref="A291:O291"/>
    <mergeCell ref="P291:V291"/>
    <mergeCell ref="W291:AA291"/>
    <mergeCell ref="A288:O288"/>
    <mergeCell ref="P288:V288"/>
    <mergeCell ref="W288:AA288"/>
    <mergeCell ref="A289:O289"/>
    <mergeCell ref="P289:V289"/>
    <mergeCell ref="W289:AA289"/>
    <mergeCell ref="A286:O286"/>
    <mergeCell ref="P286:V286"/>
    <mergeCell ref="W286:AA286"/>
    <mergeCell ref="A287:O287"/>
    <mergeCell ref="P287:V287"/>
    <mergeCell ref="W287:AA287"/>
    <mergeCell ref="A284:O284"/>
    <mergeCell ref="P284:V284"/>
    <mergeCell ref="W284:AA284"/>
    <mergeCell ref="A285:O285"/>
    <mergeCell ref="P285:V285"/>
    <mergeCell ref="W285:AA285"/>
    <mergeCell ref="A282:O282"/>
    <mergeCell ref="P282:V282"/>
    <mergeCell ref="W282:AA282"/>
    <mergeCell ref="A283:O283"/>
    <mergeCell ref="P283:V283"/>
    <mergeCell ref="W283:AA283"/>
    <mergeCell ref="A280:O280"/>
    <mergeCell ref="P280:V280"/>
    <mergeCell ref="W280:AA280"/>
    <mergeCell ref="A281:O281"/>
    <mergeCell ref="P281:V281"/>
    <mergeCell ref="W281:AA281"/>
    <mergeCell ref="A278:O278"/>
    <mergeCell ref="P278:V278"/>
    <mergeCell ref="W278:AA278"/>
    <mergeCell ref="AB278:AF278"/>
    <mergeCell ref="AG278:AJ278"/>
    <mergeCell ref="A279:O279"/>
    <mergeCell ref="P279:V279"/>
    <mergeCell ref="W279:AA279"/>
    <mergeCell ref="AB279:AF279"/>
    <mergeCell ref="AG279:AJ279"/>
    <mergeCell ref="A276:O276"/>
    <mergeCell ref="P276:V276"/>
    <mergeCell ref="W276:AA276"/>
    <mergeCell ref="AB276:AF276"/>
    <mergeCell ref="AG276:AJ276"/>
    <mergeCell ref="A277:O277"/>
    <mergeCell ref="P277:V277"/>
    <mergeCell ref="W277:AA277"/>
    <mergeCell ref="AB274:AF274"/>
    <mergeCell ref="AG274:AJ274"/>
    <mergeCell ref="A275:O275"/>
    <mergeCell ref="P275:V275"/>
    <mergeCell ref="W275:AA275"/>
    <mergeCell ref="AB275:AF275"/>
    <mergeCell ref="A273:O273"/>
    <mergeCell ref="P273:V273"/>
    <mergeCell ref="W273:AA273"/>
    <mergeCell ref="A274:O274"/>
    <mergeCell ref="P274:V274"/>
    <mergeCell ref="W274:AA274"/>
    <mergeCell ref="A271:O271"/>
    <mergeCell ref="P271:V271"/>
    <mergeCell ref="W271:AA271"/>
    <mergeCell ref="A272:O272"/>
    <mergeCell ref="P272:V272"/>
    <mergeCell ref="W272:AA272"/>
    <mergeCell ref="A269:O269"/>
    <mergeCell ref="P269:V269"/>
    <mergeCell ref="W269:AA269"/>
    <mergeCell ref="AB269:AF269"/>
    <mergeCell ref="A270:O270"/>
    <mergeCell ref="P270:V270"/>
    <mergeCell ref="W270:AA270"/>
    <mergeCell ref="A267:O267"/>
    <mergeCell ref="P267:V267"/>
    <mergeCell ref="W267:AA267"/>
    <mergeCell ref="A268:O268"/>
    <mergeCell ref="P268:V268"/>
    <mergeCell ref="W268:AA268"/>
    <mergeCell ref="A265:O265"/>
    <mergeCell ref="P265:V265"/>
    <mergeCell ref="W265:AA265"/>
    <mergeCell ref="AG265:AJ265"/>
    <mergeCell ref="A266:O266"/>
    <mergeCell ref="P266:V266"/>
    <mergeCell ref="W266:AA266"/>
    <mergeCell ref="AB266:AF266"/>
    <mergeCell ref="AG266:AJ266"/>
    <mergeCell ref="A263:O263"/>
    <mergeCell ref="P263:V263"/>
    <mergeCell ref="W263:AA263"/>
    <mergeCell ref="AB263:AF263"/>
    <mergeCell ref="AG263:AJ263"/>
    <mergeCell ref="A264:O264"/>
    <mergeCell ref="P264:V264"/>
    <mergeCell ref="W264:AA264"/>
    <mergeCell ref="AB264:AF264"/>
    <mergeCell ref="AG264:AJ264"/>
    <mergeCell ref="A261:O261"/>
    <mergeCell ref="P261:V261"/>
    <mergeCell ref="W261:AA261"/>
    <mergeCell ref="A262:O262"/>
    <mergeCell ref="P262:V262"/>
    <mergeCell ref="W262:AA262"/>
    <mergeCell ref="A259:O259"/>
    <mergeCell ref="P259:V259"/>
    <mergeCell ref="W259:AA259"/>
    <mergeCell ref="AG259:AJ259"/>
    <mergeCell ref="A260:O260"/>
    <mergeCell ref="P260:V260"/>
    <mergeCell ref="W260:AA260"/>
    <mergeCell ref="AB260:AF260"/>
    <mergeCell ref="AG260:AJ260"/>
    <mergeCell ref="A257:O257"/>
    <mergeCell ref="P257:V257"/>
    <mergeCell ref="W257:AA257"/>
    <mergeCell ref="AB257:AF257"/>
    <mergeCell ref="AG257:AJ257"/>
    <mergeCell ref="A258:O258"/>
    <mergeCell ref="P258:V258"/>
    <mergeCell ref="W258:AA258"/>
    <mergeCell ref="A255:O255"/>
    <mergeCell ref="P255:V255"/>
    <mergeCell ref="W255:AA255"/>
    <mergeCell ref="A256:O256"/>
    <mergeCell ref="P256:V256"/>
    <mergeCell ref="W256:AA256"/>
    <mergeCell ref="A253:O253"/>
    <mergeCell ref="P253:V253"/>
    <mergeCell ref="W253:AA253"/>
    <mergeCell ref="A254:O254"/>
    <mergeCell ref="P254:V254"/>
    <mergeCell ref="W254:AA254"/>
    <mergeCell ref="A251:O251"/>
    <mergeCell ref="P251:V251"/>
    <mergeCell ref="W251:AA251"/>
    <mergeCell ref="A252:O252"/>
    <mergeCell ref="P252:V252"/>
    <mergeCell ref="W252:AA252"/>
    <mergeCell ref="A249:O249"/>
    <mergeCell ref="P249:V249"/>
    <mergeCell ref="W249:AA249"/>
    <mergeCell ref="AB249:AF249"/>
    <mergeCell ref="AG249:AJ249"/>
    <mergeCell ref="A250:O250"/>
    <mergeCell ref="P250:V250"/>
    <mergeCell ref="W250:AA250"/>
    <mergeCell ref="AG246:AJ246"/>
    <mergeCell ref="A247:O247"/>
    <mergeCell ref="P247:V247"/>
    <mergeCell ref="W247:AA247"/>
    <mergeCell ref="A248:O248"/>
    <mergeCell ref="P248:V248"/>
    <mergeCell ref="W248:AA248"/>
    <mergeCell ref="A245:O245"/>
    <mergeCell ref="P245:V245"/>
    <mergeCell ref="W245:AA245"/>
    <mergeCell ref="A246:O246"/>
    <mergeCell ref="P246:V246"/>
    <mergeCell ref="AB246:AF246"/>
    <mergeCell ref="AG242:AJ242"/>
    <mergeCell ref="A243:O243"/>
    <mergeCell ref="P243:V243"/>
    <mergeCell ref="W243:AA243"/>
    <mergeCell ref="A244:O244"/>
    <mergeCell ref="P244:V244"/>
    <mergeCell ref="W244:AA244"/>
    <mergeCell ref="AB244:AF244"/>
    <mergeCell ref="AG244:AJ244"/>
    <mergeCell ref="A241:O241"/>
    <mergeCell ref="P241:V241"/>
    <mergeCell ref="W241:AA241"/>
    <mergeCell ref="A242:O242"/>
    <mergeCell ref="P242:V242"/>
    <mergeCell ref="AB242:AF242"/>
    <mergeCell ref="A239:O239"/>
    <mergeCell ref="P239:V239"/>
    <mergeCell ref="W239:AA239"/>
    <mergeCell ref="AB239:AF239"/>
    <mergeCell ref="AG239:AJ239"/>
    <mergeCell ref="A240:O240"/>
    <mergeCell ref="P240:V240"/>
    <mergeCell ref="W240:AA240"/>
    <mergeCell ref="AB240:AF240"/>
    <mergeCell ref="AG240:AJ240"/>
    <mergeCell ref="A237:O237"/>
    <mergeCell ref="P237:V237"/>
    <mergeCell ref="W237:AA237"/>
    <mergeCell ref="AB237:AF237"/>
    <mergeCell ref="AG237:AJ237"/>
    <mergeCell ref="A238:O238"/>
    <mergeCell ref="P238:V238"/>
    <mergeCell ref="W238:AA238"/>
    <mergeCell ref="AB238:AF238"/>
    <mergeCell ref="AG238:AJ238"/>
    <mergeCell ref="A235:O235"/>
    <mergeCell ref="P235:V235"/>
    <mergeCell ref="W235:AA235"/>
    <mergeCell ref="AB235:AF235"/>
    <mergeCell ref="AG235:AJ235"/>
    <mergeCell ref="A236:O236"/>
    <mergeCell ref="P236:V236"/>
    <mergeCell ref="W236:AA236"/>
    <mergeCell ref="AB236:AF236"/>
    <mergeCell ref="AG236:AJ236"/>
    <mergeCell ref="A233:O233"/>
    <mergeCell ref="P233:V233"/>
    <mergeCell ref="AB233:AF233"/>
    <mergeCell ref="AG233:AJ233"/>
    <mergeCell ref="A234:O234"/>
    <mergeCell ref="P234:V234"/>
    <mergeCell ref="W234:AA234"/>
    <mergeCell ref="AB234:AF234"/>
    <mergeCell ref="AG234:AJ234"/>
    <mergeCell ref="A231:O231"/>
    <mergeCell ref="P231:V231"/>
    <mergeCell ref="W231:AA231"/>
    <mergeCell ref="AB231:AF231"/>
    <mergeCell ref="AG231:AJ231"/>
    <mergeCell ref="A232:O232"/>
    <mergeCell ref="P232:V232"/>
    <mergeCell ref="W232:AA232"/>
    <mergeCell ref="AB232:AF232"/>
    <mergeCell ref="AG232:AJ232"/>
    <mergeCell ref="AG229:AJ229"/>
    <mergeCell ref="A230:O230"/>
    <mergeCell ref="P230:V230"/>
    <mergeCell ref="W230:AA230"/>
    <mergeCell ref="AB230:AF230"/>
    <mergeCell ref="AG230:AJ230"/>
    <mergeCell ref="A228:O228"/>
    <mergeCell ref="P228:V228"/>
    <mergeCell ref="W228:AA228"/>
    <mergeCell ref="AB228:AF228"/>
    <mergeCell ref="A229:O229"/>
    <mergeCell ref="P229:V229"/>
    <mergeCell ref="W229:AA229"/>
    <mergeCell ref="AB229:AF229"/>
    <mergeCell ref="A226:O226"/>
    <mergeCell ref="P226:V226"/>
    <mergeCell ref="W226:AA226"/>
    <mergeCell ref="AB226:AF226"/>
    <mergeCell ref="AG226:AJ226"/>
    <mergeCell ref="A227:O227"/>
    <mergeCell ref="P227:V227"/>
    <mergeCell ref="W227:AA227"/>
    <mergeCell ref="AB227:AF227"/>
    <mergeCell ref="AG227:AJ227"/>
    <mergeCell ref="A224:O224"/>
    <mergeCell ref="P224:V224"/>
    <mergeCell ref="W224:AA224"/>
    <mergeCell ref="AB224:AF224"/>
    <mergeCell ref="AG224:AJ224"/>
    <mergeCell ref="A225:O225"/>
    <mergeCell ref="P225:V225"/>
    <mergeCell ref="W225:AA225"/>
    <mergeCell ref="AB225:AF225"/>
    <mergeCell ref="A222:O222"/>
    <mergeCell ref="P222:V222"/>
    <mergeCell ref="W222:AA222"/>
    <mergeCell ref="AB222:AF222"/>
    <mergeCell ref="AG222:AJ222"/>
    <mergeCell ref="A223:O223"/>
    <mergeCell ref="P223:V223"/>
    <mergeCell ref="W223:AA223"/>
    <mergeCell ref="AB223:AF223"/>
    <mergeCell ref="AG223:AJ223"/>
    <mergeCell ref="A220:O220"/>
    <mergeCell ref="P220:V220"/>
    <mergeCell ref="W220:AA220"/>
    <mergeCell ref="AB220:AF220"/>
    <mergeCell ref="AG220:AJ220"/>
    <mergeCell ref="A221:O221"/>
    <mergeCell ref="P221:V221"/>
    <mergeCell ref="W221:AA221"/>
    <mergeCell ref="AB221:AF221"/>
    <mergeCell ref="AG221:AJ221"/>
    <mergeCell ref="AG217:AJ217"/>
    <mergeCell ref="A218:O218"/>
    <mergeCell ref="P218:V218"/>
    <mergeCell ref="W218:AA218"/>
    <mergeCell ref="AB218:AF218"/>
    <mergeCell ref="A219:O219"/>
    <mergeCell ref="P219:V219"/>
    <mergeCell ref="W219:AA219"/>
    <mergeCell ref="AB219:AF219"/>
    <mergeCell ref="A216:O216"/>
    <mergeCell ref="P216:V216"/>
    <mergeCell ref="W216:AA216"/>
    <mergeCell ref="AB216:AF216"/>
    <mergeCell ref="A217:O217"/>
    <mergeCell ref="P217:V217"/>
    <mergeCell ref="W217:AA217"/>
    <mergeCell ref="AB217:AF217"/>
    <mergeCell ref="A214:O214"/>
    <mergeCell ref="P214:V214"/>
    <mergeCell ref="W214:AA214"/>
    <mergeCell ref="AB214:AF214"/>
    <mergeCell ref="AG214:AJ214"/>
    <mergeCell ref="A215:O215"/>
    <mergeCell ref="P215:V215"/>
    <mergeCell ref="W215:AA215"/>
    <mergeCell ref="AB215:AF215"/>
    <mergeCell ref="AG215:AJ215"/>
    <mergeCell ref="A212:O212"/>
    <mergeCell ref="P212:V212"/>
    <mergeCell ref="W212:AA212"/>
    <mergeCell ref="AB212:AF212"/>
    <mergeCell ref="AG212:AJ212"/>
    <mergeCell ref="A213:O213"/>
    <mergeCell ref="P213:V213"/>
    <mergeCell ref="W213:AA213"/>
    <mergeCell ref="AB213:AF213"/>
    <mergeCell ref="AG213:AJ213"/>
    <mergeCell ref="A210:O210"/>
    <mergeCell ref="P210:V210"/>
    <mergeCell ref="W210:AA210"/>
    <mergeCell ref="AB210:AF210"/>
    <mergeCell ref="AG210:AJ210"/>
    <mergeCell ref="A211:O211"/>
    <mergeCell ref="P211:V211"/>
    <mergeCell ref="W211:AA211"/>
    <mergeCell ref="AB211:AF211"/>
    <mergeCell ref="AG211:AJ211"/>
    <mergeCell ref="A208:O208"/>
    <mergeCell ref="P208:V208"/>
    <mergeCell ref="W208:AA208"/>
    <mergeCell ref="AB208:AF208"/>
    <mergeCell ref="AG208:AJ208"/>
    <mergeCell ref="A209:O209"/>
    <mergeCell ref="P209:V209"/>
    <mergeCell ref="W209:AA209"/>
    <mergeCell ref="AB209:AF209"/>
    <mergeCell ref="AG209:AJ209"/>
    <mergeCell ref="A206:O206"/>
    <mergeCell ref="P206:V206"/>
    <mergeCell ref="W206:AA206"/>
    <mergeCell ref="AB206:AF206"/>
    <mergeCell ref="AG206:AJ206"/>
    <mergeCell ref="A207:O207"/>
    <mergeCell ref="P207:V207"/>
    <mergeCell ref="W207:AA207"/>
    <mergeCell ref="AB207:AF207"/>
    <mergeCell ref="AG207:AJ207"/>
    <mergeCell ref="A204:O204"/>
    <mergeCell ref="P204:V204"/>
    <mergeCell ref="W204:AA204"/>
    <mergeCell ref="AB204:AF204"/>
    <mergeCell ref="AG204:AJ204"/>
    <mergeCell ref="A205:O205"/>
    <mergeCell ref="P205:V205"/>
    <mergeCell ref="W205:AA205"/>
    <mergeCell ref="AB205:AF205"/>
    <mergeCell ref="AG205:AJ205"/>
    <mergeCell ref="A202:O202"/>
    <mergeCell ref="P202:V202"/>
    <mergeCell ref="W202:AA202"/>
    <mergeCell ref="AB202:AF202"/>
    <mergeCell ref="AG202:AJ202"/>
    <mergeCell ref="A203:O203"/>
    <mergeCell ref="P203:V203"/>
    <mergeCell ref="W203:AA203"/>
    <mergeCell ref="AB203:AF203"/>
    <mergeCell ref="AG203:AJ203"/>
    <mergeCell ref="A200:O200"/>
    <mergeCell ref="P200:V200"/>
    <mergeCell ref="W200:AA200"/>
    <mergeCell ref="A201:O201"/>
    <mergeCell ref="P201:V201"/>
    <mergeCell ref="W201:AA201"/>
    <mergeCell ref="A198:O198"/>
    <mergeCell ref="P198:V198"/>
    <mergeCell ref="W198:AA198"/>
    <mergeCell ref="A199:O199"/>
    <mergeCell ref="P199:V199"/>
    <mergeCell ref="W199:AA199"/>
    <mergeCell ref="A196:O196"/>
    <mergeCell ref="P196:V196"/>
    <mergeCell ref="W196:AA196"/>
    <mergeCell ref="A197:O197"/>
    <mergeCell ref="P197:V197"/>
    <mergeCell ref="W197:AA197"/>
    <mergeCell ref="A194:O194"/>
    <mergeCell ref="P194:V194"/>
    <mergeCell ref="W194:AA194"/>
    <mergeCell ref="AB194:AF194"/>
    <mergeCell ref="A195:O195"/>
    <mergeCell ref="P195:V195"/>
    <mergeCell ref="W195:AA195"/>
    <mergeCell ref="A192:O192"/>
    <mergeCell ref="P192:V192"/>
    <mergeCell ref="W192:AA192"/>
    <mergeCell ref="AB192:AF192"/>
    <mergeCell ref="AG192:AJ192"/>
    <mergeCell ref="A193:O193"/>
    <mergeCell ref="P193:V193"/>
    <mergeCell ref="AB193:AF193"/>
    <mergeCell ref="AG193:AJ193"/>
    <mergeCell ref="A190:O190"/>
    <mergeCell ref="P190:V190"/>
    <mergeCell ref="W190:AA190"/>
    <mergeCell ref="A191:O191"/>
    <mergeCell ref="P191:V191"/>
    <mergeCell ref="W191:AA191"/>
    <mergeCell ref="A188:O188"/>
    <mergeCell ref="P188:V188"/>
    <mergeCell ref="W188:AA188"/>
    <mergeCell ref="AB188:AF188"/>
    <mergeCell ref="AG188:AJ188"/>
    <mergeCell ref="A189:O189"/>
    <mergeCell ref="P189:V189"/>
    <mergeCell ref="W189:AA189"/>
    <mergeCell ref="A186:O186"/>
    <mergeCell ref="P186:V186"/>
    <mergeCell ref="W186:AA186"/>
    <mergeCell ref="A187:O187"/>
    <mergeCell ref="P187:V187"/>
    <mergeCell ref="W187:AA187"/>
    <mergeCell ref="A184:O184"/>
    <mergeCell ref="P184:V184"/>
    <mergeCell ref="W184:AA184"/>
    <mergeCell ref="A185:O185"/>
    <mergeCell ref="P185:V185"/>
    <mergeCell ref="W185:AA185"/>
    <mergeCell ref="AB182:AF182"/>
    <mergeCell ref="AG182:AJ182"/>
    <mergeCell ref="A183:O183"/>
    <mergeCell ref="P183:V183"/>
    <mergeCell ref="W183:AA183"/>
    <mergeCell ref="AB183:AF183"/>
    <mergeCell ref="AG183:AJ183"/>
    <mergeCell ref="A181:O181"/>
    <mergeCell ref="P181:V181"/>
    <mergeCell ref="W181:AA181"/>
    <mergeCell ref="A182:O182"/>
    <mergeCell ref="P182:V182"/>
    <mergeCell ref="W182:AA182"/>
    <mergeCell ref="A179:O179"/>
    <mergeCell ref="P179:V179"/>
    <mergeCell ref="W179:AA179"/>
    <mergeCell ref="A180:O180"/>
    <mergeCell ref="P180:V180"/>
    <mergeCell ref="W180:AA180"/>
    <mergeCell ref="AB177:AF177"/>
    <mergeCell ref="A178:O178"/>
    <mergeCell ref="P178:V178"/>
    <mergeCell ref="W178:AA178"/>
    <mergeCell ref="AB178:AF178"/>
    <mergeCell ref="AG178:AJ178"/>
    <mergeCell ref="A176:O176"/>
    <mergeCell ref="P176:V176"/>
    <mergeCell ref="W176:AA176"/>
    <mergeCell ref="A177:O177"/>
    <mergeCell ref="P177:V177"/>
    <mergeCell ref="W177:AA177"/>
    <mergeCell ref="A174:O174"/>
    <mergeCell ref="P174:V174"/>
    <mergeCell ref="W174:AA174"/>
    <mergeCell ref="AB174:AF174"/>
    <mergeCell ref="AG174:AJ174"/>
    <mergeCell ref="A175:O175"/>
    <mergeCell ref="P175:V175"/>
    <mergeCell ref="W175:AA175"/>
    <mergeCell ref="AB175:AF175"/>
    <mergeCell ref="AG175:AJ175"/>
    <mergeCell ref="A172:O172"/>
    <mergeCell ref="P172:V172"/>
    <mergeCell ref="W172:AA172"/>
    <mergeCell ref="AB172:AF172"/>
    <mergeCell ref="AG172:AJ172"/>
    <mergeCell ref="A173:O173"/>
    <mergeCell ref="P173:V173"/>
    <mergeCell ref="W173:AA173"/>
    <mergeCell ref="AB173:AF173"/>
    <mergeCell ref="AG173:AJ173"/>
    <mergeCell ref="AG170:AJ170"/>
    <mergeCell ref="A171:O171"/>
    <mergeCell ref="P171:V171"/>
    <mergeCell ref="W171:AA171"/>
    <mergeCell ref="AB171:AF171"/>
    <mergeCell ref="AG171:AJ171"/>
    <mergeCell ref="A169:O169"/>
    <mergeCell ref="P169:V169"/>
    <mergeCell ref="W169:AA169"/>
    <mergeCell ref="AB169:AF169"/>
    <mergeCell ref="A170:O170"/>
    <mergeCell ref="P170:V170"/>
    <mergeCell ref="AB170:AF170"/>
    <mergeCell ref="A167:O167"/>
    <mergeCell ref="P167:V167"/>
    <mergeCell ref="W167:AA167"/>
    <mergeCell ref="AB167:AF167"/>
    <mergeCell ref="AG167:AJ167"/>
    <mergeCell ref="A168:O168"/>
    <mergeCell ref="P168:V168"/>
    <mergeCell ref="W168:AA168"/>
    <mergeCell ref="AB168:AF168"/>
    <mergeCell ref="AG168:AJ168"/>
    <mergeCell ref="A165:O165"/>
    <mergeCell ref="P165:V165"/>
    <mergeCell ref="W165:AA165"/>
    <mergeCell ref="AB165:AF165"/>
    <mergeCell ref="AG165:AJ165"/>
    <mergeCell ref="A166:O166"/>
    <mergeCell ref="P166:V166"/>
    <mergeCell ref="W166:AA166"/>
    <mergeCell ref="AB166:AF166"/>
    <mergeCell ref="AG166:AJ166"/>
    <mergeCell ref="A163:O163"/>
    <mergeCell ref="P163:V163"/>
    <mergeCell ref="W163:AA163"/>
    <mergeCell ref="AB163:AF163"/>
    <mergeCell ref="AG163:AJ163"/>
    <mergeCell ref="A164:O164"/>
    <mergeCell ref="P164:V164"/>
    <mergeCell ref="W164:AA164"/>
    <mergeCell ref="AB164:AF164"/>
    <mergeCell ref="AG164:AJ164"/>
    <mergeCell ref="A161:O161"/>
    <mergeCell ref="P161:V161"/>
    <mergeCell ref="W161:AA161"/>
    <mergeCell ref="AB161:AF161"/>
    <mergeCell ref="AG161:AJ161"/>
    <mergeCell ref="A162:O162"/>
    <mergeCell ref="P162:V162"/>
    <mergeCell ref="W162:AA162"/>
    <mergeCell ref="AB162:AF162"/>
    <mergeCell ref="AG162:AJ162"/>
    <mergeCell ref="AG159:AJ159"/>
    <mergeCell ref="A160:O160"/>
    <mergeCell ref="P160:V160"/>
    <mergeCell ref="W160:AA160"/>
    <mergeCell ref="AB160:AF160"/>
    <mergeCell ref="AG160:AJ160"/>
    <mergeCell ref="AB157:AF157"/>
    <mergeCell ref="A158:O158"/>
    <mergeCell ref="P158:V158"/>
    <mergeCell ref="W158:AA158"/>
    <mergeCell ref="A159:O159"/>
    <mergeCell ref="P159:V159"/>
    <mergeCell ref="W159:AA159"/>
    <mergeCell ref="AB159:AF159"/>
    <mergeCell ref="A156:O156"/>
    <mergeCell ref="P156:V156"/>
    <mergeCell ref="W156:AA156"/>
    <mergeCell ref="A157:O157"/>
    <mergeCell ref="P157:V157"/>
    <mergeCell ref="W157:AA157"/>
    <mergeCell ref="AG153:AJ153"/>
    <mergeCell ref="A154:O154"/>
    <mergeCell ref="P154:V154"/>
    <mergeCell ref="W154:AA154"/>
    <mergeCell ref="A155:O155"/>
    <mergeCell ref="P155:V155"/>
    <mergeCell ref="AB155:AF155"/>
    <mergeCell ref="AG155:AJ155"/>
    <mergeCell ref="A152:O152"/>
    <mergeCell ref="P152:V152"/>
    <mergeCell ref="W152:AA152"/>
    <mergeCell ref="A153:O153"/>
    <mergeCell ref="P153:V153"/>
    <mergeCell ref="AB153:AF153"/>
    <mergeCell ref="A150:O150"/>
    <mergeCell ref="P150:V150"/>
    <mergeCell ref="W150:AA150"/>
    <mergeCell ref="A151:O151"/>
    <mergeCell ref="P151:V151"/>
    <mergeCell ref="W151:AA151"/>
    <mergeCell ref="A148:O148"/>
    <mergeCell ref="P148:V148"/>
    <mergeCell ref="W148:AA148"/>
    <mergeCell ref="AB148:AF148"/>
    <mergeCell ref="AG148:AJ148"/>
    <mergeCell ref="A149:O149"/>
    <mergeCell ref="P149:V149"/>
    <mergeCell ref="W149:AA149"/>
    <mergeCell ref="A146:O146"/>
    <mergeCell ref="P146:V146"/>
    <mergeCell ref="W146:AA146"/>
    <mergeCell ref="A147:O147"/>
    <mergeCell ref="P147:V147"/>
    <mergeCell ref="W147:AA147"/>
    <mergeCell ref="AG143:AJ143"/>
    <mergeCell ref="A144:O144"/>
    <mergeCell ref="P144:V144"/>
    <mergeCell ref="W144:AA144"/>
    <mergeCell ref="A145:O145"/>
    <mergeCell ref="P145:V145"/>
    <mergeCell ref="W145:AA145"/>
    <mergeCell ref="A142:O142"/>
    <mergeCell ref="P142:V142"/>
    <mergeCell ref="W142:AA142"/>
    <mergeCell ref="A143:O143"/>
    <mergeCell ref="P143:V143"/>
    <mergeCell ref="AB143:AF143"/>
    <mergeCell ref="AB140:AF140"/>
    <mergeCell ref="AG140:AJ140"/>
    <mergeCell ref="A141:O141"/>
    <mergeCell ref="P141:V141"/>
    <mergeCell ref="W141:AA141"/>
    <mergeCell ref="AB141:AF141"/>
    <mergeCell ref="AG141:AJ141"/>
    <mergeCell ref="A139:O139"/>
    <mergeCell ref="P139:V139"/>
    <mergeCell ref="W139:AA139"/>
    <mergeCell ref="A140:O140"/>
    <mergeCell ref="P140:V140"/>
    <mergeCell ref="W140:AA140"/>
    <mergeCell ref="A137:O137"/>
    <mergeCell ref="P137:V137"/>
    <mergeCell ref="W137:AA137"/>
    <mergeCell ref="AB137:AF137"/>
    <mergeCell ref="A138:O138"/>
    <mergeCell ref="P138:V138"/>
    <mergeCell ref="W138:AA138"/>
    <mergeCell ref="A135:O135"/>
    <mergeCell ref="P135:V135"/>
    <mergeCell ref="W135:AA135"/>
    <mergeCell ref="AB135:AF135"/>
    <mergeCell ref="AG135:AJ135"/>
    <mergeCell ref="A136:O136"/>
    <mergeCell ref="P136:V136"/>
    <mergeCell ref="W136:AA136"/>
    <mergeCell ref="AB136:AF136"/>
    <mergeCell ref="AG136:AJ136"/>
    <mergeCell ref="AB132:AF132"/>
    <mergeCell ref="AG132:AJ132"/>
    <mergeCell ref="A133:O133"/>
    <mergeCell ref="P133:V133"/>
    <mergeCell ref="W133:AA133"/>
    <mergeCell ref="A134:O134"/>
    <mergeCell ref="P134:V134"/>
    <mergeCell ref="W134:AA134"/>
    <mergeCell ref="AB134:AF134"/>
    <mergeCell ref="AG134:AJ134"/>
    <mergeCell ref="A131:O131"/>
    <mergeCell ref="P131:V131"/>
    <mergeCell ref="W131:AA131"/>
    <mergeCell ref="A132:O132"/>
    <mergeCell ref="P132:V132"/>
    <mergeCell ref="W132:AA132"/>
    <mergeCell ref="A129:O129"/>
    <mergeCell ref="P129:V129"/>
    <mergeCell ref="W129:AA129"/>
    <mergeCell ref="AB129:AF129"/>
    <mergeCell ref="AG129:AJ129"/>
    <mergeCell ref="A130:O130"/>
    <mergeCell ref="P130:V130"/>
    <mergeCell ref="W130:AA130"/>
    <mergeCell ref="AB130:AF130"/>
    <mergeCell ref="AG130:AJ130"/>
    <mergeCell ref="A127:O127"/>
    <mergeCell ref="P127:V127"/>
    <mergeCell ref="W127:AA127"/>
    <mergeCell ref="A128:O128"/>
    <mergeCell ref="P128:V128"/>
    <mergeCell ref="W128:AA128"/>
    <mergeCell ref="A125:O125"/>
    <mergeCell ref="P125:V125"/>
    <mergeCell ref="AB125:AF125"/>
    <mergeCell ref="AG125:AJ125"/>
    <mergeCell ref="A126:O126"/>
    <mergeCell ref="P126:V126"/>
    <mergeCell ref="AB126:AF126"/>
    <mergeCell ref="AG126:AJ126"/>
    <mergeCell ref="AB123:AF123"/>
    <mergeCell ref="AG123:AJ123"/>
    <mergeCell ref="A124:O124"/>
    <mergeCell ref="P124:V124"/>
    <mergeCell ref="AB124:AF124"/>
    <mergeCell ref="AG124:AJ124"/>
    <mergeCell ref="A122:O122"/>
    <mergeCell ref="P122:V122"/>
    <mergeCell ref="W122:AA122"/>
    <mergeCell ref="A123:O123"/>
    <mergeCell ref="P123:V123"/>
    <mergeCell ref="W123:AA123"/>
    <mergeCell ref="A120:O120"/>
    <mergeCell ref="P120:V120"/>
    <mergeCell ref="W120:AA120"/>
    <mergeCell ref="A121:O121"/>
    <mergeCell ref="P121:V121"/>
    <mergeCell ref="W121:AA121"/>
    <mergeCell ref="A118:O118"/>
    <mergeCell ref="P118:V118"/>
    <mergeCell ref="W118:AA118"/>
    <mergeCell ref="A119:O119"/>
    <mergeCell ref="P119:V119"/>
    <mergeCell ref="W119:AA119"/>
    <mergeCell ref="A116:O116"/>
    <mergeCell ref="P116:V116"/>
    <mergeCell ref="W116:AA116"/>
    <mergeCell ref="AB116:AF116"/>
    <mergeCell ref="AG116:AJ116"/>
    <mergeCell ref="A117:O117"/>
    <mergeCell ref="P117:V117"/>
    <mergeCell ref="W117:AA117"/>
    <mergeCell ref="AB117:AF117"/>
    <mergeCell ref="AG117:AJ117"/>
    <mergeCell ref="A114:O114"/>
    <mergeCell ref="P114:V114"/>
    <mergeCell ref="AB114:AF114"/>
    <mergeCell ref="AG114:AJ114"/>
    <mergeCell ref="A115:O115"/>
    <mergeCell ref="P115:V115"/>
    <mergeCell ref="W115:AA115"/>
    <mergeCell ref="AB115:AF115"/>
    <mergeCell ref="AG115:AJ115"/>
    <mergeCell ref="A112:O112"/>
    <mergeCell ref="P112:V112"/>
    <mergeCell ref="W112:AA112"/>
    <mergeCell ref="A113:O113"/>
    <mergeCell ref="P113:V113"/>
    <mergeCell ref="W113:AA113"/>
    <mergeCell ref="AB110:AF110"/>
    <mergeCell ref="AG110:AJ110"/>
    <mergeCell ref="A111:O111"/>
    <mergeCell ref="P111:V111"/>
    <mergeCell ref="AB111:AF111"/>
    <mergeCell ref="AG111:AJ111"/>
    <mergeCell ref="A109:O109"/>
    <mergeCell ref="P109:V109"/>
    <mergeCell ref="W109:AA109"/>
    <mergeCell ref="A110:O110"/>
    <mergeCell ref="P110:V110"/>
    <mergeCell ref="W110:AA110"/>
    <mergeCell ref="A107:O107"/>
    <mergeCell ref="P107:V107"/>
    <mergeCell ref="AB107:AF107"/>
    <mergeCell ref="AG107:AJ107"/>
    <mergeCell ref="A108:O108"/>
    <mergeCell ref="P108:V108"/>
    <mergeCell ref="AB108:AF108"/>
    <mergeCell ref="AG108:AJ108"/>
    <mergeCell ref="A105:O105"/>
    <mergeCell ref="P105:V105"/>
    <mergeCell ref="AB105:AF105"/>
    <mergeCell ref="AG105:AJ105"/>
    <mergeCell ref="A106:O106"/>
    <mergeCell ref="P106:V106"/>
    <mergeCell ref="W106:AA106"/>
    <mergeCell ref="AG102:AJ102"/>
    <mergeCell ref="A103:O103"/>
    <mergeCell ref="P103:V103"/>
    <mergeCell ref="AB103:AF103"/>
    <mergeCell ref="AG103:AJ103"/>
    <mergeCell ref="A104:O104"/>
    <mergeCell ref="P104:V104"/>
    <mergeCell ref="W104:AA104"/>
    <mergeCell ref="AB104:AF104"/>
    <mergeCell ref="A101:O101"/>
    <mergeCell ref="P101:V101"/>
    <mergeCell ref="W101:AA101"/>
    <mergeCell ref="A102:O102"/>
    <mergeCell ref="P102:V102"/>
    <mergeCell ref="AB102:AF102"/>
    <mergeCell ref="A99:O99"/>
    <mergeCell ref="P99:V99"/>
    <mergeCell ref="W99:AA99"/>
    <mergeCell ref="AB99:AF99"/>
    <mergeCell ref="AG99:AJ99"/>
    <mergeCell ref="A100:O100"/>
    <mergeCell ref="P100:V100"/>
    <mergeCell ref="W100:AA100"/>
    <mergeCell ref="AB96:AF96"/>
    <mergeCell ref="AG96:AJ96"/>
    <mergeCell ref="A97:O97"/>
    <mergeCell ref="P97:V97"/>
    <mergeCell ref="W97:AA97"/>
    <mergeCell ref="A98:O98"/>
    <mergeCell ref="P98:V98"/>
    <mergeCell ref="W98:AA98"/>
    <mergeCell ref="A95:O95"/>
    <mergeCell ref="P95:V95"/>
    <mergeCell ref="W95:AA95"/>
    <mergeCell ref="A96:O96"/>
    <mergeCell ref="P96:V96"/>
    <mergeCell ref="W96:AA96"/>
    <mergeCell ref="A93:O93"/>
    <mergeCell ref="P93:V93"/>
    <mergeCell ref="AB93:AF93"/>
    <mergeCell ref="AG93:AJ93"/>
    <mergeCell ref="A94:O94"/>
    <mergeCell ref="P94:V94"/>
    <mergeCell ref="AB94:AF94"/>
    <mergeCell ref="AG94:AJ94"/>
    <mergeCell ref="A91:O91"/>
    <mergeCell ref="P91:V91"/>
    <mergeCell ref="W91:AA91"/>
    <mergeCell ref="A92:O92"/>
    <mergeCell ref="P92:V92"/>
    <mergeCell ref="W92:AA92"/>
    <mergeCell ref="AB89:AF89"/>
    <mergeCell ref="AG89:AJ89"/>
    <mergeCell ref="A90:O90"/>
    <mergeCell ref="P90:V90"/>
    <mergeCell ref="W90:AA90"/>
    <mergeCell ref="AB90:AF90"/>
    <mergeCell ref="AG90:AJ90"/>
    <mergeCell ref="A88:O88"/>
    <mergeCell ref="P88:V88"/>
    <mergeCell ref="W88:AA88"/>
    <mergeCell ref="A89:O89"/>
    <mergeCell ref="P89:V89"/>
    <mergeCell ref="W89:AA89"/>
    <mergeCell ref="AB85:AF85"/>
    <mergeCell ref="AG85:AJ85"/>
    <mergeCell ref="A86:O86"/>
    <mergeCell ref="P86:V86"/>
    <mergeCell ref="W86:AA86"/>
    <mergeCell ref="A87:O87"/>
    <mergeCell ref="P87:V87"/>
    <mergeCell ref="W87:AA87"/>
    <mergeCell ref="AB87:AF87"/>
    <mergeCell ref="AG87:AJ87"/>
    <mergeCell ref="A84:O84"/>
    <mergeCell ref="P84:V84"/>
    <mergeCell ref="W84:AA84"/>
    <mergeCell ref="A85:O85"/>
    <mergeCell ref="P85:V85"/>
    <mergeCell ref="W85:AA85"/>
    <mergeCell ref="A82:O82"/>
    <mergeCell ref="P82:V82"/>
    <mergeCell ref="W82:AA82"/>
    <mergeCell ref="AB82:AF82"/>
    <mergeCell ref="AG82:AJ82"/>
    <mergeCell ref="A83:O83"/>
    <mergeCell ref="P83:V83"/>
    <mergeCell ref="W83:AA83"/>
    <mergeCell ref="AB83:AF83"/>
    <mergeCell ref="AG83:AJ83"/>
    <mergeCell ref="A80:O80"/>
    <mergeCell ref="P80:V80"/>
    <mergeCell ref="W80:AA80"/>
    <mergeCell ref="A81:O81"/>
    <mergeCell ref="P81:V81"/>
    <mergeCell ref="W81:AA81"/>
    <mergeCell ref="A78:O78"/>
    <mergeCell ref="P78:V78"/>
    <mergeCell ref="W78:AA78"/>
    <mergeCell ref="AB78:AF78"/>
    <mergeCell ref="AG78:AJ78"/>
    <mergeCell ref="A79:O79"/>
    <mergeCell ref="P79:V79"/>
    <mergeCell ref="W79:AA79"/>
    <mergeCell ref="AG75:AJ75"/>
    <mergeCell ref="A76:O76"/>
    <mergeCell ref="P76:V76"/>
    <mergeCell ref="AB76:AF76"/>
    <mergeCell ref="AG76:AJ76"/>
    <mergeCell ref="A77:O77"/>
    <mergeCell ref="P77:V77"/>
    <mergeCell ref="W77:AA77"/>
    <mergeCell ref="A74:O74"/>
    <mergeCell ref="P74:V74"/>
    <mergeCell ref="W74:AA74"/>
    <mergeCell ref="A75:O75"/>
    <mergeCell ref="P75:V75"/>
    <mergeCell ref="AB75:AF75"/>
    <mergeCell ref="A72:O72"/>
    <mergeCell ref="P72:V72"/>
    <mergeCell ref="W72:AA72"/>
    <mergeCell ref="AB72:AF72"/>
    <mergeCell ref="AG72:AJ72"/>
    <mergeCell ref="A73:O73"/>
    <mergeCell ref="P73:V73"/>
    <mergeCell ref="AB73:AF73"/>
    <mergeCell ref="AG73:AJ73"/>
    <mergeCell ref="A70:O70"/>
    <mergeCell ref="P70:V70"/>
    <mergeCell ref="W70:AA70"/>
    <mergeCell ref="AB70:AF70"/>
    <mergeCell ref="AG70:AJ70"/>
    <mergeCell ref="A71:O71"/>
    <mergeCell ref="P71:V71"/>
    <mergeCell ref="AB71:AF71"/>
    <mergeCell ref="AG71:AJ71"/>
    <mergeCell ref="A68:O68"/>
    <mergeCell ref="P68:V68"/>
    <mergeCell ref="AB68:AF68"/>
    <mergeCell ref="AG68:AJ68"/>
    <mergeCell ref="A69:O69"/>
    <mergeCell ref="P69:V69"/>
    <mergeCell ref="W69:AA69"/>
    <mergeCell ref="A66:O66"/>
    <mergeCell ref="P66:V66"/>
    <mergeCell ref="W66:AA66"/>
    <mergeCell ref="AB66:AF66"/>
    <mergeCell ref="AG66:AJ66"/>
    <mergeCell ref="A67:O67"/>
    <mergeCell ref="P67:V67"/>
    <mergeCell ref="W67:AA67"/>
    <mergeCell ref="A64:O64"/>
    <mergeCell ref="P64:V64"/>
    <mergeCell ref="AB64:AF64"/>
    <mergeCell ref="AG64:AJ64"/>
    <mergeCell ref="A65:O65"/>
    <mergeCell ref="P65:V65"/>
    <mergeCell ref="AB65:AF65"/>
    <mergeCell ref="AG65:AJ65"/>
    <mergeCell ref="A62:O62"/>
    <mergeCell ref="P62:V62"/>
    <mergeCell ref="W62:AA62"/>
    <mergeCell ref="AB62:AF62"/>
    <mergeCell ref="AG62:AJ62"/>
    <mergeCell ref="A63:O63"/>
    <mergeCell ref="P63:V63"/>
    <mergeCell ref="W63:AA63"/>
    <mergeCell ref="A60:O60"/>
    <mergeCell ref="P60:V60"/>
    <mergeCell ref="W60:AA60"/>
    <mergeCell ref="AB60:AF60"/>
    <mergeCell ref="AG60:AJ60"/>
    <mergeCell ref="A61:O61"/>
    <mergeCell ref="P61:V61"/>
    <mergeCell ref="W61:AA61"/>
    <mergeCell ref="A58:O58"/>
    <mergeCell ref="P58:V58"/>
    <mergeCell ref="W58:AA58"/>
    <mergeCell ref="AB58:AF58"/>
    <mergeCell ref="AG58:AJ58"/>
    <mergeCell ref="A59:O59"/>
    <mergeCell ref="P59:V59"/>
    <mergeCell ref="W59:AA59"/>
    <mergeCell ref="AB56:AF56"/>
    <mergeCell ref="AG56:AJ56"/>
    <mergeCell ref="A57:O57"/>
    <mergeCell ref="P57:V57"/>
    <mergeCell ref="AB57:AF57"/>
    <mergeCell ref="AG57:AJ57"/>
    <mergeCell ref="A55:O55"/>
    <mergeCell ref="P55:V55"/>
    <mergeCell ref="W55:AA55"/>
    <mergeCell ref="A56:O56"/>
    <mergeCell ref="P56:V56"/>
    <mergeCell ref="W56:AA56"/>
    <mergeCell ref="AB52:AF52"/>
    <mergeCell ref="AG52:AJ52"/>
    <mergeCell ref="A53:O53"/>
    <mergeCell ref="P53:V53"/>
    <mergeCell ref="W53:AA53"/>
    <mergeCell ref="A54:O54"/>
    <mergeCell ref="P54:V54"/>
    <mergeCell ref="AB54:AF54"/>
    <mergeCell ref="AG54:AJ54"/>
    <mergeCell ref="A51:O51"/>
    <mergeCell ref="P51:V51"/>
    <mergeCell ref="W51:AA51"/>
    <mergeCell ref="A52:O52"/>
    <mergeCell ref="P52:V52"/>
    <mergeCell ref="W52:AA52"/>
    <mergeCell ref="A49:O49"/>
    <mergeCell ref="P49:V49"/>
    <mergeCell ref="W49:AA49"/>
    <mergeCell ref="AB49:AF49"/>
    <mergeCell ref="AG49:AJ49"/>
    <mergeCell ref="A50:O50"/>
    <mergeCell ref="P50:V50"/>
    <mergeCell ref="W50:AA50"/>
    <mergeCell ref="A47:O47"/>
    <mergeCell ref="P47:V47"/>
    <mergeCell ref="W47:AA47"/>
    <mergeCell ref="AB47:AF47"/>
    <mergeCell ref="AG47:AJ47"/>
    <mergeCell ref="A48:O48"/>
    <mergeCell ref="P48:V48"/>
    <mergeCell ref="W48:AA48"/>
    <mergeCell ref="AB48:AF48"/>
    <mergeCell ref="AG45:AJ45"/>
    <mergeCell ref="A46:O46"/>
    <mergeCell ref="P46:V46"/>
    <mergeCell ref="W46:AA46"/>
    <mergeCell ref="AB46:AF46"/>
    <mergeCell ref="AG46:AJ46"/>
    <mergeCell ref="A44:O44"/>
    <mergeCell ref="P44:V44"/>
    <mergeCell ref="W44:AA44"/>
    <mergeCell ref="AB44:AF44"/>
    <mergeCell ref="A45:O45"/>
    <mergeCell ref="P45:V45"/>
    <mergeCell ref="W45:AA45"/>
    <mergeCell ref="AB45:AF45"/>
    <mergeCell ref="A42:O42"/>
    <mergeCell ref="P42:V42"/>
    <mergeCell ref="W42:AA42"/>
    <mergeCell ref="AB42:AF42"/>
    <mergeCell ref="AG42:AJ42"/>
    <mergeCell ref="A43:O43"/>
    <mergeCell ref="P43:V43"/>
    <mergeCell ref="W43:AA43"/>
    <mergeCell ref="AB43:AF43"/>
    <mergeCell ref="A40:O40"/>
    <mergeCell ref="P40:V40"/>
    <mergeCell ref="W40:AA40"/>
    <mergeCell ref="AB40:AF40"/>
    <mergeCell ref="AG40:AJ40"/>
    <mergeCell ref="A41:O41"/>
    <mergeCell ref="P41:V41"/>
    <mergeCell ref="W41:AA41"/>
    <mergeCell ref="AB41:AF41"/>
    <mergeCell ref="A38:O38"/>
    <mergeCell ref="P38:V38"/>
    <mergeCell ref="W38:AA38"/>
    <mergeCell ref="AB38:AF38"/>
    <mergeCell ref="AG38:AJ38"/>
    <mergeCell ref="A39:O39"/>
    <mergeCell ref="P39:V39"/>
    <mergeCell ref="W39:AA39"/>
    <mergeCell ref="AB39:AF39"/>
    <mergeCell ref="AG39:AJ39"/>
    <mergeCell ref="AG36:AJ36"/>
    <mergeCell ref="A37:O37"/>
    <mergeCell ref="P37:V37"/>
    <mergeCell ref="W37:AA37"/>
    <mergeCell ref="AB37:AF37"/>
    <mergeCell ref="AG37:AJ37"/>
    <mergeCell ref="A35:O35"/>
    <mergeCell ref="P35:V35"/>
    <mergeCell ref="W35:AA35"/>
    <mergeCell ref="AB35:AF35"/>
    <mergeCell ref="A36:O36"/>
    <mergeCell ref="P36:V36"/>
    <mergeCell ref="W36:AA36"/>
    <mergeCell ref="AB36:AF36"/>
    <mergeCell ref="AG33:AJ33"/>
    <mergeCell ref="A34:O34"/>
    <mergeCell ref="P34:V34"/>
    <mergeCell ref="W34:AA34"/>
    <mergeCell ref="AB34:AF34"/>
    <mergeCell ref="AG34:AJ34"/>
    <mergeCell ref="A32:O32"/>
    <mergeCell ref="P32:V32"/>
    <mergeCell ref="W32:AA32"/>
    <mergeCell ref="AB32:AF32"/>
    <mergeCell ref="A33:O33"/>
    <mergeCell ref="P33:V33"/>
    <mergeCell ref="W33:AA33"/>
    <mergeCell ref="AB33:AF33"/>
    <mergeCell ref="A30:O30"/>
    <mergeCell ref="P30:V30"/>
    <mergeCell ref="W30:AA30"/>
    <mergeCell ref="AB30:AF30"/>
    <mergeCell ref="A31:O31"/>
    <mergeCell ref="P31:V31"/>
    <mergeCell ref="W31:AA31"/>
    <mergeCell ref="AB31:AF31"/>
    <mergeCell ref="A28:O28"/>
    <mergeCell ref="P28:V28"/>
    <mergeCell ref="W28:AA28"/>
    <mergeCell ref="AB28:AF28"/>
    <mergeCell ref="AG28:AJ28"/>
    <mergeCell ref="A29:O29"/>
    <mergeCell ref="P29:V29"/>
    <mergeCell ref="W29:AA29"/>
    <mergeCell ref="AB29:AF29"/>
    <mergeCell ref="AG29:AJ29"/>
    <mergeCell ref="A26:O26"/>
    <mergeCell ref="P26:V26"/>
    <mergeCell ref="W26:AA26"/>
    <mergeCell ref="AB26:AF26"/>
    <mergeCell ref="A27:O27"/>
    <mergeCell ref="P27:V27"/>
    <mergeCell ref="W27:AA27"/>
    <mergeCell ref="AB27:AF27"/>
    <mergeCell ref="A24:O24"/>
    <mergeCell ref="P24:V24"/>
    <mergeCell ref="W24:AA24"/>
    <mergeCell ref="AB24:AF24"/>
    <mergeCell ref="AG24:AJ24"/>
    <mergeCell ref="A25:O25"/>
    <mergeCell ref="P25:V25"/>
    <mergeCell ref="W25:AA25"/>
    <mergeCell ref="AB25:AF25"/>
    <mergeCell ref="AG25:AJ25"/>
    <mergeCell ref="AG22:AJ22"/>
    <mergeCell ref="A23:O23"/>
    <mergeCell ref="P23:V23"/>
    <mergeCell ref="W23:AA23"/>
    <mergeCell ref="AB23:AF23"/>
    <mergeCell ref="AG23:AJ23"/>
    <mergeCell ref="A21:O21"/>
    <mergeCell ref="P21:V21"/>
    <mergeCell ref="W21:AA21"/>
    <mergeCell ref="AB21:AF21"/>
    <mergeCell ref="A22:O22"/>
    <mergeCell ref="P22:V22"/>
    <mergeCell ref="W22:AA22"/>
    <mergeCell ref="AB22:AF22"/>
    <mergeCell ref="A19:O19"/>
    <mergeCell ref="P19:V19"/>
    <mergeCell ref="W19:AA19"/>
    <mergeCell ref="AB19:AF19"/>
    <mergeCell ref="AG19:AJ19"/>
    <mergeCell ref="A20:O20"/>
    <mergeCell ref="P20:V20"/>
    <mergeCell ref="W20:AA20"/>
    <mergeCell ref="AB20:AF20"/>
    <mergeCell ref="AG20:AJ20"/>
    <mergeCell ref="AG17:AJ18"/>
    <mergeCell ref="P18:V18"/>
    <mergeCell ref="W18:AA18"/>
    <mergeCell ref="AB18:AF18"/>
    <mergeCell ref="A15:E15"/>
    <mergeCell ref="F15:H15"/>
    <mergeCell ref="J15:N15"/>
    <mergeCell ref="O15:T15"/>
    <mergeCell ref="A17:O18"/>
    <mergeCell ref="P17:V17"/>
    <mergeCell ref="A13:E13"/>
    <mergeCell ref="F13:H13"/>
    <mergeCell ref="J13:N13"/>
    <mergeCell ref="O13:T13"/>
    <mergeCell ref="A14:E14"/>
    <mergeCell ref="F14:H14"/>
    <mergeCell ref="J14:N14"/>
    <mergeCell ref="O14:T14"/>
    <mergeCell ref="A11:E11"/>
    <mergeCell ref="F11:H11"/>
    <mergeCell ref="J11:N11"/>
    <mergeCell ref="O11:T11"/>
    <mergeCell ref="A12:E12"/>
    <mergeCell ref="F12:H12"/>
    <mergeCell ref="J12:N12"/>
    <mergeCell ref="O12:T12"/>
    <mergeCell ref="D3:AE3"/>
    <mergeCell ref="A8:E10"/>
    <mergeCell ref="F8:T8"/>
    <mergeCell ref="F9:H9"/>
    <mergeCell ref="J9:N9"/>
    <mergeCell ref="O9:T10"/>
    <mergeCell ref="F10:H10"/>
    <mergeCell ref="J10:N10"/>
    <mergeCell ref="W17:AA17"/>
    <mergeCell ref="AB17:A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Uaer4</dc:creator>
  <cp:keywords/>
  <dc:description/>
  <cp:lastModifiedBy>Uaer4</cp:lastModifiedBy>
  <cp:revision>1</cp:revision>
  <cp:lastPrinted>2026-10-27T07:03:35Z</cp:lastPrinted>
  <dcterms:created xsi:type="dcterms:W3CDTF">2026-10-27T07:03:35Z</dcterms:created>
  <dcterms:modified xsi:type="dcterms:W3CDTF">2026-10-27T09:28:33Z</dcterms:modified>
</cp:coreProperties>
</file>