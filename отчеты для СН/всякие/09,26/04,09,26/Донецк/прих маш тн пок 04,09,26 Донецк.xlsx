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Донецк\"/>
    </mc:Choice>
  </mc:AlternateContent>
  <xr:revisionPtr revIDLastSave="0" documentId="13_ncr:1_{51B4ED50-FD2D-46E0-A879-5D6FD4DB22F5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5" l="1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H3" i="6" l="1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4" i="6"/>
  <c r="F34" i="6"/>
  <c r="E34" i="6"/>
  <c r="F34" i="5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<sst xmlns="http://schemas.openxmlformats.org/spreadsheetml/2006/main" count="81" uniqueCount="19">
  <si>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</si>
  <si>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</si>
  <si>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</si>
  <si>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</si>
  <si>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</si>
  <si>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</si>
  <si>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</si>
  <si>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</si>
  <si>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</si>
  <si>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</si>
  <si>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</si>
  <si>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</si>
  <si>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</si>
  <si>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</si>
  <si>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</si>
  <si>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</si>
  <si>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2дн</t>
  </si>
  <si>
    <t>поком, ЗПФ Донецк</t>
  </si>
  <si>
    <t>поком 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</si>
</sst>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tabSelected="1" zoomScale="85" zoomScaleNormal="85" workbookViewId="0">
      <selection activeCell="M15" sqref="M1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55.4</v>
      </c>
      <c r="E3" s="4"/>
      <c r="F3" s="4">
        <v>9</v>
      </c>
      <c r="G3" s="4">
        <f t="shared" ref="G3:G33" si="0">D3+E3-F3</f>
        <v>46.4</v>
      </c>
      <c r="H3" s="4">
        <v>20</v>
      </c>
      <c r="I3" s="4"/>
      <c r="K3" t="s">
        <v>16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46.4</v>
      </c>
      <c r="E4" s="4"/>
      <c r="F4" s="4"/>
      <c r="G4" s="4">
        <f t="shared" si="0"/>
        <v>46.4</v>
      </c>
      <c r="H4" s="4">
        <f>H3</f>
        <v>20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46.4</v>
      </c>
      <c r="E5" s="4"/>
      <c r="F5" s="4"/>
      <c r="G5" s="4">
        <f t="shared" si="0"/>
        <v>46.4</v>
      </c>
      <c r="H5" s="4">
        <f t="shared" ref="H5:H33" si="3">H4</f>
        <v>20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46.4</v>
      </c>
      <c r="E6" s="11">
        <f>9.5+12.5</f>
        <v>22</v>
      </c>
      <c r="F6" s="4">
        <v>9</v>
      </c>
      <c r="G6" s="4">
        <f t="shared" si="0"/>
        <v>59.400000000000006</v>
      </c>
      <c r="H6" s="4">
        <f t="shared" si="3"/>
        <v>20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59.400000000000006</v>
      </c>
      <c r="E7" s="4"/>
      <c r="F7" s="4">
        <v>9</v>
      </c>
      <c r="G7" s="4">
        <f t="shared" si="0"/>
        <v>50.400000000000006</v>
      </c>
      <c r="H7" s="4">
        <f t="shared" si="3"/>
        <v>20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50.400000000000006</v>
      </c>
      <c r="E8" s="11">
        <v>16.7</v>
      </c>
      <c r="F8" s="4">
        <v>9</v>
      </c>
      <c r="G8" s="4">
        <f t="shared" si="0"/>
        <v>58.100000000000009</v>
      </c>
      <c r="H8" s="4">
        <f t="shared" si="3"/>
        <v>20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58.100000000000009</v>
      </c>
      <c r="E9" s="4"/>
      <c r="F9" s="4">
        <v>9</v>
      </c>
      <c r="G9" s="4">
        <f t="shared" si="0"/>
        <v>49.100000000000009</v>
      </c>
      <c r="H9" s="4">
        <f t="shared" si="3"/>
        <v>20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49.100000000000009</v>
      </c>
      <c r="E10" s="11">
        <v>17.2</v>
      </c>
      <c r="F10" s="4">
        <v>9</v>
      </c>
      <c r="G10" s="4">
        <f t="shared" si="0"/>
        <v>57.300000000000011</v>
      </c>
      <c r="H10" s="4">
        <f t="shared" si="3"/>
        <v>20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57.300000000000011</v>
      </c>
      <c r="E11" s="4"/>
      <c r="F11" s="4"/>
      <c r="G11" s="4">
        <f t="shared" si="0"/>
        <v>57.300000000000011</v>
      </c>
      <c r="H11" s="4">
        <f t="shared" si="3"/>
        <v>20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57.300000000000011</v>
      </c>
      <c r="E12" s="4"/>
      <c r="F12" s="4"/>
      <c r="G12" s="4">
        <f t="shared" si="0"/>
        <v>57.300000000000011</v>
      </c>
      <c r="H12" s="4">
        <f t="shared" si="3"/>
        <v>20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57.300000000000011</v>
      </c>
      <c r="E13" s="4"/>
      <c r="F13" s="4">
        <v>9</v>
      </c>
      <c r="G13" s="4">
        <f t="shared" si="0"/>
        <v>48.300000000000011</v>
      </c>
      <c r="H13" s="4">
        <f t="shared" si="3"/>
        <v>20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48.300000000000011</v>
      </c>
      <c r="E14" s="4"/>
      <c r="F14" s="4">
        <v>9</v>
      </c>
      <c r="G14" s="4">
        <f t="shared" si="0"/>
        <v>39.300000000000011</v>
      </c>
      <c r="H14" s="4">
        <f t="shared" si="3"/>
        <v>20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39.300000000000011</v>
      </c>
      <c r="E15" s="4"/>
      <c r="F15" s="4">
        <v>9</v>
      </c>
      <c r="G15" s="4">
        <f t="shared" si="0"/>
        <v>30.300000000000011</v>
      </c>
      <c r="H15" s="4">
        <f t="shared" si="3"/>
        <v>20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30.300000000000011</v>
      </c>
      <c r="E16" s="4"/>
      <c r="F16" s="4">
        <v>9</v>
      </c>
      <c r="G16" s="4">
        <f t="shared" si="0"/>
        <v>21.300000000000011</v>
      </c>
      <c r="H16" s="4">
        <f t="shared" si="3"/>
        <v>20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21.300000000000011</v>
      </c>
      <c r="E17" s="4">
        <v>17.5</v>
      </c>
      <c r="F17" s="4">
        <v>9</v>
      </c>
      <c r="G17" s="4">
        <f t="shared" si="0"/>
        <v>29.800000000000011</v>
      </c>
      <c r="H17" s="4">
        <f t="shared" si="3"/>
        <v>20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29.800000000000011</v>
      </c>
      <c r="E18" s="4"/>
      <c r="F18" s="4"/>
      <c r="G18" s="4">
        <f t="shared" si="0"/>
        <v>29.800000000000011</v>
      </c>
      <c r="H18" s="4">
        <f t="shared" si="3"/>
        <v>20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29.800000000000011</v>
      </c>
      <c r="E19" s="4"/>
      <c r="F19" s="4"/>
      <c r="G19" s="4">
        <f t="shared" si="0"/>
        <v>29.800000000000011</v>
      </c>
      <c r="H19" s="4">
        <f t="shared" si="3"/>
        <v>20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29.800000000000011</v>
      </c>
      <c r="E20" s="4"/>
      <c r="F20" s="4">
        <v>9</v>
      </c>
      <c r="G20" s="4">
        <f t="shared" si="0"/>
        <v>20.800000000000011</v>
      </c>
      <c r="H20" s="4">
        <f t="shared" si="3"/>
        <v>20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20.800000000000011</v>
      </c>
      <c r="E21" s="4">
        <v>17.5</v>
      </c>
      <c r="F21" s="4">
        <v>9</v>
      </c>
      <c r="G21" s="4">
        <f t="shared" si="0"/>
        <v>29.300000000000011</v>
      </c>
      <c r="H21" s="4">
        <f t="shared" si="3"/>
        <v>20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29.300000000000011</v>
      </c>
      <c r="E22" s="4"/>
      <c r="F22" s="4">
        <v>9</v>
      </c>
      <c r="G22" s="4">
        <f t="shared" si="0"/>
        <v>20.300000000000011</v>
      </c>
      <c r="H22" s="4">
        <f t="shared" si="3"/>
        <v>20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20.300000000000011</v>
      </c>
      <c r="E23" s="4">
        <v>17.5</v>
      </c>
      <c r="F23" s="4">
        <v>9</v>
      </c>
      <c r="G23" s="4">
        <f t="shared" si="0"/>
        <v>28.800000000000011</v>
      </c>
      <c r="H23" s="4">
        <f t="shared" si="3"/>
        <v>20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28.800000000000011</v>
      </c>
      <c r="E24" s="4">
        <v>9.5</v>
      </c>
      <c r="F24" s="4">
        <v>9</v>
      </c>
      <c r="G24" s="4">
        <f t="shared" si="0"/>
        <v>29.300000000000011</v>
      </c>
      <c r="H24" s="4">
        <f t="shared" si="3"/>
        <v>20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29.300000000000011</v>
      </c>
      <c r="E25" s="4"/>
      <c r="F25" s="4"/>
      <c r="G25" s="4">
        <f t="shared" si="0"/>
        <v>29.300000000000011</v>
      </c>
      <c r="H25" s="4">
        <f t="shared" si="3"/>
        <v>20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29.300000000000011</v>
      </c>
      <c r="E26" s="4"/>
      <c r="F26" s="4"/>
      <c r="G26" s="4">
        <f t="shared" si="0"/>
        <v>29.300000000000011</v>
      </c>
      <c r="H26" s="4">
        <f t="shared" si="3"/>
        <v>20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29.300000000000011</v>
      </c>
      <c r="E27" s="4"/>
      <c r="F27" s="4">
        <v>9</v>
      </c>
      <c r="G27" s="4">
        <f t="shared" si="0"/>
        <v>20.300000000000011</v>
      </c>
      <c r="H27" s="4">
        <f t="shared" si="3"/>
        <v>20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20.300000000000011</v>
      </c>
      <c r="E28" s="4">
        <v>17.5</v>
      </c>
      <c r="F28" s="4">
        <v>9</v>
      </c>
      <c r="G28" s="4">
        <f t="shared" si="0"/>
        <v>28.800000000000011</v>
      </c>
      <c r="H28" s="4">
        <f t="shared" si="3"/>
        <v>20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28.800000000000011</v>
      </c>
      <c r="E29" s="4"/>
      <c r="F29" s="4">
        <v>9</v>
      </c>
      <c r="G29" s="4">
        <f t="shared" si="0"/>
        <v>19.800000000000011</v>
      </c>
      <c r="H29" s="4">
        <f t="shared" si="3"/>
        <v>20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19.800000000000011</v>
      </c>
      <c r="E30" s="4">
        <v>17.5</v>
      </c>
      <c r="F30" s="4">
        <v>9</v>
      </c>
      <c r="G30" s="4">
        <f t="shared" si="0"/>
        <v>28.300000000000011</v>
      </c>
      <c r="H30" s="4">
        <f t="shared" si="3"/>
        <v>20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28.300000000000011</v>
      </c>
      <c r="E31" s="4">
        <v>10</v>
      </c>
      <c r="F31" s="4">
        <v>9</v>
      </c>
      <c r="G31" s="4">
        <f t="shared" si="0"/>
        <v>29.300000000000011</v>
      </c>
      <c r="H31" s="4">
        <f t="shared" si="3"/>
        <v>20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29.300000000000011</v>
      </c>
      <c r="E32" s="4"/>
      <c r="F32" s="4"/>
      <c r="G32" s="4">
        <f t="shared" si="0"/>
        <v>29.300000000000011</v>
      </c>
      <c r="H32" s="4">
        <f t="shared" si="3"/>
        <v>20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29.300000000000011</v>
      </c>
      <c r="E33" s="4"/>
      <c r="F33" s="4"/>
      <c r="G33" s="4">
        <f t="shared" si="0"/>
        <v>29.300000000000011</v>
      </c>
      <c r="H33" s="4">
        <f t="shared" si="3"/>
        <v>20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162.9</v>
      </c>
      <c r="F34" s="4">
        <f>SUM(F3:F33)</f>
        <v>189</v>
      </c>
      <c r="G34" s="4"/>
      <c r="H34" s="4"/>
      <c r="I34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85" zoomScaleNormal="85" workbookViewId="0">
      <selection activeCell="N14" sqref="N1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8.6</v>
      </c>
      <c r="E3" s="4"/>
      <c r="F3" s="4">
        <v>2.6</v>
      </c>
      <c r="G3" s="4">
        <f t="shared" ref="G3:G33" si="0">D3+E3-F3</f>
        <v>6</v>
      </c>
      <c r="H3" s="4">
        <f>2.6*3</f>
        <v>7.8000000000000007</v>
      </c>
      <c r="I3" s="4"/>
      <c r="K3" t="s">
        <v>15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6</v>
      </c>
      <c r="E4" s="4"/>
      <c r="F4" s="4"/>
      <c r="G4" s="4">
        <f t="shared" si="0"/>
        <v>6</v>
      </c>
      <c r="H4" s="4">
        <f>H3</f>
        <v>7.8000000000000007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6</v>
      </c>
      <c r="E5" s="4"/>
      <c r="F5" s="4"/>
      <c r="G5" s="4">
        <f t="shared" si="0"/>
        <v>6</v>
      </c>
      <c r="H5" s="4">
        <f t="shared" ref="H5:H33" si="3">H4</f>
        <v>7.8000000000000007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6</v>
      </c>
      <c r="E6" s="11">
        <v>16.600000000000001</v>
      </c>
      <c r="F6" s="4">
        <v>2.6</v>
      </c>
      <c r="G6" s="4">
        <f t="shared" si="0"/>
        <v>20</v>
      </c>
      <c r="H6" s="4">
        <f t="shared" si="3"/>
        <v>7.8000000000000007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20</v>
      </c>
      <c r="E7" s="4"/>
      <c r="F7" s="4">
        <v>2.6</v>
      </c>
      <c r="G7" s="4">
        <f t="shared" si="0"/>
        <v>17.399999999999999</v>
      </c>
      <c r="H7" s="4">
        <f t="shared" si="3"/>
        <v>7.8000000000000007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17.399999999999999</v>
      </c>
      <c r="E8" s="4"/>
      <c r="F8" s="4">
        <v>2.6</v>
      </c>
      <c r="G8" s="4">
        <f t="shared" si="0"/>
        <v>14.799999999999999</v>
      </c>
      <c r="H8" s="4">
        <f t="shared" si="3"/>
        <v>7.8000000000000007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14.799999999999999</v>
      </c>
      <c r="E9" s="4"/>
      <c r="F9" s="4">
        <v>2.6</v>
      </c>
      <c r="G9" s="4">
        <f t="shared" si="0"/>
        <v>12.2</v>
      </c>
      <c r="H9" s="4">
        <f t="shared" si="3"/>
        <v>7.8000000000000007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12.2</v>
      </c>
      <c r="E10" s="11">
        <v>12.1</v>
      </c>
      <c r="F10" s="4">
        <v>2.6</v>
      </c>
      <c r="G10" s="4">
        <f t="shared" si="0"/>
        <v>21.699999999999996</v>
      </c>
      <c r="H10" s="4">
        <f t="shared" si="3"/>
        <v>7.8000000000000007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21.699999999999996</v>
      </c>
      <c r="E11" s="4"/>
      <c r="F11" s="4"/>
      <c r="G11" s="4">
        <f t="shared" si="0"/>
        <v>21.699999999999996</v>
      </c>
      <c r="H11" s="4">
        <f t="shared" si="3"/>
        <v>7.8000000000000007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21.699999999999996</v>
      </c>
      <c r="E12" s="4"/>
      <c r="F12" s="4"/>
      <c r="G12" s="4">
        <f t="shared" si="0"/>
        <v>21.699999999999996</v>
      </c>
      <c r="H12" s="4">
        <f t="shared" si="3"/>
        <v>7.8000000000000007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21.699999999999996</v>
      </c>
      <c r="E13" s="4"/>
      <c r="F13" s="4">
        <v>2.6</v>
      </c>
      <c r="G13" s="4">
        <f t="shared" si="0"/>
        <v>19.099999999999994</v>
      </c>
      <c r="H13" s="4">
        <f t="shared" si="3"/>
        <v>7.8000000000000007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19.099999999999994</v>
      </c>
      <c r="E14" s="4"/>
      <c r="F14" s="4">
        <v>2.6</v>
      </c>
      <c r="G14" s="4">
        <f t="shared" si="0"/>
        <v>16.499999999999993</v>
      </c>
      <c r="H14" s="4">
        <f t="shared" si="3"/>
        <v>7.8000000000000007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16.499999999999993</v>
      </c>
      <c r="E15" s="4"/>
      <c r="F15" s="4">
        <v>2.6</v>
      </c>
      <c r="G15" s="4">
        <f t="shared" si="0"/>
        <v>13.899999999999993</v>
      </c>
      <c r="H15" s="4">
        <f t="shared" si="3"/>
        <v>7.8000000000000007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13.899999999999993</v>
      </c>
      <c r="E16" s="4"/>
      <c r="F16" s="4">
        <v>2.6</v>
      </c>
      <c r="G16" s="4">
        <f t="shared" si="0"/>
        <v>11.299999999999994</v>
      </c>
      <c r="H16" s="4">
        <f t="shared" si="3"/>
        <v>7.8000000000000007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11.299999999999994</v>
      </c>
      <c r="E17" s="4">
        <v>11.7</v>
      </c>
      <c r="F17" s="4">
        <v>2.6</v>
      </c>
      <c r="G17" s="4">
        <f t="shared" si="0"/>
        <v>20.399999999999991</v>
      </c>
      <c r="H17" s="4">
        <f t="shared" si="3"/>
        <v>7.8000000000000007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20.399999999999991</v>
      </c>
      <c r="E18" s="4"/>
      <c r="F18" s="4"/>
      <c r="G18" s="4">
        <f t="shared" si="0"/>
        <v>20.399999999999991</v>
      </c>
      <c r="H18" s="4">
        <f t="shared" si="3"/>
        <v>7.8000000000000007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20.399999999999991</v>
      </c>
      <c r="E19" s="4"/>
      <c r="F19" s="4"/>
      <c r="G19" s="4">
        <f t="shared" si="0"/>
        <v>20.399999999999991</v>
      </c>
      <c r="H19" s="4">
        <f t="shared" si="3"/>
        <v>7.8000000000000007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20.399999999999991</v>
      </c>
      <c r="E20" s="4"/>
      <c r="F20" s="4">
        <v>2.6</v>
      </c>
      <c r="G20" s="4">
        <f t="shared" si="0"/>
        <v>17.79999999999999</v>
      </c>
      <c r="H20" s="4">
        <f t="shared" si="3"/>
        <v>7.8000000000000007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17.79999999999999</v>
      </c>
      <c r="E21" s="4"/>
      <c r="F21" s="4">
        <v>2.6</v>
      </c>
      <c r="G21" s="4">
        <f t="shared" si="0"/>
        <v>15.19999999999999</v>
      </c>
      <c r="H21" s="4">
        <f t="shared" si="3"/>
        <v>7.8000000000000007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15.19999999999999</v>
      </c>
      <c r="E22" s="4"/>
      <c r="F22" s="4">
        <v>2.6</v>
      </c>
      <c r="G22" s="4">
        <f t="shared" si="0"/>
        <v>12.599999999999991</v>
      </c>
      <c r="H22" s="4">
        <f t="shared" si="3"/>
        <v>7.8000000000000007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12.599999999999991</v>
      </c>
      <c r="E23" s="4"/>
      <c r="F23" s="4">
        <v>2.6</v>
      </c>
      <c r="G23" s="4">
        <f t="shared" si="0"/>
        <v>9.9999999999999911</v>
      </c>
      <c r="H23" s="4">
        <f t="shared" si="3"/>
        <v>7.8000000000000007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9.9999999999999911</v>
      </c>
      <c r="E24" s="4">
        <v>12</v>
      </c>
      <c r="F24" s="4">
        <v>2.6</v>
      </c>
      <c r="G24" s="4">
        <f t="shared" si="0"/>
        <v>19.399999999999991</v>
      </c>
      <c r="H24" s="4">
        <f t="shared" si="3"/>
        <v>7.8000000000000007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19.399999999999991</v>
      </c>
      <c r="E25" s="4"/>
      <c r="F25" s="4"/>
      <c r="G25" s="4">
        <f t="shared" si="0"/>
        <v>19.399999999999991</v>
      </c>
      <c r="H25" s="4">
        <f t="shared" si="3"/>
        <v>7.8000000000000007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19.399999999999991</v>
      </c>
      <c r="E26" s="4"/>
      <c r="F26" s="4"/>
      <c r="G26" s="4">
        <f t="shared" si="0"/>
        <v>19.399999999999991</v>
      </c>
      <c r="H26" s="4">
        <f t="shared" si="3"/>
        <v>7.8000000000000007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19.399999999999991</v>
      </c>
      <c r="E27" s="4"/>
      <c r="F27" s="4">
        <v>2.6</v>
      </c>
      <c r="G27" s="4">
        <f t="shared" si="0"/>
        <v>16.79999999999999</v>
      </c>
      <c r="H27" s="4">
        <f t="shared" si="3"/>
        <v>7.8000000000000007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16.79999999999999</v>
      </c>
      <c r="E28" s="4"/>
      <c r="F28" s="4">
        <v>2.6</v>
      </c>
      <c r="G28" s="4">
        <f t="shared" si="0"/>
        <v>14.19999999999999</v>
      </c>
      <c r="H28" s="4">
        <f t="shared" si="3"/>
        <v>7.8000000000000007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14.19999999999999</v>
      </c>
      <c r="E29" s="4"/>
      <c r="F29" s="4">
        <v>2.6</v>
      </c>
      <c r="G29" s="4">
        <f t="shared" si="0"/>
        <v>11.599999999999991</v>
      </c>
      <c r="H29" s="4">
        <f t="shared" si="3"/>
        <v>7.8000000000000007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11.599999999999991</v>
      </c>
      <c r="E30" s="4"/>
      <c r="F30" s="4">
        <v>2.6</v>
      </c>
      <c r="G30" s="4">
        <f t="shared" si="0"/>
        <v>8.9999999999999911</v>
      </c>
      <c r="H30" s="4">
        <f t="shared" si="3"/>
        <v>7.8000000000000007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8.9999999999999911</v>
      </c>
      <c r="E31" s="4">
        <v>12</v>
      </c>
      <c r="F31" s="4">
        <v>2.6</v>
      </c>
      <c r="G31" s="4">
        <f t="shared" si="0"/>
        <v>18.399999999999991</v>
      </c>
      <c r="H31" s="4">
        <f t="shared" si="3"/>
        <v>7.8000000000000007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18.399999999999991</v>
      </c>
      <c r="E32" s="4"/>
      <c r="F32" s="4"/>
      <c r="G32" s="4">
        <f t="shared" si="0"/>
        <v>18.399999999999991</v>
      </c>
      <c r="H32" s="4">
        <f t="shared" si="3"/>
        <v>7.8000000000000007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18.399999999999991</v>
      </c>
      <c r="E33" s="4"/>
      <c r="F33" s="4"/>
      <c r="G33" s="4">
        <f t="shared" si="0"/>
        <v>18.399999999999991</v>
      </c>
      <c r="H33" s="4">
        <f t="shared" si="3"/>
        <v>7.8000000000000007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64.400000000000006</v>
      </c>
      <c r="F34" s="4">
        <f>SUM(F3:F33)</f>
        <v>54.600000000000016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2026-09-07T07:08:50Z</cp:lastPrinted>
  <dcterms:created xsi:type="dcterms:W3CDTF">2019-09-02T07:33:27Z</dcterms:created>
  <dcterms:modified xsi:type="dcterms:W3CDTF">2026-09-07T07:09:54Z</dcterms:modified>
</cp:coreProperties>
</file>