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Луганск\"/>
    </mc:Choice>
  </mc:AlternateContent>
  <xr:revisionPtr revIDLastSave="0" documentId="13_ncr:1_{3744217E-A251-4F66-AEB4-FD4628EAAFC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H3" i="6" l="1"/>
  <c r="H3" i="5" l="1"/>
  <c r="C4" i="5" l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F22" i="6" l="1"/>
  <c r="E22" i="6" l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E22" i="5" l="1"/>
  <c r="F22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</calcChain>
</file>

<file path=xl/sharedStrings.xml><?xml version="1.0" encoding="utf-8"?>
<sst xmlns="http://schemas.openxmlformats.org/spreadsheetml/2006/main" count="57" uniqueCount="19">
  <si>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</si>
  <si>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</si>
  <si>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</si>
  <si>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</si>
  <si>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</si>
  <si>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</si>
  <si>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</si>
  <si>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</si>
  <si>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</si>
  <si>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</si>
  <si>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</si>
  <si>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</si>
  <si>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</si>
  <si>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</si>
  <si>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</si>
  <si>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</si>
  <si>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4дн</t>
  </si>
  <si>
    <t>поком, ЗПФ Луганск</t>
  </si>
  <si>
    <t>поком 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</si>
</sst>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8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0" fontId="7" fillId="0" borderId="0" xfId="0" applyFont="1"/>
    <xf numFmtId="49" fontId="1" fillId="0" borderId="3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tabSelected="1" zoomScale="85" zoomScaleNormal="85" workbookViewId="0">
      <selection activeCell="Q34" sqref="Q34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2" t="s">
        <v>18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33.5</v>
      </c>
      <c r="E3" s="4"/>
      <c r="F3" s="4">
        <v>8.9</v>
      </c>
      <c r="G3" s="4">
        <f t="shared" ref="G3:G21" si="0">D3+E3-F3</f>
        <v>24.6</v>
      </c>
      <c r="H3" s="4">
        <f>F3*3</f>
        <v>26.700000000000003</v>
      </c>
      <c r="I3" s="4"/>
      <c r="K3" s="11" t="s">
        <v>15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24.6</v>
      </c>
      <c r="E4" s="4"/>
      <c r="F4" s="4">
        <v>8.9</v>
      </c>
      <c r="G4" s="4">
        <f t="shared" si="0"/>
        <v>15.700000000000001</v>
      </c>
      <c r="H4" s="4">
        <f t="shared" ref="H4:H21" si="3">H3</f>
        <v>26.700000000000003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15.700000000000001</v>
      </c>
      <c r="E5" s="13">
        <v>27.6</v>
      </c>
      <c r="F5" s="4">
        <v>8.9</v>
      </c>
      <c r="G5" s="4">
        <f t="shared" si="0"/>
        <v>34.400000000000006</v>
      </c>
      <c r="H5" s="4">
        <f t="shared" si="3"/>
        <v>26.700000000000003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34.400000000000006</v>
      </c>
      <c r="E6" s="13">
        <v>17.3</v>
      </c>
      <c r="F6" s="4"/>
      <c r="G6" s="4">
        <f t="shared" si="0"/>
        <v>51.7</v>
      </c>
      <c r="H6" s="4">
        <f t="shared" si="3"/>
        <v>26.700000000000003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51.7</v>
      </c>
      <c r="E7" s="4"/>
      <c r="F7" s="4"/>
      <c r="G7" s="4">
        <f t="shared" si="0"/>
        <v>51.7</v>
      </c>
      <c r="H7" s="4">
        <f t="shared" si="3"/>
        <v>26.700000000000003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51.7</v>
      </c>
      <c r="E8" s="4"/>
      <c r="F8" s="4">
        <v>8.9</v>
      </c>
      <c r="G8" s="4">
        <f t="shared" si="0"/>
        <v>42.800000000000004</v>
      </c>
      <c r="H8" s="4">
        <f t="shared" si="3"/>
        <v>26.700000000000003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42.800000000000004</v>
      </c>
      <c r="E9" s="13">
        <v>17.600000000000001</v>
      </c>
      <c r="F9" s="4">
        <v>8.9</v>
      </c>
      <c r="G9" s="4">
        <f t="shared" si="0"/>
        <v>51.500000000000007</v>
      </c>
      <c r="H9" s="4">
        <f t="shared" si="3"/>
        <v>26.700000000000003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51.500000000000007</v>
      </c>
      <c r="E10" s="13">
        <v>9.6</v>
      </c>
      <c r="F10" s="4">
        <v>8.9</v>
      </c>
      <c r="G10" s="4">
        <f t="shared" si="0"/>
        <v>52.20000000000001</v>
      </c>
      <c r="H10" s="4">
        <f t="shared" si="3"/>
        <v>26.700000000000003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52.20000000000001</v>
      </c>
      <c r="E11" s="4"/>
      <c r="F11" s="4">
        <v>8.9</v>
      </c>
      <c r="G11" s="4">
        <f t="shared" si="0"/>
        <v>43.300000000000011</v>
      </c>
      <c r="H11" s="4">
        <f t="shared" si="3"/>
        <v>26.700000000000003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43.300000000000011</v>
      </c>
      <c r="E12" s="4">
        <v>17.5</v>
      </c>
      <c r="F12" s="4">
        <v>8.9</v>
      </c>
      <c r="G12" s="4">
        <f t="shared" si="0"/>
        <v>51.900000000000013</v>
      </c>
      <c r="H12" s="4">
        <f t="shared" si="3"/>
        <v>26.700000000000003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51.900000000000013</v>
      </c>
      <c r="E13" s="4"/>
      <c r="F13" s="4"/>
      <c r="G13" s="4">
        <f t="shared" si="0"/>
        <v>51.900000000000013</v>
      </c>
      <c r="H13" s="4">
        <f t="shared" si="3"/>
        <v>26.700000000000003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51.900000000000013</v>
      </c>
      <c r="E14" s="4"/>
      <c r="F14" s="4"/>
      <c r="G14" s="4">
        <f t="shared" si="0"/>
        <v>51.900000000000013</v>
      </c>
      <c r="H14" s="4">
        <f t="shared" si="3"/>
        <v>26.700000000000003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51.900000000000013</v>
      </c>
      <c r="E15" s="4"/>
      <c r="F15" s="4">
        <v>8.9</v>
      </c>
      <c r="G15" s="4">
        <f t="shared" si="0"/>
        <v>43.000000000000014</v>
      </c>
      <c r="H15" s="4">
        <f t="shared" si="3"/>
        <v>26.700000000000003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43.000000000000014</v>
      </c>
      <c r="E16" s="4"/>
      <c r="F16" s="4">
        <v>8.9</v>
      </c>
      <c r="G16" s="4">
        <f t="shared" si="0"/>
        <v>34.100000000000016</v>
      </c>
      <c r="H16" s="4">
        <f t="shared" si="3"/>
        <v>26.700000000000003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34.100000000000016</v>
      </c>
      <c r="E17" s="4">
        <v>17.5</v>
      </c>
      <c r="F17" s="4">
        <v>8.9</v>
      </c>
      <c r="G17" s="4">
        <f t="shared" si="0"/>
        <v>42.700000000000017</v>
      </c>
      <c r="H17" s="4">
        <f t="shared" si="3"/>
        <v>26.700000000000003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42.700000000000017</v>
      </c>
      <c r="E18" s="4"/>
      <c r="F18" s="4">
        <v>8.9</v>
      </c>
      <c r="G18" s="4">
        <f t="shared" si="0"/>
        <v>33.800000000000018</v>
      </c>
      <c r="H18" s="4">
        <f t="shared" si="3"/>
        <v>26.700000000000003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33.800000000000018</v>
      </c>
      <c r="E19" s="4">
        <v>17.5</v>
      </c>
      <c r="F19" s="4">
        <v>8.9</v>
      </c>
      <c r="G19" s="4">
        <f t="shared" si="0"/>
        <v>42.40000000000002</v>
      </c>
      <c r="H19" s="4">
        <f t="shared" si="3"/>
        <v>26.700000000000003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42.40000000000002</v>
      </c>
      <c r="E20" s="4"/>
      <c r="F20" s="4"/>
      <c r="G20" s="4">
        <f t="shared" si="0"/>
        <v>42.40000000000002</v>
      </c>
      <c r="H20" s="4">
        <f t="shared" si="3"/>
        <v>26.700000000000003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42.40000000000002</v>
      </c>
      <c r="E21" s="4"/>
      <c r="F21" s="4"/>
      <c r="G21" s="4">
        <f t="shared" si="0"/>
        <v>42.40000000000002</v>
      </c>
      <c r="H21" s="4">
        <f t="shared" si="3"/>
        <v>26.700000000000003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124.60000000000001</v>
      </c>
      <c r="F22" s="4">
        <f>SUM(F3:F21)</f>
        <v>115.70000000000003</v>
      </c>
      <c r="G22" s="4"/>
      <c r="H22" s="4"/>
      <c r="I22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="85" zoomScaleNormal="85" workbookViewId="0">
      <selection activeCell="L19" sqref="L19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42578125" customWidth="1"/>
  </cols>
  <sheetData>
    <row r="1" spans="1:11" ht="18" x14ac:dyDescent="0.25">
      <c r="A1" s="12" t="s">
        <v>17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8.1</v>
      </c>
      <c r="E3" s="4"/>
      <c r="F3" s="4">
        <v>2.1</v>
      </c>
      <c r="G3" s="4">
        <f t="shared" ref="G3:G21" si="0">D3+E3-F3</f>
        <v>6</v>
      </c>
      <c r="H3" s="4">
        <f>F3*4</f>
        <v>8.4</v>
      </c>
      <c r="I3" s="4"/>
      <c r="K3" t="s">
        <v>16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6</v>
      </c>
      <c r="E4" s="4"/>
      <c r="F4" s="4">
        <v>2.1</v>
      </c>
      <c r="G4" s="4">
        <f t="shared" si="0"/>
        <v>3.9</v>
      </c>
      <c r="H4" s="4">
        <f t="shared" ref="H4:H21" si="3">H3</f>
        <v>8.4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3.9</v>
      </c>
      <c r="E5" s="13">
        <v>13.6</v>
      </c>
      <c r="F5" s="4">
        <v>2.1</v>
      </c>
      <c r="G5" s="4">
        <f t="shared" si="0"/>
        <v>15.4</v>
      </c>
      <c r="H5" s="4">
        <f t="shared" si="3"/>
        <v>8.4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15.4</v>
      </c>
      <c r="E6" s="4"/>
      <c r="F6" s="4"/>
      <c r="G6" s="4">
        <f t="shared" si="0"/>
        <v>15.4</v>
      </c>
      <c r="H6" s="4">
        <f t="shared" si="3"/>
        <v>8.4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15.4</v>
      </c>
      <c r="E7" s="4"/>
      <c r="F7" s="4"/>
      <c r="G7" s="4">
        <f t="shared" si="0"/>
        <v>15.4</v>
      </c>
      <c r="H7" s="4">
        <f t="shared" si="3"/>
        <v>8.4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15.4</v>
      </c>
      <c r="E8" s="4"/>
      <c r="F8" s="4">
        <v>2.1</v>
      </c>
      <c r="G8" s="4">
        <f t="shared" si="0"/>
        <v>13.3</v>
      </c>
      <c r="H8" s="4">
        <f t="shared" si="3"/>
        <v>8.4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13.3</v>
      </c>
      <c r="E9" s="4"/>
      <c r="F9" s="4">
        <v>2.1</v>
      </c>
      <c r="G9" s="4">
        <f t="shared" si="0"/>
        <v>11.200000000000001</v>
      </c>
      <c r="H9" s="4">
        <f t="shared" si="3"/>
        <v>8.4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11.200000000000001</v>
      </c>
      <c r="E10" s="4"/>
      <c r="F10" s="4">
        <v>2.1</v>
      </c>
      <c r="G10" s="4">
        <f t="shared" si="0"/>
        <v>9.1000000000000014</v>
      </c>
      <c r="H10" s="4">
        <f t="shared" si="3"/>
        <v>8.4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9.1000000000000014</v>
      </c>
      <c r="E11" s="4">
        <v>13</v>
      </c>
      <c r="F11" s="4">
        <v>2.1</v>
      </c>
      <c r="G11" s="4">
        <f t="shared" si="0"/>
        <v>20</v>
      </c>
      <c r="H11" s="4">
        <f t="shared" si="3"/>
        <v>8.4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20</v>
      </c>
      <c r="E12" s="4"/>
      <c r="F12" s="4">
        <v>2.1</v>
      </c>
      <c r="G12" s="4">
        <f t="shared" si="0"/>
        <v>17.899999999999999</v>
      </c>
      <c r="H12" s="4">
        <f t="shared" si="3"/>
        <v>8.4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17.899999999999999</v>
      </c>
      <c r="E13" s="4"/>
      <c r="F13" s="4"/>
      <c r="G13" s="4">
        <f t="shared" si="0"/>
        <v>17.899999999999999</v>
      </c>
      <c r="H13" s="4">
        <f t="shared" si="3"/>
        <v>8.4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17.899999999999999</v>
      </c>
      <c r="E14" s="4"/>
      <c r="F14" s="4"/>
      <c r="G14" s="4">
        <f t="shared" si="0"/>
        <v>17.899999999999999</v>
      </c>
      <c r="H14" s="4">
        <f t="shared" si="3"/>
        <v>8.4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17.899999999999999</v>
      </c>
      <c r="E15" s="4"/>
      <c r="F15" s="4">
        <v>2.1</v>
      </c>
      <c r="G15" s="4">
        <f t="shared" si="0"/>
        <v>15.799999999999999</v>
      </c>
      <c r="H15" s="4">
        <f t="shared" si="3"/>
        <v>8.4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15.799999999999999</v>
      </c>
      <c r="E16" s="4"/>
      <c r="F16" s="4">
        <v>2.1</v>
      </c>
      <c r="G16" s="4">
        <f t="shared" si="0"/>
        <v>13.7</v>
      </c>
      <c r="H16" s="4">
        <f t="shared" si="3"/>
        <v>8.4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13.7</v>
      </c>
      <c r="E17" s="4"/>
      <c r="F17" s="4">
        <v>2.1</v>
      </c>
      <c r="G17" s="4">
        <f t="shared" si="0"/>
        <v>11.6</v>
      </c>
      <c r="H17" s="4">
        <f t="shared" si="3"/>
        <v>8.4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11.6</v>
      </c>
      <c r="E18" s="4"/>
      <c r="F18" s="4">
        <v>2.1</v>
      </c>
      <c r="G18" s="4">
        <f t="shared" si="0"/>
        <v>9.5</v>
      </c>
      <c r="H18" s="4">
        <f t="shared" si="3"/>
        <v>8.4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9.5</v>
      </c>
      <c r="E19" s="4">
        <v>13</v>
      </c>
      <c r="F19" s="4">
        <v>2.1</v>
      </c>
      <c r="G19" s="4">
        <f t="shared" si="0"/>
        <v>20.399999999999999</v>
      </c>
      <c r="H19" s="4">
        <f t="shared" si="3"/>
        <v>8.4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20.399999999999999</v>
      </c>
      <c r="E20" s="4"/>
      <c r="F20" s="4"/>
      <c r="G20" s="4">
        <f t="shared" si="0"/>
        <v>20.399999999999999</v>
      </c>
      <c r="H20" s="4">
        <f t="shared" si="3"/>
        <v>8.4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20.399999999999999</v>
      </c>
      <c r="E21" s="4"/>
      <c r="F21" s="4"/>
      <c r="G21" s="4">
        <f t="shared" si="0"/>
        <v>20.399999999999999</v>
      </c>
      <c r="H21" s="4">
        <f t="shared" si="3"/>
        <v>8.4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39.6</v>
      </c>
      <c r="F22" s="4">
        <f>SUM(F3:F21)</f>
        <v>27.300000000000008</v>
      </c>
      <c r="G22" s="4"/>
      <c r="H22" s="4"/>
      <c r="I22" s="4"/>
    </row>
  </sheetData>
  <mergeCells count="1">
    <mergeCell ref="A1:G1"/>
  </mergeCells>
  <phoneticPr fontId="6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2026-09-07T07:02:43Z</cp:lastPrinted>
  <dcterms:created xsi:type="dcterms:W3CDTF">2019-09-02T07:33:27Z</dcterms:created>
  <dcterms:modified xsi:type="dcterms:W3CDTF">2026-09-16T17:47:47Z</dcterms:modified>
</cp:coreProperties>
</file>