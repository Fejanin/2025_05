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Мелитополь\"/>
    </mc:Choice>
  </mc:AlternateContent>
  <xr:revisionPtr revIDLastSave="0" documentId="13_ncr:1_{94DFE613-FCC0-4099-8A0C-54977570AEB2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H3" i="6" l="1"/>
  <c r="H3" i="5" l="1"/>
  <c r="C4" i="5" l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F22" i="6" l="1"/>
  <c r="E22" i="6" l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E22" i="5" l="1"/>
  <c r="F22" i="5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</calcChain>
</file>

<file path=xl/sharedStrings.xml><?xml version="1.0" encoding="utf-8"?>
<sst xmlns="http://schemas.openxmlformats.org/spreadsheetml/2006/main" count="57" uniqueCount="19">
  <si>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</si>
  <si>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</si>
  <si>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</si>
  <si>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</si>
  <si>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</si>
  <si>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</si>
  <si>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</si>
  <si>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</si>
  <si>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</si>
  <si>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</si>
  <si>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</si>
  <si>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</si>
  <si>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</si>
  <si>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</si>
  <si>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</si>
  <si>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3дн</t>
  </si>
  <si>
    <t>4дн</t>
  </si>
  <si>
    <t>поком, ЗПФ Мелитополь</t>
  </si>
  <si>
    <t>поком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</si>
</sst>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8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0" fontId="7" fillId="0" borderId="0" xfId="0" applyFont="1"/>
    <xf numFmtId="49" fontId="1" fillId="0" borderId="3" xfId="0" applyNumberFormat="1" applyFon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2"/>
  <sheetViews>
    <sheetView zoomScale="85" zoomScaleNormal="85" workbookViewId="0">
      <selection activeCell="O21" sqref="O2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5703125" customWidth="1"/>
  </cols>
  <sheetData>
    <row r="1" spans="1:11" ht="18" x14ac:dyDescent="0.25">
      <c r="A1" s="12" t="s">
        <v>18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5.7</v>
      </c>
      <c r="E3" s="4"/>
      <c r="F3" s="4">
        <v>3.5</v>
      </c>
      <c r="G3" s="4">
        <f t="shared" ref="G3:G21" si="0">D3+E3-F3</f>
        <v>2.2000000000000002</v>
      </c>
      <c r="H3" s="4">
        <f>F3*3</f>
        <v>10.5</v>
      </c>
      <c r="I3" s="4"/>
      <c r="K3" s="11" t="s">
        <v>15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2.2000000000000002</v>
      </c>
      <c r="E4" s="4"/>
      <c r="F4" s="4">
        <v>2.2000000000000002</v>
      </c>
      <c r="G4" s="4">
        <f t="shared" si="0"/>
        <v>0</v>
      </c>
      <c r="H4" s="4">
        <f t="shared" ref="H4:H21" si="3">H3</f>
        <v>10.5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0</v>
      </c>
      <c r="E5" s="13">
        <v>17.7</v>
      </c>
      <c r="F5" s="4">
        <v>3.5</v>
      </c>
      <c r="G5" s="4">
        <f t="shared" si="0"/>
        <v>14.2</v>
      </c>
      <c r="H5" s="4">
        <f t="shared" si="3"/>
        <v>10.5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14.2</v>
      </c>
      <c r="E6" s="13">
        <v>13.7</v>
      </c>
      <c r="F6" s="4"/>
      <c r="G6" s="4">
        <f t="shared" si="0"/>
        <v>27.9</v>
      </c>
      <c r="H6" s="4">
        <f t="shared" si="3"/>
        <v>10.5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27.9</v>
      </c>
      <c r="E7" s="4"/>
      <c r="F7" s="4"/>
      <c r="G7" s="4">
        <f t="shared" si="0"/>
        <v>27.9</v>
      </c>
      <c r="H7" s="4">
        <f t="shared" si="3"/>
        <v>10.5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27.9</v>
      </c>
      <c r="E8" s="4"/>
      <c r="F8" s="4">
        <v>3.5</v>
      </c>
      <c r="G8" s="4">
        <f t="shared" si="0"/>
        <v>24.4</v>
      </c>
      <c r="H8" s="4">
        <f t="shared" si="3"/>
        <v>10.5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24.4</v>
      </c>
      <c r="E9" s="4"/>
      <c r="F9" s="4">
        <v>3.5</v>
      </c>
      <c r="G9" s="4">
        <f t="shared" si="0"/>
        <v>20.9</v>
      </c>
      <c r="H9" s="4">
        <f t="shared" si="3"/>
        <v>10.5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20.9</v>
      </c>
      <c r="E10" s="4">
        <v>8.4</v>
      </c>
      <c r="F10" s="4">
        <v>3.5</v>
      </c>
      <c r="G10" s="4">
        <f t="shared" si="0"/>
        <v>25.799999999999997</v>
      </c>
      <c r="H10" s="4">
        <f t="shared" si="3"/>
        <v>10.5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25.799999999999997</v>
      </c>
      <c r="E11" s="4"/>
      <c r="F11" s="4">
        <v>3.5</v>
      </c>
      <c r="G11" s="4">
        <f t="shared" si="0"/>
        <v>22.299999999999997</v>
      </c>
      <c r="H11" s="4">
        <f t="shared" si="3"/>
        <v>10.5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22.299999999999997</v>
      </c>
      <c r="E12" s="4"/>
      <c r="F12" s="4">
        <v>3.5</v>
      </c>
      <c r="G12" s="4">
        <f t="shared" si="0"/>
        <v>18.799999999999997</v>
      </c>
      <c r="H12" s="4">
        <f t="shared" si="3"/>
        <v>10.5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18.799999999999997</v>
      </c>
      <c r="E13" s="4"/>
      <c r="F13" s="4"/>
      <c r="G13" s="4">
        <f t="shared" si="0"/>
        <v>18.799999999999997</v>
      </c>
      <c r="H13" s="4">
        <f t="shared" si="3"/>
        <v>10.5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18.799999999999997</v>
      </c>
      <c r="E14" s="4"/>
      <c r="F14" s="4"/>
      <c r="G14" s="4">
        <f t="shared" si="0"/>
        <v>18.799999999999997</v>
      </c>
      <c r="H14" s="4">
        <f t="shared" si="3"/>
        <v>10.5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18.799999999999997</v>
      </c>
      <c r="E15" s="4"/>
      <c r="F15" s="4">
        <v>3.5</v>
      </c>
      <c r="G15" s="4">
        <f t="shared" si="0"/>
        <v>15.299999999999997</v>
      </c>
      <c r="H15" s="4">
        <f t="shared" si="3"/>
        <v>10.5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15.299999999999997</v>
      </c>
      <c r="E16" s="4"/>
      <c r="F16" s="4">
        <v>3.5</v>
      </c>
      <c r="G16" s="4">
        <f t="shared" si="0"/>
        <v>11.799999999999997</v>
      </c>
      <c r="H16" s="4">
        <f t="shared" si="3"/>
        <v>10.5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11.799999999999997</v>
      </c>
      <c r="E17" s="4">
        <v>9</v>
      </c>
      <c r="F17" s="4">
        <v>3.5</v>
      </c>
      <c r="G17" s="4">
        <f t="shared" si="0"/>
        <v>17.299999999999997</v>
      </c>
      <c r="H17" s="4">
        <f t="shared" si="3"/>
        <v>10.5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17.299999999999997</v>
      </c>
      <c r="E18" s="4"/>
      <c r="F18" s="4">
        <v>3.5</v>
      </c>
      <c r="G18" s="4">
        <f t="shared" si="0"/>
        <v>13.799999999999997</v>
      </c>
      <c r="H18" s="4">
        <f t="shared" si="3"/>
        <v>10.5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13.799999999999997</v>
      </c>
      <c r="E19" s="4">
        <v>7.5</v>
      </c>
      <c r="F19" s="4">
        <v>3.5</v>
      </c>
      <c r="G19" s="4">
        <f t="shared" si="0"/>
        <v>17.799999999999997</v>
      </c>
      <c r="H19" s="4">
        <f t="shared" si="3"/>
        <v>10.5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17.799999999999997</v>
      </c>
      <c r="E20" s="4"/>
      <c r="F20" s="4"/>
      <c r="G20" s="4">
        <f t="shared" si="0"/>
        <v>17.799999999999997</v>
      </c>
      <c r="H20" s="4">
        <f t="shared" si="3"/>
        <v>10.5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17.799999999999997</v>
      </c>
      <c r="E21" s="4"/>
      <c r="F21" s="4"/>
      <c r="G21" s="4">
        <f t="shared" si="0"/>
        <v>17.799999999999997</v>
      </c>
      <c r="H21" s="4">
        <f t="shared" si="3"/>
        <v>10.5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56.3</v>
      </c>
      <c r="F22" s="4">
        <f>SUM(F3:F21)</f>
        <v>44.2</v>
      </c>
      <c r="G22" s="4"/>
      <c r="H22" s="4"/>
      <c r="I22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tabSelected="1" zoomScale="85" zoomScaleNormal="85" workbookViewId="0">
      <selection activeCell="M22" sqref="M22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42578125" customWidth="1"/>
  </cols>
  <sheetData>
    <row r="1" spans="1:11" ht="18" x14ac:dyDescent="0.25">
      <c r="A1" s="12" t="s">
        <v>17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6.3</v>
      </c>
      <c r="E3" s="4"/>
      <c r="F3" s="4">
        <v>0.7</v>
      </c>
      <c r="G3" s="4">
        <f t="shared" ref="G3:G21" si="0">D3+E3-F3</f>
        <v>5.6</v>
      </c>
      <c r="H3" s="4">
        <f>F3*4</f>
        <v>2.8</v>
      </c>
      <c r="I3" s="4"/>
      <c r="K3" t="s">
        <v>16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5.6</v>
      </c>
      <c r="E4" s="4"/>
      <c r="F4" s="4">
        <v>0.7</v>
      </c>
      <c r="G4" s="4">
        <f t="shared" si="0"/>
        <v>4.8999999999999995</v>
      </c>
      <c r="H4" s="4">
        <f t="shared" ref="H4:H21" si="3">H3</f>
        <v>2.8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4.8999999999999995</v>
      </c>
      <c r="E5" s="4"/>
      <c r="F5" s="4">
        <v>0.7</v>
      </c>
      <c r="G5" s="4">
        <f t="shared" si="0"/>
        <v>4.1999999999999993</v>
      </c>
      <c r="H5" s="4">
        <f t="shared" si="3"/>
        <v>2.8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4.1999999999999993</v>
      </c>
      <c r="E6" s="13">
        <v>3.7</v>
      </c>
      <c r="F6" s="4"/>
      <c r="G6" s="4">
        <f t="shared" si="0"/>
        <v>7.8999999999999995</v>
      </c>
      <c r="H6" s="4">
        <f t="shared" si="3"/>
        <v>2.8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7.8999999999999995</v>
      </c>
      <c r="E7" s="4"/>
      <c r="F7" s="4"/>
      <c r="G7" s="4">
        <f t="shared" si="0"/>
        <v>7.8999999999999995</v>
      </c>
      <c r="H7" s="4">
        <f t="shared" si="3"/>
        <v>2.8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7.8999999999999995</v>
      </c>
      <c r="E8" s="4"/>
      <c r="F8" s="4">
        <v>0.7</v>
      </c>
      <c r="G8" s="4">
        <f t="shared" si="0"/>
        <v>7.1999999999999993</v>
      </c>
      <c r="H8" s="4">
        <f t="shared" si="3"/>
        <v>2.8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7.1999999999999993</v>
      </c>
      <c r="E9" s="4"/>
      <c r="F9" s="4">
        <v>0.7</v>
      </c>
      <c r="G9" s="4">
        <f t="shared" si="0"/>
        <v>6.4999999999999991</v>
      </c>
      <c r="H9" s="4">
        <f t="shared" si="3"/>
        <v>2.8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6.4999999999999991</v>
      </c>
      <c r="E10" s="4"/>
      <c r="F10" s="4">
        <v>0.7</v>
      </c>
      <c r="G10" s="4">
        <f t="shared" si="0"/>
        <v>5.7999999999999989</v>
      </c>
      <c r="H10" s="4">
        <f t="shared" si="3"/>
        <v>2.8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5.7999999999999989</v>
      </c>
      <c r="E11" s="4"/>
      <c r="F11" s="4">
        <v>0.7</v>
      </c>
      <c r="G11" s="4">
        <f t="shared" si="0"/>
        <v>5.0999999999999988</v>
      </c>
      <c r="H11" s="4">
        <f t="shared" si="3"/>
        <v>2.8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5.0999999999999988</v>
      </c>
      <c r="E12" s="4">
        <v>4</v>
      </c>
      <c r="F12" s="4">
        <v>0.7</v>
      </c>
      <c r="G12" s="4">
        <f t="shared" si="0"/>
        <v>8.3999999999999986</v>
      </c>
      <c r="H12" s="4">
        <f t="shared" si="3"/>
        <v>2.8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8.3999999999999986</v>
      </c>
      <c r="E13" s="4"/>
      <c r="F13" s="4"/>
      <c r="G13" s="4">
        <f t="shared" si="0"/>
        <v>8.3999999999999986</v>
      </c>
      <c r="H13" s="4">
        <f t="shared" si="3"/>
        <v>2.8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8.3999999999999986</v>
      </c>
      <c r="E14" s="4"/>
      <c r="F14" s="4"/>
      <c r="G14" s="4">
        <f t="shared" si="0"/>
        <v>8.3999999999999986</v>
      </c>
      <c r="H14" s="4">
        <f t="shared" si="3"/>
        <v>2.8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8.3999999999999986</v>
      </c>
      <c r="E15" s="4"/>
      <c r="F15" s="4">
        <v>0.7</v>
      </c>
      <c r="G15" s="4">
        <f t="shared" si="0"/>
        <v>7.6999999999999984</v>
      </c>
      <c r="H15" s="4">
        <f t="shared" si="3"/>
        <v>2.8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7.6999999999999984</v>
      </c>
      <c r="E16" s="4"/>
      <c r="F16" s="4">
        <v>0.7</v>
      </c>
      <c r="G16" s="4">
        <f t="shared" si="0"/>
        <v>6.9999999999999982</v>
      </c>
      <c r="H16" s="4">
        <f t="shared" si="3"/>
        <v>2.8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6.9999999999999982</v>
      </c>
      <c r="E17" s="4"/>
      <c r="F17" s="4">
        <v>0.7</v>
      </c>
      <c r="G17" s="4">
        <f t="shared" si="0"/>
        <v>6.299999999999998</v>
      </c>
      <c r="H17" s="4">
        <f t="shared" si="3"/>
        <v>2.8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6.299999999999998</v>
      </c>
      <c r="E18" s="4"/>
      <c r="F18" s="4">
        <v>0.7</v>
      </c>
      <c r="G18" s="4">
        <f t="shared" si="0"/>
        <v>5.5999999999999979</v>
      </c>
      <c r="H18" s="4">
        <f t="shared" si="3"/>
        <v>2.8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5.5999999999999979</v>
      </c>
      <c r="E19" s="4"/>
      <c r="F19" s="4">
        <v>0.7</v>
      </c>
      <c r="G19" s="4">
        <f t="shared" si="0"/>
        <v>4.8999999999999977</v>
      </c>
      <c r="H19" s="4">
        <f t="shared" si="3"/>
        <v>2.8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4.8999999999999977</v>
      </c>
      <c r="E20" s="4"/>
      <c r="F20" s="4"/>
      <c r="G20" s="4">
        <f t="shared" si="0"/>
        <v>4.8999999999999977</v>
      </c>
      <c r="H20" s="4">
        <f t="shared" si="3"/>
        <v>2.8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4.8999999999999977</v>
      </c>
      <c r="E21" s="4"/>
      <c r="F21" s="4"/>
      <c r="G21" s="4">
        <f t="shared" si="0"/>
        <v>4.8999999999999977</v>
      </c>
      <c r="H21" s="4">
        <f t="shared" si="3"/>
        <v>2.8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7.7</v>
      </c>
      <c r="F22" s="4">
        <f>SUM(F3:F21)</f>
        <v>9.1</v>
      </c>
      <c r="G22" s="4"/>
      <c r="H22" s="4"/>
      <c r="I22" s="4"/>
    </row>
  </sheetData>
  <mergeCells count="1">
    <mergeCell ref="A1:G1"/>
  </mergeCells>
  <phoneticPr fontId="6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2026-09-07T07:02:43Z</cp:lastPrinted>
  <dcterms:created xsi:type="dcterms:W3CDTF">2019-09-02T07:33:27Z</dcterms:created>
  <dcterms:modified xsi:type="dcterms:W3CDTF">2026-09-16T18:05:24Z</dcterms:modified>
</cp:coreProperties>
</file>