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Бердянск\"/>
    </mc:Choice>
  </mc:AlternateContent>
  <xr:revisionPtr revIDLastSave="0" documentId="13_ncr:1_{65F8EA6C-292A-46B4-A455-38E4A97F5F20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H3" i="6" l="1"/>
  <c r="H3" i="5" l="1"/>
  <c r="C4" i="5" l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F22" i="6" l="1"/>
  <c r="E22" i="6" l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E22" i="5" l="1"/>
  <c r="F22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</calcChain>
</file>

<file path=xl/sharedStrings.xml><?xml version="1.0" encoding="utf-8"?>
<sst xmlns="http://schemas.openxmlformats.org/spreadsheetml/2006/main" count="57" uniqueCount="19">
  <si>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</si>
  <si>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</si>
  <si>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</si>
  <si>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</si>
  <si>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</si>
  <si>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</si>
  <si>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</si>
  <si>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</si>
  <si>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</si>
  <si>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</si>
  <si>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</si>
  <si>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</si>
  <si>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</si>
  <si>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</si>
  <si>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</si>
  <si>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</si>
  <si>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поком, ЗПФ Бердянск</t>
  </si>
  <si>
    <t>поком Бердянск</t>
  </si>
  <si>
    <t>4дн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</si>
</sst>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8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0" fontId="7" fillId="0" borderId="0" xfId="0" applyFont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zoomScale="85" zoomScaleNormal="85" workbookViewId="0">
      <selection activeCell="M7" sqref="M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3" t="s">
        <v>17</v>
      </c>
      <c r="B1" s="13"/>
      <c r="C1" s="13"/>
      <c r="D1" s="13"/>
      <c r="E1" s="13"/>
      <c r="F1" s="13"/>
      <c r="G1" s="13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7.7</v>
      </c>
      <c r="E3" s="4"/>
      <c r="F3" s="4">
        <v>3.2</v>
      </c>
      <c r="G3" s="4">
        <f t="shared" ref="G3:G21" si="0">D3+E3-F3</f>
        <v>4.5</v>
      </c>
      <c r="H3" s="4">
        <f>F3*3</f>
        <v>9.6000000000000014</v>
      </c>
      <c r="I3" s="4"/>
      <c r="K3" s="12" t="s">
        <v>15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4.5</v>
      </c>
      <c r="E4" s="4"/>
      <c r="F4" s="4">
        <v>3.2</v>
      </c>
      <c r="G4" s="4">
        <f t="shared" si="0"/>
        <v>1.2999999999999998</v>
      </c>
      <c r="H4" s="4">
        <f t="shared" ref="H4:H21" si="3">H3</f>
        <v>9.6000000000000014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1.2999999999999998</v>
      </c>
      <c r="E5" s="11">
        <v>17.7</v>
      </c>
      <c r="F5" s="4">
        <v>3.2</v>
      </c>
      <c r="G5" s="4">
        <f t="shared" si="0"/>
        <v>15.8</v>
      </c>
      <c r="H5" s="4">
        <f t="shared" si="3"/>
        <v>9.6000000000000014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15.8</v>
      </c>
      <c r="E6" s="11">
        <v>10.5</v>
      </c>
      <c r="F6" s="4"/>
      <c r="G6" s="4">
        <f t="shared" si="0"/>
        <v>26.3</v>
      </c>
      <c r="H6" s="4">
        <f t="shared" si="3"/>
        <v>9.6000000000000014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26.3</v>
      </c>
      <c r="E7" s="4"/>
      <c r="F7" s="4"/>
      <c r="G7" s="4">
        <f t="shared" si="0"/>
        <v>26.3</v>
      </c>
      <c r="H7" s="4">
        <f t="shared" si="3"/>
        <v>9.6000000000000014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26.3</v>
      </c>
      <c r="E8" s="4"/>
      <c r="F8" s="4">
        <v>3.2</v>
      </c>
      <c r="G8" s="4">
        <f t="shared" si="0"/>
        <v>23.1</v>
      </c>
      <c r="H8" s="4">
        <f t="shared" si="3"/>
        <v>9.6000000000000014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23.1</v>
      </c>
      <c r="E9" s="4"/>
      <c r="F9" s="4">
        <v>3.2</v>
      </c>
      <c r="G9" s="4">
        <f t="shared" si="0"/>
        <v>19.900000000000002</v>
      </c>
      <c r="H9" s="4">
        <f t="shared" si="3"/>
        <v>9.6000000000000014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19.900000000000002</v>
      </c>
      <c r="E10" s="11">
        <v>9.1999999999999993</v>
      </c>
      <c r="F10" s="4">
        <v>3.2</v>
      </c>
      <c r="G10" s="4">
        <f t="shared" si="0"/>
        <v>25.900000000000002</v>
      </c>
      <c r="H10" s="4">
        <f t="shared" si="3"/>
        <v>9.6000000000000014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25.900000000000002</v>
      </c>
      <c r="E11" s="4"/>
      <c r="F11" s="4">
        <v>3.2</v>
      </c>
      <c r="G11" s="4">
        <f t="shared" si="0"/>
        <v>22.700000000000003</v>
      </c>
      <c r="H11" s="4">
        <f t="shared" si="3"/>
        <v>9.6000000000000014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22.700000000000003</v>
      </c>
      <c r="E12" s="4"/>
      <c r="F12" s="4">
        <v>3.2</v>
      </c>
      <c r="G12" s="4">
        <f t="shared" si="0"/>
        <v>19.500000000000004</v>
      </c>
      <c r="H12" s="4">
        <f t="shared" si="3"/>
        <v>9.6000000000000014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19.500000000000004</v>
      </c>
      <c r="E13" s="4"/>
      <c r="F13" s="4"/>
      <c r="G13" s="4">
        <f t="shared" si="0"/>
        <v>19.500000000000004</v>
      </c>
      <c r="H13" s="4">
        <f t="shared" si="3"/>
        <v>9.6000000000000014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19.500000000000004</v>
      </c>
      <c r="E14" s="4"/>
      <c r="F14" s="4"/>
      <c r="G14" s="4">
        <f t="shared" si="0"/>
        <v>19.500000000000004</v>
      </c>
      <c r="H14" s="4">
        <f t="shared" si="3"/>
        <v>9.6000000000000014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19.500000000000004</v>
      </c>
      <c r="E15" s="4"/>
      <c r="F15" s="4">
        <v>3.2</v>
      </c>
      <c r="G15" s="4">
        <f t="shared" si="0"/>
        <v>16.300000000000004</v>
      </c>
      <c r="H15" s="4">
        <f t="shared" si="3"/>
        <v>9.6000000000000014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16.300000000000004</v>
      </c>
      <c r="E16" s="4"/>
      <c r="F16" s="4">
        <v>3.2</v>
      </c>
      <c r="G16" s="4">
        <f t="shared" si="0"/>
        <v>13.100000000000005</v>
      </c>
      <c r="H16" s="4">
        <f t="shared" si="3"/>
        <v>9.6000000000000014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13.100000000000005</v>
      </c>
      <c r="E17" s="4"/>
      <c r="F17" s="4">
        <v>3.2</v>
      </c>
      <c r="G17" s="4">
        <f t="shared" si="0"/>
        <v>9.9000000000000057</v>
      </c>
      <c r="H17" s="4">
        <f t="shared" si="3"/>
        <v>9.6000000000000014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9.9000000000000057</v>
      </c>
      <c r="E18" s="4">
        <v>16</v>
      </c>
      <c r="F18" s="4">
        <v>3.2</v>
      </c>
      <c r="G18" s="4">
        <f t="shared" si="0"/>
        <v>22.700000000000006</v>
      </c>
      <c r="H18" s="4">
        <f t="shared" si="3"/>
        <v>9.6000000000000014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22.700000000000006</v>
      </c>
      <c r="E19" s="4"/>
      <c r="F19" s="4">
        <v>3.2</v>
      </c>
      <c r="G19" s="4">
        <f t="shared" si="0"/>
        <v>19.500000000000007</v>
      </c>
      <c r="H19" s="4">
        <f t="shared" si="3"/>
        <v>9.6000000000000014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19.500000000000007</v>
      </c>
      <c r="E20" s="4"/>
      <c r="F20" s="4"/>
      <c r="G20" s="4">
        <f t="shared" si="0"/>
        <v>19.500000000000007</v>
      </c>
      <c r="H20" s="4">
        <f t="shared" si="3"/>
        <v>9.6000000000000014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19.500000000000007</v>
      </c>
      <c r="E21" s="4"/>
      <c r="F21" s="4"/>
      <c r="G21" s="4">
        <f t="shared" si="0"/>
        <v>19.500000000000007</v>
      </c>
      <c r="H21" s="4">
        <f t="shared" si="3"/>
        <v>9.6000000000000014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53.4</v>
      </c>
      <c r="F22" s="4">
        <f>SUM(F3:F21)</f>
        <v>41.6</v>
      </c>
      <c r="G22" s="4"/>
      <c r="H22" s="4"/>
      <c r="I22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tabSelected="1" zoomScale="85" zoomScaleNormal="85" workbookViewId="0">
      <selection activeCell="M22" sqref="M2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42578125" customWidth="1"/>
  </cols>
  <sheetData>
    <row r="1" spans="1:11" ht="18" x14ac:dyDescent="0.25">
      <c r="A1" s="13" t="s">
        <v>16</v>
      </c>
      <c r="B1" s="13"/>
      <c r="C1" s="13"/>
      <c r="D1" s="13"/>
      <c r="E1" s="13"/>
      <c r="F1" s="13"/>
      <c r="G1" s="13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4.0999999999999996</v>
      </c>
      <c r="E3" s="4"/>
      <c r="F3" s="4">
        <v>1.3</v>
      </c>
      <c r="G3" s="4">
        <f t="shared" ref="G3:G21" si="0">D3+E3-F3</f>
        <v>2.8</v>
      </c>
      <c r="H3" s="4">
        <f>F3*4</f>
        <v>5.2</v>
      </c>
      <c r="I3" s="4"/>
      <c r="K3" t="s">
        <v>18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2.8</v>
      </c>
      <c r="E4" s="4"/>
      <c r="F4" s="4">
        <v>1.3</v>
      </c>
      <c r="G4" s="4">
        <f t="shared" si="0"/>
        <v>1.4999999999999998</v>
      </c>
      <c r="H4" s="4">
        <f t="shared" ref="H4:H21" si="3">H3</f>
        <v>5.2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1.4999999999999998</v>
      </c>
      <c r="E5" s="11">
        <v>10.9</v>
      </c>
      <c r="F5" s="4">
        <v>1.3</v>
      </c>
      <c r="G5" s="4">
        <f t="shared" si="0"/>
        <v>11.1</v>
      </c>
      <c r="H5" s="4">
        <f t="shared" si="3"/>
        <v>5.2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11.1</v>
      </c>
      <c r="E6" s="4"/>
      <c r="F6" s="4"/>
      <c r="G6" s="4">
        <f t="shared" si="0"/>
        <v>11.1</v>
      </c>
      <c r="H6" s="4">
        <f t="shared" si="3"/>
        <v>5.2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11.1</v>
      </c>
      <c r="E7" s="4"/>
      <c r="F7" s="4"/>
      <c r="G7" s="4">
        <f t="shared" si="0"/>
        <v>11.1</v>
      </c>
      <c r="H7" s="4">
        <f t="shared" si="3"/>
        <v>5.2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11.1</v>
      </c>
      <c r="E8" s="4"/>
      <c r="F8" s="4">
        <v>1.3</v>
      </c>
      <c r="G8" s="4">
        <f t="shared" si="0"/>
        <v>9.7999999999999989</v>
      </c>
      <c r="H8" s="4">
        <f t="shared" si="3"/>
        <v>5.2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9.7999999999999989</v>
      </c>
      <c r="E9" s="4"/>
      <c r="F9" s="4">
        <v>1.3</v>
      </c>
      <c r="G9" s="4">
        <f t="shared" si="0"/>
        <v>8.4999999999999982</v>
      </c>
      <c r="H9" s="4">
        <f t="shared" si="3"/>
        <v>5.2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8.4999999999999982</v>
      </c>
      <c r="E10" s="4"/>
      <c r="F10" s="4">
        <v>1.3</v>
      </c>
      <c r="G10" s="4">
        <f t="shared" si="0"/>
        <v>7.1999999999999984</v>
      </c>
      <c r="H10" s="4">
        <f t="shared" si="3"/>
        <v>5.2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7.1999999999999984</v>
      </c>
      <c r="E11" s="4"/>
      <c r="F11" s="4">
        <v>1.3</v>
      </c>
      <c r="G11" s="4">
        <f t="shared" si="0"/>
        <v>5.8999999999999986</v>
      </c>
      <c r="H11" s="4">
        <f t="shared" si="3"/>
        <v>5.2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5.8999999999999986</v>
      </c>
      <c r="E12" s="4">
        <v>10</v>
      </c>
      <c r="F12" s="4">
        <v>1.3</v>
      </c>
      <c r="G12" s="4">
        <f t="shared" si="0"/>
        <v>14.599999999999998</v>
      </c>
      <c r="H12" s="4">
        <f t="shared" si="3"/>
        <v>5.2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14.599999999999998</v>
      </c>
      <c r="E13" s="4"/>
      <c r="F13" s="4"/>
      <c r="G13" s="4">
        <f t="shared" si="0"/>
        <v>14.599999999999998</v>
      </c>
      <c r="H13" s="4">
        <f t="shared" si="3"/>
        <v>5.2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14.599999999999998</v>
      </c>
      <c r="E14" s="4"/>
      <c r="F14" s="4"/>
      <c r="G14" s="4">
        <f t="shared" si="0"/>
        <v>14.599999999999998</v>
      </c>
      <c r="H14" s="4">
        <f t="shared" si="3"/>
        <v>5.2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14.599999999999998</v>
      </c>
      <c r="E15" s="4"/>
      <c r="F15" s="4">
        <v>1.3</v>
      </c>
      <c r="G15" s="4">
        <f t="shared" si="0"/>
        <v>13.299999999999997</v>
      </c>
      <c r="H15" s="4">
        <f t="shared" si="3"/>
        <v>5.2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13.299999999999997</v>
      </c>
      <c r="E16" s="4"/>
      <c r="F16" s="4">
        <v>1.3</v>
      </c>
      <c r="G16" s="4">
        <f t="shared" si="0"/>
        <v>11.999999999999996</v>
      </c>
      <c r="H16" s="4">
        <f t="shared" si="3"/>
        <v>5.2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11.999999999999996</v>
      </c>
      <c r="E17" s="4"/>
      <c r="F17" s="4">
        <v>1.3</v>
      </c>
      <c r="G17" s="4">
        <f t="shared" si="0"/>
        <v>10.699999999999996</v>
      </c>
      <c r="H17" s="4">
        <f t="shared" si="3"/>
        <v>5.2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10.699999999999996</v>
      </c>
      <c r="E18" s="4"/>
      <c r="F18" s="4">
        <v>1.3</v>
      </c>
      <c r="G18" s="4">
        <f t="shared" si="0"/>
        <v>9.399999999999995</v>
      </c>
      <c r="H18" s="4">
        <f t="shared" si="3"/>
        <v>5.2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9.399999999999995</v>
      </c>
      <c r="E19" s="4"/>
      <c r="F19" s="4">
        <v>1.3</v>
      </c>
      <c r="G19" s="4">
        <f t="shared" si="0"/>
        <v>8.0999999999999943</v>
      </c>
      <c r="H19" s="4">
        <f t="shared" si="3"/>
        <v>5.2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8.0999999999999943</v>
      </c>
      <c r="E20" s="4"/>
      <c r="F20" s="4"/>
      <c r="G20" s="4">
        <f t="shared" si="0"/>
        <v>8.0999999999999943</v>
      </c>
      <c r="H20" s="4">
        <f t="shared" si="3"/>
        <v>5.2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8.0999999999999943</v>
      </c>
      <c r="E21" s="4"/>
      <c r="F21" s="4"/>
      <c r="G21" s="4">
        <f t="shared" si="0"/>
        <v>8.0999999999999943</v>
      </c>
      <c r="H21" s="4">
        <f t="shared" si="3"/>
        <v>5.2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20.9</v>
      </c>
      <c r="F22" s="4">
        <f>SUM(F3:F21)</f>
        <v>16.900000000000002</v>
      </c>
      <c r="G22" s="4"/>
      <c r="H22" s="4"/>
      <c r="I22" s="4"/>
    </row>
  </sheetData>
  <mergeCells count="1">
    <mergeCell ref="A1:G1"/>
  </mergeCells>
  <phoneticPr fontId="6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2026-09-07T07:02:43Z</cp:lastPrinted>
  <dcterms:created xsi:type="dcterms:W3CDTF">2019-09-02T07:33:27Z</dcterms:created>
  <dcterms:modified xsi:type="dcterms:W3CDTF">2026-09-16T18:05:21Z</dcterms:modified>
</cp:coreProperties>
</file>