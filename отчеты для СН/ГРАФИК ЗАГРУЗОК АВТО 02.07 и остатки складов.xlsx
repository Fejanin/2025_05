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КИ\"/>
    </mc:Choice>
  </mc:AlternateContent>
  <xr:revisionPtr revIDLastSave="0" documentId="13_ncr:1_{2D4F771C-F57B-4180-B971-17DACCE8858A}" xr6:coauthVersionLast="45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ГРАФИК" sheetId="5" r:id="rId1"/>
    <sheet name="ГРАФИК КРЫМ" sheetId="6" r:id="rId2"/>
    <sheet name="ГРАФИК МЕЛИТОПОЛЬ2" sheetId="13" r:id="rId3"/>
    <sheet name="ГРАФИК БЕРДЯНСК 3" sheetId="15" r:id="rId4"/>
    <sheet name="ГРАФИК ДОНЕЦК 2" sheetId="16" r:id="rId5"/>
    <sheet name="ГРАФИК ЛУГАНСК 2" sheetId="17" r:id="rId6"/>
  </sheets>
  <definedNames>
    <definedName name="_xlnm._FilterDatabase" localSheetId="0" hidden="1">ГРАФИК!$A$4:$G$64</definedName>
    <definedName name="_xlnm._FilterDatabase" localSheetId="3" hidden="1">'ГРАФИК БЕРДЯНСК 3'!$A$4:$O$12</definedName>
    <definedName name="_xlnm._FilterDatabase" localSheetId="4" hidden="1">'ГРАФИК ДОНЕЦК 2'!$A$4:$O$14</definedName>
    <definedName name="_xlnm._FilterDatabase" localSheetId="1" hidden="1">'ГРАФИК КРЫМ'!$A$4:$O$30</definedName>
    <definedName name="_xlnm._FilterDatabase" localSheetId="5" hidden="1">'ГРАФИК ЛУГАНСК 2'!$A$4:$O$12</definedName>
    <definedName name="_xlnm._FilterDatabase" localSheetId="2" hidden="1">'ГРАФИК МЕЛИТОПОЛЬ2'!$A$4:$O$11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4" i="5" l="1"/>
  <c r="F60" i="5"/>
  <c r="F58" i="5"/>
  <c r="F59" i="5" s="1"/>
</calcChain>
</file>

<file path=xl/sharedStrings.xml><?xml version="1.0" encoding="utf-8"?>
<sst xmlns="http://schemas.openxmlformats.org/spreadsheetml/2006/main" count="364" uniqueCount="38">
  <si>
    <t>№ П/П</t>
  </si>
  <si>
    <t>ГРАФИК ЗАГРУЗОК МАШИН ИЮНЬ</t>
  </si>
  <si>
    <t>ПОКОМ ЗПФ</t>
  </si>
  <si>
    <t>ПОКОМ КИ</t>
  </si>
  <si>
    <t>Дата загрузки на заводе по графику</t>
  </si>
  <si>
    <t>Маршрут движения от завода на склад</t>
  </si>
  <si>
    <t>ВЛАДИМИР-ДОНЕЦК</t>
  </si>
  <si>
    <t>ВЛАДИМИР-ЛУГАНСК</t>
  </si>
  <si>
    <t>ОСТАНКИНО КИ</t>
  </si>
  <si>
    <t>ВЛАДИМИР-СИМФЕРОПОЛЬ</t>
  </si>
  <si>
    <t>ВЛАДИМИР-МЕЛИТОПОЛЬ</t>
  </si>
  <si>
    <t>МОСКВА-БЕРДЯНСК-МЕЛИТОПОЛЬ-СИМФ</t>
  </si>
  <si>
    <t>МОСКВА-СИМФЕРОПОЛЬ</t>
  </si>
  <si>
    <t>ВЛАДИМИР-БЕРДЯНСК</t>
  </si>
  <si>
    <t>Наименование завода</t>
  </si>
  <si>
    <t>Стоимость</t>
  </si>
  <si>
    <t>140 до РОСТОВА, 200 от РОСТОВА</t>
  </si>
  <si>
    <t>140 до РОСТОВА, 300 от РОСТОВА</t>
  </si>
  <si>
    <t>130 до РОСТОВА, 300 от РОСТОВА</t>
  </si>
  <si>
    <t>140 до РОСТОВА, 190 от РОСТОВА</t>
  </si>
  <si>
    <t>140 до РОСТОВА, 290 от РОСТОВА</t>
  </si>
  <si>
    <t>130 до РОСТОВА, 200 от РОСТОВА</t>
  </si>
  <si>
    <t>140 до РОСТОВА, 280 от РОСТОВА</t>
  </si>
  <si>
    <t>ИТОГО Средняя машина</t>
  </si>
  <si>
    <t>ИТОГО Руб/кг среднее</t>
  </si>
  <si>
    <t>ИТОГО Среднее ЗПФ машина</t>
  </si>
  <si>
    <t>ИТОГО Руб\кг ЗПФ</t>
  </si>
  <si>
    <t>ИТОГО КИ Машина</t>
  </si>
  <si>
    <t>ИТОГО КИ Руб\кг</t>
  </si>
  <si>
    <t>Дата Планируемого ПРИХОДА на Филиал</t>
  </si>
  <si>
    <t>ФИО ВОДИТЕЛЯ</t>
  </si>
  <si>
    <t>№ АВТО</t>
  </si>
  <si>
    <t>КОММЕНТАРИИ</t>
  </si>
  <si>
    <t>СТОИТ НА ЗАВОДЕ НЕ ЗАГРУЖЕННЫЙ</t>
  </si>
  <si>
    <t>ФАКТ</t>
  </si>
  <si>
    <t>Остатки ФИЛИАЛА на дату загрузки АВТО</t>
  </si>
  <si>
    <t>ЗАКАЗ в КГ</t>
  </si>
  <si>
    <t>Планируемые Остатки ФИЛИАЛА на дату прихода 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</si>
</sst>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rgb="FFC00000"/>
      <name val="Calibri"/>
      <family val="2"/>
      <scheme val="minor"/>
    </font>
    <font>
      <b/>
      <sz val="2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3" fontId="0" fillId="0" borderId="0" xfId="0" applyNumberFormat="1"/>
    <xf numFmtId="3" fontId="3" fillId="0" borderId="20" xfId="0" applyNumberFormat="1" applyFon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 vertical="center" wrapText="1"/>
    </xf>
    <xf numFmtId="3" fontId="0" fillId="4" borderId="27" xfId="0" applyNumberFormat="1" applyFill="1" applyBorder="1" applyAlignment="1">
      <alignment horizontal="center" vertical="center" wrapText="1"/>
    </xf>
    <xf numFmtId="3" fontId="0" fillId="3" borderId="21" xfId="0" applyNumberFormat="1" applyFill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3" fontId="0" fillId="4" borderId="29" xfId="0" applyNumberFormat="1" applyFill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 vertical="center"/>
    </xf>
    <xf numFmtId="4" fontId="1" fillId="0" borderId="28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 wrapText="1"/>
    </xf>
    <xf numFmtId="4" fontId="0" fillId="0" borderId="28" xfId="0" applyNumberFormat="1" applyBorder="1" applyAlignment="1">
      <alignment horizontal="center" vertical="center" wrapText="1"/>
    </xf>
    <xf numFmtId="0" fontId="0" fillId="0" borderId="28" xfId="0" applyBorder="1"/>
    <xf numFmtId="0" fontId="1" fillId="2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F8AE-5B29-410B-BA1F-F2611C466D13}">
  <dimension ref="A1:G64"/>
  <sheetViews>
    <sheetView zoomScale="120" zoomScaleNormal="12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E5" sqref="E5:E7"/>
    </sheetView>
  </sheetViews>
  <sheetFormatPr defaultRowHeight="15" x14ac:dyDescent="0.25"/>
  <cols>
    <col min="1" max="1" width="7.28515625" style="1" customWidth="1"/>
    <col min="2" max="2" width="21.5703125" style="1" customWidth="1"/>
    <col min="3" max="3" width="15" style="1" customWidth="1"/>
    <col min="4" max="4" width="20" style="1" customWidth="1"/>
    <col min="5" max="5" width="44" style="1" customWidth="1"/>
    <col min="6" max="6" width="29.5703125" style="9" customWidth="1"/>
    <col min="7" max="7" width="36.42578125" style="1" customWidth="1"/>
  </cols>
  <sheetData>
    <row r="1" spans="1:7" ht="27" thickBot="1" x14ac:dyDescent="0.3">
      <c r="A1" s="51" t="s">
        <v>1</v>
      </c>
      <c r="B1" s="51"/>
      <c r="C1" s="51"/>
      <c r="D1" s="51"/>
      <c r="E1" s="51"/>
      <c r="F1" s="18"/>
      <c r="G1"/>
    </row>
    <row r="2" spans="1:7" ht="27" thickBot="1" x14ac:dyDescent="0.3">
      <c r="A2" s="8">
        <v>1</v>
      </c>
      <c r="B2" s="7">
        <v>2</v>
      </c>
      <c r="C2" s="57">
        <v>3</v>
      </c>
      <c r="D2" s="58"/>
      <c r="E2" s="12">
        <v>4</v>
      </c>
      <c r="F2" s="19">
        <v>4</v>
      </c>
      <c r="G2" s="12">
        <v>4</v>
      </c>
    </row>
    <row r="3" spans="1:7" s="6" customFormat="1" x14ac:dyDescent="0.25">
      <c r="A3" s="52" t="s">
        <v>0</v>
      </c>
      <c r="B3" s="54" t="s">
        <v>4</v>
      </c>
      <c r="C3" s="45" t="s">
        <v>14</v>
      </c>
      <c r="D3" s="46"/>
      <c r="E3" s="55" t="s">
        <v>5</v>
      </c>
      <c r="F3" s="61" t="s">
        <v>15</v>
      </c>
      <c r="G3" s="55" t="s">
        <v>15</v>
      </c>
    </row>
    <row r="4" spans="1:7" s="6" customFormat="1" ht="60" customHeight="1" thickBot="1" x14ac:dyDescent="0.3">
      <c r="A4" s="53"/>
      <c r="B4" s="48"/>
      <c r="C4" s="47"/>
      <c r="D4" s="48"/>
      <c r="E4" s="56"/>
      <c r="F4" s="62"/>
      <c r="G4" s="56"/>
    </row>
    <row r="5" spans="1:7" ht="14.25" customHeight="1" thickTop="1" x14ac:dyDescent="0.25">
      <c r="A5" s="4">
        <v>1</v>
      </c>
      <c r="B5" s="2">
        <v>46206</v>
      </c>
      <c r="C5" s="49" t="s">
        <v>2</v>
      </c>
      <c r="D5" s="50"/>
      <c r="E5" s="13" t="s">
        <v>9</v>
      </c>
      <c r="F5" s="25">
        <v>340000</v>
      </c>
      <c r="G5" s="13" t="s">
        <v>16</v>
      </c>
    </row>
    <row r="6" spans="1:7" ht="14.25" customHeight="1" x14ac:dyDescent="0.25">
      <c r="A6" s="4">
        <v>2</v>
      </c>
      <c r="B6" s="2">
        <v>46206</v>
      </c>
      <c r="C6" s="49" t="s">
        <v>3</v>
      </c>
      <c r="D6" s="50"/>
      <c r="E6" s="13" t="s">
        <v>9</v>
      </c>
      <c r="F6" s="20">
        <v>340000</v>
      </c>
      <c r="G6" s="13" t="s">
        <v>16</v>
      </c>
    </row>
    <row r="7" spans="1:7" ht="14.25" customHeight="1" x14ac:dyDescent="0.25">
      <c r="A7" s="4">
        <v>3</v>
      </c>
      <c r="B7" s="2">
        <v>46206</v>
      </c>
      <c r="C7" s="49" t="s">
        <v>3</v>
      </c>
      <c r="D7" s="50"/>
      <c r="E7" s="13" t="s">
        <v>9</v>
      </c>
      <c r="F7" s="20">
        <v>440000</v>
      </c>
      <c r="G7" s="13" t="s">
        <v>17</v>
      </c>
    </row>
    <row r="8" spans="1:7" ht="14.25" customHeight="1" x14ac:dyDescent="0.25">
      <c r="A8" s="4">
        <v>4</v>
      </c>
      <c r="B8" s="2">
        <v>46207</v>
      </c>
      <c r="C8" s="49" t="s">
        <v>8</v>
      </c>
      <c r="D8" s="50"/>
      <c r="E8" s="13" t="s">
        <v>11</v>
      </c>
      <c r="F8" s="27">
        <v>300000</v>
      </c>
      <c r="G8" s="13"/>
    </row>
    <row r="9" spans="1:7" ht="14.25" customHeight="1" x14ac:dyDescent="0.25">
      <c r="A9" s="4">
        <v>5</v>
      </c>
      <c r="B9" s="2">
        <v>46207</v>
      </c>
      <c r="C9" s="49" t="s">
        <v>8</v>
      </c>
      <c r="D9" s="50"/>
      <c r="E9" s="13" t="s">
        <v>12</v>
      </c>
      <c r="F9" s="20">
        <v>430000</v>
      </c>
      <c r="G9" s="13" t="s">
        <v>18</v>
      </c>
    </row>
    <row r="10" spans="1:7" ht="14.25" customHeight="1" x14ac:dyDescent="0.25">
      <c r="A10" s="4">
        <v>6</v>
      </c>
      <c r="B10" s="2">
        <v>46207</v>
      </c>
      <c r="C10" s="49" t="s">
        <v>3</v>
      </c>
      <c r="D10" s="50"/>
      <c r="E10" s="13" t="s">
        <v>9</v>
      </c>
      <c r="F10" s="27">
        <v>300000</v>
      </c>
      <c r="G10" s="13"/>
    </row>
    <row r="11" spans="1:7" ht="14.25" customHeight="1" x14ac:dyDescent="0.25">
      <c r="A11" s="4">
        <v>7</v>
      </c>
      <c r="B11" s="2">
        <v>46207</v>
      </c>
      <c r="C11" s="49" t="s">
        <v>3</v>
      </c>
      <c r="D11" s="50"/>
      <c r="E11" s="13" t="s">
        <v>10</v>
      </c>
      <c r="F11" s="20">
        <v>430000</v>
      </c>
      <c r="G11" s="13" t="s">
        <v>17</v>
      </c>
    </row>
    <row r="12" spans="1:7" ht="14.25" customHeight="1" x14ac:dyDescent="0.25">
      <c r="A12" s="4">
        <v>8</v>
      </c>
      <c r="B12" s="2">
        <v>46207</v>
      </c>
      <c r="C12" s="49" t="s">
        <v>3</v>
      </c>
      <c r="D12" s="50"/>
      <c r="E12" s="13" t="s">
        <v>6</v>
      </c>
      <c r="F12" s="20">
        <v>240000</v>
      </c>
      <c r="G12" s="13"/>
    </row>
    <row r="13" spans="1:7" ht="14.25" customHeight="1" x14ac:dyDescent="0.25">
      <c r="A13" s="4">
        <v>9</v>
      </c>
      <c r="B13" s="2">
        <v>46207</v>
      </c>
      <c r="C13" s="49" t="s">
        <v>3</v>
      </c>
      <c r="D13" s="50"/>
      <c r="E13" s="13" t="s">
        <v>7</v>
      </c>
      <c r="F13" s="20">
        <v>240000</v>
      </c>
      <c r="G13" s="13"/>
    </row>
    <row r="14" spans="1:7" ht="14.25" customHeight="1" x14ac:dyDescent="0.25">
      <c r="A14" s="4">
        <v>10</v>
      </c>
      <c r="B14" s="2">
        <v>46208</v>
      </c>
      <c r="C14" s="49" t="s">
        <v>8</v>
      </c>
      <c r="D14" s="50"/>
      <c r="E14" s="13" t="s">
        <v>12</v>
      </c>
      <c r="F14" s="20">
        <v>430000</v>
      </c>
      <c r="G14" s="13" t="s">
        <v>18</v>
      </c>
    </row>
    <row r="15" spans="1:7" ht="14.25" customHeight="1" x14ac:dyDescent="0.25">
      <c r="A15" s="4">
        <v>11</v>
      </c>
      <c r="B15" s="2">
        <v>46208</v>
      </c>
      <c r="C15" s="49" t="s">
        <v>2</v>
      </c>
      <c r="D15" s="50"/>
      <c r="E15" s="13" t="s">
        <v>9</v>
      </c>
      <c r="F15" s="25">
        <v>300000</v>
      </c>
      <c r="G15" s="13"/>
    </row>
    <row r="16" spans="1:7" ht="14.25" customHeight="1" x14ac:dyDescent="0.25">
      <c r="A16" s="4">
        <v>12</v>
      </c>
      <c r="B16" s="2">
        <v>46208</v>
      </c>
      <c r="C16" s="49" t="s">
        <v>3</v>
      </c>
      <c r="D16" s="50"/>
      <c r="E16" s="13" t="s">
        <v>9</v>
      </c>
      <c r="F16" s="20">
        <v>440000</v>
      </c>
      <c r="G16" s="13" t="s">
        <v>17</v>
      </c>
    </row>
    <row r="17" spans="1:7" ht="14.25" customHeight="1" x14ac:dyDescent="0.25">
      <c r="A17" s="4">
        <v>13</v>
      </c>
      <c r="B17" s="2">
        <v>46208</v>
      </c>
      <c r="C17" s="49" t="s">
        <v>3</v>
      </c>
      <c r="D17" s="50"/>
      <c r="E17" s="13" t="s">
        <v>6</v>
      </c>
      <c r="F17" s="20">
        <v>240000</v>
      </c>
      <c r="G17" s="13"/>
    </row>
    <row r="18" spans="1:7" ht="14.25" customHeight="1" x14ac:dyDescent="0.25">
      <c r="A18" s="4">
        <v>14</v>
      </c>
      <c r="B18" s="2">
        <v>46208</v>
      </c>
      <c r="C18" s="49" t="s">
        <v>3</v>
      </c>
      <c r="D18" s="50"/>
      <c r="E18" s="13" t="s">
        <v>7</v>
      </c>
      <c r="F18" s="20">
        <v>230000</v>
      </c>
      <c r="G18" s="13"/>
    </row>
    <row r="19" spans="1:7" ht="14.25" customHeight="1" x14ac:dyDescent="0.25">
      <c r="A19" s="4">
        <v>15</v>
      </c>
      <c r="B19" s="2">
        <v>46209</v>
      </c>
      <c r="C19" s="49" t="s">
        <v>3</v>
      </c>
      <c r="D19" s="50"/>
      <c r="E19" s="13" t="s">
        <v>9</v>
      </c>
      <c r="F19" s="20">
        <v>440000</v>
      </c>
      <c r="G19" s="13" t="s">
        <v>17</v>
      </c>
    </row>
    <row r="20" spans="1:7" ht="14.25" customHeight="1" x14ac:dyDescent="0.25">
      <c r="A20" s="4">
        <v>16</v>
      </c>
      <c r="B20" s="2">
        <v>46209</v>
      </c>
      <c r="C20" s="49" t="s">
        <v>3</v>
      </c>
      <c r="D20" s="50"/>
      <c r="E20" s="13" t="s">
        <v>9</v>
      </c>
      <c r="F20" s="20">
        <v>440000</v>
      </c>
      <c r="G20" s="13" t="s">
        <v>17</v>
      </c>
    </row>
    <row r="21" spans="1:7" ht="14.25" customHeight="1" x14ac:dyDescent="0.25">
      <c r="A21" s="4">
        <v>17</v>
      </c>
      <c r="B21" s="2">
        <v>46209</v>
      </c>
      <c r="C21" s="49" t="s">
        <v>3</v>
      </c>
      <c r="D21" s="50"/>
      <c r="E21" s="13" t="s">
        <v>6</v>
      </c>
      <c r="F21" s="20">
        <v>240000</v>
      </c>
      <c r="G21" s="13"/>
    </row>
    <row r="22" spans="1:7" ht="14.25" customHeight="1" x14ac:dyDescent="0.25">
      <c r="A22" s="4">
        <v>18</v>
      </c>
      <c r="B22" s="2">
        <v>46209</v>
      </c>
      <c r="C22" s="49" t="s">
        <v>2</v>
      </c>
      <c r="D22" s="50"/>
      <c r="E22" s="13" t="s">
        <v>10</v>
      </c>
      <c r="F22" s="25">
        <v>330000</v>
      </c>
      <c r="G22" s="13" t="s">
        <v>19</v>
      </c>
    </row>
    <row r="23" spans="1:7" ht="14.25" customHeight="1" x14ac:dyDescent="0.25">
      <c r="A23" s="4">
        <v>19</v>
      </c>
      <c r="B23" s="2">
        <v>46209</v>
      </c>
      <c r="C23" s="49" t="s">
        <v>2</v>
      </c>
      <c r="D23" s="50"/>
      <c r="E23" s="13" t="s">
        <v>6</v>
      </c>
      <c r="F23" s="25">
        <v>240000</v>
      </c>
      <c r="G23" s="13"/>
    </row>
    <row r="24" spans="1:7" ht="14.25" customHeight="1" x14ac:dyDescent="0.25">
      <c r="A24" s="4">
        <v>20</v>
      </c>
      <c r="B24" s="2">
        <v>46209</v>
      </c>
      <c r="C24" s="49" t="s">
        <v>8</v>
      </c>
      <c r="D24" s="50"/>
      <c r="E24" s="13" t="s">
        <v>12</v>
      </c>
      <c r="F24" s="27">
        <v>290000</v>
      </c>
      <c r="G24" s="13"/>
    </row>
    <row r="25" spans="1:7" ht="14.25" customHeight="1" x14ac:dyDescent="0.25">
      <c r="A25" s="4">
        <v>21</v>
      </c>
      <c r="B25" s="2">
        <v>46209</v>
      </c>
      <c r="C25" s="49" t="s">
        <v>8</v>
      </c>
      <c r="D25" s="50"/>
      <c r="E25" s="13" t="s">
        <v>11</v>
      </c>
      <c r="F25" s="27">
        <v>300000</v>
      </c>
      <c r="G25" s="13"/>
    </row>
    <row r="26" spans="1:7" ht="14.25" customHeight="1" x14ac:dyDescent="0.25">
      <c r="A26" s="4">
        <v>22</v>
      </c>
      <c r="B26" s="2">
        <v>46210</v>
      </c>
      <c r="C26" s="49" t="s">
        <v>3</v>
      </c>
      <c r="D26" s="50"/>
      <c r="E26" s="13" t="s">
        <v>9</v>
      </c>
      <c r="F26" s="27">
        <v>300000</v>
      </c>
      <c r="G26" s="13"/>
    </row>
    <row r="27" spans="1:7" ht="14.25" customHeight="1" x14ac:dyDescent="0.25">
      <c r="A27" s="4">
        <v>23</v>
      </c>
      <c r="B27" s="2">
        <v>46210</v>
      </c>
      <c r="C27" s="49" t="s">
        <v>3</v>
      </c>
      <c r="D27" s="50"/>
      <c r="E27" s="13" t="s">
        <v>6</v>
      </c>
      <c r="F27" s="20">
        <v>240000</v>
      </c>
      <c r="G27" s="13"/>
    </row>
    <row r="28" spans="1:7" ht="14.25" customHeight="1" x14ac:dyDescent="0.25">
      <c r="A28" s="4">
        <v>24</v>
      </c>
      <c r="B28" s="2">
        <v>46210</v>
      </c>
      <c r="C28" s="49" t="s">
        <v>3</v>
      </c>
      <c r="D28" s="50"/>
      <c r="E28" s="13" t="s">
        <v>7</v>
      </c>
      <c r="F28" s="20">
        <v>230000</v>
      </c>
      <c r="G28" s="13"/>
    </row>
    <row r="29" spans="1:7" ht="14.25" customHeight="1" x14ac:dyDescent="0.25">
      <c r="A29" s="4">
        <v>25</v>
      </c>
      <c r="B29" s="2">
        <v>46210</v>
      </c>
      <c r="C29" s="49" t="s">
        <v>3</v>
      </c>
      <c r="D29" s="50"/>
      <c r="E29" s="13" t="s">
        <v>13</v>
      </c>
      <c r="F29" s="20">
        <v>330000</v>
      </c>
      <c r="G29" s="13" t="s">
        <v>19</v>
      </c>
    </row>
    <row r="30" spans="1:7" ht="14.25" customHeight="1" x14ac:dyDescent="0.25">
      <c r="A30" s="4">
        <v>26</v>
      </c>
      <c r="B30" s="2">
        <v>46210</v>
      </c>
      <c r="C30" s="49" t="s">
        <v>2</v>
      </c>
      <c r="D30" s="50"/>
      <c r="E30" s="13" t="s">
        <v>7</v>
      </c>
      <c r="F30" s="25">
        <v>230000</v>
      </c>
      <c r="G30" s="13"/>
    </row>
    <row r="31" spans="1:7" ht="14.25" customHeight="1" thickBot="1" x14ac:dyDescent="0.3">
      <c r="A31" s="23">
        <v>27</v>
      </c>
      <c r="B31" s="24">
        <v>46210</v>
      </c>
      <c r="C31" s="59" t="s">
        <v>2</v>
      </c>
      <c r="D31" s="60"/>
      <c r="E31" s="21" t="s">
        <v>13</v>
      </c>
      <c r="F31" s="26">
        <v>330000</v>
      </c>
      <c r="G31" s="21" t="s">
        <v>19</v>
      </c>
    </row>
    <row r="32" spans="1:7" ht="14.25" customHeight="1" x14ac:dyDescent="0.25">
      <c r="A32" s="4">
        <v>28</v>
      </c>
      <c r="B32" s="2">
        <v>46213</v>
      </c>
      <c r="C32" s="49" t="s">
        <v>3</v>
      </c>
      <c r="D32" s="50"/>
      <c r="E32" s="13" t="s">
        <v>9</v>
      </c>
      <c r="F32" s="20">
        <v>340000</v>
      </c>
      <c r="G32" s="13" t="s">
        <v>16</v>
      </c>
    </row>
    <row r="33" spans="1:7" ht="14.25" customHeight="1" x14ac:dyDescent="0.25">
      <c r="A33" s="4">
        <v>29</v>
      </c>
      <c r="B33" s="2">
        <v>46213</v>
      </c>
      <c r="C33" s="49" t="s">
        <v>3</v>
      </c>
      <c r="D33" s="50"/>
      <c r="E33" s="13" t="s">
        <v>9</v>
      </c>
      <c r="F33" s="20">
        <v>340000</v>
      </c>
      <c r="G33" s="13" t="s">
        <v>16</v>
      </c>
    </row>
    <row r="34" spans="1:7" ht="14.25" customHeight="1" x14ac:dyDescent="0.25">
      <c r="A34" s="4">
        <v>30</v>
      </c>
      <c r="B34" s="2">
        <v>46213</v>
      </c>
      <c r="C34" s="49" t="s">
        <v>2</v>
      </c>
      <c r="D34" s="50"/>
      <c r="E34" s="13" t="s">
        <v>9</v>
      </c>
      <c r="F34" s="25">
        <v>440000</v>
      </c>
      <c r="G34" s="13" t="s">
        <v>17</v>
      </c>
    </row>
    <row r="35" spans="1:7" ht="14.25" customHeight="1" x14ac:dyDescent="0.25">
      <c r="A35" s="4">
        <v>31</v>
      </c>
      <c r="B35" s="2">
        <v>46214</v>
      </c>
      <c r="C35" s="49" t="s">
        <v>3</v>
      </c>
      <c r="D35" s="50"/>
      <c r="E35" s="13" t="s">
        <v>9</v>
      </c>
      <c r="F35" s="20">
        <v>440000</v>
      </c>
      <c r="G35" s="13" t="s">
        <v>17</v>
      </c>
    </row>
    <row r="36" spans="1:7" ht="14.25" customHeight="1" x14ac:dyDescent="0.25">
      <c r="A36" s="4">
        <v>32</v>
      </c>
      <c r="B36" s="2">
        <v>46214</v>
      </c>
      <c r="C36" s="49" t="s">
        <v>3</v>
      </c>
      <c r="D36" s="50"/>
      <c r="E36" s="13" t="s">
        <v>9</v>
      </c>
      <c r="F36" s="20">
        <v>440000</v>
      </c>
      <c r="G36" s="13" t="s">
        <v>17</v>
      </c>
    </row>
    <row r="37" spans="1:7" ht="14.25" customHeight="1" x14ac:dyDescent="0.25">
      <c r="A37" s="4">
        <v>33</v>
      </c>
      <c r="B37" s="2">
        <v>46214</v>
      </c>
      <c r="C37" s="49" t="s">
        <v>3</v>
      </c>
      <c r="D37" s="50"/>
      <c r="E37" s="13" t="s">
        <v>6</v>
      </c>
      <c r="F37" s="20">
        <v>240000</v>
      </c>
      <c r="G37" s="13"/>
    </row>
    <row r="38" spans="1:7" ht="14.25" customHeight="1" x14ac:dyDescent="0.25">
      <c r="A38" s="4">
        <v>34</v>
      </c>
      <c r="B38" s="2">
        <v>46214</v>
      </c>
      <c r="C38" s="49" t="s">
        <v>3</v>
      </c>
      <c r="D38" s="50"/>
      <c r="E38" s="13" t="s">
        <v>7</v>
      </c>
      <c r="F38" s="20">
        <v>230000</v>
      </c>
      <c r="G38" s="13"/>
    </row>
    <row r="39" spans="1:7" ht="14.25" customHeight="1" x14ac:dyDescent="0.25">
      <c r="A39" s="4">
        <v>35</v>
      </c>
      <c r="B39" s="2">
        <v>46214</v>
      </c>
      <c r="C39" s="49" t="s">
        <v>8</v>
      </c>
      <c r="D39" s="50"/>
      <c r="E39" s="13" t="s">
        <v>12</v>
      </c>
      <c r="F39" s="20">
        <v>430000</v>
      </c>
      <c r="G39" s="13" t="s">
        <v>18</v>
      </c>
    </row>
    <row r="40" spans="1:7" ht="14.25" customHeight="1" x14ac:dyDescent="0.25">
      <c r="A40" s="4">
        <v>36</v>
      </c>
      <c r="B40" s="2">
        <v>46214</v>
      </c>
      <c r="C40" s="49" t="s">
        <v>8</v>
      </c>
      <c r="D40" s="50"/>
      <c r="E40" s="13" t="s">
        <v>11</v>
      </c>
      <c r="F40" s="27">
        <v>300000</v>
      </c>
      <c r="G40" s="13"/>
    </row>
    <row r="41" spans="1:7" ht="14.25" customHeight="1" x14ac:dyDescent="0.25">
      <c r="A41" s="4">
        <v>37</v>
      </c>
      <c r="B41" s="2">
        <v>46215</v>
      </c>
      <c r="C41" s="49" t="s">
        <v>3</v>
      </c>
      <c r="D41" s="50"/>
      <c r="E41" s="13" t="s">
        <v>9</v>
      </c>
      <c r="F41" s="27">
        <v>300000</v>
      </c>
      <c r="G41" s="13"/>
    </row>
    <row r="42" spans="1:7" ht="14.25" customHeight="1" x14ac:dyDescent="0.25">
      <c r="A42" s="4">
        <v>38</v>
      </c>
      <c r="B42" s="2">
        <v>46215</v>
      </c>
      <c r="C42" s="49" t="s">
        <v>3</v>
      </c>
      <c r="D42" s="50"/>
      <c r="E42" s="13" t="s">
        <v>10</v>
      </c>
      <c r="F42" s="20">
        <v>430000</v>
      </c>
      <c r="G42" s="13" t="s">
        <v>20</v>
      </c>
    </row>
    <row r="43" spans="1:7" ht="14.25" customHeight="1" x14ac:dyDescent="0.25">
      <c r="A43" s="4">
        <v>39</v>
      </c>
      <c r="B43" s="2">
        <v>46215</v>
      </c>
      <c r="C43" s="49" t="s">
        <v>3</v>
      </c>
      <c r="D43" s="50"/>
      <c r="E43" s="13" t="s">
        <v>6</v>
      </c>
      <c r="F43" s="20">
        <v>240000</v>
      </c>
      <c r="G43" s="13"/>
    </row>
    <row r="44" spans="1:7" ht="14.25" customHeight="1" x14ac:dyDescent="0.25">
      <c r="A44" s="4">
        <v>40</v>
      </c>
      <c r="B44" s="2">
        <v>46215</v>
      </c>
      <c r="C44" s="49" t="s">
        <v>3</v>
      </c>
      <c r="D44" s="50"/>
      <c r="E44" s="13" t="s">
        <v>7</v>
      </c>
      <c r="F44" s="20">
        <v>230000</v>
      </c>
      <c r="G44" s="13"/>
    </row>
    <row r="45" spans="1:7" ht="14.25" customHeight="1" x14ac:dyDescent="0.25">
      <c r="A45" s="4">
        <v>41</v>
      </c>
      <c r="B45" s="2">
        <v>46215</v>
      </c>
      <c r="C45" s="49" t="s">
        <v>2</v>
      </c>
      <c r="D45" s="50"/>
      <c r="E45" s="13" t="s">
        <v>9</v>
      </c>
      <c r="F45" s="25">
        <v>300000</v>
      </c>
      <c r="G45" s="13"/>
    </row>
    <row r="46" spans="1:7" ht="14.25" customHeight="1" x14ac:dyDescent="0.25">
      <c r="A46" s="4">
        <v>42</v>
      </c>
      <c r="B46" s="2">
        <v>46215</v>
      </c>
      <c r="C46" s="49" t="s">
        <v>8</v>
      </c>
      <c r="D46" s="50"/>
      <c r="E46" s="13" t="s">
        <v>12</v>
      </c>
      <c r="F46" s="20">
        <v>430000</v>
      </c>
      <c r="G46" s="13" t="s">
        <v>18</v>
      </c>
    </row>
    <row r="47" spans="1:7" ht="14.25" customHeight="1" x14ac:dyDescent="0.25">
      <c r="A47" s="4">
        <v>43</v>
      </c>
      <c r="B47" s="2">
        <v>46216</v>
      </c>
      <c r="C47" s="49" t="s">
        <v>3</v>
      </c>
      <c r="D47" s="50"/>
      <c r="E47" s="13" t="s">
        <v>9</v>
      </c>
      <c r="F47" s="20">
        <v>440000</v>
      </c>
      <c r="G47" s="13" t="s">
        <v>17</v>
      </c>
    </row>
    <row r="48" spans="1:7" ht="14.25" customHeight="1" x14ac:dyDescent="0.25">
      <c r="A48" s="4">
        <v>44</v>
      </c>
      <c r="B48" s="2">
        <v>46216</v>
      </c>
      <c r="C48" s="49" t="s">
        <v>3</v>
      </c>
      <c r="D48" s="50"/>
      <c r="E48" s="13" t="s">
        <v>6</v>
      </c>
      <c r="F48" s="20">
        <v>240000</v>
      </c>
      <c r="G48" s="13"/>
    </row>
    <row r="49" spans="1:7" ht="14.25" customHeight="1" x14ac:dyDescent="0.25">
      <c r="A49" s="4">
        <v>45</v>
      </c>
      <c r="B49" s="2">
        <v>46216</v>
      </c>
      <c r="C49" s="49" t="s">
        <v>3</v>
      </c>
      <c r="D49" s="50"/>
      <c r="E49" s="13" t="s">
        <v>13</v>
      </c>
      <c r="F49" s="20">
        <v>320000</v>
      </c>
      <c r="G49" s="13" t="s">
        <v>22</v>
      </c>
    </row>
    <row r="50" spans="1:7" ht="14.25" customHeight="1" x14ac:dyDescent="0.25">
      <c r="A50" s="4">
        <v>46</v>
      </c>
      <c r="B50" s="2">
        <v>46216</v>
      </c>
      <c r="C50" s="49" t="s">
        <v>2</v>
      </c>
      <c r="D50" s="50"/>
      <c r="E50" s="13" t="s">
        <v>6</v>
      </c>
      <c r="F50" s="25">
        <v>240000</v>
      </c>
      <c r="G50" s="13"/>
    </row>
    <row r="51" spans="1:7" ht="14.25" customHeight="1" x14ac:dyDescent="0.25">
      <c r="A51" s="4">
        <v>47</v>
      </c>
      <c r="B51" s="2">
        <v>46216</v>
      </c>
      <c r="C51" s="49" t="s">
        <v>8</v>
      </c>
      <c r="D51" s="50"/>
      <c r="E51" s="13" t="s">
        <v>12</v>
      </c>
      <c r="F51" s="20">
        <v>330000</v>
      </c>
      <c r="G51" s="13" t="s">
        <v>21</v>
      </c>
    </row>
    <row r="52" spans="1:7" ht="14.25" customHeight="1" x14ac:dyDescent="0.25">
      <c r="A52" s="4">
        <v>48</v>
      </c>
      <c r="B52" s="2">
        <v>46216</v>
      </c>
      <c r="C52" s="49" t="s">
        <v>8</v>
      </c>
      <c r="D52" s="50"/>
      <c r="E52" s="13" t="s">
        <v>11</v>
      </c>
      <c r="F52" s="27">
        <v>300000</v>
      </c>
      <c r="G52" s="13"/>
    </row>
    <row r="53" spans="1:7" ht="14.25" customHeight="1" x14ac:dyDescent="0.25">
      <c r="A53" s="4">
        <v>49</v>
      </c>
      <c r="B53" s="2">
        <v>46217</v>
      </c>
      <c r="C53" s="49" t="s">
        <v>3</v>
      </c>
      <c r="D53" s="50"/>
      <c r="E53" s="13" t="s">
        <v>9</v>
      </c>
      <c r="F53" s="27">
        <v>300000</v>
      </c>
      <c r="G53" s="13"/>
    </row>
    <row r="54" spans="1:7" ht="14.25" customHeight="1" x14ac:dyDescent="0.25">
      <c r="A54" s="4">
        <v>50</v>
      </c>
      <c r="B54" s="2">
        <v>46217</v>
      </c>
      <c r="C54" s="49" t="s">
        <v>3</v>
      </c>
      <c r="D54" s="50"/>
      <c r="E54" s="13" t="s">
        <v>6</v>
      </c>
      <c r="F54" s="20">
        <v>240000</v>
      </c>
      <c r="G54" s="13"/>
    </row>
    <row r="55" spans="1:7" ht="14.25" customHeight="1" x14ac:dyDescent="0.25">
      <c r="A55" s="4">
        <v>51</v>
      </c>
      <c r="B55" s="2">
        <v>46217</v>
      </c>
      <c r="C55" s="49" t="s">
        <v>3</v>
      </c>
      <c r="D55" s="50"/>
      <c r="E55" s="13" t="s">
        <v>13</v>
      </c>
      <c r="F55" s="27">
        <v>280000</v>
      </c>
      <c r="G55" s="13"/>
    </row>
    <row r="56" spans="1:7" ht="14.25" customHeight="1" x14ac:dyDescent="0.25">
      <c r="A56" s="4">
        <v>52</v>
      </c>
      <c r="B56" s="2">
        <v>46217</v>
      </c>
      <c r="C56" s="49" t="s">
        <v>3</v>
      </c>
      <c r="D56" s="50"/>
      <c r="E56" s="13" t="s">
        <v>7</v>
      </c>
      <c r="F56" s="20">
        <v>230000</v>
      </c>
      <c r="G56" s="13"/>
    </row>
    <row r="57" spans="1:7" ht="14.25" customHeight="1" thickBot="1" x14ac:dyDescent="0.3">
      <c r="A57" s="5">
        <v>53</v>
      </c>
      <c r="B57" s="3">
        <v>46217</v>
      </c>
      <c r="C57" s="63" t="s">
        <v>2</v>
      </c>
      <c r="D57" s="64"/>
      <c r="E57" s="28" t="s">
        <v>7</v>
      </c>
      <c r="F57" s="29">
        <v>230000</v>
      </c>
      <c r="G57" s="14"/>
    </row>
    <row r="58" spans="1:7" x14ac:dyDescent="0.25">
      <c r="A58" s="9"/>
      <c r="B58" s="10"/>
      <c r="C58" s="10"/>
      <c r="D58" s="10"/>
      <c r="E58" s="31"/>
      <c r="F58" s="32">
        <f>SUM(F5:F57)</f>
        <v>16920000</v>
      </c>
      <c r="G58" s="11"/>
    </row>
    <row r="59" spans="1:7" x14ac:dyDescent="0.25">
      <c r="E59" s="33" t="s">
        <v>23</v>
      </c>
      <c r="F59" s="34">
        <f>F58/53</f>
        <v>319245.28301886795</v>
      </c>
    </row>
    <row r="60" spans="1:7" x14ac:dyDescent="0.25">
      <c r="E60" s="33" t="s">
        <v>24</v>
      </c>
      <c r="F60" s="35">
        <f>F59/17000</f>
        <v>18.779134295227525</v>
      </c>
    </row>
    <row r="61" spans="1:7" x14ac:dyDescent="0.25">
      <c r="E61" s="33" t="s">
        <v>25</v>
      </c>
      <c r="F61" s="34">
        <v>298000</v>
      </c>
    </row>
    <row r="62" spans="1:7" x14ac:dyDescent="0.25">
      <c r="E62" s="33" t="s">
        <v>26</v>
      </c>
      <c r="F62" s="35">
        <v>24.83</v>
      </c>
    </row>
    <row r="63" spans="1:7" x14ac:dyDescent="0.25">
      <c r="E63" s="33" t="s">
        <v>27</v>
      </c>
      <c r="F63" s="34">
        <v>324186</v>
      </c>
    </row>
    <row r="64" spans="1:7" x14ac:dyDescent="0.25">
      <c r="E64" s="33" t="s">
        <v>28</v>
      </c>
      <c r="F64" s="35">
        <f>F63/17000</f>
        <v>19.069764705882353</v>
      </c>
    </row>
  </sheetData>
  <autoFilter ref="A4:G64" xr:uid="{EBF5F8AE-5B29-410B-BA1F-F2611C466D13}">
    <filterColumn colId="2" showButton="0"/>
  </autoFilter>
  <mergeCells count="61">
    <mergeCell ref="F3:F4"/>
    <mergeCell ref="G3:G4"/>
    <mergeCell ref="C51:D51"/>
    <mergeCell ref="C57:D57"/>
    <mergeCell ref="C52:D52"/>
    <mergeCell ref="C53:D53"/>
    <mergeCell ref="C54:D54"/>
    <mergeCell ref="C55:D55"/>
    <mergeCell ref="C56:D56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45:D45"/>
    <mergeCell ref="C10:D10"/>
    <mergeCell ref="C11:D11"/>
    <mergeCell ref="A1:E1"/>
    <mergeCell ref="A3:A4"/>
    <mergeCell ref="B3:B4"/>
    <mergeCell ref="E3:E4"/>
    <mergeCell ref="C2:D2"/>
    <mergeCell ref="C12:D12"/>
    <mergeCell ref="C13:D13"/>
    <mergeCell ref="C8:D8"/>
    <mergeCell ref="C9:D9"/>
    <mergeCell ref="C16:D16"/>
    <mergeCell ref="C17:D17"/>
    <mergeCell ref="C18:D18"/>
    <mergeCell ref="C15:D15"/>
    <mergeCell ref="C3:D4"/>
    <mergeCell ref="C5:D5"/>
    <mergeCell ref="C6:D6"/>
    <mergeCell ref="C7:D7"/>
    <mergeCell ref="C44:D44"/>
    <mergeCell ref="C14:D14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8859-2066-4E40-82B2-BBD359BC21BD}">
  <dimension ref="A1:O30"/>
  <sheetViews>
    <sheetView zoomScale="120" zoomScaleNormal="12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E11" sqref="E9:E11"/>
    </sheetView>
  </sheetViews>
  <sheetFormatPr defaultRowHeight="15" x14ac:dyDescent="0.25"/>
  <cols>
    <col min="1" max="1" width="7.28515625" style="1" customWidth="1"/>
    <col min="2" max="2" width="18.7109375" style="1" customWidth="1"/>
    <col min="3" max="3" width="12.7109375" style="1" customWidth="1"/>
    <col min="4" max="4" width="20" style="1" customWidth="1"/>
    <col min="5" max="5" width="40.7109375" style="1" customWidth="1"/>
    <col min="6" max="6" width="31.42578125" style="1" customWidth="1"/>
    <col min="7" max="7" width="21.28515625" style="1" customWidth="1"/>
    <col min="8" max="8" width="23.140625" style="1" customWidth="1"/>
    <col min="9" max="9" width="35.7109375" style="1" customWidth="1"/>
    <col min="10" max="10" width="15.7109375" style="1" customWidth="1"/>
    <col min="11" max="11" width="19.42578125" style="9" customWidth="1"/>
    <col min="12" max="12" width="34.85546875" style="1" customWidth="1"/>
    <col min="13" max="13" width="15.42578125" style="1" customWidth="1"/>
    <col min="14" max="14" width="9.42578125" customWidth="1"/>
    <col min="15" max="15" width="15" customWidth="1"/>
  </cols>
  <sheetData>
    <row r="1" spans="1:15" ht="27" thickBot="1" x14ac:dyDescent="0.3">
      <c r="A1" s="51" t="s">
        <v>1</v>
      </c>
      <c r="B1" s="51"/>
      <c r="C1" s="51"/>
      <c r="D1" s="51"/>
      <c r="E1" s="51"/>
      <c r="F1" s="41"/>
      <c r="G1" s="41"/>
      <c r="H1" s="41"/>
      <c r="I1" s="41"/>
      <c r="J1" s="41"/>
      <c r="K1" s="18"/>
      <c r="L1"/>
      <c r="M1"/>
    </row>
    <row r="2" spans="1:15" ht="27" thickBot="1" x14ac:dyDescent="0.3">
      <c r="A2" s="8">
        <v>1</v>
      </c>
      <c r="B2" s="7">
        <v>2</v>
      </c>
      <c r="C2" s="16"/>
      <c r="D2" s="16">
        <v>3</v>
      </c>
      <c r="E2" s="12">
        <v>4</v>
      </c>
      <c r="F2" s="12"/>
      <c r="G2" s="12"/>
      <c r="H2" s="12"/>
      <c r="I2" s="12"/>
      <c r="J2" s="12"/>
      <c r="K2" s="19">
        <v>5</v>
      </c>
      <c r="L2" s="12">
        <v>6</v>
      </c>
      <c r="M2" s="36"/>
    </row>
    <row r="3" spans="1:15" s="6" customFormat="1" ht="15" customHeight="1" x14ac:dyDescent="0.25">
      <c r="A3" s="52" t="s">
        <v>0</v>
      </c>
      <c r="B3" s="68" t="s">
        <v>4</v>
      </c>
      <c r="C3" s="68" t="s">
        <v>34</v>
      </c>
      <c r="D3" s="45" t="s">
        <v>14</v>
      </c>
      <c r="E3" s="68" t="s">
        <v>5</v>
      </c>
      <c r="F3" s="55" t="s">
        <v>30</v>
      </c>
      <c r="G3" s="55" t="s">
        <v>31</v>
      </c>
      <c r="H3" s="66" t="s">
        <v>29</v>
      </c>
      <c r="I3" s="55" t="s">
        <v>32</v>
      </c>
      <c r="J3" s="55" t="s">
        <v>33</v>
      </c>
      <c r="K3" s="61" t="s">
        <v>15</v>
      </c>
      <c r="L3" s="45" t="s">
        <v>15</v>
      </c>
      <c r="M3" s="65" t="s">
        <v>35</v>
      </c>
      <c r="N3" s="65" t="s">
        <v>36</v>
      </c>
      <c r="O3" s="65" t="s">
        <v>37</v>
      </c>
    </row>
    <row r="4" spans="1:15" s="6" customFormat="1" ht="41.25" customHeight="1" thickBot="1" x14ac:dyDescent="0.3">
      <c r="A4" s="70"/>
      <c r="B4" s="69"/>
      <c r="C4" s="69"/>
      <c r="D4" s="71"/>
      <c r="E4" s="69"/>
      <c r="F4" s="56"/>
      <c r="G4" s="56"/>
      <c r="H4" s="67"/>
      <c r="I4" s="56"/>
      <c r="J4" s="56"/>
      <c r="K4" s="62"/>
      <c r="L4" s="47"/>
      <c r="M4" s="65"/>
      <c r="N4" s="65"/>
      <c r="O4" s="65"/>
    </row>
    <row r="5" spans="1:15" ht="14.25" customHeight="1" thickTop="1" x14ac:dyDescent="0.25">
      <c r="A5" s="4">
        <v>1</v>
      </c>
      <c r="B5" s="2">
        <v>46206</v>
      </c>
      <c r="C5" s="40"/>
      <c r="D5" s="37" t="s">
        <v>2</v>
      </c>
      <c r="E5" s="13" t="s">
        <v>9</v>
      </c>
      <c r="F5" s="13"/>
      <c r="G5" s="13"/>
      <c r="H5" s="13"/>
      <c r="I5" s="13"/>
      <c r="J5" s="13"/>
      <c r="K5" s="25">
        <v>340000</v>
      </c>
      <c r="L5" s="42" t="s">
        <v>16</v>
      </c>
      <c r="M5" s="43"/>
      <c r="N5" s="44"/>
      <c r="O5" s="44"/>
    </row>
    <row r="6" spans="1:15" ht="14.25" customHeight="1" x14ac:dyDescent="0.25">
      <c r="A6" s="4">
        <v>2</v>
      </c>
      <c r="B6" s="2">
        <v>46206</v>
      </c>
      <c r="C6" s="40"/>
      <c r="D6" s="38" t="s">
        <v>3</v>
      </c>
      <c r="E6" s="13" t="s">
        <v>9</v>
      </c>
      <c r="F6" s="13"/>
      <c r="G6" s="13"/>
      <c r="H6" s="13">
        <v>46209</v>
      </c>
      <c r="I6" s="13"/>
      <c r="J6" s="13"/>
      <c r="K6" s="20">
        <v>340000</v>
      </c>
      <c r="L6" s="42" t="s">
        <v>16</v>
      </c>
      <c r="M6" s="43">
        <v>48.5</v>
      </c>
      <c r="N6" s="44">
        <v>17</v>
      </c>
      <c r="O6" s="44"/>
    </row>
    <row r="7" spans="1:15" ht="14.25" customHeight="1" x14ac:dyDescent="0.25">
      <c r="A7" s="4">
        <v>3</v>
      </c>
      <c r="B7" s="2">
        <v>46206</v>
      </c>
      <c r="C7" s="40"/>
      <c r="D7" s="38" t="s">
        <v>3</v>
      </c>
      <c r="E7" s="13" t="s">
        <v>9</v>
      </c>
      <c r="F7" s="13"/>
      <c r="G7" s="13"/>
      <c r="H7" s="13">
        <v>46209</v>
      </c>
      <c r="I7" s="13"/>
      <c r="J7" s="13"/>
      <c r="K7" s="20">
        <v>440000</v>
      </c>
      <c r="L7" s="42" t="s">
        <v>17</v>
      </c>
      <c r="M7" s="43">
        <v>48.5</v>
      </c>
      <c r="N7" s="44">
        <v>17</v>
      </c>
      <c r="O7" s="44"/>
    </row>
    <row r="8" spans="1:15" ht="14.25" customHeight="1" x14ac:dyDescent="0.25">
      <c r="A8" s="4">
        <v>4</v>
      </c>
      <c r="B8" s="2">
        <v>46207</v>
      </c>
      <c r="C8" s="40"/>
      <c r="D8" s="38" t="s">
        <v>8</v>
      </c>
      <c r="E8" s="13" t="s">
        <v>11</v>
      </c>
      <c r="F8" s="13"/>
      <c r="G8" s="13"/>
      <c r="H8" s="13"/>
      <c r="I8" s="13"/>
      <c r="J8" s="13"/>
      <c r="K8" s="27">
        <v>300000</v>
      </c>
      <c r="L8" s="42"/>
      <c r="M8" s="30"/>
      <c r="N8" s="44"/>
      <c r="O8" s="44"/>
    </row>
    <row r="9" spans="1:15" ht="14.25" customHeight="1" x14ac:dyDescent="0.25">
      <c r="A9" s="4">
        <v>5</v>
      </c>
      <c r="B9" s="2">
        <v>46207</v>
      </c>
      <c r="C9" s="40"/>
      <c r="D9" s="38" t="s">
        <v>8</v>
      </c>
      <c r="E9" s="13" t="s">
        <v>12</v>
      </c>
      <c r="F9" s="13"/>
      <c r="G9" s="13"/>
      <c r="H9" s="13"/>
      <c r="I9" s="13"/>
      <c r="J9" s="13"/>
      <c r="K9" s="20">
        <v>430000</v>
      </c>
      <c r="L9" s="42" t="s">
        <v>18</v>
      </c>
      <c r="M9" s="43"/>
      <c r="N9" s="44"/>
      <c r="O9" s="44"/>
    </row>
    <row r="10" spans="1:15" ht="14.25" customHeight="1" x14ac:dyDescent="0.25">
      <c r="A10" s="4">
        <v>6</v>
      </c>
      <c r="B10" s="2">
        <v>46207</v>
      </c>
      <c r="C10" s="40"/>
      <c r="D10" s="38" t="s">
        <v>3</v>
      </c>
      <c r="E10" s="13" t="s">
        <v>9</v>
      </c>
      <c r="F10" s="13"/>
      <c r="G10" s="13"/>
      <c r="H10" s="13"/>
      <c r="I10" s="13"/>
      <c r="J10" s="13"/>
      <c r="K10" s="27">
        <v>300000</v>
      </c>
      <c r="L10" s="42"/>
      <c r="M10" s="43"/>
      <c r="N10" s="44"/>
      <c r="O10" s="44"/>
    </row>
    <row r="11" spans="1:15" ht="14.25" customHeight="1" x14ac:dyDescent="0.25">
      <c r="A11" s="4">
        <v>7</v>
      </c>
      <c r="B11" s="2">
        <v>46207</v>
      </c>
      <c r="C11" s="40"/>
      <c r="D11" s="38" t="s">
        <v>3</v>
      </c>
      <c r="E11" s="13" t="s">
        <v>10</v>
      </c>
      <c r="F11" s="13"/>
      <c r="G11" s="13"/>
      <c r="H11" s="13"/>
      <c r="I11" s="13"/>
      <c r="J11" s="13"/>
      <c r="K11" s="20">
        <v>430000</v>
      </c>
      <c r="L11" s="42" t="s">
        <v>17</v>
      </c>
      <c r="M11" s="30"/>
      <c r="N11" s="44"/>
      <c r="O11" s="44"/>
    </row>
    <row r="12" spans="1:15" ht="14.25" customHeight="1" x14ac:dyDescent="0.25">
      <c r="A12" s="4">
        <v>10</v>
      </c>
      <c r="B12" s="2">
        <v>46208</v>
      </c>
      <c r="C12" s="40"/>
      <c r="D12" s="38" t="s">
        <v>8</v>
      </c>
      <c r="E12" s="13" t="s">
        <v>12</v>
      </c>
      <c r="F12" s="13"/>
      <c r="G12" s="13"/>
      <c r="H12" s="13"/>
      <c r="I12" s="13"/>
      <c r="J12" s="13"/>
      <c r="K12" s="20">
        <v>430000</v>
      </c>
      <c r="L12" s="42" t="s">
        <v>18</v>
      </c>
      <c r="M12" s="43"/>
      <c r="N12" s="44"/>
      <c r="O12" s="44"/>
    </row>
    <row r="13" spans="1:15" ht="14.25" customHeight="1" x14ac:dyDescent="0.25">
      <c r="A13" s="4">
        <v>11</v>
      </c>
      <c r="B13" s="2">
        <v>46208</v>
      </c>
      <c r="C13" s="40"/>
      <c r="D13" s="38" t="s">
        <v>2</v>
      </c>
      <c r="E13" s="13" t="s">
        <v>9</v>
      </c>
      <c r="F13" s="13"/>
      <c r="G13" s="13"/>
      <c r="H13" s="13"/>
      <c r="I13" s="13"/>
      <c r="J13" s="13"/>
      <c r="K13" s="25">
        <v>300000</v>
      </c>
      <c r="L13" s="42"/>
      <c r="M13" s="43"/>
      <c r="N13" s="44"/>
      <c r="O13" s="44"/>
    </row>
    <row r="14" spans="1:15" ht="14.25" customHeight="1" x14ac:dyDescent="0.25">
      <c r="A14" s="4">
        <v>12</v>
      </c>
      <c r="B14" s="2">
        <v>46208</v>
      </c>
      <c r="C14" s="40"/>
      <c r="D14" s="38" t="s">
        <v>3</v>
      </c>
      <c r="E14" s="13" t="s">
        <v>9</v>
      </c>
      <c r="F14" s="13"/>
      <c r="G14" s="13"/>
      <c r="H14" s="13"/>
      <c r="I14" s="13"/>
      <c r="J14" s="13"/>
      <c r="K14" s="20">
        <v>440000</v>
      </c>
      <c r="L14" s="42" t="s">
        <v>17</v>
      </c>
      <c r="M14" s="43"/>
      <c r="N14" s="44"/>
      <c r="O14" s="44"/>
    </row>
    <row r="15" spans="1:15" ht="14.25" customHeight="1" x14ac:dyDescent="0.25">
      <c r="A15" s="4">
        <v>15</v>
      </c>
      <c r="B15" s="2">
        <v>46209</v>
      </c>
      <c r="C15" s="40"/>
      <c r="D15" s="38" t="s">
        <v>3</v>
      </c>
      <c r="E15" s="13" t="s">
        <v>9</v>
      </c>
      <c r="F15" s="13"/>
      <c r="G15" s="13"/>
      <c r="H15" s="13"/>
      <c r="I15" s="13"/>
      <c r="J15" s="13"/>
      <c r="K15" s="20">
        <v>440000</v>
      </c>
      <c r="L15" s="42" t="s">
        <v>17</v>
      </c>
      <c r="M15" s="43"/>
      <c r="N15" s="44"/>
      <c r="O15" s="44"/>
    </row>
    <row r="16" spans="1:15" ht="14.25" customHeight="1" x14ac:dyDescent="0.25">
      <c r="A16" s="4">
        <v>16</v>
      </c>
      <c r="B16" s="2">
        <v>46209</v>
      </c>
      <c r="C16" s="40"/>
      <c r="D16" s="38" t="s">
        <v>3</v>
      </c>
      <c r="E16" s="13" t="s">
        <v>9</v>
      </c>
      <c r="F16" s="13"/>
      <c r="G16" s="13"/>
      <c r="H16" s="13"/>
      <c r="I16" s="13"/>
      <c r="J16" s="13"/>
      <c r="K16" s="20">
        <v>440000</v>
      </c>
      <c r="L16" s="42" t="s">
        <v>17</v>
      </c>
      <c r="M16" s="43"/>
      <c r="N16" s="44"/>
      <c r="O16" s="44"/>
    </row>
    <row r="17" spans="1:15" ht="14.25" customHeight="1" x14ac:dyDescent="0.25">
      <c r="A17" s="4">
        <v>20</v>
      </c>
      <c r="B17" s="2">
        <v>46209</v>
      </c>
      <c r="C17" s="40"/>
      <c r="D17" s="38" t="s">
        <v>8</v>
      </c>
      <c r="E17" s="13" t="s">
        <v>12</v>
      </c>
      <c r="F17" s="13"/>
      <c r="G17" s="13"/>
      <c r="H17" s="13"/>
      <c r="I17" s="13"/>
      <c r="J17" s="13"/>
      <c r="K17" s="27">
        <v>290000</v>
      </c>
      <c r="L17" s="42"/>
      <c r="M17" s="43"/>
      <c r="N17" s="44"/>
      <c r="O17" s="44"/>
    </row>
    <row r="18" spans="1:15" ht="14.25" customHeight="1" thickBot="1" x14ac:dyDescent="0.3">
      <c r="A18" s="4">
        <v>22</v>
      </c>
      <c r="B18" s="2">
        <v>46210</v>
      </c>
      <c r="C18" s="40"/>
      <c r="D18" s="38" t="s">
        <v>3</v>
      </c>
      <c r="E18" s="13" t="s">
        <v>9</v>
      </c>
      <c r="F18" s="13"/>
      <c r="G18" s="13"/>
      <c r="H18" s="13"/>
      <c r="I18" s="13"/>
      <c r="J18" s="13"/>
      <c r="K18" s="27">
        <v>300000</v>
      </c>
      <c r="L18" s="42"/>
      <c r="M18" s="43"/>
      <c r="N18" s="44"/>
      <c r="O18" s="44"/>
    </row>
    <row r="19" spans="1:15" ht="14.25" customHeight="1" x14ac:dyDescent="0.25">
      <c r="A19" s="4">
        <v>28</v>
      </c>
      <c r="B19" s="2">
        <v>46213</v>
      </c>
      <c r="C19" s="40"/>
      <c r="D19" s="39" t="s">
        <v>3</v>
      </c>
      <c r="E19" s="13" t="s">
        <v>9</v>
      </c>
      <c r="F19" s="13"/>
      <c r="G19" s="13"/>
      <c r="H19" s="13"/>
      <c r="I19" s="13"/>
      <c r="J19" s="13"/>
      <c r="K19" s="20">
        <v>340000</v>
      </c>
      <c r="L19" s="42" t="s">
        <v>16</v>
      </c>
      <c r="M19" s="43"/>
      <c r="N19" s="44"/>
      <c r="O19" s="44"/>
    </row>
    <row r="20" spans="1:15" ht="14.25" customHeight="1" x14ac:dyDescent="0.25">
      <c r="A20" s="4">
        <v>29</v>
      </c>
      <c r="B20" s="2">
        <v>46213</v>
      </c>
      <c r="C20" s="40"/>
      <c r="D20" s="38" t="s">
        <v>3</v>
      </c>
      <c r="E20" s="13" t="s">
        <v>9</v>
      </c>
      <c r="F20" s="13"/>
      <c r="G20" s="13"/>
      <c r="H20" s="13"/>
      <c r="I20" s="13"/>
      <c r="J20" s="13"/>
      <c r="K20" s="20">
        <v>340000</v>
      </c>
      <c r="L20" s="42" t="s">
        <v>16</v>
      </c>
      <c r="M20" s="43"/>
      <c r="N20" s="44"/>
      <c r="O20" s="44"/>
    </row>
    <row r="21" spans="1:15" ht="14.25" customHeight="1" x14ac:dyDescent="0.25">
      <c r="A21" s="4">
        <v>30</v>
      </c>
      <c r="B21" s="2">
        <v>46213</v>
      </c>
      <c r="C21" s="40"/>
      <c r="D21" s="38" t="s">
        <v>2</v>
      </c>
      <c r="E21" s="13" t="s">
        <v>9</v>
      </c>
      <c r="F21" s="13"/>
      <c r="G21" s="13"/>
      <c r="H21" s="13"/>
      <c r="I21" s="13"/>
      <c r="J21" s="13"/>
      <c r="K21" s="25">
        <v>440000</v>
      </c>
      <c r="L21" s="42" t="s">
        <v>17</v>
      </c>
      <c r="M21" s="43"/>
      <c r="N21" s="44"/>
      <c r="O21" s="44"/>
    </row>
    <row r="22" spans="1:15" ht="14.25" customHeight="1" x14ac:dyDescent="0.25">
      <c r="A22" s="4">
        <v>31</v>
      </c>
      <c r="B22" s="2">
        <v>46214</v>
      </c>
      <c r="C22" s="40"/>
      <c r="D22" s="38" t="s">
        <v>3</v>
      </c>
      <c r="E22" s="13" t="s">
        <v>9</v>
      </c>
      <c r="F22" s="13"/>
      <c r="G22" s="13"/>
      <c r="H22" s="13"/>
      <c r="I22" s="13"/>
      <c r="J22" s="13"/>
      <c r="K22" s="20">
        <v>440000</v>
      </c>
      <c r="L22" s="42" t="s">
        <v>17</v>
      </c>
      <c r="M22" s="43"/>
      <c r="N22" s="44"/>
      <c r="O22" s="44"/>
    </row>
    <row r="23" spans="1:15" ht="14.25" customHeight="1" x14ac:dyDescent="0.25">
      <c r="A23" s="4">
        <v>32</v>
      </c>
      <c r="B23" s="2">
        <v>46214</v>
      </c>
      <c r="C23" s="40"/>
      <c r="D23" s="38" t="s">
        <v>3</v>
      </c>
      <c r="E23" s="13" t="s">
        <v>9</v>
      </c>
      <c r="F23" s="13"/>
      <c r="G23" s="13"/>
      <c r="H23" s="13"/>
      <c r="I23" s="13"/>
      <c r="J23" s="13"/>
      <c r="K23" s="20">
        <v>440000</v>
      </c>
      <c r="L23" s="42" t="s">
        <v>17</v>
      </c>
      <c r="M23" s="43"/>
      <c r="N23" s="44"/>
      <c r="O23" s="44"/>
    </row>
    <row r="24" spans="1:15" ht="14.25" customHeight="1" x14ac:dyDescent="0.25">
      <c r="A24" s="4">
        <v>35</v>
      </c>
      <c r="B24" s="2">
        <v>46214</v>
      </c>
      <c r="C24" s="40"/>
      <c r="D24" s="38" t="s">
        <v>8</v>
      </c>
      <c r="E24" s="13" t="s">
        <v>12</v>
      </c>
      <c r="F24" s="13"/>
      <c r="G24" s="13"/>
      <c r="H24" s="13"/>
      <c r="I24" s="13"/>
      <c r="J24" s="13"/>
      <c r="K24" s="20">
        <v>430000</v>
      </c>
      <c r="L24" s="42" t="s">
        <v>18</v>
      </c>
      <c r="M24" s="43"/>
      <c r="N24" s="44"/>
      <c r="O24" s="44"/>
    </row>
    <row r="25" spans="1:15" ht="14.25" customHeight="1" x14ac:dyDescent="0.25">
      <c r="A25" s="4">
        <v>37</v>
      </c>
      <c r="B25" s="2">
        <v>46215</v>
      </c>
      <c r="C25" s="40"/>
      <c r="D25" s="38" t="s">
        <v>3</v>
      </c>
      <c r="E25" s="13" t="s">
        <v>9</v>
      </c>
      <c r="F25" s="13"/>
      <c r="G25" s="13"/>
      <c r="H25" s="13"/>
      <c r="I25" s="13"/>
      <c r="J25" s="13"/>
      <c r="K25" s="27">
        <v>300000</v>
      </c>
      <c r="L25" s="42"/>
      <c r="M25" s="43"/>
      <c r="N25" s="44"/>
      <c r="O25" s="44"/>
    </row>
    <row r="26" spans="1:15" ht="14.25" customHeight="1" x14ac:dyDescent="0.25">
      <c r="A26" s="4">
        <v>41</v>
      </c>
      <c r="B26" s="2">
        <v>46215</v>
      </c>
      <c r="C26" s="40"/>
      <c r="D26" s="38" t="s">
        <v>2</v>
      </c>
      <c r="E26" s="13" t="s">
        <v>9</v>
      </c>
      <c r="F26" s="13"/>
      <c r="G26" s="13"/>
      <c r="H26" s="13"/>
      <c r="I26" s="13"/>
      <c r="J26" s="13"/>
      <c r="K26" s="25">
        <v>300000</v>
      </c>
      <c r="L26" s="42"/>
      <c r="M26" s="43"/>
      <c r="N26" s="44"/>
      <c r="O26" s="44"/>
    </row>
    <row r="27" spans="1:15" ht="14.25" customHeight="1" x14ac:dyDescent="0.25">
      <c r="A27" s="4">
        <v>42</v>
      </c>
      <c r="B27" s="2">
        <v>46215</v>
      </c>
      <c r="C27" s="40"/>
      <c r="D27" s="38" t="s">
        <v>8</v>
      </c>
      <c r="E27" s="13" t="s">
        <v>12</v>
      </c>
      <c r="F27" s="13"/>
      <c r="G27" s="13"/>
      <c r="H27" s="13"/>
      <c r="I27" s="13"/>
      <c r="J27" s="13"/>
      <c r="K27" s="20">
        <v>430000</v>
      </c>
      <c r="L27" s="42" t="s">
        <v>18</v>
      </c>
      <c r="M27" s="43"/>
      <c r="N27" s="44"/>
      <c r="O27" s="44"/>
    </row>
    <row r="28" spans="1:15" ht="14.25" customHeight="1" x14ac:dyDescent="0.25">
      <c r="A28" s="4">
        <v>43</v>
      </c>
      <c r="B28" s="2">
        <v>46216</v>
      </c>
      <c r="C28" s="40"/>
      <c r="D28" s="38" t="s">
        <v>3</v>
      </c>
      <c r="E28" s="13" t="s">
        <v>9</v>
      </c>
      <c r="F28" s="13"/>
      <c r="G28" s="13"/>
      <c r="H28" s="13"/>
      <c r="I28" s="13"/>
      <c r="J28" s="13"/>
      <c r="K28" s="20">
        <v>440000</v>
      </c>
      <c r="L28" s="42" t="s">
        <v>17</v>
      </c>
      <c r="M28" s="43"/>
      <c r="N28" s="44"/>
      <c r="O28" s="44"/>
    </row>
    <row r="29" spans="1:15" ht="14.25" customHeight="1" x14ac:dyDescent="0.25">
      <c r="A29" s="4">
        <v>47</v>
      </c>
      <c r="B29" s="2">
        <v>46216</v>
      </c>
      <c r="C29" s="40"/>
      <c r="D29" s="38" t="s">
        <v>8</v>
      </c>
      <c r="E29" s="13" t="s">
        <v>12</v>
      </c>
      <c r="F29" s="13"/>
      <c r="G29" s="13"/>
      <c r="H29" s="13"/>
      <c r="I29" s="13"/>
      <c r="J29" s="13"/>
      <c r="K29" s="20">
        <v>330000</v>
      </c>
      <c r="L29" s="42" t="s">
        <v>21</v>
      </c>
      <c r="M29" s="43"/>
      <c r="N29" s="44"/>
      <c r="O29" s="44"/>
    </row>
    <row r="30" spans="1:15" ht="14.25" customHeight="1" x14ac:dyDescent="0.25">
      <c r="A30" s="4">
        <v>49</v>
      </c>
      <c r="B30" s="2">
        <v>46217</v>
      </c>
      <c r="C30" s="40"/>
      <c r="D30" s="38" t="s">
        <v>3</v>
      </c>
      <c r="E30" s="13" t="s">
        <v>9</v>
      </c>
      <c r="F30" s="13"/>
      <c r="G30" s="13"/>
      <c r="H30" s="13"/>
      <c r="I30" s="13"/>
      <c r="J30" s="13"/>
      <c r="K30" s="27">
        <v>300000</v>
      </c>
      <c r="L30" s="42"/>
      <c r="M30" s="43"/>
      <c r="N30" s="44"/>
      <c r="O30" s="44"/>
    </row>
  </sheetData>
  <autoFilter ref="A4:O30" xr:uid="{8F478859-2066-4E40-82B2-BBD359BC21BD}"/>
  <mergeCells count="16">
    <mergeCell ref="A1:E1"/>
    <mergeCell ref="A3:A4"/>
    <mergeCell ref="B3:B4"/>
    <mergeCell ref="D3:D4"/>
    <mergeCell ref="E3:E4"/>
    <mergeCell ref="F3:F4"/>
    <mergeCell ref="G3:G4"/>
    <mergeCell ref="H3:H4"/>
    <mergeCell ref="C3:C4"/>
    <mergeCell ref="K3:K4"/>
    <mergeCell ref="J3:J4"/>
    <mergeCell ref="M3:M4"/>
    <mergeCell ref="N3:N4"/>
    <mergeCell ref="O3:O4"/>
    <mergeCell ref="I3:I4"/>
    <mergeCell ref="L3:L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D77B-E19D-4C78-884B-962D78FD5D2B}">
  <dimension ref="A1:O11"/>
  <sheetViews>
    <sheetView tabSelected="1" zoomScale="120" zoomScaleNormal="12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F18" sqref="F18"/>
    </sheetView>
  </sheetViews>
  <sheetFormatPr defaultRowHeight="15" x14ac:dyDescent="0.25"/>
  <cols>
    <col min="1" max="1" width="7.28515625" style="1" customWidth="1"/>
    <col min="2" max="2" width="18.7109375" style="1" customWidth="1"/>
    <col min="3" max="3" width="12.7109375" style="1" customWidth="1"/>
    <col min="4" max="4" width="24.85546875" style="1" customWidth="1"/>
    <col min="5" max="5" width="43" style="1" customWidth="1"/>
    <col min="6" max="6" width="31.42578125" style="1" customWidth="1"/>
    <col min="7" max="7" width="21.28515625" style="1" customWidth="1"/>
    <col min="8" max="8" width="23.140625" style="1" customWidth="1"/>
    <col min="9" max="9" width="35.7109375" style="1" customWidth="1"/>
    <col min="10" max="10" width="15.7109375" style="1" customWidth="1"/>
    <col min="11" max="11" width="19.42578125" style="9" customWidth="1"/>
    <col min="12" max="12" width="34.85546875" style="1" customWidth="1"/>
    <col min="13" max="13" width="15.42578125" style="1" customWidth="1"/>
    <col min="14" max="14" width="9.42578125" customWidth="1"/>
    <col min="15" max="15" width="15" customWidth="1"/>
  </cols>
  <sheetData>
    <row r="1" spans="1:15" ht="27" thickBot="1" x14ac:dyDescent="0.3">
      <c r="A1" s="51" t="s">
        <v>1</v>
      </c>
      <c r="B1" s="51"/>
      <c r="C1" s="51"/>
      <c r="D1" s="51"/>
      <c r="E1" s="51"/>
      <c r="F1" s="41"/>
      <c r="G1" s="41"/>
      <c r="H1" s="41"/>
      <c r="I1" s="41"/>
      <c r="J1" s="41"/>
      <c r="K1" s="18"/>
      <c r="L1"/>
      <c r="M1"/>
    </row>
    <row r="2" spans="1:15" ht="27" thickBot="1" x14ac:dyDescent="0.3">
      <c r="A2" s="8">
        <v>1</v>
      </c>
      <c r="B2" s="7">
        <v>2</v>
      </c>
      <c r="C2" s="16"/>
      <c r="D2" s="16">
        <v>3</v>
      </c>
      <c r="E2" s="12">
        <v>4</v>
      </c>
      <c r="F2" s="12"/>
      <c r="G2" s="12"/>
      <c r="H2" s="12"/>
      <c r="I2" s="12"/>
      <c r="J2" s="12"/>
      <c r="K2" s="19">
        <v>5</v>
      </c>
      <c r="L2" s="12">
        <v>6</v>
      </c>
      <c r="M2" s="36"/>
    </row>
    <row r="3" spans="1:15" s="6" customFormat="1" ht="15" customHeight="1" x14ac:dyDescent="0.25">
      <c r="A3" s="52" t="s">
        <v>0</v>
      </c>
      <c r="B3" s="68" t="s">
        <v>4</v>
      </c>
      <c r="C3" s="68" t="s">
        <v>34</v>
      </c>
      <c r="D3" s="45" t="s">
        <v>14</v>
      </c>
      <c r="E3" s="68" t="s">
        <v>5</v>
      </c>
      <c r="F3" s="55" t="s">
        <v>30</v>
      </c>
      <c r="G3" s="55" t="s">
        <v>31</v>
      </c>
      <c r="H3" s="66" t="s">
        <v>29</v>
      </c>
      <c r="I3" s="55" t="s">
        <v>32</v>
      </c>
      <c r="J3" s="55" t="s">
        <v>33</v>
      </c>
      <c r="K3" s="61" t="s">
        <v>15</v>
      </c>
      <c r="L3" s="45" t="s">
        <v>15</v>
      </c>
      <c r="M3" s="65" t="s">
        <v>35</v>
      </c>
      <c r="N3" s="65" t="s">
        <v>36</v>
      </c>
      <c r="O3" s="65" t="s">
        <v>37</v>
      </c>
    </row>
    <row r="4" spans="1:15" s="6" customFormat="1" ht="41.25" customHeight="1" thickBot="1" x14ac:dyDescent="0.3">
      <c r="A4" s="70"/>
      <c r="B4" s="69"/>
      <c r="C4" s="69"/>
      <c r="D4" s="71"/>
      <c r="E4" s="69"/>
      <c r="F4" s="56"/>
      <c r="G4" s="56"/>
      <c r="H4" s="67"/>
      <c r="I4" s="56"/>
      <c r="J4" s="56"/>
      <c r="K4" s="62"/>
      <c r="L4" s="47"/>
      <c r="M4" s="65"/>
      <c r="N4" s="65"/>
      <c r="O4" s="65"/>
    </row>
    <row r="5" spans="1:15" ht="14.25" customHeight="1" thickTop="1" x14ac:dyDescent="0.25">
      <c r="A5" s="4">
        <v>1</v>
      </c>
      <c r="B5" s="2">
        <v>46207</v>
      </c>
      <c r="C5" s="40"/>
      <c r="D5" s="15" t="s">
        <v>8</v>
      </c>
      <c r="E5" s="13" t="s">
        <v>11</v>
      </c>
      <c r="F5" s="13"/>
      <c r="G5" s="13"/>
      <c r="H5" s="13"/>
      <c r="I5" s="13"/>
      <c r="J5" s="13"/>
      <c r="K5" s="27">
        <v>300000</v>
      </c>
      <c r="L5" s="13"/>
      <c r="M5" s="43"/>
      <c r="N5" s="44"/>
      <c r="O5" s="44"/>
    </row>
    <row r="6" spans="1:15" ht="14.25" customHeight="1" x14ac:dyDescent="0.25">
      <c r="A6" s="4">
        <v>2</v>
      </c>
      <c r="B6" s="2">
        <v>46207</v>
      </c>
      <c r="C6" s="40"/>
      <c r="D6" s="15" t="s">
        <v>3</v>
      </c>
      <c r="E6" s="13" t="s">
        <v>10</v>
      </c>
      <c r="F6" s="13"/>
      <c r="G6" s="13"/>
      <c r="H6" s="13"/>
      <c r="I6" s="13"/>
      <c r="J6" s="13"/>
      <c r="K6" s="20">
        <v>430000</v>
      </c>
      <c r="L6" s="13" t="s">
        <v>17</v>
      </c>
      <c r="M6" s="43"/>
      <c r="N6" s="44"/>
      <c r="O6" s="44"/>
    </row>
    <row r="7" spans="1:15" ht="14.25" customHeight="1" x14ac:dyDescent="0.25">
      <c r="A7" s="4">
        <v>3</v>
      </c>
      <c r="B7" s="2">
        <v>46209</v>
      </c>
      <c r="C7" s="40"/>
      <c r="D7" s="15" t="s">
        <v>2</v>
      </c>
      <c r="E7" s="13" t="s">
        <v>10</v>
      </c>
      <c r="F7" s="13"/>
      <c r="G7" s="13"/>
      <c r="H7" s="13"/>
      <c r="I7" s="13"/>
      <c r="J7" s="13"/>
      <c r="K7" s="25">
        <v>330000</v>
      </c>
      <c r="L7" s="13" t="s">
        <v>19</v>
      </c>
      <c r="M7" s="43"/>
      <c r="N7" s="44"/>
      <c r="O7" s="44"/>
    </row>
    <row r="8" spans="1:15" ht="14.25" customHeight="1" x14ac:dyDescent="0.25">
      <c r="A8" s="4">
        <v>4</v>
      </c>
      <c r="B8" s="2">
        <v>46209</v>
      </c>
      <c r="C8" s="40"/>
      <c r="D8" s="15" t="s">
        <v>8</v>
      </c>
      <c r="E8" s="13" t="s">
        <v>11</v>
      </c>
      <c r="F8" s="13"/>
      <c r="G8" s="13"/>
      <c r="H8" s="13"/>
      <c r="I8" s="13"/>
      <c r="J8" s="13"/>
      <c r="K8" s="27">
        <v>300000</v>
      </c>
      <c r="L8" s="13"/>
      <c r="M8" s="30"/>
      <c r="N8" s="44"/>
      <c r="O8" s="44"/>
    </row>
    <row r="9" spans="1:15" ht="14.25" customHeight="1" x14ac:dyDescent="0.25">
      <c r="A9" s="4">
        <v>5</v>
      </c>
      <c r="B9" s="2">
        <v>46214</v>
      </c>
      <c r="C9" s="40"/>
      <c r="D9" s="15" t="s">
        <v>8</v>
      </c>
      <c r="E9" s="13" t="s">
        <v>11</v>
      </c>
      <c r="F9" s="13"/>
      <c r="G9" s="13"/>
      <c r="H9" s="13"/>
      <c r="I9" s="13"/>
      <c r="J9" s="13"/>
      <c r="K9" s="27">
        <v>300000</v>
      </c>
      <c r="L9" s="13"/>
      <c r="M9" s="43"/>
      <c r="N9" s="44"/>
      <c r="O9" s="44"/>
    </row>
    <row r="10" spans="1:15" ht="14.25" customHeight="1" x14ac:dyDescent="0.25">
      <c r="A10" s="4">
        <v>6</v>
      </c>
      <c r="B10" s="2">
        <v>46215</v>
      </c>
      <c r="C10" s="40"/>
      <c r="D10" s="15" t="s">
        <v>3</v>
      </c>
      <c r="E10" s="13" t="s">
        <v>10</v>
      </c>
      <c r="F10" s="13"/>
      <c r="G10" s="13"/>
      <c r="H10" s="13"/>
      <c r="I10" s="13"/>
      <c r="J10" s="13"/>
      <c r="K10" s="20">
        <v>430000</v>
      </c>
      <c r="L10" s="13" t="s">
        <v>20</v>
      </c>
      <c r="M10" s="43"/>
      <c r="N10" s="44"/>
      <c r="O10" s="44"/>
    </row>
    <row r="11" spans="1:15" ht="14.25" customHeight="1" x14ac:dyDescent="0.25">
      <c r="A11" s="4">
        <v>7</v>
      </c>
      <c r="B11" s="2">
        <v>46216</v>
      </c>
      <c r="C11" s="40"/>
      <c r="D11" s="15" t="s">
        <v>8</v>
      </c>
      <c r="E11" s="13" t="s">
        <v>11</v>
      </c>
      <c r="F11" s="13"/>
      <c r="G11" s="13"/>
      <c r="H11" s="13"/>
      <c r="I11" s="13"/>
      <c r="J11" s="13"/>
      <c r="K11" s="27">
        <v>300000</v>
      </c>
      <c r="L11" s="13"/>
      <c r="M11" s="30"/>
      <c r="N11" s="44"/>
      <c r="O11" s="44"/>
    </row>
  </sheetData>
  <autoFilter ref="A4:O11" xr:uid="{8F478859-2066-4E40-82B2-BBD359BC21BD}"/>
  <mergeCells count="16">
    <mergeCell ref="A1:E1"/>
    <mergeCell ref="A3:A4"/>
    <mergeCell ref="B3:B4"/>
    <mergeCell ref="C3:C4"/>
    <mergeCell ref="D3:D4"/>
    <mergeCell ref="E3:E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94B7-D67C-4322-B41E-87DB33BBEABE}">
  <dimension ref="A1:O12"/>
  <sheetViews>
    <sheetView zoomScale="120" zoomScaleNormal="120" workbookViewId="0">
      <pane xSplit="2" ySplit="4" topLeftCell="H5" activePane="bottomRight" state="frozen"/>
      <selection pane="topRight" activeCell="C1" sqref="C1"/>
      <selection pane="bottomLeft" activeCell="A3" sqref="A3"/>
      <selection pane="bottomRight" activeCell="B5" sqref="B5:B12"/>
    </sheetView>
  </sheetViews>
  <sheetFormatPr defaultRowHeight="15" x14ac:dyDescent="0.25"/>
  <cols>
    <col min="1" max="1" width="7.28515625" style="1" customWidth="1"/>
    <col min="2" max="2" width="18.7109375" style="1" customWidth="1"/>
    <col min="3" max="3" width="12.7109375" style="1" customWidth="1"/>
    <col min="4" max="4" width="20" style="1" customWidth="1"/>
    <col min="5" max="5" width="40.7109375" style="1" customWidth="1"/>
    <col min="6" max="6" width="31.42578125" style="1" customWidth="1"/>
    <col min="7" max="7" width="21.28515625" style="1" customWidth="1"/>
    <col min="8" max="8" width="23.140625" style="1" customWidth="1"/>
    <col min="9" max="9" width="35.7109375" style="1" customWidth="1"/>
    <col min="10" max="10" width="15.7109375" style="1" customWidth="1"/>
    <col min="11" max="11" width="19.42578125" style="9" customWidth="1"/>
    <col min="12" max="12" width="34.85546875" style="1" customWidth="1"/>
    <col min="13" max="13" width="15.42578125" style="1" customWidth="1"/>
    <col min="14" max="14" width="9.42578125" customWidth="1"/>
    <col min="15" max="15" width="15" customWidth="1"/>
  </cols>
  <sheetData>
    <row r="1" spans="1:15" ht="27" thickBot="1" x14ac:dyDescent="0.3">
      <c r="A1" s="51" t="s">
        <v>1</v>
      </c>
      <c r="B1" s="51"/>
      <c r="C1" s="51"/>
      <c r="D1" s="51"/>
      <c r="E1" s="51"/>
      <c r="F1" s="41"/>
      <c r="G1" s="41"/>
      <c r="H1" s="41"/>
      <c r="I1" s="41"/>
      <c r="J1" s="41"/>
      <c r="K1" s="18"/>
      <c r="L1"/>
      <c r="M1"/>
    </row>
    <row r="2" spans="1:15" ht="27" thickBot="1" x14ac:dyDescent="0.3">
      <c r="A2" s="8">
        <v>1</v>
      </c>
      <c r="B2" s="7">
        <v>2</v>
      </c>
      <c r="C2" s="16"/>
      <c r="D2" s="16">
        <v>3</v>
      </c>
      <c r="E2" s="12">
        <v>4</v>
      </c>
      <c r="F2" s="12"/>
      <c r="G2" s="12"/>
      <c r="H2" s="12"/>
      <c r="I2" s="12"/>
      <c r="J2" s="12"/>
      <c r="K2" s="19">
        <v>5</v>
      </c>
      <c r="L2" s="12">
        <v>6</v>
      </c>
      <c r="M2" s="36"/>
    </row>
    <row r="3" spans="1:15" s="6" customFormat="1" ht="15" customHeight="1" x14ac:dyDescent="0.25">
      <c r="A3" s="52" t="s">
        <v>0</v>
      </c>
      <c r="B3" s="68" t="s">
        <v>4</v>
      </c>
      <c r="C3" s="68" t="s">
        <v>34</v>
      </c>
      <c r="D3" s="45" t="s">
        <v>14</v>
      </c>
      <c r="E3" s="68" t="s">
        <v>5</v>
      </c>
      <c r="F3" s="55" t="s">
        <v>30</v>
      </c>
      <c r="G3" s="55" t="s">
        <v>31</v>
      </c>
      <c r="H3" s="66" t="s">
        <v>29</v>
      </c>
      <c r="I3" s="55" t="s">
        <v>32</v>
      </c>
      <c r="J3" s="55" t="s">
        <v>33</v>
      </c>
      <c r="K3" s="61" t="s">
        <v>15</v>
      </c>
      <c r="L3" s="45" t="s">
        <v>15</v>
      </c>
      <c r="M3" s="65" t="s">
        <v>35</v>
      </c>
      <c r="N3" s="65" t="s">
        <v>36</v>
      </c>
      <c r="O3" s="65" t="s">
        <v>37</v>
      </c>
    </row>
    <row r="4" spans="1:15" s="6" customFormat="1" ht="41.25" customHeight="1" thickBot="1" x14ac:dyDescent="0.3">
      <c r="A4" s="70"/>
      <c r="B4" s="69"/>
      <c r="C4" s="69"/>
      <c r="D4" s="71"/>
      <c r="E4" s="69"/>
      <c r="F4" s="56"/>
      <c r="G4" s="56"/>
      <c r="H4" s="67"/>
      <c r="I4" s="56"/>
      <c r="J4" s="56"/>
      <c r="K4" s="62"/>
      <c r="L4" s="47"/>
      <c r="M4" s="65"/>
      <c r="N4" s="65"/>
      <c r="O4" s="65"/>
    </row>
    <row r="5" spans="1:15" ht="14.25" customHeight="1" thickTop="1" x14ac:dyDescent="0.25">
      <c r="A5" s="4">
        <v>1</v>
      </c>
      <c r="B5" s="2">
        <v>46207</v>
      </c>
      <c r="C5" s="40"/>
      <c r="D5" s="15" t="s">
        <v>8</v>
      </c>
      <c r="E5" s="13" t="s">
        <v>11</v>
      </c>
      <c r="F5" s="13"/>
      <c r="G5" s="13"/>
      <c r="H5" s="13"/>
      <c r="I5" s="13"/>
      <c r="J5" s="13"/>
      <c r="K5" s="27">
        <v>300000</v>
      </c>
      <c r="L5" s="13"/>
      <c r="M5" s="43"/>
      <c r="N5" s="44"/>
      <c r="O5" s="44"/>
    </row>
    <row r="6" spans="1:15" ht="14.25" customHeight="1" x14ac:dyDescent="0.25">
      <c r="A6" s="4">
        <v>2</v>
      </c>
      <c r="B6" s="2">
        <v>46209</v>
      </c>
      <c r="C6" s="40"/>
      <c r="D6" s="15" t="s">
        <v>8</v>
      </c>
      <c r="E6" s="13" t="s">
        <v>11</v>
      </c>
      <c r="F6" s="13"/>
      <c r="G6" s="13"/>
      <c r="H6" s="13"/>
      <c r="I6" s="13"/>
      <c r="J6" s="13"/>
      <c r="K6" s="27">
        <v>300000</v>
      </c>
      <c r="L6" s="13"/>
      <c r="M6" s="43"/>
      <c r="N6" s="44"/>
      <c r="O6" s="44"/>
    </row>
    <row r="7" spans="1:15" ht="14.25" customHeight="1" x14ac:dyDescent="0.25">
      <c r="A7" s="4">
        <v>3</v>
      </c>
      <c r="B7" s="2">
        <v>46210</v>
      </c>
      <c r="C7" s="40"/>
      <c r="D7" s="15" t="s">
        <v>3</v>
      </c>
      <c r="E7" s="13" t="s">
        <v>13</v>
      </c>
      <c r="F7" s="13"/>
      <c r="G7" s="13"/>
      <c r="H7" s="13"/>
      <c r="I7" s="13"/>
      <c r="J7" s="13"/>
      <c r="K7" s="20">
        <v>330000</v>
      </c>
      <c r="L7" s="13" t="s">
        <v>19</v>
      </c>
      <c r="M7" s="43"/>
      <c r="N7" s="44"/>
      <c r="O7" s="44"/>
    </row>
    <row r="8" spans="1:15" ht="14.25" customHeight="1" thickBot="1" x14ac:dyDescent="0.3">
      <c r="A8" s="4">
        <v>4</v>
      </c>
      <c r="B8" s="24">
        <v>46210</v>
      </c>
      <c r="C8" s="40"/>
      <c r="D8" s="22" t="s">
        <v>2</v>
      </c>
      <c r="E8" s="21" t="s">
        <v>13</v>
      </c>
      <c r="F8" s="13"/>
      <c r="G8" s="13"/>
      <c r="H8" s="13"/>
      <c r="I8" s="13"/>
      <c r="J8" s="13"/>
      <c r="K8" s="26">
        <v>330000</v>
      </c>
      <c r="L8" s="21" t="s">
        <v>19</v>
      </c>
      <c r="M8" s="30"/>
      <c r="N8" s="44"/>
      <c r="O8" s="44"/>
    </row>
    <row r="9" spans="1:15" ht="14.25" customHeight="1" x14ac:dyDescent="0.25">
      <c r="A9" s="4">
        <v>5</v>
      </c>
      <c r="B9" s="2">
        <v>46214</v>
      </c>
      <c r="C9" s="40"/>
      <c r="D9" s="15" t="s">
        <v>8</v>
      </c>
      <c r="E9" s="13" t="s">
        <v>11</v>
      </c>
      <c r="F9" s="13"/>
      <c r="G9" s="13"/>
      <c r="H9" s="13"/>
      <c r="I9" s="13"/>
      <c r="J9" s="13"/>
      <c r="K9" s="27">
        <v>300000</v>
      </c>
      <c r="L9" s="13"/>
      <c r="M9" s="43"/>
      <c r="N9" s="44"/>
      <c r="O9" s="44"/>
    </row>
    <row r="10" spans="1:15" ht="14.25" customHeight="1" x14ac:dyDescent="0.25">
      <c r="A10" s="4">
        <v>6</v>
      </c>
      <c r="B10" s="2">
        <v>46216</v>
      </c>
      <c r="C10" s="40"/>
      <c r="D10" s="15" t="s">
        <v>3</v>
      </c>
      <c r="E10" s="13" t="s">
        <v>13</v>
      </c>
      <c r="F10" s="13"/>
      <c r="G10" s="13"/>
      <c r="H10" s="13"/>
      <c r="I10" s="13"/>
      <c r="J10" s="13"/>
      <c r="K10" s="20">
        <v>320000</v>
      </c>
      <c r="L10" s="13" t="s">
        <v>22</v>
      </c>
      <c r="M10" s="43"/>
      <c r="N10" s="44"/>
      <c r="O10" s="44"/>
    </row>
    <row r="11" spans="1:15" ht="14.25" customHeight="1" x14ac:dyDescent="0.25">
      <c r="A11" s="4">
        <v>7</v>
      </c>
      <c r="B11" s="2">
        <v>46216</v>
      </c>
      <c r="C11" s="40"/>
      <c r="D11" s="15" t="s">
        <v>8</v>
      </c>
      <c r="E11" s="13" t="s">
        <v>11</v>
      </c>
      <c r="F11" s="13"/>
      <c r="G11" s="13"/>
      <c r="H11" s="13"/>
      <c r="I11" s="13"/>
      <c r="J11" s="13"/>
      <c r="K11" s="27">
        <v>300000</v>
      </c>
      <c r="L11" s="13"/>
      <c r="M11" s="30"/>
      <c r="N11" s="44"/>
      <c r="O11" s="44"/>
    </row>
    <row r="12" spans="1:15" ht="14.25" customHeight="1" x14ac:dyDescent="0.25">
      <c r="A12" s="4">
        <v>10</v>
      </c>
      <c r="B12" s="2">
        <v>46217</v>
      </c>
      <c r="C12" s="40"/>
      <c r="D12" s="15" t="s">
        <v>3</v>
      </c>
      <c r="E12" s="13" t="s">
        <v>13</v>
      </c>
      <c r="F12" s="13"/>
      <c r="G12" s="13"/>
      <c r="H12" s="13"/>
      <c r="I12" s="13"/>
      <c r="J12" s="13"/>
      <c r="K12" s="27">
        <v>280000</v>
      </c>
      <c r="L12" s="13"/>
      <c r="M12" s="43"/>
      <c r="N12" s="44"/>
      <c r="O12" s="44"/>
    </row>
  </sheetData>
  <autoFilter ref="A4:O12" xr:uid="{8F478859-2066-4E40-82B2-BBD359BC21BD}"/>
  <mergeCells count="16">
    <mergeCell ref="A1:E1"/>
    <mergeCell ref="A3:A4"/>
    <mergeCell ref="B3:B4"/>
    <mergeCell ref="C3:C4"/>
    <mergeCell ref="D3:D4"/>
    <mergeCell ref="E3:E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BEC8-D473-4F1F-913D-C50C74F4810A}">
  <dimension ref="A1:O14"/>
  <sheetViews>
    <sheetView zoomScale="120" zoomScaleNormal="12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L17" sqref="L17"/>
    </sheetView>
  </sheetViews>
  <sheetFormatPr defaultRowHeight="15" x14ac:dyDescent="0.25"/>
  <cols>
    <col min="1" max="1" width="7.28515625" style="1" customWidth="1"/>
    <col min="2" max="2" width="18.7109375" style="1" customWidth="1"/>
    <col min="3" max="3" width="12.7109375" style="1" customWidth="1"/>
    <col min="4" max="4" width="20" style="1" customWidth="1"/>
    <col min="5" max="5" width="40.7109375" style="1" customWidth="1"/>
    <col min="6" max="6" width="31.42578125" style="1" customWidth="1"/>
    <col min="7" max="7" width="21.28515625" style="1" customWidth="1"/>
    <col min="8" max="8" width="23.140625" style="1" customWidth="1"/>
    <col min="9" max="9" width="35.7109375" style="1" customWidth="1"/>
    <col min="10" max="10" width="15.7109375" style="1" customWidth="1"/>
    <col min="11" max="11" width="19.42578125" style="9" customWidth="1"/>
    <col min="12" max="12" width="34.85546875" style="1" customWidth="1"/>
    <col min="13" max="13" width="15.42578125" style="1" customWidth="1"/>
    <col min="14" max="14" width="9.42578125" customWidth="1"/>
    <col min="15" max="15" width="15" customWidth="1"/>
  </cols>
  <sheetData>
    <row r="1" spans="1:15" ht="27" thickBot="1" x14ac:dyDescent="0.3">
      <c r="A1" s="51" t="s">
        <v>1</v>
      </c>
      <c r="B1" s="51"/>
      <c r="C1" s="51"/>
      <c r="D1" s="51"/>
      <c r="E1" s="51"/>
      <c r="F1" s="41"/>
      <c r="G1" s="41"/>
      <c r="H1" s="41"/>
      <c r="I1" s="41"/>
      <c r="J1" s="41"/>
      <c r="K1" s="18"/>
      <c r="L1"/>
      <c r="M1"/>
    </row>
    <row r="2" spans="1:15" ht="27" thickBot="1" x14ac:dyDescent="0.3">
      <c r="A2" s="8">
        <v>1</v>
      </c>
      <c r="B2" s="7">
        <v>2</v>
      </c>
      <c r="C2" s="16"/>
      <c r="D2" s="16">
        <v>3</v>
      </c>
      <c r="E2" s="12">
        <v>4</v>
      </c>
      <c r="F2" s="12"/>
      <c r="G2" s="12"/>
      <c r="H2" s="12"/>
      <c r="I2" s="12"/>
      <c r="J2" s="12"/>
      <c r="K2" s="19">
        <v>5</v>
      </c>
      <c r="L2" s="12">
        <v>6</v>
      </c>
      <c r="M2" s="36"/>
    </row>
    <row r="3" spans="1:15" s="6" customFormat="1" ht="15" customHeight="1" x14ac:dyDescent="0.25">
      <c r="A3" s="52" t="s">
        <v>0</v>
      </c>
      <c r="B3" s="68" t="s">
        <v>4</v>
      </c>
      <c r="C3" s="68" t="s">
        <v>34</v>
      </c>
      <c r="D3" s="45" t="s">
        <v>14</v>
      </c>
      <c r="E3" s="68" t="s">
        <v>5</v>
      </c>
      <c r="F3" s="55" t="s">
        <v>30</v>
      </c>
      <c r="G3" s="55" t="s">
        <v>31</v>
      </c>
      <c r="H3" s="66" t="s">
        <v>29</v>
      </c>
      <c r="I3" s="55" t="s">
        <v>32</v>
      </c>
      <c r="J3" s="55" t="s">
        <v>33</v>
      </c>
      <c r="K3" s="61" t="s">
        <v>15</v>
      </c>
      <c r="L3" s="45" t="s">
        <v>15</v>
      </c>
      <c r="M3" s="65" t="s">
        <v>35</v>
      </c>
      <c r="N3" s="65" t="s">
        <v>36</v>
      </c>
      <c r="O3" s="65" t="s">
        <v>37</v>
      </c>
    </row>
    <row r="4" spans="1:15" s="6" customFormat="1" ht="41.25" customHeight="1" thickBot="1" x14ac:dyDescent="0.3">
      <c r="A4" s="70"/>
      <c r="B4" s="69"/>
      <c r="C4" s="69"/>
      <c r="D4" s="71"/>
      <c r="E4" s="69"/>
      <c r="F4" s="56"/>
      <c r="G4" s="56"/>
      <c r="H4" s="67"/>
      <c r="I4" s="56"/>
      <c r="J4" s="56"/>
      <c r="K4" s="62"/>
      <c r="L4" s="47"/>
      <c r="M4" s="65"/>
      <c r="N4" s="65"/>
      <c r="O4" s="65"/>
    </row>
    <row r="5" spans="1:15" ht="14.25" customHeight="1" thickTop="1" x14ac:dyDescent="0.25">
      <c r="A5" s="4">
        <v>1</v>
      </c>
      <c r="B5" s="2">
        <v>46207</v>
      </c>
      <c r="C5" s="40"/>
      <c r="D5" s="15" t="s">
        <v>3</v>
      </c>
      <c r="E5" s="13" t="s">
        <v>6</v>
      </c>
      <c r="F5" s="13"/>
      <c r="G5" s="13"/>
      <c r="H5" s="13"/>
      <c r="I5" s="13"/>
      <c r="J5" s="13"/>
      <c r="K5" s="20">
        <v>240000</v>
      </c>
      <c r="L5" s="20">
        <v>240000</v>
      </c>
      <c r="M5" s="43"/>
      <c r="N5" s="44"/>
      <c r="O5" s="44"/>
    </row>
    <row r="6" spans="1:15" ht="14.25" customHeight="1" x14ac:dyDescent="0.25">
      <c r="A6" s="4">
        <v>2</v>
      </c>
      <c r="B6" s="2">
        <v>46208</v>
      </c>
      <c r="C6" s="40"/>
      <c r="D6" s="15" t="s">
        <v>3</v>
      </c>
      <c r="E6" s="13" t="s">
        <v>6</v>
      </c>
      <c r="F6" s="13"/>
      <c r="G6" s="13"/>
      <c r="H6" s="13"/>
      <c r="I6" s="13"/>
      <c r="J6" s="13"/>
      <c r="K6" s="20">
        <v>240000</v>
      </c>
      <c r="L6" s="20">
        <v>240000</v>
      </c>
      <c r="M6" s="43"/>
      <c r="N6" s="44"/>
      <c r="O6" s="44"/>
    </row>
    <row r="7" spans="1:15" ht="14.25" customHeight="1" x14ac:dyDescent="0.25">
      <c r="A7" s="4">
        <v>3</v>
      </c>
      <c r="B7" s="2">
        <v>46209</v>
      </c>
      <c r="C7" s="40"/>
      <c r="D7" s="15" t="s">
        <v>3</v>
      </c>
      <c r="E7" s="13" t="s">
        <v>6</v>
      </c>
      <c r="F7" s="13"/>
      <c r="G7" s="13"/>
      <c r="H7" s="13"/>
      <c r="I7" s="13"/>
      <c r="J7" s="13"/>
      <c r="K7" s="20">
        <v>240000</v>
      </c>
      <c r="L7" s="20">
        <v>240000</v>
      </c>
      <c r="M7" s="43"/>
      <c r="N7" s="44"/>
      <c r="O7" s="44"/>
    </row>
    <row r="8" spans="1:15" ht="14.25" customHeight="1" x14ac:dyDescent="0.25">
      <c r="A8" s="4">
        <v>4</v>
      </c>
      <c r="B8" s="2">
        <v>46209</v>
      </c>
      <c r="C8" s="40"/>
      <c r="D8" s="15" t="s">
        <v>2</v>
      </c>
      <c r="E8" s="13" t="s">
        <v>6</v>
      </c>
      <c r="F8" s="13"/>
      <c r="G8" s="13"/>
      <c r="H8" s="13"/>
      <c r="I8" s="13"/>
      <c r="J8" s="13"/>
      <c r="K8" s="25">
        <v>240000</v>
      </c>
      <c r="L8" s="25">
        <v>240000</v>
      </c>
      <c r="M8" s="30"/>
      <c r="N8" s="44"/>
      <c r="O8" s="44"/>
    </row>
    <row r="9" spans="1:15" ht="14.25" customHeight="1" x14ac:dyDescent="0.25">
      <c r="A9" s="4">
        <v>5</v>
      </c>
      <c r="B9" s="2">
        <v>46210</v>
      </c>
      <c r="C9" s="40"/>
      <c r="D9" s="15" t="s">
        <v>3</v>
      </c>
      <c r="E9" s="13" t="s">
        <v>6</v>
      </c>
      <c r="F9" s="13"/>
      <c r="G9" s="13"/>
      <c r="H9" s="13"/>
      <c r="I9" s="13"/>
      <c r="J9" s="13"/>
      <c r="K9" s="20">
        <v>240000</v>
      </c>
      <c r="L9" s="20">
        <v>240000</v>
      </c>
      <c r="M9" s="43"/>
      <c r="N9" s="44"/>
      <c r="O9" s="44"/>
    </row>
    <row r="10" spans="1:15" ht="14.25" customHeight="1" x14ac:dyDescent="0.25">
      <c r="A10" s="4">
        <v>6</v>
      </c>
      <c r="B10" s="2">
        <v>46214</v>
      </c>
      <c r="C10" s="40"/>
      <c r="D10" s="15" t="s">
        <v>3</v>
      </c>
      <c r="E10" s="13" t="s">
        <v>6</v>
      </c>
      <c r="F10" s="13"/>
      <c r="G10" s="13"/>
      <c r="H10" s="13"/>
      <c r="I10" s="13"/>
      <c r="J10" s="13"/>
      <c r="K10" s="20">
        <v>240000</v>
      </c>
      <c r="L10" s="20">
        <v>240000</v>
      </c>
      <c r="M10" s="43"/>
      <c r="N10" s="44"/>
      <c r="O10" s="44"/>
    </row>
    <row r="11" spans="1:15" ht="14.25" customHeight="1" x14ac:dyDescent="0.25">
      <c r="A11" s="4">
        <v>7</v>
      </c>
      <c r="B11" s="2">
        <v>46215</v>
      </c>
      <c r="C11" s="40"/>
      <c r="D11" s="15" t="s">
        <v>3</v>
      </c>
      <c r="E11" s="13" t="s">
        <v>6</v>
      </c>
      <c r="F11" s="13"/>
      <c r="G11" s="13"/>
      <c r="H11" s="13"/>
      <c r="I11" s="13"/>
      <c r="J11" s="13"/>
      <c r="K11" s="20">
        <v>240000</v>
      </c>
      <c r="L11" s="20">
        <v>240000</v>
      </c>
      <c r="M11" s="30"/>
      <c r="N11" s="44"/>
      <c r="O11" s="44"/>
    </row>
    <row r="12" spans="1:15" ht="14.25" customHeight="1" x14ac:dyDescent="0.25">
      <c r="A12" s="4">
        <v>10</v>
      </c>
      <c r="B12" s="2">
        <v>46216</v>
      </c>
      <c r="C12" s="40"/>
      <c r="D12" s="15" t="s">
        <v>3</v>
      </c>
      <c r="E12" s="13" t="s">
        <v>6</v>
      </c>
      <c r="F12" s="13"/>
      <c r="G12" s="13"/>
      <c r="H12" s="13"/>
      <c r="I12" s="13"/>
      <c r="J12" s="13"/>
      <c r="K12" s="20">
        <v>240000</v>
      </c>
      <c r="L12" s="20">
        <v>240000</v>
      </c>
      <c r="M12" s="43"/>
      <c r="N12" s="44"/>
      <c r="O12" s="44"/>
    </row>
    <row r="13" spans="1:15" ht="14.25" customHeight="1" x14ac:dyDescent="0.25">
      <c r="A13" s="4">
        <v>11</v>
      </c>
      <c r="B13" s="2">
        <v>46216</v>
      </c>
      <c r="C13" s="40"/>
      <c r="D13" s="15" t="s">
        <v>2</v>
      </c>
      <c r="E13" s="13" t="s">
        <v>6</v>
      </c>
      <c r="F13" s="13"/>
      <c r="G13" s="13"/>
      <c r="H13" s="13"/>
      <c r="I13" s="13"/>
      <c r="J13" s="13"/>
      <c r="K13" s="25">
        <v>240000</v>
      </c>
      <c r="L13" s="25">
        <v>240000</v>
      </c>
      <c r="M13" s="43"/>
      <c r="N13" s="44"/>
      <c r="O13" s="44"/>
    </row>
    <row r="14" spans="1:15" ht="14.25" customHeight="1" x14ac:dyDescent="0.25">
      <c r="A14" s="4">
        <v>12</v>
      </c>
      <c r="B14" s="2">
        <v>46217</v>
      </c>
      <c r="C14" s="40"/>
      <c r="D14" s="15" t="s">
        <v>3</v>
      </c>
      <c r="E14" s="13" t="s">
        <v>6</v>
      </c>
      <c r="F14" s="13"/>
      <c r="G14" s="13"/>
      <c r="H14" s="13"/>
      <c r="I14" s="13"/>
      <c r="J14" s="13"/>
      <c r="K14" s="20">
        <v>240000</v>
      </c>
      <c r="L14" s="20">
        <v>240000</v>
      </c>
      <c r="M14" s="43"/>
      <c r="N14" s="44"/>
      <c r="O14" s="44"/>
    </row>
  </sheetData>
  <autoFilter ref="A4:O14" xr:uid="{8F478859-2066-4E40-82B2-BBD359BC21BD}"/>
  <mergeCells count="16">
    <mergeCell ref="A1:E1"/>
    <mergeCell ref="A3:A4"/>
    <mergeCell ref="B3:B4"/>
    <mergeCell ref="C3:C4"/>
    <mergeCell ref="D3:D4"/>
    <mergeCell ref="E3:E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B166-D68B-41A5-81BA-00E77B52D180}">
  <dimension ref="A1:O12"/>
  <sheetViews>
    <sheetView zoomScale="120" zoomScaleNormal="120" workbookViewId="0">
      <pane xSplit="2" ySplit="4" topLeftCell="C6" activePane="bottomRight" state="frozen"/>
      <selection pane="topRight" activeCell="C1" sqref="C1"/>
      <selection pane="bottomLeft" activeCell="A3" sqref="A3"/>
      <selection pane="bottomRight" activeCell="I17" sqref="I17"/>
    </sheetView>
  </sheetViews>
  <sheetFormatPr defaultRowHeight="15" x14ac:dyDescent="0.25"/>
  <cols>
    <col min="1" max="1" width="7.28515625" style="1" customWidth="1"/>
    <col min="2" max="2" width="18.7109375" style="1" customWidth="1"/>
    <col min="3" max="3" width="12.7109375" style="1" customWidth="1"/>
    <col min="4" max="4" width="20" style="1" customWidth="1"/>
    <col min="5" max="5" width="40.7109375" style="1" customWidth="1"/>
    <col min="6" max="6" width="28.7109375" style="1" customWidth="1"/>
    <col min="7" max="7" width="21.28515625" style="1" customWidth="1"/>
    <col min="8" max="8" width="23.140625" style="1" customWidth="1"/>
    <col min="9" max="9" width="35.7109375" style="1" customWidth="1"/>
    <col min="10" max="10" width="15.7109375" style="1" customWidth="1"/>
    <col min="11" max="11" width="19.42578125" style="9" customWidth="1"/>
    <col min="12" max="12" width="34.85546875" style="1" customWidth="1"/>
    <col min="13" max="13" width="15.42578125" style="1" customWidth="1"/>
    <col min="14" max="14" width="9.42578125" customWidth="1"/>
    <col min="15" max="15" width="15" customWidth="1"/>
  </cols>
  <sheetData>
    <row r="1" spans="1:15" ht="27" thickBot="1" x14ac:dyDescent="0.3">
      <c r="A1" s="51" t="s">
        <v>1</v>
      </c>
      <c r="B1" s="51"/>
      <c r="C1" s="51"/>
      <c r="D1" s="51"/>
      <c r="E1" s="51"/>
      <c r="F1" s="41"/>
      <c r="G1" s="41"/>
      <c r="H1" s="41"/>
      <c r="I1" s="41"/>
      <c r="J1" s="41"/>
      <c r="K1" s="18"/>
      <c r="L1"/>
      <c r="M1"/>
    </row>
    <row r="2" spans="1:15" ht="27" thickBot="1" x14ac:dyDescent="0.3">
      <c r="A2" s="8">
        <v>1</v>
      </c>
      <c r="B2" s="7">
        <v>2</v>
      </c>
      <c r="C2" s="16"/>
      <c r="D2" s="16">
        <v>3</v>
      </c>
      <c r="E2" s="12">
        <v>4</v>
      </c>
      <c r="F2" s="12"/>
      <c r="G2" s="12"/>
      <c r="H2" s="12"/>
      <c r="I2" s="12"/>
      <c r="J2" s="12"/>
      <c r="K2" s="19">
        <v>5</v>
      </c>
      <c r="L2" s="12">
        <v>6</v>
      </c>
      <c r="M2" s="36"/>
    </row>
    <row r="3" spans="1:15" s="6" customFormat="1" ht="15" customHeight="1" x14ac:dyDescent="0.25">
      <c r="A3" s="52" t="s">
        <v>0</v>
      </c>
      <c r="B3" s="68" t="s">
        <v>4</v>
      </c>
      <c r="C3" s="68" t="s">
        <v>34</v>
      </c>
      <c r="D3" s="45" t="s">
        <v>14</v>
      </c>
      <c r="E3" s="68" t="s">
        <v>5</v>
      </c>
      <c r="F3" s="55" t="s">
        <v>30</v>
      </c>
      <c r="G3" s="55" t="s">
        <v>31</v>
      </c>
      <c r="H3" s="66" t="s">
        <v>29</v>
      </c>
      <c r="I3" s="55" t="s">
        <v>32</v>
      </c>
      <c r="J3" s="55" t="s">
        <v>33</v>
      </c>
      <c r="K3" s="61" t="s">
        <v>15</v>
      </c>
      <c r="L3" s="45" t="s">
        <v>15</v>
      </c>
      <c r="M3" s="65" t="s">
        <v>35</v>
      </c>
      <c r="N3" s="65" t="s">
        <v>36</v>
      </c>
      <c r="O3" s="65" t="s">
        <v>37</v>
      </c>
    </row>
    <row r="4" spans="1:15" s="6" customFormat="1" ht="41.25" customHeight="1" thickBot="1" x14ac:dyDescent="0.3">
      <c r="A4" s="70"/>
      <c r="B4" s="69"/>
      <c r="C4" s="69"/>
      <c r="D4" s="71"/>
      <c r="E4" s="69"/>
      <c r="F4" s="56"/>
      <c r="G4" s="56"/>
      <c r="H4" s="67"/>
      <c r="I4" s="56"/>
      <c r="J4" s="56"/>
      <c r="K4" s="62"/>
      <c r="L4" s="47"/>
      <c r="M4" s="65"/>
      <c r="N4" s="65"/>
      <c r="O4" s="65"/>
    </row>
    <row r="5" spans="1:15" ht="14.25" customHeight="1" thickTop="1" x14ac:dyDescent="0.25">
      <c r="A5" s="4">
        <v>1</v>
      </c>
      <c r="B5" s="2">
        <v>46207</v>
      </c>
      <c r="C5" s="40"/>
      <c r="D5" s="15" t="s">
        <v>3</v>
      </c>
      <c r="E5" s="13" t="s">
        <v>7</v>
      </c>
      <c r="F5" s="13"/>
      <c r="G5" s="13"/>
      <c r="H5" s="13"/>
      <c r="I5" s="13"/>
      <c r="J5" s="13"/>
      <c r="K5" s="20">
        <v>240000</v>
      </c>
      <c r="L5" s="42"/>
      <c r="M5" s="43"/>
      <c r="N5" s="44"/>
      <c r="O5" s="44"/>
    </row>
    <row r="6" spans="1:15" ht="14.25" customHeight="1" x14ac:dyDescent="0.25">
      <c r="A6" s="4">
        <v>2</v>
      </c>
      <c r="B6" s="2">
        <v>46208</v>
      </c>
      <c r="C6" s="40"/>
      <c r="D6" s="15" t="s">
        <v>3</v>
      </c>
      <c r="E6" s="13" t="s">
        <v>7</v>
      </c>
      <c r="F6" s="13"/>
      <c r="G6" s="13"/>
      <c r="H6" s="13"/>
      <c r="I6" s="13"/>
      <c r="J6" s="13"/>
      <c r="K6" s="20">
        <v>230000</v>
      </c>
      <c r="L6" s="42"/>
      <c r="M6" s="43"/>
      <c r="N6" s="44"/>
      <c r="O6" s="44"/>
    </row>
    <row r="7" spans="1:15" ht="14.25" customHeight="1" x14ac:dyDescent="0.25">
      <c r="A7" s="4">
        <v>3</v>
      </c>
      <c r="B7" s="2">
        <v>46210</v>
      </c>
      <c r="C7" s="40"/>
      <c r="D7" s="15" t="s">
        <v>3</v>
      </c>
      <c r="E7" s="13" t="s">
        <v>7</v>
      </c>
      <c r="F7" s="13"/>
      <c r="G7" s="13"/>
      <c r="H7" s="13"/>
      <c r="I7" s="13"/>
      <c r="J7" s="13"/>
      <c r="K7" s="20">
        <v>230000</v>
      </c>
      <c r="L7" s="42"/>
      <c r="M7" s="43"/>
      <c r="N7" s="44"/>
      <c r="O7" s="44"/>
    </row>
    <row r="8" spans="1:15" ht="14.25" customHeight="1" x14ac:dyDescent="0.25">
      <c r="A8" s="4">
        <v>4</v>
      </c>
      <c r="B8" s="2">
        <v>46210</v>
      </c>
      <c r="C8" s="40"/>
      <c r="D8" s="15" t="s">
        <v>2</v>
      </c>
      <c r="E8" s="13" t="s">
        <v>7</v>
      </c>
      <c r="F8" s="13"/>
      <c r="G8" s="13"/>
      <c r="H8" s="13"/>
      <c r="I8" s="13"/>
      <c r="J8" s="13"/>
      <c r="K8" s="25">
        <v>230000</v>
      </c>
      <c r="L8" s="42"/>
      <c r="M8" s="30"/>
      <c r="N8" s="44"/>
      <c r="O8" s="44"/>
    </row>
    <row r="9" spans="1:15" ht="14.25" customHeight="1" x14ac:dyDescent="0.25">
      <c r="A9" s="4">
        <v>5</v>
      </c>
      <c r="B9" s="2">
        <v>46214</v>
      </c>
      <c r="C9" s="40"/>
      <c r="D9" s="15" t="s">
        <v>3</v>
      </c>
      <c r="E9" s="13" t="s">
        <v>7</v>
      </c>
      <c r="F9" s="13"/>
      <c r="G9" s="13"/>
      <c r="H9" s="13"/>
      <c r="I9" s="13"/>
      <c r="J9" s="13"/>
      <c r="K9" s="20">
        <v>230000</v>
      </c>
      <c r="L9" s="42"/>
      <c r="M9" s="43"/>
      <c r="N9" s="44"/>
      <c r="O9" s="44"/>
    </row>
    <row r="10" spans="1:15" ht="14.25" customHeight="1" x14ac:dyDescent="0.25">
      <c r="A10" s="4">
        <v>6</v>
      </c>
      <c r="B10" s="2">
        <v>46215</v>
      </c>
      <c r="C10" s="40"/>
      <c r="D10" s="15" t="s">
        <v>3</v>
      </c>
      <c r="E10" s="13" t="s">
        <v>7</v>
      </c>
      <c r="F10" s="13"/>
      <c r="G10" s="13"/>
      <c r="H10" s="13"/>
      <c r="I10" s="13"/>
      <c r="J10" s="13"/>
      <c r="K10" s="20">
        <v>230000</v>
      </c>
      <c r="L10" s="42"/>
      <c r="M10" s="43"/>
      <c r="N10" s="44"/>
      <c r="O10" s="44"/>
    </row>
    <row r="11" spans="1:15" ht="14.25" customHeight="1" x14ac:dyDescent="0.25">
      <c r="A11" s="4">
        <v>7</v>
      </c>
      <c r="B11" s="2">
        <v>46217</v>
      </c>
      <c r="C11" s="40"/>
      <c r="D11" s="15" t="s">
        <v>3</v>
      </c>
      <c r="E11" s="13" t="s">
        <v>7</v>
      </c>
      <c r="F11" s="13"/>
      <c r="G11" s="13"/>
      <c r="H11" s="13"/>
      <c r="I11" s="13"/>
      <c r="J11" s="13"/>
      <c r="K11" s="20">
        <v>230000</v>
      </c>
      <c r="L11" s="42"/>
      <c r="M11" s="30"/>
      <c r="N11" s="44"/>
      <c r="O11" s="44"/>
    </row>
    <row r="12" spans="1:15" ht="14.25" customHeight="1" thickBot="1" x14ac:dyDescent="0.3">
      <c r="A12" s="4">
        <v>10</v>
      </c>
      <c r="B12" s="3">
        <v>46217</v>
      </c>
      <c r="C12" s="40"/>
      <c r="D12" s="17" t="s">
        <v>2</v>
      </c>
      <c r="E12" s="28" t="s">
        <v>7</v>
      </c>
      <c r="F12" s="13"/>
      <c r="G12" s="13"/>
      <c r="H12" s="13"/>
      <c r="I12" s="13"/>
      <c r="J12" s="13"/>
      <c r="K12" s="29">
        <v>230000</v>
      </c>
      <c r="L12" s="42"/>
      <c r="M12" s="43"/>
      <c r="N12" s="44"/>
      <c r="O12" s="44"/>
    </row>
  </sheetData>
  <autoFilter ref="A4:O12" xr:uid="{8F478859-2066-4E40-82B2-BBD359BC21BD}"/>
  <mergeCells count="16">
    <mergeCell ref="A1:E1"/>
    <mergeCell ref="A3:A4"/>
    <mergeCell ref="B3:B4"/>
    <mergeCell ref="C3:C4"/>
    <mergeCell ref="D3:D4"/>
    <mergeCell ref="E3:E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ГРАФИК</vt:lpstr>
      <vt:lpstr>ГРАФИК КРЫМ</vt:lpstr>
      <vt:lpstr>ГРАФИК МЕЛИТОПОЛЬ2</vt:lpstr>
      <vt:lpstr>ГРАФИК БЕРДЯНСК 3</vt:lpstr>
      <vt:lpstr>ГРАФИК ДОНЕЦК 2</vt:lpstr>
      <vt:lpstr>ГРАФИК ЛУГАНСК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Damnpers</dc:creator>
  <cp:lastModifiedBy>Uaer4</cp:lastModifiedBy>
  <dcterms:created xsi:type="dcterms:W3CDTF">2015-06-05T18:19:34Z</dcterms:created>
  <dcterms:modified xsi:type="dcterms:W3CDTF">2026-07-03T12:31:23Z</dcterms:modified>
</cp:coreProperties>
</file>