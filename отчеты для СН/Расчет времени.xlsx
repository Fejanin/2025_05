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отчеты для СН\"/>
    </mc:Choice>
  </mc:AlternateContent>
  <xr:revisionPtr revIDLastSave="0" documentId="13_ncr:1_{41132798-819C-41DA-AE89-BBA5664D644D}" xr6:coauthVersionLast="45" xr6:coauthVersionMax="47" xr10:uidLastSave="{00000000-0000-0000-0000-000000000000}"/>
  <bookViews>
    <workbookView xWindow="-120" yWindow="-120" windowWidth="29040" windowHeight="15840" xr2:uid="{2DB1739C-891E-48B0-A6F8-D78828AD9D7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" i="1" l="1"/>
  <c r="P5" i="1" l="1"/>
  <c r="P6" i="1"/>
  <c r="P7" i="1"/>
  <c r="P4" i="1"/>
  <c r="M7" i="1" l="1"/>
  <c r="L7" i="1"/>
  <c r="K7" i="1"/>
  <c r="K6" i="1"/>
  <c r="L6" i="1"/>
  <c r="M6" i="1"/>
  <c r="M4" i="1" l="1"/>
  <c r="L8" i="1" l="1"/>
  <c r="K8" i="1"/>
  <c r="L5" i="1"/>
  <c r="K5" i="1"/>
  <c r="L4" i="1"/>
  <c r="K4" i="1"/>
  <c r="M8" i="1"/>
  <c r="M5" i="1"/>
  <c r="L9" i="1" l="1"/>
  <c r="L10" i="1" s="1"/>
  <c r="K9" i="1"/>
  <c r="M9" i="1"/>
  <c r="M10" i="1" s="1"/>
  <c r="K11" i="1" l="1"/>
  <c r="K10" i="1"/>
  <c r="L11" i="1"/>
</calcChain>
</file>

<file path=xl/sharedStrings.xml><?xml version="1.0" encoding="utf-8"?>
<sst xmlns="http://schemas.openxmlformats.org/spreadsheetml/2006/main" count="28" uniqueCount="24">
  <si>
    <t>Перенос в бланк заказа</t>
  </si>
  <si>
    <t>Расчёты, минут</t>
  </si>
  <si>
    <t>Сбор первичных данных</t>
  </si>
  <si>
    <t>кол-во расчётов июнь</t>
  </si>
  <si>
    <t>кол-во заказов июнь</t>
  </si>
  <si>
    <t>макс</t>
  </si>
  <si>
    <t>мин</t>
  </si>
  <si>
    <t>Анализ заказа</t>
  </si>
  <si>
    <t>Останкино КИ</t>
  </si>
  <si>
    <t>Поком КИ</t>
  </si>
  <si>
    <t>Покм ЗПФ</t>
  </si>
  <si>
    <t>Время на расчёты, минут</t>
  </si>
  <si>
    <t>Время на заполнение бланков</t>
  </si>
  <si>
    <t>Всего, часов в месяц:</t>
  </si>
  <si>
    <t>Часов в месяц:</t>
  </si>
  <si>
    <t>Минут в месяц:</t>
  </si>
  <si>
    <t>Останкино СЫРЫ</t>
  </si>
  <si>
    <t>Останкино ЗПФ</t>
  </si>
  <si>
    <t>Останкино ЗПФ начали заказывать в середине июня. Кол-во указано, из расчета как если бы заказывали с начала месяца.</t>
  </si>
  <si>
    <t>Добавил Останкино сыры.</t>
  </si>
  <si>
    <t>тонн</t>
  </si>
  <si>
    <t>тонн в машине</t>
  </si>
  <si>
    <t>кол-во машин</t>
  </si>
  <si>
    <t>данные за пол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</si>
</sst>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??"/>
    <numFmt numFmtId="165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164" fontId="1" fillId="0" borderId="0" xfId="0" applyNumberFormat="1" applyFon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0" fillId="0" borderId="2" xfId="0" applyFill="1" applyBorder="1" applyAlignment="1">
      <alignment horizontal="centerContinuous" vertical="center" wrapText="1"/>
    </xf>
    <xf numFmtId="0" fontId="0" fillId="0" borderId="3" xfId="0" applyFill="1" applyBorder="1" applyAlignment="1">
      <alignment horizontal="centerContinuous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/>
    <xf numFmtId="165" fontId="0" fillId="0" borderId="0" xfId="0" applyNumberFormat="1" applyAlignment="1">
      <alignment vertical="top" wrapText="1"/>
    </xf>
    <xf numFmtId="0" fontId="0" fillId="2" borderId="0" xfId="0" applyFill="1" applyAlignment="1">
      <alignment vertical="top"/>
    </xf>
    <xf numFmtId="165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1501-0A79-427D-A06A-484C28DBFBA2}">
  <sheetPr>
    <pageSetUpPr fitToPage="1"/>
  </sheetPr>
  <dimension ref="A1:Q15"/>
  <sheetViews>
    <sheetView tabSelected="1" zoomScale="115" zoomScaleNormal="115" workbookViewId="0">
      <selection activeCell="Q12" sqref="Q12"/>
    </sheetView>
  </sheetViews>
  <sheetFormatPr defaultRowHeight="15" x14ac:dyDescent="0.25"/>
  <cols>
    <col min="1" max="1" width="3.28515625" customWidth="1"/>
    <col min="2" max="2" width="17.28515625" customWidth="1"/>
    <col min="3" max="3" width="11.7109375" customWidth="1"/>
    <col min="4" max="7" width="6.85546875" customWidth="1"/>
    <col min="8" max="10" width="9" customWidth="1"/>
    <col min="11" max="12" width="8.7109375" customWidth="1"/>
    <col min="13" max="13" width="12.28515625" customWidth="1"/>
    <col min="14" max="14" width="8.42578125" customWidth="1"/>
    <col min="15" max="15" width="8" customWidth="1"/>
    <col min="16" max="16" width="7.7109375" style="35" customWidth="1"/>
    <col min="17" max="17" width="24.140625" customWidth="1"/>
  </cols>
  <sheetData>
    <row r="1" spans="1:17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ht="28.15" customHeight="1" x14ac:dyDescent="0.25">
      <c r="B2" s="3"/>
      <c r="C2" s="32" t="s">
        <v>2</v>
      </c>
      <c r="D2" s="20" t="s">
        <v>1</v>
      </c>
      <c r="E2" s="21"/>
      <c r="F2" s="20" t="s">
        <v>7</v>
      </c>
      <c r="G2" s="21"/>
      <c r="H2" s="32" t="s">
        <v>0</v>
      </c>
      <c r="I2" s="32" t="s">
        <v>3</v>
      </c>
      <c r="J2" s="32" t="s">
        <v>4</v>
      </c>
      <c r="K2" s="20" t="s">
        <v>11</v>
      </c>
      <c r="L2" s="21"/>
      <c r="M2" s="32" t="s">
        <v>12</v>
      </c>
      <c r="N2" s="2"/>
      <c r="O2" s="1"/>
    </row>
    <row r="3" spans="1:17" ht="30" x14ac:dyDescent="0.25">
      <c r="B3" s="4"/>
      <c r="C3" s="33"/>
      <c r="D3" s="22" t="s">
        <v>6</v>
      </c>
      <c r="E3" s="23" t="s">
        <v>5</v>
      </c>
      <c r="F3" s="22" t="s">
        <v>6</v>
      </c>
      <c r="G3" s="23" t="s">
        <v>5</v>
      </c>
      <c r="H3" s="33"/>
      <c r="I3" s="33"/>
      <c r="J3" s="33"/>
      <c r="K3" s="22" t="s">
        <v>6</v>
      </c>
      <c r="L3" s="23" t="s">
        <v>5</v>
      </c>
      <c r="M3" s="33"/>
      <c r="N3" s="2" t="s">
        <v>20</v>
      </c>
      <c r="O3" s="34" t="s">
        <v>21</v>
      </c>
      <c r="P3" s="36" t="s">
        <v>22</v>
      </c>
    </row>
    <row r="4" spans="1:17" x14ac:dyDescent="0.25">
      <c r="A4" s="15">
        <v>1</v>
      </c>
      <c r="B4" s="5" t="s">
        <v>8</v>
      </c>
      <c r="C4" s="6">
        <v>10</v>
      </c>
      <c r="D4" s="7">
        <v>10</v>
      </c>
      <c r="E4" s="8">
        <v>20</v>
      </c>
      <c r="F4" s="7">
        <v>40</v>
      </c>
      <c r="G4" s="8">
        <v>60</v>
      </c>
      <c r="H4" s="6">
        <v>5</v>
      </c>
      <c r="I4" s="6">
        <v>20</v>
      </c>
      <c r="J4" s="6">
        <v>36</v>
      </c>
      <c r="K4" s="7">
        <f>($C4+D4+F4+$H4)*$I4</f>
        <v>1300</v>
      </c>
      <c r="L4" s="8">
        <f t="shared" ref="L4:L8" si="0">($C4+E4+G4+$H4)*$I4</f>
        <v>1900</v>
      </c>
      <c r="M4" s="6">
        <f>H4*J4</f>
        <v>180</v>
      </c>
      <c r="N4" s="1">
        <v>134.69999999999999</v>
      </c>
      <c r="O4" s="1">
        <v>17</v>
      </c>
      <c r="P4" s="35">
        <f>N4/O4</f>
        <v>7.9235294117647053</v>
      </c>
    </row>
    <row r="5" spans="1:17" x14ac:dyDescent="0.25">
      <c r="A5" s="15">
        <v>2</v>
      </c>
      <c r="B5" s="5" t="s">
        <v>9</v>
      </c>
      <c r="C5" s="6">
        <v>10</v>
      </c>
      <c r="D5" s="7">
        <v>10</v>
      </c>
      <c r="E5" s="8">
        <v>20</v>
      </c>
      <c r="F5" s="7">
        <v>40</v>
      </c>
      <c r="G5" s="8">
        <v>60</v>
      </c>
      <c r="H5" s="6">
        <v>5</v>
      </c>
      <c r="I5" s="6">
        <v>36</v>
      </c>
      <c r="J5" s="6">
        <v>32</v>
      </c>
      <c r="K5" s="7">
        <f t="shared" ref="K5:K8" si="1">($C5+D5+F5+$H5)*$I5</f>
        <v>2340</v>
      </c>
      <c r="L5" s="8">
        <f t="shared" si="0"/>
        <v>3420</v>
      </c>
      <c r="M5" s="6">
        <f t="shared" ref="M5:M8" si="2">H5*J5</f>
        <v>160</v>
      </c>
      <c r="N5" s="1">
        <v>642.20000000000005</v>
      </c>
      <c r="O5" s="1">
        <v>18</v>
      </c>
      <c r="P5" s="35">
        <f t="shared" ref="P5:P8" si="3">N5/O5</f>
        <v>35.677777777777777</v>
      </c>
    </row>
    <row r="6" spans="1:17" x14ac:dyDescent="0.25">
      <c r="A6" s="15">
        <v>3</v>
      </c>
      <c r="B6" s="5" t="s">
        <v>10</v>
      </c>
      <c r="C6" s="24">
        <v>10</v>
      </c>
      <c r="D6" s="25">
        <v>10</v>
      </c>
      <c r="E6" s="26">
        <v>20</v>
      </c>
      <c r="F6" s="25">
        <v>40</v>
      </c>
      <c r="G6" s="26">
        <v>60</v>
      </c>
      <c r="H6" s="24">
        <v>5</v>
      </c>
      <c r="I6" s="24">
        <v>16</v>
      </c>
      <c r="J6" s="24">
        <v>16</v>
      </c>
      <c r="K6" s="7">
        <f t="shared" ref="K6" si="4">($C6+D6+F6+$H6)*$I6</f>
        <v>1040</v>
      </c>
      <c r="L6" s="8">
        <f t="shared" ref="L6" si="5">($C6+E6+G6+$H6)*$I6</f>
        <v>1520</v>
      </c>
      <c r="M6" s="6">
        <f t="shared" ref="M6" si="6">H6*J6</f>
        <v>80</v>
      </c>
      <c r="N6" s="1">
        <v>131.6</v>
      </c>
      <c r="O6" s="1">
        <v>11</v>
      </c>
      <c r="P6" s="35">
        <f t="shared" si="3"/>
        <v>11.963636363636363</v>
      </c>
    </row>
    <row r="7" spans="1:17" x14ac:dyDescent="0.25">
      <c r="A7" s="15">
        <v>4</v>
      </c>
      <c r="B7" s="29" t="s">
        <v>16</v>
      </c>
      <c r="C7" s="24">
        <v>10</v>
      </c>
      <c r="D7" s="25">
        <v>10</v>
      </c>
      <c r="E7" s="26">
        <v>20</v>
      </c>
      <c r="F7" s="25">
        <v>20</v>
      </c>
      <c r="G7" s="26">
        <v>30</v>
      </c>
      <c r="H7" s="24">
        <v>5</v>
      </c>
      <c r="I7" s="24">
        <v>20</v>
      </c>
      <c r="J7" s="24">
        <v>16</v>
      </c>
      <c r="K7" s="7">
        <f t="shared" ref="K7" si="7">($C7+D7+F7+$H7)*$I7</f>
        <v>900</v>
      </c>
      <c r="L7" s="8">
        <f t="shared" ref="L7" si="8">($C7+E7+G7+$H7)*$I7</f>
        <v>1300</v>
      </c>
      <c r="M7" s="6">
        <f t="shared" ref="M7" si="9">H7*J7</f>
        <v>80</v>
      </c>
      <c r="N7" s="1">
        <v>17.399999999999999</v>
      </c>
      <c r="O7" s="1">
        <v>16</v>
      </c>
      <c r="P7" s="35">
        <f t="shared" si="3"/>
        <v>1.0874999999999999</v>
      </c>
    </row>
    <row r="8" spans="1:17" ht="15.75" thickBot="1" x14ac:dyDescent="0.3">
      <c r="A8" s="15">
        <v>5</v>
      </c>
      <c r="B8" s="28" t="s">
        <v>17</v>
      </c>
      <c r="C8" s="9">
        <v>10</v>
      </c>
      <c r="D8" s="10">
        <v>10</v>
      </c>
      <c r="E8" s="11">
        <v>20</v>
      </c>
      <c r="F8" s="10">
        <v>5</v>
      </c>
      <c r="G8" s="11">
        <v>10</v>
      </c>
      <c r="H8" s="9">
        <v>5</v>
      </c>
      <c r="I8" s="27">
        <v>20</v>
      </c>
      <c r="J8" s="27">
        <v>16</v>
      </c>
      <c r="K8" s="10">
        <f t="shared" si="1"/>
        <v>600</v>
      </c>
      <c r="L8" s="11">
        <f t="shared" si="0"/>
        <v>900</v>
      </c>
      <c r="M8" s="9">
        <f t="shared" si="2"/>
        <v>80</v>
      </c>
      <c r="N8" s="37">
        <v>3.3</v>
      </c>
      <c r="O8" s="37">
        <v>11</v>
      </c>
      <c r="P8" s="38">
        <f t="shared" si="3"/>
        <v>0.3</v>
      </c>
      <c r="Q8" s="39" t="s">
        <v>23</v>
      </c>
    </row>
    <row r="9" spans="1:17" x14ac:dyDescent="0.25">
      <c r="B9" s="13"/>
      <c r="C9" s="14"/>
      <c r="D9" s="14"/>
      <c r="E9" s="14"/>
      <c r="F9" s="14"/>
      <c r="G9" s="14"/>
      <c r="H9" s="14"/>
      <c r="I9" s="14"/>
      <c r="J9" s="16" t="s">
        <v>15</v>
      </c>
      <c r="K9" s="14">
        <f>SUM(K4:K8)</f>
        <v>6180</v>
      </c>
      <c r="L9" s="14">
        <f>SUM(L4:L8)</f>
        <v>9040</v>
      </c>
      <c r="M9" s="14">
        <f>SUM(M4:M8)</f>
        <v>580</v>
      </c>
      <c r="N9" s="1"/>
      <c r="O9" s="1"/>
    </row>
    <row r="10" spans="1:17" x14ac:dyDescent="0.25">
      <c r="B10" s="13"/>
      <c r="C10" s="14"/>
      <c r="D10" s="14"/>
      <c r="E10" s="14"/>
      <c r="F10" s="14"/>
      <c r="G10" s="14"/>
      <c r="H10" s="14"/>
      <c r="I10" s="14"/>
      <c r="J10" s="16" t="s">
        <v>14</v>
      </c>
      <c r="K10" s="18">
        <f>K9/60</f>
        <v>103</v>
      </c>
      <c r="L10" s="18">
        <f t="shared" ref="L10:M10" si="10">L9/60</f>
        <v>150.66666666666666</v>
      </c>
      <c r="M10" s="18">
        <f t="shared" si="10"/>
        <v>9.6666666666666661</v>
      </c>
      <c r="N10" s="1"/>
      <c r="O10" s="1"/>
    </row>
    <row r="11" spans="1:17" ht="15.75" x14ac:dyDescent="0.25">
      <c r="B11" s="13"/>
      <c r="C11" s="14"/>
      <c r="D11" s="14"/>
      <c r="E11" s="14"/>
      <c r="F11" s="14"/>
      <c r="G11" s="14"/>
      <c r="H11" s="14"/>
      <c r="I11" s="14"/>
      <c r="J11" s="19" t="s">
        <v>13</v>
      </c>
      <c r="K11" s="17">
        <f>(K9+$M$9)/60</f>
        <v>112.66666666666667</v>
      </c>
      <c r="L11" s="17">
        <f>(L9+$M$9)/60</f>
        <v>160.33333333333334</v>
      </c>
      <c r="M11" s="14"/>
      <c r="N11" s="1"/>
      <c r="O11" s="1"/>
    </row>
    <row r="12" spans="1:17" x14ac:dyDescent="0.25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"/>
      <c r="O12" s="1"/>
    </row>
    <row r="13" spans="1:17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"/>
      <c r="O13" s="1"/>
    </row>
    <row r="14" spans="1:17" x14ac:dyDescent="0.25">
      <c r="B14" s="30" t="s">
        <v>18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7" x14ac:dyDescent="0.25">
      <c r="B15" s="31" t="s">
        <v>19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</sheetData>
  <mergeCells count="7">
    <mergeCell ref="B14:M14"/>
    <mergeCell ref="B15:M15"/>
    <mergeCell ref="C2:C3"/>
    <mergeCell ref="I2:I3"/>
    <mergeCell ref="J2:J3"/>
    <mergeCell ref="M2:M3"/>
    <mergeCell ref="H2:H3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2026-07-06T10:15:07Z</cp:lastPrinted>
  <dcterms:created xsi:type="dcterms:W3CDTF">2026-07-06T09:13:00Z</dcterms:created>
  <dcterms:modified xsi:type="dcterms:W3CDTF">2026-07-07T06:53:42Z</dcterms:modified>
</cp:coreProperties>
</file>