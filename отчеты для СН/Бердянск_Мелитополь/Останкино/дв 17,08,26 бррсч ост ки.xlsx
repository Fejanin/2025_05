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Бердянск_Мелитополь\Останкино\"/>
    </mc:Choice>
  </mc:AlternateContent>
  <xr:revisionPtr revIDLastSave="0" documentId="13_ncr:1_{A7159650-2CEA-4215-B925-BCCAF0187D24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" sheetId="1" r:id="rId1"/>
    <sheet name="потенциальный просрок" sheetId="2" r:id="rId2"/>
  </sheets>
  <definedNames>
    <definedName name="_xlnm._FilterDatabase" localSheetId="0" hidden="1">Sheet!$A$3:$AH$113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2" i="1" l="1"/>
  <c r="AH12" i="1" s="1"/>
  <c r="S13" i="1"/>
  <c r="AH13" i="1" s="1"/>
  <c r="S16" i="1"/>
  <c r="AH16" i="1" s="1"/>
  <c r="S20" i="1"/>
  <c r="AH20" i="1" s="1"/>
  <c r="S21" i="1"/>
  <c r="AH21" i="1" s="1"/>
  <c r="S24" i="1"/>
  <c r="AH24" i="1" s="1"/>
  <c r="S25" i="1"/>
  <c r="AH25" i="1" s="1"/>
  <c r="S26" i="1"/>
  <c r="AH26" i="1" s="1"/>
  <c r="S29" i="1"/>
  <c r="AH29" i="1" s="1"/>
  <c r="S35" i="1"/>
  <c r="AH35" i="1" s="1"/>
  <c r="S37" i="1"/>
  <c r="AH37" i="1" s="1"/>
  <c r="S38" i="1"/>
  <c r="AH38" i="1" s="1"/>
  <c r="S39" i="1"/>
  <c r="AH39" i="1" s="1"/>
  <c r="S40" i="1"/>
  <c r="AH40" i="1" s="1"/>
  <c r="S41" i="1"/>
  <c r="AH41" i="1" s="1"/>
  <c r="S43" i="1"/>
  <c r="AH43" i="1" s="1"/>
  <c r="S49" i="1"/>
  <c r="AH49" i="1" s="1"/>
  <c r="S53" i="1"/>
  <c r="AH53" i="1" s="1"/>
  <c r="S54" i="1"/>
  <c r="AH54" i="1" s="1"/>
  <c r="S55" i="1"/>
  <c r="AH55" i="1" s="1"/>
  <c r="S58" i="1"/>
  <c r="AH58" i="1" s="1"/>
  <c r="S60" i="1"/>
  <c r="AH60" i="1" s="1"/>
  <c r="S61" i="1"/>
  <c r="AH61" i="1" s="1"/>
  <c r="S63" i="1"/>
  <c r="AH63" i="1" s="1"/>
  <c r="S64" i="1"/>
  <c r="AH64" i="1" s="1"/>
  <c r="S74" i="1"/>
  <c r="AH74" i="1" s="1"/>
  <c r="S77" i="1"/>
  <c r="AH77" i="1" s="1"/>
  <c r="S79" i="1"/>
  <c r="AH79" i="1" s="1"/>
  <c r="S83" i="1"/>
  <c r="AH83" i="1" s="1"/>
  <c r="S88" i="1"/>
  <c r="AH88" i="1" s="1"/>
  <c r="S91" i="1"/>
  <c r="AH91" i="1" s="1"/>
  <c r="S93" i="1"/>
  <c r="AH93" i="1" s="1"/>
  <c r="S94" i="1"/>
  <c r="AH94" i="1" s="1"/>
  <c r="S96" i="1"/>
  <c r="AH96" i="1" s="1"/>
  <c r="S98" i="1"/>
  <c r="AH98" i="1" s="1"/>
  <c r="S99" i="1"/>
  <c r="AH99" i="1" s="1"/>
  <c r="S100" i="1"/>
  <c r="AH100" i="1" s="1"/>
  <c r="S102" i="1"/>
  <c r="AH102" i="1" s="1"/>
  <c r="S103" i="1"/>
  <c r="AH103" i="1" s="1"/>
  <c r="S104" i="1"/>
  <c r="AH104" i="1" s="1"/>
  <c r="S105" i="1"/>
  <c r="AH105" i="1" s="1"/>
  <c r="S107" i="1"/>
  <c r="AH107" i="1" s="1"/>
  <c r="S108" i="1"/>
  <c r="AH108" i="1" s="1"/>
  <c r="S109" i="1"/>
  <c r="AH109" i="1" s="1"/>
  <c r="S110" i="1"/>
  <c r="AH110" i="1" s="1"/>
  <c r="S112" i="1"/>
  <c r="AH112" i="1" s="1"/>
  <c r="S113" i="1"/>
  <c r="AH113" i="1" s="1"/>
  <c r="S6" i="1"/>
  <c r="AH6" i="1" s="1"/>
  <c r="S7" i="1"/>
  <c r="AH7" i="1" s="1"/>
  <c r="R48" i="1" l="1"/>
  <c r="S48" i="1" s="1"/>
  <c r="AH48" i="1" s="1"/>
  <c r="R69" i="1" l="1"/>
  <c r="S69" i="1" s="1"/>
  <c r="AH69" i="1" s="1"/>
  <c r="Q113" i="1"/>
  <c r="V113" i="1" s="1"/>
  <c r="L113" i="1"/>
  <c r="Q112" i="1"/>
  <c r="V112" i="1" s="1"/>
  <c r="L112" i="1"/>
  <c r="Q111" i="1"/>
  <c r="V111" i="1" s="1"/>
  <c r="L111" i="1"/>
  <c r="Q110" i="1"/>
  <c r="L110" i="1"/>
  <c r="F110" i="1"/>
  <c r="F109" i="1"/>
  <c r="E109" i="1"/>
  <c r="E5" i="1" s="1"/>
  <c r="Q108" i="1"/>
  <c r="V108" i="1" s="1"/>
  <c r="L108" i="1"/>
  <c r="Q107" i="1"/>
  <c r="V107" i="1" s="1"/>
  <c r="L107" i="1"/>
  <c r="Q106" i="1"/>
  <c r="R106" i="1" s="1"/>
  <c r="S106" i="1" s="1"/>
  <c r="AH106" i="1" s="1"/>
  <c r="L106" i="1"/>
  <c r="Q105" i="1"/>
  <c r="V105" i="1" s="1"/>
  <c r="L105" i="1"/>
  <c r="Q104" i="1"/>
  <c r="L104" i="1"/>
  <c r="Q103" i="1"/>
  <c r="V103" i="1" s="1"/>
  <c r="L103" i="1"/>
  <c r="Q102" i="1"/>
  <c r="V102" i="1" s="1"/>
  <c r="L102" i="1"/>
  <c r="Q101" i="1"/>
  <c r="L101" i="1"/>
  <c r="Q100" i="1"/>
  <c r="L100" i="1"/>
  <c r="Q99" i="1"/>
  <c r="V99" i="1" s="1"/>
  <c r="L99" i="1"/>
  <c r="Q98" i="1"/>
  <c r="V98" i="1" s="1"/>
  <c r="L98" i="1"/>
  <c r="Q97" i="1"/>
  <c r="R97" i="1" s="1"/>
  <c r="S97" i="1" s="1"/>
  <c r="AH97" i="1" s="1"/>
  <c r="L97" i="1"/>
  <c r="Q96" i="1"/>
  <c r="V96" i="1" s="1"/>
  <c r="L96" i="1"/>
  <c r="Q95" i="1"/>
  <c r="V95" i="1" s="1"/>
  <c r="L95" i="1"/>
  <c r="Q94" i="1"/>
  <c r="U94" i="1" s="1"/>
  <c r="L94" i="1"/>
  <c r="Q93" i="1"/>
  <c r="V93" i="1" s="1"/>
  <c r="L93" i="1"/>
  <c r="Q92" i="1"/>
  <c r="R92" i="1" s="1"/>
  <c r="S92" i="1" s="1"/>
  <c r="AH92" i="1" s="1"/>
  <c r="L92" i="1"/>
  <c r="Q91" i="1"/>
  <c r="L91" i="1"/>
  <c r="Q90" i="1"/>
  <c r="V90" i="1" s="1"/>
  <c r="L90" i="1"/>
  <c r="Q89" i="1"/>
  <c r="V89" i="1" s="1"/>
  <c r="L89" i="1"/>
  <c r="Q88" i="1"/>
  <c r="U88" i="1" s="1"/>
  <c r="L88" i="1"/>
  <c r="Q87" i="1"/>
  <c r="R87" i="1" s="1"/>
  <c r="S87" i="1" s="1"/>
  <c r="AH87" i="1" s="1"/>
  <c r="L87" i="1"/>
  <c r="Q86" i="1"/>
  <c r="R86" i="1" s="1"/>
  <c r="S86" i="1" s="1"/>
  <c r="AH86" i="1" s="1"/>
  <c r="L86" i="1"/>
  <c r="Q85" i="1"/>
  <c r="L85" i="1"/>
  <c r="Q84" i="1"/>
  <c r="V84" i="1" s="1"/>
  <c r="L84" i="1"/>
  <c r="Q83" i="1"/>
  <c r="U83" i="1" s="1"/>
  <c r="L83" i="1"/>
  <c r="Q82" i="1"/>
  <c r="R82" i="1" s="1"/>
  <c r="S82" i="1" s="1"/>
  <c r="AH82" i="1" s="1"/>
  <c r="L82" i="1"/>
  <c r="Q81" i="1"/>
  <c r="V81" i="1" s="1"/>
  <c r="L81" i="1"/>
  <c r="Q80" i="1"/>
  <c r="V80" i="1" s="1"/>
  <c r="L80" i="1"/>
  <c r="Q79" i="1"/>
  <c r="V79" i="1" s="1"/>
  <c r="L79" i="1"/>
  <c r="Q78" i="1"/>
  <c r="L78" i="1"/>
  <c r="F78" i="1"/>
  <c r="Q77" i="1"/>
  <c r="U77" i="1" s="1"/>
  <c r="L77" i="1"/>
  <c r="Q76" i="1"/>
  <c r="V76" i="1" s="1"/>
  <c r="L76" i="1"/>
  <c r="Q75" i="1"/>
  <c r="V75" i="1" s="1"/>
  <c r="L75" i="1"/>
  <c r="Q74" i="1"/>
  <c r="V74" i="1" s="1"/>
  <c r="L74" i="1"/>
  <c r="Q73" i="1"/>
  <c r="V73" i="1" s="1"/>
  <c r="L73" i="1"/>
  <c r="Q72" i="1"/>
  <c r="L72" i="1"/>
  <c r="Q71" i="1"/>
  <c r="R71" i="1" s="1"/>
  <c r="L71" i="1"/>
  <c r="Q70" i="1"/>
  <c r="V70" i="1" s="1"/>
  <c r="L70" i="1"/>
  <c r="V69" i="1"/>
  <c r="L69" i="1"/>
  <c r="Q68" i="1"/>
  <c r="V68" i="1" s="1"/>
  <c r="L68" i="1"/>
  <c r="Q67" i="1"/>
  <c r="L67" i="1"/>
  <c r="Q66" i="1"/>
  <c r="L66" i="1"/>
  <c r="Q65" i="1"/>
  <c r="R65" i="1" s="1"/>
  <c r="S65" i="1" s="1"/>
  <c r="AH65" i="1" s="1"/>
  <c r="L65" i="1"/>
  <c r="Q64" i="1"/>
  <c r="V64" i="1" s="1"/>
  <c r="L64" i="1"/>
  <c r="Q63" i="1"/>
  <c r="V63" i="1" s="1"/>
  <c r="L63" i="1"/>
  <c r="Q62" i="1"/>
  <c r="V62" i="1" s="1"/>
  <c r="L62" i="1"/>
  <c r="Q61" i="1"/>
  <c r="V61" i="1" s="1"/>
  <c r="L61" i="1"/>
  <c r="Q60" i="1"/>
  <c r="V60" i="1" s="1"/>
  <c r="L60" i="1"/>
  <c r="Q59" i="1"/>
  <c r="R59" i="1" s="1"/>
  <c r="S59" i="1" s="1"/>
  <c r="AH59" i="1" s="1"/>
  <c r="L59" i="1"/>
  <c r="Q58" i="1"/>
  <c r="L58" i="1"/>
  <c r="Q57" i="1"/>
  <c r="V57" i="1" s="1"/>
  <c r="L57" i="1"/>
  <c r="Q56" i="1"/>
  <c r="V56" i="1" s="1"/>
  <c r="L56" i="1"/>
  <c r="Q55" i="1"/>
  <c r="V55" i="1" s="1"/>
  <c r="L55" i="1"/>
  <c r="Q54" i="1"/>
  <c r="V54" i="1" s="1"/>
  <c r="L54" i="1"/>
  <c r="Q53" i="1"/>
  <c r="V53" i="1" s="1"/>
  <c r="L53" i="1"/>
  <c r="Q52" i="1"/>
  <c r="V52" i="1" s="1"/>
  <c r="L52" i="1"/>
  <c r="Q51" i="1"/>
  <c r="V51" i="1" s="1"/>
  <c r="L51" i="1"/>
  <c r="Q50" i="1"/>
  <c r="R50" i="1" s="1"/>
  <c r="S50" i="1" s="1"/>
  <c r="AH50" i="1" s="1"/>
  <c r="L50" i="1"/>
  <c r="Q49" i="1"/>
  <c r="L49" i="1"/>
  <c r="Q48" i="1"/>
  <c r="V48" i="1" s="1"/>
  <c r="L48" i="1"/>
  <c r="Q47" i="1"/>
  <c r="L47" i="1"/>
  <c r="Q46" i="1"/>
  <c r="V46" i="1" s="1"/>
  <c r="L46" i="1"/>
  <c r="Q45" i="1"/>
  <c r="V45" i="1" s="1"/>
  <c r="L45" i="1"/>
  <c r="Q44" i="1"/>
  <c r="V44" i="1" s="1"/>
  <c r="L44" i="1"/>
  <c r="Q43" i="1"/>
  <c r="V43" i="1" s="1"/>
  <c r="L43" i="1"/>
  <c r="Q42" i="1"/>
  <c r="V42" i="1" s="1"/>
  <c r="L42" i="1"/>
  <c r="Q41" i="1"/>
  <c r="V41" i="1" s="1"/>
  <c r="L41" i="1"/>
  <c r="Q40" i="1"/>
  <c r="V40" i="1" s="1"/>
  <c r="L40" i="1"/>
  <c r="Q39" i="1"/>
  <c r="U39" i="1" s="1"/>
  <c r="L39" i="1"/>
  <c r="Q38" i="1"/>
  <c r="V38" i="1" s="1"/>
  <c r="L38" i="1"/>
  <c r="Q37" i="1"/>
  <c r="L37" i="1"/>
  <c r="Q36" i="1"/>
  <c r="R36" i="1" s="1"/>
  <c r="S36" i="1" s="1"/>
  <c r="AH36" i="1" s="1"/>
  <c r="L36" i="1"/>
  <c r="Q35" i="1"/>
  <c r="V35" i="1" s="1"/>
  <c r="L35" i="1"/>
  <c r="Q34" i="1"/>
  <c r="V34" i="1" s="1"/>
  <c r="L34" i="1"/>
  <c r="Q33" i="1"/>
  <c r="V33" i="1" s="1"/>
  <c r="L33" i="1"/>
  <c r="Q32" i="1"/>
  <c r="R32" i="1" s="1"/>
  <c r="S32" i="1" s="1"/>
  <c r="AH32" i="1" s="1"/>
  <c r="L32" i="1"/>
  <c r="Q31" i="1"/>
  <c r="R31" i="1" s="1"/>
  <c r="S31" i="1" s="1"/>
  <c r="AH31" i="1" s="1"/>
  <c r="L31" i="1"/>
  <c r="Q30" i="1"/>
  <c r="L30" i="1"/>
  <c r="Q29" i="1"/>
  <c r="V29" i="1" s="1"/>
  <c r="L29" i="1"/>
  <c r="Q28" i="1"/>
  <c r="V28" i="1" s="1"/>
  <c r="L28" i="1"/>
  <c r="Q27" i="1"/>
  <c r="R27" i="1" s="1"/>
  <c r="L27" i="1"/>
  <c r="Q26" i="1"/>
  <c r="V26" i="1" s="1"/>
  <c r="L26" i="1"/>
  <c r="Q25" i="1"/>
  <c r="V25" i="1" s="1"/>
  <c r="L25" i="1"/>
  <c r="Q24" i="1"/>
  <c r="V24" i="1" s="1"/>
  <c r="L24" i="1"/>
  <c r="Q23" i="1"/>
  <c r="V23" i="1" s="1"/>
  <c r="L23" i="1"/>
  <c r="Q22" i="1"/>
  <c r="R22" i="1" s="1"/>
  <c r="S22" i="1" s="1"/>
  <c r="AH22" i="1" s="1"/>
  <c r="L22" i="1"/>
  <c r="Q21" i="1"/>
  <c r="V21" i="1" s="1"/>
  <c r="L21" i="1"/>
  <c r="Q20" i="1"/>
  <c r="V20" i="1" s="1"/>
  <c r="L20" i="1"/>
  <c r="Q19" i="1"/>
  <c r="R19" i="1" s="1"/>
  <c r="S19" i="1" s="1"/>
  <c r="AH19" i="1" s="1"/>
  <c r="L19" i="1"/>
  <c r="Q18" i="1"/>
  <c r="R18" i="1" s="1"/>
  <c r="S18" i="1" s="1"/>
  <c r="AH18" i="1" s="1"/>
  <c r="L18" i="1"/>
  <c r="Q17" i="1"/>
  <c r="R17" i="1" s="1"/>
  <c r="S17" i="1" s="1"/>
  <c r="AH17" i="1" s="1"/>
  <c r="L17" i="1"/>
  <c r="Q16" i="1"/>
  <c r="V16" i="1" s="1"/>
  <c r="L16" i="1"/>
  <c r="Q15" i="1"/>
  <c r="V15" i="1" s="1"/>
  <c r="L15" i="1"/>
  <c r="Q14" i="1"/>
  <c r="R14" i="1" s="1"/>
  <c r="S14" i="1" s="1"/>
  <c r="AH14" i="1" s="1"/>
  <c r="L14" i="1"/>
  <c r="Q13" i="1"/>
  <c r="V13" i="1" s="1"/>
  <c r="L13" i="1"/>
  <c r="Q12" i="1"/>
  <c r="V12" i="1" s="1"/>
  <c r="L12" i="1"/>
  <c r="Q11" i="1"/>
  <c r="V11" i="1" s="1"/>
  <c r="L11" i="1"/>
  <c r="Q10" i="1"/>
  <c r="R10" i="1" s="1"/>
  <c r="S10" i="1" s="1"/>
  <c r="AH10" i="1" s="1"/>
  <c r="L10" i="1"/>
  <c r="Q9" i="1"/>
  <c r="V9" i="1" s="1"/>
  <c r="L9" i="1"/>
  <c r="Q8" i="1"/>
  <c r="V8" i="1" s="1"/>
  <c r="L8" i="1"/>
  <c r="Q7" i="1"/>
  <c r="V7" i="1" s="1"/>
  <c r="L7" i="1"/>
  <c r="Q6" i="1"/>
  <c r="V6" i="1" s="1"/>
  <c r="L6" i="1"/>
  <c r="AF5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V47" i="1" l="1"/>
  <c r="R47" i="1"/>
  <c r="S47" i="1" s="1"/>
  <c r="AH47" i="1" s="1"/>
  <c r="V66" i="1"/>
  <c r="R66" i="1"/>
  <c r="S66" i="1" s="1"/>
  <c r="AH66" i="1" s="1"/>
  <c r="V67" i="1"/>
  <c r="R67" i="1"/>
  <c r="S67" i="1" s="1"/>
  <c r="AH67" i="1" s="1"/>
  <c r="V30" i="1"/>
  <c r="R30" i="1"/>
  <c r="V72" i="1"/>
  <c r="R72" i="1"/>
  <c r="S72" i="1" s="1"/>
  <c r="AH72" i="1" s="1"/>
  <c r="R78" i="1"/>
  <c r="S78" i="1" s="1"/>
  <c r="AH78" i="1" s="1"/>
  <c r="R90" i="1"/>
  <c r="S90" i="1" s="1"/>
  <c r="AH90" i="1" s="1"/>
  <c r="R73" i="1"/>
  <c r="S73" i="1" s="1"/>
  <c r="AH73" i="1" s="1"/>
  <c r="R111" i="1"/>
  <c r="S111" i="1" s="1"/>
  <c r="AH111" i="1" s="1"/>
  <c r="R51" i="1"/>
  <c r="S51" i="1" s="1"/>
  <c r="AH51" i="1" s="1"/>
  <c r="R52" i="1"/>
  <c r="S52" i="1" s="1"/>
  <c r="AH52" i="1" s="1"/>
  <c r="R89" i="1"/>
  <c r="S89" i="1" s="1"/>
  <c r="AH89" i="1" s="1"/>
  <c r="R28" i="1"/>
  <c r="S28" i="1" s="1"/>
  <c r="AH28" i="1" s="1"/>
  <c r="R68" i="1"/>
  <c r="S68" i="1" s="1"/>
  <c r="AH68" i="1" s="1"/>
  <c r="R80" i="1"/>
  <c r="S80" i="1" s="1"/>
  <c r="AH80" i="1" s="1"/>
  <c r="R23" i="1"/>
  <c r="S23" i="1" s="1"/>
  <c r="AH23" i="1" s="1"/>
  <c r="R70" i="1"/>
  <c r="S70" i="1" s="1"/>
  <c r="AH70" i="1" s="1"/>
  <c r="R75" i="1"/>
  <c r="S75" i="1" s="1"/>
  <c r="AH75" i="1" s="1"/>
  <c r="R33" i="1"/>
  <c r="S33" i="1" s="1"/>
  <c r="AH33" i="1" s="1"/>
  <c r="R34" i="1"/>
  <c r="S34" i="1" s="1"/>
  <c r="AH34" i="1" s="1"/>
  <c r="R81" i="1"/>
  <c r="S81" i="1" s="1"/>
  <c r="AH81" i="1" s="1"/>
  <c r="R42" i="1"/>
  <c r="S42" i="1" s="1"/>
  <c r="AH42" i="1" s="1"/>
  <c r="R44" i="1"/>
  <c r="S44" i="1" s="1"/>
  <c r="AH44" i="1" s="1"/>
  <c r="R84" i="1"/>
  <c r="S84" i="1" s="1"/>
  <c r="AH84" i="1" s="1"/>
  <c r="R45" i="1"/>
  <c r="S45" i="1" s="1"/>
  <c r="AH45" i="1" s="1"/>
  <c r="R85" i="1"/>
  <c r="S85" i="1" s="1"/>
  <c r="AH85" i="1" s="1"/>
  <c r="R8" i="1"/>
  <c r="R46" i="1"/>
  <c r="S46" i="1" s="1"/>
  <c r="AH46" i="1" s="1"/>
  <c r="R9" i="1"/>
  <c r="S9" i="1" s="1"/>
  <c r="AH9" i="1" s="1"/>
  <c r="R11" i="1"/>
  <c r="S11" i="1" s="1"/>
  <c r="AH11" i="1" s="1"/>
  <c r="R56" i="1"/>
  <c r="S56" i="1" s="1"/>
  <c r="AH56" i="1" s="1"/>
  <c r="R15" i="1"/>
  <c r="S15" i="1" s="1"/>
  <c r="AH15" i="1" s="1"/>
  <c r="R57" i="1"/>
  <c r="S57" i="1" s="1"/>
  <c r="AH57" i="1" s="1"/>
  <c r="R95" i="1"/>
  <c r="S95" i="1" s="1"/>
  <c r="AH95" i="1" s="1"/>
  <c r="R62" i="1"/>
  <c r="S62" i="1" s="1"/>
  <c r="AH62" i="1" s="1"/>
  <c r="R101" i="1"/>
  <c r="S101" i="1" s="1"/>
  <c r="AH101" i="1" s="1"/>
  <c r="R76" i="1"/>
  <c r="S76" i="1" s="1"/>
  <c r="AH76" i="1" s="1"/>
  <c r="S71" i="1"/>
  <c r="AH71" i="1" s="1"/>
  <c r="S27" i="1"/>
  <c r="AH27" i="1" s="1"/>
  <c r="S30" i="1"/>
  <c r="AH30" i="1" s="1"/>
  <c r="V71" i="1"/>
  <c r="V17" i="1"/>
  <c r="V85" i="1"/>
  <c r="U86" i="1"/>
  <c r="V86" i="1"/>
  <c r="U96" i="1"/>
  <c r="V78" i="1"/>
  <c r="U55" i="1"/>
  <c r="V110" i="1"/>
  <c r="U107" i="1"/>
  <c r="U54" i="1"/>
  <c r="U17" i="1"/>
  <c r="U108" i="1"/>
  <c r="V39" i="1"/>
  <c r="U14" i="1"/>
  <c r="U97" i="1"/>
  <c r="U91" i="1"/>
  <c r="V91" i="1"/>
  <c r="U37" i="1"/>
  <c r="U22" i="1"/>
  <c r="U58" i="1"/>
  <c r="U92" i="1"/>
  <c r="U18" i="1"/>
  <c r="V18" i="1"/>
  <c r="V87" i="1"/>
  <c r="U31" i="1"/>
  <c r="U100" i="1"/>
  <c r="U10" i="1"/>
  <c r="U49" i="1"/>
  <c r="U13" i="1"/>
  <c r="U98" i="1"/>
  <c r="V58" i="1"/>
  <c r="V92" i="1"/>
  <c r="F5" i="1"/>
  <c r="V22" i="1"/>
  <c r="V104" i="1"/>
  <c r="L109" i="1"/>
  <c r="L5" i="1" s="1"/>
  <c r="Q109" i="1"/>
  <c r="Q5" i="1" s="1"/>
  <c r="V10" i="1"/>
  <c r="V59" i="1"/>
  <c r="V83" i="1"/>
  <c r="V19" i="1"/>
  <c r="V88" i="1"/>
  <c r="V106" i="1"/>
  <c r="U79" i="1"/>
  <c r="V100" i="1"/>
  <c r="V14" i="1"/>
  <c r="V37" i="1"/>
  <c r="V50" i="1"/>
  <c r="U25" i="1"/>
  <c r="U113" i="1"/>
  <c r="U110" i="1"/>
  <c r="V27" i="1"/>
  <c r="U40" i="1"/>
  <c r="U61" i="1"/>
  <c r="V94" i="1"/>
  <c r="U6" i="1"/>
  <c r="U35" i="1"/>
  <c r="V31" i="1"/>
  <c r="V77" i="1"/>
  <c r="U7" i="1"/>
  <c r="U53" i="1"/>
  <c r="U99" i="1"/>
  <c r="U103" i="1"/>
  <c r="V36" i="1"/>
  <c r="V49" i="1"/>
  <c r="V82" i="1"/>
  <c r="V32" i="1"/>
  <c r="U41" i="1"/>
  <c r="U112" i="1"/>
  <c r="U29" i="1"/>
  <c r="U48" i="1"/>
  <c r="U105" i="1"/>
  <c r="V65" i="1"/>
  <c r="U38" i="1"/>
  <c r="U43" i="1"/>
  <c r="V97" i="1"/>
  <c r="V101" i="1"/>
  <c r="U64" i="1"/>
  <c r="U26" i="1"/>
  <c r="U60" i="1"/>
  <c r="U93" i="1"/>
  <c r="U8" i="1" l="1"/>
  <c r="S8" i="1"/>
  <c r="AH8" i="1" s="1"/>
  <c r="AH5" i="1" s="1"/>
  <c r="U71" i="1"/>
  <c r="U89" i="1"/>
  <c r="U27" i="1"/>
  <c r="U85" i="1"/>
  <c r="U45" i="1"/>
  <c r="U101" i="1"/>
  <c r="U32" i="1"/>
  <c r="U67" i="1"/>
  <c r="U59" i="1"/>
  <c r="U30" i="1"/>
  <c r="U15" i="1"/>
  <c r="U84" i="1"/>
  <c r="U9" i="1"/>
  <c r="U52" i="1"/>
  <c r="U46" i="1"/>
  <c r="U76" i="1"/>
  <c r="U66" i="1"/>
  <c r="U70" i="1"/>
  <c r="U90" i="1"/>
  <c r="U111" i="1"/>
  <c r="U72" i="1"/>
  <c r="U82" i="1"/>
  <c r="U62" i="1"/>
  <c r="U19" i="1"/>
  <c r="U95" i="1"/>
  <c r="U73" i="1"/>
  <c r="U68" i="1"/>
  <c r="U47" i="1"/>
  <c r="U78" i="1"/>
  <c r="U16" i="1"/>
  <c r="U36" i="1"/>
  <c r="U28" i="1"/>
  <c r="U21" i="1"/>
  <c r="U50" i="1"/>
  <c r="U44" i="1"/>
  <c r="U57" i="1"/>
  <c r="U65" i="1"/>
  <c r="U87" i="1"/>
  <c r="U11" i="1"/>
  <c r="U24" i="1"/>
  <c r="U42" i="1"/>
  <c r="U106" i="1"/>
  <c r="U34" i="1"/>
  <c r="U74" i="1"/>
  <c r="U80" i="1"/>
  <c r="U20" i="1"/>
  <c r="U51" i="1"/>
  <c r="U12" i="1"/>
  <c r="V109" i="1"/>
  <c r="U104" i="1"/>
  <c r="U69" i="1"/>
  <c r="U23" i="1"/>
  <c r="U63" i="1"/>
  <c r="U75" i="1"/>
  <c r="U56" i="1"/>
  <c r="U102" i="1"/>
  <c r="U33" i="1"/>
  <c r="U81" i="1"/>
  <c r="R5" i="1" l="1"/>
  <c r="U109" i="1"/>
</calcChain>
</file>

<file path=xl/sharedStrings.xml><?xml version="1.0" encoding="utf-8"?>
<sst xmlns="http://schemas.openxmlformats.org/spreadsheetml/2006/main" count="482" uniqueCount="187">
  <si>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</si>
  <si>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</si>
  <si>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</si>
  <si>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</si>
  <si>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</si>
  <si>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</si>
  <si>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</si>
  <si>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</si>
  <si>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</si>
  <si>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</si>
  <si>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</si>
  <si>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</si>
  <si>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</si>
  <si>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</si>
  <si>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</si>
  <si>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</si>
  <si>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</si>
  <si>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</si>
  <si>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</si>
  <si>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</si>
  <si>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</si>
  <si>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</si>
  <si>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11,08,</t>
  </si>
  <si>
    <t>18,08,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</si>
  <si>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</si>
  <si>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</si>
  <si>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</si>
  <si>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</si>
  <si>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</si>
  <si>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</si>
  <si>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</si>
  <si>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</si>
  <si>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</si>
  <si>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</si>
  <si>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</si>
  <si>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0614 ПРАЗДНИЧНАЯ с/к в/с дек.спец.мгс  Останкино</t>
  </si>
  <si>
    <t>кг</t>
  </si>
  <si>
    <t>не в матрице</t>
  </si>
  <si>
    <t>нужно увеличить продажи!!! / Грация</t>
  </si>
  <si>
    <t>матрица</t>
  </si>
  <si>
    <t>нет потребности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</si>
  <si>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</si>
  <si>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</si>
  <si>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</si>
  <si>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</si>
  <si>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</si>
  <si>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</si>
  <si>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</si>
  <si>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</si>
  <si>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</si>
  <si>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</si>
  <si>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</si>
  <si>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</si>
  <si>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</si>
  <si>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</si>
  <si>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</si>
  <si>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</si>
  <si>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</si>
  <si>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</si>
  <si>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</si>
  <si>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</si>
  <si>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</si>
  <si>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Грация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</si>
  <si>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</si>
  <si>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</si>
  <si>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</si>
  <si>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</si>
  <si>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</si>
  <si>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</si>
  <si>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</si>
  <si>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</si>
  <si>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</si>
  <si>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</si>
  <si>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</si>
  <si>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</si>
  <si>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</si>
  <si>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нужно увеличить продажи!!! / 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</si>
  <si>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</si>
  <si>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</si>
  <si>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</si>
  <si>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</si>
  <si>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</si>
  <si>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</si>
  <si>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6470 ВЕТЧ.МРАМОРНАЯ в/у_45с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</si>
  <si>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</si>
  <si>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</si>
  <si>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</si>
  <si>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</si>
  <si>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</si>
  <si>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</si>
  <si>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</si>
  <si>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</si>
  <si>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</si>
  <si>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</si>
  <si>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</si>
  <si>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</si>
  <si>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</si>
  <si>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</si>
  <si>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</si>
  <si>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</si>
  <si>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</si>
  <si>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</si>
  <si>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</si>
  <si>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</si>
  <si>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</si>
  <si>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</si>
  <si>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</si>
  <si>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</si>
  <si>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</si>
  <si>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</si>
  <si>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</si>
  <si>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</si>
  <si>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</si>
  <si>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</si>
  <si>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</si>
  <si>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</si>
  <si>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</si>
  <si>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</si>
  <si>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</si>
  <si>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</si>
  <si>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</si>
  <si>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</si>
  <si>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</si>
  <si>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</si>
  <si>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</si>
  <si>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</si>
  <si>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</si>
  <si>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</si>
  <si>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</si>
  <si>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</si>
  <si>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</si>
  <si>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</si>
  <si>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</si>
  <si>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</si>
  <si>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</si>
  <si>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</si>
  <si>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</si>
  <si>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новинка / 100кг под ТК (Титенок просила 200кг 12,08,26)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</si>
  <si>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</si>
  <si>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</si>
  <si>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</si>
  <si>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</si>
  <si>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</si>
  <si>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</si>
  <si>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</si>
  <si>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новинка / 100шт под ТК (Титенок просила 150шт 12,08,26)</t>
  </si>
  <si>
    <t>7513 ВОСКРЕСЕНСКАЯ ВЯЛЕНАЯ в/к в/у срез 1/260  ОСТАНКИНО</t>
  </si>
  <si>
    <t>новинка / 80шт под ТК (Титенок просила 100шт 12,08,26)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</si>
  <si>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</si>
  <si>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</si>
  <si>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</si>
  <si>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</si>
  <si>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новинка / 80кг под ТК (Титенок просила 100кг 12,08,26)</t>
  </si>
  <si>
    <t>7564 Балыковая в/к в/у Останкино Вес  ОСТАНКИНО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</si>
  <si>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</si>
  <si>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</si>
  <si>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</si>
  <si>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</si>
  <si>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</si>
  <si>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</si>
  <si>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</si>
  <si>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</si>
  <si>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</si>
  <si>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новинка</t>
  </si>
  <si>
    <t>7651 ХОЧУ ВЕТЧ.МРАМОР. ПМ с/н мгс 1/100_Л11  ОСТАНКИНО</t>
  </si>
  <si>
    <t>58кг списано (11,08,26)</t>
  </si>
  <si>
    <t>192шт списано (11,08,26)</t>
  </si>
  <si>
    <t>27шт списано (11,08,26)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</si>
  <si>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6459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</si>
  <si>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7288</t>
    </r>
  </si>
  <si>
    <t>34шт списание (11,08,26)</t>
  </si>
  <si>
    <t>374шт списание (11,08,26)</t>
  </si>
  <si>
    <t>вместо 6454</t>
  </si>
  <si>
    <t>ТК</t>
  </si>
  <si>
    <t>Титинок</t>
  </si>
  <si>
    <t>с 19,08,26 заказываем</t>
  </si>
  <si>
    <t>8014 ДОКТОРСКАЯ ПРЕМИУМ вар п/о(п)</t>
  </si>
  <si>
    <t>заказ</t>
  </si>
  <si>
    <t>25,08,</t>
  </si>
  <si>
    <t>№ п/п</t>
  </si>
  <si>
    <t>средние продажи в день</t>
  </si>
  <si>
    <t>остаток в днях</t>
  </si>
  <si>
    <t>#</t>
  </si>
  <si>
    <t>нет продаж / товар заказывался под Грацию (не был отгружен)</t>
  </si>
  <si>
    <t>падение продаж</t>
  </si>
  <si>
    <t>товар заказывался под Грацию</t>
  </si>
  <si>
    <t>нет продаж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</si>
</sst>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3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4" borderId="1" xfId="1" applyNumberFormat="1" applyFont="1" applyFill="1"/>
    <xf numFmtId="164" fontId="1" fillId="5" borderId="1" xfId="1" applyNumberFormat="1" applyFill="1" applyBorder="1"/>
    <xf numFmtId="164" fontId="1" fillId="0" borderId="1" xfId="1" applyNumberFormat="1" applyBorder="1"/>
    <xf numFmtId="0" fontId="0" fillId="0" borderId="1" xfId="0" applyBorder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164" fontId="1" fillId="0" borderId="1" xfId="1" applyNumberFormat="1" applyFill="1" applyBorder="1"/>
    <xf numFmtId="0" fontId="0" fillId="0" borderId="0" xfId="0" applyFill="1" applyBorder="1"/>
    <xf numFmtId="164" fontId="2" fillId="2" borderId="3" xfId="1" applyNumberFormat="1" applyFont="1" applyFill="1" applyBorder="1" applyAlignment="1">
      <alignment horizontal="center" vertical="center"/>
    </xf>
    <xf numFmtId="164" fontId="2" fillId="2" borderId="3" xfId="1" applyNumberFormat="1" applyFont="1" applyFill="1" applyBorder="1" applyAlignment="1">
      <alignment vertical="center"/>
    </xf>
    <xf numFmtId="164" fontId="2" fillId="2" borderId="3" xfId="1" applyNumberFormat="1" applyFont="1" applyFill="1" applyBorder="1" applyAlignment="1">
      <alignment vertical="center" wrapText="1"/>
    </xf>
    <xf numFmtId="2" fontId="2" fillId="2" borderId="3" xfId="1" applyNumberFormat="1" applyFont="1" applyFill="1" applyBorder="1" applyAlignment="1">
      <alignment vertical="center" wrapText="1"/>
    </xf>
    <xf numFmtId="164" fontId="3" fillId="2" borderId="3" xfId="1" applyNumberFormat="1" applyFont="1" applyFill="1" applyBorder="1" applyAlignment="1">
      <alignment vertical="center" wrapText="1"/>
    </xf>
    <xf numFmtId="164" fontId="1" fillId="0" borderId="3" xfId="1" applyNumberFormat="1" applyBorder="1" applyAlignment="1">
      <alignment horizontal="center"/>
    </xf>
    <xf numFmtId="164" fontId="1" fillId="0" borderId="3" xfId="1" applyNumberFormat="1" applyBorder="1"/>
    <xf numFmtId="2" fontId="1" fillId="0" borderId="3" xfId="1" applyNumberFormat="1" applyBorder="1"/>
    <xf numFmtId="164" fontId="4" fillId="0" borderId="3" xfId="1" applyNumberFormat="1" applyFont="1" applyBorder="1"/>
    <xf numFmtId="0" fontId="0" fillId="0" borderId="1" xfId="0" applyAlignment="1">
      <alignment horizontal="center"/>
    </xf>
    <xf numFmtId="0" fontId="0" fillId="0" borderId="1" xfId="0"/>
    <xf numFmtId="165" fontId="2" fillId="2" borderId="3" xfId="1" applyNumberFormat="1" applyFont="1" applyFill="1" applyBorder="1" applyAlignment="1">
      <alignment vertical="center" wrapText="1"/>
    </xf>
    <xf numFmtId="165" fontId="7" fillId="0" borderId="3" xfId="1" applyNumberFormat="1" applyFont="1" applyBorder="1"/>
    <xf numFmtId="165" fontId="0" fillId="0" borderId="1" xfId="0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X487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V6" sqref="V6:V10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18" customWidth="1"/>
    <col min="21" max="22" width="5" customWidth="1"/>
    <col min="23" max="32" width="6" customWidth="1"/>
    <col min="33" max="33" width="44" customWidth="1"/>
    <col min="34" max="34" width="7" customWidth="1"/>
    <col min="35" max="50" width="3" customWidth="1"/>
  </cols>
  <sheetData>
    <row r="1" spans="1:50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177</v>
      </c>
      <c r="T3" s="2" t="s">
        <v>173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hidden="1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24</v>
      </c>
      <c r="R4" s="5"/>
      <c r="S4" s="5" t="s">
        <v>178</v>
      </c>
      <c r="T4" s="5" t="s">
        <v>174</v>
      </c>
      <c r="U4" s="5"/>
      <c r="V4" s="5"/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hidden="1" x14ac:dyDescent="0.25">
      <c r="A5" s="5"/>
      <c r="B5" s="5"/>
      <c r="C5" s="5"/>
      <c r="D5" s="5"/>
      <c r="E5" s="3">
        <f>SUM(E6:E487)</f>
        <v>19429.118999999999</v>
      </c>
      <c r="F5" s="3">
        <f>SUM(F6:F487)</f>
        <v>19645.923999999999</v>
      </c>
      <c r="G5" s="7"/>
      <c r="H5" s="5"/>
      <c r="I5" s="5"/>
      <c r="J5" s="5"/>
      <c r="K5" s="3">
        <f t="shared" ref="K5:R5" si="0">SUM(K6:K487)</f>
        <v>24293.286</v>
      </c>
      <c r="L5" s="3">
        <f t="shared" si="0"/>
        <v>-4864.1669999999995</v>
      </c>
      <c r="M5" s="3">
        <f t="shared" si="0"/>
        <v>0</v>
      </c>
      <c r="N5" s="3">
        <f t="shared" si="0"/>
        <v>0</v>
      </c>
      <c r="O5" s="3">
        <f t="shared" si="0"/>
        <v>7373</v>
      </c>
      <c r="P5" s="3">
        <f t="shared" si="0"/>
        <v>6435</v>
      </c>
      <c r="Q5" s="3">
        <f t="shared" si="0"/>
        <v>3709.8237999999997</v>
      </c>
      <c r="R5" s="3">
        <f t="shared" si="0"/>
        <v>18891.630999999998</v>
      </c>
      <c r="S5" s="3"/>
      <c r="T5" s="3"/>
      <c r="U5" s="5"/>
      <c r="V5" s="5"/>
      <c r="W5" s="3">
        <f t="shared" ref="W5:AF5" si="1">SUM(W6:W487)</f>
        <v>2208.3885999999998</v>
      </c>
      <c r="X5" s="3">
        <f t="shared" si="1"/>
        <v>2587.4086000000007</v>
      </c>
      <c r="Y5" s="3">
        <f t="shared" si="1"/>
        <v>3242.9770000000008</v>
      </c>
      <c r="Z5" s="3">
        <f t="shared" si="1"/>
        <v>2961.7819999999997</v>
      </c>
      <c r="AA5" s="3">
        <f t="shared" si="1"/>
        <v>2167.5133999999998</v>
      </c>
      <c r="AB5" s="3">
        <f t="shared" si="1"/>
        <v>2266.9882000000002</v>
      </c>
      <c r="AC5" s="3">
        <f t="shared" si="1"/>
        <v>2174.393</v>
      </c>
      <c r="AD5" s="3">
        <f t="shared" si="1"/>
        <v>2327.1718000000001</v>
      </c>
      <c r="AE5" s="3">
        <f t="shared" si="1"/>
        <v>2112.1947999999998</v>
      </c>
      <c r="AF5" s="3">
        <f t="shared" si="1"/>
        <v>2281.3010000000004</v>
      </c>
      <c r="AG5" s="5"/>
      <c r="AH5" s="3">
        <f>SUM(AH6:AH487)</f>
        <v>8591.7200000000012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9" t="s">
        <v>35</v>
      </c>
      <c r="B6" s="9" t="s">
        <v>36</v>
      </c>
      <c r="C6" s="9">
        <v>43.8</v>
      </c>
      <c r="D6" s="9"/>
      <c r="E6" s="9"/>
      <c r="F6" s="9">
        <v>43.8</v>
      </c>
      <c r="G6" s="10">
        <v>0</v>
      </c>
      <c r="H6" s="9"/>
      <c r="I6" s="9" t="s">
        <v>37</v>
      </c>
      <c r="J6" s="9"/>
      <c r="K6" s="9">
        <v>1.5</v>
      </c>
      <c r="L6" s="9">
        <f t="shared" ref="L6:L37" si="2">E6-K6</f>
        <v>-1.5</v>
      </c>
      <c r="M6" s="9"/>
      <c r="N6" s="9"/>
      <c r="O6" s="9">
        <v>0</v>
      </c>
      <c r="P6" s="9">
        <v>0</v>
      </c>
      <c r="Q6" s="9">
        <f t="shared" ref="Q6:Q37" si="3">E6/5</f>
        <v>0</v>
      </c>
      <c r="R6" s="11"/>
      <c r="S6" s="4">
        <f t="shared" ref="S6:S7" si="4">ROUND(R6,0)</f>
        <v>0</v>
      </c>
      <c r="T6" s="16"/>
      <c r="U6" s="9" t="e">
        <f t="shared" ref="U6:U37" si="5">(F6+O6+P6+R6)/Q6</f>
        <v>#DIV/0!</v>
      </c>
      <c r="V6" s="9" t="e">
        <f t="shared" ref="V6:V37" si="6">(F6+O6+P6)/Q6</f>
        <v>#DIV/0!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12" t="s">
        <v>38</v>
      </c>
      <c r="AH6" s="5">
        <f t="shared" ref="AH6:AH7" si="7">G6*S6</f>
        <v>0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hidden="1" x14ac:dyDescent="0.25">
      <c r="A7" s="9" t="s">
        <v>176</v>
      </c>
      <c r="B7" s="9" t="s">
        <v>36</v>
      </c>
      <c r="C7" s="9"/>
      <c r="D7" s="9"/>
      <c r="E7" s="9"/>
      <c r="F7" s="9"/>
      <c r="G7" s="10">
        <v>0</v>
      </c>
      <c r="H7" s="9"/>
      <c r="I7" s="9" t="s">
        <v>39</v>
      </c>
      <c r="J7" s="9"/>
      <c r="K7" s="9"/>
      <c r="L7" s="9">
        <f t="shared" si="2"/>
        <v>0</v>
      </c>
      <c r="M7" s="9"/>
      <c r="N7" s="9"/>
      <c r="O7" s="9"/>
      <c r="P7" s="9"/>
      <c r="Q7" s="9">
        <f t="shared" si="3"/>
        <v>0</v>
      </c>
      <c r="R7" s="11"/>
      <c r="S7" s="4">
        <f t="shared" si="4"/>
        <v>0</v>
      </c>
      <c r="T7" s="16"/>
      <c r="U7" s="9" t="e">
        <f t="shared" si="5"/>
        <v>#DIV/0!</v>
      </c>
      <c r="V7" s="9" t="e">
        <f t="shared" si="6"/>
        <v>#DIV/0!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 t="s">
        <v>40</v>
      </c>
      <c r="AH7" s="5">
        <f t="shared" si="7"/>
        <v>0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hidden="1" x14ac:dyDescent="0.25">
      <c r="A8" s="5" t="s">
        <v>41</v>
      </c>
      <c r="B8" s="5" t="s">
        <v>42</v>
      </c>
      <c r="C8" s="5">
        <v>197</v>
      </c>
      <c r="D8" s="5">
        <v>681</v>
      </c>
      <c r="E8" s="5">
        <v>378</v>
      </c>
      <c r="F8" s="5">
        <v>468</v>
      </c>
      <c r="G8" s="7">
        <v>0.4</v>
      </c>
      <c r="H8" s="5">
        <v>60</v>
      </c>
      <c r="I8" s="5" t="s">
        <v>39</v>
      </c>
      <c r="J8" s="5"/>
      <c r="K8" s="5">
        <v>407</v>
      </c>
      <c r="L8" s="5">
        <f t="shared" si="2"/>
        <v>-29</v>
      </c>
      <c r="M8" s="5"/>
      <c r="N8" s="5"/>
      <c r="O8" s="5">
        <v>34</v>
      </c>
      <c r="P8" s="5">
        <v>0</v>
      </c>
      <c r="Q8" s="5">
        <f t="shared" si="3"/>
        <v>75.599999999999994</v>
      </c>
      <c r="R8" s="4">
        <f>14*Q8-P8-O8-F8</f>
        <v>556.39999999999986</v>
      </c>
      <c r="S8" s="4">
        <f>ROUND(R8,0)</f>
        <v>556</v>
      </c>
      <c r="T8" s="17"/>
      <c r="U8" s="5">
        <f>(F8+O8+P8+R8)/Q8</f>
        <v>14</v>
      </c>
      <c r="V8" s="5">
        <f t="shared" si="6"/>
        <v>6.6402116402116409</v>
      </c>
      <c r="W8" s="5">
        <v>35.4</v>
      </c>
      <c r="X8" s="5">
        <v>54.2</v>
      </c>
      <c r="Y8" s="5">
        <v>62.6</v>
      </c>
      <c r="Z8" s="5">
        <v>55.6</v>
      </c>
      <c r="AA8" s="5">
        <v>41.2</v>
      </c>
      <c r="AB8" s="5">
        <v>33.6</v>
      </c>
      <c r="AC8" s="5">
        <v>46.6</v>
      </c>
      <c r="AD8" s="5">
        <v>37.799999999999997</v>
      </c>
      <c r="AE8" s="5">
        <v>41</v>
      </c>
      <c r="AF8" s="5">
        <v>57.8</v>
      </c>
      <c r="AG8" s="5"/>
      <c r="AH8" s="5">
        <f>G8*S8</f>
        <v>222.4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hidden="1" x14ac:dyDescent="0.25">
      <c r="A9" s="5" t="s">
        <v>43</v>
      </c>
      <c r="B9" s="5" t="s">
        <v>36</v>
      </c>
      <c r="C9" s="5">
        <v>15.523999999999999</v>
      </c>
      <c r="D9" s="5">
        <v>21.701000000000001</v>
      </c>
      <c r="E9" s="5">
        <v>21.006</v>
      </c>
      <c r="F9" s="5">
        <v>14.221</v>
      </c>
      <c r="G9" s="7">
        <v>1</v>
      </c>
      <c r="H9" s="5">
        <v>120</v>
      </c>
      <c r="I9" s="5" t="s">
        <v>39</v>
      </c>
      <c r="J9" s="5"/>
      <c r="K9" s="5">
        <v>33.799999999999997</v>
      </c>
      <c r="L9" s="5">
        <f t="shared" si="2"/>
        <v>-12.793999999999997</v>
      </c>
      <c r="M9" s="5"/>
      <c r="N9" s="5"/>
      <c r="O9" s="5">
        <v>20</v>
      </c>
      <c r="P9" s="5">
        <v>15</v>
      </c>
      <c r="Q9" s="5">
        <f t="shared" si="3"/>
        <v>4.2012</v>
      </c>
      <c r="R9" s="4">
        <f t="shared" ref="R9:R11" si="8">14*Q9-P9-O9-F9</f>
        <v>9.5958000000000006</v>
      </c>
      <c r="S9" s="4">
        <f t="shared" ref="S9:S72" si="9">ROUND(R9,0)</f>
        <v>10</v>
      </c>
      <c r="T9" s="17"/>
      <c r="U9" s="5">
        <f t="shared" si="5"/>
        <v>14</v>
      </c>
      <c r="V9" s="5">
        <f t="shared" si="6"/>
        <v>11.715938303341902</v>
      </c>
      <c r="W9" s="5">
        <v>3.2757999999999998</v>
      </c>
      <c r="X9" s="5">
        <v>0.29959999999999998</v>
      </c>
      <c r="Y9" s="5">
        <v>0.99220000000000008</v>
      </c>
      <c r="Z9" s="5">
        <v>4.3465999999999996</v>
      </c>
      <c r="AA9" s="5">
        <v>1.4268000000000001</v>
      </c>
      <c r="AB9" s="5">
        <v>4.1590000000000007</v>
      </c>
      <c r="AC9" s="5">
        <v>4.5156000000000001</v>
      </c>
      <c r="AD9" s="5">
        <v>3.8104</v>
      </c>
      <c r="AE9" s="5">
        <v>3.2134</v>
      </c>
      <c r="AF9" s="5">
        <v>4.6890000000000001</v>
      </c>
      <c r="AG9" s="5" t="s">
        <v>44</v>
      </c>
      <c r="AH9" s="5">
        <f t="shared" ref="AH9:AH72" si="10">G9*S9</f>
        <v>10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hidden="1" x14ac:dyDescent="0.25">
      <c r="A10" s="5" t="s">
        <v>45</v>
      </c>
      <c r="B10" s="5" t="s">
        <v>42</v>
      </c>
      <c r="C10" s="5">
        <v>3</v>
      </c>
      <c r="D10" s="5">
        <v>971</v>
      </c>
      <c r="E10" s="5">
        <v>350</v>
      </c>
      <c r="F10" s="5">
        <v>596</v>
      </c>
      <c r="G10" s="7">
        <v>0.25</v>
      </c>
      <c r="H10" s="5">
        <v>120</v>
      </c>
      <c r="I10" s="5" t="s">
        <v>39</v>
      </c>
      <c r="J10" s="5"/>
      <c r="K10" s="5">
        <v>369</v>
      </c>
      <c r="L10" s="5">
        <f t="shared" si="2"/>
        <v>-19</v>
      </c>
      <c r="M10" s="5"/>
      <c r="N10" s="5"/>
      <c r="O10" s="5">
        <v>0</v>
      </c>
      <c r="P10" s="5">
        <v>0</v>
      </c>
      <c r="Q10" s="5">
        <f t="shared" si="3"/>
        <v>70</v>
      </c>
      <c r="R10" s="4">
        <f t="shared" si="8"/>
        <v>384</v>
      </c>
      <c r="S10" s="4">
        <f t="shared" si="9"/>
        <v>384</v>
      </c>
      <c r="T10" s="17"/>
      <c r="U10" s="5">
        <f t="shared" si="5"/>
        <v>14</v>
      </c>
      <c r="V10" s="5">
        <f t="shared" si="6"/>
        <v>8.5142857142857142</v>
      </c>
      <c r="W10" s="5">
        <v>29.8</v>
      </c>
      <c r="X10" s="5">
        <v>37.4</v>
      </c>
      <c r="Y10" s="5">
        <v>61.4</v>
      </c>
      <c r="Z10" s="5">
        <v>31.4</v>
      </c>
      <c r="AA10" s="5">
        <v>25</v>
      </c>
      <c r="AB10" s="5">
        <v>35.799999999999997</v>
      </c>
      <c r="AC10" s="5">
        <v>25.4</v>
      </c>
      <c r="AD10" s="5">
        <v>25</v>
      </c>
      <c r="AE10" s="5">
        <v>28.6</v>
      </c>
      <c r="AF10" s="5">
        <v>35.799999999999997</v>
      </c>
      <c r="AG10" s="5" t="s">
        <v>44</v>
      </c>
      <c r="AH10" s="5">
        <f t="shared" si="10"/>
        <v>96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hidden="1" x14ac:dyDescent="0.25">
      <c r="A11" s="5" t="s">
        <v>46</v>
      </c>
      <c r="B11" s="5" t="s">
        <v>36</v>
      </c>
      <c r="C11" s="5">
        <v>496.94900000000001</v>
      </c>
      <c r="D11" s="5">
        <v>299.94799999999998</v>
      </c>
      <c r="E11" s="5">
        <v>357.62200000000001</v>
      </c>
      <c r="F11" s="5">
        <v>384.83</v>
      </c>
      <c r="G11" s="7">
        <v>1</v>
      </c>
      <c r="H11" s="5">
        <v>60</v>
      </c>
      <c r="I11" s="5" t="s">
        <v>39</v>
      </c>
      <c r="J11" s="5"/>
      <c r="K11" s="5">
        <v>377.62400000000002</v>
      </c>
      <c r="L11" s="5">
        <f t="shared" si="2"/>
        <v>-20.00200000000001</v>
      </c>
      <c r="M11" s="5"/>
      <c r="N11" s="5"/>
      <c r="O11" s="5">
        <v>0</v>
      </c>
      <c r="P11" s="5">
        <v>387</v>
      </c>
      <c r="Q11" s="5">
        <f t="shared" si="3"/>
        <v>71.5244</v>
      </c>
      <c r="R11" s="4">
        <f t="shared" si="8"/>
        <v>229.51159999999999</v>
      </c>
      <c r="S11" s="4">
        <f t="shared" si="9"/>
        <v>230</v>
      </c>
      <c r="T11" s="17"/>
      <c r="U11" s="5">
        <f t="shared" si="5"/>
        <v>14</v>
      </c>
      <c r="V11" s="5">
        <f t="shared" si="6"/>
        <v>10.791142603083703</v>
      </c>
      <c r="W11" s="5">
        <v>59.996400000000008</v>
      </c>
      <c r="X11" s="5">
        <v>49.260599999999997</v>
      </c>
      <c r="Y11" s="5">
        <v>56.257199999999997</v>
      </c>
      <c r="Z11" s="5">
        <v>69.917000000000002</v>
      </c>
      <c r="AA11" s="5">
        <v>42.271000000000001</v>
      </c>
      <c r="AB11" s="5">
        <v>39.854199999999999</v>
      </c>
      <c r="AC11" s="5">
        <v>46.833399999999997</v>
      </c>
      <c r="AD11" s="5">
        <v>41.058800000000012</v>
      </c>
      <c r="AE11" s="5">
        <v>45.109200000000001</v>
      </c>
      <c r="AF11" s="5">
        <v>45.118600000000001</v>
      </c>
      <c r="AG11" s="5"/>
      <c r="AH11" s="5">
        <f t="shared" si="10"/>
        <v>230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hidden="1" x14ac:dyDescent="0.25">
      <c r="A12" s="5" t="s">
        <v>47</v>
      </c>
      <c r="B12" s="5" t="s">
        <v>36</v>
      </c>
      <c r="C12" s="5">
        <v>14.502000000000001</v>
      </c>
      <c r="D12" s="5">
        <v>69.742000000000004</v>
      </c>
      <c r="E12" s="5">
        <v>34.551000000000002</v>
      </c>
      <c r="F12" s="5">
        <v>49.197000000000003</v>
      </c>
      <c r="G12" s="7">
        <v>1</v>
      </c>
      <c r="H12" s="5">
        <v>120</v>
      </c>
      <c r="I12" s="5" t="s">
        <v>39</v>
      </c>
      <c r="J12" s="5"/>
      <c r="K12" s="5">
        <v>56.9</v>
      </c>
      <c r="L12" s="5">
        <f t="shared" si="2"/>
        <v>-22.348999999999997</v>
      </c>
      <c r="M12" s="5"/>
      <c r="N12" s="5"/>
      <c r="O12" s="5">
        <v>124</v>
      </c>
      <c r="P12" s="5">
        <v>0</v>
      </c>
      <c r="Q12" s="5">
        <f t="shared" si="3"/>
        <v>6.9102000000000006</v>
      </c>
      <c r="R12" s="4"/>
      <c r="S12" s="4">
        <f t="shared" si="9"/>
        <v>0</v>
      </c>
      <c r="T12" s="17"/>
      <c r="U12" s="5">
        <f t="shared" si="5"/>
        <v>25.063963416398945</v>
      </c>
      <c r="V12" s="5">
        <f t="shared" si="6"/>
        <v>25.063963416398945</v>
      </c>
      <c r="W12" s="5">
        <v>4.5746000000000002</v>
      </c>
      <c r="X12" s="5">
        <v>8.6004000000000005</v>
      </c>
      <c r="Y12" s="5">
        <v>5.0928000000000004</v>
      </c>
      <c r="Z12" s="5">
        <v>2.7075999999999998</v>
      </c>
      <c r="AA12" s="5">
        <v>4.4042000000000003</v>
      </c>
      <c r="AB12" s="5">
        <v>2.8081999999999998</v>
      </c>
      <c r="AC12" s="5">
        <v>3.0775999999999999</v>
      </c>
      <c r="AD12" s="5">
        <v>3.7627999999999999</v>
      </c>
      <c r="AE12" s="5">
        <v>3.2604000000000002</v>
      </c>
      <c r="AF12" s="5">
        <v>4.3255999999999997</v>
      </c>
      <c r="AG12" s="5" t="s">
        <v>44</v>
      </c>
      <c r="AH12" s="5">
        <f t="shared" si="10"/>
        <v>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48</v>
      </c>
      <c r="B13" s="5" t="s">
        <v>36</v>
      </c>
      <c r="C13" s="5">
        <v>84.126999999999995</v>
      </c>
      <c r="D13" s="5"/>
      <c r="E13" s="5">
        <v>12.266999999999999</v>
      </c>
      <c r="F13" s="5">
        <v>71.86</v>
      </c>
      <c r="G13" s="7">
        <v>1</v>
      </c>
      <c r="H13" s="5">
        <v>60</v>
      </c>
      <c r="I13" s="5" t="s">
        <v>39</v>
      </c>
      <c r="J13" s="5"/>
      <c r="K13" s="5">
        <v>57.7</v>
      </c>
      <c r="L13" s="5">
        <f t="shared" si="2"/>
        <v>-45.433000000000007</v>
      </c>
      <c r="M13" s="5"/>
      <c r="N13" s="5"/>
      <c r="O13" s="5">
        <v>29</v>
      </c>
      <c r="P13" s="5">
        <v>0</v>
      </c>
      <c r="Q13" s="5">
        <f t="shared" si="3"/>
        <v>2.4533999999999998</v>
      </c>
      <c r="R13" s="4"/>
      <c r="S13" s="4">
        <f t="shared" si="9"/>
        <v>0</v>
      </c>
      <c r="T13" s="17"/>
      <c r="U13" s="5">
        <f t="shared" si="5"/>
        <v>41.110295915871852</v>
      </c>
      <c r="V13" s="5">
        <f t="shared" si="6"/>
        <v>41.110295915871852</v>
      </c>
      <c r="W13" s="5">
        <v>4.0156000000000001</v>
      </c>
      <c r="X13" s="5">
        <v>8.7403999999999993</v>
      </c>
      <c r="Y13" s="5">
        <v>3.5335999999999999</v>
      </c>
      <c r="Z13" s="5">
        <v>3.8138000000000001</v>
      </c>
      <c r="AA13" s="5">
        <v>0.81980000000000008</v>
      </c>
      <c r="AB13" s="5">
        <v>1.0762</v>
      </c>
      <c r="AC13" s="5">
        <v>3.2698</v>
      </c>
      <c r="AD13" s="5">
        <v>7.4385999999999992</v>
      </c>
      <c r="AE13" s="5">
        <v>9.5047999999999995</v>
      </c>
      <c r="AF13" s="5">
        <v>11.0764</v>
      </c>
      <c r="AG13" s="12" t="s">
        <v>49</v>
      </c>
      <c r="AH13" s="5">
        <f t="shared" si="10"/>
        <v>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hidden="1" x14ac:dyDescent="0.25">
      <c r="A14" s="5" t="s">
        <v>50</v>
      </c>
      <c r="B14" s="5" t="s">
        <v>36</v>
      </c>
      <c r="C14" s="5">
        <v>456.63799999999998</v>
      </c>
      <c r="D14" s="5">
        <v>319.185</v>
      </c>
      <c r="E14" s="5">
        <v>322.99400000000003</v>
      </c>
      <c r="F14" s="5">
        <v>436.96800000000002</v>
      </c>
      <c r="G14" s="7">
        <v>1</v>
      </c>
      <c r="H14" s="5">
        <v>60</v>
      </c>
      <c r="I14" s="5" t="s">
        <v>39</v>
      </c>
      <c r="J14" s="5"/>
      <c r="K14" s="5">
        <v>329.11399999999998</v>
      </c>
      <c r="L14" s="5">
        <f t="shared" si="2"/>
        <v>-6.1199999999999477</v>
      </c>
      <c r="M14" s="5"/>
      <c r="N14" s="5"/>
      <c r="O14" s="5">
        <v>270</v>
      </c>
      <c r="P14" s="5">
        <v>0</v>
      </c>
      <c r="Q14" s="5">
        <f t="shared" si="3"/>
        <v>64.598800000000011</v>
      </c>
      <c r="R14" s="4">
        <f t="shared" ref="R14:R15" si="11">14*Q14-P14-O14-F14</f>
        <v>197.4152000000002</v>
      </c>
      <c r="S14" s="4">
        <f t="shared" si="9"/>
        <v>197</v>
      </c>
      <c r="T14" s="17"/>
      <c r="U14" s="5">
        <f t="shared" si="5"/>
        <v>14</v>
      </c>
      <c r="V14" s="5">
        <f t="shared" si="6"/>
        <v>10.943980383536536</v>
      </c>
      <c r="W14" s="5">
        <v>47.507800000000003</v>
      </c>
      <c r="X14" s="5">
        <v>63.072600000000001</v>
      </c>
      <c r="Y14" s="5">
        <v>49.145600000000002</v>
      </c>
      <c r="Z14" s="5">
        <v>63.110400000000013</v>
      </c>
      <c r="AA14" s="5">
        <v>35.663600000000002</v>
      </c>
      <c r="AB14" s="5">
        <v>33.933800000000012</v>
      </c>
      <c r="AC14" s="5">
        <v>49.622399999999999</v>
      </c>
      <c r="AD14" s="5">
        <v>48.169400000000003</v>
      </c>
      <c r="AE14" s="5">
        <v>38.220799999999997</v>
      </c>
      <c r="AF14" s="5">
        <v>50.7136</v>
      </c>
      <c r="AG14" s="5"/>
      <c r="AH14" s="5">
        <f t="shared" si="10"/>
        <v>197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hidden="1" x14ac:dyDescent="0.25">
      <c r="A15" s="5" t="s">
        <v>51</v>
      </c>
      <c r="B15" s="5" t="s">
        <v>42</v>
      </c>
      <c r="C15" s="5">
        <v>697</v>
      </c>
      <c r="D15" s="5">
        <v>144</v>
      </c>
      <c r="E15" s="5">
        <v>310</v>
      </c>
      <c r="F15" s="5">
        <v>507</v>
      </c>
      <c r="G15" s="7">
        <v>0.25</v>
      </c>
      <c r="H15" s="5">
        <v>120</v>
      </c>
      <c r="I15" s="5" t="s">
        <v>39</v>
      </c>
      <c r="J15" s="5"/>
      <c r="K15" s="5">
        <v>331</v>
      </c>
      <c r="L15" s="5">
        <f t="shared" si="2"/>
        <v>-21</v>
      </c>
      <c r="M15" s="5"/>
      <c r="N15" s="5"/>
      <c r="O15" s="5">
        <v>0</v>
      </c>
      <c r="P15" s="5">
        <v>35</v>
      </c>
      <c r="Q15" s="5">
        <f t="shared" si="3"/>
        <v>62</v>
      </c>
      <c r="R15" s="4">
        <f t="shared" si="11"/>
        <v>326</v>
      </c>
      <c r="S15" s="4">
        <f t="shared" si="9"/>
        <v>326</v>
      </c>
      <c r="T15" s="17"/>
      <c r="U15" s="5">
        <f t="shared" si="5"/>
        <v>14</v>
      </c>
      <c r="V15" s="5">
        <f t="shared" si="6"/>
        <v>8.741935483870968</v>
      </c>
      <c r="W15" s="5">
        <v>37</v>
      </c>
      <c r="X15" s="5">
        <v>33</v>
      </c>
      <c r="Y15" s="5">
        <v>47.4</v>
      </c>
      <c r="Z15" s="5">
        <v>53.6</v>
      </c>
      <c r="AA15" s="5">
        <v>24.2</v>
      </c>
      <c r="AB15" s="5">
        <v>21.4</v>
      </c>
      <c r="AC15" s="5">
        <v>43.8</v>
      </c>
      <c r="AD15" s="5">
        <v>21.4</v>
      </c>
      <c r="AE15" s="5">
        <v>28.2</v>
      </c>
      <c r="AF15" s="5">
        <v>28.2</v>
      </c>
      <c r="AG15" s="5" t="s">
        <v>44</v>
      </c>
      <c r="AH15" s="5">
        <f t="shared" si="10"/>
        <v>81.5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52</v>
      </c>
      <c r="B16" s="5" t="s">
        <v>36</v>
      </c>
      <c r="C16" s="5">
        <v>47.82</v>
      </c>
      <c r="D16" s="5"/>
      <c r="E16" s="5">
        <v>2.36</v>
      </c>
      <c r="F16" s="5">
        <v>45.05</v>
      </c>
      <c r="G16" s="7">
        <v>1</v>
      </c>
      <c r="H16" s="5">
        <v>60</v>
      </c>
      <c r="I16" s="5" t="s">
        <v>39</v>
      </c>
      <c r="J16" s="5"/>
      <c r="K16" s="5">
        <v>165.3</v>
      </c>
      <c r="L16" s="5">
        <f t="shared" si="2"/>
        <v>-162.94</v>
      </c>
      <c r="M16" s="5"/>
      <c r="N16" s="5"/>
      <c r="O16" s="5">
        <v>253</v>
      </c>
      <c r="P16" s="5">
        <v>0</v>
      </c>
      <c r="Q16" s="5">
        <f t="shared" si="3"/>
        <v>0.47199999999999998</v>
      </c>
      <c r="R16" s="4"/>
      <c r="S16" s="4">
        <f t="shared" si="9"/>
        <v>0</v>
      </c>
      <c r="T16" s="17"/>
      <c r="U16" s="5">
        <f t="shared" si="5"/>
        <v>631.46186440677968</v>
      </c>
      <c r="V16" s="5">
        <f t="shared" si="6"/>
        <v>631.46186440677968</v>
      </c>
      <c r="W16" s="5">
        <v>8.4016000000000002</v>
      </c>
      <c r="X16" s="5">
        <v>26.634799999999998</v>
      </c>
      <c r="Y16" s="5">
        <v>14.544</v>
      </c>
      <c r="Z16" s="5">
        <v>9.7308000000000003</v>
      </c>
      <c r="AA16" s="5">
        <v>0.81180000000000008</v>
      </c>
      <c r="AB16" s="5">
        <v>3.512</v>
      </c>
      <c r="AC16" s="5">
        <v>11.567</v>
      </c>
      <c r="AD16" s="5">
        <v>18.520600000000002</v>
      </c>
      <c r="AE16" s="5">
        <v>24.869800000000001</v>
      </c>
      <c r="AF16" s="5">
        <v>20.437999999999999</v>
      </c>
      <c r="AG16" s="12" t="s">
        <v>49</v>
      </c>
      <c r="AH16" s="5">
        <f t="shared" si="10"/>
        <v>0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hidden="1" x14ac:dyDescent="0.25">
      <c r="A17" s="5" t="s">
        <v>53</v>
      </c>
      <c r="B17" s="5" t="s">
        <v>42</v>
      </c>
      <c r="C17" s="5">
        <v>471</v>
      </c>
      <c r="D17" s="5">
        <v>531</v>
      </c>
      <c r="E17" s="5">
        <v>380</v>
      </c>
      <c r="F17" s="5">
        <v>579</v>
      </c>
      <c r="G17" s="7">
        <v>0.25</v>
      </c>
      <c r="H17" s="5">
        <v>120</v>
      </c>
      <c r="I17" s="5" t="s">
        <v>39</v>
      </c>
      <c r="J17" s="5"/>
      <c r="K17" s="5">
        <v>395</v>
      </c>
      <c r="L17" s="5">
        <f t="shared" si="2"/>
        <v>-15</v>
      </c>
      <c r="M17" s="5"/>
      <c r="N17" s="5"/>
      <c r="O17" s="5">
        <v>0</v>
      </c>
      <c r="P17" s="5">
        <v>105</v>
      </c>
      <c r="Q17" s="5">
        <f t="shared" si="3"/>
        <v>76</v>
      </c>
      <c r="R17" s="4">
        <f t="shared" ref="R17:R19" si="12">14*Q17-P17-O17-F17</f>
        <v>380</v>
      </c>
      <c r="S17" s="4">
        <f t="shared" si="9"/>
        <v>380</v>
      </c>
      <c r="T17" s="17"/>
      <c r="U17" s="5">
        <f t="shared" si="5"/>
        <v>14</v>
      </c>
      <c r="V17" s="5">
        <f t="shared" si="6"/>
        <v>9</v>
      </c>
      <c r="W17" s="5">
        <v>40.200000000000003</v>
      </c>
      <c r="X17" s="5">
        <v>40.4</v>
      </c>
      <c r="Y17" s="5">
        <v>55.8</v>
      </c>
      <c r="Z17" s="5">
        <v>48.2</v>
      </c>
      <c r="AA17" s="5">
        <v>24.2</v>
      </c>
      <c r="AB17" s="5">
        <v>25.2</v>
      </c>
      <c r="AC17" s="5">
        <v>30.4</v>
      </c>
      <c r="AD17" s="5">
        <v>24.4</v>
      </c>
      <c r="AE17" s="5">
        <v>28.8</v>
      </c>
      <c r="AF17" s="5">
        <v>23.2</v>
      </c>
      <c r="AG17" s="5" t="s">
        <v>44</v>
      </c>
      <c r="AH17" s="5">
        <f t="shared" si="10"/>
        <v>95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hidden="1" x14ac:dyDescent="0.25">
      <c r="A18" s="5" t="s">
        <v>54</v>
      </c>
      <c r="B18" s="5" t="s">
        <v>42</v>
      </c>
      <c r="C18" s="5">
        <v>219</v>
      </c>
      <c r="D18" s="5">
        <v>193</v>
      </c>
      <c r="E18" s="5">
        <v>200</v>
      </c>
      <c r="F18" s="5">
        <v>174</v>
      </c>
      <c r="G18" s="7">
        <v>0.4</v>
      </c>
      <c r="H18" s="5">
        <v>60</v>
      </c>
      <c r="I18" s="5" t="s">
        <v>39</v>
      </c>
      <c r="J18" s="5"/>
      <c r="K18" s="5">
        <v>217</v>
      </c>
      <c r="L18" s="5">
        <f t="shared" si="2"/>
        <v>-17</v>
      </c>
      <c r="M18" s="5"/>
      <c r="N18" s="5"/>
      <c r="O18" s="5">
        <v>0</v>
      </c>
      <c r="P18" s="5">
        <v>68</v>
      </c>
      <c r="Q18" s="5">
        <f t="shared" si="3"/>
        <v>40</v>
      </c>
      <c r="R18" s="4">
        <f t="shared" si="12"/>
        <v>318</v>
      </c>
      <c r="S18" s="4">
        <f t="shared" si="9"/>
        <v>318</v>
      </c>
      <c r="T18" s="17"/>
      <c r="U18" s="5">
        <f t="shared" si="5"/>
        <v>14</v>
      </c>
      <c r="V18" s="5">
        <f t="shared" si="6"/>
        <v>6.05</v>
      </c>
      <c r="W18" s="5">
        <v>24.6</v>
      </c>
      <c r="X18" s="5">
        <v>22.8</v>
      </c>
      <c r="Y18" s="5">
        <v>36.799999999999997</v>
      </c>
      <c r="Z18" s="5">
        <v>37</v>
      </c>
      <c r="AA18" s="5">
        <v>34.799999999999997</v>
      </c>
      <c r="AB18" s="5">
        <v>26.6</v>
      </c>
      <c r="AC18" s="5">
        <v>22.8</v>
      </c>
      <c r="AD18" s="5">
        <v>21.8</v>
      </c>
      <c r="AE18" s="5">
        <v>26.6</v>
      </c>
      <c r="AF18" s="5">
        <v>22.4</v>
      </c>
      <c r="AG18" s="5"/>
      <c r="AH18" s="5">
        <f t="shared" si="10"/>
        <v>127.2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hidden="1" x14ac:dyDescent="0.25">
      <c r="A19" s="5" t="s">
        <v>55</v>
      </c>
      <c r="B19" s="5" t="s">
        <v>36</v>
      </c>
      <c r="C19" s="5">
        <v>42.445999999999998</v>
      </c>
      <c r="D19" s="5">
        <v>433.58100000000002</v>
      </c>
      <c r="E19" s="5">
        <v>190.61</v>
      </c>
      <c r="F19" s="5">
        <v>262.57299999999998</v>
      </c>
      <c r="G19" s="7">
        <v>1</v>
      </c>
      <c r="H19" s="5">
        <v>45</v>
      </c>
      <c r="I19" s="5" t="s">
        <v>39</v>
      </c>
      <c r="J19" s="5"/>
      <c r="K19" s="5">
        <v>179.446</v>
      </c>
      <c r="L19" s="5">
        <f t="shared" si="2"/>
        <v>11.164000000000016</v>
      </c>
      <c r="M19" s="5"/>
      <c r="N19" s="5"/>
      <c r="O19" s="5">
        <v>0</v>
      </c>
      <c r="P19" s="5">
        <v>23</v>
      </c>
      <c r="Q19" s="5">
        <f t="shared" si="3"/>
        <v>38.122</v>
      </c>
      <c r="R19" s="4">
        <f t="shared" si="12"/>
        <v>248.13499999999999</v>
      </c>
      <c r="S19" s="4">
        <f t="shared" si="9"/>
        <v>248</v>
      </c>
      <c r="T19" s="17"/>
      <c r="U19" s="5">
        <f t="shared" si="5"/>
        <v>14</v>
      </c>
      <c r="V19" s="5">
        <f t="shared" si="6"/>
        <v>7.4910288022664071</v>
      </c>
      <c r="W19" s="5">
        <v>31.1738</v>
      </c>
      <c r="X19" s="5">
        <v>36.706800000000001</v>
      </c>
      <c r="Y19" s="5">
        <v>45.036999999999999</v>
      </c>
      <c r="Z19" s="5">
        <v>38.583599999999997</v>
      </c>
      <c r="AA19" s="5">
        <v>38.170400000000001</v>
      </c>
      <c r="AB19" s="5">
        <v>32.511000000000003</v>
      </c>
      <c r="AC19" s="5">
        <v>43.4754</v>
      </c>
      <c r="AD19" s="5">
        <v>43.322000000000003</v>
      </c>
      <c r="AE19" s="5">
        <v>39.813400000000001</v>
      </c>
      <c r="AF19" s="5">
        <v>48.798999999999999</v>
      </c>
      <c r="AG19" s="5"/>
      <c r="AH19" s="5">
        <f t="shared" si="10"/>
        <v>248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hidden="1" x14ac:dyDescent="0.25">
      <c r="A20" s="5" t="s">
        <v>56</v>
      </c>
      <c r="B20" s="5" t="s">
        <v>36</v>
      </c>
      <c r="C20" s="5">
        <v>62.709000000000003</v>
      </c>
      <c r="D20" s="5">
        <v>34.761000000000003</v>
      </c>
      <c r="E20" s="5">
        <v>26.146999999999998</v>
      </c>
      <c r="F20" s="5">
        <v>68.811999999999998</v>
      </c>
      <c r="G20" s="7">
        <v>1</v>
      </c>
      <c r="H20" s="5">
        <v>120</v>
      </c>
      <c r="I20" s="5" t="s">
        <v>39</v>
      </c>
      <c r="J20" s="5"/>
      <c r="K20" s="5">
        <v>27.7</v>
      </c>
      <c r="L20" s="5">
        <f t="shared" si="2"/>
        <v>-1.5530000000000008</v>
      </c>
      <c r="M20" s="5"/>
      <c r="N20" s="5"/>
      <c r="O20" s="5">
        <v>26</v>
      </c>
      <c r="P20" s="5">
        <v>0</v>
      </c>
      <c r="Q20" s="5">
        <f t="shared" si="3"/>
        <v>5.2294</v>
      </c>
      <c r="R20" s="4"/>
      <c r="S20" s="4">
        <f t="shared" si="9"/>
        <v>0</v>
      </c>
      <c r="T20" s="17"/>
      <c r="U20" s="5">
        <f t="shared" si="5"/>
        <v>18.130569472597237</v>
      </c>
      <c r="V20" s="5">
        <f t="shared" si="6"/>
        <v>18.130569472597237</v>
      </c>
      <c r="W20" s="5">
        <v>2.7151999999999998</v>
      </c>
      <c r="X20" s="5">
        <v>5.2648000000000001</v>
      </c>
      <c r="Y20" s="5">
        <v>4.2115999999999998</v>
      </c>
      <c r="Z20" s="5">
        <v>3.5571999999999999</v>
      </c>
      <c r="AA20" s="5">
        <v>3.2544</v>
      </c>
      <c r="AB20" s="5">
        <v>1.6692</v>
      </c>
      <c r="AC20" s="5">
        <v>3.0581999999999998</v>
      </c>
      <c r="AD20" s="5">
        <v>1.0933999999999999</v>
      </c>
      <c r="AE20" s="5">
        <v>0.29680000000000001</v>
      </c>
      <c r="AF20" s="5">
        <v>3.2924000000000002</v>
      </c>
      <c r="AG20" s="5" t="s">
        <v>44</v>
      </c>
      <c r="AH20" s="5">
        <f t="shared" si="10"/>
        <v>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hidden="1" x14ac:dyDescent="0.25">
      <c r="A21" s="5" t="s">
        <v>57</v>
      </c>
      <c r="B21" s="5" t="s">
        <v>42</v>
      </c>
      <c r="C21" s="5">
        <v>224</v>
      </c>
      <c r="D21" s="5">
        <v>1</v>
      </c>
      <c r="E21" s="5">
        <v>-6</v>
      </c>
      <c r="F21" s="5">
        <v>32</v>
      </c>
      <c r="G21" s="7">
        <v>0.4</v>
      </c>
      <c r="H21" s="5">
        <v>45</v>
      </c>
      <c r="I21" s="5" t="s">
        <v>39</v>
      </c>
      <c r="J21" s="5"/>
      <c r="K21" s="5">
        <v>355</v>
      </c>
      <c r="L21" s="5">
        <f t="shared" si="2"/>
        <v>-361</v>
      </c>
      <c r="M21" s="5"/>
      <c r="N21" s="5"/>
      <c r="O21" s="5">
        <v>0</v>
      </c>
      <c r="P21" s="5">
        <v>0</v>
      </c>
      <c r="Q21" s="5">
        <f t="shared" si="3"/>
        <v>-1.2</v>
      </c>
      <c r="R21" s="4"/>
      <c r="S21" s="4">
        <f t="shared" si="9"/>
        <v>0</v>
      </c>
      <c r="T21" s="17"/>
      <c r="U21" s="5">
        <f t="shared" si="5"/>
        <v>-26.666666666666668</v>
      </c>
      <c r="V21" s="5">
        <f t="shared" si="6"/>
        <v>-26.666666666666668</v>
      </c>
      <c r="W21" s="5">
        <v>-0.2</v>
      </c>
      <c r="X21" s="5">
        <v>-3.8</v>
      </c>
      <c r="Y21" s="5">
        <v>-0.2</v>
      </c>
      <c r="Z21" s="5">
        <v>5</v>
      </c>
      <c r="AA21" s="5">
        <v>9.6</v>
      </c>
      <c r="AB21" s="5">
        <v>3.8</v>
      </c>
      <c r="AC21" s="5">
        <v>22.2</v>
      </c>
      <c r="AD21" s="5">
        <v>17.399999999999999</v>
      </c>
      <c r="AE21" s="5">
        <v>16.8</v>
      </c>
      <c r="AF21" s="5">
        <v>27.8</v>
      </c>
      <c r="AG21" s="14" t="s">
        <v>166</v>
      </c>
      <c r="AH21" s="5">
        <f t="shared" si="10"/>
        <v>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hidden="1" x14ac:dyDescent="0.25">
      <c r="A22" s="5" t="s">
        <v>58</v>
      </c>
      <c r="B22" s="5" t="s">
        <v>36</v>
      </c>
      <c r="C22" s="5">
        <v>390.54399999999998</v>
      </c>
      <c r="D22" s="5">
        <v>114.113</v>
      </c>
      <c r="E22" s="5">
        <v>171.02600000000001</v>
      </c>
      <c r="F22" s="5">
        <v>301.74299999999999</v>
      </c>
      <c r="G22" s="7">
        <v>1</v>
      </c>
      <c r="H22" s="5">
        <v>60</v>
      </c>
      <c r="I22" s="5" t="s">
        <v>39</v>
      </c>
      <c r="J22" s="5"/>
      <c r="K22" s="5">
        <v>189.327</v>
      </c>
      <c r="L22" s="5">
        <f t="shared" si="2"/>
        <v>-18.300999999999988</v>
      </c>
      <c r="M22" s="5"/>
      <c r="N22" s="5"/>
      <c r="O22" s="5">
        <v>0</v>
      </c>
      <c r="P22" s="5">
        <v>0</v>
      </c>
      <c r="Q22" s="5">
        <f t="shared" si="3"/>
        <v>34.205200000000005</v>
      </c>
      <c r="R22" s="4">
        <f t="shared" ref="R22:R23" si="13">14*Q22-P22-O22-F22</f>
        <v>177.1298000000001</v>
      </c>
      <c r="S22" s="4">
        <f t="shared" si="9"/>
        <v>177</v>
      </c>
      <c r="T22" s="17"/>
      <c r="U22" s="5">
        <f t="shared" si="5"/>
        <v>14</v>
      </c>
      <c r="V22" s="5">
        <f t="shared" si="6"/>
        <v>8.8215534480137503</v>
      </c>
      <c r="W22" s="5">
        <v>22.615200000000002</v>
      </c>
      <c r="X22" s="5">
        <v>32.779600000000002</v>
      </c>
      <c r="Y22" s="5">
        <v>30.880400000000002</v>
      </c>
      <c r="Z22" s="5">
        <v>43.971800000000002</v>
      </c>
      <c r="AA22" s="5">
        <v>24.540600000000001</v>
      </c>
      <c r="AB22" s="5">
        <v>24.433</v>
      </c>
      <c r="AC22" s="5">
        <v>26.175999999999998</v>
      </c>
      <c r="AD22" s="5">
        <v>27.4224</v>
      </c>
      <c r="AE22" s="5">
        <v>30.147200000000002</v>
      </c>
      <c r="AF22" s="5">
        <v>22.085999999999999</v>
      </c>
      <c r="AG22" s="5"/>
      <c r="AH22" s="5">
        <f t="shared" si="10"/>
        <v>177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hidden="1" x14ac:dyDescent="0.25">
      <c r="A23" s="5" t="s">
        <v>59</v>
      </c>
      <c r="B23" s="5" t="s">
        <v>42</v>
      </c>
      <c r="C23" s="5">
        <v>27</v>
      </c>
      <c r="D23" s="5">
        <v>1292</v>
      </c>
      <c r="E23" s="5">
        <v>529</v>
      </c>
      <c r="F23" s="5">
        <v>751</v>
      </c>
      <c r="G23" s="7">
        <v>0.22</v>
      </c>
      <c r="H23" s="5">
        <v>120</v>
      </c>
      <c r="I23" s="5" t="s">
        <v>39</v>
      </c>
      <c r="J23" s="5"/>
      <c r="K23" s="5">
        <v>559</v>
      </c>
      <c r="L23" s="5">
        <f t="shared" si="2"/>
        <v>-30</v>
      </c>
      <c r="M23" s="5"/>
      <c r="N23" s="5"/>
      <c r="O23" s="5">
        <v>212</v>
      </c>
      <c r="P23" s="5">
        <v>79</v>
      </c>
      <c r="Q23" s="5">
        <f t="shared" si="3"/>
        <v>105.8</v>
      </c>
      <c r="R23" s="4">
        <f t="shared" si="13"/>
        <v>439.20000000000005</v>
      </c>
      <c r="S23" s="4">
        <f t="shared" si="9"/>
        <v>439</v>
      </c>
      <c r="T23" s="17"/>
      <c r="U23" s="5">
        <f t="shared" si="5"/>
        <v>14</v>
      </c>
      <c r="V23" s="5">
        <f t="shared" si="6"/>
        <v>9.8487712665406431</v>
      </c>
      <c r="W23" s="5">
        <v>63.4</v>
      </c>
      <c r="X23" s="5">
        <v>72.2</v>
      </c>
      <c r="Y23" s="5">
        <v>83.4</v>
      </c>
      <c r="Z23" s="5">
        <v>44.2</v>
      </c>
      <c r="AA23" s="5">
        <v>39.6</v>
      </c>
      <c r="AB23" s="5">
        <v>29.2</v>
      </c>
      <c r="AC23" s="5">
        <v>39</v>
      </c>
      <c r="AD23" s="5">
        <v>36.200000000000003</v>
      </c>
      <c r="AE23" s="5">
        <v>34</v>
      </c>
      <c r="AF23" s="5">
        <v>39.200000000000003</v>
      </c>
      <c r="AG23" s="5" t="s">
        <v>44</v>
      </c>
      <c r="AH23" s="5">
        <f t="shared" si="10"/>
        <v>96.58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hidden="1" x14ac:dyDescent="0.25">
      <c r="A24" s="5" t="s">
        <v>60</v>
      </c>
      <c r="B24" s="5" t="s">
        <v>36</v>
      </c>
      <c r="C24" s="5">
        <v>58.926000000000002</v>
      </c>
      <c r="D24" s="5"/>
      <c r="E24" s="5">
        <v>-1.35</v>
      </c>
      <c r="F24" s="5">
        <v>1.1160000000000001</v>
      </c>
      <c r="G24" s="7">
        <v>1</v>
      </c>
      <c r="H24" s="5">
        <v>40</v>
      </c>
      <c r="I24" s="5" t="s">
        <v>39</v>
      </c>
      <c r="J24" s="5"/>
      <c r="K24" s="5">
        <v>43.16</v>
      </c>
      <c r="L24" s="5">
        <f t="shared" si="2"/>
        <v>-44.51</v>
      </c>
      <c r="M24" s="5"/>
      <c r="N24" s="5"/>
      <c r="O24" s="5">
        <v>0</v>
      </c>
      <c r="P24" s="5">
        <v>0</v>
      </c>
      <c r="Q24" s="5">
        <f t="shared" si="3"/>
        <v>-0.27</v>
      </c>
      <c r="R24" s="4">
        <v>20</v>
      </c>
      <c r="S24" s="4">
        <f t="shared" si="9"/>
        <v>20</v>
      </c>
      <c r="T24" s="17"/>
      <c r="U24" s="5">
        <f t="shared" si="5"/>
        <v>-78.207407407407402</v>
      </c>
      <c r="V24" s="5">
        <f t="shared" si="6"/>
        <v>-4.1333333333333337</v>
      </c>
      <c r="W24" s="5">
        <v>1.016</v>
      </c>
      <c r="X24" s="5">
        <v>0.62519999999999998</v>
      </c>
      <c r="Y24" s="5">
        <v>3.5935999999999999</v>
      </c>
      <c r="Z24" s="5">
        <v>9.9719999999999995</v>
      </c>
      <c r="AA24" s="5">
        <v>8.8043999999999993</v>
      </c>
      <c r="AB24" s="5">
        <v>4.5223999999999993</v>
      </c>
      <c r="AC24" s="5">
        <v>2.25</v>
      </c>
      <c r="AD24" s="5">
        <v>2.5367999999999999</v>
      </c>
      <c r="AE24" s="5">
        <v>0</v>
      </c>
      <c r="AF24" s="5">
        <v>0</v>
      </c>
      <c r="AG24" s="14" t="s">
        <v>165</v>
      </c>
      <c r="AH24" s="5">
        <f t="shared" si="10"/>
        <v>20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hidden="1" x14ac:dyDescent="0.25">
      <c r="A25" s="9" t="s">
        <v>61</v>
      </c>
      <c r="B25" s="9" t="s">
        <v>36</v>
      </c>
      <c r="C25" s="9">
        <v>63.405000000000001</v>
      </c>
      <c r="D25" s="9">
        <v>6</v>
      </c>
      <c r="E25" s="9">
        <v>18.125</v>
      </c>
      <c r="F25" s="9">
        <v>51.28</v>
      </c>
      <c r="G25" s="10">
        <v>0</v>
      </c>
      <c r="H25" s="9"/>
      <c r="I25" s="9" t="s">
        <v>37</v>
      </c>
      <c r="J25" s="9"/>
      <c r="K25" s="9">
        <v>27.3</v>
      </c>
      <c r="L25" s="9">
        <f t="shared" si="2"/>
        <v>-9.1750000000000007</v>
      </c>
      <c r="M25" s="9"/>
      <c r="N25" s="9"/>
      <c r="O25" s="9">
        <v>0</v>
      </c>
      <c r="P25" s="9">
        <v>0</v>
      </c>
      <c r="Q25" s="9">
        <f t="shared" si="3"/>
        <v>3.625</v>
      </c>
      <c r="R25" s="11"/>
      <c r="S25" s="4">
        <f t="shared" si="9"/>
        <v>0</v>
      </c>
      <c r="T25" s="16"/>
      <c r="U25" s="9">
        <f t="shared" si="5"/>
        <v>14.146206896551725</v>
      </c>
      <c r="V25" s="9">
        <f t="shared" si="6"/>
        <v>14.146206896551725</v>
      </c>
      <c r="W25" s="9">
        <v>0</v>
      </c>
      <c r="X25" s="9">
        <v>5.444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 t="s">
        <v>62</v>
      </c>
      <c r="AH25" s="5">
        <f t="shared" si="10"/>
        <v>0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hidden="1" x14ac:dyDescent="0.25">
      <c r="A26" s="9" t="s">
        <v>63</v>
      </c>
      <c r="B26" s="9" t="s">
        <v>42</v>
      </c>
      <c r="C26" s="9"/>
      <c r="D26" s="9">
        <v>10</v>
      </c>
      <c r="E26" s="9"/>
      <c r="F26" s="9">
        <v>10</v>
      </c>
      <c r="G26" s="10">
        <v>0</v>
      </c>
      <c r="H26" s="9">
        <v>45</v>
      </c>
      <c r="I26" s="9" t="s">
        <v>37</v>
      </c>
      <c r="J26" s="9"/>
      <c r="K26" s="9">
        <v>2</v>
      </c>
      <c r="L26" s="9">
        <f t="shared" si="2"/>
        <v>-2</v>
      </c>
      <c r="M26" s="9"/>
      <c r="N26" s="9"/>
      <c r="O26" s="9">
        <v>0</v>
      </c>
      <c r="P26" s="9">
        <v>0</v>
      </c>
      <c r="Q26" s="9">
        <f t="shared" si="3"/>
        <v>0</v>
      </c>
      <c r="R26" s="11"/>
      <c r="S26" s="4">
        <f t="shared" si="9"/>
        <v>0</v>
      </c>
      <c r="T26" s="16"/>
      <c r="U26" s="9" t="e">
        <f t="shared" si="5"/>
        <v>#DIV/0!</v>
      </c>
      <c r="V26" s="9" t="e">
        <f t="shared" si="6"/>
        <v>#DIV/0!</v>
      </c>
      <c r="W26" s="9">
        <v>0</v>
      </c>
      <c r="X26" s="9">
        <v>3</v>
      </c>
      <c r="Y26" s="9">
        <v>2</v>
      </c>
      <c r="Z26" s="9">
        <v>2.4</v>
      </c>
      <c r="AA26" s="9">
        <v>1.8</v>
      </c>
      <c r="AB26" s="9">
        <v>1.8</v>
      </c>
      <c r="AC26" s="9">
        <v>1.4</v>
      </c>
      <c r="AD26" s="9">
        <v>1</v>
      </c>
      <c r="AE26" s="9">
        <v>0.4</v>
      </c>
      <c r="AF26" s="9">
        <v>1.6</v>
      </c>
      <c r="AG26" s="9"/>
      <c r="AH26" s="5">
        <f t="shared" si="10"/>
        <v>0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hidden="1" x14ac:dyDescent="0.25">
      <c r="A27" s="5" t="s">
        <v>64</v>
      </c>
      <c r="B27" s="5" t="s">
        <v>36</v>
      </c>
      <c r="C27" s="5"/>
      <c r="D27" s="5">
        <v>93.584000000000003</v>
      </c>
      <c r="E27" s="5">
        <v>82.021000000000001</v>
      </c>
      <c r="F27" s="5">
        <v>2.6859999999999999</v>
      </c>
      <c r="G27" s="7">
        <v>1</v>
      </c>
      <c r="H27" s="5">
        <v>60</v>
      </c>
      <c r="I27" s="5" t="s">
        <v>39</v>
      </c>
      <c r="J27" s="5"/>
      <c r="K27" s="5">
        <v>130.80000000000001</v>
      </c>
      <c r="L27" s="5">
        <f t="shared" si="2"/>
        <v>-48.779000000000011</v>
      </c>
      <c r="M27" s="5"/>
      <c r="N27" s="5"/>
      <c r="O27" s="5">
        <v>51</v>
      </c>
      <c r="P27" s="5">
        <v>0</v>
      </c>
      <c r="Q27" s="5">
        <f t="shared" si="3"/>
        <v>16.404199999999999</v>
      </c>
      <c r="R27" s="4">
        <f>11*Q27-P27-O27-F27</f>
        <v>126.7602</v>
      </c>
      <c r="S27" s="4">
        <f t="shared" si="9"/>
        <v>127</v>
      </c>
      <c r="T27" s="17"/>
      <c r="U27" s="5">
        <f t="shared" si="5"/>
        <v>11</v>
      </c>
      <c r="V27" s="5">
        <f t="shared" si="6"/>
        <v>3.2726984552736496</v>
      </c>
      <c r="W27" s="5">
        <v>2.4239999999999999</v>
      </c>
      <c r="X27" s="5">
        <v>13.7454</v>
      </c>
      <c r="Y27" s="5">
        <v>15.651999999999999</v>
      </c>
      <c r="Z27" s="5">
        <v>11.1342</v>
      </c>
      <c r="AA27" s="5">
        <v>14.042400000000001</v>
      </c>
      <c r="AB27" s="5">
        <v>14.0364</v>
      </c>
      <c r="AC27" s="5">
        <v>10.058</v>
      </c>
      <c r="AD27" s="5">
        <v>11.2278</v>
      </c>
      <c r="AE27" s="5">
        <v>13.8606</v>
      </c>
      <c r="AF27" s="5">
        <v>11.16</v>
      </c>
      <c r="AG27" s="5"/>
      <c r="AH27" s="5">
        <f t="shared" si="10"/>
        <v>127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hidden="1" x14ac:dyDescent="0.25">
      <c r="A28" s="5" t="s">
        <v>65</v>
      </c>
      <c r="B28" s="5" t="s">
        <v>42</v>
      </c>
      <c r="C28" s="5">
        <v>47</v>
      </c>
      <c r="D28" s="5">
        <v>606</v>
      </c>
      <c r="E28" s="5">
        <v>198</v>
      </c>
      <c r="F28" s="5">
        <v>444</v>
      </c>
      <c r="G28" s="7">
        <v>0.09</v>
      </c>
      <c r="H28" s="5">
        <v>60</v>
      </c>
      <c r="I28" s="5" t="s">
        <v>39</v>
      </c>
      <c r="J28" s="5"/>
      <c r="K28" s="5">
        <v>208</v>
      </c>
      <c r="L28" s="5">
        <f t="shared" si="2"/>
        <v>-10</v>
      </c>
      <c r="M28" s="5"/>
      <c r="N28" s="5"/>
      <c r="O28" s="5">
        <v>0</v>
      </c>
      <c r="P28" s="5">
        <v>25</v>
      </c>
      <c r="Q28" s="5">
        <f t="shared" si="3"/>
        <v>39.6</v>
      </c>
      <c r="R28" s="4">
        <f>14*Q28-P28-O28-F28</f>
        <v>85.399999999999977</v>
      </c>
      <c r="S28" s="4">
        <f t="shared" si="9"/>
        <v>85</v>
      </c>
      <c r="T28" s="17"/>
      <c r="U28" s="5">
        <f t="shared" si="5"/>
        <v>13.999999999999998</v>
      </c>
      <c r="V28" s="5">
        <f t="shared" si="6"/>
        <v>11.843434343434343</v>
      </c>
      <c r="W28" s="5">
        <v>38.799999999999997</v>
      </c>
      <c r="X28" s="5">
        <v>13.2</v>
      </c>
      <c r="Y28" s="5">
        <v>47.8</v>
      </c>
      <c r="Z28" s="5">
        <v>38.799999999999997</v>
      </c>
      <c r="AA28" s="5">
        <v>20</v>
      </c>
      <c r="AB28" s="5">
        <v>34.4</v>
      </c>
      <c r="AC28" s="5">
        <v>30.6</v>
      </c>
      <c r="AD28" s="5">
        <v>34.4</v>
      </c>
      <c r="AE28" s="5">
        <v>23.8</v>
      </c>
      <c r="AF28" s="5">
        <v>23.8</v>
      </c>
      <c r="AG28" s="5"/>
      <c r="AH28" s="5">
        <f t="shared" si="10"/>
        <v>7.6499999999999995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9" t="s">
        <v>66</v>
      </c>
      <c r="B29" s="9" t="s">
        <v>42</v>
      </c>
      <c r="C29" s="9">
        <v>100</v>
      </c>
      <c r="D29" s="9"/>
      <c r="E29" s="9">
        <v>30</v>
      </c>
      <c r="F29" s="9">
        <v>70</v>
      </c>
      <c r="G29" s="10">
        <v>0</v>
      </c>
      <c r="H29" s="9"/>
      <c r="I29" s="9" t="s">
        <v>37</v>
      </c>
      <c r="J29" s="9"/>
      <c r="K29" s="9">
        <v>30</v>
      </c>
      <c r="L29" s="9">
        <f t="shared" si="2"/>
        <v>0</v>
      </c>
      <c r="M29" s="9"/>
      <c r="N29" s="9"/>
      <c r="O29" s="9">
        <v>0</v>
      </c>
      <c r="P29" s="9">
        <v>0</v>
      </c>
      <c r="Q29" s="9">
        <f t="shared" si="3"/>
        <v>6</v>
      </c>
      <c r="R29" s="11"/>
      <c r="S29" s="4">
        <f t="shared" si="9"/>
        <v>0</v>
      </c>
      <c r="T29" s="16"/>
      <c r="U29" s="9">
        <f t="shared" si="5"/>
        <v>11.666666666666666</v>
      </c>
      <c r="V29" s="9">
        <f t="shared" si="6"/>
        <v>11.666666666666666</v>
      </c>
      <c r="W29" s="9">
        <v>0</v>
      </c>
      <c r="X29" s="9">
        <v>4.2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12" t="s">
        <v>38</v>
      </c>
      <c r="AH29" s="5">
        <f t="shared" si="10"/>
        <v>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hidden="1" x14ac:dyDescent="0.25">
      <c r="A30" s="5" t="s">
        <v>67</v>
      </c>
      <c r="B30" s="5" t="s">
        <v>42</v>
      </c>
      <c r="C30" s="5">
        <v>73</v>
      </c>
      <c r="D30" s="5">
        <v>14</v>
      </c>
      <c r="E30" s="5">
        <v>71</v>
      </c>
      <c r="F30" s="5">
        <v>4</v>
      </c>
      <c r="G30" s="7">
        <v>0.09</v>
      </c>
      <c r="H30" s="5">
        <v>45</v>
      </c>
      <c r="I30" s="5" t="s">
        <v>39</v>
      </c>
      <c r="J30" s="5"/>
      <c r="K30" s="5">
        <v>88</v>
      </c>
      <c r="L30" s="5">
        <f t="shared" si="2"/>
        <v>-17</v>
      </c>
      <c r="M30" s="5"/>
      <c r="N30" s="5"/>
      <c r="O30" s="5">
        <v>0</v>
      </c>
      <c r="P30" s="5">
        <v>20</v>
      </c>
      <c r="Q30" s="5">
        <f t="shared" si="3"/>
        <v>14.2</v>
      </c>
      <c r="R30" s="4">
        <f>10*Q30-P30-O30-F30</f>
        <v>118</v>
      </c>
      <c r="S30" s="4">
        <f t="shared" si="9"/>
        <v>118</v>
      </c>
      <c r="T30" s="17"/>
      <c r="U30" s="5">
        <f t="shared" si="5"/>
        <v>10</v>
      </c>
      <c r="V30" s="5">
        <f t="shared" si="6"/>
        <v>1.6901408450704227</v>
      </c>
      <c r="W30" s="5">
        <v>7.2</v>
      </c>
      <c r="X30" s="5">
        <v>6.2</v>
      </c>
      <c r="Y30" s="5">
        <v>11</v>
      </c>
      <c r="Z30" s="5">
        <v>14.8</v>
      </c>
      <c r="AA30" s="5">
        <v>8.1999999999999993</v>
      </c>
      <c r="AB30" s="5">
        <v>11</v>
      </c>
      <c r="AC30" s="5">
        <v>22</v>
      </c>
      <c r="AD30" s="5">
        <v>18.8</v>
      </c>
      <c r="AE30" s="5">
        <v>7</v>
      </c>
      <c r="AF30" s="5">
        <v>14.6</v>
      </c>
      <c r="AG30" s="5"/>
      <c r="AH30" s="5">
        <f t="shared" si="10"/>
        <v>10.62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hidden="1" x14ac:dyDescent="0.25">
      <c r="A31" s="5" t="s">
        <v>68</v>
      </c>
      <c r="B31" s="5" t="s">
        <v>42</v>
      </c>
      <c r="C31" s="5">
        <v>81</v>
      </c>
      <c r="D31" s="5">
        <v>43</v>
      </c>
      <c r="E31" s="5">
        <v>40</v>
      </c>
      <c r="F31" s="5">
        <v>80</v>
      </c>
      <c r="G31" s="7">
        <v>0.15</v>
      </c>
      <c r="H31" s="5">
        <v>45</v>
      </c>
      <c r="I31" s="5" t="s">
        <v>39</v>
      </c>
      <c r="J31" s="5"/>
      <c r="K31" s="5">
        <v>109</v>
      </c>
      <c r="L31" s="5">
        <f t="shared" si="2"/>
        <v>-69</v>
      </c>
      <c r="M31" s="5"/>
      <c r="N31" s="5"/>
      <c r="O31" s="5">
        <v>0</v>
      </c>
      <c r="P31" s="5">
        <v>0</v>
      </c>
      <c r="Q31" s="5">
        <f t="shared" si="3"/>
        <v>8</v>
      </c>
      <c r="R31" s="4">
        <f t="shared" ref="R31:R34" si="14">14*Q31-P31-O31-F31</f>
        <v>32</v>
      </c>
      <c r="S31" s="4">
        <f t="shared" si="9"/>
        <v>32</v>
      </c>
      <c r="T31" s="17"/>
      <c r="U31" s="5">
        <f t="shared" si="5"/>
        <v>14</v>
      </c>
      <c r="V31" s="5">
        <f t="shared" si="6"/>
        <v>10</v>
      </c>
      <c r="W31" s="5">
        <v>2</v>
      </c>
      <c r="X31" s="5">
        <v>1.8</v>
      </c>
      <c r="Y31" s="5">
        <v>2.2000000000000002</v>
      </c>
      <c r="Z31" s="5">
        <v>6</v>
      </c>
      <c r="AA31" s="5">
        <v>8.8000000000000007</v>
      </c>
      <c r="AB31" s="5">
        <v>7</v>
      </c>
      <c r="AC31" s="5">
        <v>9.8000000000000007</v>
      </c>
      <c r="AD31" s="5">
        <v>17.399999999999999</v>
      </c>
      <c r="AE31" s="5">
        <v>7.6</v>
      </c>
      <c r="AF31" s="5">
        <v>8.6</v>
      </c>
      <c r="AG31" s="5"/>
      <c r="AH31" s="5">
        <f t="shared" si="10"/>
        <v>4.8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hidden="1" x14ac:dyDescent="0.25">
      <c r="A32" s="5" t="s">
        <v>69</v>
      </c>
      <c r="B32" s="5" t="s">
        <v>36</v>
      </c>
      <c r="C32" s="5">
        <v>344.5</v>
      </c>
      <c r="D32" s="5">
        <v>701.74599999999998</v>
      </c>
      <c r="E32" s="5">
        <v>566.00300000000004</v>
      </c>
      <c r="F32" s="5">
        <v>445.608</v>
      </c>
      <c r="G32" s="7">
        <v>1</v>
      </c>
      <c r="H32" s="5">
        <v>45</v>
      </c>
      <c r="I32" s="5" t="s">
        <v>39</v>
      </c>
      <c r="J32" s="5"/>
      <c r="K32" s="5">
        <v>537.65099999999995</v>
      </c>
      <c r="L32" s="5">
        <f t="shared" si="2"/>
        <v>28.352000000000089</v>
      </c>
      <c r="M32" s="5"/>
      <c r="N32" s="5"/>
      <c r="O32" s="5">
        <v>190</v>
      </c>
      <c r="P32" s="5">
        <v>0</v>
      </c>
      <c r="Q32" s="5">
        <f t="shared" si="3"/>
        <v>113.20060000000001</v>
      </c>
      <c r="R32" s="4">
        <f>13*Q32-P32-O32-F32</f>
        <v>835.99980000000028</v>
      </c>
      <c r="S32" s="4">
        <f t="shared" si="9"/>
        <v>836</v>
      </c>
      <c r="T32" s="17"/>
      <c r="U32" s="5">
        <f t="shared" si="5"/>
        <v>13.000000000000002</v>
      </c>
      <c r="V32" s="5">
        <f t="shared" si="6"/>
        <v>5.6148818999192578</v>
      </c>
      <c r="W32" s="5">
        <v>18.4908</v>
      </c>
      <c r="X32" s="5">
        <v>75.172600000000003</v>
      </c>
      <c r="Y32" s="5">
        <v>78.514399999999995</v>
      </c>
      <c r="Z32" s="5">
        <v>67.384799999999998</v>
      </c>
      <c r="AA32" s="5">
        <v>59.207000000000008</v>
      </c>
      <c r="AB32" s="5">
        <v>31.207000000000001</v>
      </c>
      <c r="AC32" s="5">
        <v>62.066000000000003</v>
      </c>
      <c r="AD32" s="5">
        <v>56.630200000000002</v>
      </c>
      <c r="AE32" s="5">
        <v>33.6648</v>
      </c>
      <c r="AF32" s="5">
        <v>46.767800000000001</v>
      </c>
      <c r="AG32" s="5"/>
      <c r="AH32" s="5">
        <f t="shared" si="10"/>
        <v>836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hidden="1" x14ac:dyDescent="0.25">
      <c r="A33" s="5" t="s">
        <v>70</v>
      </c>
      <c r="B33" s="5" t="s">
        <v>42</v>
      </c>
      <c r="C33" s="5">
        <v>2</v>
      </c>
      <c r="D33" s="5">
        <v>264</v>
      </c>
      <c r="E33" s="5">
        <v>120</v>
      </c>
      <c r="F33" s="5">
        <v>134</v>
      </c>
      <c r="G33" s="7">
        <v>0.4</v>
      </c>
      <c r="H33" s="5">
        <v>60</v>
      </c>
      <c r="I33" s="5" t="s">
        <v>39</v>
      </c>
      <c r="J33" s="5"/>
      <c r="K33" s="5">
        <v>175</v>
      </c>
      <c r="L33" s="5">
        <f t="shared" si="2"/>
        <v>-55</v>
      </c>
      <c r="M33" s="5"/>
      <c r="N33" s="5"/>
      <c r="O33" s="5">
        <v>0</v>
      </c>
      <c r="P33" s="5">
        <v>0</v>
      </c>
      <c r="Q33" s="5">
        <f t="shared" si="3"/>
        <v>24</v>
      </c>
      <c r="R33" s="4">
        <f t="shared" si="14"/>
        <v>202</v>
      </c>
      <c r="S33" s="4">
        <f t="shared" si="9"/>
        <v>202</v>
      </c>
      <c r="T33" s="17"/>
      <c r="U33" s="5">
        <f t="shared" si="5"/>
        <v>14</v>
      </c>
      <c r="V33" s="5">
        <f t="shared" si="6"/>
        <v>5.583333333333333</v>
      </c>
      <c r="W33" s="5">
        <v>7.4</v>
      </c>
      <c r="X33" s="5">
        <v>16</v>
      </c>
      <c r="Y33" s="5">
        <v>24.8</v>
      </c>
      <c r="Z33" s="5">
        <v>16.600000000000001</v>
      </c>
      <c r="AA33" s="5">
        <v>16.600000000000001</v>
      </c>
      <c r="AB33" s="5">
        <v>14.2</v>
      </c>
      <c r="AC33" s="5">
        <v>22.4</v>
      </c>
      <c r="AD33" s="5">
        <v>17.8</v>
      </c>
      <c r="AE33" s="5">
        <v>11.6</v>
      </c>
      <c r="AF33" s="5">
        <v>18.2</v>
      </c>
      <c r="AG33" s="5"/>
      <c r="AH33" s="5">
        <f t="shared" si="10"/>
        <v>80.800000000000011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hidden="1" x14ac:dyDescent="0.25">
      <c r="A34" s="5" t="s">
        <v>71</v>
      </c>
      <c r="B34" s="5" t="s">
        <v>42</v>
      </c>
      <c r="C34" s="5">
        <v>526</v>
      </c>
      <c r="D34" s="5">
        <v>929</v>
      </c>
      <c r="E34" s="5">
        <v>600</v>
      </c>
      <c r="F34" s="5">
        <v>807</v>
      </c>
      <c r="G34" s="7">
        <v>0.4</v>
      </c>
      <c r="H34" s="5">
        <v>60</v>
      </c>
      <c r="I34" s="5" t="s">
        <v>39</v>
      </c>
      <c r="J34" s="5"/>
      <c r="K34" s="5">
        <v>637</v>
      </c>
      <c r="L34" s="5">
        <f t="shared" si="2"/>
        <v>-37</v>
      </c>
      <c r="M34" s="5"/>
      <c r="N34" s="5"/>
      <c r="O34" s="5">
        <v>0</v>
      </c>
      <c r="P34" s="5">
        <v>227</v>
      </c>
      <c r="Q34" s="5">
        <f t="shared" si="3"/>
        <v>120</v>
      </c>
      <c r="R34" s="4">
        <f t="shared" si="14"/>
        <v>646</v>
      </c>
      <c r="S34" s="4">
        <f t="shared" si="9"/>
        <v>646</v>
      </c>
      <c r="T34" s="17"/>
      <c r="U34" s="5">
        <f t="shared" si="5"/>
        <v>14</v>
      </c>
      <c r="V34" s="5">
        <f t="shared" si="6"/>
        <v>8.6166666666666671</v>
      </c>
      <c r="W34" s="5">
        <v>82.4</v>
      </c>
      <c r="X34" s="5">
        <v>83.8</v>
      </c>
      <c r="Y34" s="5">
        <v>120.6</v>
      </c>
      <c r="Z34" s="5">
        <v>106.6</v>
      </c>
      <c r="AA34" s="5">
        <v>74.8</v>
      </c>
      <c r="AB34" s="5">
        <v>84</v>
      </c>
      <c r="AC34" s="5">
        <v>80</v>
      </c>
      <c r="AD34" s="5">
        <v>95.8</v>
      </c>
      <c r="AE34" s="5">
        <v>83.4</v>
      </c>
      <c r="AF34" s="5">
        <v>98.6</v>
      </c>
      <c r="AG34" s="5"/>
      <c r="AH34" s="5">
        <f t="shared" si="10"/>
        <v>258.40000000000003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hidden="1" x14ac:dyDescent="0.25">
      <c r="A35" s="9" t="s">
        <v>72</v>
      </c>
      <c r="B35" s="9" t="s">
        <v>42</v>
      </c>
      <c r="C35" s="9">
        <v>-1</v>
      </c>
      <c r="D35" s="9"/>
      <c r="E35" s="9"/>
      <c r="F35" s="13">
        <v>-1</v>
      </c>
      <c r="G35" s="10">
        <v>0</v>
      </c>
      <c r="H35" s="9"/>
      <c r="I35" s="9" t="s">
        <v>37</v>
      </c>
      <c r="J35" s="9" t="s">
        <v>73</v>
      </c>
      <c r="K35" s="9"/>
      <c r="L35" s="9">
        <f t="shared" si="2"/>
        <v>0</v>
      </c>
      <c r="M35" s="9"/>
      <c r="N35" s="9"/>
      <c r="O35" s="9">
        <v>0</v>
      </c>
      <c r="P35" s="9">
        <v>0</v>
      </c>
      <c r="Q35" s="9">
        <f t="shared" si="3"/>
        <v>0</v>
      </c>
      <c r="R35" s="11"/>
      <c r="S35" s="4">
        <f t="shared" si="9"/>
        <v>0</v>
      </c>
      <c r="T35" s="16"/>
      <c r="U35" s="9" t="e">
        <f t="shared" si="5"/>
        <v>#DIV/0!</v>
      </c>
      <c r="V35" s="9" t="e">
        <f t="shared" si="6"/>
        <v>#DIV/0!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/>
      <c r="AH35" s="5">
        <f t="shared" si="10"/>
        <v>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hidden="1" x14ac:dyDescent="0.25">
      <c r="A36" s="5" t="s">
        <v>74</v>
      </c>
      <c r="B36" s="5" t="s">
        <v>42</v>
      </c>
      <c r="C36" s="5">
        <v>661</v>
      </c>
      <c r="D36" s="5">
        <v>361</v>
      </c>
      <c r="E36" s="5">
        <v>528</v>
      </c>
      <c r="F36" s="5">
        <v>457</v>
      </c>
      <c r="G36" s="7">
        <v>0.4</v>
      </c>
      <c r="H36" s="5">
        <v>60</v>
      </c>
      <c r="I36" s="5" t="s">
        <v>39</v>
      </c>
      <c r="J36" s="5"/>
      <c r="K36" s="5">
        <v>555</v>
      </c>
      <c r="L36" s="5">
        <f t="shared" si="2"/>
        <v>-27</v>
      </c>
      <c r="M36" s="5"/>
      <c r="N36" s="5"/>
      <c r="O36" s="5">
        <v>378</v>
      </c>
      <c r="P36" s="5">
        <v>0</v>
      </c>
      <c r="Q36" s="5">
        <f t="shared" si="3"/>
        <v>105.6</v>
      </c>
      <c r="R36" s="4">
        <f>14*Q36-P36-O36-F36</f>
        <v>643.39999999999986</v>
      </c>
      <c r="S36" s="4">
        <f t="shared" si="9"/>
        <v>643</v>
      </c>
      <c r="T36" s="17"/>
      <c r="U36" s="5">
        <f t="shared" si="5"/>
        <v>14</v>
      </c>
      <c r="V36" s="5">
        <f t="shared" si="6"/>
        <v>7.9071969696969697</v>
      </c>
      <c r="W36" s="5">
        <v>60</v>
      </c>
      <c r="X36" s="5">
        <v>94.2</v>
      </c>
      <c r="Y36" s="5">
        <v>83.8</v>
      </c>
      <c r="Z36" s="5">
        <v>105</v>
      </c>
      <c r="AA36" s="5">
        <v>61.8</v>
      </c>
      <c r="AB36" s="5">
        <v>65.400000000000006</v>
      </c>
      <c r="AC36" s="5">
        <v>87.2</v>
      </c>
      <c r="AD36" s="5">
        <v>56.2</v>
      </c>
      <c r="AE36" s="5">
        <v>72.599999999999994</v>
      </c>
      <c r="AF36" s="5">
        <v>60.8</v>
      </c>
      <c r="AG36" s="5"/>
      <c r="AH36" s="5">
        <f t="shared" si="10"/>
        <v>257.2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75</v>
      </c>
      <c r="B37" s="5" t="s">
        <v>42</v>
      </c>
      <c r="C37" s="5">
        <v>196</v>
      </c>
      <c r="D37" s="5"/>
      <c r="E37" s="5"/>
      <c r="F37" s="5">
        <v>195</v>
      </c>
      <c r="G37" s="7">
        <v>0.3</v>
      </c>
      <c r="H37" s="5">
        <v>45</v>
      </c>
      <c r="I37" s="5" t="s">
        <v>39</v>
      </c>
      <c r="J37" s="5"/>
      <c r="K37" s="5"/>
      <c r="L37" s="5">
        <f t="shared" si="2"/>
        <v>0</v>
      </c>
      <c r="M37" s="5"/>
      <c r="N37" s="5"/>
      <c r="O37" s="5">
        <v>0</v>
      </c>
      <c r="P37" s="5">
        <v>0</v>
      </c>
      <c r="Q37" s="5">
        <f t="shared" si="3"/>
        <v>0</v>
      </c>
      <c r="R37" s="4"/>
      <c r="S37" s="4">
        <f t="shared" si="9"/>
        <v>0</v>
      </c>
      <c r="T37" s="17"/>
      <c r="U37" s="5" t="e">
        <f t="shared" si="5"/>
        <v>#DIV/0!</v>
      </c>
      <c r="V37" s="5" t="e">
        <f t="shared" si="6"/>
        <v>#DIV/0!</v>
      </c>
      <c r="W37" s="5">
        <v>0.4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12" t="s">
        <v>76</v>
      </c>
      <c r="AH37" s="5">
        <f t="shared" si="10"/>
        <v>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hidden="1" x14ac:dyDescent="0.25">
      <c r="A38" s="9" t="s">
        <v>77</v>
      </c>
      <c r="B38" s="9" t="s">
        <v>42</v>
      </c>
      <c r="C38" s="9">
        <v>2</v>
      </c>
      <c r="D38" s="9"/>
      <c r="E38" s="9"/>
      <c r="F38" s="13">
        <v>2</v>
      </c>
      <c r="G38" s="10">
        <v>0</v>
      </c>
      <c r="H38" s="9">
        <v>60</v>
      </c>
      <c r="I38" s="9" t="s">
        <v>37</v>
      </c>
      <c r="J38" s="9" t="s">
        <v>78</v>
      </c>
      <c r="K38" s="9"/>
      <c r="L38" s="9">
        <f t="shared" ref="L38:L69" si="15">E38-K38</f>
        <v>0</v>
      </c>
      <c r="M38" s="9"/>
      <c r="N38" s="9"/>
      <c r="O38" s="9">
        <v>0</v>
      </c>
      <c r="P38" s="9">
        <v>0</v>
      </c>
      <c r="Q38" s="9">
        <f t="shared" ref="Q38:Q68" si="16">E38/5</f>
        <v>0</v>
      </c>
      <c r="R38" s="11"/>
      <c r="S38" s="4">
        <f t="shared" si="9"/>
        <v>0</v>
      </c>
      <c r="T38" s="16"/>
      <c r="U38" s="9" t="e">
        <f t="shared" ref="U38:U69" si="17">(F38+O38+P38+R38)/Q38</f>
        <v>#DIV/0!</v>
      </c>
      <c r="V38" s="9" t="e">
        <f t="shared" ref="V38:V69" si="18">(F38+O38+P38)/Q38</f>
        <v>#DIV/0!</v>
      </c>
      <c r="W38" s="9">
        <v>0</v>
      </c>
      <c r="X38" s="9">
        <v>0</v>
      </c>
      <c r="Y38" s="9">
        <v>0.2</v>
      </c>
      <c r="Z38" s="9">
        <v>-0.4</v>
      </c>
      <c r="AA38" s="9">
        <v>20.6</v>
      </c>
      <c r="AB38" s="9">
        <v>34</v>
      </c>
      <c r="AC38" s="9">
        <v>49</v>
      </c>
      <c r="AD38" s="9">
        <v>32</v>
      </c>
      <c r="AE38" s="9">
        <v>33.4</v>
      </c>
      <c r="AF38" s="9">
        <v>31.2</v>
      </c>
      <c r="AG38" s="9" t="s">
        <v>79</v>
      </c>
      <c r="AH38" s="5">
        <f t="shared" si="10"/>
        <v>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hidden="1" x14ac:dyDescent="0.25">
      <c r="A39" s="9" t="s">
        <v>80</v>
      </c>
      <c r="B39" s="9" t="s">
        <v>42</v>
      </c>
      <c r="C39" s="9"/>
      <c r="D39" s="9">
        <v>5</v>
      </c>
      <c r="E39" s="13">
        <v>15</v>
      </c>
      <c r="F39" s="13">
        <v>-15</v>
      </c>
      <c r="G39" s="10">
        <v>0</v>
      </c>
      <c r="H39" s="9">
        <v>60</v>
      </c>
      <c r="I39" s="9" t="s">
        <v>37</v>
      </c>
      <c r="J39" s="9" t="s">
        <v>81</v>
      </c>
      <c r="K39" s="9">
        <v>194</v>
      </c>
      <c r="L39" s="9">
        <f t="shared" si="15"/>
        <v>-179</v>
      </c>
      <c r="M39" s="9"/>
      <c r="N39" s="9"/>
      <c r="O39" s="9">
        <v>0</v>
      </c>
      <c r="P39" s="9">
        <v>0</v>
      </c>
      <c r="Q39" s="9">
        <f t="shared" si="16"/>
        <v>3</v>
      </c>
      <c r="R39" s="11"/>
      <c r="S39" s="4">
        <f t="shared" si="9"/>
        <v>0</v>
      </c>
      <c r="T39" s="16"/>
      <c r="U39" s="9">
        <f t="shared" si="17"/>
        <v>-5</v>
      </c>
      <c r="V39" s="9">
        <f t="shared" si="18"/>
        <v>-5</v>
      </c>
      <c r="W39" s="9">
        <v>0.2</v>
      </c>
      <c r="X39" s="9">
        <v>-0.2</v>
      </c>
      <c r="Y39" s="9">
        <v>17</v>
      </c>
      <c r="Z39" s="9">
        <v>24.6</v>
      </c>
      <c r="AA39" s="9">
        <v>36.6</v>
      </c>
      <c r="AB39" s="9">
        <v>34.4</v>
      </c>
      <c r="AC39" s="9">
        <v>33.799999999999997</v>
      </c>
      <c r="AD39" s="9">
        <v>37.799999999999997</v>
      </c>
      <c r="AE39" s="9">
        <v>30</v>
      </c>
      <c r="AF39" s="9">
        <v>33.799999999999997</v>
      </c>
      <c r="AG39" s="9" t="s">
        <v>82</v>
      </c>
      <c r="AH39" s="5">
        <f t="shared" si="10"/>
        <v>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hidden="1" x14ac:dyDescent="0.25">
      <c r="A40" s="9" t="s">
        <v>83</v>
      </c>
      <c r="B40" s="9" t="s">
        <v>36</v>
      </c>
      <c r="C40" s="9"/>
      <c r="D40" s="9">
        <v>78.527000000000001</v>
      </c>
      <c r="E40" s="9">
        <v>19.585999999999999</v>
      </c>
      <c r="F40" s="9">
        <v>58.941000000000003</v>
      </c>
      <c r="G40" s="10">
        <v>0</v>
      </c>
      <c r="H40" s="9">
        <v>45</v>
      </c>
      <c r="I40" s="9" t="s">
        <v>37</v>
      </c>
      <c r="J40" s="9"/>
      <c r="K40" s="9">
        <v>46</v>
      </c>
      <c r="L40" s="9">
        <f t="shared" si="15"/>
        <v>-26.414000000000001</v>
      </c>
      <c r="M40" s="9"/>
      <c r="N40" s="9"/>
      <c r="O40" s="9">
        <v>0</v>
      </c>
      <c r="P40" s="9">
        <v>0</v>
      </c>
      <c r="Q40" s="9">
        <f t="shared" si="16"/>
        <v>3.9171999999999998</v>
      </c>
      <c r="R40" s="11"/>
      <c r="S40" s="4">
        <f t="shared" si="9"/>
        <v>0</v>
      </c>
      <c r="T40" s="16"/>
      <c r="U40" s="9">
        <f t="shared" si="17"/>
        <v>15.046717042785664</v>
      </c>
      <c r="V40" s="9">
        <f t="shared" si="18"/>
        <v>15.046717042785664</v>
      </c>
      <c r="W40" s="9">
        <v>0</v>
      </c>
      <c r="X40" s="9">
        <v>11.114000000000001</v>
      </c>
      <c r="Y40" s="9">
        <v>13.551</v>
      </c>
      <c r="Z40" s="9">
        <v>8.1720000000000006</v>
      </c>
      <c r="AA40" s="9">
        <v>2.6469999999999998</v>
      </c>
      <c r="AB40" s="9">
        <v>0</v>
      </c>
      <c r="AC40" s="9">
        <v>1.4330000000000001</v>
      </c>
      <c r="AD40" s="9">
        <v>7.9530000000000003</v>
      </c>
      <c r="AE40" s="9">
        <v>1.4390000000000001</v>
      </c>
      <c r="AF40" s="9">
        <v>0</v>
      </c>
      <c r="AG40" s="9"/>
      <c r="AH40" s="5">
        <f t="shared" si="10"/>
        <v>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hidden="1" x14ac:dyDescent="0.25">
      <c r="A41" s="9" t="s">
        <v>84</v>
      </c>
      <c r="B41" s="9" t="s">
        <v>42</v>
      </c>
      <c r="C41" s="9"/>
      <c r="D41" s="9">
        <v>36</v>
      </c>
      <c r="E41" s="9">
        <v>27</v>
      </c>
      <c r="F41" s="9"/>
      <c r="G41" s="10">
        <v>0</v>
      </c>
      <c r="H41" s="9">
        <v>45</v>
      </c>
      <c r="I41" s="9" t="s">
        <v>37</v>
      </c>
      <c r="J41" s="9"/>
      <c r="K41" s="9">
        <v>254</v>
      </c>
      <c r="L41" s="9">
        <f t="shared" si="15"/>
        <v>-227</v>
      </c>
      <c r="M41" s="9"/>
      <c r="N41" s="9"/>
      <c r="O41" s="9">
        <v>0</v>
      </c>
      <c r="P41" s="9">
        <v>0</v>
      </c>
      <c r="Q41" s="9">
        <f t="shared" si="16"/>
        <v>5.4</v>
      </c>
      <c r="R41" s="11"/>
      <c r="S41" s="4">
        <f t="shared" si="9"/>
        <v>0</v>
      </c>
      <c r="T41" s="16"/>
      <c r="U41" s="9">
        <f t="shared" si="17"/>
        <v>0</v>
      </c>
      <c r="V41" s="9">
        <f t="shared" si="18"/>
        <v>0</v>
      </c>
      <c r="W41" s="9">
        <v>-0.4</v>
      </c>
      <c r="X41" s="9">
        <v>11</v>
      </c>
      <c r="Y41" s="9">
        <v>29.2</v>
      </c>
      <c r="Z41" s="9">
        <v>17</v>
      </c>
      <c r="AA41" s="9">
        <v>20.8</v>
      </c>
      <c r="AB41" s="9">
        <v>24.8</v>
      </c>
      <c r="AC41" s="9">
        <v>13.6</v>
      </c>
      <c r="AD41" s="9">
        <v>27</v>
      </c>
      <c r="AE41" s="9">
        <v>24</v>
      </c>
      <c r="AF41" s="9">
        <v>19</v>
      </c>
      <c r="AG41" s="9" t="s">
        <v>85</v>
      </c>
      <c r="AH41" s="5">
        <f t="shared" si="10"/>
        <v>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hidden="1" x14ac:dyDescent="0.25">
      <c r="A42" s="5" t="s">
        <v>86</v>
      </c>
      <c r="B42" s="5" t="s">
        <v>42</v>
      </c>
      <c r="C42" s="5">
        <v>144</v>
      </c>
      <c r="D42" s="5">
        <v>7</v>
      </c>
      <c r="E42" s="5">
        <v>112</v>
      </c>
      <c r="F42" s="5">
        <v>8</v>
      </c>
      <c r="G42" s="7">
        <v>0.3</v>
      </c>
      <c r="H42" s="5">
        <v>45</v>
      </c>
      <c r="I42" s="5" t="s">
        <v>39</v>
      </c>
      <c r="J42" s="5"/>
      <c r="K42" s="5">
        <v>242</v>
      </c>
      <c r="L42" s="5">
        <f t="shared" si="15"/>
        <v>-130</v>
      </c>
      <c r="M42" s="5"/>
      <c r="N42" s="5"/>
      <c r="O42" s="5">
        <v>100</v>
      </c>
      <c r="P42" s="5">
        <v>143</v>
      </c>
      <c r="Q42" s="5">
        <f t="shared" si="16"/>
        <v>22.4</v>
      </c>
      <c r="R42" s="4">
        <f>14*Q42-P42-O42-F42</f>
        <v>62.599999999999966</v>
      </c>
      <c r="S42" s="4">
        <f t="shared" si="9"/>
        <v>63</v>
      </c>
      <c r="T42" s="17"/>
      <c r="U42" s="5">
        <f t="shared" si="17"/>
        <v>14</v>
      </c>
      <c r="V42" s="5">
        <f t="shared" si="18"/>
        <v>11.205357142857144</v>
      </c>
      <c r="W42" s="5">
        <v>25.8</v>
      </c>
      <c r="X42" s="5">
        <v>11.4</v>
      </c>
      <c r="Y42" s="5">
        <v>21.2</v>
      </c>
      <c r="Z42" s="5">
        <v>45.2</v>
      </c>
      <c r="AA42" s="5">
        <v>22.6</v>
      </c>
      <c r="AB42" s="5">
        <v>12.4</v>
      </c>
      <c r="AC42" s="5">
        <v>1.4</v>
      </c>
      <c r="AD42" s="5">
        <v>37.6</v>
      </c>
      <c r="AE42" s="5">
        <v>10.4</v>
      </c>
      <c r="AF42" s="5">
        <v>0</v>
      </c>
      <c r="AG42" s="5"/>
      <c r="AH42" s="5">
        <f t="shared" si="10"/>
        <v>18.899999999999999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 t="s">
        <v>87</v>
      </c>
      <c r="B43" s="5" t="s">
        <v>36</v>
      </c>
      <c r="C43" s="5">
        <v>663.29700000000003</v>
      </c>
      <c r="D43" s="5">
        <v>481.47800000000001</v>
      </c>
      <c r="E43" s="5">
        <v>229.18700000000001</v>
      </c>
      <c r="F43" s="5">
        <v>900.12300000000005</v>
      </c>
      <c r="G43" s="7">
        <v>1</v>
      </c>
      <c r="H43" s="5">
        <v>60</v>
      </c>
      <c r="I43" s="5" t="s">
        <v>39</v>
      </c>
      <c r="J43" s="5"/>
      <c r="K43" s="5">
        <v>232.4</v>
      </c>
      <c r="L43" s="5">
        <f t="shared" si="15"/>
        <v>-3.2129999999999939</v>
      </c>
      <c r="M43" s="5"/>
      <c r="N43" s="5"/>
      <c r="O43" s="5">
        <v>0</v>
      </c>
      <c r="P43" s="5">
        <v>0</v>
      </c>
      <c r="Q43" s="5">
        <f t="shared" si="16"/>
        <v>45.837400000000002</v>
      </c>
      <c r="R43" s="4"/>
      <c r="S43" s="4">
        <f t="shared" si="9"/>
        <v>0</v>
      </c>
      <c r="T43" s="17"/>
      <c r="U43" s="5">
        <f t="shared" si="17"/>
        <v>19.637304908219054</v>
      </c>
      <c r="V43" s="5">
        <f t="shared" si="18"/>
        <v>19.637304908219054</v>
      </c>
      <c r="W43" s="5">
        <v>32.807000000000002</v>
      </c>
      <c r="X43" s="5">
        <v>36.681600000000003</v>
      </c>
      <c r="Y43" s="5">
        <v>46.652000000000001</v>
      </c>
      <c r="Z43" s="5">
        <v>53.252200000000002</v>
      </c>
      <c r="AA43" s="5">
        <v>15.216799999999999</v>
      </c>
      <c r="AB43" s="5">
        <v>15.7242</v>
      </c>
      <c r="AC43" s="5">
        <v>31.8386</v>
      </c>
      <c r="AD43" s="5">
        <v>20.409600000000001</v>
      </c>
      <c r="AE43" s="5">
        <v>20.263400000000001</v>
      </c>
      <c r="AF43" s="5">
        <v>15.980399999999999</v>
      </c>
      <c r="AG43" s="12" t="s">
        <v>49</v>
      </c>
      <c r="AH43" s="5">
        <f t="shared" si="10"/>
        <v>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hidden="1" x14ac:dyDescent="0.25">
      <c r="A44" s="5" t="s">
        <v>88</v>
      </c>
      <c r="B44" s="5" t="s">
        <v>36</v>
      </c>
      <c r="C44" s="5">
        <v>45.039000000000001</v>
      </c>
      <c r="D44" s="5">
        <v>75.349000000000004</v>
      </c>
      <c r="E44" s="5">
        <v>89.664000000000001</v>
      </c>
      <c r="F44" s="5">
        <v>20.637</v>
      </c>
      <c r="G44" s="7">
        <v>1</v>
      </c>
      <c r="H44" s="5">
        <v>45</v>
      </c>
      <c r="I44" s="5" t="s">
        <v>39</v>
      </c>
      <c r="J44" s="5"/>
      <c r="K44" s="5">
        <v>94.2</v>
      </c>
      <c r="L44" s="5">
        <f t="shared" si="15"/>
        <v>-4.5360000000000014</v>
      </c>
      <c r="M44" s="5"/>
      <c r="N44" s="5"/>
      <c r="O44" s="5">
        <v>19</v>
      </c>
      <c r="P44" s="5">
        <v>103</v>
      </c>
      <c r="Q44" s="5">
        <f t="shared" si="16"/>
        <v>17.9328</v>
      </c>
      <c r="R44" s="4">
        <f t="shared" ref="R44:R46" si="19">14*Q44-P44-O44-F44</f>
        <v>108.4222</v>
      </c>
      <c r="S44" s="4">
        <f t="shared" si="9"/>
        <v>108</v>
      </c>
      <c r="T44" s="17"/>
      <c r="U44" s="5">
        <f t="shared" si="17"/>
        <v>14</v>
      </c>
      <c r="V44" s="5">
        <f t="shared" si="18"/>
        <v>7.9539726088508207</v>
      </c>
      <c r="W44" s="5">
        <v>15.6494</v>
      </c>
      <c r="X44" s="5">
        <v>12.670999999999999</v>
      </c>
      <c r="Y44" s="5">
        <v>16.613800000000001</v>
      </c>
      <c r="Z44" s="5">
        <v>17.702400000000001</v>
      </c>
      <c r="AA44" s="5">
        <v>10.339600000000001</v>
      </c>
      <c r="AB44" s="5">
        <v>13.245200000000001</v>
      </c>
      <c r="AC44" s="5">
        <v>13.090400000000001</v>
      </c>
      <c r="AD44" s="5">
        <v>11.298400000000001</v>
      </c>
      <c r="AE44" s="5">
        <v>4.6558000000000002</v>
      </c>
      <c r="AF44" s="5">
        <v>13.087199999999999</v>
      </c>
      <c r="AG44" s="5"/>
      <c r="AH44" s="5">
        <f t="shared" si="10"/>
        <v>108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hidden="1" x14ac:dyDescent="0.25">
      <c r="A45" s="5" t="s">
        <v>89</v>
      </c>
      <c r="B45" s="5" t="s">
        <v>36</v>
      </c>
      <c r="C45" s="5">
        <v>82.421000000000006</v>
      </c>
      <c r="D45" s="5">
        <v>163.148</v>
      </c>
      <c r="E45" s="5">
        <v>90.656999999999996</v>
      </c>
      <c r="F45" s="5">
        <v>135.619</v>
      </c>
      <c r="G45" s="7">
        <v>1</v>
      </c>
      <c r="H45" s="5">
        <v>45</v>
      </c>
      <c r="I45" s="5" t="s">
        <v>39</v>
      </c>
      <c r="J45" s="5"/>
      <c r="K45" s="5">
        <v>102.45</v>
      </c>
      <c r="L45" s="5">
        <f t="shared" si="15"/>
        <v>-11.793000000000006</v>
      </c>
      <c r="M45" s="5"/>
      <c r="N45" s="5"/>
      <c r="O45" s="5">
        <v>0</v>
      </c>
      <c r="P45" s="5">
        <v>10</v>
      </c>
      <c r="Q45" s="5">
        <f t="shared" si="16"/>
        <v>18.131399999999999</v>
      </c>
      <c r="R45" s="4">
        <f t="shared" si="19"/>
        <v>108.22059999999999</v>
      </c>
      <c r="S45" s="4">
        <f t="shared" si="9"/>
        <v>108</v>
      </c>
      <c r="T45" s="17"/>
      <c r="U45" s="5">
        <f t="shared" si="17"/>
        <v>14</v>
      </c>
      <c r="V45" s="5">
        <f t="shared" si="18"/>
        <v>8.031315838821051</v>
      </c>
      <c r="W45" s="5">
        <v>12.0776</v>
      </c>
      <c r="X45" s="5">
        <v>13.896599999999999</v>
      </c>
      <c r="Y45" s="5">
        <v>19.759399999999999</v>
      </c>
      <c r="Z45" s="5">
        <v>14.8596</v>
      </c>
      <c r="AA45" s="5">
        <v>11.2278</v>
      </c>
      <c r="AB45" s="5">
        <v>8.8872</v>
      </c>
      <c r="AC45" s="5">
        <v>4.9942000000000002</v>
      </c>
      <c r="AD45" s="5">
        <v>14.587400000000001</v>
      </c>
      <c r="AE45" s="5">
        <v>10.8218</v>
      </c>
      <c r="AF45" s="5">
        <v>7.1630000000000003</v>
      </c>
      <c r="AG45" s="5"/>
      <c r="AH45" s="5">
        <f t="shared" si="10"/>
        <v>108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hidden="1" x14ac:dyDescent="0.25">
      <c r="A46" s="5" t="s">
        <v>90</v>
      </c>
      <c r="B46" s="5" t="s">
        <v>36</v>
      </c>
      <c r="C46" s="5">
        <v>128.666</v>
      </c>
      <c r="D46" s="5">
        <v>12.448</v>
      </c>
      <c r="E46" s="5">
        <v>75.284000000000006</v>
      </c>
      <c r="F46" s="5">
        <v>57.286999999999999</v>
      </c>
      <c r="G46" s="7">
        <v>1</v>
      </c>
      <c r="H46" s="5">
        <v>45</v>
      </c>
      <c r="I46" s="5" t="s">
        <v>39</v>
      </c>
      <c r="J46" s="5"/>
      <c r="K46" s="5">
        <v>92</v>
      </c>
      <c r="L46" s="5">
        <f t="shared" si="15"/>
        <v>-16.715999999999994</v>
      </c>
      <c r="M46" s="5"/>
      <c r="N46" s="5"/>
      <c r="O46" s="5">
        <v>0</v>
      </c>
      <c r="P46" s="5">
        <v>35</v>
      </c>
      <c r="Q46" s="5">
        <f t="shared" si="16"/>
        <v>15.056800000000001</v>
      </c>
      <c r="R46" s="4">
        <f t="shared" si="19"/>
        <v>118.50820000000002</v>
      </c>
      <c r="S46" s="4">
        <f t="shared" si="9"/>
        <v>119</v>
      </c>
      <c r="T46" s="17"/>
      <c r="U46" s="5">
        <f t="shared" si="17"/>
        <v>14</v>
      </c>
      <c r="V46" s="5">
        <f t="shared" si="18"/>
        <v>6.1292572126879552</v>
      </c>
      <c r="W46" s="5">
        <v>10.8932</v>
      </c>
      <c r="X46" s="5">
        <v>5.9122000000000003</v>
      </c>
      <c r="Y46" s="5">
        <v>11.0404</v>
      </c>
      <c r="Z46" s="5">
        <v>17.397600000000001</v>
      </c>
      <c r="AA46" s="5">
        <v>6.0191999999999997</v>
      </c>
      <c r="AB46" s="5">
        <v>11.008599999999999</v>
      </c>
      <c r="AC46" s="5">
        <v>8.0839999999999996</v>
      </c>
      <c r="AD46" s="5">
        <v>12.8954</v>
      </c>
      <c r="AE46" s="5">
        <v>8.7932000000000006</v>
      </c>
      <c r="AF46" s="5">
        <v>8.6042000000000005</v>
      </c>
      <c r="AG46" s="5"/>
      <c r="AH46" s="5">
        <f t="shared" si="10"/>
        <v>119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hidden="1" x14ac:dyDescent="0.25">
      <c r="A47" s="5" t="s">
        <v>91</v>
      </c>
      <c r="B47" s="5" t="s">
        <v>42</v>
      </c>
      <c r="C47" s="5">
        <v>4</v>
      </c>
      <c r="D47" s="5">
        <v>506</v>
      </c>
      <c r="E47" s="5">
        <v>429</v>
      </c>
      <c r="F47" s="5">
        <v>30</v>
      </c>
      <c r="G47" s="7">
        <v>0.3</v>
      </c>
      <c r="H47" s="5">
        <v>45</v>
      </c>
      <c r="I47" s="5" t="s">
        <v>39</v>
      </c>
      <c r="J47" s="5"/>
      <c r="K47" s="5">
        <v>494</v>
      </c>
      <c r="L47" s="5">
        <f t="shared" si="15"/>
        <v>-65</v>
      </c>
      <c r="M47" s="5"/>
      <c r="N47" s="5"/>
      <c r="O47" s="5">
        <v>231</v>
      </c>
      <c r="P47" s="5">
        <v>0</v>
      </c>
      <c r="Q47" s="5">
        <f t="shared" si="16"/>
        <v>85.8</v>
      </c>
      <c r="R47" s="4">
        <f>11*Q47-P47-O47-F47</f>
        <v>682.8</v>
      </c>
      <c r="S47" s="4">
        <f t="shared" si="9"/>
        <v>683</v>
      </c>
      <c r="T47" s="17"/>
      <c r="U47" s="5">
        <f t="shared" si="17"/>
        <v>11</v>
      </c>
      <c r="V47" s="5">
        <f t="shared" si="18"/>
        <v>3.0419580419580421</v>
      </c>
      <c r="W47" s="5">
        <v>35.799999999999997</v>
      </c>
      <c r="X47" s="5">
        <v>58.4</v>
      </c>
      <c r="Y47" s="5">
        <v>64.8</v>
      </c>
      <c r="Z47" s="5">
        <v>52.8</v>
      </c>
      <c r="AA47" s="5">
        <v>58.8</v>
      </c>
      <c r="AB47" s="5">
        <v>86.4</v>
      </c>
      <c r="AC47" s="5">
        <v>56.2</v>
      </c>
      <c r="AD47" s="5">
        <v>68.400000000000006</v>
      </c>
      <c r="AE47" s="5">
        <v>71.2</v>
      </c>
      <c r="AF47" s="5">
        <v>74.400000000000006</v>
      </c>
      <c r="AG47" s="5"/>
      <c r="AH47" s="5">
        <f t="shared" si="10"/>
        <v>204.9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s="23" customFormat="1" hidden="1" x14ac:dyDescent="0.25">
      <c r="A48" s="19" t="s">
        <v>92</v>
      </c>
      <c r="B48" s="19" t="s">
        <v>36</v>
      </c>
      <c r="C48" s="19"/>
      <c r="D48" s="19"/>
      <c r="E48" s="19"/>
      <c r="F48" s="19"/>
      <c r="G48" s="20">
        <v>1</v>
      </c>
      <c r="H48" s="19"/>
      <c r="I48" s="19" t="s">
        <v>39</v>
      </c>
      <c r="J48" s="19"/>
      <c r="K48" s="19">
        <v>2</v>
      </c>
      <c r="L48" s="19">
        <f t="shared" si="15"/>
        <v>-2</v>
      </c>
      <c r="M48" s="19"/>
      <c r="N48" s="19"/>
      <c r="O48" s="19">
        <v>0</v>
      </c>
      <c r="P48" s="19">
        <v>0</v>
      </c>
      <c r="Q48" s="19">
        <f t="shared" si="16"/>
        <v>0</v>
      </c>
      <c r="R48" s="21">
        <f>T48</f>
        <v>50</v>
      </c>
      <c r="S48" s="4">
        <f t="shared" si="9"/>
        <v>50</v>
      </c>
      <c r="T48" s="22">
        <v>50</v>
      </c>
      <c r="U48" s="19" t="e">
        <f t="shared" si="17"/>
        <v>#DIV/0!</v>
      </c>
      <c r="V48" s="19" t="e">
        <f t="shared" si="18"/>
        <v>#DIV/0!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 t="s">
        <v>175</v>
      </c>
      <c r="AH48" s="5">
        <f t="shared" si="10"/>
        <v>50</v>
      </c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</row>
    <row r="49" spans="1:50" hidden="1" x14ac:dyDescent="0.25">
      <c r="A49" s="5" t="s">
        <v>93</v>
      </c>
      <c r="B49" s="5" t="s">
        <v>36</v>
      </c>
      <c r="C49" s="5">
        <v>33.85</v>
      </c>
      <c r="D49" s="5">
        <v>85.385000000000005</v>
      </c>
      <c r="E49" s="5">
        <v>53.158999999999999</v>
      </c>
      <c r="F49" s="5">
        <v>53.073</v>
      </c>
      <c r="G49" s="7">
        <v>1</v>
      </c>
      <c r="H49" s="5">
        <v>45</v>
      </c>
      <c r="I49" s="5" t="s">
        <v>39</v>
      </c>
      <c r="J49" s="5"/>
      <c r="K49" s="5">
        <v>57.5</v>
      </c>
      <c r="L49" s="5">
        <f t="shared" si="15"/>
        <v>-4.3410000000000011</v>
      </c>
      <c r="M49" s="5"/>
      <c r="N49" s="5"/>
      <c r="O49" s="5">
        <v>151</v>
      </c>
      <c r="P49" s="5">
        <v>0</v>
      </c>
      <c r="Q49" s="5">
        <f t="shared" si="16"/>
        <v>10.6318</v>
      </c>
      <c r="R49" s="4"/>
      <c r="S49" s="4">
        <f t="shared" si="9"/>
        <v>0</v>
      </c>
      <c r="T49" s="17"/>
      <c r="U49" s="5">
        <f t="shared" si="17"/>
        <v>19.19458605316127</v>
      </c>
      <c r="V49" s="5">
        <f t="shared" si="18"/>
        <v>19.19458605316127</v>
      </c>
      <c r="W49" s="5">
        <v>4.3406000000000002</v>
      </c>
      <c r="X49" s="5">
        <v>15.939</v>
      </c>
      <c r="Y49" s="5">
        <v>6.1928000000000001</v>
      </c>
      <c r="Z49" s="5">
        <v>6.7195999999999998</v>
      </c>
      <c r="AA49" s="5">
        <v>2.1467999999999998</v>
      </c>
      <c r="AB49" s="5">
        <v>2.1526000000000001</v>
      </c>
      <c r="AC49" s="5">
        <v>2.4722</v>
      </c>
      <c r="AD49" s="5">
        <v>1.8528</v>
      </c>
      <c r="AE49" s="5">
        <v>4.0805999999999996</v>
      </c>
      <c r="AF49" s="5">
        <v>3.7909999999999999</v>
      </c>
      <c r="AG49" s="5"/>
      <c r="AH49" s="5">
        <f t="shared" si="10"/>
        <v>0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hidden="1" x14ac:dyDescent="0.25">
      <c r="A50" s="5" t="s">
        <v>94</v>
      </c>
      <c r="B50" s="5" t="s">
        <v>42</v>
      </c>
      <c r="C50" s="5">
        <v>469</v>
      </c>
      <c r="D50" s="5">
        <v>1078</v>
      </c>
      <c r="E50" s="5">
        <v>846</v>
      </c>
      <c r="F50" s="5">
        <v>621</v>
      </c>
      <c r="G50" s="7">
        <v>0.35</v>
      </c>
      <c r="H50" s="5">
        <v>45</v>
      </c>
      <c r="I50" s="5" t="s">
        <v>39</v>
      </c>
      <c r="J50" s="5"/>
      <c r="K50" s="5">
        <v>910</v>
      </c>
      <c r="L50" s="5">
        <f t="shared" si="15"/>
        <v>-64</v>
      </c>
      <c r="M50" s="5"/>
      <c r="N50" s="5"/>
      <c r="O50" s="5">
        <v>0</v>
      </c>
      <c r="P50" s="5">
        <v>548</v>
      </c>
      <c r="Q50" s="5">
        <f t="shared" si="16"/>
        <v>169.2</v>
      </c>
      <c r="R50" s="4">
        <f t="shared" ref="R50:R52" si="20">13*Q50-P50-O50-F50</f>
        <v>1030.5999999999999</v>
      </c>
      <c r="S50" s="4">
        <f t="shared" si="9"/>
        <v>1031</v>
      </c>
      <c r="T50" s="17"/>
      <c r="U50" s="5">
        <f t="shared" si="17"/>
        <v>13</v>
      </c>
      <c r="V50" s="5">
        <f t="shared" si="18"/>
        <v>6.9089834515366437</v>
      </c>
      <c r="W50" s="5">
        <v>109.4</v>
      </c>
      <c r="X50" s="5">
        <v>94.4</v>
      </c>
      <c r="Y50" s="5">
        <v>139</v>
      </c>
      <c r="Z50" s="5">
        <v>135.4</v>
      </c>
      <c r="AA50" s="5">
        <v>91.2</v>
      </c>
      <c r="AB50" s="5">
        <v>124.2</v>
      </c>
      <c r="AC50" s="5">
        <v>106.4</v>
      </c>
      <c r="AD50" s="5">
        <v>105.4</v>
      </c>
      <c r="AE50" s="5">
        <v>105</v>
      </c>
      <c r="AF50" s="5">
        <v>115.8</v>
      </c>
      <c r="AG50" s="5"/>
      <c r="AH50" s="5">
        <f t="shared" si="10"/>
        <v>360.84999999999997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hidden="1" x14ac:dyDescent="0.25">
      <c r="A51" s="5" t="s">
        <v>95</v>
      </c>
      <c r="B51" s="5" t="s">
        <v>42</v>
      </c>
      <c r="C51" s="5">
        <v>563</v>
      </c>
      <c r="D51" s="5">
        <v>41</v>
      </c>
      <c r="E51" s="5">
        <v>234</v>
      </c>
      <c r="F51" s="5">
        <v>264</v>
      </c>
      <c r="G51" s="7">
        <v>0.41</v>
      </c>
      <c r="H51" s="5">
        <v>45</v>
      </c>
      <c r="I51" s="5" t="s">
        <v>39</v>
      </c>
      <c r="J51" s="5"/>
      <c r="K51" s="5">
        <v>461</v>
      </c>
      <c r="L51" s="5">
        <f t="shared" si="15"/>
        <v>-227</v>
      </c>
      <c r="M51" s="5"/>
      <c r="N51" s="5"/>
      <c r="O51" s="5">
        <v>0</v>
      </c>
      <c r="P51" s="5">
        <v>22</v>
      </c>
      <c r="Q51" s="5">
        <f t="shared" si="16"/>
        <v>46.8</v>
      </c>
      <c r="R51" s="4">
        <f t="shared" si="20"/>
        <v>322.39999999999998</v>
      </c>
      <c r="S51" s="4">
        <f t="shared" si="9"/>
        <v>322</v>
      </c>
      <c r="T51" s="17"/>
      <c r="U51" s="5">
        <f t="shared" si="17"/>
        <v>13</v>
      </c>
      <c r="V51" s="5">
        <f t="shared" si="18"/>
        <v>6.1111111111111116</v>
      </c>
      <c r="W51" s="5">
        <v>39</v>
      </c>
      <c r="X51" s="5">
        <v>41</v>
      </c>
      <c r="Y51" s="5">
        <v>31</v>
      </c>
      <c r="Z51" s="5">
        <v>61.6</v>
      </c>
      <c r="AA51" s="5">
        <v>47</v>
      </c>
      <c r="AB51" s="5">
        <v>55.4</v>
      </c>
      <c r="AC51" s="5">
        <v>47.6</v>
      </c>
      <c r="AD51" s="5">
        <v>73.2</v>
      </c>
      <c r="AE51" s="5">
        <v>41.4</v>
      </c>
      <c r="AF51" s="5">
        <v>61.8</v>
      </c>
      <c r="AG51" s="5"/>
      <c r="AH51" s="5">
        <f t="shared" si="10"/>
        <v>132.01999999999998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hidden="1" x14ac:dyDescent="0.25">
      <c r="A52" s="5" t="s">
        <v>96</v>
      </c>
      <c r="B52" s="5" t="s">
        <v>42</v>
      </c>
      <c r="C52" s="5">
        <v>121</v>
      </c>
      <c r="D52" s="5">
        <v>202</v>
      </c>
      <c r="E52" s="5">
        <v>288</v>
      </c>
      <c r="F52" s="5">
        <v>29</v>
      </c>
      <c r="G52" s="7">
        <v>0.41</v>
      </c>
      <c r="H52" s="5">
        <v>45</v>
      </c>
      <c r="I52" s="5" t="s">
        <v>39</v>
      </c>
      <c r="J52" s="5"/>
      <c r="K52" s="5">
        <v>318</v>
      </c>
      <c r="L52" s="5">
        <f t="shared" si="15"/>
        <v>-30</v>
      </c>
      <c r="M52" s="5"/>
      <c r="N52" s="5"/>
      <c r="O52" s="5">
        <v>0</v>
      </c>
      <c r="P52" s="5">
        <v>356</v>
      </c>
      <c r="Q52" s="5">
        <f t="shared" si="16"/>
        <v>57.6</v>
      </c>
      <c r="R52" s="4">
        <f t="shared" si="20"/>
        <v>363.80000000000007</v>
      </c>
      <c r="S52" s="4">
        <f t="shared" si="9"/>
        <v>364</v>
      </c>
      <c r="T52" s="17"/>
      <c r="U52" s="5">
        <f t="shared" si="17"/>
        <v>13</v>
      </c>
      <c r="V52" s="5">
        <f t="shared" si="18"/>
        <v>6.6840277777777777</v>
      </c>
      <c r="W52" s="5">
        <v>35.6</v>
      </c>
      <c r="X52" s="5">
        <v>12.4</v>
      </c>
      <c r="Y52" s="5">
        <v>28</v>
      </c>
      <c r="Z52" s="5">
        <v>35</v>
      </c>
      <c r="AA52" s="5">
        <v>20.2</v>
      </c>
      <c r="AB52" s="5">
        <v>21.2</v>
      </c>
      <c r="AC52" s="5">
        <v>21.2</v>
      </c>
      <c r="AD52" s="5">
        <v>22.8</v>
      </c>
      <c r="AE52" s="5">
        <v>28.6</v>
      </c>
      <c r="AF52" s="5">
        <v>24</v>
      </c>
      <c r="AG52" s="5"/>
      <c r="AH52" s="5">
        <f t="shared" si="10"/>
        <v>149.23999999999998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9" t="s">
        <v>97</v>
      </c>
      <c r="B53" s="9" t="s">
        <v>36</v>
      </c>
      <c r="C53" s="9">
        <v>16.449000000000002</v>
      </c>
      <c r="D53" s="9"/>
      <c r="E53" s="9"/>
      <c r="F53" s="9">
        <v>16.449000000000002</v>
      </c>
      <c r="G53" s="10">
        <v>0</v>
      </c>
      <c r="H53" s="9">
        <v>30</v>
      </c>
      <c r="I53" s="9" t="s">
        <v>37</v>
      </c>
      <c r="J53" s="9"/>
      <c r="K53" s="9"/>
      <c r="L53" s="9">
        <f t="shared" si="15"/>
        <v>0</v>
      </c>
      <c r="M53" s="9"/>
      <c r="N53" s="9"/>
      <c r="O53" s="9">
        <v>0</v>
      </c>
      <c r="P53" s="9">
        <v>0</v>
      </c>
      <c r="Q53" s="9">
        <f t="shared" si="16"/>
        <v>0</v>
      </c>
      <c r="R53" s="11"/>
      <c r="S53" s="4">
        <f t="shared" si="9"/>
        <v>0</v>
      </c>
      <c r="T53" s="16"/>
      <c r="U53" s="9" t="e">
        <f t="shared" si="17"/>
        <v>#DIV/0!</v>
      </c>
      <c r="V53" s="9" t="e">
        <f t="shared" si="18"/>
        <v>#DIV/0!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 t="s">
        <v>49</v>
      </c>
      <c r="AH53" s="5">
        <f t="shared" si="10"/>
        <v>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hidden="1" x14ac:dyDescent="0.25">
      <c r="A54" s="5" t="s">
        <v>98</v>
      </c>
      <c r="B54" s="5" t="s">
        <v>42</v>
      </c>
      <c r="C54" s="5"/>
      <c r="D54" s="5"/>
      <c r="E54" s="5"/>
      <c r="F54" s="5"/>
      <c r="G54" s="7">
        <v>0.36</v>
      </c>
      <c r="H54" s="5">
        <v>45</v>
      </c>
      <c r="I54" s="5" t="s">
        <v>39</v>
      </c>
      <c r="J54" s="5"/>
      <c r="K54" s="5">
        <v>64</v>
      </c>
      <c r="L54" s="5">
        <f t="shared" si="15"/>
        <v>-64</v>
      </c>
      <c r="M54" s="5"/>
      <c r="N54" s="5"/>
      <c r="O54" s="5">
        <v>0</v>
      </c>
      <c r="P54" s="5">
        <v>36</v>
      </c>
      <c r="Q54" s="5">
        <f t="shared" si="16"/>
        <v>0</v>
      </c>
      <c r="R54" s="4">
        <v>30</v>
      </c>
      <c r="S54" s="4">
        <f t="shared" si="9"/>
        <v>30</v>
      </c>
      <c r="T54" s="17"/>
      <c r="U54" s="5" t="e">
        <f t="shared" si="17"/>
        <v>#DIV/0!</v>
      </c>
      <c r="V54" s="5" t="e">
        <f t="shared" si="18"/>
        <v>#DIV/0!</v>
      </c>
      <c r="W54" s="5">
        <v>0</v>
      </c>
      <c r="X54" s="5">
        <v>-0.4</v>
      </c>
      <c r="Y54" s="5">
        <v>0</v>
      </c>
      <c r="Z54" s="5">
        <v>-0.8</v>
      </c>
      <c r="AA54" s="5">
        <v>-1.4</v>
      </c>
      <c r="AB54" s="5">
        <v>-0.6</v>
      </c>
      <c r="AC54" s="5">
        <v>-1</v>
      </c>
      <c r="AD54" s="5">
        <v>-0.6</v>
      </c>
      <c r="AE54" s="5">
        <v>-2.4</v>
      </c>
      <c r="AF54" s="5">
        <v>5.2</v>
      </c>
      <c r="AG54" s="5" t="s">
        <v>99</v>
      </c>
      <c r="AH54" s="5">
        <f t="shared" si="10"/>
        <v>10.799999999999999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hidden="1" x14ac:dyDescent="0.25">
      <c r="A55" s="9" t="s">
        <v>100</v>
      </c>
      <c r="B55" s="9" t="s">
        <v>36</v>
      </c>
      <c r="C55" s="9">
        <v>43.12</v>
      </c>
      <c r="D55" s="9"/>
      <c r="E55" s="9"/>
      <c r="F55" s="9"/>
      <c r="G55" s="10">
        <v>0</v>
      </c>
      <c r="H55" s="9">
        <v>45</v>
      </c>
      <c r="I55" s="9" t="s">
        <v>37</v>
      </c>
      <c r="J55" s="9"/>
      <c r="K55" s="9"/>
      <c r="L55" s="9">
        <f t="shared" si="15"/>
        <v>0</v>
      </c>
      <c r="M55" s="9"/>
      <c r="N55" s="9"/>
      <c r="O55" s="9">
        <v>0</v>
      </c>
      <c r="P55" s="9">
        <v>0</v>
      </c>
      <c r="Q55" s="9">
        <f t="shared" si="16"/>
        <v>0</v>
      </c>
      <c r="R55" s="11"/>
      <c r="S55" s="4">
        <f t="shared" si="9"/>
        <v>0</v>
      </c>
      <c r="T55" s="16"/>
      <c r="U55" s="9" t="e">
        <f t="shared" si="17"/>
        <v>#DIV/0!</v>
      </c>
      <c r="V55" s="9" t="e">
        <f t="shared" si="18"/>
        <v>#DIV/0!</v>
      </c>
      <c r="W55" s="9">
        <v>0</v>
      </c>
      <c r="X55" s="9">
        <v>0</v>
      </c>
      <c r="Y55" s="9">
        <v>0.21740000000000001</v>
      </c>
      <c r="Z55" s="9">
        <v>0.64660000000000006</v>
      </c>
      <c r="AA55" s="9">
        <v>0.2152</v>
      </c>
      <c r="AB55" s="9">
        <v>0.21940000000000001</v>
      </c>
      <c r="AC55" s="9">
        <v>0</v>
      </c>
      <c r="AD55" s="9">
        <v>0.21940000000000001</v>
      </c>
      <c r="AE55" s="9">
        <v>1.0768</v>
      </c>
      <c r="AF55" s="9">
        <v>0.21679999999999999</v>
      </c>
      <c r="AG55" s="9" t="s">
        <v>49</v>
      </c>
      <c r="AH55" s="5">
        <f t="shared" si="10"/>
        <v>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hidden="1" x14ac:dyDescent="0.25">
      <c r="A56" s="5" t="s">
        <v>101</v>
      </c>
      <c r="B56" s="5" t="s">
        <v>42</v>
      </c>
      <c r="C56" s="5">
        <v>81</v>
      </c>
      <c r="D56" s="5">
        <v>41</v>
      </c>
      <c r="E56" s="5">
        <v>101</v>
      </c>
      <c r="F56" s="5">
        <v>12</v>
      </c>
      <c r="G56" s="7">
        <v>0.33</v>
      </c>
      <c r="H56" s="5">
        <v>45</v>
      </c>
      <c r="I56" s="5" t="s">
        <v>39</v>
      </c>
      <c r="J56" s="5"/>
      <c r="K56" s="5">
        <v>113</v>
      </c>
      <c r="L56" s="5">
        <f t="shared" si="15"/>
        <v>-12</v>
      </c>
      <c r="M56" s="5"/>
      <c r="N56" s="5"/>
      <c r="O56" s="5">
        <v>0</v>
      </c>
      <c r="P56" s="5">
        <v>103</v>
      </c>
      <c r="Q56" s="5">
        <f t="shared" si="16"/>
        <v>20.2</v>
      </c>
      <c r="R56" s="4">
        <f t="shared" ref="R56:R57" si="21">14*Q56-P56-O56-F56</f>
        <v>167.8</v>
      </c>
      <c r="S56" s="4">
        <f t="shared" si="9"/>
        <v>168</v>
      </c>
      <c r="T56" s="17"/>
      <c r="U56" s="5">
        <f t="shared" si="17"/>
        <v>14.000000000000002</v>
      </c>
      <c r="V56" s="5">
        <f t="shared" si="18"/>
        <v>5.6930693069306937</v>
      </c>
      <c r="W56" s="5">
        <v>12.8</v>
      </c>
      <c r="X56" s="5">
        <v>2.2000000000000002</v>
      </c>
      <c r="Y56" s="5">
        <v>11.4</v>
      </c>
      <c r="Z56" s="5">
        <v>17</v>
      </c>
      <c r="AA56" s="5">
        <v>0</v>
      </c>
      <c r="AB56" s="5">
        <v>15.8</v>
      </c>
      <c r="AC56" s="5">
        <v>7.8</v>
      </c>
      <c r="AD56" s="5">
        <v>4.2</v>
      </c>
      <c r="AE56" s="5">
        <v>11.8</v>
      </c>
      <c r="AF56" s="5">
        <v>12.6</v>
      </c>
      <c r="AG56" s="5" t="s">
        <v>102</v>
      </c>
      <c r="AH56" s="5">
        <f t="shared" si="10"/>
        <v>55.440000000000005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hidden="1" x14ac:dyDescent="0.25">
      <c r="A57" s="5" t="s">
        <v>103</v>
      </c>
      <c r="B57" s="5" t="s">
        <v>42</v>
      </c>
      <c r="C57" s="5">
        <v>320</v>
      </c>
      <c r="D57" s="5">
        <v>67</v>
      </c>
      <c r="E57" s="5">
        <v>192</v>
      </c>
      <c r="F57" s="5">
        <v>158</v>
      </c>
      <c r="G57" s="7">
        <v>0.4</v>
      </c>
      <c r="H57" s="5">
        <v>60</v>
      </c>
      <c r="I57" s="5" t="s">
        <v>39</v>
      </c>
      <c r="J57" s="5"/>
      <c r="K57" s="5">
        <v>240</v>
      </c>
      <c r="L57" s="5">
        <f t="shared" si="15"/>
        <v>-48</v>
      </c>
      <c r="M57" s="5"/>
      <c r="N57" s="5"/>
      <c r="O57" s="5">
        <v>0</v>
      </c>
      <c r="P57" s="5">
        <v>85</v>
      </c>
      <c r="Q57" s="5">
        <f t="shared" si="16"/>
        <v>38.4</v>
      </c>
      <c r="R57" s="4">
        <f t="shared" si="21"/>
        <v>294.60000000000002</v>
      </c>
      <c r="S57" s="4">
        <f t="shared" si="9"/>
        <v>295</v>
      </c>
      <c r="T57" s="17"/>
      <c r="U57" s="5">
        <f t="shared" si="17"/>
        <v>14.000000000000002</v>
      </c>
      <c r="V57" s="5">
        <f t="shared" si="18"/>
        <v>6.328125</v>
      </c>
      <c r="W57" s="5">
        <v>27</v>
      </c>
      <c r="X57" s="5">
        <v>20.8</v>
      </c>
      <c r="Y57" s="5">
        <v>30.2</v>
      </c>
      <c r="Z57" s="5">
        <v>34.6</v>
      </c>
      <c r="AA57" s="5">
        <v>33.799999999999997</v>
      </c>
      <c r="AB57" s="5">
        <v>24.2</v>
      </c>
      <c r="AC57" s="5">
        <v>14.6</v>
      </c>
      <c r="AD57" s="5">
        <v>28</v>
      </c>
      <c r="AE57" s="5">
        <v>41.8</v>
      </c>
      <c r="AF57" s="5">
        <v>2.8</v>
      </c>
      <c r="AG57" s="5"/>
      <c r="AH57" s="5">
        <f t="shared" si="10"/>
        <v>118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hidden="1" x14ac:dyDescent="0.25">
      <c r="A58" s="5" t="s">
        <v>104</v>
      </c>
      <c r="B58" s="5" t="s">
        <v>42</v>
      </c>
      <c r="C58" s="5">
        <v>28</v>
      </c>
      <c r="D58" s="5"/>
      <c r="E58" s="5">
        <v>-3</v>
      </c>
      <c r="F58" s="5">
        <v>1</v>
      </c>
      <c r="G58" s="7">
        <v>0.33</v>
      </c>
      <c r="H58" s="5">
        <v>45</v>
      </c>
      <c r="I58" s="5" t="s">
        <v>39</v>
      </c>
      <c r="J58" s="5"/>
      <c r="K58" s="5">
        <v>37</v>
      </c>
      <c r="L58" s="5">
        <f t="shared" si="15"/>
        <v>-40</v>
      </c>
      <c r="M58" s="5"/>
      <c r="N58" s="5"/>
      <c r="O58" s="5">
        <v>0</v>
      </c>
      <c r="P58" s="5">
        <v>0</v>
      </c>
      <c r="Q58" s="5">
        <f t="shared" si="16"/>
        <v>-0.6</v>
      </c>
      <c r="R58" s="4">
        <v>20</v>
      </c>
      <c r="S58" s="4">
        <f t="shared" si="9"/>
        <v>20</v>
      </c>
      <c r="T58" s="17"/>
      <c r="U58" s="5">
        <f t="shared" si="17"/>
        <v>-35</v>
      </c>
      <c r="V58" s="5">
        <f t="shared" si="18"/>
        <v>-1.6666666666666667</v>
      </c>
      <c r="W58" s="5">
        <v>0</v>
      </c>
      <c r="X58" s="5">
        <v>0.8</v>
      </c>
      <c r="Y58" s="5">
        <v>1.4</v>
      </c>
      <c r="Z58" s="5">
        <v>3.2</v>
      </c>
      <c r="AA58" s="5">
        <v>2.6</v>
      </c>
      <c r="AB58" s="5">
        <v>0.8</v>
      </c>
      <c r="AC58" s="5">
        <v>2.6</v>
      </c>
      <c r="AD58" s="5">
        <v>2</v>
      </c>
      <c r="AE58" s="5">
        <v>3</v>
      </c>
      <c r="AF58" s="5">
        <v>9.8000000000000007</v>
      </c>
      <c r="AG58" s="14" t="s">
        <v>167</v>
      </c>
      <c r="AH58" s="5">
        <f t="shared" si="10"/>
        <v>6.6000000000000005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hidden="1" x14ac:dyDescent="0.25">
      <c r="A59" s="5" t="s">
        <v>105</v>
      </c>
      <c r="B59" s="5" t="s">
        <v>36</v>
      </c>
      <c r="C59" s="5">
        <v>206.642</v>
      </c>
      <c r="D59" s="5">
        <v>424.35300000000001</v>
      </c>
      <c r="E59" s="5">
        <v>307.16699999999997</v>
      </c>
      <c r="F59" s="5">
        <v>294.55099999999999</v>
      </c>
      <c r="G59" s="7">
        <v>1</v>
      </c>
      <c r="H59" s="5">
        <v>45</v>
      </c>
      <c r="I59" s="5" t="s">
        <v>39</v>
      </c>
      <c r="J59" s="5"/>
      <c r="K59" s="5">
        <v>322.16699999999997</v>
      </c>
      <c r="L59" s="5">
        <f t="shared" si="15"/>
        <v>-15</v>
      </c>
      <c r="M59" s="5"/>
      <c r="N59" s="5"/>
      <c r="O59" s="5">
        <v>0</v>
      </c>
      <c r="P59" s="5">
        <v>199</v>
      </c>
      <c r="Q59" s="5">
        <f t="shared" si="16"/>
        <v>61.433399999999992</v>
      </c>
      <c r="R59" s="4">
        <f>13*Q59-P59-O59-F59</f>
        <v>305.08319999999986</v>
      </c>
      <c r="S59" s="4">
        <f t="shared" si="9"/>
        <v>305</v>
      </c>
      <c r="T59" s="17"/>
      <c r="U59" s="5">
        <f t="shared" si="17"/>
        <v>13</v>
      </c>
      <c r="V59" s="5">
        <f t="shared" si="18"/>
        <v>8.033919659338407</v>
      </c>
      <c r="W59" s="5">
        <v>54.076999999999998</v>
      </c>
      <c r="X59" s="5">
        <v>13.7126</v>
      </c>
      <c r="Y59" s="5">
        <v>63.340599999999988</v>
      </c>
      <c r="Z59" s="5">
        <v>57.431199999999997</v>
      </c>
      <c r="AA59" s="5">
        <v>38.247</v>
      </c>
      <c r="AB59" s="5">
        <v>48.421199999999999</v>
      </c>
      <c r="AC59" s="5">
        <v>35.937800000000003</v>
      </c>
      <c r="AD59" s="5">
        <v>37.403599999999997</v>
      </c>
      <c r="AE59" s="5">
        <v>36.323599999999999</v>
      </c>
      <c r="AF59" s="5">
        <v>40.341200000000001</v>
      </c>
      <c r="AG59" s="5"/>
      <c r="AH59" s="5">
        <f t="shared" si="10"/>
        <v>305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 t="s">
        <v>106</v>
      </c>
      <c r="B60" s="5" t="s">
        <v>42</v>
      </c>
      <c r="C60" s="5">
        <v>114</v>
      </c>
      <c r="D60" s="5"/>
      <c r="E60" s="5"/>
      <c r="F60" s="5">
        <v>114</v>
      </c>
      <c r="G60" s="7">
        <v>0.4</v>
      </c>
      <c r="H60" s="5">
        <v>45</v>
      </c>
      <c r="I60" s="5" t="s">
        <v>39</v>
      </c>
      <c r="J60" s="5"/>
      <c r="K60" s="5">
        <v>169</v>
      </c>
      <c r="L60" s="5">
        <f t="shared" si="15"/>
        <v>-169</v>
      </c>
      <c r="M60" s="5"/>
      <c r="N60" s="5"/>
      <c r="O60" s="5">
        <v>0</v>
      </c>
      <c r="P60" s="5">
        <v>0</v>
      </c>
      <c r="Q60" s="5">
        <f t="shared" si="16"/>
        <v>0</v>
      </c>
      <c r="R60" s="4"/>
      <c r="S60" s="4">
        <f t="shared" si="9"/>
        <v>0</v>
      </c>
      <c r="T60" s="17"/>
      <c r="U60" s="5" t="e">
        <f t="shared" si="17"/>
        <v>#DIV/0!</v>
      </c>
      <c r="V60" s="5" t="e">
        <f t="shared" si="18"/>
        <v>#DIV/0!</v>
      </c>
      <c r="W60" s="5">
        <v>-0.4</v>
      </c>
      <c r="X60" s="5">
        <v>-0.2</v>
      </c>
      <c r="Y60" s="5">
        <v>-2.4</v>
      </c>
      <c r="Z60" s="5">
        <v>-3.4</v>
      </c>
      <c r="AA60" s="5">
        <v>1</v>
      </c>
      <c r="AB60" s="5">
        <v>-1.6</v>
      </c>
      <c r="AC60" s="5">
        <v>10.4</v>
      </c>
      <c r="AD60" s="5">
        <v>15.8</v>
      </c>
      <c r="AE60" s="5">
        <v>16</v>
      </c>
      <c r="AF60" s="5">
        <v>17.2</v>
      </c>
      <c r="AG60" s="12" t="s">
        <v>49</v>
      </c>
      <c r="AH60" s="5">
        <f t="shared" si="10"/>
        <v>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hidden="1" x14ac:dyDescent="0.25">
      <c r="A61" s="9" t="s">
        <v>107</v>
      </c>
      <c r="B61" s="9" t="s">
        <v>36</v>
      </c>
      <c r="C61" s="9"/>
      <c r="D61" s="9"/>
      <c r="E61" s="9"/>
      <c r="F61" s="9"/>
      <c r="G61" s="10">
        <v>0</v>
      </c>
      <c r="H61" s="9"/>
      <c r="I61" s="9" t="s">
        <v>39</v>
      </c>
      <c r="J61" s="9"/>
      <c r="K61" s="9">
        <v>12</v>
      </c>
      <c r="L61" s="9">
        <f t="shared" si="15"/>
        <v>-12</v>
      </c>
      <c r="M61" s="9"/>
      <c r="N61" s="9"/>
      <c r="O61" s="9">
        <v>0</v>
      </c>
      <c r="P61" s="9">
        <v>0</v>
      </c>
      <c r="Q61" s="9">
        <f t="shared" si="16"/>
        <v>0</v>
      </c>
      <c r="R61" s="11"/>
      <c r="S61" s="4">
        <f t="shared" si="9"/>
        <v>0</v>
      </c>
      <c r="T61" s="16"/>
      <c r="U61" s="9" t="e">
        <f t="shared" si="17"/>
        <v>#DIV/0!</v>
      </c>
      <c r="V61" s="9" t="e">
        <f t="shared" si="18"/>
        <v>#DIV/0!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 t="s">
        <v>40</v>
      </c>
      <c r="AH61" s="5">
        <f t="shared" si="10"/>
        <v>0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hidden="1" x14ac:dyDescent="0.25">
      <c r="A62" s="5" t="s">
        <v>108</v>
      </c>
      <c r="B62" s="5" t="s">
        <v>36</v>
      </c>
      <c r="C62" s="5">
        <v>38.85</v>
      </c>
      <c r="D62" s="5">
        <v>66.373000000000005</v>
      </c>
      <c r="E62" s="5">
        <v>60.323999999999998</v>
      </c>
      <c r="F62" s="5">
        <v>44.899000000000001</v>
      </c>
      <c r="G62" s="7">
        <v>1</v>
      </c>
      <c r="H62" s="5">
        <v>60</v>
      </c>
      <c r="I62" s="5" t="s">
        <v>39</v>
      </c>
      <c r="J62" s="5"/>
      <c r="K62" s="5">
        <v>56</v>
      </c>
      <c r="L62" s="5">
        <f t="shared" si="15"/>
        <v>4.3239999999999981</v>
      </c>
      <c r="M62" s="5"/>
      <c r="N62" s="5"/>
      <c r="O62" s="5">
        <v>51</v>
      </c>
      <c r="P62" s="5">
        <v>0</v>
      </c>
      <c r="Q62" s="5">
        <f t="shared" si="16"/>
        <v>12.0648</v>
      </c>
      <c r="R62" s="4">
        <f>14*Q62-P62-O62-F62</f>
        <v>73.008199999999988</v>
      </c>
      <c r="S62" s="4">
        <f t="shared" si="9"/>
        <v>73</v>
      </c>
      <c r="T62" s="17"/>
      <c r="U62" s="5">
        <f t="shared" si="17"/>
        <v>14</v>
      </c>
      <c r="V62" s="5">
        <f t="shared" si="18"/>
        <v>7.9486605662754464</v>
      </c>
      <c r="W62" s="5">
        <v>5.1560000000000006</v>
      </c>
      <c r="X62" s="5">
        <v>7.8439999999999994</v>
      </c>
      <c r="Y62" s="5">
        <v>4.2359999999999998</v>
      </c>
      <c r="Z62" s="5">
        <v>5.14</v>
      </c>
      <c r="AA62" s="5">
        <v>2.649</v>
      </c>
      <c r="AB62" s="5">
        <v>1.7909999999999999</v>
      </c>
      <c r="AC62" s="5">
        <v>1.9</v>
      </c>
      <c r="AD62" s="5">
        <v>1.615</v>
      </c>
      <c r="AE62" s="5">
        <v>0.88800000000000001</v>
      </c>
      <c r="AF62" s="5">
        <v>2.411</v>
      </c>
      <c r="AG62" s="5"/>
      <c r="AH62" s="5">
        <f t="shared" si="10"/>
        <v>73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hidden="1" x14ac:dyDescent="0.25">
      <c r="A63" s="5" t="s">
        <v>109</v>
      </c>
      <c r="B63" s="5" t="s">
        <v>42</v>
      </c>
      <c r="C63" s="5">
        <v>7</v>
      </c>
      <c r="D63" s="5">
        <v>98</v>
      </c>
      <c r="E63" s="5">
        <v>30</v>
      </c>
      <c r="F63" s="5">
        <v>71</v>
      </c>
      <c r="G63" s="7">
        <v>0.6</v>
      </c>
      <c r="H63" s="5">
        <v>45</v>
      </c>
      <c r="I63" s="5" t="s">
        <v>39</v>
      </c>
      <c r="J63" s="5"/>
      <c r="K63" s="5">
        <v>65</v>
      </c>
      <c r="L63" s="5">
        <f t="shared" si="15"/>
        <v>-35</v>
      </c>
      <c r="M63" s="5"/>
      <c r="N63" s="5"/>
      <c r="O63" s="5">
        <v>40</v>
      </c>
      <c r="P63" s="5">
        <v>0</v>
      </c>
      <c r="Q63" s="5">
        <f t="shared" si="16"/>
        <v>6</v>
      </c>
      <c r="R63" s="4"/>
      <c r="S63" s="4">
        <f t="shared" si="9"/>
        <v>0</v>
      </c>
      <c r="T63" s="17"/>
      <c r="U63" s="5">
        <f t="shared" si="17"/>
        <v>18.5</v>
      </c>
      <c r="V63" s="5">
        <f t="shared" si="18"/>
        <v>18.5</v>
      </c>
      <c r="W63" s="5">
        <v>7.6</v>
      </c>
      <c r="X63" s="5">
        <v>8.1999999999999993</v>
      </c>
      <c r="Y63" s="5">
        <v>12.8</v>
      </c>
      <c r="Z63" s="5">
        <v>10.8</v>
      </c>
      <c r="AA63" s="5">
        <v>13.8</v>
      </c>
      <c r="AB63" s="5">
        <v>13</v>
      </c>
      <c r="AC63" s="5">
        <v>7.6</v>
      </c>
      <c r="AD63" s="5">
        <v>4.2</v>
      </c>
      <c r="AE63" s="5">
        <v>14.2</v>
      </c>
      <c r="AF63" s="5">
        <v>14.4</v>
      </c>
      <c r="AG63" s="5"/>
      <c r="AH63" s="5">
        <f t="shared" si="10"/>
        <v>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hidden="1" x14ac:dyDescent="0.25">
      <c r="A64" s="9" t="s">
        <v>110</v>
      </c>
      <c r="B64" s="9" t="s">
        <v>42</v>
      </c>
      <c r="C64" s="9">
        <v>160</v>
      </c>
      <c r="D64" s="9"/>
      <c r="E64" s="9">
        <v>24</v>
      </c>
      <c r="F64" s="9">
        <v>136</v>
      </c>
      <c r="G64" s="10">
        <v>0</v>
      </c>
      <c r="H64" s="9"/>
      <c r="I64" s="9" t="s">
        <v>37</v>
      </c>
      <c r="J64" s="9"/>
      <c r="K64" s="9">
        <v>24</v>
      </c>
      <c r="L64" s="9">
        <f t="shared" si="15"/>
        <v>0</v>
      </c>
      <c r="M64" s="9"/>
      <c r="N64" s="9"/>
      <c r="O64" s="9">
        <v>0</v>
      </c>
      <c r="P64" s="9">
        <v>0</v>
      </c>
      <c r="Q64" s="9">
        <f t="shared" si="16"/>
        <v>4.8</v>
      </c>
      <c r="R64" s="11"/>
      <c r="S64" s="4">
        <f t="shared" si="9"/>
        <v>0</v>
      </c>
      <c r="T64" s="16"/>
      <c r="U64" s="9">
        <f t="shared" si="17"/>
        <v>28.333333333333336</v>
      </c>
      <c r="V64" s="9">
        <f t="shared" si="18"/>
        <v>28.333333333333336</v>
      </c>
      <c r="W64" s="9">
        <v>0</v>
      </c>
      <c r="X64" s="9">
        <v>8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 t="s">
        <v>62</v>
      </c>
      <c r="AH64" s="5">
        <f t="shared" si="10"/>
        <v>0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hidden="1" x14ac:dyDescent="0.25">
      <c r="A65" s="5" t="s">
        <v>111</v>
      </c>
      <c r="B65" s="5" t="s">
        <v>42</v>
      </c>
      <c r="C65" s="5">
        <v>277</v>
      </c>
      <c r="D65" s="5">
        <v>164</v>
      </c>
      <c r="E65" s="5">
        <v>179</v>
      </c>
      <c r="F65" s="5">
        <v>235</v>
      </c>
      <c r="G65" s="7">
        <v>0.25</v>
      </c>
      <c r="H65" s="5">
        <v>120</v>
      </c>
      <c r="I65" s="5" t="s">
        <v>39</v>
      </c>
      <c r="J65" s="5"/>
      <c r="K65" s="5">
        <v>204</v>
      </c>
      <c r="L65" s="5">
        <f t="shared" si="15"/>
        <v>-25</v>
      </c>
      <c r="M65" s="5"/>
      <c r="N65" s="5"/>
      <c r="O65" s="5">
        <v>0</v>
      </c>
      <c r="P65" s="5">
        <v>179</v>
      </c>
      <c r="Q65" s="5">
        <f t="shared" si="16"/>
        <v>35.799999999999997</v>
      </c>
      <c r="R65" s="4">
        <f>14*Q65-P65-O65-F65</f>
        <v>87.199999999999932</v>
      </c>
      <c r="S65" s="4">
        <f t="shared" si="9"/>
        <v>87</v>
      </c>
      <c r="T65" s="17"/>
      <c r="U65" s="5">
        <f t="shared" si="17"/>
        <v>14</v>
      </c>
      <c r="V65" s="5">
        <f t="shared" si="18"/>
        <v>11.564245810055867</v>
      </c>
      <c r="W65" s="5">
        <v>24</v>
      </c>
      <c r="X65" s="5">
        <v>14.4</v>
      </c>
      <c r="Y65" s="5">
        <v>17.2</v>
      </c>
      <c r="Z65" s="5">
        <v>29.8</v>
      </c>
      <c r="AA65" s="5">
        <v>8.4</v>
      </c>
      <c r="AB65" s="5">
        <v>9.4</v>
      </c>
      <c r="AC65" s="5">
        <v>12.8</v>
      </c>
      <c r="AD65" s="5">
        <v>4.2</v>
      </c>
      <c r="AE65" s="5">
        <v>6.2</v>
      </c>
      <c r="AF65" s="5">
        <v>12</v>
      </c>
      <c r="AG65" s="5" t="s">
        <v>44</v>
      </c>
      <c r="AH65" s="5">
        <f t="shared" si="10"/>
        <v>21.75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hidden="1" x14ac:dyDescent="0.25">
      <c r="A66" s="5" t="s">
        <v>112</v>
      </c>
      <c r="B66" s="5" t="s">
        <v>36</v>
      </c>
      <c r="C66" s="5">
        <v>3.129</v>
      </c>
      <c r="D66" s="5">
        <v>54.63</v>
      </c>
      <c r="E66" s="5">
        <v>28.797000000000001</v>
      </c>
      <c r="F66" s="5">
        <v>18.902999999999999</v>
      </c>
      <c r="G66" s="7">
        <v>1</v>
      </c>
      <c r="H66" s="5">
        <v>45</v>
      </c>
      <c r="I66" s="5" t="s">
        <v>39</v>
      </c>
      <c r="J66" s="5"/>
      <c r="K66" s="5">
        <v>34</v>
      </c>
      <c r="L66" s="5">
        <f t="shared" si="15"/>
        <v>-5.2029999999999994</v>
      </c>
      <c r="M66" s="5"/>
      <c r="N66" s="5"/>
      <c r="O66" s="5">
        <v>0</v>
      </c>
      <c r="P66" s="5">
        <v>0</v>
      </c>
      <c r="Q66" s="5">
        <f t="shared" si="16"/>
        <v>5.7594000000000003</v>
      </c>
      <c r="R66" s="4">
        <f t="shared" ref="R66:R67" si="22">11*Q66-P66-O66-F66</f>
        <v>44.450400000000002</v>
      </c>
      <c r="S66" s="4">
        <f t="shared" si="9"/>
        <v>44</v>
      </c>
      <c r="T66" s="17"/>
      <c r="U66" s="5">
        <f t="shared" si="17"/>
        <v>11</v>
      </c>
      <c r="V66" s="5">
        <f t="shared" si="18"/>
        <v>3.2821127200750073</v>
      </c>
      <c r="W66" s="5">
        <v>-2E-3</v>
      </c>
      <c r="X66" s="5">
        <v>3.0392000000000001</v>
      </c>
      <c r="Y66" s="5">
        <v>5.0497999999999994</v>
      </c>
      <c r="Z66" s="5">
        <v>3.3026</v>
      </c>
      <c r="AA66" s="5">
        <v>2.3260000000000001</v>
      </c>
      <c r="AB66" s="5">
        <v>2.6434000000000002</v>
      </c>
      <c r="AC66" s="5">
        <v>2.0691999999999999</v>
      </c>
      <c r="AD66" s="5">
        <v>0.59420000000000006</v>
      </c>
      <c r="AE66" s="5">
        <v>5.7103999999999999</v>
      </c>
      <c r="AF66" s="5">
        <v>6.8785999999999996</v>
      </c>
      <c r="AG66" s="5"/>
      <c r="AH66" s="5">
        <f t="shared" si="10"/>
        <v>44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hidden="1" x14ac:dyDescent="0.25">
      <c r="A67" s="5" t="s">
        <v>113</v>
      </c>
      <c r="B67" s="5" t="s">
        <v>42</v>
      </c>
      <c r="C67" s="5">
        <v>199</v>
      </c>
      <c r="D67" s="5">
        <v>2</v>
      </c>
      <c r="E67" s="5">
        <v>124</v>
      </c>
      <c r="F67" s="5">
        <v>68</v>
      </c>
      <c r="G67" s="7">
        <v>0.27</v>
      </c>
      <c r="H67" s="5"/>
      <c r="I67" s="5" t="s">
        <v>39</v>
      </c>
      <c r="J67" s="5"/>
      <c r="K67" s="5">
        <v>129</v>
      </c>
      <c r="L67" s="5">
        <f t="shared" si="15"/>
        <v>-5</v>
      </c>
      <c r="M67" s="5"/>
      <c r="N67" s="5"/>
      <c r="O67" s="5">
        <v>0</v>
      </c>
      <c r="P67" s="5">
        <v>0</v>
      </c>
      <c r="Q67" s="5">
        <f t="shared" si="16"/>
        <v>24.8</v>
      </c>
      <c r="R67" s="4">
        <f t="shared" si="22"/>
        <v>204.8</v>
      </c>
      <c r="S67" s="4">
        <f t="shared" si="9"/>
        <v>205</v>
      </c>
      <c r="T67" s="17"/>
      <c r="U67" s="5">
        <f t="shared" si="17"/>
        <v>11</v>
      </c>
      <c r="V67" s="5">
        <f t="shared" si="18"/>
        <v>2.7419354838709675</v>
      </c>
      <c r="W67" s="5">
        <v>10.4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14" t="s">
        <v>163</v>
      </c>
      <c r="AH67" s="5">
        <f t="shared" si="10"/>
        <v>55.35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hidden="1" x14ac:dyDescent="0.25">
      <c r="A68" s="5" t="s">
        <v>114</v>
      </c>
      <c r="B68" s="5" t="s">
        <v>42</v>
      </c>
      <c r="C68" s="5">
        <v>209</v>
      </c>
      <c r="D68" s="5">
        <v>7</v>
      </c>
      <c r="E68" s="5">
        <v>189</v>
      </c>
      <c r="F68" s="5">
        <v>9</v>
      </c>
      <c r="G68" s="7">
        <v>0.3</v>
      </c>
      <c r="H68" s="5">
        <v>60</v>
      </c>
      <c r="I68" s="5" t="s">
        <v>39</v>
      </c>
      <c r="J68" s="5"/>
      <c r="K68" s="5">
        <v>202</v>
      </c>
      <c r="L68" s="5">
        <f t="shared" si="15"/>
        <v>-13</v>
      </c>
      <c r="M68" s="5"/>
      <c r="N68" s="5"/>
      <c r="O68" s="5">
        <v>100</v>
      </c>
      <c r="P68" s="5">
        <v>135</v>
      </c>
      <c r="Q68" s="5">
        <f t="shared" si="16"/>
        <v>37.799999999999997</v>
      </c>
      <c r="R68" s="4">
        <f t="shared" ref="R68:R70" si="23">14*Q68-P68-O68-F68</f>
        <v>285.19999999999993</v>
      </c>
      <c r="S68" s="4">
        <f t="shared" si="9"/>
        <v>285</v>
      </c>
      <c r="T68" s="17"/>
      <c r="U68" s="5">
        <f t="shared" si="17"/>
        <v>14</v>
      </c>
      <c r="V68" s="5">
        <f t="shared" si="18"/>
        <v>6.4550264550264558</v>
      </c>
      <c r="W68" s="5">
        <v>29.6</v>
      </c>
      <c r="X68" s="5">
        <v>15.4</v>
      </c>
      <c r="Y68" s="5">
        <v>26.8</v>
      </c>
      <c r="Z68" s="5">
        <v>44</v>
      </c>
      <c r="AA68" s="5">
        <v>30</v>
      </c>
      <c r="AB68" s="5">
        <v>34</v>
      </c>
      <c r="AC68" s="5">
        <v>25.4</v>
      </c>
      <c r="AD68" s="5">
        <v>37.799999999999997</v>
      </c>
      <c r="AE68" s="5">
        <v>31.8</v>
      </c>
      <c r="AF68" s="5">
        <v>37.200000000000003</v>
      </c>
      <c r="AG68" s="5"/>
      <c r="AH68" s="5">
        <f t="shared" si="10"/>
        <v>85.5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hidden="1" x14ac:dyDescent="0.25">
      <c r="A69" s="5" t="s">
        <v>115</v>
      </c>
      <c r="B69" s="5" t="s">
        <v>42</v>
      </c>
      <c r="C69" s="5">
        <v>10</v>
      </c>
      <c r="D69" s="5">
        <v>2147</v>
      </c>
      <c r="E69" s="5">
        <v>1630</v>
      </c>
      <c r="F69" s="5">
        <v>414</v>
      </c>
      <c r="G69" s="7">
        <v>0.41</v>
      </c>
      <c r="H69" s="5">
        <v>50</v>
      </c>
      <c r="I69" s="5" t="s">
        <v>39</v>
      </c>
      <c r="J69" s="5"/>
      <c r="K69" s="5">
        <v>1683</v>
      </c>
      <c r="L69" s="5">
        <f t="shared" si="15"/>
        <v>-53</v>
      </c>
      <c r="M69" s="5"/>
      <c r="N69" s="5"/>
      <c r="O69" s="5">
        <v>1419</v>
      </c>
      <c r="P69" s="5">
        <v>0</v>
      </c>
      <c r="Q69" s="5">
        <v>150</v>
      </c>
      <c r="R69" s="4">
        <f t="shared" ref="R69" si="24">13*Q69-P69-O69-F69</f>
        <v>117</v>
      </c>
      <c r="S69" s="4">
        <f t="shared" si="9"/>
        <v>117</v>
      </c>
      <c r="T69" s="17"/>
      <c r="U69" s="5">
        <f t="shared" si="17"/>
        <v>13</v>
      </c>
      <c r="V69" s="5">
        <f t="shared" si="18"/>
        <v>12.22</v>
      </c>
      <c r="W69" s="5">
        <v>81.2</v>
      </c>
      <c r="X69" s="5">
        <v>212.8</v>
      </c>
      <c r="Y69" s="5">
        <v>266.8</v>
      </c>
      <c r="Z69" s="5">
        <v>172.2</v>
      </c>
      <c r="AA69" s="5">
        <v>150</v>
      </c>
      <c r="AB69" s="5">
        <v>221.2</v>
      </c>
      <c r="AC69" s="5">
        <v>150.80000000000001</v>
      </c>
      <c r="AD69" s="5">
        <v>190.8</v>
      </c>
      <c r="AE69" s="5">
        <v>154.6</v>
      </c>
      <c r="AF69" s="5">
        <v>201.6</v>
      </c>
      <c r="AG69" s="5"/>
      <c r="AH69" s="5">
        <f t="shared" si="10"/>
        <v>47.97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hidden="1" x14ac:dyDescent="0.25">
      <c r="A70" s="5" t="s">
        <v>116</v>
      </c>
      <c r="B70" s="5" t="s">
        <v>36</v>
      </c>
      <c r="C70" s="5">
        <v>300.298</v>
      </c>
      <c r="D70" s="5">
        <v>344.83600000000001</v>
      </c>
      <c r="E70" s="5">
        <v>290.94</v>
      </c>
      <c r="F70" s="5">
        <v>321.34199999999998</v>
      </c>
      <c r="G70" s="7">
        <v>1</v>
      </c>
      <c r="H70" s="5">
        <v>50</v>
      </c>
      <c r="I70" s="5" t="s">
        <v>39</v>
      </c>
      <c r="J70" s="5"/>
      <c r="K70" s="5">
        <v>286.00299999999999</v>
      </c>
      <c r="L70" s="5">
        <f t="shared" ref="L70:L101" si="25">E70-K70</f>
        <v>4.9370000000000118</v>
      </c>
      <c r="M70" s="5"/>
      <c r="N70" s="5"/>
      <c r="O70" s="5">
        <v>6</v>
      </c>
      <c r="P70" s="5">
        <v>145</v>
      </c>
      <c r="Q70" s="5">
        <f t="shared" ref="Q70:Q101" si="26">E70/5</f>
        <v>58.188000000000002</v>
      </c>
      <c r="R70" s="4">
        <f t="shared" si="23"/>
        <v>342.29000000000008</v>
      </c>
      <c r="S70" s="4">
        <f t="shared" si="9"/>
        <v>342</v>
      </c>
      <c r="T70" s="17"/>
      <c r="U70" s="5">
        <f t="shared" ref="U70:U101" si="27">(F70+O70+P70+R70)/Q70</f>
        <v>14</v>
      </c>
      <c r="V70" s="5">
        <f t="shared" ref="V70:V101" si="28">(F70+O70+P70)/Q70</f>
        <v>8.1175156389633596</v>
      </c>
      <c r="W70" s="5">
        <v>30.930399999999999</v>
      </c>
      <c r="X70" s="5">
        <v>29.0246</v>
      </c>
      <c r="Y70" s="5">
        <v>23.655999999999999</v>
      </c>
      <c r="Z70" s="5">
        <v>36.418599999999998</v>
      </c>
      <c r="AA70" s="5">
        <v>13.896000000000001</v>
      </c>
      <c r="AB70" s="5">
        <v>12.993399999999999</v>
      </c>
      <c r="AC70" s="5">
        <v>16.393599999999999</v>
      </c>
      <c r="AD70" s="5">
        <v>23.993600000000001</v>
      </c>
      <c r="AE70" s="5">
        <v>17.883800000000001</v>
      </c>
      <c r="AF70" s="5">
        <v>28.195399999999999</v>
      </c>
      <c r="AG70" s="5"/>
      <c r="AH70" s="5">
        <f t="shared" si="10"/>
        <v>342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hidden="1" x14ac:dyDescent="0.25">
      <c r="A71" s="5" t="s">
        <v>117</v>
      </c>
      <c r="B71" s="5" t="s">
        <v>42</v>
      </c>
      <c r="C71" s="5">
        <v>19</v>
      </c>
      <c r="D71" s="5">
        <v>393</v>
      </c>
      <c r="E71" s="5">
        <v>310</v>
      </c>
      <c r="F71" s="5">
        <v>72</v>
      </c>
      <c r="G71" s="7">
        <v>0.35</v>
      </c>
      <c r="H71" s="5">
        <v>50</v>
      </c>
      <c r="I71" s="5" t="s">
        <v>39</v>
      </c>
      <c r="J71" s="5"/>
      <c r="K71" s="5">
        <v>324</v>
      </c>
      <c r="L71" s="5">
        <f t="shared" si="25"/>
        <v>-14</v>
      </c>
      <c r="M71" s="5"/>
      <c r="N71" s="5"/>
      <c r="O71" s="5">
        <v>16</v>
      </c>
      <c r="P71" s="5">
        <v>157</v>
      </c>
      <c r="Q71" s="5">
        <f t="shared" si="26"/>
        <v>62</v>
      </c>
      <c r="R71" s="4">
        <f>12*Q71-P71-O71-F71</f>
        <v>499</v>
      </c>
      <c r="S71" s="4">
        <f t="shared" si="9"/>
        <v>499</v>
      </c>
      <c r="T71" s="17"/>
      <c r="U71" s="5">
        <f t="shared" si="27"/>
        <v>12</v>
      </c>
      <c r="V71" s="5">
        <f t="shared" si="28"/>
        <v>3.9516129032258065</v>
      </c>
      <c r="W71" s="5">
        <v>32.4</v>
      </c>
      <c r="X71" s="5">
        <v>31</v>
      </c>
      <c r="Y71" s="5">
        <v>41</v>
      </c>
      <c r="Z71" s="5">
        <v>31.2</v>
      </c>
      <c r="AA71" s="5">
        <v>33.799999999999997</v>
      </c>
      <c r="AB71" s="5">
        <v>31.2</v>
      </c>
      <c r="AC71" s="5">
        <v>27.8</v>
      </c>
      <c r="AD71" s="5">
        <v>32</v>
      </c>
      <c r="AE71" s="5">
        <v>11.2</v>
      </c>
      <c r="AF71" s="5">
        <v>26.4</v>
      </c>
      <c r="AG71" s="5"/>
      <c r="AH71" s="5">
        <f t="shared" si="10"/>
        <v>174.64999999999998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hidden="1" x14ac:dyDescent="0.25">
      <c r="A72" s="5" t="s">
        <v>118</v>
      </c>
      <c r="B72" s="5" t="s">
        <v>36</v>
      </c>
      <c r="C72" s="5"/>
      <c r="D72" s="5">
        <v>36.927999999999997</v>
      </c>
      <c r="E72" s="5">
        <v>36.920999999999999</v>
      </c>
      <c r="F72" s="5">
        <v>7.0000000000000001E-3</v>
      </c>
      <c r="G72" s="7">
        <v>1</v>
      </c>
      <c r="H72" s="5">
        <v>50</v>
      </c>
      <c r="I72" s="5" t="s">
        <v>39</v>
      </c>
      <c r="J72" s="5"/>
      <c r="K72" s="5">
        <v>44.5</v>
      </c>
      <c r="L72" s="5">
        <f t="shared" si="25"/>
        <v>-7.5790000000000006</v>
      </c>
      <c r="M72" s="5"/>
      <c r="N72" s="5"/>
      <c r="O72" s="5">
        <v>10</v>
      </c>
      <c r="P72" s="5">
        <v>0</v>
      </c>
      <c r="Q72" s="5">
        <f t="shared" si="26"/>
        <v>7.3841999999999999</v>
      </c>
      <c r="R72" s="4">
        <f>9*Q72-P72-O72-F72</f>
        <v>56.450799999999994</v>
      </c>
      <c r="S72" s="4">
        <f t="shared" si="9"/>
        <v>56</v>
      </c>
      <c r="T72" s="17"/>
      <c r="U72" s="5">
        <f t="shared" si="27"/>
        <v>8.9999999999999982</v>
      </c>
      <c r="V72" s="5">
        <f t="shared" si="28"/>
        <v>1.3551908128165542</v>
      </c>
      <c r="W72" s="5">
        <v>0.93720000000000003</v>
      </c>
      <c r="X72" s="5">
        <v>2.504</v>
      </c>
      <c r="Y72" s="5">
        <v>3.7235999999999998</v>
      </c>
      <c r="Z72" s="5">
        <v>1.5624</v>
      </c>
      <c r="AA72" s="5">
        <v>2.1745999999999999</v>
      </c>
      <c r="AB72" s="5">
        <v>2.2000000000000002</v>
      </c>
      <c r="AC72" s="5">
        <v>3.1534</v>
      </c>
      <c r="AD72" s="5">
        <v>0.312</v>
      </c>
      <c r="AE72" s="5">
        <v>2.4882</v>
      </c>
      <c r="AF72" s="5">
        <v>4.0224000000000002</v>
      </c>
      <c r="AG72" s="5"/>
      <c r="AH72" s="5">
        <f t="shared" si="10"/>
        <v>56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hidden="1" x14ac:dyDescent="0.25">
      <c r="A73" s="5" t="s">
        <v>119</v>
      </c>
      <c r="B73" s="5" t="s">
        <v>42</v>
      </c>
      <c r="C73" s="5">
        <v>85</v>
      </c>
      <c r="D73" s="5">
        <v>1170</v>
      </c>
      <c r="E73" s="5">
        <v>871</v>
      </c>
      <c r="F73" s="5">
        <v>336</v>
      </c>
      <c r="G73" s="7">
        <v>0.41</v>
      </c>
      <c r="H73" s="5">
        <v>50</v>
      </c>
      <c r="I73" s="5" t="s">
        <v>39</v>
      </c>
      <c r="J73" s="5"/>
      <c r="K73" s="5">
        <v>1051</v>
      </c>
      <c r="L73" s="5">
        <f t="shared" si="25"/>
        <v>-180</v>
      </c>
      <c r="M73" s="5"/>
      <c r="N73" s="5"/>
      <c r="O73" s="5">
        <v>992</v>
      </c>
      <c r="P73" s="5">
        <v>0</v>
      </c>
      <c r="Q73" s="5">
        <f t="shared" si="26"/>
        <v>174.2</v>
      </c>
      <c r="R73" s="4">
        <f t="shared" ref="R73" si="29">13*Q73-P73-O73-F73</f>
        <v>936.59999999999991</v>
      </c>
      <c r="S73" s="4">
        <f t="shared" ref="S73:S113" si="30">ROUND(R73,0)</f>
        <v>937</v>
      </c>
      <c r="T73" s="17"/>
      <c r="U73" s="5">
        <f t="shared" si="27"/>
        <v>13</v>
      </c>
      <c r="V73" s="5">
        <f t="shared" si="28"/>
        <v>7.6234213547646386</v>
      </c>
      <c r="W73" s="5">
        <v>38.200000000000003</v>
      </c>
      <c r="X73" s="5">
        <v>129.4</v>
      </c>
      <c r="Y73" s="5">
        <v>156.6</v>
      </c>
      <c r="Z73" s="5">
        <v>120.8</v>
      </c>
      <c r="AA73" s="5">
        <v>91.6</v>
      </c>
      <c r="AB73" s="5">
        <v>120.2</v>
      </c>
      <c r="AC73" s="5">
        <v>94.6</v>
      </c>
      <c r="AD73" s="5">
        <v>99</v>
      </c>
      <c r="AE73" s="5">
        <v>97.4</v>
      </c>
      <c r="AF73" s="5">
        <v>92.2</v>
      </c>
      <c r="AG73" s="5"/>
      <c r="AH73" s="5">
        <f t="shared" ref="AH73:AH113" si="31">G73*S73</f>
        <v>384.16999999999996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hidden="1" x14ac:dyDescent="0.25">
      <c r="A74" s="5" t="s">
        <v>120</v>
      </c>
      <c r="B74" s="5" t="s">
        <v>36</v>
      </c>
      <c r="C74" s="5">
        <v>29.666</v>
      </c>
      <c r="D74" s="5">
        <v>43.219000000000001</v>
      </c>
      <c r="E74" s="5">
        <v>65.218999999999994</v>
      </c>
      <c r="F74" s="5">
        <v>-7.0000000000000007E-2</v>
      </c>
      <c r="G74" s="7">
        <v>1</v>
      </c>
      <c r="H74" s="5">
        <v>50</v>
      </c>
      <c r="I74" s="5" t="s">
        <v>39</v>
      </c>
      <c r="J74" s="5"/>
      <c r="K74" s="5">
        <v>138.30000000000001</v>
      </c>
      <c r="L74" s="5">
        <f t="shared" si="25"/>
        <v>-73.081000000000017</v>
      </c>
      <c r="M74" s="5"/>
      <c r="N74" s="5"/>
      <c r="O74" s="5">
        <v>20</v>
      </c>
      <c r="P74" s="5">
        <v>201</v>
      </c>
      <c r="Q74" s="5">
        <f t="shared" si="26"/>
        <v>13.043799999999999</v>
      </c>
      <c r="R74" s="4"/>
      <c r="S74" s="4">
        <f t="shared" si="30"/>
        <v>0</v>
      </c>
      <c r="T74" s="17"/>
      <c r="U74" s="5">
        <f t="shared" si="27"/>
        <v>16.937548873794448</v>
      </c>
      <c r="V74" s="5">
        <f t="shared" si="28"/>
        <v>16.937548873794448</v>
      </c>
      <c r="W74" s="5">
        <v>19.4636</v>
      </c>
      <c r="X74" s="5">
        <v>6.3722000000000003</v>
      </c>
      <c r="Y74" s="5">
        <v>12.7166</v>
      </c>
      <c r="Z74" s="5">
        <v>14.8438</v>
      </c>
      <c r="AA74" s="5">
        <v>8.7585999999999995</v>
      </c>
      <c r="AB74" s="5">
        <v>10.333</v>
      </c>
      <c r="AC74" s="5">
        <v>10.343</v>
      </c>
      <c r="AD74" s="5">
        <v>12.386799999999999</v>
      </c>
      <c r="AE74" s="5">
        <v>6.1597999999999997</v>
      </c>
      <c r="AF74" s="5">
        <v>12.334199999999999</v>
      </c>
      <c r="AG74" s="5"/>
      <c r="AH74" s="5">
        <f t="shared" si="31"/>
        <v>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hidden="1" x14ac:dyDescent="0.25">
      <c r="A75" s="5" t="s">
        <v>121</v>
      </c>
      <c r="B75" s="5" t="s">
        <v>42</v>
      </c>
      <c r="C75" s="5">
        <v>311</v>
      </c>
      <c r="D75" s="5">
        <v>279</v>
      </c>
      <c r="E75" s="5">
        <v>182</v>
      </c>
      <c r="F75" s="5">
        <v>382</v>
      </c>
      <c r="G75" s="7">
        <v>0.3</v>
      </c>
      <c r="H75" s="5">
        <v>50</v>
      </c>
      <c r="I75" s="5" t="s">
        <v>39</v>
      </c>
      <c r="J75" s="5"/>
      <c r="K75" s="5">
        <v>203</v>
      </c>
      <c r="L75" s="5">
        <f t="shared" si="25"/>
        <v>-21</v>
      </c>
      <c r="M75" s="5"/>
      <c r="N75" s="5"/>
      <c r="O75" s="5">
        <v>35</v>
      </c>
      <c r="P75" s="5">
        <v>86</v>
      </c>
      <c r="Q75" s="5">
        <f t="shared" si="26"/>
        <v>36.4</v>
      </c>
      <c r="R75" s="4">
        <f>14*Q75-P75-O75-F75</f>
        <v>6.5999999999999659</v>
      </c>
      <c r="S75" s="4">
        <f t="shared" si="30"/>
        <v>7</v>
      </c>
      <c r="T75" s="17"/>
      <c r="U75" s="5">
        <f t="shared" si="27"/>
        <v>14</v>
      </c>
      <c r="V75" s="5">
        <f t="shared" si="28"/>
        <v>13.818681318681319</v>
      </c>
      <c r="W75" s="5">
        <v>29.6</v>
      </c>
      <c r="X75" s="5">
        <v>32.799999999999997</v>
      </c>
      <c r="Y75" s="5">
        <v>41</v>
      </c>
      <c r="Z75" s="5">
        <v>43.6</v>
      </c>
      <c r="AA75" s="5">
        <v>22.2</v>
      </c>
      <c r="AB75" s="5">
        <v>27.2</v>
      </c>
      <c r="AC75" s="5">
        <v>25</v>
      </c>
      <c r="AD75" s="5">
        <v>18.8</v>
      </c>
      <c r="AE75" s="5">
        <v>18.600000000000001</v>
      </c>
      <c r="AF75" s="5">
        <v>33.200000000000003</v>
      </c>
      <c r="AG75" s="5"/>
      <c r="AH75" s="5">
        <f t="shared" si="31"/>
        <v>2.1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hidden="1" x14ac:dyDescent="0.25">
      <c r="A76" s="5" t="s">
        <v>122</v>
      </c>
      <c r="B76" s="5" t="s">
        <v>42</v>
      </c>
      <c r="C76" s="5">
        <v>141</v>
      </c>
      <c r="D76" s="5">
        <v>548</v>
      </c>
      <c r="E76" s="5">
        <v>236</v>
      </c>
      <c r="F76" s="5">
        <v>437</v>
      </c>
      <c r="G76" s="7">
        <v>0.18</v>
      </c>
      <c r="H76" s="5">
        <v>50</v>
      </c>
      <c r="I76" s="5" t="s">
        <v>39</v>
      </c>
      <c r="J76" s="5"/>
      <c r="K76" s="5">
        <v>252</v>
      </c>
      <c r="L76" s="5">
        <f t="shared" si="25"/>
        <v>-16</v>
      </c>
      <c r="M76" s="5"/>
      <c r="N76" s="5"/>
      <c r="O76" s="5">
        <v>95</v>
      </c>
      <c r="P76" s="5">
        <v>0</v>
      </c>
      <c r="Q76" s="5">
        <f t="shared" si="26"/>
        <v>47.2</v>
      </c>
      <c r="R76" s="4">
        <f>14*Q76-P76-O76-F76</f>
        <v>128.80000000000007</v>
      </c>
      <c r="S76" s="4">
        <f t="shared" si="30"/>
        <v>129</v>
      </c>
      <c r="T76" s="17"/>
      <c r="U76" s="5">
        <f t="shared" si="27"/>
        <v>14</v>
      </c>
      <c r="V76" s="5">
        <f t="shared" si="28"/>
        <v>11.271186440677965</v>
      </c>
      <c r="W76" s="5">
        <v>9.6</v>
      </c>
      <c r="X76" s="5">
        <v>35.6</v>
      </c>
      <c r="Y76" s="5">
        <v>42</v>
      </c>
      <c r="Z76" s="5">
        <v>28.4</v>
      </c>
      <c r="AA76" s="5">
        <v>15.8</v>
      </c>
      <c r="AB76" s="5">
        <v>6.4</v>
      </c>
      <c r="AC76" s="5">
        <v>20.399999999999999</v>
      </c>
      <c r="AD76" s="5">
        <v>13.6</v>
      </c>
      <c r="AE76" s="5">
        <v>9.4</v>
      </c>
      <c r="AF76" s="5">
        <v>21.8</v>
      </c>
      <c r="AG76" s="5"/>
      <c r="AH76" s="5">
        <f t="shared" si="31"/>
        <v>23.22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hidden="1" x14ac:dyDescent="0.25">
      <c r="A77" s="9" t="s">
        <v>123</v>
      </c>
      <c r="B77" s="9" t="s">
        <v>36</v>
      </c>
      <c r="C77" s="9"/>
      <c r="D77" s="9"/>
      <c r="E77" s="9"/>
      <c r="F77" s="9"/>
      <c r="G77" s="10">
        <v>0</v>
      </c>
      <c r="H77" s="9"/>
      <c r="I77" s="9" t="s">
        <v>39</v>
      </c>
      <c r="J77" s="9"/>
      <c r="K77" s="9">
        <v>3</v>
      </c>
      <c r="L77" s="9">
        <f t="shared" si="25"/>
        <v>-3</v>
      </c>
      <c r="M77" s="9"/>
      <c r="N77" s="9"/>
      <c r="O77" s="9">
        <v>0</v>
      </c>
      <c r="P77" s="9">
        <v>0</v>
      </c>
      <c r="Q77" s="9">
        <f t="shared" si="26"/>
        <v>0</v>
      </c>
      <c r="R77" s="11"/>
      <c r="S77" s="4">
        <f t="shared" si="30"/>
        <v>0</v>
      </c>
      <c r="T77" s="16"/>
      <c r="U77" s="9" t="e">
        <f t="shared" si="27"/>
        <v>#DIV/0!</v>
      </c>
      <c r="V77" s="9" t="e">
        <f t="shared" si="28"/>
        <v>#DIV/0!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 t="s">
        <v>40</v>
      </c>
      <c r="AH77" s="5">
        <f t="shared" si="31"/>
        <v>0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hidden="1" x14ac:dyDescent="0.25">
      <c r="A78" s="5" t="s">
        <v>73</v>
      </c>
      <c r="B78" s="5" t="s">
        <v>42</v>
      </c>
      <c r="C78" s="5">
        <v>144</v>
      </c>
      <c r="D78" s="5">
        <v>1462</v>
      </c>
      <c r="E78" s="5">
        <v>839</v>
      </c>
      <c r="F78" s="13">
        <f>708+F35</f>
        <v>707</v>
      </c>
      <c r="G78" s="7">
        <v>0.35</v>
      </c>
      <c r="H78" s="5">
        <v>50</v>
      </c>
      <c r="I78" s="5" t="s">
        <v>39</v>
      </c>
      <c r="J78" s="5"/>
      <c r="K78" s="5">
        <v>869</v>
      </c>
      <c r="L78" s="5">
        <f t="shared" si="25"/>
        <v>-30</v>
      </c>
      <c r="M78" s="5"/>
      <c r="N78" s="5"/>
      <c r="O78" s="5">
        <v>300</v>
      </c>
      <c r="P78" s="5">
        <v>51</v>
      </c>
      <c r="Q78" s="5">
        <f t="shared" si="26"/>
        <v>167.8</v>
      </c>
      <c r="R78" s="4">
        <f>12*Q78-P78-O78-F78</f>
        <v>955.60000000000014</v>
      </c>
      <c r="S78" s="4">
        <f t="shared" si="30"/>
        <v>956</v>
      </c>
      <c r="T78" s="17"/>
      <c r="U78" s="5">
        <f t="shared" si="27"/>
        <v>12</v>
      </c>
      <c r="V78" s="5">
        <f t="shared" si="28"/>
        <v>6.3051251489868889</v>
      </c>
      <c r="W78" s="5">
        <v>88.4</v>
      </c>
      <c r="X78" s="5">
        <v>88.6</v>
      </c>
      <c r="Y78" s="5">
        <v>163.19999999999999</v>
      </c>
      <c r="Z78" s="5">
        <v>117.6</v>
      </c>
      <c r="AA78" s="5">
        <v>85.6</v>
      </c>
      <c r="AB78" s="5">
        <v>104.4</v>
      </c>
      <c r="AC78" s="5">
        <v>62.8</v>
      </c>
      <c r="AD78" s="5">
        <v>93.2</v>
      </c>
      <c r="AE78" s="5">
        <v>91.6</v>
      </c>
      <c r="AF78" s="5">
        <v>70.8</v>
      </c>
      <c r="AG78" s="5"/>
      <c r="AH78" s="5">
        <f t="shared" si="31"/>
        <v>334.59999999999997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hidden="1" x14ac:dyDescent="0.25">
      <c r="A79" s="9" t="s">
        <v>124</v>
      </c>
      <c r="B79" s="9" t="s">
        <v>42</v>
      </c>
      <c r="C79" s="9"/>
      <c r="D79" s="9"/>
      <c r="E79" s="9"/>
      <c r="F79" s="9"/>
      <c r="G79" s="10">
        <v>0</v>
      </c>
      <c r="H79" s="9"/>
      <c r="I79" s="9" t="s">
        <v>39</v>
      </c>
      <c r="J79" s="9"/>
      <c r="K79" s="9"/>
      <c r="L79" s="9">
        <f t="shared" si="25"/>
        <v>0</v>
      </c>
      <c r="M79" s="9"/>
      <c r="N79" s="9"/>
      <c r="O79" s="9"/>
      <c r="P79" s="9"/>
      <c r="Q79" s="9">
        <f t="shared" si="26"/>
        <v>0</v>
      </c>
      <c r="R79" s="11"/>
      <c r="S79" s="4">
        <f t="shared" si="30"/>
        <v>0</v>
      </c>
      <c r="T79" s="16"/>
      <c r="U79" s="9" t="e">
        <f t="shared" si="27"/>
        <v>#DIV/0!</v>
      </c>
      <c r="V79" s="9" t="e">
        <f t="shared" si="28"/>
        <v>#DIV/0!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 t="s">
        <v>40</v>
      </c>
      <c r="AH79" s="5">
        <f t="shared" si="31"/>
        <v>0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hidden="1" x14ac:dyDescent="0.25">
      <c r="A80" s="5" t="s">
        <v>125</v>
      </c>
      <c r="B80" s="5" t="s">
        <v>36</v>
      </c>
      <c r="C80" s="5">
        <v>293.01</v>
      </c>
      <c r="D80" s="5">
        <v>174.03399999999999</v>
      </c>
      <c r="E80" s="5">
        <v>182.495</v>
      </c>
      <c r="F80" s="5">
        <v>266.12400000000002</v>
      </c>
      <c r="G80" s="7">
        <v>1</v>
      </c>
      <c r="H80" s="5">
        <v>50</v>
      </c>
      <c r="I80" s="5" t="s">
        <v>39</v>
      </c>
      <c r="J80" s="5"/>
      <c r="K80" s="5">
        <v>185.899</v>
      </c>
      <c r="L80" s="5">
        <f t="shared" si="25"/>
        <v>-3.4039999999999964</v>
      </c>
      <c r="M80" s="5"/>
      <c r="N80" s="5"/>
      <c r="O80" s="5">
        <v>196</v>
      </c>
      <c r="P80" s="5">
        <v>0</v>
      </c>
      <c r="Q80" s="5">
        <f t="shared" si="26"/>
        <v>36.499000000000002</v>
      </c>
      <c r="R80" s="4">
        <f t="shared" ref="R80:R81" si="32">14*Q80-P80-O80-F80</f>
        <v>48.862000000000023</v>
      </c>
      <c r="S80" s="4">
        <f t="shared" si="30"/>
        <v>49</v>
      </c>
      <c r="T80" s="17"/>
      <c r="U80" s="5">
        <f t="shared" si="27"/>
        <v>14</v>
      </c>
      <c r="V80" s="5">
        <f t="shared" si="28"/>
        <v>12.6612783911888</v>
      </c>
      <c r="W80" s="5">
        <v>22.372399999999999</v>
      </c>
      <c r="X80" s="5">
        <v>38.507599999999996</v>
      </c>
      <c r="Y80" s="5">
        <v>29.706199999999999</v>
      </c>
      <c r="Z80" s="5">
        <v>31.820399999999999</v>
      </c>
      <c r="AA80" s="5">
        <v>24.954999999999998</v>
      </c>
      <c r="AB80" s="5">
        <v>19.36</v>
      </c>
      <c r="AC80" s="5">
        <v>20.761800000000001</v>
      </c>
      <c r="AD80" s="5">
        <v>27.382000000000001</v>
      </c>
      <c r="AE80" s="5">
        <v>25.835999999999999</v>
      </c>
      <c r="AF80" s="5">
        <v>21.861799999999999</v>
      </c>
      <c r="AG80" s="5"/>
      <c r="AH80" s="5">
        <f t="shared" si="31"/>
        <v>49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hidden="1" x14ac:dyDescent="0.25">
      <c r="A81" s="5" t="s">
        <v>126</v>
      </c>
      <c r="B81" s="5" t="s">
        <v>36</v>
      </c>
      <c r="C81" s="5">
        <v>398.00400000000002</v>
      </c>
      <c r="D81" s="5">
        <v>383.86700000000002</v>
      </c>
      <c r="E81" s="5">
        <v>303.06</v>
      </c>
      <c r="F81" s="5">
        <v>456.38</v>
      </c>
      <c r="G81" s="7">
        <v>1</v>
      </c>
      <c r="H81" s="5">
        <v>50</v>
      </c>
      <c r="I81" s="5" t="s">
        <v>39</v>
      </c>
      <c r="J81" s="5"/>
      <c r="K81" s="5">
        <v>293.80500000000001</v>
      </c>
      <c r="L81" s="5">
        <f t="shared" si="25"/>
        <v>9.2549999999999955</v>
      </c>
      <c r="M81" s="5"/>
      <c r="N81" s="5"/>
      <c r="O81" s="5">
        <v>81</v>
      </c>
      <c r="P81" s="5">
        <v>62</v>
      </c>
      <c r="Q81" s="5">
        <f t="shared" si="26"/>
        <v>60.612000000000002</v>
      </c>
      <c r="R81" s="4">
        <f t="shared" si="32"/>
        <v>249.18799999999999</v>
      </c>
      <c r="S81" s="4">
        <f t="shared" si="30"/>
        <v>249</v>
      </c>
      <c r="T81" s="17"/>
      <c r="U81" s="5">
        <f t="shared" si="27"/>
        <v>14</v>
      </c>
      <c r="V81" s="5">
        <f t="shared" si="28"/>
        <v>9.8888008975120432</v>
      </c>
      <c r="W81" s="5">
        <v>40.339399999999998</v>
      </c>
      <c r="X81" s="5">
        <v>47.528399999999998</v>
      </c>
      <c r="Y81" s="5">
        <v>59.781599999999997</v>
      </c>
      <c r="Z81" s="5">
        <v>56.038800000000002</v>
      </c>
      <c r="AA81" s="5">
        <v>36.125599999999999</v>
      </c>
      <c r="AB81" s="5">
        <v>28.154199999999999</v>
      </c>
      <c r="AC81" s="5">
        <v>33.9756</v>
      </c>
      <c r="AD81" s="5">
        <v>30.172999999999998</v>
      </c>
      <c r="AE81" s="5">
        <v>18.625</v>
      </c>
      <c r="AF81" s="5">
        <v>37.547400000000003</v>
      </c>
      <c r="AG81" s="5"/>
      <c r="AH81" s="5">
        <f t="shared" si="31"/>
        <v>249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hidden="1" x14ac:dyDescent="0.25">
      <c r="A82" s="5" t="s">
        <v>127</v>
      </c>
      <c r="B82" s="5" t="s">
        <v>42</v>
      </c>
      <c r="C82" s="5">
        <v>62</v>
      </c>
      <c r="D82" s="5">
        <v>1546</v>
      </c>
      <c r="E82" s="5">
        <v>822</v>
      </c>
      <c r="F82" s="5">
        <v>735</v>
      </c>
      <c r="G82" s="7">
        <v>0.35</v>
      </c>
      <c r="H82" s="5">
        <v>50</v>
      </c>
      <c r="I82" s="5" t="s">
        <v>39</v>
      </c>
      <c r="J82" s="5"/>
      <c r="K82" s="5">
        <v>863</v>
      </c>
      <c r="L82" s="5">
        <f t="shared" si="25"/>
        <v>-41</v>
      </c>
      <c r="M82" s="5"/>
      <c r="N82" s="5"/>
      <c r="O82" s="5">
        <v>283</v>
      </c>
      <c r="P82" s="5">
        <v>322</v>
      </c>
      <c r="Q82" s="5">
        <f t="shared" si="26"/>
        <v>164.4</v>
      </c>
      <c r="R82" s="4">
        <f t="shared" ref="R82" si="33">13*Q82-P82-O82-F82</f>
        <v>797.20000000000027</v>
      </c>
      <c r="S82" s="4">
        <f t="shared" si="30"/>
        <v>797</v>
      </c>
      <c r="T82" s="17"/>
      <c r="U82" s="5">
        <f t="shared" si="27"/>
        <v>13.000000000000002</v>
      </c>
      <c r="V82" s="5">
        <f t="shared" si="28"/>
        <v>8.1508515815085154</v>
      </c>
      <c r="W82" s="5">
        <v>112.2</v>
      </c>
      <c r="X82" s="5">
        <v>124.6</v>
      </c>
      <c r="Y82" s="5">
        <v>139</v>
      </c>
      <c r="Z82" s="5">
        <v>128</v>
      </c>
      <c r="AA82" s="5">
        <v>104.2</v>
      </c>
      <c r="AB82" s="5">
        <v>95.2</v>
      </c>
      <c r="AC82" s="5">
        <v>90</v>
      </c>
      <c r="AD82" s="5">
        <v>103.2</v>
      </c>
      <c r="AE82" s="5">
        <v>74.8</v>
      </c>
      <c r="AF82" s="5">
        <v>110.6</v>
      </c>
      <c r="AG82" s="5"/>
      <c r="AH82" s="5">
        <f t="shared" si="31"/>
        <v>278.95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9" t="s">
        <v>128</v>
      </c>
      <c r="B83" s="9" t="s">
        <v>42</v>
      </c>
      <c r="C83" s="9">
        <v>144</v>
      </c>
      <c r="D83" s="9"/>
      <c r="E83" s="9">
        <v>16</v>
      </c>
      <c r="F83" s="9">
        <v>128</v>
      </c>
      <c r="G83" s="10">
        <v>0</v>
      </c>
      <c r="H83" s="9"/>
      <c r="I83" s="9" t="s">
        <v>37</v>
      </c>
      <c r="J83" s="9"/>
      <c r="K83" s="9">
        <v>55</v>
      </c>
      <c r="L83" s="9">
        <f t="shared" si="25"/>
        <v>-39</v>
      </c>
      <c r="M83" s="9"/>
      <c r="N83" s="9"/>
      <c r="O83" s="9">
        <v>0</v>
      </c>
      <c r="P83" s="9">
        <v>0</v>
      </c>
      <c r="Q83" s="9">
        <f t="shared" si="26"/>
        <v>3.2</v>
      </c>
      <c r="R83" s="11"/>
      <c r="S83" s="4">
        <f t="shared" si="30"/>
        <v>0</v>
      </c>
      <c r="T83" s="16"/>
      <c r="U83" s="9">
        <f t="shared" si="27"/>
        <v>40</v>
      </c>
      <c r="V83" s="9">
        <f t="shared" si="28"/>
        <v>40</v>
      </c>
      <c r="W83" s="9">
        <v>4.8</v>
      </c>
      <c r="X83" s="9">
        <v>6.4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12" t="s">
        <v>38</v>
      </c>
      <c r="AH83" s="5">
        <f t="shared" si="31"/>
        <v>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hidden="1" x14ac:dyDescent="0.25">
      <c r="A84" s="5" t="s">
        <v>129</v>
      </c>
      <c r="B84" s="5" t="s">
        <v>42</v>
      </c>
      <c r="C84" s="5">
        <v>66</v>
      </c>
      <c r="D84" s="5">
        <v>85</v>
      </c>
      <c r="E84" s="5">
        <v>133</v>
      </c>
      <c r="F84" s="5">
        <v>1</v>
      </c>
      <c r="G84" s="7">
        <v>0.3</v>
      </c>
      <c r="H84" s="5">
        <v>50</v>
      </c>
      <c r="I84" s="5" t="s">
        <v>39</v>
      </c>
      <c r="J84" s="5"/>
      <c r="K84" s="5">
        <v>298</v>
      </c>
      <c r="L84" s="5">
        <f t="shared" si="25"/>
        <v>-165</v>
      </c>
      <c r="M84" s="5"/>
      <c r="N84" s="5"/>
      <c r="O84" s="5">
        <v>156</v>
      </c>
      <c r="P84" s="5">
        <v>63</v>
      </c>
      <c r="Q84" s="5">
        <f t="shared" si="26"/>
        <v>26.6</v>
      </c>
      <c r="R84" s="4">
        <f t="shared" ref="R84:R85" si="34">14*Q84-P84-O84-F84</f>
        <v>152.40000000000003</v>
      </c>
      <c r="S84" s="4">
        <f t="shared" si="30"/>
        <v>152</v>
      </c>
      <c r="T84" s="17"/>
      <c r="U84" s="5">
        <f t="shared" si="27"/>
        <v>14</v>
      </c>
      <c r="V84" s="5">
        <f t="shared" si="28"/>
        <v>8.2706766917293226</v>
      </c>
      <c r="W84" s="5">
        <v>20.6</v>
      </c>
      <c r="X84" s="5">
        <v>23</v>
      </c>
      <c r="Y84" s="5">
        <v>20</v>
      </c>
      <c r="Z84" s="5">
        <v>27</v>
      </c>
      <c r="AA84" s="5">
        <v>28.2</v>
      </c>
      <c r="AB84" s="5">
        <v>19.2</v>
      </c>
      <c r="AC84" s="5">
        <v>21.6</v>
      </c>
      <c r="AD84" s="5">
        <v>18.399999999999999</v>
      </c>
      <c r="AE84" s="5">
        <v>12.4</v>
      </c>
      <c r="AF84" s="5">
        <v>21.4</v>
      </c>
      <c r="AG84" s="5"/>
      <c r="AH84" s="5">
        <f t="shared" si="31"/>
        <v>45.6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hidden="1" x14ac:dyDescent="0.25">
      <c r="A85" s="5" t="s">
        <v>130</v>
      </c>
      <c r="B85" s="5" t="s">
        <v>42</v>
      </c>
      <c r="C85" s="5">
        <v>13</v>
      </c>
      <c r="D85" s="5">
        <v>43</v>
      </c>
      <c r="E85" s="5">
        <v>48</v>
      </c>
      <c r="F85" s="5">
        <v>1</v>
      </c>
      <c r="G85" s="7">
        <v>0.3</v>
      </c>
      <c r="H85" s="5">
        <v>60</v>
      </c>
      <c r="I85" s="5" t="s">
        <v>39</v>
      </c>
      <c r="J85" s="5"/>
      <c r="K85" s="5">
        <v>115</v>
      </c>
      <c r="L85" s="5">
        <f t="shared" si="25"/>
        <v>-67</v>
      </c>
      <c r="M85" s="5"/>
      <c r="N85" s="5"/>
      <c r="O85" s="5">
        <v>16</v>
      </c>
      <c r="P85" s="5">
        <v>57</v>
      </c>
      <c r="Q85" s="5">
        <f t="shared" si="26"/>
        <v>9.6</v>
      </c>
      <c r="R85" s="4">
        <f t="shared" si="34"/>
        <v>60.400000000000006</v>
      </c>
      <c r="S85" s="4">
        <f t="shared" si="30"/>
        <v>60</v>
      </c>
      <c r="T85" s="17"/>
      <c r="U85" s="5">
        <f t="shared" si="27"/>
        <v>14.000000000000002</v>
      </c>
      <c r="V85" s="5">
        <f t="shared" si="28"/>
        <v>7.7083333333333339</v>
      </c>
      <c r="W85" s="5">
        <v>8.4</v>
      </c>
      <c r="X85" s="5">
        <v>4.5999999999999996</v>
      </c>
      <c r="Y85" s="5">
        <v>4</v>
      </c>
      <c r="Z85" s="5">
        <v>7.8</v>
      </c>
      <c r="AA85" s="5">
        <v>5.8</v>
      </c>
      <c r="AB85" s="5">
        <v>9</v>
      </c>
      <c r="AC85" s="5">
        <v>6.4</v>
      </c>
      <c r="AD85" s="5">
        <v>3.4</v>
      </c>
      <c r="AE85" s="5">
        <v>4.8</v>
      </c>
      <c r="AF85" s="5">
        <v>6.2</v>
      </c>
      <c r="AG85" s="5"/>
      <c r="AH85" s="5">
        <f t="shared" si="31"/>
        <v>18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hidden="1" x14ac:dyDescent="0.25">
      <c r="A86" s="5" t="s">
        <v>131</v>
      </c>
      <c r="B86" s="5" t="s">
        <v>42</v>
      </c>
      <c r="C86" s="5">
        <v>302</v>
      </c>
      <c r="D86" s="5">
        <v>916</v>
      </c>
      <c r="E86" s="5">
        <v>497</v>
      </c>
      <c r="F86" s="5">
        <v>673</v>
      </c>
      <c r="G86" s="7">
        <v>0.28000000000000003</v>
      </c>
      <c r="H86" s="5">
        <v>50</v>
      </c>
      <c r="I86" s="5" t="s">
        <v>39</v>
      </c>
      <c r="J86" s="5"/>
      <c r="K86" s="5">
        <v>533</v>
      </c>
      <c r="L86" s="5">
        <f t="shared" si="25"/>
        <v>-36</v>
      </c>
      <c r="M86" s="5"/>
      <c r="N86" s="5"/>
      <c r="O86" s="5">
        <v>0</v>
      </c>
      <c r="P86" s="5">
        <v>0</v>
      </c>
      <c r="Q86" s="5">
        <f t="shared" si="26"/>
        <v>99.4</v>
      </c>
      <c r="R86" s="4">
        <f t="shared" ref="R86" si="35">13*Q86-P86-O86-F86</f>
        <v>619.20000000000005</v>
      </c>
      <c r="S86" s="4">
        <f t="shared" si="30"/>
        <v>619</v>
      </c>
      <c r="T86" s="17"/>
      <c r="U86" s="5">
        <f t="shared" si="27"/>
        <v>13</v>
      </c>
      <c r="V86" s="5">
        <f t="shared" si="28"/>
        <v>6.7706237424547284</v>
      </c>
      <c r="W86" s="5">
        <v>52.6</v>
      </c>
      <c r="X86" s="5">
        <v>55.4</v>
      </c>
      <c r="Y86" s="5">
        <v>88.4</v>
      </c>
      <c r="Z86" s="5">
        <v>94.2</v>
      </c>
      <c r="AA86" s="5">
        <v>52.8</v>
      </c>
      <c r="AB86" s="5">
        <v>65.599999999999994</v>
      </c>
      <c r="AC86" s="5">
        <v>54.8</v>
      </c>
      <c r="AD86" s="5">
        <v>60.4</v>
      </c>
      <c r="AE86" s="5">
        <v>54.2</v>
      </c>
      <c r="AF86" s="5">
        <v>56.8</v>
      </c>
      <c r="AG86" s="5"/>
      <c r="AH86" s="5">
        <f t="shared" si="31"/>
        <v>173.32000000000002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hidden="1" x14ac:dyDescent="0.25">
      <c r="A87" s="5" t="s">
        <v>132</v>
      </c>
      <c r="B87" s="5" t="s">
        <v>42</v>
      </c>
      <c r="C87" s="5">
        <v>400</v>
      </c>
      <c r="D87" s="5">
        <v>588</v>
      </c>
      <c r="E87" s="5">
        <v>510</v>
      </c>
      <c r="F87" s="5">
        <v>428</v>
      </c>
      <c r="G87" s="7">
        <v>0.28000000000000003</v>
      </c>
      <c r="H87" s="5">
        <v>45</v>
      </c>
      <c r="I87" s="5" t="s">
        <v>39</v>
      </c>
      <c r="J87" s="5"/>
      <c r="K87" s="5">
        <v>539</v>
      </c>
      <c r="L87" s="5">
        <f t="shared" si="25"/>
        <v>-29</v>
      </c>
      <c r="M87" s="5"/>
      <c r="N87" s="5"/>
      <c r="O87" s="5">
        <v>422</v>
      </c>
      <c r="P87" s="5">
        <v>11</v>
      </c>
      <c r="Q87" s="5">
        <f t="shared" si="26"/>
        <v>102</v>
      </c>
      <c r="R87" s="4">
        <f>13*Q87-P87-O87-F87</f>
        <v>465</v>
      </c>
      <c r="S87" s="4">
        <f t="shared" si="30"/>
        <v>465</v>
      </c>
      <c r="T87" s="17"/>
      <c r="U87" s="5">
        <f t="shared" si="27"/>
        <v>13</v>
      </c>
      <c r="V87" s="5">
        <f t="shared" si="28"/>
        <v>8.4411764705882355</v>
      </c>
      <c r="W87" s="5">
        <v>67.599999999999994</v>
      </c>
      <c r="X87" s="5">
        <v>86.6</v>
      </c>
      <c r="Y87" s="5">
        <v>90.2</v>
      </c>
      <c r="Z87" s="5">
        <v>81.8</v>
      </c>
      <c r="AA87" s="5">
        <v>59.8</v>
      </c>
      <c r="AB87" s="5">
        <v>55.2</v>
      </c>
      <c r="AC87" s="5">
        <v>44.4</v>
      </c>
      <c r="AD87" s="5">
        <v>60.6</v>
      </c>
      <c r="AE87" s="5">
        <v>61</v>
      </c>
      <c r="AF87" s="5">
        <v>47</v>
      </c>
      <c r="AG87" s="5"/>
      <c r="AH87" s="5">
        <f t="shared" si="31"/>
        <v>130.20000000000002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9" t="s">
        <v>133</v>
      </c>
      <c r="B88" s="9" t="s">
        <v>42</v>
      </c>
      <c r="C88" s="9">
        <v>174</v>
      </c>
      <c r="D88" s="9"/>
      <c r="E88" s="9">
        <v>32</v>
      </c>
      <c r="F88" s="9">
        <v>142</v>
      </c>
      <c r="G88" s="10">
        <v>0</v>
      </c>
      <c r="H88" s="9"/>
      <c r="I88" s="9" t="s">
        <v>37</v>
      </c>
      <c r="J88" s="9"/>
      <c r="K88" s="9">
        <v>48</v>
      </c>
      <c r="L88" s="9">
        <f t="shared" si="25"/>
        <v>-16</v>
      </c>
      <c r="M88" s="9"/>
      <c r="N88" s="9"/>
      <c r="O88" s="9">
        <v>0</v>
      </c>
      <c r="P88" s="9">
        <v>0</v>
      </c>
      <c r="Q88" s="9">
        <f t="shared" si="26"/>
        <v>6.4</v>
      </c>
      <c r="R88" s="11"/>
      <c r="S88" s="4">
        <f t="shared" si="30"/>
        <v>0</v>
      </c>
      <c r="T88" s="16"/>
      <c r="U88" s="9">
        <f t="shared" si="27"/>
        <v>22.1875</v>
      </c>
      <c r="V88" s="9">
        <f t="shared" si="28"/>
        <v>22.1875</v>
      </c>
      <c r="W88" s="9">
        <v>0</v>
      </c>
      <c r="X88" s="9">
        <v>1.6</v>
      </c>
      <c r="Y88" s="9">
        <v>3.2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12" t="s">
        <v>38</v>
      </c>
      <c r="AH88" s="5">
        <f t="shared" si="31"/>
        <v>0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hidden="1" x14ac:dyDescent="0.25">
      <c r="A89" s="5" t="s">
        <v>134</v>
      </c>
      <c r="B89" s="5" t="s">
        <v>42</v>
      </c>
      <c r="C89" s="5">
        <v>596</v>
      </c>
      <c r="D89" s="5">
        <v>364</v>
      </c>
      <c r="E89" s="5">
        <v>386</v>
      </c>
      <c r="F89" s="5">
        <v>509</v>
      </c>
      <c r="G89" s="7">
        <v>0.28000000000000003</v>
      </c>
      <c r="H89" s="5">
        <v>45</v>
      </c>
      <c r="I89" s="5" t="s">
        <v>39</v>
      </c>
      <c r="J89" s="5"/>
      <c r="K89" s="5">
        <v>445</v>
      </c>
      <c r="L89" s="5">
        <f t="shared" si="25"/>
        <v>-59</v>
      </c>
      <c r="M89" s="5"/>
      <c r="N89" s="5"/>
      <c r="O89" s="5">
        <v>214</v>
      </c>
      <c r="P89" s="5">
        <v>0</v>
      </c>
      <c r="Q89" s="5">
        <f t="shared" si="26"/>
        <v>77.2</v>
      </c>
      <c r="R89" s="4">
        <f>13*Q89-P89-O89-F89</f>
        <v>280.60000000000002</v>
      </c>
      <c r="S89" s="4">
        <f t="shared" si="30"/>
        <v>281</v>
      </c>
      <c r="T89" s="17"/>
      <c r="U89" s="5">
        <f t="shared" si="27"/>
        <v>13</v>
      </c>
      <c r="V89" s="5">
        <f t="shared" si="28"/>
        <v>9.3652849740932638</v>
      </c>
      <c r="W89" s="5">
        <v>52.2</v>
      </c>
      <c r="X89" s="5">
        <v>71.8</v>
      </c>
      <c r="Y89" s="5">
        <v>70.8</v>
      </c>
      <c r="Z89" s="5">
        <v>74.2</v>
      </c>
      <c r="AA89" s="5">
        <v>48.8</v>
      </c>
      <c r="AB89" s="5">
        <v>44.4</v>
      </c>
      <c r="AC89" s="5">
        <v>43.2</v>
      </c>
      <c r="AD89" s="5">
        <v>40</v>
      </c>
      <c r="AE89" s="5">
        <v>44.6</v>
      </c>
      <c r="AF89" s="5">
        <v>35.799999999999997</v>
      </c>
      <c r="AG89" s="5"/>
      <c r="AH89" s="5">
        <f t="shared" si="31"/>
        <v>78.680000000000007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hidden="1" x14ac:dyDescent="0.25">
      <c r="A90" s="5" t="s">
        <v>135</v>
      </c>
      <c r="B90" s="5" t="s">
        <v>42</v>
      </c>
      <c r="C90" s="5">
        <v>138</v>
      </c>
      <c r="D90" s="5">
        <v>1251</v>
      </c>
      <c r="E90" s="5">
        <v>936</v>
      </c>
      <c r="F90" s="5">
        <v>406</v>
      </c>
      <c r="G90" s="7">
        <v>0.4</v>
      </c>
      <c r="H90" s="5">
        <v>50</v>
      </c>
      <c r="I90" s="5" t="s">
        <v>39</v>
      </c>
      <c r="J90" s="5"/>
      <c r="K90" s="5">
        <v>953</v>
      </c>
      <c r="L90" s="5">
        <f t="shared" si="25"/>
        <v>-17</v>
      </c>
      <c r="M90" s="5"/>
      <c r="N90" s="5"/>
      <c r="O90" s="5">
        <v>0</v>
      </c>
      <c r="P90" s="5">
        <v>1066</v>
      </c>
      <c r="Q90" s="5">
        <f t="shared" si="26"/>
        <v>187.2</v>
      </c>
      <c r="R90" s="4">
        <f t="shared" ref="R90" si="36">13*Q90-P90-O90-F90</f>
        <v>961.59999999999991</v>
      </c>
      <c r="S90" s="4">
        <f t="shared" si="30"/>
        <v>962</v>
      </c>
      <c r="T90" s="17"/>
      <c r="U90" s="5">
        <f t="shared" si="27"/>
        <v>13</v>
      </c>
      <c r="V90" s="5">
        <f t="shared" si="28"/>
        <v>7.8632478632478637</v>
      </c>
      <c r="W90" s="5">
        <v>136.4</v>
      </c>
      <c r="X90" s="5">
        <v>73</v>
      </c>
      <c r="Y90" s="5">
        <v>123.8</v>
      </c>
      <c r="Z90" s="5">
        <v>112.6</v>
      </c>
      <c r="AA90" s="5">
        <v>89.6</v>
      </c>
      <c r="AB90" s="5">
        <v>96</v>
      </c>
      <c r="AC90" s="5">
        <v>94.4</v>
      </c>
      <c r="AD90" s="5">
        <v>101.8</v>
      </c>
      <c r="AE90" s="5">
        <v>92.8</v>
      </c>
      <c r="AF90" s="5">
        <v>89</v>
      </c>
      <c r="AG90" s="5"/>
      <c r="AH90" s="5">
        <f t="shared" si="31"/>
        <v>384.8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hidden="1" x14ac:dyDescent="0.25">
      <c r="A91" s="5" t="s">
        <v>136</v>
      </c>
      <c r="B91" s="5" t="s">
        <v>36</v>
      </c>
      <c r="C91" s="5">
        <v>2.1280000000000001</v>
      </c>
      <c r="D91" s="5">
        <v>3.2440000000000002</v>
      </c>
      <c r="E91" s="5">
        <v>0.46</v>
      </c>
      <c r="F91" s="5">
        <v>2.5579999999999998</v>
      </c>
      <c r="G91" s="7">
        <v>1</v>
      </c>
      <c r="H91" s="5">
        <v>30</v>
      </c>
      <c r="I91" s="5" t="s">
        <v>39</v>
      </c>
      <c r="J91" s="5"/>
      <c r="K91" s="5">
        <v>17.2</v>
      </c>
      <c r="L91" s="5">
        <f t="shared" si="25"/>
        <v>-16.739999999999998</v>
      </c>
      <c r="M91" s="5"/>
      <c r="N91" s="5"/>
      <c r="O91" s="5">
        <v>46</v>
      </c>
      <c r="P91" s="5">
        <v>100</v>
      </c>
      <c r="Q91" s="5">
        <f t="shared" si="26"/>
        <v>9.1999999999999998E-2</v>
      </c>
      <c r="R91" s="4"/>
      <c r="S91" s="4">
        <f t="shared" si="30"/>
        <v>0</v>
      </c>
      <c r="T91" s="17"/>
      <c r="U91" s="5">
        <f t="shared" si="27"/>
        <v>1614.7608695652173</v>
      </c>
      <c r="V91" s="5">
        <f t="shared" si="28"/>
        <v>1614.7608695652173</v>
      </c>
      <c r="W91" s="5">
        <v>3.0341999999999998</v>
      </c>
      <c r="X91" s="5">
        <v>4.6256000000000004</v>
      </c>
      <c r="Y91" s="5">
        <v>0.94879999999999998</v>
      </c>
      <c r="Z91" s="5">
        <v>0.78600000000000003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 t="s">
        <v>137</v>
      </c>
      <c r="AH91" s="5">
        <f t="shared" si="31"/>
        <v>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hidden="1" x14ac:dyDescent="0.25">
      <c r="A92" s="5" t="s">
        <v>138</v>
      </c>
      <c r="B92" s="5" t="s">
        <v>42</v>
      </c>
      <c r="C92" s="5">
        <v>3</v>
      </c>
      <c r="D92" s="5">
        <v>29</v>
      </c>
      <c r="E92" s="5">
        <v>22</v>
      </c>
      <c r="F92" s="5">
        <v>5</v>
      </c>
      <c r="G92" s="7">
        <v>0.28000000000000003</v>
      </c>
      <c r="H92" s="5">
        <v>50</v>
      </c>
      <c r="I92" s="5" t="s">
        <v>39</v>
      </c>
      <c r="J92" s="5"/>
      <c r="K92" s="5">
        <v>66</v>
      </c>
      <c r="L92" s="5">
        <f t="shared" si="25"/>
        <v>-44</v>
      </c>
      <c r="M92" s="5"/>
      <c r="N92" s="5"/>
      <c r="O92" s="5">
        <v>20</v>
      </c>
      <c r="P92" s="5">
        <v>31</v>
      </c>
      <c r="Q92" s="5">
        <f t="shared" si="26"/>
        <v>4.4000000000000004</v>
      </c>
      <c r="R92" s="4">
        <f>14*Q92-P92-O92-F92</f>
        <v>5.6000000000000085</v>
      </c>
      <c r="S92" s="4">
        <f t="shared" si="30"/>
        <v>6</v>
      </c>
      <c r="T92" s="17"/>
      <c r="U92" s="5">
        <f t="shared" si="27"/>
        <v>14</v>
      </c>
      <c r="V92" s="5">
        <f t="shared" si="28"/>
        <v>12.727272727272727</v>
      </c>
      <c r="W92" s="5">
        <v>5.4</v>
      </c>
      <c r="X92" s="5">
        <v>2.8</v>
      </c>
      <c r="Y92" s="5">
        <v>5.2</v>
      </c>
      <c r="Z92" s="5">
        <v>5.6</v>
      </c>
      <c r="AA92" s="5">
        <v>4.4000000000000004</v>
      </c>
      <c r="AB92" s="5">
        <v>3.6</v>
      </c>
      <c r="AC92" s="5">
        <v>6.4</v>
      </c>
      <c r="AD92" s="5">
        <v>5.2</v>
      </c>
      <c r="AE92" s="5">
        <v>5.6</v>
      </c>
      <c r="AF92" s="5">
        <v>6.2</v>
      </c>
      <c r="AG92" s="5"/>
      <c r="AH92" s="5">
        <f t="shared" si="31"/>
        <v>1.6800000000000002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hidden="1" x14ac:dyDescent="0.25">
      <c r="A93" s="9" t="s">
        <v>139</v>
      </c>
      <c r="B93" s="9" t="s">
        <v>42</v>
      </c>
      <c r="C93" s="9">
        <v>4</v>
      </c>
      <c r="D93" s="9"/>
      <c r="E93" s="9">
        <v>4</v>
      </c>
      <c r="F93" s="9"/>
      <c r="G93" s="10">
        <v>0</v>
      </c>
      <c r="H93" s="9">
        <v>50</v>
      </c>
      <c r="I93" s="9" t="s">
        <v>37</v>
      </c>
      <c r="J93" s="9"/>
      <c r="K93" s="9">
        <v>8</v>
      </c>
      <c r="L93" s="9">
        <f t="shared" si="25"/>
        <v>-4</v>
      </c>
      <c r="M93" s="9"/>
      <c r="N93" s="9"/>
      <c r="O93" s="9">
        <v>0</v>
      </c>
      <c r="P93" s="9">
        <v>0</v>
      </c>
      <c r="Q93" s="9">
        <f t="shared" si="26"/>
        <v>0.8</v>
      </c>
      <c r="R93" s="11"/>
      <c r="S93" s="4">
        <f t="shared" si="30"/>
        <v>0</v>
      </c>
      <c r="T93" s="16"/>
      <c r="U93" s="9">
        <f t="shared" si="27"/>
        <v>0</v>
      </c>
      <c r="V93" s="9">
        <f t="shared" si="28"/>
        <v>0</v>
      </c>
      <c r="W93" s="9">
        <v>1.2</v>
      </c>
      <c r="X93" s="9">
        <v>2.4</v>
      </c>
      <c r="Y93" s="9">
        <v>2</v>
      </c>
      <c r="Z93" s="9">
        <v>1.4</v>
      </c>
      <c r="AA93" s="9">
        <v>0.4</v>
      </c>
      <c r="AB93" s="9">
        <v>0.2</v>
      </c>
      <c r="AC93" s="9">
        <v>0.6</v>
      </c>
      <c r="AD93" s="9">
        <v>0.2</v>
      </c>
      <c r="AE93" s="9">
        <v>0.6</v>
      </c>
      <c r="AF93" s="9">
        <v>0.4</v>
      </c>
      <c r="AG93" s="9"/>
      <c r="AH93" s="5">
        <f t="shared" si="31"/>
        <v>0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9" t="s">
        <v>140</v>
      </c>
      <c r="B94" s="9" t="s">
        <v>42</v>
      </c>
      <c r="C94" s="9">
        <v>280</v>
      </c>
      <c r="D94" s="9"/>
      <c r="E94" s="9"/>
      <c r="F94" s="9">
        <v>280</v>
      </c>
      <c r="G94" s="10">
        <v>0</v>
      </c>
      <c r="H94" s="9"/>
      <c r="I94" s="9" t="s">
        <v>37</v>
      </c>
      <c r="J94" s="9"/>
      <c r="K94" s="9"/>
      <c r="L94" s="9">
        <f t="shared" si="25"/>
        <v>0</v>
      </c>
      <c r="M94" s="9"/>
      <c r="N94" s="9"/>
      <c r="O94" s="9">
        <v>0</v>
      </c>
      <c r="P94" s="9">
        <v>0</v>
      </c>
      <c r="Q94" s="9">
        <f t="shared" si="26"/>
        <v>0</v>
      </c>
      <c r="R94" s="11"/>
      <c r="S94" s="4">
        <f t="shared" si="30"/>
        <v>0</v>
      </c>
      <c r="T94" s="16"/>
      <c r="U94" s="9" t="e">
        <f t="shared" si="27"/>
        <v>#DIV/0!</v>
      </c>
      <c r="V94" s="9" t="e">
        <f t="shared" si="28"/>
        <v>#DIV/0!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12" t="s">
        <v>38</v>
      </c>
      <c r="AH94" s="5">
        <f t="shared" si="31"/>
        <v>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hidden="1" x14ac:dyDescent="0.25">
      <c r="A95" s="5" t="s">
        <v>141</v>
      </c>
      <c r="B95" s="5" t="s">
        <v>42</v>
      </c>
      <c r="C95" s="5">
        <v>119</v>
      </c>
      <c r="D95" s="5">
        <v>596</v>
      </c>
      <c r="E95" s="5">
        <v>395</v>
      </c>
      <c r="F95" s="5">
        <v>296</v>
      </c>
      <c r="G95" s="7">
        <v>0.12</v>
      </c>
      <c r="H95" s="5">
        <v>60</v>
      </c>
      <c r="I95" s="5" t="s">
        <v>39</v>
      </c>
      <c r="J95" s="5"/>
      <c r="K95" s="5">
        <v>406</v>
      </c>
      <c r="L95" s="5">
        <f t="shared" si="25"/>
        <v>-11</v>
      </c>
      <c r="M95" s="5"/>
      <c r="N95" s="5"/>
      <c r="O95" s="5">
        <v>50</v>
      </c>
      <c r="P95" s="5">
        <v>362</v>
      </c>
      <c r="Q95" s="5">
        <f t="shared" si="26"/>
        <v>79</v>
      </c>
      <c r="R95" s="4">
        <f>14*Q95-P95-O95-F95</f>
        <v>398</v>
      </c>
      <c r="S95" s="4">
        <f t="shared" si="30"/>
        <v>398</v>
      </c>
      <c r="T95" s="17"/>
      <c r="U95" s="5">
        <f t="shared" si="27"/>
        <v>14</v>
      </c>
      <c r="V95" s="5">
        <f t="shared" si="28"/>
        <v>8.962025316455696</v>
      </c>
      <c r="W95" s="5">
        <v>54.8</v>
      </c>
      <c r="X95" s="5">
        <v>35.6</v>
      </c>
      <c r="Y95" s="5">
        <v>57.8</v>
      </c>
      <c r="Z95" s="5">
        <v>44.4</v>
      </c>
      <c r="AA95" s="5">
        <v>26.4</v>
      </c>
      <c r="AB95" s="5">
        <v>32.6</v>
      </c>
      <c r="AC95" s="5">
        <v>18.399999999999999</v>
      </c>
      <c r="AD95" s="5">
        <v>33.799999999999997</v>
      </c>
      <c r="AE95" s="5">
        <v>18.8</v>
      </c>
      <c r="AF95" s="5">
        <v>24.8</v>
      </c>
      <c r="AG95" s="5"/>
      <c r="AH95" s="5">
        <f t="shared" si="31"/>
        <v>47.76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hidden="1" x14ac:dyDescent="0.25">
      <c r="A96" s="9" t="s">
        <v>142</v>
      </c>
      <c r="B96" s="9" t="s">
        <v>42</v>
      </c>
      <c r="C96" s="9">
        <v>108</v>
      </c>
      <c r="D96" s="9">
        <v>8</v>
      </c>
      <c r="E96" s="9">
        <v>36</v>
      </c>
      <c r="F96" s="9">
        <v>80</v>
      </c>
      <c r="G96" s="10">
        <v>0</v>
      </c>
      <c r="H96" s="9"/>
      <c r="I96" s="9" t="s">
        <v>37</v>
      </c>
      <c r="J96" s="9"/>
      <c r="K96" s="9">
        <v>46</v>
      </c>
      <c r="L96" s="9">
        <f t="shared" si="25"/>
        <v>-10</v>
      </c>
      <c r="M96" s="9"/>
      <c r="N96" s="9"/>
      <c r="O96" s="9">
        <v>0</v>
      </c>
      <c r="P96" s="9">
        <v>0</v>
      </c>
      <c r="Q96" s="9">
        <f t="shared" si="26"/>
        <v>7.2</v>
      </c>
      <c r="R96" s="11"/>
      <c r="S96" s="4">
        <f t="shared" si="30"/>
        <v>0</v>
      </c>
      <c r="T96" s="16"/>
      <c r="U96" s="9">
        <f t="shared" si="27"/>
        <v>11.111111111111111</v>
      </c>
      <c r="V96" s="9">
        <f t="shared" si="28"/>
        <v>11.111111111111111</v>
      </c>
      <c r="W96" s="9">
        <v>5.4</v>
      </c>
      <c r="X96" s="9">
        <v>9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 t="s">
        <v>62</v>
      </c>
      <c r="AH96" s="5">
        <f t="shared" si="31"/>
        <v>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hidden="1" x14ac:dyDescent="0.25">
      <c r="A97" s="5" t="s">
        <v>143</v>
      </c>
      <c r="B97" s="5" t="s">
        <v>42</v>
      </c>
      <c r="C97" s="5"/>
      <c r="D97" s="5">
        <v>493</v>
      </c>
      <c r="E97" s="5">
        <v>226</v>
      </c>
      <c r="F97" s="5">
        <v>224</v>
      </c>
      <c r="G97" s="7">
        <v>0.33</v>
      </c>
      <c r="H97" s="5">
        <v>30</v>
      </c>
      <c r="I97" s="5" t="s">
        <v>39</v>
      </c>
      <c r="J97" s="5"/>
      <c r="K97" s="5">
        <v>308</v>
      </c>
      <c r="L97" s="5">
        <f t="shared" si="25"/>
        <v>-82</v>
      </c>
      <c r="M97" s="5"/>
      <c r="N97" s="5"/>
      <c r="O97" s="5">
        <v>161</v>
      </c>
      <c r="P97" s="5">
        <v>0</v>
      </c>
      <c r="Q97" s="5">
        <f t="shared" si="26"/>
        <v>45.2</v>
      </c>
      <c r="R97" s="4">
        <f>14*Q97-P97-O97-F97</f>
        <v>247.80000000000007</v>
      </c>
      <c r="S97" s="4">
        <f t="shared" si="30"/>
        <v>248</v>
      </c>
      <c r="T97" s="17"/>
      <c r="U97" s="5">
        <f t="shared" si="27"/>
        <v>14</v>
      </c>
      <c r="V97" s="5">
        <f t="shared" si="28"/>
        <v>8.5176991150442465</v>
      </c>
      <c r="W97" s="5">
        <v>1.8</v>
      </c>
      <c r="X97" s="5">
        <v>37.799999999999997</v>
      </c>
      <c r="Y97" s="5">
        <v>56</v>
      </c>
      <c r="Z97" s="5">
        <v>32.200000000000003</v>
      </c>
      <c r="AA97" s="5">
        <v>40</v>
      </c>
      <c r="AB97" s="5">
        <v>37.4</v>
      </c>
      <c r="AC97" s="5">
        <v>23</v>
      </c>
      <c r="AD97" s="5">
        <v>38</v>
      </c>
      <c r="AE97" s="5">
        <v>49.6</v>
      </c>
      <c r="AF97" s="5">
        <v>18</v>
      </c>
      <c r="AG97" s="5"/>
      <c r="AH97" s="5">
        <f t="shared" si="31"/>
        <v>81.84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hidden="1" x14ac:dyDescent="0.25">
      <c r="A98" s="5" t="s">
        <v>144</v>
      </c>
      <c r="B98" s="5" t="s">
        <v>42</v>
      </c>
      <c r="C98" s="5"/>
      <c r="D98" s="5">
        <v>30</v>
      </c>
      <c r="E98" s="5">
        <v>29</v>
      </c>
      <c r="F98" s="5">
        <v>1</v>
      </c>
      <c r="G98" s="7">
        <v>0.15</v>
      </c>
      <c r="H98" s="5">
        <v>60</v>
      </c>
      <c r="I98" s="5" t="s">
        <v>39</v>
      </c>
      <c r="J98" s="5"/>
      <c r="K98" s="5">
        <v>129</v>
      </c>
      <c r="L98" s="5">
        <f t="shared" si="25"/>
        <v>-100</v>
      </c>
      <c r="M98" s="5"/>
      <c r="N98" s="5"/>
      <c r="O98" s="5">
        <v>0</v>
      </c>
      <c r="P98" s="5">
        <v>100</v>
      </c>
      <c r="Q98" s="5">
        <f t="shared" si="26"/>
        <v>5.8</v>
      </c>
      <c r="R98" s="4"/>
      <c r="S98" s="4">
        <f t="shared" si="30"/>
        <v>0</v>
      </c>
      <c r="T98" s="17"/>
      <c r="U98" s="5">
        <f t="shared" si="27"/>
        <v>17.413793103448278</v>
      </c>
      <c r="V98" s="5">
        <f t="shared" si="28"/>
        <v>17.413793103448278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 t="s">
        <v>145</v>
      </c>
      <c r="AH98" s="5">
        <f t="shared" si="31"/>
        <v>0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hidden="1" x14ac:dyDescent="0.25">
      <c r="A99" s="5" t="s">
        <v>146</v>
      </c>
      <c r="B99" s="5" t="s">
        <v>42</v>
      </c>
      <c r="C99" s="5"/>
      <c r="D99" s="5">
        <v>24</v>
      </c>
      <c r="E99" s="5">
        <v>14</v>
      </c>
      <c r="F99" s="5">
        <v>5</v>
      </c>
      <c r="G99" s="7">
        <v>0.26</v>
      </c>
      <c r="H99" s="5">
        <v>45</v>
      </c>
      <c r="I99" s="5" t="s">
        <v>39</v>
      </c>
      <c r="J99" s="5"/>
      <c r="K99" s="5">
        <v>15</v>
      </c>
      <c r="L99" s="5">
        <f t="shared" si="25"/>
        <v>-1</v>
      </c>
      <c r="M99" s="5"/>
      <c r="N99" s="5"/>
      <c r="O99" s="5">
        <v>0</v>
      </c>
      <c r="P99" s="5">
        <v>80</v>
      </c>
      <c r="Q99" s="5">
        <f t="shared" si="26"/>
        <v>2.8</v>
      </c>
      <c r="R99" s="4"/>
      <c r="S99" s="4">
        <f t="shared" si="30"/>
        <v>0</v>
      </c>
      <c r="T99" s="17"/>
      <c r="U99" s="5">
        <f t="shared" si="27"/>
        <v>30.357142857142858</v>
      </c>
      <c r="V99" s="5">
        <f t="shared" si="28"/>
        <v>30.357142857142858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 t="s">
        <v>147</v>
      </c>
      <c r="AH99" s="5">
        <f t="shared" si="31"/>
        <v>0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hidden="1" x14ac:dyDescent="0.25">
      <c r="A100" s="5" t="s">
        <v>148</v>
      </c>
      <c r="B100" s="5" t="s">
        <v>42</v>
      </c>
      <c r="C100" s="5"/>
      <c r="D100" s="5">
        <v>24</v>
      </c>
      <c r="E100" s="5">
        <v>20</v>
      </c>
      <c r="F100" s="5">
        <v>1</v>
      </c>
      <c r="G100" s="7">
        <v>0.31</v>
      </c>
      <c r="H100" s="5">
        <v>45</v>
      </c>
      <c r="I100" s="5" t="s">
        <v>39</v>
      </c>
      <c r="J100" s="5"/>
      <c r="K100" s="5">
        <v>21</v>
      </c>
      <c r="L100" s="5">
        <f t="shared" si="25"/>
        <v>-1</v>
      </c>
      <c r="M100" s="5"/>
      <c r="N100" s="5"/>
      <c r="O100" s="5">
        <v>0</v>
      </c>
      <c r="P100" s="5">
        <v>80</v>
      </c>
      <c r="Q100" s="5">
        <f t="shared" si="26"/>
        <v>4</v>
      </c>
      <c r="R100" s="4"/>
      <c r="S100" s="4">
        <f t="shared" si="30"/>
        <v>0</v>
      </c>
      <c r="T100" s="17"/>
      <c r="U100" s="5">
        <f t="shared" si="27"/>
        <v>20.25</v>
      </c>
      <c r="V100" s="5">
        <f t="shared" si="28"/>
        <v>20.25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 t="s">
        <v>147</v>
      </c>
      <c r="AH100" s="5">
        <f t="shared" si="31"/>
        <v>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hidden="1" x14ac:dyDescent="0.25">
      <c r="A101" s="5" t="s">
        <v>149</v>
      </c>
      <c r="B101" s="5" t="s">
        <v>42</v>
      </c>
      <c r="C101" s="5">
        <v>232</v>
      </c>
      <c r="D101" s="5">
        <v>398</v>
      </c>
      <c r="E101" s="5">
        <v>267</v>
      </c>
      <c r="F101" s="5">
        <v>334</v>
      </c>
      <c r="G101" s="7">
        <v>0.4</v>
      </c>
      <c r="H101" s="5">
        <v>60</v>
      </c>
      <c r="I101" s="5" t="s">
        <v>39</v>
      </c>
      <c r="J101" s="5"/>
      <c r="K101" s="5">
        <v>276</v>
      </c>
      <c r="L101" s="5">
        <f t="shared" si="25"/>
        <v>-9</v>
      </c>
      <c r="M101" s="5"/>
      <c r="N101" s="5"/>
      <c r="O101" s="5">
        <v>53</v>
      </c>
      <c r="P101" s="5">
        <v>109</v>
      </c>
      <c r="Q101" s="5">
        <f t="shared" si="26"/>
        <v>53.4</v>
      </c>
      <c r="R101" s="4">
        <f>14*Q101-P101-O101-F101</f>
        <v>251.60000000000002</v>
      </c>
      <c r="S101" s="4">
        <f t="shared" si="30"/>
        <v>252</v>
      </c>
      <c r="T101" s="17"/>
      <c r="U101" s="5">
        <f t="shared" si="27"/>
        <v>14</v>
      </c>
      <c r="V101" s="5">
        <f t="shared" si="28"/>
        <v>9.2883895131086138</v>
      </c>
      <c r="W101" s="5">
        <v>32</v>
      </c>
      <c r="X101" s="5">
        <v>33</v>
      </c>
      <c r="Y101" s="5">
        <v>43</v>
      </c>
      <c r="Z101" s="5">
        <v>36.6</v>
      </c>
      <c r="AA101" s="5">
        <v>18.600000000000001</v>
      </c>
      <c r="AB101" s="5">
        <v>15.8</v>
      </c>
      <c r="AC101" s="5">
        <v>22.2</v>
      </c>
      <c r="AD101" s="5">
        <v>20.399999999999999</v>
      </c>
      <c r="AE101" s="5">
        <v>15.8</v>
      </c>
      <c r="AF101" s="5">
        <v>16</v>
      </c>
      <c r="AG101" s="5"/>
      <c r="AH101" s="5">
        <f t="shared" si="31"/>
        <v>100.80000000000001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hidden="1" x14ac:dyDescent="0.25">
      <c r="A102" s="5" t="s">
        <v>150</v>
      </c>
      <c r="B102" s="5" t="s">
        <v>42</v>
      </c>
      <c r="C102" s="5">
        <v>57</v>
      </c>
      <c r="D102" s="5">
        <v>12</v>
      </c>
      <c r="E102" s="5">
        <v>23</v>
      </c>
      <c r="F102" s="5"/>
      <c r="G102" s="7">
        <v>0.35</v>
      </c>
      <c r="H102" s="5">
        <v>60</v>
      </c>
      <c r="I102" s="5" t="s">
        <v>39</v>
      </c>
      <c r="J102" s="5"/>
      <c r="K102" s="5">
        <v>238</v>
      </c>
      <c r="L102" s="5">
        <f t="shared" ref="L102:L113" si="37">E102-K102</f>
        <v>-215</v>
      </c>
      <c r="M102" s="5"/>
      <c r="N102" s="5"/>
      <c r="O102" s="5">
        <v>0</v>
      </c>
      <c r="P102" s="5">
        <v>0</v>
      </c>
      <c r="Q102" s="5">
        <f t="shared" ref="Q102:Q113" si="38">E102/5</f>
        <v>4.5999999999999996</v>
      </c>
      <c r="R102" s="4">
        <v>40</v>
      </c>
      <c r="S102" s="4">
        <f t="shared" si="30"/>
        <v>40</v>
      </c>
      <c r="T102" s="17"/>
      <c r="U102" s="5">
        <f t="shared" ref="U102:U113" si="39">(F102+O102+P102+R102)/Q102</f>
        <v>8.6956521739130448</v>
      </c>
      <c r="V102" s="5">
        <f t="shared" ref="V102:V113" si="40">(F102+O102+P102)/Q102</f>
        <v>0</v>
      </c>
      <c r="W102" s="5">
        <v>3.6</v>
      </c>
      <c r="X102" s="5">
        <v>1</v>
      </c>
      <c r="Y102" s="5">
        <v>0.6</v>
      </c>
      <c r="Z102" s="5">
        <v>0.4</v>
      </c>
      <c r="AA102" s="5">
        <v>0.6</v>
      </c>
      <c r="AB102" s="5">
        <v>2.6</v>
      </c>
      <c r="AC102" s="5">
        <v>1.8</v>
      </c>
      <c r="AD102" s="5">
        <v>0.4</v>
      </c>
      <c r="AE102" s="5">
        <v>0.8</v>
      </c>
      <c r="AF102" s="5">
        <v>0.4</v>
      </c>
      <c r="AG102" s="14" t="s">
        <v>170</v>
      </c>
      <c r="AH102" s="5">
        <f t="shared" si="31"/>
        <v>14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hidden="1" x14ac:dyDescent="0.25">
      <c r="A103" s="5" t="s">
        <v>151</v>
      </c>
      <c r="B103" s="5" t="s">
        <v>36</v>
      </c>
      <c r="C103" s="5"/>
      <c r="D103" s="5">
        <v>2.867</v>
      </c>
      <c r="E103" s="5">
        <v>2.504</v>
      </c>
      <c r="F103" s="5">
        <v>0.36299999999999999</v>
      </c>
      <c r="G103" s="7">
        <v>1</v>
      </c>
      <c r="H103" s="5">
        <v>45</v>
      </c>
      <c r="I103" s="5" t="s">
        <v>39</v>
      </c>
      <c r="J103" s="5"/>
      <c r="K103" s="5">
        <v>3</v>
      </c>
      <c r="L103" s="5">
        <f t="shared" si="37"/>
        <v>-0.496</v>
      </c>
      <c r="M103" s="5"/>
      <c r="N103" s="5"/>
      <c r="O103" s="5">
        <v>0</v>
      </c>
      <c r="P103" s="5">
        <v>80</v>
      </c>
      <c r="Q103" s="5">
        <f t="shared" si="38"/>
        <v>0.50080000000000002</v>
      </c>
      <c r="R103" s="4"/>
      <c r="S103" s="4">
        <f t="shared" si="30"/>
        <v>0</v>
      </c>
      <c r="T103" s="17"/>
      <c r="U103" s="5">
        <f t="shared" si="39"/>
        <v>160.46924920127796</v>
      </c>
      <c r="V103" s="5">
        <f t="shared" si="40"/>
        <v>160.46924920127796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 t="s">
        <v>152</v>
      </c>
      <c r="AH103" s="5">
        <f t="shared" si="31"/>
        <v>0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hidden="1" x14ac:dyDescent="0.25">
      <c r="A104" s="5" t="s">
        <v>153</v>
      </c>
      <c r="B104" s="5" t="s">
        <v>36</v>
      </c>
      <c r="C104" s="5"/>
      <c r="D104" s="5">
        <v>25.306999999999999</v>
      </c>
      <c r="E104" s="5">
        <v>25.312999999999999</v>
      </c>
      <c r="F104" s="5">
        <v>-6.0000000000000001E-3</v>
      </c>
      <c r="G104" s="7">
        <v>1</v>
      </c>
      <c r="H104" s="5">
        <v>45</v>
      </c>
      <c r="I104" s="5" t="s">
        <v>39</v>
      </c>
      <c r="J104" s="5"/>
      <c r="K104" s="5">
        <v>102.54</v>
      </c>
      <c r="L104" s="5">
        <f t="shared" si="37"/>
        <v>-77.227000000000004</v>
      </c>
      <c r="M104" s="5"/>
      <c r="N104" s="5"/>
      <c r="O104" s="5">
        <v>96</v>
      </c>
      <c r="P104" s="5">
        <v>0</v>
      </c>
      <c r="Q104" s="5">
        <f t="shared" si="38"/>
        <v>5.0625999999999998</v>
      </c>
      <c r="R104" s="4"/>
      <c r="S104" s="4">
        <f t="shared" si="30"/>
        <v>0</v>
      </c>
      <c r="T104" s="17"/>
      <c r="U104" s="5">
        <f t="shared" si="39"/>
        <v>18.961403231541105</v>
      </c>
      <c r="V104" s="5">
        <f t="shared" si="40"/>
        <v>18.961403231541105</v>
      </c>
      <c r="W104" s="5">
        <v>0.50580000000000003</v>
      </c>
      <c r="X104" s="5">
        <v>9.2891999999999992</v>
      </c>
      <c r="Y104" s="5">
        <v>4.9366000000000003</v>
      </c>
      <c r="Z104" s="5">
        <v>0.85839999999999994</v>
      </c>
      <c r="AA104" s="5">
        <v>15.9528</v>
      </c>
      <c r="AB104" s="5">
        <v>3.9323999999999999</v>
      </c>
      <c r="AC104" s="5">
        <v>2.3767999999999998</v>
      </c>
      <c r="AD104" s="5">
        <v>0.50239999999999996</v>
      </c>
      <c r="AE104" s="5">
        <v>9.3881999999999994</v>
      </c>
      <c r="AF104" s="5">
        <v>0</v>
      </c>
      <c r="AG104" s="5"/>
      <c r="AH104" s="5">
        <f t="shared" si="31"/>
        <v>0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hidden="1" x14ac:dyDescent="0.25">
      <c r="A105" s="9" t="s">
        <v>154</v>
      </c>
      <c r="B105" s="9" t="s">
        <v>42</v>
      </c>
      <c r="C105" s="9">
        <v>193</v>
      </c>
      <c r="D105" s="9"/>
      <c r="E105" s="9">
        <v>11</v>
      </c>
      <c r="F105" s="9">
        <v>180</v>
      </c>
      <c r="G105" s="10">
        <v>0</v>
      </c>
      <c r="H105" s="9"/>
      <c r="I105" s="9" t="s">
        <v>37</v>
      </c>
      <c r="J105" s="9"/>
      <c r="K105" s="9">
        <v>35</v>
      </c>
      <c r="L105" s="9">
        <f t="shared" si="37"/>
        <v>-24</v>
      </c>
      <c r="M105" s="9"/>
      <c r="N105" s="9"/>
      <c r="O105" s="9">
        <v>0</v>
      </c>
      <c r="P105" s="9">
        <v>0</v>
      </c>
      <c r="Q105" s="9">
        <f t="shared" si="38"/>
        <v>2.2000000000000002</v>
      </c>
      <c r="R105" s="11"/>
      <c r="S105" s="4">
        <f t="shared" si="30"/>
        <v>0</v>
      </c>
      <c r="T105" s="16"/>
      <c r="U105" s="9">
        <f t="shared" si="39"/>
        <v>81.818181818181813</v>
      </c>
      <c r="V105" s="9">
        <f t="shared" si="40"/>
        <v>81.818181818181813</v>
      </c>
      <c r="W105" s="9">
        <v>1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12" t="s">
        <v>155</v>
      </c>
      <c r="AH105" s="5">
        <f t="shared" si="31"/>
        <v>0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hidden="1" x14ac:dyDescent="0.25">
      <c r="A106" s="5" t="s">
        <v>156</v>
      </c>
      <c r="B106" s="5" t="s">
        <v>42</v>
      </c>
      <c r="C106" s="5">
        <v>428</v>
      </c>
      <c r="D106" s="5">
        <v>118</v>
      </c>
      <c r="E106" s="5">
        <v>115</v>
      </c>
      <c r="F106" s="5">
        <v>28</v>
      </c>
      <c r="G106" s="7">
        <v>0.33</v>
      </c>
      <c r="H106" s="5">
        <v>45</v>
      </c>
      <c r="I106" s="5" t="s">
        <v>39</v>
      </c>
      <c r="J106" s="5"/>
      <c r="K106" s="5">
        <v>413</v>
      </c>
      <c r="L106" s="5">
        <f t="shared" si="37"/>
        <v>-298</v>
      </c>
      <c r="M106" s="5"/>
      <c r="N106" s="5"/>
      <c r="O106" s="5">
        <v>0</v>
      </c>
      <c r="P106" s="5">
        <v>0</v>
      </c>
      <c r="Q106" s="5">
        <f t="shared" si="38"/>
        <v>23</v>
      </c>
      <c r="R106" s="4">
        <f>8*Q106-P106-O106-F106</f>
        <v>156</v>
      </c>
      <c r="S106" s="4">
        <f t="shared" si="30"/>
        <v>156</v>
      </c>
      <c r="T106" s="17"/>
      <c r="U106" s="5">
        <f t="shared" si="39"/>
        <v>8</v>
      </c>
      <c r="V106" s="5">
        <f t="shared" si="40"/>
        <v>1.2173913043478262</v>
      </c>
      <c r="W106" s="5">
        <v>25.8</v>
      </c>
      <c r="X106" s="5">
        <v>35.200000000000003</v>
      </c>
      <c r="Y106" s="5">
        <v>18.8</v>
      </c>
      <c r="Z106" s="5">
        <v>4.8</v>
      </c>
      <c r="AA106" s="5">
        <v>21.6</v>
      </c>
      <c r="AB106" s="5">
        <v>23.6</v>
      </c>
      <c r="AC106" s="5">
        <v>18</v>
      </c>
      <c r="AD106" s="5">
        <v>0.2</v>
      </c>
      <c r="AE106" s="5">
        <v>0.4</v>
      </c>
      <c r="AF106" s="5">
        <v>0</v>
      </c>
      <c r="AG106" s="14" t="s">
        <v>171</v>
      </c>
      <c r="AH106" s="5">
        <f t="shared" si="31"/>
        <v>51.480000000000004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 t="s">
        <v>157</v>
      </c>
      <c r="B107" s="5" t="s">
        <v>42</v>
      </c>
      <c r="C107" s="5">
        <v>53</v>
      </c>
      <c r="D107" s="5">
        <v>11</v>
      </c>
      <c r="E107" s="5">
        <v>4</v>
      </c>
      <c r="F107" s="5">
        <v>58</v>
      </c>
      <c r="G107" s="7">
        <v>0.1</v>
      </c>
      <c r="H107" s="5">
        <v>45</v>
      </c>
      <c r="I107" s="5" t="s">
        <v>39</v>
      </c>
      <c r="J107" s="5"/>
      <c r="K107" s="5">
        <v>5</v>
      </c>
      <c r="L107" s="5">
        <f t="shared" si="37"/>
        <v>-1</v>
      </c>
      <c r="M107" s="5"/>
      <c r="N107" s="5"/>
      <c r="O107" s="5">
        <v>0</v>
      </c>
      <c r="P107" s="5">
        <v>0</v>
      </c>
      <c r="Q107" s="5">
        <f t="shared" si="38"/>
        <v>0.8</v>
      </c>
      <c r="R107" s="4"/>
      <c r="S107" s="4">
        <f t="shared" si="30"/>
        <v>0</v>
      </c>
      <c r="T107" s="17"/>
      <c r="U107" s="5">
        <f t="shared" si="39"/>
        <v>72.5</v>
      </c>
      <c r="V107" s="5">
        <f t="shared" si="40"/>
        <v>72.5</v>
      </c>
      <c r="W107" s="5">
        <v>0.6</v>
      </c>
      <c r="X107" s="5">
        <v>0.4</v>
      </c>
      <c r="Y107" s="5">
        <v>4.2</v>
      </c>
      <c r="Z107" s="5">
        <v>3.4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15" t="s">
        <v>168</v>
      </c>
      <c r="AH107" s="5">
        <f t="shared" si="31"/>
        <v>0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 t="s">
        <v>158</v>
      </c>
      <c r="B108" s="5" t="s">
        <v>42</v>
      </c>
      <c r="C108" s="5">
        <v>66</v>
      </c>
      <c r="D108" s="5">
        <v>25</v>
      </c>
      <c r="E108" s="5">
        <v>5</v>
      </c>
      <c r="F108" s="5">
        <v>71</v>
      </c>
      <c r="G108" s="7">
        <v>0.1</v>
      </c>
      <c r="H108" s="5">
        <v>60</v>
      </c>
      <c r="I108" s="5" t="s">
        <v>39</v>
      </c>
      <c r="J108" s="5"/>
      <c r="K108" s="5">
        <v>71</v>
      </c>
      <c r="L108" s="5">
        <f t="shared" si="37"/>
        <v>-66</v>
      </c>
      <c r="M108" s="5"/>
      <c r="N108" s="5"/>
      <c r="O108" s="5">
        <v>0</v>
      </c>
      <c r="P108" s="5">
        <v>0</v>
      </c>
      <c r="Q108" s="5">
        <f t="shared" si="38"/>
        <v>1</v>
      </c>
      <c r="R108" s="4"/>
      <c r="S108" s="4">
        <f t="shared" si="30"/>
        <v>0</v>
      </c>
      <c r="T108" s="17"/>
      <c r="U108" s="5">
        <f t="shared" si="39"/>
        <v>71</v>
      </c>
      <c r="V108" s="5">
        <f t="shared" si="40"/>
        <v>71</v>
      </c>
      <c r="W108" s="5">
        <v>0</v>
      </c>
      <c r="X108" s="5">
        <v>0.4</v>
      </c>
      <c r="Y108" s="5">
        <v>5.8</v>
      </c>
      <c r="Z108" s="5">
        <v>0.6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15" t="s">
        <v>169</v>
      </c>
      <c r="AH108" s="5">
        <f t="shared" si="31"/>
        <v>0</v>
      </c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hidden="1" x14ac:dyDescent="0.25">
      <c r="A109" s="5" t="s">
        <v>81</v>
      </c>
      <c r="B109" s="5" t="s">
        <v>42</v>
      </c>
      <c r="C109" s="5">
        <v>441</v>
      </c>
      <c r="D109" s="5">
        <v>103</v>
      </c>
      <c r="E109" s="13">
        <f>120+E39</f>
        <v>135</v>
      </c>
      <c r="F109" s="13">
        <f>406+F39</f>
        <v>391</v>
      </c>
      <c r="G109" s="7">
        <v>0.1</v>
      </c>
      <c r="H109" s="5">
        <v>60</v>
      </c>
      <c r="I109" s="5" t="s">
        <v>39</v>
      </c>
      <c r="J109" s="5"/>
      <c r="K109" s="5">
        <v>153</v>
      </c>
      <c r="L109" s="5">
        <f t="shared" si="37"/>
        <v>-18</v>
      </c>
      <c r="M109" s="5"/>
      <c r="N109" s="5"/>
      <c r="O109" s="5">
        <v>0</v>
      </c>
      <c r="P109" s="5">
        <v>0</v>
      </c>
      <c r="Q109" s="5">
        <f t="shared" si="38"/>
        <v>27</v>
      </c>
      <c r="R109" s="4"/>
      <c r="S109" s="4">
        <f t="shared" si="30"/>
        <v>0</v>
      </c>
      <c r="T109" s="17"/>
      <c r="U109" s="5">
        <f t="shared" si="39"/>
        <v>14.481481481481481</v>
      </c>
      <c r="V109" s="5">
        <f t="shared" si="40"/>
        <v>14.481481481481481</v>
      </c>
      <c r="W109" s="5">
        <v>16.2</v>
      </c>
      <c r="X109" s="5">
        <v>1.4</v>
      </c>
      <c r="Y109" s="5">
        <v>17</v>
      </c>
      <c r="Z109" s="5">
        <v>24.6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14" t="s">
        <v>172</v>
      </c>
      <c r="AH109" s="5">
        <f t="shared" si="31"/>
        <v>0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hidden="1" x14ac:dyDescent="0.25">
      <c r="A110" s="5" t="s">
        <v>78</v>
      </c>
      <c r="B110" s="5" t="s">
        <v>42</v>
      </c>
      <c r="C110" s="5">
        <v>2</v>
      </c>
      <c r="D110" s="5">
        <v>10</v>
      </c>
      <c r="E110" s="5">
        <v>11</v>
      </c>
      <c r="F110" s="13">
        <f>0+F38</f>
        <v>2</v>
      </c>
      <c r="G110" s="7">
        <v>0.1</v>
      </c>
      <c r="H110" s="5">
        <v>60</v>
      </c>
      <c r="I110" s="5" t="s">
        <v>39</v>
      </c>
      <c r="J110" s="5"/>
      <c r="K110" s="5">
        <v>305</v>
      </c>
      <c r="L110" s="5">
        <f t="shared" si="37"/>
        <v>-294</v>
      </c>
      <c r="M110" s="5"/>
      <c r="N110" s="5"/>
      <c r="O110" s="5">
        <v>407</v>
      </c>
      <c r="P110" s="5">
        <v>0</v>
      </c>
      <c r="Q110" s="5">
        <f t="shared" si="38"/>
        <v>2.2000000000000002</v>
      </c>
      <c r="R110" s="4"/>
      <c r="S110" s="4">
        <f t="shared" si="30"/>
        <v>0</v>
      </c>
      <c r="T110" s="17"/>
      <c r="U110" s="5">
        <f t="shared" si="39"/>
        <v>185.90909090909091</v>
      </c>
      <c r="V110" s="5">
        <f t="shared" si="40"/>
        <v>185.90909090909091</v>
      </c>
      <c r="W110" s="5">
        <v>20.399999999999999</v>
      </c>
      <c r="X110" s="5">
        <v>38.799999999999997</v>
      </c>
      <c r="Y110" s="5">
        <v>20</v>
      </c>
      <c r="Z110" s="5">
        <v>-0.4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 t="s">
        <v>159</v>
      </c>
      <c r="AH110" s="5">
        <f t="shared" si="31"/>
        <v>0</v>
      </c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hidden="1" x14ac:dyDescent="0.25">
      <c r="A111" s="5" t="s">
        <v>160</v>
      </c>
      <c r="B111" s="5" t="s">
        <v>42</v>
      </c>
      <c r="C111" s="5">
        <v>122</v>
      </c>
      <c r="D111" s="5">
        <v>804</v>
      </c>
      <c r="E111" s="5">
        <v>469</v>
      </c>
      <c r="F111" s="5">
        <v>438</v>
      </c>
      <c r="G111" s="7">
        <v>0.4</v>
      </c>
      <c r="H111" s="5">
        <v>60</v>
      </c>
      <c r="I111" s="5" t="s">
        <v>39</v>
      </c>
      <c r="J111" s="5"/>
      <c r="K111" s="5">
        <v>483</v>
      </c>
      <c r="L111" s="5">
        <f t="shared" si="37"/>
        <v>-14</v>
      </c>
      <c r="M111" s="5"/>
      <c r="N111" s="5"/>
      <c r="O111" s="5">
        <v>0</v>
      </c>
      <c r="P111" s="5">
        <v>0</v>
      </c>
      <c r="Q111" s="5">
        <f t="shared" si="38"/>
        <v>93.8</v>
      </c>
      <c r="R111" s="4">
        <f t="shared" ref="R111" si="41">13*Q111-P111-O111-F111</f>
        <v>781.39999999999986</v>
      </c>
      <c r="S111" s="4">
        <f t="shared" si="30"/>
        <v>781</v>
      </c>
      <c r="T111" s="17"/>
      <c r="U111" s="5">
        <f t="shared" si="39"/>
        <v>12.999999999999998</v>
      </c>
      <c r="V111" s="5">
        <f t="shared" si="40"/>
        <v>4.6695095948827294</v>
      </c>
      <c r="W111" s="5">
        <v>30.4</v>
      </c>
      <c r="X111" s="5">
        <v>47.8</v>
      </c>
      <c r="Y111" s="5">
        <v>65.8</v>
      </c>
      <c r="Z111" s="5">
        <v>42</v>
      </c>
      <c r="AA111" s="5">
        <v>44.4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 t="s">
        <v>161</v>
      </c>
      <c r="AH111" s="5">
        <f t="shared" si="31"/>
        <v>312.40000000000003</v>
      </c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hidden="1" x14ac:dyDescent="0.25">
      <c r="A112" s="5" t="s">
        <v>162</v>
      </c>
      <c r="B112" s="5" t="s">
        <v>42</v>
      </c>
      <c r="C112" s="5">
        <v>9</v>
      </c>
      <c r="D112" s="5">
        <v>1</v>
      </c>
      <c r="E112" s="5">
        <v>8</v>
      </c>
      <c r="F112" s="5">
        <v>2</v>
      </c>
      <c r="G112" s="7">
        <v>0.1</v>
      </c>
      <c r="H112" s="5"/>
      <c r="I112" s="5" t="s">
        <v>39</v>
      </c>
      <c r="J112" s="5"/>
      <c r="K112" s="5">
        <v>122</v>
      </c>
      <c r="L112" s="5">
        <f t="shared" si="37"/>
        <v>-114</v>
      </c>
      <c r="M112" s="5"/>
      <c r="N112" s="5"/>
      <c r="O112" s="5">
        <v>0</v>
      </c>
      <c r="P112" s="5">
        <v>167</v>
      </c>
      <c r="Q112" s="5">
        <f t="shared" si="38"/>
        <v>1.6</v>
      </c>
      <c r="R112" s="4"/>
      <c r="S112" s="4">
        <f t="shared" si="30"/>
        <v>0</v>
      </c>
      <c r="T112" s="17"/>
      <c r="U112" s="5">
        <f t="shared" si="39"/>
        <v>105.625</v>
      </c>
      <c r="V112" s="5">
        <f t="shared" si="40"/>
        <v>105.625</v>
      </c>
      <c r="W112" s="5">
        <v>16</v>
      </c>
      <c r="X112" s="5">
        <v>1.8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 t="s">
        <v>163</v>
      </c>
      <c r="AH112" s="5">
        <f t="shared" si="31"/>
        <v>0</v>
      </c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hidden="1" x14ac:dyDescent="0.25">
      <c r="A113" s="5" t="s">
        <v>164</v>
      </c>
      <c r="B113" s="5" t="s">
        <v>42</v>
      </c>
      <c r="C113" s="5">
        <v>9</v>
      </c>
      <c r="D113" s="5">
        <v>1</v>
      </c>
      <c r="E113" s="5">
        <v>8</v>
      </c>
      <c r="F113" s="5">
        <v>2</v>
      </c>
      <c r="G113" s="7">
        <v>0.1</v>
      </c>
      <c r="H113" s="5"/>
      <c r="I113" s="5" t="s">
        <v>39</v>
      </c>
      <c r="J113" s="5"/>
      <c r="K113" s="5">
        <v>123</v>
      </c>
      <c r="L113" s="5">
        <f t="shared" si="37"/>
        <v>-115</v>
      </c>
      <c r="M113" s="5"/>
      <c r="N113" s="5"/>
      <c r="O113" s="5">
        <v>0</v>
      </c>
      <c r="P113" s="5">
        <v>167</v>
      </c>
      <c r="Q113" s="5">
        <f t="shared" si="38"/>
        <v>1.6</v>
      </c>
      <c r="R113" s="4"/>
      <c r="S113" s="4">
        <f t="shared" si="30"/>
        <v>0</v>
      </c>
      <c r="T113" s="17"/>
      <c r="U113" s="5">
        <f t="shared" si="39"/>
        <v>105.625</v>
      </c>
      <c r="V113" s="5">
        <f t="shared" si="40"/>
        <v>105.625</v>
      </c>
      <c r="W113" s="5">
        <v>16</v>
      </c>
      <c r="X113" s="5">
        <v>1.6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 t="s">
        <v>163</v>
      </c>
      <c r="AH113" s="5">
        <f t="shared" si="31"/>
        <v>0</v>
      </c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</sheetData>
  <autoFilter ref="A3:AH113" xr:uid="{00000000-0009-0000-0000-000000000000}">
    <filterColumn colId="32">
      <filters>
        <filter val="нужно увеличить продажи!!!"/>
        <filter val="нужно увеличить продажи!!! / вместо 6459"/>
        <filter val="нужно увеличить продажи!!! / вместо 7288"/>
        <filter val="нужно увеличить продажи!!! / Грация"/>
        <filter val="нужно увеличить продажи!!! / новинка"/>
      </filters>
    </filterColumn>
  </autoFilter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7B57-7DAA-4D62-A077-8E10B6D0012F}">
  <dimension ref="A1:J14"/>
  <sheetViews>
    <sheetView tabSelected="1" workbookViewId="0">
      <selection activeCell="K21" sqref="K21"/>
    </sheetView>
  </sheetViews>
  <sheetFormatPr defaultRowHeight="15" x14ac:dyDescent="0.25"/>
  <cols>
    <col min="1" max="1" width="9.140625" style="33"/>
    <col min="2" max="2" width="66.7109375" style="34" bestFit="1" customWidth="1"/>
    <col min="3" max="3" width="8.42578125" style="34" bestFit="1" customWidth="1"/>
    <col min="4" max="4" width="10.7109375" style="34" customWidth="1"/>
    <col min="5" max="5" width="5" style="34" bestFit="1" customWidth="1"/>
    <col min="6" max="6" width="6.28515625" style="34" hidden="1" customWidth="1"/>
    <col min="7" max="7" width="7.42578125" style="34" customWidth="1"/>
    <col min="8" max="8" width="10" style="37" customWidth="1"/>
    <col min="9" max="9" width="8.140625" style="34" customWidth="1"/>
    <col min="10" max="10" width="56.7109375" style="34" bestFit="1" customWidth="1"/>
  </cols>
  <sheetData>
    <row r="1" spans="1:10" ht="45" x14ac:dyDescent="0.25">
      <c r="A1" s="24" t="s">
        <v>179</v>
      </c>
      <c r="B1" s="25" t="s">
        <v>0</v>
      </c>
      <c r="C1" s="25" t="s">
        <v>1</v>
      </c>
      <c r="D1" s="26" t="s">
        <v>5</v>
      </c>
      <c r="E1" s="27" t="s">
        <v>6</v>
      </c>
      <c r="F1" s="26" t="s">
        <v>7</v>
      </c>
      <c r="G1" s="26" t="s">
        <v>14</v>
      </c>
      <c r="H1" s="35" t="s">
        <v>180</v>
      </c>
      <c r="I1" s="28" t="s">
        <v>181</v>
      </c>
      <c r="J1" s="26" t="s">
        <v>20</v>
      </c>
    </row>
    <row r="2" spans="1:10" x14ac:dyDescent="0.25">
      <c r="A2" s="29">
        <v>1</v>
      </c>
      <c r="B2" s="30" t="s">
        <v>35</v>
      </c>
      <c r="C2" s="30" t="s">
        <v>36</v>
      </c>
      <c r="D2" s="30">
        <v>43.8</v>
      </c>
      <c r="E2" s="31">
        <v>1</v>
      </c>
      <c r="F2" s="30"/>
      <c r="G2" s="30"/>
      <c r="H2" s="36">
        <v>0</v>
      </c>
      <c r="I2" s="32" t="s">
        <v>182</v>
      </c>
      <c r="J2" s="30" t="s">
        <v>183</v>
      </c>
    </row>
    <row r="3" spans="1:10" x14ac:dyDescent="0.25">
      <c r="A3" s="29">
        <v>2</v>
      </c>
      <c r="B3" s="30" t="s">
        <v>48</v>
      </c>
      <c r="C3" s="30" t="s">
        <v>36</v>
      </c>
      <c r="D3" s="30">
        <v>71.86</v>
      </c>
      <c r="E3" s="31">
        <v>1</v>
      </c>
      <c r="F3" s="30">
        <v>60</v>
      </c>
      <c r="G3" s="30">
        <v>29</v>
      </c>
      <c r="H3" s="36">
        <v>2.4533999999999998</v>
      </c>
      <c r="I3" s="32">
        <v>41.110295915871852</v>
      </c>
      <c r="J3" s="30" t="s">
        <v>184</v>
      </c>
    </row>
    <row r="4" spans="1:10" x14ac:dyDescent="0.25">
      <c r="A4" s="29">
        <v>3</v>
      </c>
      <c r="B4" s="30" t="s">
        <v>52</v>
      </c>
      <c r="C4" s="30" t="s">
        <v>36</v>
      </c>
      <c r="D4" s="30">
        <v>45.05</v>
      </c>
      <c r="E4" s="31">
        <v>1</v>
      </c>
      <c r="F4" s="30">
        <v>60</v>
      </c>
      <c r="G4" s="30">
        <v>253</v>
      </c>
      <c r="H4" s="36">
        <v>0.47199999999999998</v>
      </c>
      <c r="I4" s="32">
        <v>631.46186440677968</v>
      </c>
      <c r="J4" s="30" t="s">
        <v>184</v>
      </c>
    </row>
    <row r="5" spans="1:10" x14ac:dyDescent="0.25">
      <c r="A5" s="29">
        <v>4</v>
      </c>
      <c r="B5" s="30" t="s">
        <v>66</v>
      </c>
      <c r="C5" s="30" t="s">
        <v>42</v>
      </c>
      <c r="D5" s="30">
        <v>70</v>
      </c>
      <c r="E5" s="31">
        <v>0.09</v>
      </c>
      <c r="F5" s="30"/>
      <c r="G5" s="30"/>
      <c r="H5" s="36">
        <v>6</v>
      </c>
      <c r="I5" s="32">
        <v>11.666666666666666</v>
      </c>
      <c r="J5" s="30" t="s">
        <v>185</v>
      </c>
    </row>
    <row r="6" spans="1:10" x14ac:dyDescent="0.25">
      <c r="A6" s="29">
        <v>5</v>
      </c>
      <c r="B6" s="30" t="s">
        <v>75</v>
      </c>
      <c r="C6" s="30" t="s">
        <v>42</v>
      </c>
      <c r="D6" s="30">
        <v>195</v>
      </c>
      <c r="E6" s="31">
        <v>0.3</v>
      </c>
      <c r="F6" s="30">
        <v>45</v>
      </c>
      <c r="G6" s="30"/>
      <c r="H6" s="36">
        <v>0</v>
      </c>
      <c r="I6" s="32" t="s">
        <v>182</v>
      </c>
      <c r="J6" s="30" t="s">
        <v>183</v>
      </c>
    </row>
    <row r="7" spans="1:10" x14ac:dyDescent="0.25">
      <c r="A7" s="29">
        <v>6</v>
      </c>
      <c r="B7" s="30" t="s">
        <v>87</v>
      </c>
      <c r="C7" s="30" t="s">
        <v>36</v>
      </c>
      <c r="D7" s="30">
        <v>900.12300000000005</v>
      </c>
      <c r="E7" s="31">
        <v>1</v>
      </c>
      <c r="F7" s="30">
        <v>60</v>
      </c>
      <c r="G7" s="30"/>
      <c r="H7" s="36">
        <v>45.837400000000002</v>
      </c>
      <c r="I7" s="32">
        <v>19.637304908219054</v>
      </c>
      <c r="J7" s="30" t="s">
        <v>184</v>
      </c>
    </row>
    <row r="8" spans="1:10" x14ac:dyDescent="0.25">
      <c r="A8" s="29">
        <v>7</v>
      </c>
      <c r="B8" s="30" t="s">
        <v>97</v>
      </c>
      <c r="C8" s="30" t="s">
        <v>36</v>
      </c>
      <c r="D8" s="30">
        <v>16.449000000000002</v>
      </c>
      <c r="E8" s="31">
        <v>1</v>
      </c>
      <c r="F8" s="30">
        <v>30</v>
      </c>
      <c r="G8" s="30"/>
      <c r="H8" s="36">
        <v>0</v>
      </c>
      <c r="I8" s="32" t="s">
        <v>182</v>
      </c>
      <c r="J8" s="30" t="s">
        <v>186</v>
      </c>
    </row>
    <row r="9" spans="1:10" x14ac:dyDescent="0.25">
      <c r="A9" s="29">
        <v>8</v>
      </c>
      <c r="B9" s="30" t="s">
        <v>106</v>
      </c>
      <c r="C9" s="30" t="s">
        <v>42</v>
      </c>
      <c r="D9" s="30">
        <v>114</v>
      </c>
      <c r="E9" s="31">
        <v>0.4</v>
      </c>
      <c r="F9" s="30">
        <v>45</v>
      </c>
      <c r="G9" s="30"/>
      <c r="H9" s="36">
        <v>0</v>
      </c>
      <c r="I9" s="32" t="s">
        <v>182</v>
      </c>
      <c r="J9" s="30" t="s">
        <v>186</v>
      </c>
    </row>
    <row r="10" spans="1:10" x14ac:dyDescent="0.25">
      <c r="A10" s="29">
        <v>9</v>
      </c>
      <c r="B10" s="30" t="s">
        <v>128</v>
      </c>
      <c r="C10" s="30" t="s">
        <v>42</v>
      </c>
      <c r="D10" s="30">
        <v>128</v>
      </c>
      <c r="E10" s="31">
        <v>0.35</v>
      </c>
      <c r="F10" s="30"/>
      <c r="G10" s="30"/>
      <c r="H10" s="36">
        <v>3.2</v>
      </c>
      <c r="I10" s="32">
        <v>40</v>
      </c>
      <c r="J10" s="30" t="s">
        <v>185</v>
      </c>
    </row>
    <row r="11" spans="1:10" x14ac:dyDescent="0.25">
      <c r="A11" s="29">
        <v>10</v>
      </c>
      <c r="B11" s="30" t="s">
        <v>133</v>
      </c>
      <c r="C11" s="30" t="s">
        <v>42</v>
      </c>
      <c r="D11" s="30">
        <v>142</v>
      </c>
      <c r="E11" s="31">
        <v>0.31</v>
      </c>
      <c r="F11" s="30"/>
      <c r="G11" s="30"/>
      <c r="H11" s="36">
        <v>6.4</v>
      </c>
      <c r="I11" s="32">
        <v>22.1875</v>
      </c>
      <c r="J11" s="30" t="s">
        <v>185</v>
      </c>
    </row>
    <row r="12" spans="1:10" x14ac:dyDescent="0.25">
      <c r="A12" s="29">
        <v>11</v>
      </c>
      <c r="B12" s="30" t="s">
        <v>140</v>
      </c>
      <c r="C12" s="30" t="s">
        <v>42</v>
      </c>
      <c r="D12" s="30">
        <v>280</v>
      </c>
      <c r="E12" s="31">
        <v>0.4</v>
      </c>
      <c r="F12" s="30"/>
      <c r="G12" s="30"/>
      <c r="H12" s="36">
        <v>0</v>
      </c>
      <c r="I12" s="32" t="s">
        <v>182</v>
      </c>
      <c r="J12" s="30" t="s">
        <v>183</v>
      </c>
    </row>
    <row r="13" spans="1:10" x14ac:dyDescent="0.25">
      <c r="A13" s="29">
        <v>12</v>
      </c>
      <c r="B13" s="30" t="s">
        <v>157</v>
      </c>
      <c r="C13" s="30" t="s">
        <v>42</v>
      </c>
      <c r="D13" s="30">
        <v>58</v>
      </c>
      <c r="E13" s="31">
        <v>0.1</v>
      </c>
      <c r="F13" s="30">
        <v>45</v>
      </c>
      <c r="G13" s="30"/>
      <c r="H13" s="36">
        <v>0.8</v>
      </c>
      <c r="I13" s="32">
        <v>72.5</v>
      </c>
      <c r="J13" s="30" t="s">
        <v>184</v>
      </c>
    </row>
    <row r="14" spans="1:10" x14ac:dyDescent="0.25">
      <c r="A14" s="29">
        <v>13</v>
      </c>
      <c r="B14" s="30" t="s">
        <v>158</v>
      </c>
      <c r="C14" s="30" t="s">
        <v>42</v>
      </c>
      <c r="D14" s="30">
        <v>71</v>
      </c>
      <c r="E14" s="31">
        <v>0.1</v>
      </c>
      <c r="F14" s="30">
        <v>60</v>
      </c>
      <c r="G14" s="30"/>
      <c r="H14" s="36">
        <v>1</v>
      </c>
      <c r="I14" s="32">
        <v>71</v>
      </c>
      <c r="J14" s="30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потенциальный просрок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2026-08-17T13:03:29Z</dcterms:created>
  <dcterms:modified xsi:type="dcterms:W3CDTF">2026-08-19T13:50:15Z</dcterms:modified>
</cp:coreProperties>
</file>