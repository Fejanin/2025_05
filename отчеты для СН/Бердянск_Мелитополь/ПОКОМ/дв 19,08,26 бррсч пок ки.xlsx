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ПОКОМ\"/>
    </mc:Choice>
  </mc:AlternateContent>
  <xr:revisionPtr revIDLastSave="0" documentId="13_ncr:1_{001C3DD6-DE01-4FB2-BC3A-12BD32A4521C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" sheetId="1" r:id="rId1"/>
    <sheet name="потенциальный просрок" sheetId="2" r:id="rId2"/>
  </sheets>
  <definedNames>
    <definedName name="_xlnm._FilterDatabase" localSheetId="0" hidden="1">Sheet!$A$3:$AF$129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6" i="1"/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6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T5" i="1"/>
  <c r="Q5" i="1"/>
  <c r="P5" i="1"/>
  <c r="O5" i="1"/>
  <c r="N5" i="1"/>
  <c r="M5" i="1"/>
  <c r="K5" i="1"/>
  <c r="F5" i="1"/>
  <c r="E5" i="1"/>
  <c r="R5" i="1" l="1"/>
  <c r="L5" i="1"/>
</calcChain>
</file>

<file path=xl/sharedStrings.xml><?xml version="1.0" encoding="utf-8"?>
<sst xmlns="http://schemas.openxmlformats.org/spreadsheetml/2006/main" count="497" uniqueCount="184">
  <si>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</si>
  <si>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</si>
  <si>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</si>
  <si>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</si>
  <si>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</si>
  <si>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</si>
  <si>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</si>
  <si>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</si>
  <si>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</si>
  <si>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</si>
  <si>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</si>
  <si>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</si>
  <si>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</si>
  <si>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</si>
  <si>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</si>
  <si>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</si>
  <si>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факт</t>
  </si>
  <si>
    <t>ср</t>
  </si>
  <si>
    <t>комментарии</t>
  </si>
  <si>
    <t>17,08,</t>
  </si>
  <si>
    <t>17,08,недогр</t>
  </si>
  <si>
    <t>17,08,доз</t>
  </si>
  <si>
    <t>19,08,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</si>
  <si>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</si>
  <si>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</si>
  <si>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</si>
  <si>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</si>
  <si>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</si>
  <si>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</si>
  <si>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</si>
  <si>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</si>
  <si>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</si>
  <si>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</si>
  <si>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</si>
  <si>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</si>
  <si>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</si>
  <si>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</si>
  <si>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</si>
  <si>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</si>
  <si>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</si>
  <si>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</si>
  <si>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</si>
  <si>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</si>
  <si>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</si>
  <si>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</si>
  <si>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</si>
  <si>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</si>
  <si>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</si>
  <si>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</si>
  <si>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</si>
  <si>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</si>
  <si>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</si>
  <si>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</si>
  <si>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</si>
  <si>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</si>
  <si>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</si>
  <si>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</si>
  <si>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</si>
  <si>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</si>
  <si>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</si>
  <si>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</si>
  <si>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нужно увеличить продажи / 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</si>
  <si>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</si>
  <si>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</si>
  <si>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</si>
  <si>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</si>
  <si>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</si>
  <si>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</si>
  <si>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</si>
  <si>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</si>
  <si>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</si>
  <si>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</si>
  <si>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</si>
  <si>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</si>
  <si>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</si>
  <si>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</si>
  <si>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</si>
  <si>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</si>
  <si>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</si>
  <si>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</si>
  <si>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>нужно увеличить продажи!!!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</si>
  <si>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</si>
  <si>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</si>
  <si>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</si>
  <si>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</si>
  <si>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</si>
  <si>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</si>
  <si>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</si>
  <si>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</si>
  <si>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</si>
  <si>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</si>
  <si>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</si>
  <si>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</si>
  <si>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</si>
  <si>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</si>
  <si>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</si>
  <si>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</si>
  <si>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</si>
  <si>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</si>
  <si>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</si>
  <si>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</si>
  <si>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</si>
  <si>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</si>
  <si>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</si>
  <si>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</si>
  <si>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</si>
  <si>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</si>
  <si>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</si>
  <si>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</si>
  <si>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</si>
  <si>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</si>
  <si>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</si>
  <si>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</si>
  <si>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</si>
  <si>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</si>
  <si>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</si>
  <si>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</si>
  <si>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</si>
  <si>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</si>
  <si>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</si>
  <si>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</si>
  <si>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</si>
  <si>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</si>
  <si>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</si>
  <si>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</si>
  <si>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</si>
  <si>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</si>
  <si>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</si>
  <si>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</si>
  <si>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</si>
  <si>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</si>
  <si>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</si>
  <si>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</si>
  <si>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</si>
  <si>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</si>
  <si>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</si>
  <si>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>нужно увеличить продажи / 80шт сеть Молоко (07,08,26)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</si>
  <si>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</si>
  <si>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</si>
  <si>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</si>
  <si>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</si>
  <si>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</si>
  <si>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</si>
  <si>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</si>
  <si>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</si>
  <si>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</si>
  <si>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</si>
  <si>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</si>
  <si>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</si>
  <si>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</si>
  <si>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</si>
  <si>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</si>
  <si>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</si>
  <si>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</si>
  <si>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</si>
  <si>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</si>
  <si>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</si>
  <si>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</si>
  <si>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</si>
  <si>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</si>
  <si>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</si>
  <si>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</si>
  <si>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</si>
  <si>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</si>
  <si>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</si>
  <si>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</si>
  <si>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</si>
  <si>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</si>
  <si>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</si>
  <si>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</si>
  <si>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</si>
  <si>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</si>
  <si>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</si>
  <si>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</si>
  <si>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</si>
  <si>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</si>
  <si>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</si>
  <si>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комментарии2</t>
  </si>
  <si>
    <t>отстутствуют продажи</t>
  </si>
  <si>
    <t>падение продаж</t>
  </si>
  <si>
    <t>средние продажи в день</t>
  </si>
  <si>
    <t>остаток в днях</t>
  </si>
  <si>
    <t>№ п/п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</si>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</sst>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1" fillId="3" borderId="1" xfId="1" applyNumberFormat="1" applyFill="1"/>
    <xf numFmtId="164" fontId="1" fillId="4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4" fillId="2" borderId="1" xfId="1" applyNumberFormat="1" applyFont="1" applyFill="1"/>
    <xf numFmtId="164" fontId="5" fillId="0" borderId="1" xfId="1" applyNumberFormat="1" applyFont="1"/>
    <xf numFmtId="164" fontId="6" fillId="0" borderId="1" xfId="1" applyNumberFormat="1" applyFont="1"/>
    <xf numFmtId="0" fontId="3" fillId="0" borderId="0" xfId="0" applyFont="1" applyBorder="1"/>
    <xf numFmtId="164" fontId="7" fillId="2" borderId="1" xfId="1" applyNumberFormat="1" applyFont="1" applyFill="1"/>
    <xf numFmtId="164" fontId="8" fillId="0" borderId="1" xfId="1" applyNumberFormat="1" applyFont="1"/>
    <xf numFmtId="0" fontId="9" fillId="0" borderId="0" xfId="0" applyFont="1" applyBorder="1"/>
    <xf numFmtId="164" fontId="1" fillId="0" borderId="2" xfId="1" applyNumberFormat="1" applyBorder="1"/>
    <xf numFmtId="2" fontId="1" fillId="0" borderId="2" xfId="1" applyNumberFormat="1" applyBorder="1"/>
    <xf numFmtId="164" fontId="6" fillId="0" borderId="2" xfId="1" applyNumberFormat="1" applyFont="1" applyBorder="1"/>
    <xf numFmtId="164" fontId="8" fillId="0" borderId="2" xfId="1" applyNumberFormat="1" applyFont="1" applyBorder="1"/>
    <xf numFmtId="164" fontId="5" fillId="0" borderId="2" xfId="1" applyNumberFormat="1" applyFont="1" applyBorder="1"/>
    <xf numFmtId="164" fontId="1" fillId="0" borderId="2" xfId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4" fillId="2" borderId="2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vertical="center"/>
    </xf>
    <xf numFmtId="164" fontId="2" fillId="2" borderId="2" xfId="1" applyNumberFormat="1" applyFont="1" applyFill="1" applyBorder="1" applyAlignment="1">
      <alignment vertical="center" wrapText="1"/>
    </xf>
    <xf numFmtId="2" fontId="2" fillId="2" borderId="2" xfId="1" applyNumberFormat="1" applyFont="1" applyFill="1" applyBorder="1" applyAlignment="1">
      <alignment vertical="center" wrapText="1"/>
    </xf>
    <xf numFmtId="164" fontId="4" fillId="2" borderId="2" xfId="1" applyNumberFormat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vertical="center" wrapText="1"/>
    </xf>
    <xf numFmtId="0" fontId="0" fillId="0" borderId="0" xfId="0" applyBorder="1" applyAlignment="1">
      <alignment vertic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9"/>
  <sheetViews>
    <sheetView zoomScale="85" workbookViewId="0">
      <pane xSplit="2" ySplit="5" topLeftCell="C6" activePane="bottomRight" state="frozen"/>
      <selection pane="topRight"/>
      <selection pane="bottomLeft"/>
      <selection pane="bottomRight" activeCell="AF10" sqref="AF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7" style="13" customWidth="1"/>
    <col min="19" max="19" width="5" style="16" customWidth="1"/>
    <col min="20" max="30" width="6" customWidth="1"/>
    <col min="31" max="31" width="29.85546875" customWidth="1"/>
    <col min="32" max="32" width="22.28515625" customWidth="1"/>
    <col min="33" max="43" width="3" customWidth="1"/>
  </cols>
  <sheetData>
    <row r="1" spans="1:43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2"/>
      <c r="S1" s="15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2"/>
      <c r="S2" s="1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10" t="s">
        <v>15</v>
      </c>
      <c r="S3" s="14" t="s">
        <v>16</v>
      </c>
      <c r="T3" s="2" t="s">
        <v>17</v>
      </c>
      <c r="U3" s="2" t="s">
        <v>17</v>
      </c>
      <c r="V3" s="2" t="s">
        <v>17</v>
      </c>
      <c r="W3" s="2" t="s">
        <v>17</v>
      </c>
      <c r="X3" s="2" t="s">
        <v>17</v>
      </c>
      <c r="Y3" s="2" t="s">
        <v>17</v>
      </c>
      <c r="Z3" s="2" t="s">
        <v>17</v>
      </c>
      <c r="AA3" s="2" t="s">
        <v>17</v>
      </c>
      <c r="AB3" s="2" t="s">
        <v>17</v>
      </c>
      <c r="AC3" s="2" t="s">
        <v>17</v>
      </c>
      <c r="AD3" s="2" t="s">
        <v>17</v>
      </c>
      <c r="AE3" s="2" t="s">
        <v>18</v>
      </c>
      <c r="AF3" s="10" t="s">
        <v>177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19</v>
      </c>
      <c r="P4" s="1" t="s">
        <v>20</v>
      </c>
      <c r="Q4" s="1" t="s">
        <v>21</v>
      </c>
      <c r="R4" s="1" t="s">
        <v>22</v>
      </c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3">
        <f>SUM(E6:E499)</f>
        <v>19667.907999999992</v>
      </c>
      <c r="F5" s="3">
        <f>SUM(F6:F499)</f>
        <v>22836.292000000001</v>
      </c>
      <c r="G5" s="6"/>
      <c r="H5" s="1"/>
      <c r="I5" s="1"/>
      <c r="J5" s="1"/>
      <c r="K5" s="3">
        <f t="shared" ref="K5:R5" si="0">SUM(K6:K499)</f>
        <v>26946.124999999989</v>
      </c>
      <c r="L5" s="3">
        <f t="shared" si="0"/>
        <v>-7278.2170000000024</v>
      </c>
      <c r="M5" s="3">
        <f t="shared" si="0"/>
        <v>0</v>
      </c>
      <c r="N5" s="3">
        <f t="shared" si="0"/>
        <v>0</v>
      </c>
      <c r="O5" s="3">
        <f t="shared" si="0"/>
        <v>13199.154219999999</v>
      </c>
      <c r="P5" s="3">
        <f t="shared" si="0"/>
        <v>-3371.2559999999999</v>
      </c>
      <c r="Q5" s="3">
        <f t="shared" si="0"/>
        <v>1700</v>
      </c>
      <c r="R5" s="3">
        <f t="shared" si="0"/>
        <v>3933.5816000000009</v>
      </c>
      <c r="S5" s="1"/>
      <c r="T5" s="3">
        <f t="shared" ref="T5:AD5" si="1">SUM(T6:T499)</f>
        <v>3809.9485999999984</v>
      </c>
      <c r="U5" s="3">
        <f t="shared" si="1"/>
        <v>4467.6592000000001</v>
      </c>
      <c r="V5" s="3">
        <f t="shared" si="1"/>
        <v>4046.9829999999988</v>
      </c>
      <c r="W5" s="3">
        <f t="shared" si="1"/>
        <v>3390.857199999999</v>
      </c>
      <c r="X5" s="3">
        <f t="shared" si="1"/>
        <v>3745.7852000000003</v>
      </c>
      <c r="Y5" s="3">
        <f t="shared" si="1"/>
        <v>4644.2882000000009</v>
      </c>
      <c r="Z5" s="3">
        <f t="shared" si="1"/>
        <v>4604.8541999999989</v>
      </c>
      <c r="AA5" s="3">
        <f t="shared" si="1"/>
        <v>4923.7491999999984</v>
      </c>
      <c r="AB5" s="3">
        <f t="shared" si="1"/>
        <v>4846.7421999999979</v>
      </c>
      <c r="AC5" s="3">
        <f t="shared" si="1"/>
        <v>4677.3707999999961</v>
      </c>
      <c r="AD5" s="3">
        <f t="shared" si="1"/>
        <v>5292.9487999999983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34</v>
      </c>
      <c r="B6" s="1" t="s">
        <v>35</v>
      </c>
      <c r="C6" s="1">
        <v>287.99299999999999</v>
      </c>
      <c r="D6" s="1">
        <v>287.07400000000001</v>
      </c>
      <c r="E6" s="1">
        <v>273.79500000000002</v>
      </c>
      <c r="F6" s="1">
        <v>259.53500000000003</v>
      </c>
      <c r="G6" s="6">
        <v>1</v>
      </c>
      <c r="H6" s="1">
        <v>50</v>
      </c>
      <c r="I6" s="1" t="s">
        <v>36</v>
      </c>
      <c r="J6" s="1"/>
      <c r="K6" s="1">
        <v>266.10000000000002</v>
      </c>
      <c r="L6" s="1">
        <f t="shared" ref="L6:L37" si="2">E6-K6</f>
        <v>7.6949999999999932</v>
      </c>
      <c r="M6" s="1"/>
      <c r="N6" s="1"/>
      <c r="O6" s="1">
        <v>230.60028399999999</v>
      </c>
      <c r="P6" s="1"/>
      <c r="Q6" s="1">
        <v>100</v>
      </c>
      <c r="R6" s="1">
        <f t="shared" ref="R6:R37" si="3">E6/5</f>
        <v>54.759</v>
      </c>
      <c r="S6" s="1">
        <f>(F6+O6+P6+Q6)/R6</f>
        <v>10.776955094139776</v>
      </c>
      <c r="T6" s="1">
        <v>58.955199999999998</v>
      </c>
      <c r="U6" s="1">
        <v>54.327599999999997</v>
      </c>
      <c r="V6" s="1">
        <v>47.706800000000001</v>
      </c>
      <c r="W6" s="1">
        <v>28.063800000000001</v>
      </c>
      <c r="X6" s="1">
        <v>26.715599999999998</v>
      </c>
      <c r="Y6" s="1">
        <v>48.6646</v>
      </c>
      <c r="Z6" s="1">
        <v>55.111400000000003</v>
      </c>
      <c r="AA6" s="1">
        <v>50.386399999999988</v>
      </c>
      <c r="AB6" s="1">
        <v>51.108400000000003</v>
      </c>
      <c r="AC6" s="1">
        <v>52.763399999999997</v>
      </c>
      <c r="AD6" s="1">
        <v>58.165599999999998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37</v>
      </c>
      <c r="B7" s="1" t="s">
        <v>35</v>
      </c>
      <c r="C7" s="1">
        <v>178.02500000000001</v>
      </c>
      <c r="D7" s="1">
        <v>834.56200000000001</v>
      </c>
      <c r="E7" s="1">
        <v>216.995</v>
      </c>
      <c r="F7" s="1">
        <v>699.428</v>
      </c>
      <c r="G7" s="6">
        <v>1</v>
      </c>
      <c r="H7" s="1">
        <v>45</v>
      </c>
      <c r="I7" s="1" t="s">
        <v>36</v>
      </c>
      <c r="J7" s="1"/>
      <c r="K7" s="1">
        <v>810.66</v>
      </c>
      <c r="L7" s="1">
        <f t="shared" si="2"/>
        <v>-593.66499999999996</v>
      </c>
      <c r="M7" s="1"/>
      <c r="N7" s="1"/>
      <c r="O7" s="1">
        <v>382.19719199999969</v>
      </c>
      <c r="P7" s="1"/>
      <c r="Q7" s="1"/>
      <c r="R7" s="12">
        <f t="shared" si="3"/>
        <v>43.399000000000001</v>
      </c>
      <c r="S7" s="1">
        <f t="shared" ref="S7:S70" si="4">(F7+O7+P7+Q7)/R7</f>
        <v>24.922813705384911</v>
      </c>
      <c r="T7" s="1">
        <v>35.7254</v>
      </c>
      <c r="U7" s="1">
        <v>94.933799999999991</v>
      </c>
      <c r="V7" s="1">
        <v>81.040400000000005</v>
      </c>
      <c r="W7" s="1">
        <v>58.811599999999999</v>
      </c>
      <c r="X7" s="1">
        <v>63.0702</v>
      </c>
      <c r="Y7" s="1">
        <v>39.780999999999999</v>
      </c>
      <c r="Z7" s="1">
        <v>30.569600000000001</v>
      </c>
      <c r="AA7" s="1">
        <v>17.161999999999999</v>
      </c>
      <c r="AB7" s="1">
        <v>29.265599999999999</v>
      </c>
      <c r="AC7" s="1">
        <v>120.8122</v>
      </c>
      <c r="AD7" s="1">
        <v>121.6172</v>
      </c>
      <c r="AE7" s="1" t="s">
        <v>38</v>
      </c>
      <c r="AF7" s="11" t="s">
        <v>179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39</v>
      </c>
      <c r="B8" s="1" t="s">
        <v>35</v>
      </c>
      <c r="C8" s="1">
        <v>236.37799999999999</v>
      </c>
      <c r="D8" s="1">
        <v>882.48800000000006</v>
      </c>
      <c r="E8" s="1">
        <v>375.54399999999998</v>
      </c>
      <c r="F8" s="1">
        <v>734.55799999999999</v>
      </c>
      <c r="G8" s="6">
        <v>1</v>
      </c>
      <c r="H8" s="1">
        <v>45</v>
      </c>
      <c r="I8" s="1" t="s">
        <v>36</v>
      </c>
      <c r="J8" s="1"/>
      <c r="K8" s="1">
        <v>1171.7339999999999</v>
      </c>
      <c r="L8" s="1">
        <f t="shared" si="2"/>
        <v>-796.18999999999994</v>
      </c>
      <c r="M8" s="1"/>
      <c r="N8" s="1"/>
      <c r="O8" s="1">
        <v>451.65939999999989</v>
      </c>
      <c r="P8" s="1"/>
      <c r="Q8" s="1"/>
      <c r="R8" s="12">
        <f t="shared" si="3"/>
        <v>75.108800000000002</v>
      </c>
      <c r="S8" s="1">
        <f t="shared" si="4"/>
        <v>15.793321155443836</v>
      </c>
      <c r="T8" s="1">
        <v>58.682200000000002</v>
      </c>
      <c r="U8" s="1">
        <v>110.33499999999999</v>
      </c>
      <c r="V8" s="1">
        <v>93.042000000000002</v>
      </c>
      <c r="W8" s="1">
        <v>68.473199999999991</v>
      </c>
      <c r="X8" s="1">
        <v>73.171999999999997</v>
      </c>
      <c r="Y8" s="1">
        <v>62.864999999999988</v>
      </c>
      <c r="Z8" s="1">
        <v>52.998600000000003</v>
      </c>
      <c r="AA8" s="1">
        <v>41.674400000000013</v>
      </c>
      <c r="AB8" s="1">
        <v>95.290599999999998</v>
      </c>
      <c r="AC8" s="1">
        <v>107.0196</v>
      </c>
      <c r="AD8" s="1">
        <v>70.07419999999999</v>
      </c>
      <c r="AE8" s="1" t="s">
        <v>38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8" t="s">
        <v>40</v>
      </c>
      <c r="B9" s="8" t="s">
        <v>41</v>
      </c>
      <c r="C9" s="8"/>
      <c r="D9" s="8"/>
      <c r="E9" s="8"/>
      <c r="F9" s="8"/>
      <c r="G9" s="9">
        <v>0</v>
      </c>
      <c r="H9" s="8"/>
      <c r="I9" s="8" t="s">
        <v>36</v>
      </c>
      <c r="J9" s="8"/>
      <c r="K9" s="8"/>
      <c r="L9" s="8">
        <f t="shared" si="2"/>
        <v>0</v>
      </c>
      <c r="M9" s="8"/>
      <c r="N9" s="8"/>
      <c r="O9" s="8">
        <v>0</v>
      </c>
      <c r="P9" s="8"/>
      <c r="Q9" s="8"/>
      <c r="R9" s="8">
        <f t="shared" si="3"/>
        <v>0</v>
      </c>
      <c r="S9" s="1" t="e">
        <f t="shared" si="4"/>
        <v>#DIV/0!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 t="s">
        <v>42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43</v>
      </c>
      <c r="B10" s="1" t="s">
        <v>41</v>
      </c>
      <c r="C10" s="1">
        <v>741</v>
      </c>
      <c r="D10" s="1">
        <v>29</v>
      </c>
      <c r="E10" s="1">
        <v>484</v>
      </c>
      <c r="F10" s="1">
        <v>293</v>
      </c>
      <c r="G10" s="6">
        <v>0.45</v>
      </c>
      <c r="H10" s="1">
        <v>45</v>
      </c>
      <c r="I10" s="1" t="s">
        <v>36</v>
      </c>
      <c r="J10" s="1"/>
      <c r="K10" s="1">
        <v>831</v>
      </c>
      <c r="L10" s="1">
        <f t="shared" si="2"/>
        <v>-347</v>
      </c>
      <c r="M10" s="1"/>
      <c r="N10" s="1"/>
      <c r="O10" s="1">
        <v>694.96000000000015</v>
      </c>
      <c r="P10" s="1"/>
      <c r="Q10" s="1"/>
      <c r="R10" s="1">
        <f t="shared" si="3"/>
        <v>96.8</v>
      </c>
      <c r="S10" s="1">
        <f t="shared" si="4"/>
        <v>10.20619834710744</v>
      </c>
      <c r="T10" s="1">
        <v>118.4</v>
      </c>
      <c r="U10" s="1">
        <v>112.2</v>
      </c>
      <c r="V10" s="1">
        <v>85.6</v>
      </c>
      <c r="W10" s="1">
        <v>78.400000000000006</v>
      </c>
      <c r="X10" s="1">
        <v>92.6</v>
      </c>
      <c r="Y10" s="1">
        <v>123.8</v>
      </c>
      <c r="Z10" s="1">
        <v>121.2</v>
      </c>
      <c r="AA10" s="1">
        <v>130.4</v>
      </c>
      <c r="AB10" s="1">
        <v>130.80000000000001</v>
      </c>
      <c r="AC10" s="1">
        <v>112.4</v>
      </c>
      <c r="AD10" s="1">
        <v>123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44</v>
      </c>
      <c r="B11" s="1" t="s">
        <v>41</v>
      </c>
      <c r="C11" s="1">
        <v>812</v>
      </c>
      <c r="D11" s="1">
        <v>373</v>
      </c>
      <c r="E11" s="1">
        <v>712</v>
      </c>
      <c r="F11" s="1">
        <v>142</v>
      </c>
      <c r="G11" s="6">
        <v>0.45</v>
      </c>
      <c r="H11" s="1">
        <v>45</v>
      </c>
      <c r="I11" s="1" t="s">
        <v>36</v>
      </c>
      <c r="J11" s="1"/>
      <c r="K11" s="1">
        <v>976</v>
      </c>
      <c r="L11" s="1">
        <f t="shared" si="2"/>
        <v>-264</v>
      </c>
      <c r="M11" s="1"/>
      <c r="N11" s="1"/>
      <c r="O11" s="1">
        <v>767.80799999999988</v>
      </c>
      <c r="P11" s="1"/>
      <c r="Q11" s="1"/>
      <c r="R11" s="1">
        <f t="shared" si="3"/>
        <v>142.4</v>
      </c>
      <c r="S11" s="1">
        <f t="shared" si="4"/>
        <v>6.3891011235955046</v>
      </c>
      <c r="T11" s="1">
        <v>152.80000000000001</v>
      </c>
      <c r="U11" s="1">
        <v>151.19999999999999</v>
      </c>
      <c r="V11" s="1">
        <v>121.8</v>
      </c>
      <c r="W11" s="1">
        <v>115.2</v>
      </c>
      <c r="X11" s="1">
        <v>136.4</v>
      </c>
      <c r="Y11" s="1">
        <v>154.6</v>
      </c>
      <c r="Z11" s="1">
        <v>104</v>
      </c>
      <c r="AA11" s="1">
        <v>95.2</v>
      </c>
      <c r="AB11" s="1">
        <v>133.4</v>
      </c>
      <c r="AC11" s="1">
        <v>138</v>
      </c>
      <c r="AD11" s="1">
        <v>155.19999999999999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 t="s">
        <v>45</v>
      </c>
      <c r="B12" s="1" t="s">
        <v>41</v>
      </c>
      <c r="C12" s="1">
        <v>6</v>
      </c>
      <c r="D12" s="1">
        <v>45</v>
      </c>
      <c r="E12" s="1">
        <v>56</v>
      </c>
      <c r="F12" s="1">
        <v>-5</v>
      </c>
      <c r="G12" s="6">
        <v>0.17</v>
      </c>
      <c r="H12" s="1">
        <v>180</v>
      </c>
      <c r="I12" s="1" t="s">
        <v>36</v>
      </c>
      <c r="J12" s="1"/>
      <c r="K12" s="1">
        <v>109</v>
      </c>
      <c r="L12" s="1">
        <f t="shared" si="2"/>
        <v>-53</v>
      </c>
      <c r="M12" s="1"/>
      <c r="N12" s="1"/>
      <c r="O12" s="1">
        <v>96.299999999999983</v>
      </c>
      <c r="P12" s="1"/>
      <c r="Q12" s="1"/>
      <c r="R12" s="1">
        <f t="shared" si="3"/>
        <v>11.2</v>
      </c>
      <c r="S12" s="1">
        <f t="shared" si="4"/>
        <v>8.1517857142857135</v>
      </c>
      <c r="T12" s="1">
        <v>6.6</v>
      </c>
      <c r="U12" s="1">
        <v>19.399999999999999</v>
      </c>
      <c r="V12" s="1">
        <v>18</v>
      </c>
      <c r="W12" s="1">
        <v>11.6</v>
      </c>
      <c r="X12" s="1">
        <v>15</v>
      </c>
      <c r="Y12" s="1">
        <v>14</v>
      </c>
      <c r="Z12" s="1">
        <v>14.8</v>
      </c>
      <c r="AA12" s="1">
        <v>20</v>
      </c>
      <c r="AB12" s="1">
        <v>20.2</v>
      </c>
      <c r="AC12" s="1">
        <v>24.8</v>
      </c>
      <c r="AD12" s="1">
        <v>23.6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 t="s">
        <v>46</v>
      </c>
      <c r="B13" s="1" t="s">
        <v>41</v>
      </c>
      <c r="C13" s="1">
        <v>87</v>
      </c>
      <c r="D13" s="1">
        <v>80</v>
      </c>
      <c r="E13" s="1">
        <v>108</v>
      </c>
      <c r="F13" s="1">
        <v>19</v>
      </c>
      <c r="G13" s="6">
        <v>0.3</v>
      </c>
      <c r="H13" s="1">
        <v>40</v>
      </c>
      <c r="I13" s="1" t="s">
        <v>47</v>
      </c>
      <c r="J13" s="1"/>
      <c r="K13" s="1">
        <v>165</v>
      </c>
      <c r="L13" s="1">
        <f t="shared" si="2"/>
        <v>-57</v>
      </c>
      <c r="M13" s="1"/>
      <c r="N13" s="1"/>
      <c r="O13" s="1">
        <v>153.79599999999999</v>
      </c>
      <c r="P13" s="1">
        <v>-156</v>
      </c>
      <c r="Q13" s="1"/>
      <c r="R13" s="1">
        <f t="shared" si="3"/>
        <v>21.6</v>
      </c>
      <c r="S13" s="1">
        <f t="shared" si="4"/>
        <v>0.77759259259259217</v>
      </c>
      <c r="T13" s="1">
        <v>18.399999999999999</v>
      </c>
      <c r="U13" s="1">
        <v>34.4</v>
      </c>
      <c r="V13" s="1">
        <v>29.2</v>
      </c>
      <c r="W13" s="1">
        <v>16.399999999999999</v>
      </c>
      <c r="X13" s="1">
        <v>19.8</v>
      </c>
      <c r="Y13" s="1">
        <v>23.6</v>
      </c>
      <c r="Z13" s="1">
        <v>21</v>
      </c>
      <c r="AA13" s="1">
        <v>13.6</v>
      </c>
      <c r="AB13" s="1">
        <v>30.4</v>
      </c>
      <c r="AC13" s="1">
        <v>28.8</v>
      </c>
      <c r="AD13" s="1">
        <v>27.8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48</v>
      </c>
      <c r="B14" s="1" t="s">
        <v>41</v>
      </c>
      <c r="C14" s="1">
        <v>70</v>
      </c>
      <c r="D14" s="1">
        <v>330</v>
      </c>
      <c r="E14" s="1">
        <v>141</v>
      </c>
      <c r="F14" s="1">
        <v>230</v>
      </c>
      <c r="G14" s="6">
        <v>0.17</v>
      </c>
      <c r="H14" s="1">
        <v>180</v>
      </c>
      <c r="I14" s="1" t="s">
        <v>36</v>
      </c>
      <c r="J14" s="1"/>
      <c r="K14" s="1">
        <v>285</v>
      </c>
      <c r="L14" s="1">
        <f t="shared" si="2"/>
        <v>-144</v>
      </c>
      <c r="M14" s="1"/>
      <c r="N14" s="1"/>
      <c r="O14" s="1">
        <v>293.10399999999998</v>
      </c>
      <c r="P14" s="1"/>
      <c r="Q14" s="1"/>
      <c r="R14" s="12">
        <f t="shared" si="3"/>
        <v>28.2</v>
      </c>
      <c r="S14" s="1">
        <f t="shared" si="4"/>
        <v>18.549787234042554</v>
      </c>
      <c r="T14" s="1">
        <v>26.8</v>
      </c>
      <c r="U14" s="1">
        <v>45.6</v>
      </c>
      <c r="V14" s="1">
        <v>32</v>
      </c>
      <c r="W14" s="1">
        <v>21.4</v>
      </c>
      <c r="X14" s="1">
        <v>18.2</v>
      </c>
      <c r="Y14" s="1">
        <v>21.2</v>
      </c>
      <c r="Z14" s="1">
        <v>27.6</v>
      </c>
      <c r="AA14" s="1">
        <v>28.6</v>
      </c>
      <c r="AB14" s="1">
        <v>30.2</v>
      </c>
      <c r="AC14" s="1">
        <v>40.200000000000003</v>
      </c>
      <c r="AD14" s="1">
        <v>31.4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 t="s">
        <v>49</v>
      </c>
      <c r="B15" s="1" t="s">
        <v>35</v>
      </c>
      <c r="C15" s="1">
        <v>723.40300000000002</v>
      </c>
      <c r="D15" s="1">
        <v>223.33799999999999</v>
      </c>
      <c r="E15" s="1">
        <v>395.24900000000002</v>
      </c>
      <c r="F15" s="1">
        <v>542.59799999999996</v>
      </c>
      <c r="G15" s="6">
        <v>1</v>
      </c>
      <c r="H15" s="1">
        <v>70</v>
      </c>
      <c r="I15" s="1" t="s">
        <v>36</v>
      </c>
      <c r="J15" s="1"/>
      <c r="K15" s="1">
        <v>352.87900000000002</v>
      </c>
      <c r="L15" s="1">
        <f t="shared" si="2"/>
        <v>42.370000000000005</v>
      </c>
      <c r="M15" s="1"/>
      <c r="N15" s="1"/>
      <c r="O15" s="1">
        <v>158.871252</v>
      </c>
      <c r="P15" s="1"/>
      <c r="Q15" s="1">
        <v>200</v>
      </c>
      <c r="R15" s="1">
        <f t="shared" si="3"/>
        <v>79.049800000000005</v>
      </c>
      <c r="S15" s="1">
        <f t="shared" si="4"/>
        <v>11.403814456203557</v>
      </c>
      <c r="T15" s="1">
        <v>73.63</v>
      </c>
      <c r="U15" s="1">
        <v>79.357799999999997</v>
      </c>
      <c r="V15" s="1">
        <v>76.665199999999999</v>
      </c>
      <c r="W15" s="1">
        <v>60.802999999999997</v>
      </c>
      <c r="X15" s="1">
        <v>75.010400000000004</v>
      </c>
      <c r="Y15" s="1">
        <v>103.798</v>
      </c>
      <c r="Z15" s="1">
        <v>100.63639999999999</v>
      </c>
      <c r="AA15" s="1">
        <v>101.03440000000001</v>
      </c>
      <c r="AB15" s="1">
        <v>101.12820000000001</v>
      </c>
      <c r="AC15" s="1">
        <v>101.80880000000001</v>
      </c>
      <c r="AD15" s="1">
        <v>108.13339999999999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 t="s">
        <v>50</v>
      </c>
      <c r="B16" s="1" t="s">
        <v>35</v>
      </c>
      <c r="C16" s="1">
        <v>4675.8310000000001</v>
      </c>
      <c r="D16" s="1">
        <v>224.14599999999999</v>
      </c>
      <c r="E16" s="1">
        <v>1888.393</v>
      </c>
      <c r="F16" s="1">
        <v>2743.9110000000001</v>
      </c>
      <c r="G16" s="6">
        <v>1</v>
      </c>
      <c r="H16" s="1">
        <v>50</v>
      </c>
      <c r="I16" s="1" t="s">
        <v>36</v>
      </c>
      <c r="J16" s="1"/>
      <c r="K16" s="1">
        <v>1920.664</v>
      </c>
      <c r="L16" s="1">
        <f t="shared" si="2"/>
        <v>-32.270999999999958</v>
      </c>
      <c r="M16" s="1"/>
      <c r="N16" s="1"/>
      <c r="O16" s="1">
        <v>0</v>
      </c>
      <c r="P16" s="1"/>
      <c r="Q16" s="1">
        <v>900</v>
      </c>
      <c r="R16" s="1">
        <f t="shared" si="3"/>
        <v>377.67860000000002</v>
      </c>
      <c r="S16" s="1">
        <f t="shared" si="4"/>
        <v>9.6481796956459807</v>
      </c>
      <c r="T16" s="1">
        <v>379.55279999999999</v>
      </c>
      <c r="U16" s="1">
        <v>332.78500000000003</v>
      </c>
      <c r="V16" s="1">
        <v>290.48419999999999</v>
      </c>
      <c r="W16" s="1">
        <v>294.3408</v>
      </c>
      <c r="X16" s="1">
        <v>370.44220000000001</v>
      </c>
      <c r="Y16" s="1">
        <v>447.33139999999997</v>
      </c>
      <c r="Z16" s="1">
        <v>426.28320000000002</v>
      </c>
      <c r="AA16" s="1">
        <v>485.00200000000012</v>
      </c>
      <c r="AB16" s="1">
        <v>444.64399999999989</v>
      </c>
      <c r="AC16" s="1">
        <v>417.89479999999998</v>
      </c>
      <c r="AD16" s="1">
        <v>444.3236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 t="s">
        <v>51</v>
      </c>
      <c r="B17" s="1" t="s">
        <v>35</v>
      </c>
      <c r="C17" s="1">
        <v>98.334000000000003</v>
      </c>
      <c r="D17" s="1">
        <v>6.9969999999999999</v>
      </c>
      <c r="E17" s="1">
        <v>77.944999999999993</v>
      </c>
      <c r="F17" s="1">
        <v>22.131</v>
      </c>
      <c r="G17" s="6">
        <v>1</v>
      </c>
      <c r="H17" s="1">
        <v>60</v>
      </c>
      <c r="I17" s="1" t="s">
        <v>36</v>
      </c>
      <c r="J17" s="1"/>
      <c r="K17" s="1">
        <v>81.5</v>
      </c>
      <c r="L17" s="1">
        <f t="shared" si="2"/>
        <v>-3.5550000000000068</v>
      </c>
      <c r="M17" s="1"/>
      <c r="N17" s="1"/>
      <c r="O17" s="1">
        <v>85.641000000000005</v>
      </c>
      <c r="P17" s="1"/>
      <c r="Q17" s="1"/>
      <c r="R17" s="1">
        <f t="shared" si="3"/>
        <v>15.588999999999999</v>
      </c>
      <c r="S17" s="1">
        <f t="shared" si="4"/>
        <v>6.9133363268971717</v>
      </c>
      <c r="T17" s="1">
        <v>15.593999999999999</v>
      </c>
      <c r="U17" s="1">
        <v>14.525</v>
      </c>
      <c r="V17" s="1">
        <v>9.8002000000000002</v>
      </c>
      <c r="W17" s="1">
        <v>6.9792000000000014</v>
      </c>
      <c r="X17" s="1">
        <v>11.373200000000001</v>
      </c>
      <c r="Y17" s="1">
        <v>21.314399999999999</v>
      </c>
      <c r="Z17" s="1">
        <v>17.635999999999999</v>
      </c>
      <c r="AA17" s="1">
        <v>7.6536</v>
      </c>
      <c r="AB17" s="1">
        <v>10.663399999999999</v>
      </c>
      <c r="AC17" s="1">
        <v>17.847000000000001</v>
      </c>
      <c r="AD17" s="1">
        <v>16.242799999999999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 t="s">
        <v>52</v>
      </c>
      <c r="B18" s="1" t="s">
        <v>35</v>
      </c>
      <c r="C18" s="1">
        <v>32.569000000000003</v>
      </c>
      <c r="D18" s="1">
        <v>58.179000000000002</v>
      </c>
      <c r="E18" s="1">
        <v>25.074999999999999</v>
      </c>
      <c r="F18" s="1">
        <v>58.890999999999998</v>
      </c>
      <c r="G18" s="6">
        <v>1</v>
      </c>
      <c r="H18" s="1">
        <v>60</v>
      </c>
      <c r="I18" s="1" t="s">
        <v>36</v>
      </c>
      <c r="J18" s="1"/>
      <c r="K18" s="1">
        <v>37.1</v>
      </c>
      <c r="L18" s="1">
        <f t="shared" si="2"/>
        <v>-12.025000000000002</v>
      </c>
      <c r="M18" s="1"/>
      <c r="N18" s="1"/>
      <c r="O18" s="1">
        <v>0</v>
      </c>
      <c r="P18" s="1"/>
      <c r="Q18" s="1"/>
      <c r="R18" s="1">
        <f t="shared" si="3"/>
        <v>5.0149999999999997</v>
      </c>
      <c r="S18" s="1">
        <f t="shared" si="4"/>
        <v>11.742971086739781</v>
      </c>
      <c r="T18" s="1">
        <v>4.5262000000000002</v>
      </c>
      <c r="U18" s="1">
        <v>6.3393999999999986</v>
      </c>
      <c r="V18" s="1">
        <v>6.4408000000000003</v>
      </c>
      <c r="W18" s="1">
        <v>6.5603999999999996</v>
      </c>
      <c r="X18" s="1">
        <v>4.7707999999999986</v>
      </c>
      <c r="Y18" s="1">
        <v>6.2031999999999998</v>
      </c>
      <c r="Z18" s="1">
        <v>6.2096</v>
      </c>
      <c r="AA18" s="1">
        <v>4.9654000000000007</v>
      </c>
      <c r="AB18" s="1">
        <v>3.7240000000000002</v>
      </c>
      <c r="AC18" s="1">
        <v>4.6079999999999997</v>
      </c>
      <c r="AD18" s="1">
        <v>6.5492000000000008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 t="s">
        <v>53</v>
      </c>
      <c r="B19" s="1" t="s">
        <v>35</v>
      </c>
      <c r="C19" s="1">
        <v>19.007999999999999</v>
      </c>
      <c r="D19" s="1">
        <v>40.226999999999997</v>
      </c>
      <c r="E19" s="1">
        <v>26.908000000000001</v>
      </c>
      <c r="F19" s="1">
        <v>30.158000000000001</v>
      </c>
      <c r="G19" s="6">
        <v>1</v>
      </c>
      <c r="H19" s="1">
        <v>180</v>
      </c>
      <c r="I19" s="1" t="s">
        <v>36</v>
      </c>
      <c r="J19" s="1"/>
      <c r="K19" s="1">
        <v>28.07</v>
      </c>
      <c r="L19" s="1">
        <f t="shared" si="2"/>
        <v>-1.161999999999999</v>
      </c>
      <c r="M19" s="1"/>
      <c r="N19" s="1"/>
      <c r="O19" s="1">
        <v>21.337600000000009</v>
      </c>
      <c r="P19" s="1"/>
      <c r="Q19" s="1"/>
      <c r="R19" s="1">
        <f t="shared" si="3"/>
        <v>5.3816000000000006</v>
      </c>
      <c r="S19" s="1">
        <f t="shared" si="4"/>
        <v>9.5688271146127555</v>
      </c>
      <c r="T19" s="1">
        <v>4.1154000000000002</v>
      </c>
      <c r="U19" s="1">
        <v>5.633</v>
      </c>
      <c r="V19" s="1">
        <v>5.0154000000000014</v>
      </c>
      <c r="W19" s="1">
        <v>2.7675999999999998</v>
      </c>
      <c r="X19" s="1">
        <v>2.0844</v>
      </c>
      <c r="Y19" s="1">
        <v>1.048</v>
      </c>
      <c r="Z19" s="1">
        <v>2.5106000000000002</v>
      </c>
      <c r="AA19" s="1">
        <v>4.2141999999999999</v>
      </c>
      <c r="AB19" s="1">
        <v>3.7368000000000001</v>
      </c>
      <c r="AC19" s="1">
        <v>4.8635999999999999</v>
      </c>
      <c r="AD19" s="1">
        <v>4.5688000000000004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 t="s">
        <v>54</v>
      </c>
      <c r="B20" s="1" t="s">
        <v>35</v>
      </c>
      <c r="C20" s="1">
        <v>462.75599999999997</v>
      </c>
      <c r="D20" s="1">
        <v>78.646000000000001</v>
      </c>
      <c r="E20" s="1">
        <v>358.02699999999999</v>
      </c>
      <c r="F20" s="1">
        <v>166.82</v>
      </c>
      <c r="G20" s="6">
        <v>1</v>
      </c>
      <c r="H20" s="1">
        <v>60</v>
      </c>
      <c r="I20" s="1" t="s">
        <v>36</v>
      </c>
      <c r="J20" s="1"/>
      <c r="K20" s="1">
        <v>316.58</v>
      </c>
      <c r="L20" s="1">
        <f t="shared" si="2"/>
        <v>41.447000000000003</v>
      </c>
      <c r="M20" s="1"/>
      <c r="N20" s="1"/>
      <c r="O20" s="1">
        <v>382.25206800000018</v>
      </c>
      <c r="P20" s="1"/>
      <c r="Q20" s="1"/>
      <c r="R20" s="1">
        <f t="shared" si="3"/>
        <v>71.605400000000003</v>
      </c>
      <c r="S20" s="1">
        <f t="shared" si="4"/>
        <v>7.6680259868669145</v>
      </c>
      <c r="T20" s="1">
        <v>73.896600000000007</v>
      </c>
      <c r="U20" s="1">
        <v>72.609400000000008</v>
      </c>
      <c r="V20" s="1">
        <v>53.276200000000003</v>
      </c>
      <c r="W20" s="1">
        <v>50.758800000000001</v>
      </c>
      <c r="X20" s="1">
        <v>59.435799999999993</v>
      </c>
      <c r="Y20" s="1">
        <v>77.672799999999995</v>
      </c>
      <c r="Z20" s="1">
        <v>76.057199999999995</v>
      </c>
      <c r="AA20" s="1">
        <v>82.202399999999997</v>
      </c>
      <c r="AB20" s="1">
        <v>88.697599999999994</v>
      </c>
      <c r="AC20" s="1">
        <v>89.646000000000001</v>
      </c>
      <c r="AD20" s="1">
        <v>88.110399999999998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 t="s">
        <v>55</v>
      </c>
      <c r="B21" s="1" t="s">
        <v>35</v>
      </c>
      <c r="C21" s="1">
        <v>101.229</v>
      </c>
      <c r="D21" s="1">
        <v>91.501000000000005</v>
      </c>
      <c r="E21" s="1">
        <v>43.151000000000003</v>
      </c>
      <c r="F21" s="1">
        <v>131.292</v>
      </c>
      <c r="G21" s="6">
        <v>1</v>
      </c>
      <c r="H21" s="1">
        <v>70</v>
      </c>
      <c r="I21" s="1" t="s">
        <v>36</v>
      </c>
      <c r="J21" s="1"/>
      <c r="K21" s="1">
        <v>107.9</v>
      </c>
      <c r="L21" s="1">
        <f t="shared" si="2"/>
        <v>-64.748999999999995</v>
      </c>
      <c r="M21" s="1"/>
      <c r="N21" s="1"/>
      <c r="O21" s="1">
        <v>23.079350000000051</v>
      </c>
      <c r="P21" s="1"/>
      <c r="Q21" s="1"/>
      <c r="R21" s="12">
        <f t="shared" si="3"/>
        <v>8.6302000000000003</v>
      </c>
      <c r="S21" s="1">
        <f t="shared" si="4"/>
        <v>17.88734328289032</v>
      </c>
      <c r="T21" s="1">
        <v>6.452</v>
      </c>
      <c r="U21" s="1">
        <v>17.515000000000001</v>
      </c>
      <c r="V21" s="1">
        <v>20.354600000000001</v>
      </c>
      <c r="W21" s="1">
        <v>12.7774</v>
      </c>
      <c r="X21" s="1">
        <v>14.9056</v>
      </c>
      <c r="Y21" s="1">
        <v>21.267399999999999</v>
      </c>
      <c r="Z21" s="1">
        <v>15.830399999999999</v>
      </c>
      <c r="AA21" s="1">
        <v>19.5242</v>
      </c>
      <c r="AB21" s="1">
        <v>23.744399999999999</v>
      </c>
      <c r="AC21" s="1">
        <v>22.281199999999998</v>
      </c>
      <c r="AD21" s="1">
        <v>26.270199999999999</v>
      </c>
      <c r="AE21" s="1" t="s">
        <v>38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56</v>
      </c>
      <c r="B22" s="1" t="s">
        <v>35</v>
      </c>
      <c r="C22" s="1">
        <v>184.41399999999999</v>
      </c>
      <c r="D22" s="1">
        <v>86.061000000000007</v>
      </c>
      <c r="E22" s="1">
        <v>200.88300000000001</v>
      </c>
      <c r="F22" s="1">
        <v>57.423999999999999</v>
      </c>
      <c r="G22" s="6">
        <v>1</v>
      </c>
      <c r="H22" s="1">
        <v>70</v>
      </c>
      <c r="I22" s="1" t="s">
        <v>36</v>
      </c>
      <c r="J22" s="1"/>
      <c r="K22" s="1">
        <v>187.2</v>
      </c>
      <c r="L22" s="1">
        <f t="shared" si="2"/>
        <v>13.683000000000021</v>
      </c>
      <c r="M22" s="1"/>
      <c r="N22" s="1"/>
      <c r="O22" s="1">
        <v>188.75653600000001</v>
      </c>
      <c r="P22" s="1"/>
      <c r="Q22" s="1"/>
      <c r="R22" s="1">
        <f t="shared" si="3"/>
        <v>40.176600000000001</v>
      </c>
      <c r="S22" s="1">
        <f t="shared" si="4"/>
        <v>6.1274606611808871</v>
      </c>
      <c r="T22" s="1">
        <v>38.621600000000001</v>
      </c>
      <c r="U22" s="1">
        <v>36.080399999999997</v>
      </c>
      <c r="V22" s="1">
        <v>27.281199999999998</v>
      </c>
      <c r="W22" s="1">
        <v>19.441600000000001</v>
      </c>
      <c r="X22" s="1">
        <v>26.1462</v>
      </c>
      <c r="Y22" s="1">
        <v>35.3934</v>
      </c>
      <c r="Z22" s="1">
        <v>33.106000000000002</v>
      </c>
      <c r="AA22" s="1">
        <v>38.613</v>
      </c>
      <c r="AB22" s="1">
        <v>42.749600000000001</v>
      </c>
      <c r="AC22" s="1">
        <v>46.347000000000001</v>
      </c>
      <c r="AD22" s="1">
        <v>45.730200000000004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" t="s">
        <v>57</v>
      </c>
      <c r="B23" s="1" t="s">
        <v>35</v>
      </c>
      <c r="C23" s="1">
        <v>5.1479999999999997</v>
      </c>
      <c r="D23" s="1">
        <v>57.444000000000003</v>
      </c>
      <c r="E23" s="1">
        <v>5.2720000000000002</v>
      </c>
      <c r="F23" s="1">
        <v>57.338999999999999</v>
      </c>
      <c r="G23" s="6">
        <v>1</v>
      </c>
      <c r="H23" s="1">
        <v>180</v>
      </c>
      <c r="I23" s="1" t="s">
        <v>36</v>
      </c>
      <c r="J23" s="1"/>
      <c r="K23" s="1">
        <v>11.54</v>
      </c>
      <c r="L23" s="1">
        <f t="shared" si="2"/>
        <v>-6.2679999999999989</v>
      </c>
      <c r="M23" s="1"/>
      <c r="N23" s="1"/>
      <c r="O23" s="1">
        <v>59.302200000000013</v>
      </c>
      <c r="P23" s="1"/>
      <c r="Q23" s="1"/>
      <c r="R23" s="12">
        <f t="shared" si="3"/>
        <v>1.0544</v>
      </c>
      <c r="S23" s="1">
        <f t="shared" si="4"/>
        <v>110.6232928679818</v>
      </c>
      <c r="T23" s="1">
        <v>1.9434</v>
      </c>
      <c r="U23" s="1">
        <v>9.5144000000000002</v>
      </c>
      <c r="V23" s="1">
        <v>7.9891999999999994</v>
      </c>
      <c r="W23" s="1">
        <v>1.3806</v>
      </c>
      <c r="X23" s="1">
        <v>1.7283999999999999</v>
      </c>
      <c r="Y23" s="1">
        <v>4.5865999999999998</v>
      </c>
      <c r="Z23" s="1">
        <v>6.9908000000000001</v>
      </c>
      <c r="AA23" s="1">
        <v>5.9451999999999998</v>
      </c>
      <c r="AB23" s="1">
        <v>3.044</v>
      </c>
      <c r="AC23" s="1">
        <v>3.5346000000000002</v>
      </c>
      <c r="AD23" s="1">
        <v>4.4659999999999993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 t="s">
        <v>58</v>
      </c>
      <c r="B24" s="1" t="s">
        <v>35</v>
      </c>
      <c r="C24" s="1">
        <v>324.827</v>
      </c>
      <c r="D24" s="1">
        <v>85.58</v>
      </c>
      <c r="E24" s="1">
        <v>190.52500000000001</v>
      </c>
      <c r="F24" s="1">
        <v>177.82</v>
      </c>
      <c r="G24" s="6">
        <v>1</v>
      </c>
      <c r="H24" s="1">
        <v>70</v>
      </c>
      <c r="I24" s="1" t="s">
        <v>36</v>
      </c>
      <c r="J24" s="1"/>
      <c r="K24" s="1">
        <v>210.8</v>
      </c>
      <c r="L24" s="1">
        <f t="shared" si="2"/>
        <v>-20.275000000000006</v>
      </c>
      <c r="M24" s="1"/>
      <c r="N24" s="1"/>
      <c r="O24" s="1">
        <v>144.34988799999999</v>
      </c>
      <c r="P24" s="1"/>
      <c r="Q24" s="1"/>
      <c r="R24" s="1">
        <f t="shared" si="3"/>
        <v>38.105000000000004</v>
      </c>
      <c r="S24" s="1">
        <f t="shared" si="4"/>
        <v>8.4547930192888074</v>
      </c>
      <c r="T24" s="1">
        <v>38.7042</v>
      </c>
      <c r="U24" s="1">
        <v>38.443199999999997</v>
      </c>
      <c r="V24" s="1">
        <v>28.137799999999999</v>
      </c>
      <c r="W24" s="1">
        <v>28.372</v>
      </c>
      <c r="X24" s="1">
        <v>35.245800000000003</v>
      </c>
      <c r="Y24" s="1">
        <v>48.939599999999999</v>
      </c>
      <c r="Z24" s="1">
        <v>43.491199999999999</v>
      </c>
      <c r="AA24" s="1">
        <v>38.692599999999999</v>
      </c>
      <c r="AB24" s="1">
        <v>45.932200000000002</v>
      </c>
      <c r="AC24" s="1">
        <v>42.074399999999997</v>
      </c>
      <c r="AD24" s="1">
        <v>40.281599999999997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8" t="s">
        <v>59</v>
      </c>
      <c r="B25" s="8" t="s">
        <v>35</v>
      </c>
      <c r="C25" s="8"/>
      <c r="D25" s="8"/>
      <c r="E25" s="8"/>
      <c r="F25" s="8"/>
      <c r="G25" s="9">
        <v>0</v>
      </c>
      <c r="H25" s="8"/>
      <c r="I25" s="8" t="s">
        <v>36</v>
      </c>
      <c r="J25" s="8"/>
      <c r="K25" s="8"/>
      <c r="L25" s="8">
        <f t="shared" si="2"/>
        <v>0</v>
      </c>
      <c r="M25" s="8"/>
      <c r="N25" s="8"/>
      <c r="O25" s="8">
        <v>0</v>
      </c>
      <c r="P25" s="8"/>
      <c r="Q25" s="8"/>
      <c r="R25" s="8">
        <f t="shared" si="3"/>
        <v>0</v>
      </c>
      <c r="S25" s="1" t="e">
        <f t="shared" si="4"/>
        <v>#DIV/0!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 t="s">
        <v>42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 t="s">
        <v>60</v>
      </c>
      <c r="B26" s="1" t="s">
        <v>35</v>
      </c>
      <c r="C26" s="1">
        <v>6.9269999999999996</v>
      </c>
      <c r="D26" s="1">
        <v>329.553</v>
      </c>
      <c r="E26" s="1">
        <v>31.387</v>
      </c>
      <c r="F26" s="1">
        <v>273.233</v>
      </c>
      <c r="G26" s="6">
        <v>1</v>
      </c>
      <c r="H26" s="1"/>
      <c r="I26" s="1" t="s">
        <v>36</v>
      </c>
      <c r="J26" s="1"/>
      <c r="K26" s="1">
        <v>85.3</v>
      </c>
      <c r="L26" s="1">
        <f t="shared" si="2"/>
        <v>-53.912999999999997</v>
      </c>
      <c r="M26" s="1"/>
      <c r="N26" s="1"/>
      <c r="O26" s="1">
        <v>0</v>
      </c>
      <c r="P26" s="1"/>
      <c r="Q26" s="1"/>
      <c r="R26" s="12">
        <f t="shared" si="3"/>
        <v>6.2774000000000001</v>
      </c>
      <c r="S26" s="1">
        <f t="shared" si="4"/>
        <v>43.526459999362793</v>
      </c>
      <c r="T26" s="1">
        <v>0.69540000000000002</v>
      </c>
      <c r="U26" s="1">
        <v>3.7128000000000001</v>
      </c>
      <c r="V26" s="1">
        <v>7.3063999999999991</v>
      </c>
      <c r="W26" s="1">
        <v>22.351600000000001</v>
      </c>
      <c r="X26" s="1">
        <v>23.732600000000001</v>
      </c>
      <c r="Y26" s="1">
        <v>5.7994000000000003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 t="s">
        <v>61</v>
      </c>
      <c r="AF26" s="11" t="s">
        <v>179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 t="s">
        <v>62</v>
      </c>
      <c r="B27" s="1" t="s">
        <v>35</v>
      </c>
      <c r="C27" s="1">
        <v>-2.5000000000000001E-2</v>
      </c>
      <c r="D27" s="1"/>
      <c r="E27" s="1">
        <v>-2.6909999999999998</v>
      </c>
      <c r="F27" s="1">
        <v>-2.5000000000000001E-2</v>
      </c>
      <c r="G27" s="6">
        <v>1</v>
      </c>
      <c r="H27" s="1">
        <v>40</v>
      </c>
      <c r="I27" s="1" t="s">
        <v>47</v>
      </c>
      <c r="J27" s="1"/>
      <c r="K27" s="1">
        <v>17.3</v>
      </c>
      <c r="L27" s="1">
        <f t="shared" si="2"/>
        <v>-19.991</v>
      </c>
      <c r="M27" s="1"/>
      <c r="N27" s="1"/>
      <c r="O27" s="1">
        <v>100</v>
      </c>
      <c r="P27" s="1">
        <v>-108</v>
      </c>
      <c r="Q27" s="1"/>
      <c r="R27" s="1">
        <f t="shared" si="3"/>
        <v>-0.53820000000000001</v>
      </c>
      <c r="S27" s="1">
        <f t="shared" si="4"/>
        <v>14.910813823857312</v>
      </c>
      <c r="T27" s="1">
        <v>-0.50919999999999999</v>
      </c>
      <c r="U27" s="1">
        <v>-0.21679999999999999</v>
      </c>
      <c r="V27" s="1">
        <v>-0.21679999999999999</v>
      </c>
      <c r="W27" s="1">
        <v>9.5777999999999999</v>
      </c>
      <c r="X27" s="1">
        <v>37.691400000000002</v>
      </c>
      <c r="Y27" s="1">
        <v>56.543799999999997</v>
      </c>
      <c r="Z27" s="1">
        <v>34.541200000000003</v>
      </c>
      <c r="AA27" s="1">
        <v>38.505600000000001</v>
      </c>
      <c r="AB27" s="1">
        <v>32.977800000000002</v>
      </c>
      <c r="AC27" s="1">
        <v>14.902200000000001</v>
      </c>
      <c r="AD27" s="1">
        <v>40.676000000000002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 t="s">
        <v>63</v>
      </c>
      <c r="B28" s="1" t="s">
        <v>35</v>
      </c>
      <c r="C28" s="1">
        <v>180.17500000000001</v>
      </c>
      <c r="D28" s="1">
        <v>169.16300000000001</v>
      </c>
      <c r="E28" s="1">
        <v>202.768</v>
      </c>
      <c r="F28" s="1">
        <v>98.498000000000005</v>
      </c>
      <c r="G28" s="6">
        <v>1</v>
      </c>
      <c r="H28" s="1">
        <v>30</v>
      </c>
      <c r="I28" s="1" t="s">
        <v>47</v>
      </c>
      <c r="J28" s="1"/>
      <c r="K28" s="1">
        <v>314.10000000000002</v>
      </c>
      <c r="L28" s="1">
        <f t="shared" si="2"/>
        <v>-111.33200000000002</v>
      </c>
      <c r="M28" s="1"/>
      <c r="N28" s="1"/>
      <c r="O28" s="1">
        <v>180</v>
      </c>
      <c r="P28" s="1"/>
      <c r="Q28" s="1"/>
      <c r="R28" s="1">
        <f t="shared" si="3"/>
        <v>40.553600000000003</v>
      </c>
      <c r="S28" s="1">
        <f t="shared" si="4"/>
        <v>6.8674051132328566</v>
      </c>
      <c r="T28" s="1">
        <v>44.266199999999998</v>
      </c>
      <c r="U28" s="1">
        <v>41.836200000000012</v>
      </c>
      <c r="V28" s="1">
        <v>28.0486</v>
      </c>
      <c r="W28" s="1">
        <v>11.816000000000001</v>
      </c>
      <c r="X28" s="1">
        <v>3.6137999999999999</v>
      </c>
      <c r="Y28" s="1">
        <v>28.007400000000001</v>
      </c>
      <c r="Z28" s="1">
        <v>35.287799999999997</v>
      </c>
      <c r="AA28" s="1">
        <v>16.3886</v>
      </c>
      <c r="AB28" s="1">
        <v>14.622999999999999</v>
      </c>
      <c r="AC28" s="1">
        <v>57.747199999999999</v>
      </c>
      <c r="AD28" s="1">
        <v>92.522199999999998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 t="s">
        <v>64</v>
      </c>
      <c r="B29" s="1" t="s">
        <v>35</v>
      </c>
      <c r="C29" s="1">
        <v>1.518</v>
      </c>
      <c r="D29" s="1">
        <v>1.4</v>
      </c>
      <c r="E29" s="1">
        <v>-9.3439999999999994</v>
      </c>
      <c r="F29" s="1">
        <v>1.518</v>
      </c>
      <c r="G29" s="6">
        <v>1</v>
      </c>
      <c r="H29" s="1">
        <v>40</v>
      </c>
      <c r="I29" s="1" t="s">
        <v>47</v>
      </c>
      <c r="J29" s="1"/>
      <c r="K29" s="1">
        <v>150.9</v>
      </c>
      <c r="L29" s="1">
        <f t="shared" si="2"/>
        <v>-160.244</v>
      </c>
      <c r="M29" s="1"/>
      <c r="N29" s="1"/>
      <c r="O29" s="1">
        <v>500</v>
      </c>
      <c r="P29" s="1">
        <v>-504</v>
      </c>
      <c r="Q29" s="1"/>
      <c r="R29" s="1">
        <f t="shared" si="3"/>
        <v>-1.8687999999999998</v>
      </c>
      <c r="S29" s="1">
        <f t="shared" si="4"/>
        <v>1.3281250000000151</v>
      </c>
      <c r="T29" s="1">
        <v>-1.9388000000000001</v>
      </c>
      <c r="U29" s="1">
        <v>2.0426000000000002</v>
      </c>
      <c r="V29" s="1">
        <v>72.69919999999999</v>
      </c>
      <c r="W29" s="1">
        <v>116.389</v>
      </c>
      <c r="X29" s="1">
        <v>99.9422</v>
      </c>
      <c r="Y29" s="1">
        <v>194.2286</v>
      </c>
      <c r="Z29" s="1">
        <v>221.15479999999999</v>
      </c>
      <c r="AA29" s="1">
        <v>290.73820000000001</v>
      </c>
      <c r="AB29" s="1">
        <v>221.20740000000001</v>
      </c>
      <c r="AC29" s="1">
        <v>21.023</v>
      </c>
      <c r="AD29" s="1">
        <v>97.070799999999991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" t="s">
        <v>65</v>
      </c>
      <c r="B30" s="1" t="s">
        <v>35</v>
      </c>
      <c r="C30" s="1">
        <v>7.468</v>
      </c>
      <c r="D30" s="1"/>
      <c r="E30" s="1">
        <v>6.923</v>
      </c>
      <c r="F30" s="1">
        <v>-0.03</v>
      </c>
      <c r="G30" s="6">
        <v>1</v>
      </c>
      <c r="H30" s="1">
        <v>40</v>
      </c>
      <c r="I30" s="1" t="s">
        <v>47</v>
      </c>
      <c r="J30" s="1"/>
      <c r="K30" s="1">
        <v>7</v>
      </c>
      <c r="L30" s="1">
        <f t="shared" si="2"/>
        <v>-7.6999999999999957E-2</v>
      </c>
      <c r="M30" s="1"/>
      <c r="N30" s="1"/>
      <c r="O30" s="1">
        <v>31.142400000000009</v>
      </c>
      <c r="P30" s="1">
        <v>-36</v>
      </c>
      <c r="Q30" s="1"/>
      <c r="R30" s="12">
        <f t="shared" si="3"/>
        <v>1.3846000000000001</v>
      </c>
      <c r="S30" s="1">
        <f t="shared" si="4"/>
        <v>-3.529972555250608</v>
      </c>
      <c r="T30" s="1">
        <v>1.6794</v>
      </c>
      <c r="U30" s="1">
        <v>6.8876000000000008</v>
      </c>
      <c r="V30" s="1">
        <v>7.1876000000000007</v>
      </c>
      <c r="W30" s="1">
        <v>1.4984</v>
      </c>
      <c r="X30" s="1">
        <v>0</v>
      </c>
      <c r="Y30" s="1">
        <v>0</v>
      </c>
      <c r="Z30" s="1">
        <v>0.90600000000000003</v>
      </c>
      <c r="AA30" s="1">
        <v>5.2767999999999997</v>
      </c>
      <c r="AB30" s="1">
        <v>4.3708</v>
      </c>
      <c r="AC30" s="1">
        <v>-0.6048</v>
      </c>
      <c r="AD30" s="1">
        <v>-0.6048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 t="s">
        <v>66</v>
      </c>
      <c r="B31" s="1" t="s">
        <v>35</v>
      </c>
      <c r="C31" s="1">
        <v>51.182000000000002</v>
      </c>
      <c r="D31" s="1">
        <v>187.3</v>
      </c>
      <c r="E31" s="1">
        <v>32.957000000000001</v>
      </c>
      <c r="F31" s="1">
        <v>162.624</v>
      </c>
      <c r="G31" s="6">
        <v>1</v>
      </c>
      <c r="H31" s="1">
        <v>30</v>
      </c>
      <c r="I31" s="1" t="s">
        <v>36</v>
      </c>
      <c r="J31" s="1"/>
      <c r="K31" s="1">
        <v>65.7</v>
      </c>
      <c r="L31" s="1">
        <f t="shared" si="2"/>
        <v>-32.743000000000002</v>
      </c>
      <c r="M31" s="1"/>
      <c r="N31" s="1"/>
      <c r="O31" s="1">
        <v>0</v>
      </c>
      <c r="P31" s="1"/>
      <c r="Q31" s="1"/>
      <c r="R31" s="12">
        <f t="shared" si="3"/>
        <v>6.5914000000000001</v>
      </c>
      <c r="S31" s="1">
        <f t="shared" si="4"/>
        <v>24.67214855721091</v>
      </c>
      <c r="T31" s="1">
        <v>4.1444000000000001</v>
      </c>
      <c r="U31" s="1">
        <v>12.799799999999999</v>
      </c>
      <c r="V31" s="1">
        <v>20.229199999999999</v>
      </c>
      <c r="W31" s="1">
        <v>9.969199999999999</v>
      </c>
      <c r="X31" s="1">
        <v>5.0338000000000003</v>
      </c>
      <c r="Y31" s="1">
        <v>7.6532</v>
      </c>
      <c r="Z31" s="1">
        <v>15.609400000000001</v>
      </c>
      <c r="AA31" s="1">
        <v>19.0808</v>
      </c>
      <c r="AB31" s="1">
        <v>10.242800000000001</v>
      </c>
      <c r="AC31" s="1">
        <v>10.489800000000001</v>
      </c>
      <c r="AD31" s="1">
        <v>15.446199999999999</v>
      </c>
      <c r="AE31" s="1"/>
      <c r="AF31" s="11" t="s">
        <v>179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 t="s">
        <v>67</v>
      </c>
      <c r="B32" s="1" t="s">
        <v>35</v>
      </c>
      <c r="C32" s="1">
        <v>164.983</v>
      </c>
      <c r="D32" s="1">
        <v>75.688999999999993</v>
      </c>
      <c r="E32" s="1">
        <v>96.114999999999995</v>
      </c>
      <c r="F32" s="1">
        <v>88.046999999999997</v>
      </c>
      <c r="G32" s="6">
        <v>1</v>
      </c>
      <c r="H32" s="1">
        <v>50</v>
      </c>
      <c r="I32" s="1" t="s">
        <v>36</v>
      </c>
      <c r="J32" s="1"/>
      <c r="K32" s="1">
        <v>119.66500000000001</v>
      </c>
      <c r="L32" s="1">
        <f t="shared" si="2"/>
        <v>-23.550000000000011</v>
      </c>
      <c r="M32" s="1"/>
      <c r="N32" s="1"/>
      <c r="O32" s="1">
        <v>0</v>
      </c>
      <c r="P32" s="1"/>
      <c r="Q32" s="1"/>
      <c r="R32" s="1">
        <f t="shared" si="3"/>
        <v>19.222999999999999</v>
      </c>
      <c r="S32" s="1">
        <f t="shared" si="4"/>
        <v>4.5802944389533371</v>
      </c>
      <c r="T32" s="1">
        <v>16.348800000000001</v>
      </c>
      <c r="U32" s="1">
        <v>13.0716</v>
      </c>
      <c r="V32" s="1">
        <v>12.183</v>
      </c>
      <c r="W32" s="1">
        <v>16.6722</v>
      </c>
      <c r="X32" s="1">
        <v>19.813600000000001</v>
      </c>
      <c r="Y32" s="1">
        <v>12.786799999999999</v>
      </c>
      <c r="Z32" s="1">
        <v>7.3365999999999998</v>
      </c>
      <c r="AA32" s="1">
        <v>20.953199999999999</v>
      </c>
      <c r="AB32" s="1">
        <v>32.764400000000002</v>
      </c>
      <c r="AC32" s="1">
        <v>27.847000000000001</v>
      </c>
      <c r="AD32" s="1">
        <v>21.542999999999999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" t="s">
        <v>68</v>
      </c>
      <c r="B33" s="1" t="s">
        <v>35</v>
      </c>
      <c r="C33" s="1">
        <v>66.105999999999995</v>
      </c>
      <c r="D33" s="1">
        <v>110.541</v>
      </c>
      <c r="E33" s="1">
        <v>51.865000000000002</v>
      </c>
      <c r="F33" s="1">
        <v>97.405000000000001</v>
      </c>
      <c r="G33" s="6">
        <v>1</v>
      </c>
      <c r="H33" s="1">
        <v>50</v>
      </c>
      <c r="I33" s="1" t="s">
        <v>36</v>
      </c>
      <c r="J33" s="1"/>
      <c r="K33" s="1">
        <v>82.3</v>
      </c>
      <c r="L33" s="1">
        <f t="shared" si="2"/>
        <v>-30.434999999999995</v>
      </c>
      <c r="M33" s="1"/>
      <c r="N33" s="1"/>
      <c r="O33" s="1">
        <v>0</v>
      </c>
      <c r="P33" s="1"/>
      <c r="Q33" s="1"/>
      <c r="R33" s="1">
        <f t="shared" si="3"/>
        <v>10.373000000000001</v>
      </c>
      <c r="S33" s="1">
        <f t="shared" si="4"/>
        <v>9.390243902439023</v>
      </c>
      <c r="T33" s="1">
        <v>7.5937999999999999</v>
      </c>
      <c r="U33" s="1">
        <v>11.585599999999999</v>
      </c>
      <c r="V33" s="1">
        <v>11.974</v>
      </c>
      <c r="W33" s="1">
        <v>13.573399999999999</v>
      </c>
      <c r="X33" s="1">
        <v>14.6586</v>
      </c>
      <c r="Y33" s="1">
        <v>12.297599999999999</v>
      </c>
      <c r="Z33" s="1">
        <v>10.6524</v>
      </c>
      <c r="AA33" s="1">
        <v>7.8666</v>
      </c>
      <c r="AB33" s="1">
        <v>12.2232</v>
      </c>
      <c r="AC33" s="1">
        <v>20.489599999999999</v>
      </c>
      <c r="AD33" s="1">
        <v>20.728200000000001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 t="s">
        <v>69</v>
      </c>
      <c r="B34" s="1" t="s">
        <v>41</v>
      </c>
      <c r="C34" s="1">
        <v>1061.5050000000001</v>
      </c>
      <c r="D34" s="1">
        <v>585</v>
      </c>
      <c r="E34" s="1">
        <v>1432</v>
      </c>
      <c r="F34" s="1">
        <v>52.505000000000003</v>
      </c>
      <c r="G34" s="6">
        <v>0.4</v>
      </c>
      <c r="H34" s="1">
        <v>45</v>
      </c>
      <c r="I34" s="1" t="s">
        <v>47</v>
      </c>
      <c r="J34" s="1"/>
      <c r="K34" s="1">
        <v>2111</v>
      </c>
      <c r="L34" s="1">
        <f t="shared" si="2"/>
        <v>-679</v>
      </c>
      <c r="M34" s="1"/>
      <c r="N34" s="1"/>
      <c r="O34" s="1">
        <v>1586.1</v>
      </c>
      <c r="P34" s="1"/>
      <c r="Q34" s="1"/>
      <c r="R34" s="1">
        <f t="shared" si="3"/>
        <v>286.39999999999998</v>
      </c>
      <c r="S34" s="1">
        <f t="shared" si="4"/>
        <v>5.7213861731843583</v>
      </c>
      <c r="T34" s="1">
        <v>275.8</v>
      </c>
      <c r="U34" s="1">
        <v>345</v>
      </c>
      <c r="V34" s="1">
        <v>296.8</v>
      </c>
      <c r="W34" s="1">
        <v>241.8</v>
      </c>
      <c r="X34" s="1">
        <v>278.8</v>
      </c>
      <c r="Y34" s="1">
        <v>324.39999999999998</v>
      </c>
      <c r="Z34" s="1">
        <v>336.4</v>
      </c>
      <c r="AA34" s="1">
        <v>363</v>
      </c>
      <c r="AB34" s="1">
        <v>355.6</v>
      </c>
      <c r="AC34" s="1">
        <v>357.8</v>
      </c>
      <c r="AD34" s="1">
        <v>387.50299999999999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 t="s">
        <v>70</v>
      </c>
      <c r="B35" s="1" t="s">
        <v>41</v>
      </c>
      <c r="C35" s="1">
        <v>749</v>
      </c>
      <c r="D35" s="1">
        <v>3</v>
      </c>
      <c r="E35" s="1">
        <v>316</v>
      </c>
      <c r="F35" s="1">
        <v>388</v>
      </c>
      <c r="G35" s="6">
        <v>0.45</v>
      </c>
      <c r="H35" s="1">
        <v>50</v>
      </c>
      <c r="I35" s="1" t="s">
        <v>36</v>
      </c>
      <c r="J35" s="1"/>
      <c r="K35" s="1">
        <v>292</v>
      </c>
      <c r="L35" s="1">
        <f t="shared" si="2"/>
        <v>24</v>
      </c>
      <c r="M35" s="1"/>
      <c r="N35" s="1"/>
      <c r="O35" s="1">
        <v>0</v>
      </c>
      <c r="P35" s="1"/>
      <c r="Q35" s="1"/>
      <c r="R35" s="1">
        <f t="shared" si="3"/>
        <v>63.2</v>
      </c>
      <c r="S35" s="1">
        <f t="shared" si="4"/>
        <v>6.1392405063291138</v>
      </c>
      <c r="T35" s="1">
        <v>59.8</v>
      </c>
      <c r="U35" s="1">
        <v>55.6</v>
      </c>
      <c r="V35" s="1">
        <v>41.6</v>
      </c>
      <c r="W35" s="1">
        <v>39.4</v>
      </c>
      <c r="X35" s="1">
        <v>68.8</v>
      </c>
      <c r="Y35" s="1">
        <v>92.6</v>
      </c>
      <c r="Z35" s="1">
        <v>61</v>
      </c>
      <c r="AA35" s="1">
        <v>66.8</v>
      </c>
      <c r="AB35" s="1">
        <v>81</v>
      </c>
      <c r="AC35" s="1">
        <v>67.8</v>
      </c>
      <c r="AD35" s="1">
        <v>74.8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 t="s">
        <v>71</v>
      </c>
      <c r="B36" s="1" t="s">
        <v>41</v>
      </c>
      <c r="C36" s="1">
        <v>56</v>
      </c>
      <c r="D36" s="1">
        <v>304</v>
      </c>
      <c r="E36" s="1">
        <v>197</v>
      </c>
      <c r="F36" s="1">
        <v>-8</v>
      </c>
      <c r="G36" s="6">
        <v>0.4</v>
      </c>
      <c r="H36" s="1">
        <v>45</v>
      </c>
      <c r="I36" s="1" t="s">
        <v>47</v>
      </c>
      <c r="J36" s="1"/>
      <c r="K36" s="1">
        <v>595</v>
      </c>
      <c r="L36" s="1">
        <f t="shared" si="2"/>
        <v>-398</v>
      </c>
      <c r="M36" s="1"/>
      <c r="N36" s="1"/>
      <c r="O36" s="1">
        <v>332.15</v>
      </c>
      <c r="P36" s="1">
        <v>-336</v>
      </c>
      <c r="Q36" s="1"/>
      <c r="R36" s="1">
        <f t="shared" si="3"/>
        <v>39.4</v>
      </c>
      <c r="S36" s="1">
        <f t="shared" si="4"/>
        <v>-0.30076142131979755</v>
      </c>
      <c r="T36" s="1">
        <v>45.2</v>
      </c>
      <c r="U36" s="1">
        <v>106.8</v>
      </c>
      <c r="V36" s="1">
        <v>113.8</v>
      </c>
      <c r="W36" s="1">
        <v>107</v>
      </c>
      <c r="X36" s="1">
        <v>101.8</v>
      </c>
      <c r="Y36" s="1">
        <v>124.8</v>
      </c>
      <c r="Z36" s="1">
        <v>136.80000000000001</v>
      </c>
      <c r="AA36" s="1">
        <v>134</v>
      </c>
      <c r="AB36" s="1">
        <v>123.8</v>
      </c>
      <c r="AC36" s="1">
        <v>108.4</v>
      </c>
      <c r="AD36" s="1">
        <v>141.80000000000001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 t="s">
        <v>72</v>
      </c>
      <c r="B37" s="1" t="s">
        <v>41</v>
      </c>
      <c r="C37" s="1">
        <v>172</v>
      </c>
      <c r="D37" s="1">
        <v>1</v>
      </c>
      <c r="E37" s="1">
        <v>124</v>
      </c>
      <c r="F37" s="1">
        <v>-6</v>
      </c>
      <c r="G37" s="6">
        <v>0.4</v>
      </c>
      <c r="H37" s="1">
        <v>40</v>
      </c>
      <c r="I37" s="1" t="s">
        <v>47</v>
      </c>
      <c r="J37" s="1"/>
      <c r="K37" s="1">
        <v>161</v>
      </c>
      <c r="L37" s="1">
        <f t="shared" si="2"/>
        <v>-37</v>
      </c>
      <c r="M37" s="1"/>
      <c r="N37" s="1"/>
      <c r="O37" s="1">
        <v>64.399999999999977</v>
      </c>
      <c r="P37" s="1">
        <v>-65.999999999999986</v>
      </c>
      <c r="Q37" s="1"/>
      <c r="R37" s="1">
        <f t="shared" si="3"/>
        <v>24.8</v>
      </c>
      <c r="S37" s="1">
        <f t="shared" si="4"/>
        <v>-0.30645161290322614</v>
      </c>
      <c r="T37" s="1">
        <v>16.8</v>
      </c>
      <c r="U37" s="1">
        <v>16.2</v>
      </c>
      <c r="V37" s="1">
        <v>11.8</v>
      </c>
      <c r="W37" s="1">
        <v>10.6</v>
      </c>
      <c r="X37" s="1">
        <v>20.6</v>
      </c>
      <c r="Y37" s="1">
        <v>26</v>
      </c>
      <c r="Z37" s="1">
        <v>27.2</v>
      </c>
      <c r="AA37" s="1">
        <v>26</v>
      </c>
      <c r="AB37" s="1">
        <v>11</v>
      </c>
      <c r="AC37" s="1">
        <v>9</v>
      </c>
      <c r="AD37" s="1">
        <v>29.8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 t="s">
        <v>73</v>
      </c>
      <c r="B38" s="1" t="s">
        <v>35</v>
      </c>
      <c r="C38" s="1">
        <v>-2.1999999999999999E-2</v>
      </c>
      <c r="D38" s="1">
        <v>79.772999999999996</v>
      </c>
      <c r="E38" s="1">
        <v>13.101000000000001</v>
      </c>
      <c r="F38" s="1">
        <v>53.015999999999998</v>
      </c>
      <c r="G38" s="6">
        <v>1</v>
      </c>
      <c r="H38" s="1">
        <v>45</v>
      </c>
      <c r="I38" s="1" t="s">
        <v>36</v>
      </c>
      <c r="J38" s="1"/>
      <c r="K38" s="1">
        <v>20.6</v>
      </c>
      <c r="L38" s="1">
        <f t="shared" ref="L38:L69" si="5">E38-K38</f>
        <v>-7.4990000000000006</v>
      </c>
      <c r="M38" s="1"/>
      <c r="N38" s="1"/>
      <c r="O38" s="1">
        <v>0</v>
      </c>
      <c r="P38" s="1"/>
      <c r="Q38" s="1"/>
      <c r="R38" s="12">
        <f t="shared" ref="R38:R69" si="6">E38/5</f>
        <v>2.6202000000000001</v>
      </c>
      <c r="S38" s="1">
        <f t="shared" si="4"/>
        <v>20.23356995649187</v>
      </c>
      <c r="T38" s="1">
        <v>-6.3E-2</v>
      </c>
      <c r="U38" s="1">
        <v>5.2148000000000003</v>
      </c>
      <c r="V38" s="1">
        <v>6.1369999999999996</v>
      </c>
      <c r="W38" s="1">
        <v>4.6671999999999993</v>
      </c>
      <c r="X38" s="1">
        <v>6.0350000000000001</v>
      </c>
      <c r="Y38" s="1">
        <v>5.3391999999999999</v>
      </c>
      <c r="Z38" s="1">
        <v>4.4689999999999994</v>
      </c>
      <c r="AA38" s="1">
        <v>1.9303999999999999</v>
      </c>
      <c r="AB38" s="1">
        <v>2.2482000000000002</v>
      </c>
      <c r="AC38" s="1">
        <v>5.7770000000000001</v>
      </c>
      <c r="AD38" s="1">
        <v>6.0679999999999996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 t="s">
        <v>74</v>
      </c>
      <c r="B39" s="1" t="s">
        <v>41</v>
      </c>
      <c r="C39" s="1">
        <v>145</v>
      </c>
      <c r="D39" s="1">
        <v>160</v>
      </c>
      <c r="E39" s="1">
        <v>73</v>
      </c>
      <c r="F39" s="1">
        <v>225</v>
      </c>
      <c r="G39" s="6">
        <v>0.1</v>
      </c>
      <c r="H39" s="1">
        <v>731</v>
      </c>
      <c r="I39" s="1" t="s">
        <v>36</v>
      </c>
      <c r="J39" s="1"/>
      <c r="K39" s="1">
        <v>85</v>
      </c>
      <c r="L39" s="1">
        <f t="shared" si="5"/>
        <v>-12</v>
      </c>
      <c r="M39" s="1"/>
      <c r="N39" s="1"/>
      <c r="O39" s="1">
        <v>0</v>
      </c>
      <c r="P39" s="1"/>
      <c r="Q39" s="1"/>
      <c r="R39" s="12">
        <f t="shared" si="6"/>
        <v>14.6</v>
      </c>
      <c r="S39" s="1">
        <f t="shared" si="4"/>
        <v>15.41095890410959</v>
      </c>
      <c r="T39" s="1">
        <v>7.6</v>
      </c>
      <c r="U39" s="1">
        <v>11.8</v>
      </c>
      <c r="V39" s="1">
        <v>17.600000000000001</v>
      </c>
      <c r="W39" s="1">
        <v>22.8</v>
      </c>
      <c r="X39" s="1">
        <v>20.2</v>
      </c>
      <c r="Y39" s="1">
        <v>22</v>
      </c>
      <c r="Z39" s="1">
        <v>19.399999999999999</v>
      </c>
      <c r="AA39" s="1">
        <v>23.4</v>
      </c>
      <c r="AB39" s="1">
        <v>27.4</v>
      </c>
      <c r="AC39" s="1">
        <v>21.2</v>
      </c>
      <c r="AD39" s="1">
        <v>16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4" t="s">
        <v>75</v>
      </c>
      <c r="B40" s="1" t="s">
        <v>41</v>
      </c>
      <c r="C40" s="1"/>
      <c r="D40" s="1"/>
      <c r="E40" s="1">
        <v>-7</v>
      </c>
      <c r="F40" s="1"/>
      <c r="G40" s="6">
        <v>0.35</v>
      </c>
      <c r="H40" s="1">
        <v>40</v>
      </c>
      <c r="I40" s="1" t="s">
        <v>47</v>
      </c>
      <c r="J40" s="1"/>
      <c r="K40" s="1">
        <v>9</v>
      </c>
      <c r="L40" s="1">
        <f t="shared" si="5"/>
        <v>-16</v>
      </c>
      <c r="M40" s="1"/>
      <c r="N40" s="1"/>
      <c r="O40" s="1">
        <v>60</v>
      </c>
      <c r="P40" s="1">
        <v>-60.000000000000007</v>
      </c>
      <c r="Q40" s="1"/>
      <c r="R40" s="1">
        <f t="shared" si="6"/>
        <v>-1.4</v>
      </c>
      <c r="S40" s="1">
        <f t="shared" si="4"/>
        <v>5.0753052554292872E-15</v>
      </c>
      <c r="T40" s="1">
        <v>-1</v>
      </c>
      <c r="U40" s="1">
        <v>-1.4</v>
      </c>
      <c r="V40" s="1">
        <v>-0.8</v>
      </c>
      <c r="W40" s="1">
        <v>10.8</v>
      </c>
      <c r="X40" s="1">
        <v>15.8</v>
      </c>
      <c r="Y40" s="1">
        <v>20.2</v>
      </c>
      <c r="Z40" s="1">
        <v>28.4</v>
      </c>
      <c r="AA40" s="1">
        <v>33</v>
      </c>
      <c r="AB40" s="1">
        <v>19.600000000000001</v>
      </c>
      <c r="AC40" s="1">
        <v>-0.4</v>
      </c>
      <c r="AD40" s="1">
        <v>12.2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76</v>
      </c>
      <c r="B41" s="1" t="s">
        <v>35</v>
      </c>
      <c r="C41" s="1">
        <v>72.917000000000002</v>
      </c>
      <c r="D41" s="1">
        <v>66.239999999999995</v>
      </c>
      <c r="E41" s="1">
        <v>80.816000000000003</v>
      </c>
      <c r="F41" s="1">
        <v>30.687000000000001</v>
      </c>
      <c r="G41" s="6">
        <v>1</v>
      </c>
      <c r="H41" s="1">
        <v>40</v>
      </c>
      <c r="I41" s="1" t="s">
        <v>47</v>
      </c>
      <c r="J41" s="1"/>
      <c r="K41" s="1">
        <v>90.8</v>
      </c>
      <c r="L41" s="1">
        <f t="shared" si="5"/>
        <v>-9.9839999999999947</v>
      </c>
      <c r="M41" s="1"/>
      <c r="N41" s="1"/>
      <c r="O41" s="1">
        <v>33.443199999999997</v>
      </c>
      <c r="P41" s="1">
        <v>-33.6</v>
      </c>
      <c r="Q41" s="1"/>
      <c r="R41" s="1">
        <f t="shared" si="6"/>
        <v>16.1632</v>
      </c>
      <c r="S41" s="1">
        <f t="shared" si="4"/>
        <v>1.8888710156404673</v>
      </c>
      <c r="T41" s="1">
        <v>12.819800000000001</v>
      </c>
      <c r="U41" s="1">
        <v>11.537800000000001</v>
      </c>
      <c r="V41" s="1">
        <v>8.0475999999999992</v>
      </c>
      <c r="W41" s="1">
        <v>10.005599999999999</v>
      </c>
      <c r="X41" s="1">
        <v>12.919600000000001</v>
      </c>
      <c r="Y41" s="1">
        <v>11.806800000000001</v>
      </c>
      <c r="Z41" s="1">
        <v>7.1319999999999997</v>
      </c>
      <c r="AA41" s="1">
        <v>-0.14000000000000001</v>
      </c>
      <c r="AB41" s="1">
        <v>1.7484</v>
      </c>
      <c r="AC41" s="1">
        <v>8.5668000000000006</v>
      </c>
      <c r="AD41" s="1">
        <v>10.9542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8" t="s">
        <v>77</v>
      </c>
      <c r="B42" s="8" t="s">
        <v>41</v>
      </c>
      <c r="C42" s="8">
        <v>14</v>
      </c>
      <c r="D42" s="8"/>
      <c r="E42" s="8">
        <v>10</v>
      </c>
      <c r="F42" s="8">
        <v>-1</v>
      </c>
      <c r="G42" s="9">
        <v>0</v>
      </c>
      <c r="H42" s="8">
        <v>50</v>
      </c>
      <c r="I42" s="8" t="s">
        <v>78</v>
      </c>
      <c r="J42" s="8"/>
      <c r="K42" s="8">
        <v>21</v>
      </c>
      <c r="L42" s="8">
        <f t="shared" si="5"/>
        <v>-11</v>
      </c>
      <c r="M42" s="8"/>
      <c r="N42" s="8"/>
      <c r="O42" s="8">
        <v>0</v>
      </c>
      <c r="P42" s="8"/>
      <c r="Q42" s="8"/>
      <c r="R42" s="8">
        <f t="shared" si="6"/>
        <v>2</v>
      </c>
      <c r="S42" s="1">
        <f t="shared" si="4"/>
        <v>-0.5</v>
      </c>
      <c r="T42" s="8">
        <v>2.2000000000000002</v>
      </c>
      <c r="U42" s="8">
        <v>4.4000000000000004</v>
      </c>
      <c r="V42" s="8">
        <v>4</v>
      </c>
      <c r="W42" s="8">
        <v>2.2000000000000002</v>
      </c>
      <c r="X42" s="8">
        <v>3.2</v>
      </c>
      <c r="Y42" s="8">
        <v>7</v>
      </c>
      <c r="Z42" s="8">
        <v>7</v>
      </c>
      <c r="AA42" s="8">
        <v>4.5999999999999996</v>
      </c>
      <c r="AB42" s="8">
        <v>4.5999999999999996</v>
      </c>
      <c r="AC42" s="8">
        <v>6.6</v>
      </c>
      <c r="AD42" s="8">
        <v>8.1999999999999993</v>
      </c>
      <c r="AE42" s="8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79</v>
      </c>
      <c r="B43" s="1" t="s">
        <v>41</v>
      </c>
      <c r="C43" s="1">
        <v>48</v>
      </c>
      <c r="D43" s="1">
        <v>102</v>
      </c>
      <c r="E43" s="1">
        <v>48</v>
      </c>
      <c r="F43" s="1">
        <v>60</v>
      </c>
      <c r="G43" s="6">
        <v>0.4</v>
      </c>
      <c r="H43" s="1">
        <v>40</v>
      </c>
      <c r="I43" s="1" t="s">
        <v>47</v>
      </c>
      <c r="J43" s="1"/>
      <c r="K43" s="1">
        <v>233</v>
      </c>
      <c r="L43" s="1">
        <f t="shared" si="5"/>
        <v>-185</v>
      </c>
      <c r="M43" s="1"/>
      <c r="N43" s="1"/>
      <c r="O43" s="1">
        <v>40</v>
      </c>
      <c r="P43" s="1"/>
      <c r="Q43" s="1"/>
      <c r="R43" s="1">
        <f t="shared" si="6"/>
        <v>9.6</v>
      </c>
      <c r="S43" s="1">
        <f t="shared" si="4"/>
        <v>10.416666666666668</v>
      </c>
      <c r="T43" s="1">
        <v>-2.2000000000000002</v>
      </c>
      <c r="U43" s="1">
        <v>-2.4</v>
      </c>
      <c r="V43" s="1">
        <v>-3.6</v>
      </c>
      <c r="W43" s="1">
        <v>-4.2</v>
      </c>
      <c r="X43" s="1">
        <v>-3</v>
      </c>
      <c r="Y43" s="1">
        <v>8.4</v>
      </c>
      <c r="Z43" s="1">
        <v>11.2</v>
      </c>
      <c r="AA43" s="1">
        <v>18.8</v>
      </c>
      <c r="AB43" s="1">
        <v>25.6</v>
      </c>
      <c r="AC43" s="1">
        <v>53</v>
      </c>
      <c r="AD43" s="1">
        <v>54</v>
      </c>
      <c r="AE43" s="1" t="s">
        <v>80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81</v>
      </c>
      <c r="B44" s="1" t="s">
        <v>41</v>
      </c>
      <c r="C44" s="1">
        <v>103</v>
      </c>
      <c r="D44" s="1">
        <v>240</v>
      </c>
      <c r="E44" s="1">
        <v>83</v>
      </c>
      <c r="F44" s="1">
        <v>204</v>
      </c>
      <c r="G44" s="6">
        <v>0.4</v>
      </c>
      <c r="H44" s="1">
        <v>45</v>
      </c>
      <c r="I44" s="1" t="s">
        <v>47</v>
      </c>
      <c r="J44" s="1"/>
      <c r="K44" s="1">
        <v>202</v>
      </c>
      <c r="L44" s="1">
        <f t="shared" si="5"/>
        <v>-119</v>
      </c>
      <c r="M44" s="1"/>
      <c r="N44" s="1"/>
      <c r="O44" s="1">
        <v>150</v>
      </c>
      <c r="P44" s="1"/>
      <c r="Q44" s="1"/>
      <c r="R44" s="12">
        <f t="shared" si="6"/>
        <v>16.600000000000001</v>
      </c>
      <c r="S44" s="1">
        <f t="shared" si="4"/>
        <v>21.325301204819276</v>
      </c>
      <c r="T44" s="1">
        <v>29.8</v>
      </c>
      <c r="U44" s="1">
        <v>45.4</v>
      </c>
      <c r="V44" s="1">
        <v>46.2</v>
      </c>
      <c r="W44" s="1">
        <v>24.8</v>
      </c>
      <c r="X44" s="1">
        <v>1</v>
      </c>
      <c r="Y44" s="1">
        <v>13.4</v>
      </c>
      <c r="Z44" s="1">
        <v>25.4</v>
      </c>
      <c r="AA44" s="1">
        <v>53.4</v>
      </c>
      <c r="AB44" s="1">
        <v>48.2</v>
      </c>
      <c r="AC44" s="1">
        <v>27.4</v>
      </c>
      <c r="AD44" s="1">
        <v>39.4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82</v>
      </c>
      <c r="B45" s="1" t="s">
        <v>35</v>
      </c>
      <c r="C45" s="1">
        <v>122.47799999999999</v>
      </c>
      <c r="D45" s="1">
        <v>4.367</v>
      </c>
      <c r="E45" s="1">
        <v>106.90900000000001</v>
      </c>
      <c r="F45" s="1">
        <v>1.4810000000000001</v>
      </c>
      <c r="G45" s="6">
        <v>1</v>
      </c>
      <c r="H45" s="1">
        <v>40</v>
      </c>
      <c r="I45" s="1" t="s">
        <v>47</v>
      </c>
      <c r="J45" s="1"/>
      <c r="K45" s="1">
        <v>145.5</v>
      </c>
      <c r="L45" s="1">
        <f t="shared" si="5"/>
        <v>-38.590999999999994</v>
      </c>
      <c r="M45" s="1"/>
      <c r="N45" s="1"/>
      <c r="O45" s="1">
        <v>138.45522399999999</v>
      </c>
      <c r="P45" s="1">
        <v>-138.6</v>
      </c>
      <c r="Q45" s="1"/>
      <c r="R45" s="1">
        <f t="shared" si="6"/>
        <v>21.381800000000002</v>
      </c>
      <c r="S45" s="1">
        <f t="shared" si="4"/>
        <v>6.2493522528504944E-2</v>
      </c>
      <c r="T45" s="1">
        <v>16.431999999999999</v>
      </c>
      <c r="U45" s="1">
        <v>25.953600000000002</v>
      </c>
      <c r="V45" s="1">
        <v>18.532599999999999</v>
      </c>
      <c r="W45" s="1">
        <v>11.743399999999999</v>
      </c>
      <c r="X45" s="1">
        <v>20.163799999999998</v>
      </c>
      <c r="Y45" s="1">
        <v>20.949200000000001</v>
      </c>
      <c r="Z45" s="1">
        <v>12.702400000000001</v>
      </c>
      <c r="AA45" s="1">
        <v>19.9008</v>
      </c>
      <c r="AB45" s="1">
        <v>25.02</v>
      </c>
      <c r="AC45" s="1">
        <v>23.82</v>
      </c>
      <c r="AD45" s="1">
        <v>23.102399999999999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 t="s">
        <v>83</v>
      </c>
      <c r="B46" s="1" t="s">
        <v>41</v>
      </c>
      <c r="C46" s="1">
        <v>494</v>
      </c>
      <c r="D46" s="1">
        <v>8</v>
      </c>
      <c r="E46" s="1">
        <v>375</v>
      </c>
      <c r="F46" s="1">
        <v>64</v>
      </c>
      <c r="G46" s="6">
        <v>0.35</v>
      </c>
      <c r="H46" s="1">
        <v>40</v>
      </c>
      <c r="I46" s="1" t="s">
        <v>47</v>
      </c>
      <c r="J46" s="1"/>
      <c r="K46" s="1">
        <v>456</v>
      </c>
      <c r="L46" s="1">
        <f t="shared" si="5"/>
        <v>-81</v>
      </c>
      <c r="M46" s="1"/>
      <c r="N46" s="1"/>
      <c r="O46" s="1">
        <v>156.2880000000001</v>
      </c>
      <c r="P46" s="1">
        <v>-162</v>
      </c>
      <c r="Q46" s="1"/>
      <c r="R46" s="1">
        <f t="shared" si="6"/>
        <v>75</v>
      </c>
      <c r="S46" s="1">
        <f t="shared" si="4"/>
        <v>0.7771733333333346</v>
      </c>
      <c r="T46" s="1">
        <v>65.400000000000006</v>
      </c>
      <c r="U46" s="1">
        <v>53.2</v>
      </c>
      <c r="V46" s="1">
        <v>48.8</v>
      </c>
      <c r="W46" s="1">
        <v>40.6</v>
      </c>
      <c r="X46" s="1">
        <v>37.200000000000003</v>
      </c>
      <c r="Y46" s="1">
        <v>44</v>
      </c>
      <c r="Z46" s="1">
        <v>52.6</v>
      </c>
      <c r="AA46" s="1">
        <v>65.599999999999994</v>
      </c>
      <c r="AB46" s="1">
        <v>46.2</v>
      </c>
      <c r="AC46" s="1">
        <v>30.6</v>
      </c>
      <c r="AD46" s="1">
        <v>58.6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84</v>
      </c>
      <c r="B47" s="1" t="s">
        <v>41</v>
      </c>
      <c r="C47" s="1">
        <v>145</v>
      </c>
      <c r="D47" s="1">
        <v>318</v>
      </c>
      <c r="E47" s="1">
        <v>229</v>
      </c>
      <c r="F47" s="1">
        <v>180</v>
      </c>
      <c r="G47" s="6">
        <v>0.4</v>
      </c>
      <c r="H47" s="1">
        <v>40</v>
      </c>
      <c r="I47" s="1" t="s">
        <v>36</v>
      </c>
      <c r="J47" s="1"/>
      <c r="K47" s="1">
        <v>374</v>
      </c>
      <c r="L47" s="1">
        <f t="shared" si="5"/>
        <v>-145</v>
      </c>
      <c r="M47" s="1"/>
      <c r="N47" s="1"/>
      <c r="O47" s="1">
        <v>150</v>
      </c>
      <c r="P47" s="1"/>
      <c r="Q47" s="1"/>
      <c r="R47" s="1">
        <f t="shared" si="6"/>
        <v>45.8</v>
      </c>
      <c r="S47" s="1">
        <f t="shared" si="4"/>
        <v>7.2052401746724897</v>
      </c>
      <c r="T47" s="1">
        <v>37.4</v>
      </c>
      <c r="U47" s="1">
        <v>52.2</v>
      </c>
      <c r="V47" s="1">
        <v>49.4</v>
      </c>
      <c r="W47" s="1">
        <v>36</v>
      </c>
      <c r="X47" s="1">
        <v>40.799999999999997</v>
      </c>
      <c r="Y47" s="1">
        <v>54</v>
      </c>
      <c r="Z47" s="1">
        <v>35.799999999999997</v>
      </c>
      <c r="AA47" s="1">
        <v>5.6</v>
      </c>
      <c r="AB47" s="1">
        <v>1</v>
      </c>
      <c r="AC47" s="1">
        <v>56</v>
      </c>
      <c r="AD47" s="1">
        <v>90.8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85</v>
      </c>
      <c r="B48" s="1" t="s">
        <v>35</v>
      </c>
      <c r="C48" s="1">
        <v>102.194</v>
      </c>
      <c r="D48" s="1">
        <v>46.082000000000001</v>
      </c>
      <c r="E48" s="1">
        <v>109.60299999999999</v>
      </c>
      <c r="F48" s="1">
        <v>48.838999999999999</v>
      </c>
      <c r="G48" s="6">
        <v>1</v>
      </c>
      <c r="H48" s="1">
        <v>50</v>
      </c>
      <c r="I48" s="1" t="s">
        <v>36</v>
      </c>
      <c r="J48" s="1"/>
      <c r="K48" s="1">
        <v>100.3</v>
      </c>
      <c r="L48" s="1">
        <f t="shared" si="5"/>
        <v>9.3029999999999973</v>
      </c>
      <c r="M48" s="1"/>
      <c r="N48" s="1"/>
      <c r="O48" s="1">
        <v>102.643072</v>
      </c>
      <c r="P48" s="1"/>
      <c r="Q48" s="1"/>
      <c r="R48" s="1">
        <f t="shared" si="6"/>
        <v>21.9206</v>
      </c>
      <c r="S48" s="1">
        <f t="shared" si="4"/>
        <v>6.9104893114239578</v>
      </c>
      <c r="T48" s="1">
        <v>20.591200000000001</v>
      </c>
      <c r="U48" s="1">
        <v>19.520800000000001</v>
      </c>
      <c r="V48" s="1">
        <v>15.0738</v>
      </c>
      <c r="W48" s="1">
        <v>11.8742</v>
      </c>
      <c r="X48" s="1">
        <v>13.991400000000001</v>
      </c>
      <c r="Y48" s="1">
        <v>17.976199999999999</v>
      </c>
      <c r="Z48" s="1">
        <v>14.181800000000001</v>
      </c>
      <c r="AA48" s="1">
        <v>13.4892</v>
      </c>
      <c r="AB48" s="1">
        <v>18.758400000000002</v>
      </c>
      <c r="AC48" s="1">
        <v>21.601400000000002</v>
      </c>
      <c r="AD48" s="1">
        <v>23.608799999999999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 t="s">
        <v>86</v>
      </c>
      <c r="B49" s="1" t="s">
        <v>35</v>
      </c>
      <c r="C49" s="1">
        <v>29.724</v>
      </c>
      <c r="D49" s="1"/>
      <c r="E49" s="1">
        <v>-5.2560000000000002</v>
      </c>
      <c r="F49" s="1">
        <v>28.358000000000001</v>
      </c>
      <c r="G49" s="6">
        <v>1</v>
      </c>
      <c r="H49" s="1">
        <v>50</v>
      </c>
      <c r="I49" s="1" t="s">
        <v>36</v>
      </c>
      <c r="J49" s="1"/>
      <c r="K49" s="1">
        <v>161.4</v>
      </c>
      <c r="L49" s="1">
        <f t="shared" si="5"/>
        <v>-166.65600000000001</v>
      </c>
      <c r="M49" s="1"/>
      <c r="N49" s="1"/>
      <c r="O49" s="1">
        <v>80</v>
      </c>
      <c r="P49" s="1"/>
      <c r="Q49" s="1"/>
      <c r="R49" s="1">
        <f t="shared" si="6"/>
        <v>-1.0512000000000001</v>
      </c>
      <c r="S49" s="1">
        <f t="shared" si="4"/>
        <v>-103.08028919330289</v>
      </c>
      <c r="T49" s="1">
        <v>-0.624</v>
      </c>
      <c r="U49" s="1">
        <v>14.5092</v>
      </c>
      <c r="V49" s="1">
        <v>18.899000000000001</v>
      </c>
      <c r="W49" s="1">
        <v>16.585999999999999</v>
      </c>
      <c r="X49" s="1">
        <v>22.036000000000001</v>
      </c>
      <c r="Y49" s="1">
        <v>27.9922</v>
      </c>
      <c r="Z49" s="1">
        <v>30.0686</v>
      </c>
      <c r="AA49" s="1">
        <v>29.352599999999999</v>
      </c>
      <c r="AB49" s="1">
        <v>27.397400000000001</v>
      </c>
      <c r="AC49" s="1">
        <v>30.834</v>
      </c>
      <c r="AD49" s="1">
        <v>34.377200000000002</v>
      </c>
      <c r="AE49" s="1" t="s">
        <v>87</v>
      </c>
      <c r="AF49" s="11" t="s">
        <v>178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 t="s">
        <v>88</v>
      </c>
      <c r="B50" s="1" t="s">
        <v>35</v>
      </c>
      <c r="C50" s="1">
        <v>0.434</v>
      </c>
      <c r="D50" s="1"/>
      <c r="E50" s="1">
        <v>-4.5259999999999998</v>
      </c>
      <c r="F50" s="1">
        <v>0.434</v>
      </c>
      <c r="G50" s="6">
        <v>1</v>
      </c>
      <c r="H50" s="1">
        <v>45</v>
      </c>
      <c r="I50" s="1" t="s">
        <v>47</v>
      </c>
      <c r="J50" s="1"/>
      <c r="K50" s="1">
        <v>32.299999999999997</v>
      </c>
      <c r="L50" s="1">
        <f t="shared" si="5"/>
        <v>-36.825999999999993</v>
      </c>
      <c r="M50" s="1"/>
      <c r="N50" s="1"/>
      <c r="O50" s="1">
        <v>194.66149400000009</v>
      </c>
      <c r="P50" s="1">
        <v>-198</v>
      </c>
      <c r="Q50" s="1"/>
      <c r="R50" s="1">
        <f t="shared" si="6"/>
        <v>-0.9052</v>
      </c>
      <c r="S50" s="1">
        <f t="shared" si="4"/>
        <v>3.2086897923109947</v>
      </c>
      <c r="T50" s="1">
        <v>-0.41320000000000001</v>
      </c>
      <c r="U50" s="1">
        <v>43.441600000000001</v>
      </c>
      <c r="V50" s="1">
        <v>47.674599999999998</v>
      </c>
      <c r="W50" s="1">
        <v>5.6109999999999998</v>
      </c>
      <c r="X50" s="1">
        <v>1.4787999999999999</v>
      </c>
      <c r="Y50" s="1">
        <v>26.138999999999999</v>
      </c>
      <c r="Z50" s="1">
        <v>35.246200000000002</v>
      </c>
      <c r="AA50" s="1">
        <v>41.248800000000003</v>
      </c>
      <c r="AB50" s="1">
        <v>33.955399999999997</v>
      </c>
      <c r="AC50" s="1">
        <v>1.6262000000000001</v>
      </c>
      <c r="AD50" s="1">
        <v>13.767799999999999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89</v>
      </c>
      <c r="B51" s="1" t="s">
        <v>41</v>
      </c>
      <c r="C51" s="1">
        <v>327</v>
      </c>
      <c r="D51" s="1">
        <v>41</v>
      </c>
      <c r="E51" s="1">
        <v>171</v>
      </c>
      <c r="F51" s="1">
        <v>126</v>
      </c>
      <c r="G51" s="6">
        <v>0.45</v>
      </c>
      <c r="H51" s="1">
        <v>50</v>
      </c>
      <c r="I51" s="1" t="s">
        <v>36</v>
      </c>
      <c r="J51" s="1"/>
      <c r="K51" s="1">
        <v>222</v>
      </c>
      <c r="L51" s="1">
        <f t="shared" si="5"/>
        <v>-51</v>
      </c>
      <c r="M51" s="1"/>
      <c r="N51" s="1"/>
      <c r="O51" s="1">
        <v>39.399999999999977</v>
      </c>
      <c r="P51" s="1"/>
      <c r="Q51" s="1"/>
      <c r="R51" s="1">
        <f t="shared" si="6"/>
        <v>34.200000000000003</v>
      </c>
      <c r="S51" s="1">
        <f t="shared" si="4"/>
        <v>4.8362573099415194</v>
      </c>
      <c r="T51" s="1">
        <v>40.4</v>
      </c>
      <c r="U51" s="1">
        <v>25.2</v>
      </c>
      <c r="V51" s="1">
        <v>18.399999999999999</v>
      </c>
      <c r="W51" s="1">
        <v>19.8</v>
      </c>
      <c r="X51" s="1">
        <v>29.6</v>
      </c>
      <c r="Y51" s="1">
        <v>39.4</v>
      </c>
      <c r="Z51" s="1">
        <v>27.6</v>
      </c>
      <c r="AA51" s="1">
        <v>20.8</v>
      </c>
      <c r="AB51" s="1">
        <v>35.4</v>
      </c>
      <c r="AC51" s="1">
        <v>42.4</v>
      </c>
      <c r="AD51" s="1">
        <v>34.4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 t="s">
        <v>90</v>
      </c>
      <c r="B52" s="1" t="s">
        <v>41</v>
      </c>
      <c r="C52" s="1">
        <v>552</v>
      </c>
      <c r="D52" s="1">
        <v>2</v>
      </c>
      <c r="E52" s="1">
        <v>325</v>
      </c>
      <c r="F52" s="1">
        <v>194</v>
      </c>
      <c r="G52" s="6">
        <v>0.45</v>
      </c>
      <c r="H52" s="1">
        <v>50</v>
      </c>
      <c r="I52" s="1" t="s">
        <v>36</v>
      </c>
      <c r="J52" s="1"/>
      <c r="K52" s="1">
        <v>329</v>
      </c>
      <c r="L52" s="1">
        <f t="shared" si="5"/>
        <v>-4</v>
      </c>
      <c r="M52" s="1"/>
      <c r="N52" s="1"/>
      <c r="O52" s="1">
        <v>52.799999999999947</v>
      </c>
      <c r="P52" s="1"/>
      <c r="Q52" s="1"/>
      <c r="R52" s="1">
        <f t="shared" si="6"/>
        <v>65</v>
      </c>
      <c r="S52" s="1">
        <f t="shared" si="4"/>
        <v>3.7969230769230764</v>
      </c>
      <c r="T52" s="1">
        <v>57.4</v>
      </c>
      <c r="U52" s="1">
        <v>45.4</v>
      </c>
      <c r="V52" s="1">
        <v>38.200000000000003</v>
      </c>
      <c r="W52" s="1">
        <v>34.200000000000003</v>
      </c>
      <c r="X52" s="1">
        <v>42.6</v>
      </c>
      <c r="Y52" s="1">
        <v>64.400000000000006</v>
      </c>
      <c r="Z52" s="1">
        <v>46.6</v>
      </c>
      <c r="AA52" s="1">
        <v>38.4</v>
      </c>
      <c r="AB52" s="1">
        <v>47.2</v>
      </c>
      <c r="AC52" s="1">
        <v>63.6</v>
      </c>
      <c r="AD52" s="1">
        <v>69.599999999999994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 t="s">
        <v>91</v>
      </c>
      <c r="B53" s="1" t="s">
        <v>41</v>
      </c>
      <c r="C53" s="1">
        <v>4</v>
      </c>
      <c r="D53" s="1">
        <v>126</v>
      </c>
      <c r="E53" s="1">
        <v>24</v>
      </c>
      <c r="F53" s="1">
        <v>102</v>
      </c>
      <c r="G53" s="6">
        <v>0.4</v>
      </c>
      <c r="H53" s="1">
        <v>40</v>
      </c>
      <c r="I53" s="1" t="s">
        <v>36</v>
      </c>
      <c r="J53" s="1"/>
      <c r="K53" s="1">
        <v>38</v>
      </c>
      <c r="L53" s="1">
        <f t="shared" si="5"/>
        <v>-14</v>
      </c>
      <c r="M53" s="1"/>
      <c r="N53" s="1"/>
      <c r="O53" s="1">
        <v>17.199999999999982</v>
      </c>
      <c r="P53" s="1">
        <v>-18</v>
      </c>
      <c r="Q53" s="1"/>
      <c r="R53" s="12">
        <f t="shared" si="6"/>
        <v>4.8</v>
      </c>
      <c r="S53" s="1">
        <f t="shared" si="4"/>
        <v>21.083333333333332</v>
      </c>
      <c r="T53" s="1">
        <v>1.4</v>
      </c>
      <c r="U53" s="1">
        <v>11.6</v>
      </c>
      <c r="V53" s="1">
        <v>12.6</v>
      </c>
      <c r="W53" s="1">
        <v>5.4</v>
      </c>
      <c r="X53" s="1">
        <v>5</v>
      </c>
      <c r="Y53" s="1">
        <v>4.8</v>
      </c>
      <c r="Z53" s="1">
        <v>5.2</v>
      </c>
      <c r="AA53" s="1">
        <v>8.4</v>
      </c>
      <c r="AB53" s="1">
        <v>6.2</v>
      </c>
      <c r="AC53" s="1">
        <v>0.6</v>
      </c>
      <c r="AD53" s="1">
        <v>1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 t="s">
        <v>92</v>
      </c>
      <c r="B54" s="1" t="s">
        <v>41</v>
      </c>
      <c r="C54" s="1">
        <v>12</v>
      </c>
      <c r="D54" s="1">
        <v>66</v>
      </c>
      <c r="E54" s="1">
        <v>24</v>
      </c>
      <c r="F54" s="1">
        <v>50</v>
      </c>
      <c r="G54" s="6">
        <v>0.4</v>
      </c>
      <c r="H54" s="1">
        <v>40</v>
      </c>
      <c r="I54" s="1" t="s">
        <v>47</v>
      </c>
      <c r="J54" s="1"/>
      <c r="K54" s="1">
        <v>40</v>
      </c>
      <c r="L54" s="1">
        <f t="shared" si="5"/>
        <v>-16</v>
      </c>
      <c r="M54" s="1"/>
      <c r="N54" s="1"/>
      <c r="O54" s="1">
        <v>20</v>
      </c>
      <c r="P54" s="1"/>
      <c r="Q54" s="1"/>
      <c r="R54" s="1">
        <f t="shared" si="6"/>
        <v>4.8</v>
      </c>
      <c r="S54" s="1">
        <f t="shared" si="4"/>
        <v>14.583333333333334</v>
      </c>
      <c r="T54" s="1">
        <v>1.6</v>
      </c>
      <c r="U54" s="1">
        <v>2.6</v>
      </c>
      <c r="V54" s="1">
        <v>2.4</v>
      </c>
      <c r="W54" s="1">
        <v>5.6</v>
      </c>
      <c r="X54" s="1">
        <v>7.2</v>
      </c>
      <c r="Y54" s="1">
        <v>17.2</v>
      </c>
      <c r="Z54" s="1">
        <v>18.600000000000001</v>
      </c>
      <c r="AA54" s="1">
        <v>9.4</v>
      </c>
      <c r="AB54" s="1">
        <v>6.2</v>
      </c>
      <c r="AC54" s="1">
        <v>10.199999999999999</v>
      </c>
      <c r="AD54" s="1">
        <v>12</v>
      </c>
      <c r="AE54" s="1" t="s">
        <v>38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93</v>
      </c>
      <c r="B55" s="1" t="s">
        <v>35</v>
      </c>
      <c r="C55" s="1">
        <v>90.302999999999997</v>
      </c>
      <c r="D55" s="1">
        <v>36.953000000000003</v>
      </c>
      <c r="E55" s="1">
        <v>83.03</v>
      </c>
      <c r="F55" s="1">
        <v>32.268000000000001</v>
      </c>
      <c r="G55" s="6">
        <v>1</v>
      </c>
      <c r="H55" s="1">
        <v>50</v>
      </c>
      <c r="I55" s="1" t="s">
        <v>36</v>
      </c>
      <c r="J55" s="1"/>
      <c r="K55" s="1">
        <v>94.4</v>
      </c>
      <c r="L55" s="1">
        <f t="shared" si="5"/>
        <v>-11.370000000000005</v>
      </c>
      <c r="M55" s="1"/>
      <c r="N55" s="1"/>
      <c r="O55" s="1">
        <v>28.279399999999981</v>
      </c>
      <c r="P55" s="1"/>
      <c r="Q55" s="1"/>
      <c r="R55" s="1">
        <f t="shared" si="6"/>
        <v>16.606000000000002</v>
      </c>
      <c r="S55" s="1">
        <f t="shared" si="4"/>
        <v>3.6461158617367202</v>
      </c>
      <c r="T55" s="1">
        <v>16.098400000000002</v>
      </c>
      <c r="U55" s="1">
        <v>11.240600000000001</v>
      </c>
      <c r="V55" s="1">
        <v>10.952</v>
      </c>
      <c r="W55" s="1">
        <v>10.156599999999999</v>
      </c>
      <c r="X55" s="1">
        <v>6.9614000000000003</v>
      </c>
      <c r="Y55" s="1">
        <v>12.7996</v>
      </c>
      <c r="Z55" s="1">
        <v>15.9956</v>
      </c>
      <c r="AA55" s="1">
        <v>14.400600000000001</v>
      </c>
      <c r="AB55" s="1">
        <v>10.9184</v>
      </c>
      <c r="AC55" s="1">
        <v>9.3290000000000006</v>
      </c>
      <c r="AD55" s="1">
        <v>14.9518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94</v>
      </c>
      <c r="B56" s="1" t="s">
        <v>41</v>
      </c>
      <c r="C56" s="1">
        <v>90</v>
      </c>
      <c r="D56" s="1">
        <v>222</v>
      </c>
      <c r="E56" s="1">
        <v>56</v>
      </c>
      <c r="F56" s="1">
        <v>247</v>
      </c>
      <c r="G56" s="6">
        <v>0.1</v>
      </c>
      <c r="H56" s="1">
        <v>731</v>
      </c>
      <c r="I56" s="1" t="s">
        <v>36</v>
      </c>
      <c r="J56" s="1"/>
      <c r="K56" s="1">
        <v>70</v>
      </c>
      <c r="L56" s="1">
        <f t="shared" si="5"/>
        <v>-14</v>
      </c>
      <c r="M56" s="1"/>
      <c r="N56" s="1"/>
      <c r="O56" s="1">
        <v>0</v>
      </c>
      <c r="P56" s="1"/>
      <c r="Q56" s="1"/>
      <c r="R56" s="12">
        <f t="shared" si="6"/>
        <v>11.2</v>
      </c>
      <c r="S56" s="1">
        <f t="shared" si="4"/>
        <v>22.053571428571431</v>
      </c>
      <c r="T56" s="1">
        <v>7.2</v>
      </c>
      <c r="U56" s="1">
        <v>5.6</v>
      </c>
      <c r="V56" s="1">
        <v>9</v>
      </c>
      <c r="W56" s="1">
        <v>20</v>
      </c>
      <c r="X56" s="1">
        <v>18.8</v>
      </c>
      <c r="Y56" s="1">
        <v>13.8</v>
      </c>
      <c r="Z56" s="1">
        <v>10.4</v>
      </c>
      <c r="AA56" s="1">
        <v>7.8</v>
      </c>
      <c r="AB56" s="1">
        <v>11</v>
      </c>
      <c r="AC56" s="1">
        <v>13.6</v>
      </c>
      <c r="AD56" s="1">
        <v>13.2</v>
      </c>
      <c r="AE56" s="1" t="s">
        <v>38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 t="s">
        <v>95</v>
      </c>
      <c r="B57" s="1" t="s">
        <v>35</v>
      </c>
      <c r="C57" s="1">
        <v>116.54</v>
      </c>
      <c r="D57" s="1">
        <v>58.191000000000003</v>
      </c>
      <c r="E57" s="1">
        <v>173.65600000000001</v>
      </c>
      <c r="F57" s="1">
        <v>51.911999999999999</v>
      </c>
      <c r="G57" s="6">
        <v>1</v>
      </c>
      <c r="H57" s="1">
        <v>50</v>
      </c>
      <c r="I57" s="1" t="s">
        <v>36</v>
      </c>
      <c r="J57" s="1"/>
      <c r="K57" s="1">
        <v>181.1</v>
      </c>
      <c r="L57" s="1">
        <f t="shared" si="5"/>
        <v>-7.4439999999999884</v>
      </c>
      <c r="M57" s="1"/>
      <c r="N57" s="1"/>
      <c r="O57" s="1">
        <v>197.342016</v>
      </c>
      <c r="P57" s="1"/>
      <c r="Q57" s="1"/>
      <c r="R57" s="1">
        <f t="shared" si="6"/>
        <v>34.731200000000001</v>
      </c>
      <c r="S57" s="1">
        <f t="shared" si="4"/>
        <v>7.1766600635739621</v>
      </c>
      <c r="T57" s="1">
        <v>36.7468</v>
      </c>
      <c r="U57" s="1">
        <v>31.912400000000002</v>
      </c>
      <c r="V57" s="1">
        <v>21.061199999999999</v>
      </c>
      <c r="W57" s="1">
        <v>16.559200000000001</v>
      </c>
      <c r="X57" s="1">
        <v>14.959199999999999</v>
      </c>
      <c r="Y57" s="1">
        <v>24.415600000000001</v>
      </c>
      <c r="Z57" s="1">
        <v>28.695599999999999</v>
      </c>
      <c r="AA57" s="1">
        <v>35.496600000000001</v>
      </c>
      <c r="AB57" s="1">
        <v>35.494799999999998</v>
      </c>
      <c r="AC57" s="1">
        <v>30.4786</v>
      </c>
      <c r="AD57" s="1">
        <v>39.569600000000001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 t="s">
        <v>96</v>
      </c>
      <c r="B58" s="1" t="s">
        <v>35</v>
      </c>
      <c r="C58" s="1">
        <v>30.071999999999999</v>
      </c>
      <c r="D58" s="1">
        <v>54.414999999999999</v>
      </c>
      <c r="E58" s="1">
        <v>38.088000000000001</v>
      </c>
      <c r="F58" s="1">
        <v>43.71</v>
      </c>
      <c r="G58" s="6">
        <v>1</v>
      </c>
      <c r="H58" s="1">
        <v>55</v>
      </c>
      <c r="I58" s="1" t="s">
        <v>36</v>
      </c>
      <c r="J58" s="1"/>
      <c r="K58" s="1">
        <v>55.3</v>
      </c>
      <c r="L58" s="1">
        <f t="shared" si="5"/>
        <v>-17.211999999999996</v>
      </c>
      <c r="M58" s="1"/>
      <c r="N58" s="1"/>
      <c r="O58" s="1">
        <v>7.4152000000000058</v>
      </c>
      <c r="P58" s="1"/>
      <c r="Q58" s="1"/>
      <c r="R58" s="1">
        <f t="shared" si="6"/>
        <v>7.6176000000000004</v>
      </c>
      <c r="S58" s="1">
        <f t="shared" si="4"/>
        <v>6.7114576769586227</v>
      </c>
      <c r="T58" s="1">
        <v>5.1970000000000001</v>
      </c>
      <c r="U58" s="1">
        <v>6.2530000000000001</v>
      </c>
      <c r="V58" s="1">
        <v>6.7727999999999993</v>
      </c>
      <c r="W58" s="1">
        <v>5.6981999999999999</v>
      </c>
      <c r="X58" s="1">
        <v>4.8959999999999999</v>
      </c>
      <c r="Y58" s="1">
        <v>5.1875999999999998</v>
      </c>
      <c r="Z58" s="1">
        <v>7.9328000000000003</v>
      </c>
      <c r="AA58" s="1">
        <v>9.3141999999999996</v>
      </c>
      <c r="AB58" s="1">
        <v>6.2875999999999994</v>
      </c>
      <c r="AC58" s="1">
        <v>7.8018000000000001</v>
      </c>
      <c r="AD58" s="1">
        <v>9.2653999999999996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97</v>
      </c>
      <c r="B59" s="1" t="s">
        <v>41</v>
      </c>
      <c r="C59" s="1">
        <v>149</v>
      </c>
      <c r="D59" s="1">
        <v>80</v>
      </c>
      <c r="E59" s="1">
        <v>58</v>
      </c>
      <c r="F59" s="1">
        <v>169</v>
      </c>
      <c r="G59" s="6">
        <v>0.1</v>
      </c>
      <c r="H59" s="1">
        <v>731</v>
      </c>
      <c r="I59" s="1" t="s">
        <v>36</v>
      </c>
      <c r="J59" s="1"/>
      <c r="K59" s="1">
        <v>78</v>
      </c>
      <c r="L59" s="1">
        <f t="shared" si="5"/>
        <v>-20</v>
      </c>
      <c r="M59" s="1"/>
      <c r="N59" s="1"/>
      <c r="O59" s="1">
        <v>0</v>
      </c>
      <c r="P59" s="1"/>
      <c r="Q59" s="1"/>
      <c r="R59" s="1">
        <f t="shared" si="6"/>
        <v>11.6</v>
      </c>
      <c r="S59" s="1">
        <f t="shared" si="4"/>
        <v>14.568965517241379</v>
      </c>
      <c r="T59" s="1">
        <v>5</v>
      </c>
      <c r="U59" s="1">
        <v>10.199999999999999</v>
      </c>
      <c r="V59" s="1">
        <v>8.1999999999999993</v>
      </c>
      <c r="W59" s="1">
        <v>17.2</v>
      </c>
      <c r="X59" s="1">
        <v>17.8</v>
      </c>
      <c r="Y59" s="1">
        <v>18.600000000000001</v>
      </c>
      <c r="Z59" s="1">
        <v>16.8</v>
      </c>
      <c r="AA59" s="1">
        <v>10.8</v>
      </c>
      <c r="AB59" s="1">
        <v>12.8</v>
      </c>
      <c r="AC59" s="1">
        <v>10.199999999999999</v>
      </c>
      <c r="AD59" s="1">
        <v>12.6</v>
      </c>
      <c r="AE59" s="1" t="s">
        <v>38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 t="s">
        <v>98</v>
      </c>
      <c r="B60" s="1" t="s">
        <v>41</v>
      </c>
      <c r="C60" s="1">
        <v>26</v>
      </c>
      <c r="D60" s="1"/>
      <c r="E60" s="1">
        <v>9</v>
      </c>
      <c r="F60" s="1">
        <v>17</v>
      </c>
      <c r="G60" s="6">
        <v>0.4</v>
      </c>
      <c r="H60" s="1">
        <v>50</v>
      </c>
      <c r="I60" s="1" t="s">
        <v>36</v>
      </c>
      <c r="J60" s="1"/>
      <c r="K60" s="1">
        <v>16</v>
      </c>
      <c r="L60" s="1">
        <f t="shared" si="5"/>
        <v>-7</v>
      </c>
      <c r="M60" s="1"/>
      <c r="N60" s="1"/>
      <c r="O60" s="1">
        <v>0</v>
      </c>
      <c r="P60" s="1"/>
      <c r="Q60" s="1"/>
      <c r="R60" s="1">
        <f t="shared" si="6"/>
        <v>1.8</v>
      </c>
      <c r="S60" s="1">
        <f t="shared" si="4"/>
        <v>9.4444444444444446</v>
      </c>
      <c r="T60" s="1">
        <v>1.8</v>
      </c>
      <c r="U60" s="1">
        <v>2</v>
      </c>
      <c r="V60" s="1">
        <v>1.2</v>
      </c>
      <c r="W60" s="1">
        <v>1</v>
      </c>
      <c r="X60" s="1">
        <v>1.4</v>
      </c>
      <c r="Y60" s="1">
        <v>2.4</v>
      </c>
      <c r="Z60" s="1">
        <v>2</v>
      </c>
      <c r="AA60" s="1">
        <v>0.8</v>
      </c>
      <c r="AB60" s="1">
        <v>0.8</v>
      </c>
      <c r="AC60" s="1">
        <v>1.6</v>
      </c>
      <c r="AD60" s="1">
        <v>3.2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 t="s">
        <v>99</v>
      </c>
      <c r="B61" s="1" t="s">
        <v>35</v>
      </c>
      <c r="C61" s="1">
        <v>-30.9</v>
      </c>
      <c r="D61" s="1">
        <v>220.197</v>
      </c>
      <c r="E61" s="1">
        <v>44.295000000000002</v>
      </c>
      <c r="F61" s="1">
        <v>69.926000000000002</v>
      </c>
      <c r="G61" s="6">
        <v>1</v>
      </c>
      <c r="H61" s="1">
        <v>40</v>
      </c>
      <c r="I61" s="1" t="s">
        <v>47</v>
      </c>
      <c r="J61" s="1"/>
      <c r="K61" s="1">
        <v>147.6</v>
      </c>
      <c r="L61" s="1">
        <f t="shared" si="5"/>
        <v>-103.30499999999999</v>
      </c>
      <c r="M61" s="1"/>
      <c r="N61" s="1"/>
      <c r="O61" s="1">
        <v>0</v>
      </c>
      <c r="P61" s="1"/>
      <c r="Q61" s="1"/>
      <c r="R61" s="1">
        <f t="shared" si="6"/>
        <v>8.859</v>
      </c>
      <c r="S61" s="1">
        <f t="shared" si="4"/>
        <v>7.8932159385935208</v>
      </c>
      <c r="T61" s="1">
        <v>-0.44119999999999998</v>
      </c>
      <c r="U61" s="1">
        <v>24.540400000000002</v>
      </c>
      <c r="V61" s="1">
        <v>38.078800000000001</v>
      </c>
      <c r="W61" s="1">
        <v>18.853999999999999</v>
      </c>
      <c r="X61" s="1">
        <v>16.659800000000001</v>
      </c>
      <c r="Y61" s="1">
        <v>14.296200000000001</v>
      </c>
      <c r="Z61" s="1">
        <v>17.922999999999998</v>
      </c>
      <c r="AA61" s="1">
        <v>17.2974</v>
      </c>
      <c r="AB61" s="1">
        <v>4.2414000000000014</v>
      </c>
      <c r="AC61" s="1">
        <v>8.469199999999999</v>
      </c>
      <c r="AD61" s="1">
        <v>20.630199999999999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 t="s">
        <v>100</v>
      </c>
      <c r="B62" s="1" t="s">
        <v>35</v>
      </c>
      <c r="C62" s="1">
        <v>-3.6920000000000002</v>
      </c>
      <c r="D62" s="1">
        <v>137.042</v>
      </c>
      <c r="E62" s="1">
        <v>20.919</v>
      </c>
      <c r="F62" s="1">
        <v>90.13</v>
      </c>
      <c r="G62" s="6">
        <v>1</v>
      </c>
      <c r="H62" s="1">
        <v>40</v>
      </c>
      <c r="I62" s="1" t="s">
        <v>36</v>
      </c>
      <c r="J62" s="1"/>
      <c r="K62" s="1">
        <v>66.3</v>
      </c>
      <c r="L62" s="1">
        <f t="shared" si="5"/>
        <v>-45.381</v>
      </c>
      <c r="M62" s="1"/>
      <c r="N62" s="1"/>
      <c r="O62" s="1">
        <v>43.73365000000004</v>
      </c>
      <c r="P62" s="1"/>
      <c r="Q62" s="1"/>
      <c r="R62" s="12">
        <f t="shared" si="6"/>
        <v>4.1837999999999997</v>
      </c>
      <c r="S62" s="1">
        <f t="shared" si="4"/>
        <v>31.995709641952303</v>
      </c>
      <c r="T62" s="1">
        <v>0.11600000000000001</v>
      </c>
      <c r="U62" s="1">
        <v>14.08</v>
      </c>
      <c r="V62" s="1">
        <v>17.272600000000001</v>
      </c>
      <c r="W62" s="1">
        <v>5.9125999999999994</v>
      </c>
      <c r="X62" s="1">
        <v>4.6542000000000003</v>
      </c>
      <c r="Y62" s="1">
        <v>3.8302</v>
      </c>
      <c r="Z62" s="1">
        <v>5.4445999999999994</v>
      </c>
      <c r="AA62" s="1">
        <v>7.3133999999999997</v>
      </c>
      <c r="AB62" s="1">
        <v>8.4963999999999995</v>
      </c>
      <c r="AC62" s="1">
        <v>5.2677999999999994</v>
      </c>
      <c r="AD62" s="1">
        <v>2.68</v>
      </c>
      <c r="AE62" s="1" t="s">
        <v>101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102</v>
      </c>
      <c r="B63" s="1" t="s">
        <v>41</v>
      </c>
      <c r="C63" s="1">
        <v>603</v>
      </c>
      <c r="D63" s="1">
        <v>315</v>
      </c>
      <c r="E63" s="1">
        <v>477</v>
      </c>
      <c r="F63" s="1">
        <v>359</v>
      </c>
      <c r="G63" s="6">
        <v>0.4</v>
      </c>
      <c r="H63" s="1">
        <v>40</v>
      </c>
      <c r="I63" s="1" t="s">
        <v>36</v>
      </c>
      <c r="J63" s="1"/>
      <c r="K63" s="1">
        <v>707</v>
      </c>
      <c r="L63" s="1">
        <f t="shared" si="5"/>
        <v>-230</v>
      </c>
      <c r="M63" s="1"/>
      <c r="N63" s="1"/>
      <c r="O63" s="1">
        <v>539.8760000000002</v>
      </c>
      <c r="P63" s="1"/>
      <c r="Q63" s="1"/>
      <c r="R63" s="1">
        <f t="shared" si="6"/>
        <v>95.4</v>
      </c>
      <c r="S63" s="1">
        <f t="shared" si="4"/>
        <v>9.4221802935010501</v>
      </c>
      <c r="T63" s="1">
        <v>92.8</v>
      </c>
      <c r="U63" s="1">
        <v>116.4</v>
      </c>
      <c r="V63" s="1">
        <v>96.4</v>
      </c>
      <c r="W63" s="1">
        <v>76.2</v>
      </c>
      <c r="X63" s="1">
        <v>89.8</v>
      </c>
      <c r="Y63" s="1">
        <v>109.4</v>
      </c>
      <c r="Z63" s="1">
        <v>105.6</v>
      </c>
      <c r="AA63" s="1">
        <v>92.6</v>
      </c>
      <c r="AB63" s="1">
        <v>65.8</v>
      </c>
      <c r="AC63" s="1">
        <v>9.1999999999999993</v>
      </c>
      <c r="AD63" s="1">
        <v>52.6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 t="s">
        <v>103</v>
      </c>
      <c r="B64" s="1" t="s">
        <v>41</v>
      </c>
      <c r="C64" s="1">
        <v>79</v>
      </c>
      <c r="D64" s="1">
        <v>222</v>
      </c>
      <c r="E64" s="1">
        <v>149</v>
      </c>
      <c r="F64" s="1">
        <v>80</v>
      </c>
      <c r="G64" s="6">
        <v>0.4</v>
      </c>
      <c r="H64" s="1">
        <v>40</v>
      </c>
      <c r="I64" s="1" t="s">
        <v>47</v>
      </c>
      <c r="J64" s="1"/>
      <c r="K64" s="1">
        <v>315</v>
      </c>
      <c r="L64" s="1">
        <f t="shared" si="5"/>
        <v>-166</v>
      </c>
      <c r="M64" s="1"/>
      <c r="N64" s="1"/>
      <c r="O64" s="1">
        <v>300</v>
      </c>
      <c r="P64" s="1"/>
      <c r="Q64" s="1"/>
      <c r="R64" s="1">
        <f t="shared" si="6"/>
        <v>29.8</v>
      </c>
      <c r="S64" s="1">
        <f t="shared" si="4"/>
        <v>12.751677852348992</v>
      </c>
      <c r="T64" s="1">
        <v>26.2</v>
      </c>
      <c r="U64" s="1">
        <v>68.599999999999994</v>
      </c>
      <c r="V64" s="1">
        <v>67</v>
      </c>
      <c r="W64" s="1">
        <v>23</v>
      </c>
      <c r="X64" s="1">
        <v>6</v>
      </c>
      <c r="Y64" s="1">
        <v>53.4</v>
      </c>
      <c r="Z64" s="1">
        <v>72</v>
      </c>
      <c r="AA64" s="1">
        <v>66.2</v>
      </c>
      <c r="AB64" s="1">
        <v>60.8</v>
      </c>
      <c r="AC64" s="1">
        <v>62.2</v>
      </c>
      <c r="AD64" s="1">
        <v>77.400000000000006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 t="s">
        <v>104</v>
      </c>
      <c r="B65" s="1" t="s">
        <v>35</v>
      </c>
      <c r="C65" s="1">
        <v>208.06399999999999</v>
      </c>
      <c r="D65" s="1">
        <v>21.88</v>
      </c>
      <c r="E65" s="1">
        <v>185.11600000000001</v>
      </c>
      <c r="F65" s="1">
        <v>-1.698</v>
      </c>
      <c r="G65" s="6">
        <v>1</v>
      </c>
      <c r="H65" s="1">
        <v>40</v>
      </c>
      <c r="I65" s="1" t="s">
        <v>36</v>
      </c>
      <c r="J65" s="1"/>
      <c r="K65" s="1">
        <v>209.38</v>
      </c>
      <c r="L65" s="1">
        <f t="shared" si="5"/>
        <v>-24.263999999999982</v>
      </c>
      <c r="M65" s="1"/>
      <c r="N65" s="1"/>
      <c r="O65" s="1">
        <v>124.79461999999999</v>
      </c>
      <c r="P65" s="1"/>
      <c r="Q65" s="1"/>
      <c r="R65" s="1">
        <f t="shared" si="6"/>
        <v>37.023200000000003</v>
      </c>
      <c r="S65" s="1">
        <f t="shared" si="4"/>
        <v>3.3248509042978456</v>
      </c>
      <c r="T65" s="1">
        <v>30.191199999999998</v>
      </c>
      <c r="U65" s="1">
        <v>25.393000000000001</v>
      </c>
      <c r="V65" s="1">
        <v>20.536000000000001</v>
      </c>
      <c r="W65" s="1">
        <v>16.688199999999998</v>
      </c>
      <c r="X65" s="1">
        <v>22.345800000000001</v>
      </c>
      <c r="Y65" s="1">
        <v>30.636800000000001</v>
      </c>
      <c r="Z65" s="1">
        <v>29.345600000000001</v>
      </c>
      <c r="AA65" s="1">
        <v>27.9176</v>
      </c>
      <c r="AB65" s="1">
        <v>32.401799999999987</v>
      </c>
      <c r="AC65" s="1">
        <v>36.8142</v>
      </c>
      <c r="AD65" s="1">
        <v>33.589199999999998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 t="s">
        <v>105</v>
      </c>
      <c r="B66" s="1" t="s">
        <v>35</v>
      </c>
      <c r="C66" s="1">
        <v>194.739</v>
      </c>
      <c r="D66" s="1">
        <v>46.100999999999999</v>
      </c>
      <c r="E66" s="1">
        <v>145.91</v>
      </c>
      <c r="F66" s="1">
        <v>18.922000000000001</v>
      </c>
      <c r="G66" s="6">
        <v>1</v>
      </c>
      <c r="H66" s="1">
        <v>40</v>
      </c>
      <c r="I66" s="1" t="s">
        <v>36</v>
      </c>
      <c r="J66" s="1"/>
      <c r="K66" s="1">
        <v>185.191</v>
      </c>
      <c r="L66" s="1">
        <f t="shared" si="5"/>
        <v>-39.281000000000006</v>
      </c>
      <c r="M66" s="1"/>
      <c r="N66" s="1"/>
      <c r="O66" s="1">
        <v>150.12626</v>
      </c>
      <c r="P66" s="1"/>
      <c r="Q66" s="1"/>
      <c r="R66" s="1">
        <f t="shared" si="6"/>
        <v>29.181999999999999</v>
      </c>
      <c r="S66" s="1">
        <f t="shared" si="4"/>
        <v>5.7928949352340489</v>
      </c>
      <c r="T66" s="1">
        <v>29.9604</v>
      </c>
      <c r="U66" s="1">
        <v>28.129000000000001</v>
      </c>
      <c r="V66" s="1">
        <v>21.1816</v>
      </c>
      <c r="W66" s="1">
        <v>16.5672</v>
      </c>
      <c r="X66" s="1">
        <v>20.6828</v>
      </c>
      <c r="Y66" s="1">
        <v>25.505199999999999</v>
      </c>
      <c r="Z66" s="1">
        <v>30.630400000000002</v>
      </c>
      <c r="AA66" s="1">
        <v>35.2286</v>
      </c>
      <c r="AB66" s="1">
        <v>27.577400000000001</v>
      </c>
      <c r="AC66" s="1">
        <v>23.778400000000001</v>
      </c>
      <c r="AD66" s="1">
        <v>29.741199999999999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 t="s">
        <v>106</v>
      </c>
      <c r="B67" s="1" t="s">
        <v>35</v>
      </c>
      <c r="C67" s="1">
        <v>10.804</v>
      </c>
      <c r="D67" s="1">
        <v>463.80599999999998</v>
      </c>
      <c r="E67" s="1">
        <v>79.418000000000006</v>
      </c>
      <c r="F67" s="1">
        <v>303.63099999999997</v>
      </c>
      <c r="G67" s="6">
        <v>1</v>
      </c>
      <c r="H67" s="1">
        <v>40</v>
      </c>
      <c r="I67" s="1" t="s">
        <v>47</v>
      </c>
      <c r="J67" s="1"/>
      <c r="K67" s="1">
        <v>251.90899999999999</v>
      </c>
      <c r="L67" s="1">
        <f t="shared" si="5"/>
        <v>-172.49099999999999</v>
      </c>
      <c r="M67" s="1"/>
      <c r="N67" s="1"/>
      <c r="O67" s="1">
        <v>418.05531999999971</v>
      </c>
      <c r="P67" s="1"/>
      <c r="Q67" s="1"/>
      <c r="R67" s="12">
        <f t="shared" si="6"/>
        <v>15.883600000000001</v>
      </c>
      <c r="S67" s="1">
        <f t="shared" si="4"/>
        <v>45.435941474224961</v>
      </c>
      <c r="T67" s="1">
        <v>6.6635999999999997</v>
      </c>
      <c r="U67" s="1">
        <v>112.02800000000001</v>
      </c>
      <c r="V67" s="1">
        <v>120.03919999999999</v>
      </c>
      <c r="W67" s="1">
        <v>49.153199999999998</v>
      </c>
      <c r="X67" s="1">
        <v>53.758000000000003</v>
      </c>
      <c r="Y67" s="1">
        <v>60.426599999999993</v>
      </c>
      <c r="Z67" s="1">
        <v>71.873000000000005</v>
      </c>
      <c r="AA67" s="1">
        <v>68.0488</v>
      </c>
      <c r="AB67" s="1">
        <v>44.416800000000002</v>
      </c>
      <c r="AC67" s="1">
        <v>80.647599999999997</v>
      </c>
      <c r="AD67" s="1">
        <v>104.0168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107</v>
      </c>
      <c r="B68" s="1" t="s">
        <v>35</v>
      </c>
      <c r="C68" s="1">
        <v>171.739</v>
      </c>
      <c r="D68" s="1">
        <v>122.39</v>
      </c>
      <c r="E68" s="1">
        <v>182.19300000000001</v>
      </c>
      <c r="F68" s="1">
        <v>31.207999999999998</v>
      </c>
      <c r="G68" s="6">
        <v>1</v>
      </c>
      <c r="H68" s="1">
        <v>40</v>
      </c>
      <c r="I68" s="1" t="s">
        <v>36</v>
      </c>
      <c r="J68" s="1"/>
      <c r="K68" s="1">
        <v>232.00899999999999</v>
      </c>
      <c r="L68" s="1">
        <f t="shared" si="5"/>
        <v>-49.815999999999974</v>
      </c>
      <c r="M68" s="1"/>
      <c r="N68" s="1"/>
      <c r="O68" s="1">
        <v>194.6657920000001</v>
      </c>
      <c r="P68" s="1"/>
      <c r="Q68" s="1"/>
      <c r="R68" s="1">
        <f t="shared" si="6"/>
        <v>36.438600000000001</v>
      </c>
      <c r="S68" s="1">
        <f t="shared" si="4"/>
        <v>6.1987505557293661</v>
      </c>
      <c r="T68" s="1">
        <v>36.114600000000003</v>
      </c>
      <c r="U68" s="1">
        <v>34.558800000000012</v>
      </c>
      <c r="V68" s="1">
        <v>25.469000000000001</v>
      </c>
      <c r="W68" s="1">
        <v>24.119199999999999</v>
      </c>
      <c r="X68" s="1">
        <v>27.015599999999999</v>
      </c>
      <c r="Y68" s="1">
        <v>23.341799999999999</v>
      </c>
      <c r="Z68" s="1">
        <v>16.409400000000002</v>
      </c>
      <c r="AA68" s="1">
        <v>37.777799999999999</v>
      </c>
      <c r="AB68" s="1">
        <v>58.898200000000003</v>
      </c>
      <c r="AC68" s="1">
        <v>45.1404</v>
      </c>
      <c r="AD68" s="1">
        <v>32.860199999999999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8" t="s">
        <v>108</v>
      </c>
      <c r="B69" s="8" t="s">
        <v>41</v>
      </c>
      <c r="C69" s="8"/>
      <c r="D69" s="8"/>
      <c r="E69" s="8"/>
      <c r="F69" s="8"/>
      <c r="G69" s="9">
        <v>0</v>
      </c>
      <c r="H69" s="8"/>
      <c r="I69" s="8" t="s">
        <v>36</v>
      </c>
      <c r="J69" s="8"/>
      <c r="K69" s="8"/>
      <c r="L69" s="8">
        <f t="shared" si="5"/>
        <v>0</v>
      </c>
      <c r="M69" s="8"/>
      <c r="N69" s="8"/>
      <c r="O69" s="8">
        <v>0</v>
      </c>
      <c r="P69" s="8"/>
      <c r="Q69" s="8"/>
      <c r="R69" s="8">
        <f t="shared" si="6"/>
        <v>0</v>
      </c>
      <c r="S69" s="1" t="e">
        <f t="shared" si="4"/>
        <v>#DIV/0!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 t="s">
        <v>42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109</v>
      </c>
      <c r="B70" s="1" t="s">
        <v>35</v>
      </c>
      <c r="C70" s="1">
        <v>45.542000000000002</v>
      </c>
      <c r="D70" s="1">
        <v>312.93599999999998</v>
      </c>
      <c r="E70" s="1">
        <v>18.318999999999999</v>
      </c>
      <c r="F70" s="1">
        <v>266.55200000000002</v>
      </c>
      <c r="G70" s="6">
        <v>1</v>
      </c>
      <c r="H70" s="1">
        <v>30</v>
      </c>
      <c r="I70" s="1" t="s">
        <v>36</v>
      </c>
      <c r="J70" s="1"/>
      <c r="K70" s="1">
        <v>149.1</v>
      </c>
      <c r="L70" s="1">
        <f t="shared" ref="L70:L101" si="7">E70-K70</f>
        <v>-130.78100000000001</v>
      </c>
      <c r="M70" s="1"/>
      <c r="N70" s="1"/>
      <c r="O70" s="1">
        <v>6.4275499999999974</v>
      </c>
      <c r="P70" s="1"/>
      <c r="Q70" s="1"/>
      <c r="R70" s="12">
        <f t="shared" ref="R70:R101" si="8">E70/5</f>
        <v>3.6637999999999997</v>
      </c>
      <c r="S70" s="1">
        <f t="shared" si="4"/>
        <v>74.507219280528417</v>
      </c>
      <c r="T70" s="1">
        <v>4.7800000000000002E-2</v>
      </c>
      <c r="U70" s="1">
        <v>28.5642</v>
      </c>
      <c r="V70" s="1">
        <v>35.5794</v>
      </c>
      <c r="W70" s="1">
        <v>22.786799999999999</v>
      </c>
      <c r="X70" s="1">
        <v>21.472200000000001</v>
      </c>
      <c r="Y70" s="1">
        <v>26.0868</v>
      </c>
      <c r="Z70" s="1">
        <v>29.864999999999998</v>
      </c>
      <c r="AA70" s="1">
        <v>35.738799999999998</v>
      </c>
      <c r="AB70" s="1">
        <v>40.323999999999977</v>
      </c>
      <c r="AC70" s="1">
        <v>35.8322</v>
      </c>
      <c r="AD70" s="1">
        <v>35.826999999999998</v>
      </c>
      <c r="AE70" s="1" t="s">
        <v>80</v>
      </c>
      <c r="AF70" s="11" t="s">
        <v>179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110</v>
      </c>
      <c r="B71" s="1" t="s">
        <v>41</v>
      </c>
      <c r="C71" s="1">
        <v>108</v>
      </c>
      <c r="D71" s="1">
        <v>49</v>
      </c>
      <c r="E71" s="1">
        <v>83</v>
      </c>
      <c r="F71" s="1">
        <v>14</v>
      </c>
      <c r="G71" s="6">
        <v>0.6</v>
      </c>
      <c r="H71" s="1">
        <v>60</v>
      </c>
      <c r="I71" s="1" t="s">
        <v>36</v>
      </c>
      <c r="J71" s="1"/>
      <c r="K71" s="1">
        <v>83</v>
      </c>
      <c r="L71" s="1">
        <f t="shared" si="7"/>
        <v>0</v>
      </c>
      <c r="M71" s="1"/>
      <c r="N71" s="1"/>
      <c r="O71" s="1">
        <v>141.952</v>
      </c>
      <c r="P71" s="1"/>
      <c r="Q71" s="1"/>
      <c r="R71" s="1">
        <f t="shared" si="8"/>
        <v>16.600000000000001</v>
      </c>
      <c r="S71" s="1">
        <f t="shared" ref="S71:S129" si="9">(F71+O71+P71+Q71)/R71</f>
        <v>9.3946987951807213</v>
      </c>
      <c r="T71" s="1">
        <v>26</v>
      </c>
      <c r="U71" s="1">
        <v>22.8</v>
      </c>
      <c r="V71" s="1">
        <v>9.8000000000000007</v>
      </c>
      <c r="W71" s="1">
        <v>15.2</v>
      </c>
      <c r="X71" s="1">
        <v>27</v>
      </c>
      <c r="Y71" s="1">
        <v>26.6</v>
      </c>
      <c r="Z71" s="1">
        <v>13.2</v>
      </c>
      <c r="AA71" s="1">
        <v>11.8</v>
      </c>
      <c r="AB71" s="1">
        <v>20.399999999999999</v>
      </c>
      <c r="AC71" s="1">
        <v>20.2</v>
      </c>
      <c r="AD71" s="1">
        <v>18.8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 t="s">
        <v>111</v>
      </c>
      <c r="B72" s="1" t="s">
        <v>41</v>
      </c>
      <c r="C72" s="1">
        <v>294</v>
      </c>
      <c r="D72" s="1">
        <v>2</v>
      </c>
      <c r="E72" s="1">
        <v>120</v>
      </c>
      <c r="F72" s="1">
        <v>92</v>
      </c>
      <c r="G72" s="6">
        <v>0.6</v>
      </c>
      <c r="H72" s="1">
        <v>60</v>
      </c>
      <c r="I72" s="1" t="s">
        <v>36</v>
      </c>
      <c r="J72" s="1"/>
      <c r="K72" s="1">
        <v>124</v>
      </c>
      <c r="L72" s="1">
        <f t="shared" si="7"/>
        <v>-4</v>
      </c>
      <c r="M72" s="1"/>
      <c r="N72" s="1"/>
      <c r="O72" s="1">
        <v>205.99199999999999</v>
      </c>
      <c r="P72" s="1"/>
      <c r="Q72" s="1"/>
      <c r="R72" s="1">
        <f t="shared" si="8"/>
        <v>24</v>
      </c>
      <c r="S72" s="1">
        <f t="shared" si="9"/>
        <v>12.416333333333332</v>
      </c>
      <c r="T72" s="1">
        <v>31.4</v>
      </c>
      <c r="U72" s="1">
        <v>38.799999999999997</v>
      </c>
      <c r="V72" s="1">
        <v>27.8</v>
      </c>
      <c r="W72" s="1">
        <v>15.2</v>
      </c>
      <c r="X72" s="1">
        <v>26.6</v>
      </c>
      <c r="Y72" s="1">
        <v>40.799999999999997</v>
      </c>
      <c r="Z72" s="1">
        <v>41.2</v>
      </c>
      <c r="AA72" s="1">
        <v>32.6</v>
      </c>
      <c r="AB72" s="1">
        <v>37.200000000000003</v>
      </c>
      <c r="AC72" s="1">
        <v>36.200000000000003</v>
      </c>
      <c r="AD72" s="1">
        <v>28.2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" t="s">
        <v>112</v>
      </c>
      <c r="B73" s="1" t="s">
        <v>41</v>
      </c>
      <c r="C73" s="1">
        <v>79</v>
      </c>
      <c r="D73" s="1">
        <v>130</v>
      </c>
      <c r="E73" s="1">
        <v>118</v>
      </c>
      <c r="F73" s="1">
        <v>69</v>
      </c>
      <c r="G73" s="6">
        <v>0.4</v>
      </c>
      <c r="H73" s="1">
        <v>90</v>
      </c>
      <c r="I73" s="1" t="s">
        <v>36</v>
      </c>
      <c r="J73" s="1"/>
      <c r="K73" s="1">
        <v>143</v>
      </c>
      <c r="L73" s="1">
        <f t="shared" si="7"/>
        <v>-25</v>
      </c>
      <c r="M73" s="1"/>
      <c r="N73" s="1"/>
      <c r="O73" s="1">
        <v>55.200000000000017</v>
      </c>
      <c r="P73" s="1"/>
      <c r="Q73" s="1"/>
      <c r="R73" s="1">
        <f t="shared" si="8"/>
        <v>23.6</v>
      </c>
      <c r="S73" s="1">
        <f t="shared" si="9"/>
        <v>5.2627118644067803</v>
      </c>
      <c r="T73" s="1">
        <v>19</v>
      </c>
      <c r="U73" s="1">
        <v>18.8</v>
      </c>
      <c r="V73" s="1">
        <v>19.8</v>
      </c>
      <c r="W73" s="1">
        <v>17.600000000000001</v>
      </c>
      <c r="X73" s="1">
        <v>13.6</v>
      </c>
      <c r="Y73" s="1">
        <v>19</v>
      </c>
      <c r="Z73" s="1">
        <v>22.6</v>
      </c>
      <c r="AA73" s="1">
        <v>21.8</v>
      </c>
      <c r="AB73" s="1">
        <v>17.8</v>
      </c>
      <c r="AC73" s="1">
        <v>17.2</v>
      </c>
      <c r="AD73" s="1">
        <v>23.2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 t="s">
        <v>113</v>
      </c>
      <c r="B74" s="1" t="s">
        <v>41</v>
      </c>
      <c r="C74" s="1">
        <v>92</v>
      </c>
      <c r="D74" s="1">
        <v>283</v>
      </c>
      <c r="E74" s="1">
        <v>162</v>
      </c>
      <c r="F74" s="1">
        <v>159</v>
      </c>
      <c r="G74" s="6">
        <v>0.33</v>
      </c>
      <c r="H74" s="1">
        <v>60</v>
      </c>
      <c r="I74" s="1" t="s">
        <v>36</v>
      </c>
      <c r="J74" s="1"/>
      <c r="K74" s="1">
        <v>208</v>
      </c>
      <c r="L74" s="1">
        <f t="shared" si="7"/>
        <v>-46</v>
      </c>
      <c r="M74" s="1"/>
      <c r="N74" s="1"/>
      <c r="O74" s="1">
        <v>92.379999999999953</v>
      </c>
      <c r="P74" s="1"/>
      <c r="Q74" s="1"/>
      <c r="R74" s="1">
        <f t="shared" si="8"/>
        <v>32.4</v>
      </c>
      <c r="S74" s="1">
        <f t="shared" si="9"/>
        <v>7.7586419753086409</v>
      </c>
      <c r="T74" s="1">
        <v>30.4</v>
      </c>
      <c r="U74" s="1">
        <v>37</v>
      </c>
      <c r="V74" s="1">
        <v>38.200000000000003</v>
      </c>
      <c r="W74" s="1">
        <v>31.8</v>
      </c>
      <c r="X74" s="1">
        <v>24.8</v>
      </c>
      <c r="Y74" s="1">
        <v>29.4</v>
      </c>
      <c r="Z74" s="1">
        <v>26.2</v>
      </c>
      <c r="AA74" s="1">
        <v>28.6</v>
      </c>
      <c r="AB74" s="1">
        <v>30.2</v>
      </c>
      <c r="AC74" s="1">
        <v>28.8</v>
      </c>
      <c r="AD74" s="1">
        <v>29.6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 t="s">
        <v>114</v>
      </c>
      <c r="B75" s="1" t="s">
        <v>41</v>
      </c>
      <c r="C75" s="1">
        <v>78</v>
      </c>
      <c r="D75" s="1">
        <v>298</v>
      </c>
      <c r="E75" s="1">
        <v>129</v>
      </c>
      <c r="F75" s="1">
        <v>222</v>
      </c>
      <c r="G75" s="6">
        <v>0.35</v>
      </c>
      <c r="H75" s="1">
        <v>90</v>
      </c>
      <c r="I75" s="1" t="s">
        <v>36</v>
      </c>
      <c r="J75" s="1"/>
      <c r="K75" s="1">
        <v>154</v>
      </c>
      <c r="L75" s="1">
        <f t="shared" si="7"/>
        <v>-25</v>
      </c>
      <c r="M75" s="1"/>
      <c r="N75" s="1"/>
      <c r="O75" s="1">
        <v>3.8000000000002392</v>
      </c>
      <c r="P75" s="1"/>
      <c r="Q75" s="1"/>
      <c r="R75" s="1">
        <f t="shared" si="8"/>
        <v>25.8</v>
      </c>
      <c r="S75" s="1">
        <f t="shared" si="9"/>
        <v>8.7519379844961325</v>
      </c>
      <c r="T75" s="1">
        <v>21.8</v>
      </c>
      <c r="U75" s="1">
        <v>26.8</v>
      </c>
      <c r="V75" s="1">
        <v>32.6</v>
      </c>
      <c r="W75" s="1">
        <v>30.2</v>
      </c>
      <c r="X75" s="1">
        <v>21.8</v>
      </c>
      <c r="Y75" s="1">
        <v>25.6</v>
      </c>
      <c r="Z75" s="1">
        <v>22</v>
      </c>
      <c r="AA75" s="1">
        <v>30.2</v>
      </c>
      <c r="AB75" s="1">
        <v>31</v>
      </c>
      <c r="AC75" s="1">
        <v>18.600000000000001</v>
      </c>
      <c r="AD75" s="1">
        <v>26.4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8" t="s">
        <v>115</v>
      </c>
      <c r="B76" s="8" t="s">
        <v>41</v>
      </c>
      <c r="C76" s="8"/>
      <c r="D76" s="8"/>
      <c r="E76" s="8"/>
      <c r="F76" s="8"/>
      <c r="G76" s="9">
        <v>0</v>
      </c>
      <c r="H76" s="8"/>
      <c r="I76" s="8" t="s">
        <v>36</v>
      </c>
      <c r="J76" s="8"/>
      <c r="K76" s="8"/>
      <c r="L76" s="8">
        <f t="shared" si="7"/>
        <v>0</v>
      </c>
      <c r="M76" s="8"/>
      <c r="N76" s="8"/>
      <c r="O76" s="8">
        <v>0</v>
      </c>
      <c r="P76" s="8"/>
      <c r="Q76" s="8"/>
      <c r="R76" s="8">
        <f t="shared" si="8"/>
        <v>0</v>
      </c>
      <c r="S76" s="1" t="e">
        <f t="shared" si="9"/>
        <v>#DIV/0!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 t="s">
        <v>42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116</v>
      </c>
      <c r="B77" s="1" t="s">
        <v>41</v>
      </c>
      <c r="C77" s="1">
        <v>149</v>
      </c>
      <c r="D77" s="1">
        <v>40</v>
      </c>
      <c r="E77" s="1">
        <v>51</v>
      </c>
      <c r="F77" s="1">
        <v>108</v>
      </c>
      <c r="G77" s="6">
        <v>0.6</v>
      </c>
      <c r="H77" s="1">
        <v>70</v>
      </c>
      <c r="I77" s="1" t="s">
        <v>36</v>
      </c>
      <c r="J77" s="1"/>
      <c r="K77" s="1">
        <v>62</v>
      </c>
      <c r="L77" s="1">
        <f t="shared" si="7"/>
        <v>-11</v>
      </c>
      <c r="M77" s="1"/>
      <c r="N77" s="1"/>
      <c r="O77" s="1">
        <v>11.19999999999999</v>
      </c>
      <c r="P77" s="1"/>
      <c r="Q77" s="1"/>
      <c r="R77" s="1">
        <f t="shared" si="8"/>
        <v>10.199999999999999</v>
      </c>
      <c r="S77" s="1">
        <f t="shared" si="9"/>
        <v>11.686274509803921</v>
      </c>
      <c r="T77" s="1">
        <v>8.6</v>
      </c>
      <c r="U77" s="1">
        <v>14.6</v>
      </c>
      <c r="V77" s="1">
        <v>17</v>
      </c>
      <c r="W77" s="1">
        <v>8.1999999999999993</v>
      </c>
      <c r="X77" s="1">
        <v>3</v>
      </c>
      <c r="Y77" s="1">
        <v>16</v>
      </c>
      <c r="Z77" s="1">
        <v>20.2</v>
      </c>
      <c r="AA77" s="1">
        <v>17.399999999999999</v>
      </c>
      <c r="AB77" s="1">
        <v>11.6</v>
      </c>
      <c r="AC77" s="1">
        <v>2</v>
      </c>
      <c r="AD77" s="1">
        <v>8.6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117</v>
      </c>
      <c r="B78" s="1" t="s">
        <v>41</v>
      </c>
      <c r="C78" s="1">
        <v>24</v>
      </c>
      <c r="D78" s="1">
        <v>127</v>
      </c>
      <c r="E78" s="1">
        <v>14</v>
      </c>
      <c r="F78" s="1">
        <v>112</v>
      </c>
      <c r="G78" s="6">
        <v>0.33</v>
      </c>
      <c r="H78" s="1">
        <v>40</v>
      </c>
      <c r="I78" s="1" t="s">
        <v>36</v>
      </c>
      <c r="J78" s="1"/>
      <c r="K78" s="1">
        <v>80</v>
      </c>
      <c r="L78" s="1">
        <f t="shared" si="7"/>
        <v>-66</v>
      </c>
      <c r="M78" s="1"/>
      <c r="N78" s="1"/>
      <c r="O78" s="1">
        <v>0</v>
      </c>
      <c r="P78" s="1"/>
      <c r="Q78" s="1"/>
      <c r="R78" s="12">
        <f t="shared" si="8"/>
        <v>2.8</v>
      </c>
      <c r="S78" s="1">
        <f t="shared" si="9"/>
        <v>40</v>
      </c>
      <c r="T78" s="1">
        <v>3.2</v>
      </c>
      <c r="U78" s="1">
        <v>4.8</v>
      </c>
      <c r="V78" s="1">
        <v>6.8</v>
      </c>
      <c r="W78" s="1">
        <v>9.8000000000000007</v>
      </c>
      <c r="X78" s="1">
        <v>10.8</v>
      </c>
      <c r="Y78" s="1">
        <v>16.2</v>
      </c>
      <c r="Z78" s="1">
        <v>8.8000000000000007</v>
      </c>
      <c r="AA78" s="1">
        <v>5.4</v>
      </c>
      <c r="AB78" s="1">
        <v>11.6</v>
      </c>
      <c r="AC78" s="1">
        <v>9</v>
      </c>
      <c r="AD78" s="1">
        <v>16.2</v>
      </c>
      <c r="AE78" s="1" t="s">
        <v>80</v>
      </c>
      <c r="AF78" s="11" t="s">
        <v>179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" t="s">
        <v>118</v>
      </c>
      <c r="B79" s="1" t="s">
        <v>41</v>
      </c>
      <c r="C79" s="1">
        <v>22</v>
      </c>
      <c r="D79" s="1">
        <v>109</v>
      </c>
      <c r="E79" s="1">
        <v>33</v>
      </c>
      <c r="F79" s="1">
        <v>91</v>
      </c>
      <c r="G79" s="6">
        <v>0.4</v>
      </c>
      <c r="H79" s="1">
        <v>55</v>
      </c>
      <c r="I79" s="1" t="s">
        <v>36</v>
      </c>
      <c r="J79" s="1"/>
      <c r="K79" s="1">
        <v>42</v>
      </c>
      <c r="L79" s="1">
        <f t="shared" si="7"/>
        <v>-9</v>
      </c>
      <c r="M79" s="1"/>
      <c r="N79" s="1"/>
      <c r="O79" s="1">
        <v>0</v>
      </c>
      <c r="P79" s="1"/>
      <c r="Q79" s="1"/>
      <c r="R79" s="1">
        <f t="shared" si="8"/>
        <v>6.6</v>
      </c>
      <c r="S79" s="1">
        <f t="shared" si="9"/>
        <v>13.787878787878789</v>
      </c>
      <c r="T79" s="1">
        <v>4.2</v>
      </c>
      <c r="U79" s="1">
        <v>9</v>
      </c>
      <c r="V79" s="1">
        <v>11.2</v>
      </c>
      <c r="W79" s="1">
        <v>7.2</v>
      </c>
      <c r="X79" s="1">
        <v>6</v>
      </c>
      <c r="Y79" s="1">
        <v>7.2</v>
      </c>
      <c r="Z79" s="1">
        <v>5.8</v>
      </c>
      <c r="AA79" s="1">
        <v>10.4</v>
      </c>
      <c r="AB79" s="1">
        <v>12.2</v>
      </c>
      <c r="AC79" s="1">
        <v>7.2</v>
      </c>
      <c r="AD79" s="1">
        <v>7.2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 t="s">
        <v>119</v>
      </c>
      <c r="B80" s="1" t="s">
        <v>41</v>
      </c>
      <c r="C80" s="1">
        <v>-3</v>
      </c>
      <c r="D80" s="1"/>
      <c r="E80" s="1">
        <v>-3</v>
      </c>
      <c r="F80" s="1">
        <v>-3</v>
      </c>
      <c r="G80" s="6">
        <v>0.35</v>
      </c>
      <c r="H80" s="1">
        <v>40</v>
      </c>
      <c r="I80" s="1" t="s">
        <v>36</v>
      </c>
      <c r="J80" s="1"/>
      <c r="K80" s="1"/>
      <c r="L80" s="1">
        <f t="shared" si="7"/>
        <v>-3</v>
      </c>
      <c r="M80" s="1"/>
      <c r="N80" s="1"/>
      <c r="O80" s="1">
        <v>19.8</v>
      </c>
      <c r="P80" s="1"/>
      <c r="Q80" s="1"/>
      <c r="R80" s="1">
        <f t="shared" si="8"/>
        <v>-0.6</v>
      </c>
      <c r="S80" s="1">
        <f t="shared" si="9"/>
        <v>-28.000000000000004</v>
      </c>
      <c r="T80" s="1">
        <v>0.4</v>
      </c>
      <c r="U80" s="1">
        <v>1.4</v>
      </c>
      <c r="V80" s="1">
        <v>0.6</v>
      </c>
      <c r="W80" s="1">
        <v>1.4</v>
      </c>
      <c r="X80" s="1">
        <v>4</v>
      </c>
      <c r="Y80" s="1">
        <v>6.8</v>
      </c>
      <c r="Z80" s="1">
        <v>6.8</v>
      </c>
      <c r="AA80" s="1">
        <v>4.4000000000000004</v>
      </c>
      <c r="AB80" s="1">
        <v>3.8</v>
      </c>
      <c r="AC80" s="1">
        <v>4.8</v>
      </c>
      <c r="AD80" s="1">
        <v>5</v>
      </c>
      <c r="AE80" s="1" t="s">
        <v>120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121</v>
      </c>
      <c r="B81" s="1" t="s">
        <v>41</v>
      </c>
      <c r="C81" s="1">
        <v>174</v>
      </c>
      <c r="D81" s="1">
        <v>6</v>
      </c>
      <c r="E81" s="1">
        <v>109</v>
      </c>
      <c r="F81" s="1">
        <v>67</v>
      </c>
      <c r="G81" s="6">
        <v>0.35</v>
      </c>
      <c r="H81" s="1">
        <v>45</v>
      </c>
      <c r="I81" s="1" t="s">
        <v>36</v>
      </c>
      <c r="J81" s="1"/>
      <c r="K81" s="1">
        <v>110</v>
      </c>
      <c r="L81" s="1">
        <f t="shared" si="7"/>
        <v>-1</v>
      </c>
      <c r="M81" s="1"/>
      <c r="N81" s="1"/>
      <c r="O81" s="1">
        <v>57.200000000000017</v>
      </c>
      <c r="P81" s="1"/>
      <c r="Q81" s="1"/>
      <c r="R81" s="1">
        <f t="shared" si="8"/>
        <v>21.8</v>
      </c>
      <c r="S81" s="1">
        <f t="shared" si="9"/>
        <v>5.6972477064220186</v>
      </c>
      <c r="T81" s="1">
        <v>20.6</v>
      </c>
      <c r="U81" s="1">
        <v>16.600000000000001</v>
      </c>
      <c r="V81" s="1">
        <v>12.4</v>
      </c>
      <c r="W81" s="1">
        <v>5.6</v>
      </c>
      <c r="X81" s="1">
        <v>14.8</v>
      </c>
      <c r="Y81" s="1">
        <v>33</v>
      </c>
      <c r="Z81" s="1">
        <v>26</v>
      </c>
      <c r="AA81" s="1">
        <v>36.6</v>
      </c>
      <c r="AB81" s="1">
        <v>33.4</v>
      </c>
      <c r="AC81" s="1">
        <v>18.8</v>
      </c>
      <c r="AD81" s="1">
        <v>31.2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8" t="s">
        <v>122</v>
      </c>
      <c r="B82" s="8" t="s">
        <v>41</v>
      </c>
      <c r="C82" s="8"/>
      <c r="D82" s="8"/>
      <c r="E82" s="8"/>
      <c r="F82" s="8"/>
      <c r="G82" s="9">
        <v>0</v>
      </c>
      <c r="H82" s="8"/>
      <c r="I82" s="8" t="s">
        <v>36</v>
      </c>
      <c r="J82" s="8"/>
      <c r="K82" s="8"/>
      <c r="L82" s="8">
        <f t="shared" si="7"/>
        <v>0</v>
      </c>
      <c r="M82" s="8"/>
      <c r="N82" s="8"/>
      <c r="O82" s="8">
        <v>0</v>
      </c>
      <c r="P82" s="8"/>
      <c r="Q82" s="8"/>
      <c r="R82" s="8">
        <f t="shared" si="8"/>
        <v>0</v>
      </c>
      <c r="S82" s="1" t="e">
        <f t="shared" si="9"/>
        <v>#DIV/0!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 t="s">
        <v>42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8" t="s">
        <v>123</v>
      </c>
      <c r="B83" s="8" t="s">
        <v>35</v>
      </c>
      <c r="C83" s="8"/>
      <c r="D83" s="8"/>
      <c r="E83" s="8"/>
      <c r="F83" s="8"/>
      <c r="G83" s="9">
        <v>0</v>
      </c>
      <c r="H83" s="8"/>
      <c r="I83" s="8" t="s">
        <v>36</v>
      </c>
      <c r="J83" s="8"/>
      <c r="K83" s="8"/>
      <c r="L83" s="8">
        <f t="shared" si="7"/>
        <v>0</v>
      </c>
      <c r="M83" s="8"/>
      <c r="N83" s="8"/>
      <c r="O83" s="8">
        <v>0</v>
      </c>
      <c r="P83" s="8"/>
      <c r="Q83" s="8"/>
      <c r="R83" s="8">
        <f t="shared" si="8"/>
        <v>0</v>
      </c>
      <c r="S83" s="1" t="e">
        <f t="shared" si="9"/>
        <v>#DIV/0!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 t="s">
        <v>42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8" t="s">
        <v>124</v>
      </c>
      <c r="B84" s="8" t="s">
        <v>35</v>
      </c>
      <c r="C84" s="8"/>
      <c r="D84" s="8"/>
      <c r="E84" s="8"/>
      <c r="F84" s="8"/>
      <c r="G84" s="9">
        <v>0</v>
      </c>
      <c r="H84" s="8"/>
      <c r="I84" s="8" t="s">
        <v>36</v>
      </c>
      <c r="J84" s="8"/>
      <c r="K84" s="8"/>
      <c r="L84" s="8">
        <f t="shared" si="7"/>
        <v>0</v>
      </c>
      <c r="M84" s="8"/>
      <c r="N84" s="8"/>
      <c r="O84" s="8">
        <v>0</v>
      </c>
      <c r="P84" s="8"/>
      <c r="Q84" s="8"/>
      <c r="R84" s="8">
        <f t="shared" si="8"/>
        <v>0</v>
      </c>
      <c r="S84" s="1" t="e">
        <f t="shared" si="9"/>
        <v>#DIV/0!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 t="s">
        <v>42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 t="s">
        <v>125</v>
      </c>
      <c r="B85" s="1" t="s">
        <v>35</v>
      </c>
      <c r="C85" s="1">
        <v>257.25799999999998</v>
      </c>
      <c r="D85" s="1">
        <v>95.108999999999995</v>
      </c>
      <c r="E85" s="1">
        <v>141.566</v>
      </c>
      <c r="F85" s="1">
        <v>180.179</v>
      </c>
      <c r="G85" s="6">
        <v>1</v>
      </c>
      <c r="H85" s="1">
        <v>60</v>
      </c>
      <c r="I85" s="1" t="s">
        <v>36</v>
      </c>
      <c r="J85" s="1"/>
      <c r="K85" s="1">
        <v>154.69999999999999</v>
      </c>
      <c r="L85" s="1">
        <f t="shared" si="7"/>
        <v>-13.133999999999986</v>
      </c>
      <c r="M85" s="1"/>
      <c r="N85" s="1"/>
      <c r="O85" s="1">
        <v>137.00832</v>
      </c>
      <c r="P85" s="1"/>
      <c r="Q85" s="1"/>
      <c r="R85" s="1">
        <f t="shared" si="8"/>
        <v>28.313200000000002</v>
      </c>
      <c r="S85" s="1">
        <f t="shared" si="9"/>
        <v>11.202807171213426</v>
      </c>
      <c r="T85" s="1">
        <v>27.771799999999999</v>
      </c>
      <c r="U85" s="1">
        <v>31.998000000000001</v>
      </c>
      <c r="V85" s="1">
        <v>23.875599999999999</v>
      </c>
      <c r="W85" s="1">
        <v>20.068999999999999</v>
      </c>
      <c r="X85" s="1">
        <v>23.865600000000001</v>
      </c>
      <c r="Y85" s="1">
        <v>32.620199999999997</v>
      </c>
      <c r="Z85" s="1">
        <v>28.968800000000002</v>
      </c>
      <c r="AA85" s="1">
        <v>43.807400000000001</v>
      </c>
      <c r="AB85" s="1">
        <v>49.8904</v>
      </c>
      <c r="AC85" s="1">
        <v>45.323</v>
      </c>
      <c r="AD85" s="1">
        <v>52.400599999999997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8" t="s">
        <v>126</v>
      </c>
      <c r="B86" s="8" t="s">
        <v>41</v>
      </c>
      <c r="C86" s="8"/>
      <c r="D86" s="8"/>
      <c r="E86" s="8"/>
      <c r="F86" s="8"/>
      <c r="G86" s="9">
        <v>0</v>
      </c>
      <c r="H86" s="8"/>
      <c r="I86" s="8" t="s">
        <v>36</v>
      </c>
      <c r="J86" s="8"/>
      <c r="K86" s="8"/>
      <c r="L86" s="8">
        <f t="shared" si="7"/>
        <v>0</v>
      </c>
      <c r="M86" s="8"/>
      <c r="N86" s="8"/>
      <c r="O86" s="8">
        <v>0</v>
      </c>
      <c r="P86" s="8"/>
      <c r="Q86" s="8"/>
      <c r="R86" s="8">
        <f t="shared" si="8"/>
        <v>0</v>
      </c>
      <c r="S86" s="1" t="e">
        <f t="shared" si="9"/>
        <v>#DIV/0!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 t="s">
        <v>42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 t="s">
        <v>127</v>
      </c>
      <c r="B87" s="1" t="s">
        <v>35</v>
      </c>
      <c r="C87" s="1">
        <v>1580.7570000000001</v>
      </c>
      <c r="D87" s="1">
        <v>2118.7199999999998</v>
      </c>
      <c r="E87" s="1">
        <v>1219.932</v>
      </c>
      <c r="F87" s="1">
        <v>2139.1669999999999</v>
      </c>
      <c r="G87" s="6">
        <v>1</v>
      </c>
      <c r="H87" s="1">
        <v>60</v>
      </c>
      <c r="I87" s="1" t="s">
        <v>36</v>
      </c>
      <c r="J87" s="1"/>
      <c r="K87" s="1">
        <v>1319.134</v>
      </c>
      <c r="L87" s="1">
        <f t="shared" si="7"/>
        <v>-99.201999999999998</v>
      </c>
      <c r="M87" s="1"/>
      <c r="N87" s="1"/>
      <c r="O87" s="1">
        <v>11.793995999999961</v>
      </c>
      <c r="P87" s="1"/>
      <c r="Q87" s="1">
        <v>500</v>
      </c>
      <c r="R87" s="1">
        <f t="shared" si="8"/>
        <v>243.9864</v>
      </c>
      <c r="S87" s="1">
        <f t="shared" si="9"/>
        <v>10.865199847204597</v>
      </c>
      <c r="T87" s="1">
        <v>244.9546</v>
      </c>
      <c r="U87" s="1">
        <v>250.4194</v>
      </c>
      <c r="V87" s="1">
        <v>227.70859999999999</v>
      </c>
      <c r="W87" s="1">
        <v>184.99260000000001</v>
      </c>
      <c r="X87" s="1">
        <v>192.30119999999999</v>
      </c>
      <c r="Y87" s="1">
        <v>242.393</v>
      </c>
      <c r="Z87" s="1">
        <v>281.09039999999999</v>
      </c>
      <c r="AA87" s="1">
        <v>332.67239999999998</v>
      </c>
      <c r="AB87" s="1">
        <v>305.48419999999999</v>
      </c>
      <c r="AC87" s="1">
        <v>286.5274</v>
      </c>
      <c r="AD87" s="1">
        <v>307.87279999999998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128</v>
      </c>
      <c r="B88" s="1" t="s">
        <v>35</v>
      </c>
      <c r="C88" s="1">
        <v>1710.002</v>
      </c>
      <c r="D88" s="1">
        <v>1117.223</v>
      </c>
      <c r="E88" s="1">
        <v>790.62800000000004</v>
      </c>
      <c r="F88" s="1">
        <v>1863.3409999999999</v>
      </c>
      <c r="G88" s="6">
        <v>1</v>
      </c>
      <c r="H88" s="1">
        <v>60</v>
      </c>
      <c r="I88" s="1" t="s">
        <v>36</v>
      </c>
      <c r="J88" s="1"/>
      <c r="K88" s="1">
        <v>805.5</v>
      </c>
      <c r="L88" s="1">
        <f t="shared" si="7"/>
        <v>-14.871999999999957</v>
      </c>
      <c r="M88" s="1"/>
      <c r="N88" s="1"/>
      <c r="O88" s="1">
        <v>173.61546000000041</v>
      </c>
      <c r="P88" s="1"/>
      <c r="Q88" s="1"/>
      <c r="R88" s="1">
        <f t="shared" si="8"/>
        <v>158.12560000000002</v>
      </c>
      <c r="S88" s="1">
        <f t="shared" si="9"/>
        <v>12.881889207060716</v>
      </c>
      <c r="T88" s="1">
        <v>175.36760000000001</v>
      </c>
      <c r="U88" s="1">
        <v>241.06899999999999</v>
      </c>
      <c r="V88" s="1">
        <v>210.56899999999999</v>
      </c>
      <c r="W88" s="1">
        <v>112.8832</v>
      </c>
      <c r="X88" s="1">
        <v>123.03279999999999</v>
      </c>
      <c r="Y88" s="1">
        <v>190.5642</v>
      </c>
      <c r="Z88" s="1">
        <v>220.67740000000001</v>
      </c>
      <c r="AA88" s="1">
        <v>250.80779999999999</v>
      </c>
      <c r="AB88" s="1">
        <v>213.42420000000001</v>
      </c>
      <c r="AC88" s="1">
        <v>191.51259999999999</v>
      </c>
      <c r="AD88" s="1">
        <v>214.91640000000001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 t="s">
        <v>129</v>
      </c>
      <c r="B89" s="1" t="s">
        <v>35</v>
      </c>
      <c r="C89" s="1">
        <v>4870.692</v>
      </c>
      <c r="D89" s="1">
        <v>846.36800000000005</v>
      </c>
      <c r="E89" s="1">
        <v>1909.19</v>
      </c>
      <c r="F89" s="1">
        <v>3552.0149999999999</v>
      </c>
      <c r="G89" s="6">
        <v>1</v>
      </c>
      <c r="H89" s="1">
        <v>60</v>
      </c>
      <c r="I89" s="1" t="s">
        <v>36</v>
      </c>
      <c r="J89" s="1"/>
      <c r="K89" s="1">
        <v>1900.11</v>
      </c>
      <c r="L89" s="1">
        <f t="shared" si="7"/>
        <v>9.0800000000001546</v>
      </c>
      <c r="M89" s="1"/>
      <c r="N89" s="1"/>
      <c r="O89" s="1">
        <v>0</v>
      </c>
      <c r="P89" s="1"/>
      <c r="Q89" s="1"/>
      <c r="R89" s="1">
        <f t="shared" si="8"/>
        <v>381.83800000000002</v>
      </c>
      <c r="S89" s="1">
        <f t="shared" si="9"/>
        <v>9.3024135890089514</v>
      </c>
      <c r="T89" s="1">
        <v>376.52600000000001</v>
      </c>
      <c r="U89" s="1">
        <v>336.5274</v>
      </c>
      <c r="V89" s="1">
        <v>281.4778</v>
      </c>
      <c r="W89" s="1">
        <v>275.24520000000001</v>
      </c>
      <c r="X89" s="1">
        <v>319.42960000000011</v>
      </c>
      <c r="Y89" s="1">
        <v>353.96559999999999</v>
      </c>
      <c r="Z89" s="1">
        <v>357.76280000000003</v>
      </c>
      <c r="AA89" s="1">
        <v>414.20119999999997</v>
      </c>
      <c r="AB89" s="1">
        <v>411.19539999999989</v>
      </c>
      <c r="AC89" s="1">
        <v>457.66879999999998</v>
      </c>
      <c r="AD89" s="1">
        <v>475.00880000000001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8" t="s">
        <v>130</v>
      </c>
      <c r="B90" s="8" t="s">
        <v>35</v>
      </c>
      <c r="C90" s="8"/>
      <c r="D90" s="8"/>
      <c r="E90" s="8"/>
      <c r="F90" s="8"/>
      <c r="G90" s="9">
        <v>0</v>
      </c>
      <c r="H90" s="8"/>
      <c r="I90" s="8" t="s">
        <v>36</v>
      </c>
      <c r="J90" s="8"/>
      <c r="K90" s="8"/>
      <c r="L90" s="8">
        <f t="shared" si="7"/>
        <v>0</v>
      </c>
      <c r="M90" s="8"/>
      <c r="N90" s="8"/>
      <c r="O90" s="8">
        <v>0</v>
      </c>
      <c r="P90" s="8"/>
      <c r="Q90" s="8"/>
      <c r="R90" s="8">
        <f t="shared" si="8"/>
        <v>0</v>
      </c>
      <c r="S90" s="1" t="e">
        <f t="shared" si="9"/>
        <v>#DIV/0!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 t="s">
        <v>42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 t="s">
        <v>131</v>
      </c>
      <c r="B91" s="1" t="s">
        <v>41</v>
      </c>
      <c r="C91" s="1">
        <v>82</v>
      </c>
      <c r="D91" s="1">
        <v>10</v>
      </c>
      <c r="E91" s="1">
        <v>74</v>
      </c>
      <c r="F91" s="1">
        <v>-4</v>
      </c>
      <c r="G91" s="6">
        <v>0.3</v>
      </c>
      <c r="H91" s="1">
        <v>40</v>
      </c>
      <c r="I91" s="1" t="s">
        <v>47</v>
      </c>
      <c r="J91" s="1"/>
      <c r="K91" s="1">
        <v>178</v>
      </c>
      <c r="L91" s="1">
        <f t="shared" si="7"/>
        <v>-104</v>
      </c>
      <c r="M91" s="1"/>
      <c r="N91" s="1"/>
      <c r="O91" s="1">
        <v>129.66800000000001</v>
      </c>
      <c r="P91" s="1">
        <v>-132</v>
      </c>
      <c r="Q91" s="1"/>
      <c r="R91" s="1">
        <f t="shared" si="8"/>
        <v>14.8</v>
      </c>
      <c r="S91" s="1">
        <f t="shared" si="9"/>
        <v>-0.42783783783783741</v>
      </c>
      <c r="T91" s="1">
        <v>19.399999999999999</v>
      </c>
      <c r="U91" s="1">
        <v>20.2</v>
      </c>
      <c r="V91" s="1">
        <v>9.8000000000000007</v>
      </c>
      <c r="W91" s="1">
        <v>5.4</v>
      </c>
      <c r="X91" s="1">
        <v>12.2</v>
      </c>
      <c r="Y91" s="1">
        <v>28.4</v>
      </c>
      <c r="Z91" s="1">
        <v>31.2</v>
      </c>
      <c r="AA91" s="1">
        <v>25.6</v>
      </c>
      <c r="AB91" s="1">
        <v>17</v>
      </c>
      <c r="AC91" s="1">
        <v>10.199999999999999</v>
      </c>
      <c r="AD91" s="1">
        <v>23.4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8" t="s">
        <v>132</v>
      </c>
      <c r="B92" s="8" t="s">
        <v>41</v>
      </c>
      <c r="C92" s="8"/>
      <c r="D92" s="8"/>
      <c r="E92" s="8"/>
      <c r="F92" s="8"/>
      <c r="G92" s="9">
        <v>0</v>
      </c>
      <c r="H92" s="8"/>
      <c r="I92" s="8" t="s">
        <v>36</v>
      </c>
      <c r="J92" s="8"/>
      <c r="K92" s="8"/>
      <c r="L92" s="8">
        <f t="shared" si="7"/>
        <v>0</v>
      </c>
      <c r="M92" s="8"/>
      <c r="N92" s="8"/>
      <c r="O92" s="8">
        <v>0</v>
      </c>
      <c r="P92" s="8"/>
      <c r="Q92" s="8"/>
      <c r="R92" s="8">
        <f t="shared" si="8"/>
        <v>0</v>
      </c>
      <c r="S92" s="1" t="e">
        <f t="shared" si="9"/>
        <v>#DIV/0!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 t="s">
        <v>42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 t="s">
        <v>133</v>
      </c>
      <c r="B93" s="1" t="s">
        <v>41</v>
      </c>
      <c r="C93" s="1">
        <v>179</v>
      </c>
      <c r="D93" s="1">
        <v>91</v>
      </c>
      <c r="E93" s="1">
        <v>123</v>
      </c>
      <c r="F93" s="1">
        <v>137</v>
      </c>
      <c r="G93" s="6">
        <v>7.0000000000000007E-2</v>
      </c>
      <c r="H93" s="1">
        <v>90</v>
      </c>
      <c r="I93" s="1" t="s">
        <v>36</v>
      </c>
      <c r="J93" s="1"/>
      <c r="K93" s="1">
        <v>133</v>
      </c>
      <c r="L93" s="1">
        <f t="shared" si="7"/>
        <v>-10</v>
      </c>
      <c r="M93" s="1"/>
      <c r="N93" s="1"/>
      <c r="O93" s="1">
        <v>15</v>
      </c>
      <c r="P93" s="1">
        <v>-18</v>
      </c>
      <c r="Q93" s="1"/>
      <c r="R93" s="1">
        <f t="shared" si="8"/>
        <v>24.6</v>
      </c>
      <c r="S93" s="1">
        <f t="shared" si="9"/>
        <v>5.4471544715447155</v>
      </c>
      <c r="T93" s="1">
        <v>25.4</v>
      </c>
      <c r="U93" s="1">
        <v>15.4</v>
      </c>
      <c r="V93" s="1">
        <v>12.2</v>
      </c>
      <c r="W93" s="1">
        <v>8.4</v>
      </c>
      <c r="X93" s="1">
        <v>10.8</v>
      </c>
      <c r="Y93" s="1">
        <v>19.600000000000001</v>
      </c>
      <c r="Z93" s="1">
        <v>20.399999999999999</v>
      </c>
      <c r="AA93" s="1">
        <v>13</v>
      </c>
      <c r="AB93" s="1">
        <v>11</v>
      </c>
      <c r="AC93" s="1">
        <v>13.2</v>
      </c>
      <c r="AD93" s="1">
        <v>16.399999999999999</v>
      </c>
      <c r="AE93" s="1" t="s">
        <v>134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 t="s">
        <v>135</v>
      </c>
      <c r="B94" s="1" t="s">
        <v>41</v>
      </c>
      <c r="C94" s="1">
        <v>17</v>
      </c>
      <c r="D94" s="1">
        <v>80</v>
      </c>
      <c r="E94" s="1">
        <v>1</v>
      </c>
      <c r="F94" s="1">
        <v>86</v>
      </c>
      <c r="G94" s="6">
        <v>7.0000000000000007E-2</v>
      </c>
      <c r="H94" s="1">
        <v>90</v>
      </c>
      <c r="I94" s="1" t="s">
        <v>47</v>
      </c>
      <c r="J94" s="1"/>
      <c r="K94" s="1">
        <v>132</v>
      </c>
      <c r="L94" s="1">
        <f t="shared" si="7"/>
        <v>-131</v>
      </c>
      <c r="M94" s="1"/>
      <c r="N94" s="1"/>
      <c r="O94" s="1">
        <v>50</v>
      </c>
      <c r="P94" s="1">
        <v>-50</v>
      </c>
      <c r="Q94" s="1"/>
      <c r="R94" s="12">
        <f t="shared" si="8"/>
        <v>0.2</v>
      </c>
      <c r="S94" s="1">
        <f t="shared" si="9"/>
        <v>430</v>
      </c>
      <c r="T94" s="1">
        <v>0.4</v>
      </c>
      <c r="U94" s="1">
        <v>9.8000000000000007</v>
      </c>
      <c r="V94" s="1">
        <v>13.8</v>
      </c>
      <c r="W94" s="1">
        <v>17.8</v>
      </c>
      <c r="X94" s="1">
        <v>18.8</v>
      </c>
      <c r="Y94" s="1">
        <v>16.399999999999999</v>
      </c>
      <c r="Z94" s="1">
        <v>14</v>
      </c>
      <c r="AA94" s="1">
        <v>15</v>
      </c>
      <c r="AB94" s="1">
        <v>20.8</v>
      </c>
      <c r="AC94" s="1">
        <v>16.8</v>
      </c>
      <c r="AD94" s="1">
        <v>19.2</v>
      </c>
      <c r="AE94" s="1" t="s">
        <v>136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 t="s">
        <v>137</v>
      </c>
      <c r="B95" s="1" t="s">
        <v>41</v>
      </c>
      <c r="C95" s="1">
        <v>191</v>
      </c>
      <c r="D95" s="1">
        <v>93</v>
      </c>
      <c r="E95" s="1">
        <v>121</v>
      </c>
      <c r="F95" s="1">
        <v>156</v>
      </c>
      <c r="G95" s="6">
        <v>7.0000000000000007E-2</v>
      </c>
      <c r="H95" s="1">
        <v>90</v>
      </c>
      <c r="I95" s="1" t="s">
        <v>36</v>
      </c>
      <c r="J95" s="1"/>
      <c r="K95" s="1">
        <v>130</v>
      </c>
      <c r="L95" s="1">
        <f t="shared" si="7"/>
        <v>-9</v>
      </c>
      <c r="M95" s="1"/>
      <c r="N95" s="1"/>
      <c r="O95" s="1">
        <v>0</v>
      </c>
      <c r="P95" s="1"/>
      <c r="Q95" s="1"/>
      <c r="R95" s="1">
        <f t="shared" si="8"/>
        <v>24.2</v>
      </c>
      <c r="S95" s="1">
        <f t="shared" si="9"/>
        <v>6.446280991735537</v>
      </c>
      <c r="T95" s="1">
        <v>23.6</v>
      </c>
      <c r="U95" s="1">
        <v>12.4</v>
      </c>
      <c r="V95" s="1">
        <v>7.2</v>
      </c>
      <c r="W95" s="1">
        <v>6.8</v>
      </c>
      <c r="X95" s="1">
        <v>10</v>
      </c>
      <c r="Y95" s="1">
        <v>18.399999999999999</v>
      </c>
      <c r="Z95" s="1">
        <v>16.399999999999999</v>
      </c>
      <c r="AA95" s="1">
        <v>10.199999999999999</v>
      </c>
      <c r="AB95" s="1">
        <v>12</v>
      </c>
      <c r="AC95" s="1">
        <v>10.6</v>
      </c>
      <c r="AD95" s="1">
        <v>11.6</v>
      </c>
      <c r="AE95" s="1" t="s">
        <v>134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8" t="s">
        <v>138</v>
      </c>
      <c r="B96" s="8" t="s">
        <v>41</v>
      </c>
      <c r="C96" s="8">
        <v>62</v>
      </c>
      <c r="D96" s="8">
        <v>4</v>
      </c>
      <c r="E96" s="8">
        <v>44</v>
      </c>
      <c r="F96" s="8">
        <v>5</v>
      </c>
      <c r="G96" s="9">
        <v>0</v>
      </c>
      <c r="H96" s="8">
        <v>90</v>
      </c>
      <c r="I96" s="8" t="s">
        <v>78</v>
      </c>
      <c r="J96" s="8"/>
      <c r="K96" s="8">
        <v>68</v>
      </c>
      <c r="L96" s="8">
        <f t="shared" si="7"/>
        <v>-24</v>
      </c>
      <c r="M96" s="8"/>
      <c r="N96" s="8"/>
      <c r="O96" s="8">
        <v>0</v>
      </c>
      <c r="P96" s="8"/>
      <c r="Q96" s="8"/>
      <c r="R96" s="8">
        <f t="shared" si="8"/>
        <v>8.8000000000000007</v>
      </c>
      <c r="S96" s="1">
        <f t="shared" si="9"/>
        <v>0.56818181818181812</v>
      </c>
      <c r="T96" s="8">
        <v>11.2</v>
      </c>
      <c r="U96" s="8">
        <v>9.8000000000000007</v>
      </c>
      <c r="V96" s="8">
        <v>9</v>
      </c>
      <c r="W96" s="8">
        <v>7.4</v>
      </c>
      <c r="X96" s="8">
        <v>7.4</v>
      </c>
      <c r="Y96" s="8">
        <v>8.6</v>
      </c>
      <c r="Z96" s="8">
        <v>12</v>
      </c>
      <c r="AA96" s="8">
        <v>14.4</v>
      </c>
      <c r="AB96" s="8">
        <v>13.8</v>
      </c>
      <c r="AC96" s="8">
        <v>14.8</v>
      </c>
      <c r="AD96" s="8">
        <v>16.2</v>
      </c>
      <c r="AE96" s="8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8" t="s">
        <v>139</v>
      </c>
      <c r="B97" s="8" t="s">
        <v>41</v>
      </c>
      <c r="C97" s="8"/>
      <c r="D97" s="8"/>
      <c r="E97" s="8"/>
      <c r="F97" s="8"/>
      <c r="G97" s="9">
        <v>0</v>
      </c>
      <c r="H97" s="8"/>
      <c r="I97" s="8" t="s">
        <v>36</v>
      </c>
      <c r="J97" s="8"/>
      <c r="K97" s="8"/>
      <c r="L97" s="8">
        <f t="shared" si="7"/>
        <v>0</v>
      </c>
      <c r="M97" s="8"/>
      <c r="N97" s="8"/>
      <c r="O97" s="8">
        <v>0</v>
      </c>
      <c r="P97" s="8"/>
      <c r="Q97" s="8"/>
      <c r="R97" s="8">
        <f t="shared" si="8"/>
        <v>0</v>
      </c>
      <c r="S97" s="1" t="e">
        <f t="shared" si="9"/>
        <v>#DIV/0!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 t="s">
        <v>42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 t="s">
        <v>140</v>
      </c>
      <c r="B98" s="1" t="s">
        <v>35</v>
      </c>
      <c r="C98" s="1"/>
      <c r="D98" s="1">
        <v>4.0960000000000001</v>
      </c>
      <c r="E98" s="1">
        <v>-3.2170000000000001</v>
      </c>
      <c r="F98" s="1">
        <v>4.0960000000000001</v>
      </c>
      <c r="G98" s="6">
        <v>1</v>
      </c>
      <c r="H98" s="1">
        <v>55</v>
      </c>
      <c r="I98" s="1" t="s">
        <v>36</v>
      </c>
      <c r="J98" s="1"/>
      <c r="K98" s="1">
        <v>6</v>
      </c>
      <c r="L98" s="1">
        <f t="shared" si="7"/>
        <v>-9.2170000000000005</v>
      </c>
      <c r="M98" s="1"/>
      <c r="N98" s="1"/>
      <c r="O98" s="1">
        <v>8</v>
      </c>
      <c r="P98" s="1"/>
      <c r="Q98" s="1"/>
      <c r="R98" s="1">
        <f t="shared" si="8"/>
        <v>-0.64339999999999997</v>
      </c>
      <c r="S98" s="1">
        <f t="shared" si="9"/>
        <v>-18.80012433944669</v>
      </c>
      <c r="T98" s="1">
        <v>-0.32300000000000001</v>
      </c>
      <c r="U98" s="1">
        <v>0</v>
      </c>
      <c r="V98" s="1">
        <v>2.1076000000000001</v>
      </c>
      <c r="W98" s="1">
        <v>1.9372</v>
      </c>
      <c r="X98" s="1">
        <v>2.2138</v>
      </c>
      <c r="Y98" s="1">
        <v>4.1204000000000001</v>
      </c>
      <c r="Z98" s="1">
        <v>3.4714</v>
      </c>
      <c r="AA98" s="1">
        <v>2.1972</v>
      </c>
      <c r="AB98" s="1">
        <v>3.1594000000000002</v>
      </c>
      <c r="AC98" s="1">
        <v>4.0695999999999994</v>
      </c>
      <c r="AD98" s="1">
        <v>3.1516000000000002</v>
      </c>
      <c r="AE98" s="1" t="s">
        <v>141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 t="s">
        <v>142</v>
      </c>
      <c r="B99" s="1" t="s">
        <v>41</v>
      </c>
      <c r="C99" s="1"/>
      <c r="D99" s="1">
        <v>110</v>
      </c>
      <c r="E99" s="1">
        <v>7</v>
      </c>
      <c r="F99" s="1">
        <v>53</v>
      </c>
      <c r="G99" s="6">
        <v>0.11</v>
      </c>
      <c r="H99" s="1">
        <v>30</v>
      </c>
      <c r="I99" s="1" t="s">
        <v>36</v>
      </c>
      <c r="J99" s="1"/>
      <c r="K99" s="1">
        <v>9</v>
      </c>
      <c r="L99" s="1">
        <f t="shared" si="7"/>
        <v>-2</v>
      </c>
      <c r="M99" s="1"/>
      <c r="N99" s="1"/>
      <c r="O99" s="1">
        <v>0</v>
      </c>
      <c r="P99" s="1"/>
      <c r="Q99" s="1"/>
      <c r="R99" s="12">
        <f t="shared" si="8"/>
        <v>1.4</v>
      </c>
      <c r="S99" s="1">
        <f t="shared" si="9"/>
        <v>37.857142857142861</v>
      </c>
      <c r="T99" s="1">
        <v>0</v>
      </c>
      <c r="U99" s="1">
        <v>0</v>
      </c>
      <c r="V99" s="1">
        <v>0</v>
      </c>
      <c r="W99" s="1">
        <v>0</v>
      </c>
      <c r="X99" s="1">
        <v>3.2</v>
      </c>
      <c r="Y99" s="1">
        <v>3.2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 t="s">
        <v>143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8" t="s">
        <v>144</v>
      </c>
      <c r="B100" s="8" t="s">
        <v>41</v>
      </c>
      <c r="C100" s="8"/>
      <c r="D100" s="8"/>
      <c r="E100" s="8"/>
      <c r="F100" s="8"/>
      <c r="G100" s="9">
        <v>0</v>
      </c>
      <c r="H100" s="8"/>
      <c r="I100" s="8" t="s">
        <v>36</v>
      </c>
      <c r="J100" s="8"/>
      <c r="K100" s="8"/>
      <c r="L100" s="8">
        <f t="shared" si="7"/>
        <v>0</v>
      </c>
      <c r="M100" s="8"/>
      <c r="N100" s="8"/>
      <c r="O100" s="8">
        <v>0</v>
      </c>
      <c r="P100" s="8"/>
      <c r="Q100" s="8"/>
      <c r="R100" s="8">
        <f t="shared" si="8"/>
        <v>0</v>
      </c>
      <c r="S100" s="1" t="e">
        <f t="shared" si="9"/>
        <v>#DIV/0!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 t="s">
        <v>42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 t="s">
        <v>145</v>
      </c>
      <c r="B101" s="1" t="s">
        <v>41</v>
      </c>
      <c r="C101" s="1">
        <v>179</v>
      </c>
      <c r="D101" s="1">
        <v>83</v>
      </c>
      <c r="E101" s="1">
        <v>105</v>
      </c>
      <c r="F101" s="1">
        <v>120</v>
      </c>
      <c r="G101" s="6">
        <v>0.08</v>
      </c>
      <c r="H101" s="1">
        <v>45</v>
      </c>
      <c r="I101" s="1" t="s">
        <v>36</v>
      </c>
      <c r="J101" s="1"/>
      <c r="K101" s="1">
        <v>118</v>
      </c>
      <c r="L101" s="1">
        <f t="shared" si="7"/>
        <v>-13</v>
      </c>
      <c r="M101" s="1"/>
      <c r="N101" s="1"/>
      <c r="O101" s="1">
        <v>45</v>
      </c>
      <c r="P101" s="1"/>
      <c r="Q101" s="1"/>
      <c r="R101" s="1">
        <f t="shared" si="8"/>
        <v>21</v>
      </c>
      <c r="S101" s="1">
        <f t="shared" si="9"/>
        <v>7.8571428571428568</v>
      </c>
      <c r="T101" s="1">
        <v>19.600000000000001</v>
      </c>
      <c r="U101" s="1">
        <v>16.399999999999999</v>
      </c>
      <c r="V101" s="1">
        <v>14.8</v>
      </c>
      <c r="W101" s="1">
        <v>14</v>
      </c>
      <c r="X101" s="1">
        <v>17.399999999999999</v>
      </c>
      <c r="Y101" s="1">
        <v>23</v>
      </c>
      <c r="Z101" s="1">
        <v>22.2</v>
      </c>
      <c r="AA101" s="1">
        <v>15.4</v>
      </c>
      <c r="AB101" s="1">
        <v>9.8000000000000007</v>
      </c>
      <c r="AC101" s="1">
        <v>10.6</v>
      </c>
      <c r="AD101" s="1">
        <v>19</v>
      </c>
      <c r="AE101" s="1" t="s">
        <v>143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 t="s">
        <v>146</v>
      </c>
      <c r="B102" s="1" t="s">
        <v>41</v>
      </c>
      <c r="C102" s="1">
        <v>72</v>
      </c>
      <c r="D102" s="1">
        <v>192</v>
      </c>
      <c r="E102" s="1">
        <v>80</v>
      </c>
      <c r="F102" s="1">
        <v>170</v>
      </c>
      <c r="G102" s="6">
        <v>0.08</v>
      </c>
      <c r="H102" s="1">
        <v>45</v>
      </c>
      <c r="I102" s="1" t="s">
        <v>36</v>
      </c>
      <c r="J102" s="1"/>
      <c r="K102" s="1">
        <v>90</v>
      </c>
      <c r="L102" s="1">
        <f t="shared" ref="L102:L129" si="10">E102-K102</f>
        <v>-10</v>
      </c>
      <c r="M102" s="1"/>
      <c r="N102" s="1"/>
      <c r="O102" s="1">
        <v>0</v>
      </c>
      <c r="P102" s="1"/>
      <c r="Q102" s="1"/>
      <c r="R102" s="1">
        <f t="shared" ref="R102:R129" si="11">E102/5</f>
        <v>16</v>
      </c>
      <c r="S102" s="1">
        <f t="shared" si="9"/>
        <v>10.625</v>
      </c>
      <c r="T102" s="1">
        <v>15.2</v>
      </c>
      <c r="U102" s="1">
        <v>10.199999999999999</v>
      </c>
      <c r="V102" s="1">
        <v>18.2</v>
      </c>
      <c r="W102" s="1">
        <v>15.6</v>
      </c>
      <c r="X102" s="1">
        <v>12</v>
      </c>
      <c r="Y102" s="1">
        <v>14</v>
      </c>
      <c r="Z102" s="1">
        <v>14</v>
      </c>
      <c r="AA102" s="1">
        <v>12.4</v>
      </c>
      <c r="AB102" s="1">
        <v>17.399999999999999</v>
      </c>
      <c r="AC102" s="1">
        <v>17</v>
      </c>
      <c r="AD102" s="1">
        <v>11</v>
      </c>
      <c r="AE102" s="1" t="s">
        <v>143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" t="s">
        <v>147</v>
      </c>
      <c r="B103" s="1" t="s">
        <v>41</v>
      </c>
      <c r="C103" s="1"/>
      <c r="D103" s="1">
        <v>80</v>
      </c>
      <c r="E103" s="1">
        <v>7</v>
      </c>
      <c r="F103" s="1">
        <v>63</v>
      </c>
      <c r="G103" s="6">
        <v>0.17</v>
      </c>
      <c r="H103" s="1">
        <v>30</v>
      </c>
      <c r="I103" s="1" t="s">
        <v>36</v>
      </c>
      <c r="J103" s="1"/>
      <c r="K103" s="1">
        <v>7</v>
      </c>
      <c r="L103" s="1">
        <f t="shared" si="10"/>
        <v>0</v>
      </c>
      <c r="M103" s="1"/>
      <c r="N103" s="1"/>
      <c r="O103" s="1">
        <v>8</v>
      </c>
      <c r="P103" s="1"/>
      <c r="Q103" s="1"/>
      <c r="R103" s="12">
        <f t="shared" si="11"/>
        <v>1.4</v>
      </c>
      <c r="S103" s="1">
        <f t="shared" si="9"/>
        <v>50.714285714285715</v>
      </c>
      <c r="T103" s="1">
        <v>0</v>
      </c>
      <c r="U103" s="1">
        <v>0</v>
      </c>
      <c r="V103" s="1">
        <v>0</v>
      </c>
      <c r="W103" s="1">
        <v>0.4</v>
      </c>
      <c r="X103" s="1">
        <v>0.8</v>
      </c>
      <c r="Y103" s="1">
        <v>0.4</v>
      </c>
      <c r="Z103" s="1">
        <v>0.2</v>
      </c>
      <c r="AA103" s="1">
        <v>0.4</v>
      </c>
      <c r="AB103" s="1">
        <v>0.2</v>
      </c>
      <c r="AC103" s="1">
        <v>0</v>
      </c>
      <c r="AD103" s="1">
        <v>0</v>
      </c>
      <c r="AE103" s="1" t="s">
        <v>148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 t="s">
        <v>149</v>
      </c>
      <c r="B104" s="1" t="s">
        <v>35</v>
      </c>
      <c r="C104" s="1">
        <v>74.975999999999999</v>
      </c>
      <c r="D104" s="1">
        <v>28.97</v>
      </c>
      <c r="E104" s="1">
        <v>99.027000000000001</v>
      </c>
      <c r="F104" s="1">
        <v>-20.199000000000002</v>
      </c>
      <c r="G104" s="6">
        <v>1</v>
      </c>
      <c r="H104" s="1">
        <v>40</v>
      </c>
      <c r="I104" s="1" t="s">
        <v>47</v>
      </c>
      <c r="J104" s="1"/>
      <c r="K104" s="1">
        <v>129.80000000000001</v>
      </c>
      <c r="L104" s="1">
        <f t="shared" si="10"/>
        <v>-30.77300000000001</v>
      </c>
      <c r="M104" s="1"/>
      <c r="N104" s="1"/>
      <c r="O104" s="1">
        <v>153.165516</v>
      </c>
      <c r="P104" s="1">
        <v>-154</v>
      </c>
      <c r="Q104" s="1"/>
      <c r="R104" s="1">
        <f t="shared" si="11"/>
        <v>19.805399999999999</v>
      </c>
      <c r="S104" s="1">
        <f t="shared" si="9"/>
        <v>-1.0620075332990002</v>
      </c>
      <c r="T104" s="1">
        <v>18.115600000000001</v>
      </c>
      <c r="U104" s="1">
        <v>24.947399999999998</v>
      </c>
      <c r="V104" s="1">
        <v>22.3066</v>
      </c>
      <c r="W104" s="1">
        <v>15.290800000000001</v>
      </c>
      <c r="X104" s="1">
        <v>20.459199999999999</v>
      </c>
      <c r="Y104" s="1">
        <v>22.341999999999999</v>
      </c>
      <c r="Z104" s="1">
        <v>26.3384</v>
      </c>
      <c r="AA104" s="1">
        <v>31.392800000000001</v>
      </c>
      <c r="AB104" s="1">
        <v>26.237200000000001</v>
      </c>
      <c r="AC104" s="1">
        <v>30.513999999999999</v>
      </c>
      <c r="AD104" s="1">
        <v>35.223799999999997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 t="s">
        <v>150</v>
      </c>
      <c r="B105" s="1" t="s">
        <v>35</v>
      </c>
      <c r="C105" s="1">
        <v>139.85400000000001</v>
      </c>
      <c r="D105" s="1"/>
      <c r="E105" s="1">
        <v>66.466999999999999</v>
      </c>
      <c r="F105" s="1">
        <v>43.307000000000002</v>
      </c>
      <c r="G105" s="6">
        <v>1</v>
      </c>
      <c r="H105" s="1">
        <v>40</v>
      </c>
      <c r="I105" s="1" t="s">
        <v>47</v>
      </c>
      <c r="J105" s="1"/>
      <c r="K105" s="1">
        <v>90.5</v>
      </c>
      <c r="L105" s="1">
        <f t="shared" si="10"/>
        <v>-24.033000000000001</v>
      </c>
      <c r="M105" s="1"/>
      <c r="N105" s="1"/>
      <c r="O105" s="1">
        <v>84.715600000000023</v>
      </c>
      <c r="P105" s="1">
        <v>-87.5</v>
      </c>
      <c r="Q105" s="1"/>
      <c r="R105" s="1">
        <f t="shared" si="11"/>
        <v>13.2934</v>
      </c>
      <c r="S105" s="1">
        <f t="shared" si="9"/>
        <v>3.0483247325740601</v>
      </c>
      <c r="T105" s="1">
        <v>12.1866</v>
      </c>
      <c r="U105" s="1">
        <v>20.2988</v>
      </c>
      <c r="V105" s="1">
        <v>19.150400000000001</v>
      </c>
      <c r="W105" s="1">
        <v>10.0184</v>
      </c>
      <c r="X105" s="1">
        <v>10.5992</v>
      </c>
      <c r="Y105" s="1">
        <v>15.360799999999999</v>
      </c>
      <c r="Z105" s="1">
        <v>21.815000000000001</v>
      </c>
      <c r="AA105" s="1">
        <v>26.238600000000002</v>
      </c>
      <c r="AB105" s="1">
        <v>26.207999999999998</v>
      </c>
      <c r="AC105" s="1">
        <v>30.0702</v>
      </c>
      <c r="AD105" s="1">
        <v>27.5472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 t="s">
        <v>151</v>
      </c>
      <c r="B106" s="1" t="s">
        <v>35</v>
      </c>
      <c r="C106" s="1">
        <v>116.589</v>
      </c>
      <c r="D106" s="1"/>
      <c r="E106" s="1">
        <v>98.778999999999996</v>
      </c>
      <c r="F106" s="1">
        <v>2.6259999999999999</v>
      </c>
      <c r="G106" s="6">
        <v>1</v>
      </c>
      <c r="H106" s="1">
        <v>40</v>
      </c>
      <c r="I106" s="1" t="s">
        <v>47</v>
      </c>
      <c r="J106" s="1"/>
      <c r="K106" s="1">
        <v>130.30000000000001</v>
      </c>
      <c r="L106" s="1">
        <f t="shared" si="10"/>
        <v>-31.521000000000015</v>
      </c>
      <c r="M106" s="1"/>
      <c r="N106" s="1"/>
      <c r="O106" s="1">
        <v>118.435712</v>
      </c>
      <c r="P106" s="1">
        <v>-75.555999999999997</v>
      </c>
      <c r="Q106" s="1"/>
      <c r="R106" s="1">
        <f t="shared" si="11"/>
        <v>19.755800000000001</v>
      </c>
      <c r="S106" s="1">
        <f t="shared" si="9"/>
        <v>2.3034102390184148</v>
      </c>
      <c r="T106" s="1">
        <v>15.167199999999999</v>
      </c>
      <c r="U106" s="1">
        <v>24.976800000000001</v>
      </c>
      <c r="V106" s="1">
        <v>27.531199999999998</v>
      </c>
      <c r="W106" s="1">
        <v>20.959199999999999</v>
      </c>
      <c r="X106" s="1">
        <v>21.774000000000001</v>
      </c>
      <c r="Y106" s="1">
        <v>25.6434</v>
      </c>
      <c r="Z106" s="1">
        <v>20.285</v>
      </c>
      <c r="AA106" s="1">
        <v>3.4573999999999998</v>
      </c>
      <c r="AB106" s="1">
        <v>9.8133999999999997</v>
      </c>
      <c r="AC106" s="1">
        <v>30.8186</v>
      </c>
      <c r="AD106" s="1">
        <v>32.925199999999997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8" t="s">
        <v>152</v>
      </c>
      <c r="B107" s="8" t="s">
        <v>41</v>
      </c>
      <c r="C107" s="8"/>
      <c r="D107" s="8"/>
      <c r="E107" s="8"/>
      <c r="F107" s="8"/>
      <c r="G107" s="9">
        <v>0</v>
      </c>
      <c r="H107" s="8"/>
      <c r="I107" s="8" t="s">
        <v>36</v>
      </c>
      <c r="J107" s="8"/>
      <c r="K107" s="8"/>
      <c r="L107" s="8">
        <f t="shared" si="10"/>
        <v>0</v>
      </c>
      <c r="M107" s="8"/>
      <c r="N107" s="8"/>
      <c r="O107" s="8">
        <v>0</v>
      </c>
      <c r="P107" s="8"/>
      <c r="Q107" s="8"/>
      <c r="R107" s="8">
        <f t="shared" si="11"/>
        <v>0</v>
      </c>
      <c r="S107" s="1" t="e">
        <f t="shared" si="9"/>
        <v>#DIV/0!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 t="s">
        <v>42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8" t="s">
        <v>153</v>
      </c>
      <c r="B108" s="8" t="s">
        <v>35</v>
      </c>
      <c r="C108" s="8"/>
      <c r="D108" s="8"/>
      <c r="E108" s="8"/>
      <c r="F108" s="8"/>
      <c r="G108" s="9">
        <v>0</v>
      </c>
      <c r="H108" s="8"/>
      <c r="I108" s="8" t="s">
        <v>36</v>
      </c>
      <c r="J108" s="8"/>
      <c r="K108" s="8"/>
      <c r="L108" s="8">
        <f t="shared" si="10"/>
        <v>0</v>
      </c>
      <c r="M108" s="8"/>
      <c r="N108" s="8"/>
      <c r="O108" s="8">
        <v>0</v>
      </c>
      <c r="P108" s="8"/>
      <c r="Q108" s="8"/>
      <c r="R108" s="8">
        <f t="shared" si="11"/>
        <v>0</v>
      </c>
      <c r="S108" s="1" t="e">
        <f t="shared" si="9"/>
        <v>#DIV/0!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 t="s">
        <v>42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 t="s">
        <v>154</v>
      </c>
      <c r="B109" s="1" t="s">
        <v>41</v>
      </c>
      <c r="C109" s="1">
        <v>182</v>
      </c>
      <c r="D109" s="1">
        <v>13</v>
      </c>
      <c r="E109" s="1">
        <v>142</v>
      </c>
      <c r="F109" s="1">
        <v>25</v>
      </c>
      <c r="G109" s="6">
        <v>0.28000000000000003</v>
      </c>
      <c r="H109" s="1">
        <v>40</v>
      </c>
      <c r="I109" s="1" t="s">
        <v>47</v>
      </c>
      <c r="J109" s="1"/>
      <c r="K109" s="1">
        <v>255</v>
      </c>
      <c r="L109" s="1">
        <f t="shared" si="10"/>
        <v>-113</v>
      </c>
      <c r="M109" s="1"/>
      <c r="N109" s="1"/>
      <c r="O109" s="1">
        <v>226.488</v>
      </c>
      <c r="P109" s="1">
        <v>-228</v>
      </c>
      <c r="Q109" s="1"/>
      <c r="R109" s="1">
        <f t="shared" si="11"/>
        <v>28.4</v>
      </c>
      <c r="S109" s="1">
        <f t="shared" si="9"/>
        <v>0.82704225352112681</v>
      </c>
      <c r="T109" s="1">
        <v>41</v>
      </c>
      <c r="U109" s="1">
        <v>43.2</v>
      </c>
      <c r="V109" s="1">
        <v>41</v>
      </c>
      <c r="W109" s="1">
        <v>34</v>
      </c>
      <c r="X109" s="1">
        <v>24.2</v>
      </c>
      <c r="Y109" s="1">
        <v>32.6</v>
      </c>
      <c r="Z109" s="1">
        <v>45.6</v>
      </c>
      <c r="AA109" s="1">
        <v>52.8</v>
      </c>
      <c r="AB109" s="1">
        <v>57.2</v>
      </c>
      <c r="AC109" s="1">
        <v>51.4</v>
      </c>
      <c r="AD109" s="1">
        <v>46.4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 t="s">
        <v>155</v>
      </c>
      <c r="B110" s="1" t="s">
        <v>41</v>
      </c>
      <c r="C110" s="1">
        <v>186</v>
      </c>
      <c r="D110" s="1">
        <v>4</v>
      </c>
      <c r="E110" s="1">
        <v>189</v>
      </c>
      <c r="F110" s="1">
        <v>3</v>
      </c>
      <c r="G110" s="6">
        <v>0.28000000000000003</v>
      </c>
      <c r="H110" s="1">
        <v>40</v>
      </c>
      <c r="I110" s="1" t="s">
        <v>47</v>
      </c>
      <c r="J110" s="1"/>
      <c r="K110" s="1">
        <v>249</v>
      </c>
      <c r="L110" s="1">
        <f t="shared" si="10"/>
        <v>-60</v>
      </c>
      <c r="M110" s="1"/>
      <c r="N110" s="1"/>
      <c r="O110" s="1">
        <v>283.90800000000007</v>
      </c>
      <c r="P110" s="1">
        <v>-288</v>
      </c>
      <c r="Q110" s="1"/>
      <c r="R110" s="1">
        <f t="shared" si="11"/>
        <v>37.799999999999997</v>
      </c>
      <c r="S110" s="1">
        <f t="shared" si="9"/>
        <v>-2.8888888888886979E-2</v>
      </c>
      <c r="T110" s="1">
        <v>49.6</v>
      </c>
      <c r="U110" s="1">
        <v>46.2</v>
      </c>
      <c r="V110" s="1">
        <v>36</v>
      </c>
      <c r="W110" s="1">
        <v>21</v>
      </c>
      <c r="X110" s="1">
        <v>19.399999999999999</v>
      </c>
      <c r="Y110" s="1">
        <v>32.799999999999997</v>
      </c>
      <c r="Z110" s="1">
        <v>43.4</v>
      </c>
      <c r="AA110" s="1">
        <v>46.6</v>
      </c>
      <c r="AB110" s="1">
        <v>24</v>
      </c>
      <c r="AC110" s="1">
        <v>-0.2</v>
      </c>
      <c r="AD110" s="1">
        <v>1.8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 t="s">
        <v>156</v>
      </c>
      <c r="B111" s="1" t="s">
        <v>41</v>
      </c>
      <c r="C111" s="1">
        <v>115</v>
      </c>
      <c r="D111" s="1">
        <v>2</v>
      </c>
      <c r="E111" s="1">
        <v>97</v>
      </c>
      <c r="F111" s="1">
        <v>4</v>
      </c>
      <c r="G111" s="6">
        <v>0.28000000000000003</v>
      </c>
      <c r="H111" s="1">
        <v>40</v>
      </c>
      <c r="I111" s="1" t="s">
        <v>47</v>
      </c>
      <c r="J111" s="1"/>
      <c r="K111" s="1">
        <v>256</v>
      </c>
      <c r="L111" s="1">
        <f t="shared" si="10"/>
        <v>-159</v>
      </c>
      <c r="M111" s="1"/>
      <c r="N111" s="1"/>
      <c r="O111" s="1">
        <v>251.68</v>
      </c>
      <c r="P111" s="1">
        <v>-252</v>
      </c>
      <c r="Q111" s="1"/>
      <c r="R111" s="1">
        <f t="shared" si="11"/>
        <v>19.399999999999999</v>
      </c>
      <c r="S111" s="1">
        <f t="shared" si="9"/>
        <v>0.18969072164948489</v>
      </c>
      <c r="T111" s="1">
        <v>32.6</v>
      </c>
      <c r="U111" s="1">
        <v>47</v>
      </c>
      <c r="V111" s="1">
        <v>37.200000000000003</v>
      </c>
      <c r="W111" s="1">
        <v>34.799999999999997</v>
      </c>
      <c r="X111" s="1">
        <v>33.200000000000003</v>
      </c>
      <c r="Y111" s="1">
        <v>37.799999999999997</v>
      </c>
      <c r="Z111" s="1">
        <v>41.6</v>
      </c>
      <c r="AA111" s="1">
        <v>45</v>
      </c>
      <c r="AB111" s="1">
        <v>46</v>
      </c>
      <c r="AC111" s="1">
        <v>43.4</v>
      </c>
      <c r="AD111" s="1">
        <v>45.8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 t="s">
        <v>157</v>
      </c>
      <c r="B112" s="1" t="s">
        <v>41</v>
      </c>
      <c r="C112" s="1">
        <v>88</v>
      </c>
      <c r="D112" s="1">
        <v>72</v>
      </c>
      <c r="E112" s="1">
        <v>54</v>
      </c>
      <c r="F112" s="1">
        <v>109</v>
      </c>
      <c r="G112" s="6">
        <v>0.09</v>
      </c>
      <c r="H112" s="1">
        <v>45</v>
      </c>
      <c r="I112" s="1" t="s">
        <v>36</v>
      </c>
      <c r="J112" s="1"/>
      <c r="K112" s="1">
        <v>64</v>
      </c>
      <c r="L112" s="1">
        <f t="shared" si="10"/>
        <v>-10</v>
      </c>
      <c r="M112" s="1"/>
      <c r="N112" s="1"/>
      <c r="O112" s="1">
        <v>40</v>
      </c>
      <c r="P112" s="1"/>
      <c r="Q112" s="1"/>
      <c r="R112" s="1">
        <f t="shared" si="11"/>
        <v>10.8</v>
      </c>
      <c r="S112" s="1">
        <f t="shared" si="9"/>
        <v>13.796296296296296</v>
      </c>
      <c r="T112" s="1">
        <v>9.4</v>
      </c>
      <c r="U112" s="1">
        <v>10</v>
      </c>
      <c r="V112" s="1">
        <v>5.6</v>
      </c>
      <c r="W112" s="1">
        <v>2.4</v>
      </c>
      <c r="X112" s="1">
        <v>3.6</v>
      </c>
      <c r="Y112" s="1">
        <v>8.1999999999999993</v>
      </c>
      <c r="Z112" s="1">
        <v>9.6</v>
      </c>
      <c r="AA112" s="1">
        <v>6.6</v>
      </c>
      <c r="AB112" s="1">
        <v>2.8</v>
      </c>
      <c r="AC112" s="1">
        <v>4.2</v>
      </c>
      <c r="AD112" s="1">
        <v>6</v>
      </c>
      <c r="AE112" s="1" t="s">
        <v>143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 t="s">
        <v>158</v>
      </c>
      <c r="B113" s="1" t="s">
        <v>35</v>
      </c>
      <c r="C113" s="1">
        <v>162.80199999999999</v>
      </c>
      <c r="D113" s="1"/>
      <c r="E113" s="1">
        <v>61.921999999999997</v>
      </c>
      <c r="F113" s="1">
        <v>100.00700000000001</v>
      </c>
      <c r="G113" s="6">
        <v>1</v>
      </c>
      <c r="H113" s="1">
        <v>60</v>
      </c>
      <c r="I113" s="1" t="s">
        <v>36</v>
      </c>
      <c r="J113" s="1"/>
      <c r="K113" s="1">
        <v>65</v>
      </c>
      <c r="L113" s="1">
        <f t="shared" si="10"/>
        <v>-3.078000000000003</v>
      </c>
      <c r="M113" s="1"/>
      <c r="N113" s="1"/>
      <c r="O113" s="1">
        <v>0</v>
      </c>
      <c r="P113" s="1"/>
      <c r="Q113" s="1"/>
      <c r="R113" s="1">
        <f t="shared" si="11"/>
        <v>12.384399999999999</v>
      </c>
      <c r="S113" s="1">
        <f t="shared" si="9"/>
        <v>8.0752398178353424</v>
      </c>
      <c r="T113" s="1">
        <v>12.359</v>
      </c>
      <c r="U113" s="1">
        <v>9.2641999999999989</v>
      </c>
      <c r="V113" s="1">
        <v>7.4257999999999997</v>
      </c>
      <c r="W113" s="1">
        <v>8.0817999999999994</v>
      </c>
      <c r="X113" s="1">
        <v>7.9066000000000001</v>
      </c>
      <c r="Y113" s="1">
        <v>7.5061999999999998</v>
      </c>
      <c r="Z113" s="1">
        <v>11.083399999999999</v>
      </c>
      <c r="AA113" s="1">
        <v>18.972999999999999</v>
      </c>
      <c r="AB113" s="1">
        <v>21.614599999999999</v>
      </c>
      <c r="AC113" s="1">
        <v>13.019600000000001</v>
      </c>
      <c r="AD113" s="1">
        <v>9.3587999999999987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 t="s">
        <v>159</v>
      </c>
      <c r="B114" s="1" t="s">
        <v>35</v>
      </c>
      <c r="C114" s="1">
        <v>109.82</v>
      </c>
      <c r="D114" s="1">
        <v>52.292000000000002</v>
      </c>
      <c r="E114" s="1">
        <v>102.259</v>
      </c>
      <c r="F114" s="1">
        <v>52.360999999999997</v>
      </c>
      <c r="G114" s="6">
        <v>1</v>
      </c>
      <c r="H114" s="1">
        <v>50</v>
      </c>
      <c r="I114" s="1" t="s">
        <v>36</v>
      </c>
      <c r="J114" s="1"/>
      <c r="K114" s="1">
        <v>113</v>
      </c>
      <c r="L114" s="1">
        <f t="shared" si="10"/>
        <v>-10.741</v>
      </c>
      <c r="M114" s="1"/>
      <c r="N114" s="1"/>
      <c r="O114" s="1">
        <v>20.598000000000042</v>
      </c>
      <c r="P114" s="1"/>
      <c r="Q114" s="1"/>
      <c r="R114" s="1">
        <f t="shared" si="11"/>
        <v>20.451799999999999</v>
      </c>
      <c r="S114" s="1">
        <f t="shared" si="9"/>
        <v>3.5673632638691966</v>
      </c>
      <c r="T114" s="1">
        <v>21.4636</v>
      </c>
      <c r="U114" s="1">
        <v>13.702</v>
      </c>
      <c r="V114" s="1">
        <v>12.7056</v>
      </c>
      <c r="W114" s="1">
        <v>13.9284</v>
      </c>
      <c r="X114" s="1">
        <v>8.4375999999999998</v>
      </c>
      <c r="Y114" s="1">
        <v>7.9498000000000006</v>
      </c>
      <c r="Z114" s="1">
        <v>13.4292</v>
      </c>
      <c r="AA114" s="1">
        <v>21.123000000000001</v>
      </c>
      <c r="AB114" s="1">
        <v>25.892800000000001</v>
      </c>
      <c r="AC114" s="1">
        <v>21.508199999999999</v>
      </c>
      <c r="AD114" s="1">
        <v>16.107800000000001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160</v>
      </c>
      <c r="B115" s="1" t="s">
        <v>41</v>
      </c>
      <c r="C115" s="1">
        <v>82</v>
      </c>
      <c r="D115" s="1">
        <v>72</v>
      </c>
      <c r="E115" s="1">
        <v>65</v>
      </c>
      <c r="F115" s="1">
        <v>93</v>
      </c>
      <c r="G115" s="6">
        <v>0.09</v>
      </c>
      <c r="H115" s="1">
        <v>45</v>
      </c>
      <c r="I115" s="1" t="s">
        <v>36</v>
      </c>
      <c r="J115" s="1"/>
      <c r="K115" s="1">
        <v>63</v>
      </c>
      <c r="L115" s="1">
        <f t="shared" si="10"/>
        <v>2</v>
      </c>
      <c r="M115" s="1"/>
      <c r="N115" s="1"/>
      <c r="O115" s="1">
        <v>13.600000000000019</v>
      </c>
      <c r="P115" s="1"/>
      <c r="Q115" s="1"/>
      <c r="R115" s="1">
        <f t="shared" si="11"/>
        <v>13</v>
      </c>
      <c r="S115" s="1">
        <f t="shared" si="9"/>
        <v>8.2000000000000011</v>
      </c>
      <c r="T115" s="1">
        <v>11</v>
      </c>
      <c r="U115" s="1">
        <v>11.8</v>
      </c>
      <c r="V115" s="1">
        <v>6</v>
      </c>
      <c r="W115" s="1">
        <v>3.4</v>
      </c>
      <c r="X115" s="1">
        <v>6.2</v>
      </c>
      <c r="Y115" s="1">
        <v>9.4</v>
      </c>
      <c r="Z115" s="1">
        <v>6</v>
      </c>
      <c r="AA115" s="1">
        <v>3.8</v>
      </c>
      <c r="AB115" s="1">
        <v>5.2</v>
      </c>
      <c r="AC115" s="1">
        <v>5.6</v>
      </c>
      <c r="AD115" s="1">
        <v>6.4</v>
      </c>
      <c r="AE115" s="1" t="s">
        <v>143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 t="s">
        <v>161</v>
      </c>
      <c r="B116" s="1" t="s">
        <v>41</v>
      </c>
      <c r="C116" s="1">
        <v>46</v>
      </c>
      <c r="D116" s="1">
        <v>71</v>
      </c>
      <c r="E116" s="1">
        <v>62</v>
      </c>
      <c r="F116" s="1">
        <v>57</v>
      </c>
      <c r="G116" s="6">
        <v>0.09</v>
      </c>
      <c r="H116" s="1">
        <v>45</v>
      </c>
      <c r="I116" s="1" t="s">
        <v>36</v>
      </c>
      <c r="J116" s="1"/>
      <c r="K116" s="1">
        <v>88</v>
      </c>
      <c r="L116" s="1">
        <f t="shared" si="10"/>
        <v>-26</v>
      </c>
      <c r="M116" s="1"/>
      <c r="N116" s="1"/>
      <c r="O116" s="1">
        <v>85.800000000000011</v>
      </c>
      <c r="P116" s="1"/>
      <c r="Q116" s="1"/>
      <c r="R116" s="1">
        <f t="shared" si="11"/>
        <v>12.4</v>
      </c>
      <c r="S116" s="1">
        <f t="shared" si="9"/>
        <v>11.516129032258066</v>
      </c>
      <c r="T116" s="1">
        <v>10</v>
      </c>
      <c r="U116" s="1">
        <v>13.4</v>
      </c>
      <c r="V116" s="1">
        <v>7.2</v>
      </c>
      <c r="W116" s="1">
        <v>5.6</v>
      </c>
      <c r="X116" s="1">
        <v>5.6</v>
      </c>
      <c r="Y116" s="1">
        <v>7.8</v>
      </c>
      <c r="Z116" s="1">
        <v>6</v>
      </c>
      <c r="AA116" s="1">
        <v>3.2</v>
      </c>
      <c r="AB116" s="1">
        <v>3.8</v>
      </c>
      <c r="AC116" s="1">
        <v>6.2</v>
      </c>
      <c r="AD116" s="1">
        <v>6.2</v>
      </c>
      <c r="AE116" s="1" t="s">
        <v>143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162</v>
      </c>
      <c r="B117" s="1" t="s">
        <v>35</v>
      </c>
      <c r="C117" s="1">
        <v>109.991</v>
      </c>
      <c r="D117" s="1">
        <v>42.622</v>
      </c>
      <c r="E117" s="1">
        <v>87.614999999999995</v>
      </c>
      <c r="F117" s="1">
        <v>42.954999999999998</v>
      </c>
      <c r="G117" s="6">
        <v>1</v>
      </c>
      <c r="H117" s="1">
        <v>60</v>
      </c>
      <c r="I117" s="1" t="s">
        <v>36</v>
      </c>
      <c r="J117" s="1"/>
      <c r="K117" s="1">
        <v>86.9</v>
      </c>
      <c r="L117" s="1">
        <f t="shared" si="10"/>
        <v>0.7149999999999892</v>
      </c>
      <c r="M117" s="1"/>
      <c r="N117" s="1"/>
      <c r="O117" s="1">
        <v>53.730400000000053</v>
      </c>
      <c r="P117" s="1"/>
      <c r="Q117" s="1"/>
      <c r="R117" s="1">
        <f t="shared" si="11"/>
        <v>17.523</v>
      </c>
      <c r="S117" s="1">
        <f t="shared" si="9"/>
        <v>5.5176282600011444</v>
      </c>
      <c r="T117" s="1">
        <v>16.994599999999998</v>
      </c>
      <c r="U117" s="1">
        <v>15.692399999999999</v>
      </c>
      <c r="V117" s="1">
        <v>14.6084</v>
      </c>
      <c r="W117" s="1">
        <v>7.5492000000000008</v>
      </c>
      <c r="X117" s="1">
        <v>5.8979999999999997</v>
      </c>
      <c r="Y117" s="1">
        <v>11.662599999999999</v>
      </c>
      <c r="Z117" s="1">
        <v>14.193199999999999</v>
      </c>
      <c r="AA117" s="1">
        <v>18.148800000000001</v>
      </c>
      <c r="AB117" s="1">
        <v>14.731400000000001</v>
      </c>
      <c r="AC117" s="1">
        <v>11.702199999999999</v>
      </c>
      <c r="AD117" s="1">
        <v>16.356999999999999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 t="s">
        <v>163</v>
      </c>
      <c r="B118" s="1" t="s">
        <v>35</v>
      </c>
      <c r="C118" s="1">
        <v>118.005</v>
      </c>
      <c r="D118" s="1">
        <v>131.18600000000001</v>
      </c>
      <c r="E118" s="1">
        <v>116.52</v>
      </c>
      <c r="F118" s="1">
        <v>118.46599999999999</v>
      </c>
      <c r="G118" s="6">
        <v>1</v>
      </c>
      <c r="H118" s="1">
        <v>60</v>
      </c>
      <c r="I118" s="1" t="s">
        <v>36</v>
      </c>
      <c r="J118" s="1"/>
      <c r="K118" s="1">
        <v>129.6</v>
      </c>
      <c r="L118" s="1">
        <f t="shared" si="10"/>
        <v>-13.079999999999998</v>
      </c>
      <c r="M118" s="1"/>
      <c r="N118" s="1"/>
      <c r="O118" s="1">
        <v>135.60924800000001</v>
      </c>
      <c r="P118" s="1"/>
      <c r="Q118" s="1"/>
      <c r="R118" s="1">
        <f t="shared" si="11"/>
        <v>23.303999999999998</v>
      </c>
      <c r="S118" s="1">
        <f t="shared" si="9"/>
        <v>10.902645382766908</v>
      </c>
      <c r="T118" s="1">
        <v>26.598199999999999</v>
      </c>
      <c r="U118" s="1">
        <v>30.647200000000002</v>
      </c>
      <c r="V118" s="1">
        <v>27.384</v>
      </c>
      <c r="W118" s="1">
        <v>11.255599999999999</v>
      </c>
      <c r="X118" s="1">
        <v>13.8432</v>
      </c>
      <c r="Y118" s="1">
        <v>24.488800000000001</v>
      </c>
      <c r="Z118" s="1">
        <v>27.658799999999999</v>
      </c>
      <c r="AA118" s="1">
        <v>32.487400000000001</v>
      </c>
      <c r="AB118" s="1">
        <v>32.491</v>
      </c>
      <c r="AC118" s="1">
        <v>33.539200000000001</v>
      </c>
      <c r="AD118" s="1">
        <v>38.166400000000003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 t="s">
        <v>164</v>
      </c>
      <c r="B119" s="1" t="s">
        <v>35</v>
      </c>
      <c r="C119" s="1">
        <v>55.747</v>
      </c>
      <c r="D119" s="1">
        <v>37.750999999999998</v>
      </c>
      <c r="E119" s="1">
        <v>32.54</v>
      </c>
      <c r="F119" s="1">
        <v>55.319000000000003</v>
      </c>
      <c r="G119" s="6">
        <v>1</v>
      </c>
      <c r="H119" s="1">
        <v>60</v>
      </c>
      <c r="I119" s="1" t="s">
        <v>36</v>
      </c>
      <c r="J119" s="1"/>
      <c r="K119" s="1">
        <v>38.6</v>
      </c>
      <c r="L119" s="1">
        <f t="shared" si="10"/>
        <v>-6.0600000000000023</v>
      </c>
      <c r="M119" s="1"/>
      <c r="N119" s="1"/>
      <c r="O119" s="1">
        <v>0</v>
      </c>
      <c r="P119" s="1"/>
      <c r="Q119" s="1"/>
      <c r="R119" s="1">
        <f t="shared" si="11"/>
        <v>6.508</v>
      </c>
      <c r="S119" s="1">
        <f t="shared" si="9"/>
        <v>8.500153657037492</v>
      </c>
      <c r="T119" s="1">
        <v>5.4029999999999996</v>
      </c>
      <c r="U119" s="1">
        <v>3.9361999999999999</v>
      </c>
      <c r="V119" s="1">
        <v>5.5831999999999997</v>
      </c>
      <c r="W119" s="1">
        <v>5.3019999999999996</v>
      </c>
      <c r="X119" s="1">
        <v>3.3967999999999998</v>
      </c>
      <c r="Y119" s="1">
        <v>6.5150000000000006</v>
      </c>
      <c r="Z119" s="1">
        <v>7.4676</v>
      </c>
      <c r="AA119" s="1">
        <v>6.0911999999999997</v>
      </c>
      <c r="AB119" s="1">
        <v>8.3735999999999997</v>
      </c>
      <c r="AC119" s="1">
        <v>6.7864000000000004</v>
      </c>
      <c r="AD119" s="1">
        <v>2.7437999999999998</v>
      </c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 t="s">
        <v>165</v>
      </c>
      <c r="B120" s="1" t="s">
        <v>35</v>
      </c>
      <c r="C120" s="1">
        <v>1920.711</v>
      </c>
      <c r="D120" s="1">
        <v>284.7</v>
      </c>
      <c r="E120" s="1">
        <v>986.32</v>
      </c>
      <c r="F120" s="1">
        <v>1112.8910000000001</v>
      </c>
      <c r="G120" s="6">
        <v>1</v>
      </c>
      <c r="H120" s="1">
        <v>60</v>
      </c>
      <c r="I120" s="1" t="s">
        <v>36</v>
      </c>
      <c r="J120" s="1"/>
      <c r="K120" s="1">
        <v>1046.5</v>
      </c>
      <c r="L120" s="1">
        <f t="shared" si="10"/>
        <v>-60.17999999999995</v>
      </c>
      <c r="M120" s="1"/>
      <c r="N120" s="1"/>
      <c r="O120" s="1">
        <v>0</v>
      </c>
      <c r="P120" s="1"/>
      <c r="Q120" s="1"/>
      <c r="R120" s="1">
        <f t="shared" si="11"/>
        <v>197.26400000000001</v>
      </c>
      <c r="S120" s="1">
        <f t="shared" si="9"/>
        <v>5.641632533052154</v>
      </c>
      <c r="T120" s="1">
        <v>173.6292</v>
      </c>
      <c r="U120" s="1">
        <v>165.13419999999999</v>
      </c>
      <c r="V120" s="1">
        <v>149.19040000000001</v>
      </c>
      <c r="W120" s="1">
        <v>130.2586</v>
      </c>
      <c r="X120" s="1">
        <v>161.93</v>
      </c>
      <c r="Y120" s="1">
        <v>151.02940000000001</v>
      </c>
      <c r="Z120" s="1">
        <v>117.4376</v>
      </c>
      <c r="AA120" s="1">
        <v>168.51339999999999</v>
      </c>
      <c r="AB120" s="1">
        <v>198.84460000000001</v>
      </c>
      <c r="AC120" s="1">
        <v>196.62360000000001</v>
      </c>
      <c r="AD120" s="1">
        <v>210.56399999999999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 t="s">
        <v>166</v>
      </c>
      <c r="B121" s="1" t="s">
        <v>41</v>
      </c>
      <c r="C121" s="1">
        <v>2</v>
      </c>
      <c r="D121" s="1">
        <v>144</v>
      </c>
      <c r="E121" s="1"/>
      <c r="F121" s="1">
        <v>146</v>
      </c>
      <c r="G121" s="6">
        <v>0.25</v>
      </c>
      <c r="H121" s="1"/>
      <c r="I121" s="1" t="s">
        <v>47</v>
      </c>
      <c r="J121" s="1"/>
      <c r="K121" s="1">
        <v>5</v>
      </c>
      <c r="L121" s="1">
        <f t="shared" si="10"/>
        <v>-5</v>
      </c>
      <c r="M121" s="1"/>
      <c r="N121" s="1"/>
      <c r="O121" s="1">
        <v>80</v>
      </c>
      <c r="P121" s="1">
        <v>-84</v>
      </c>
      <c r="Q121" s="1"/>
      <c r="R121" s="1">
        <f t="shared" si="11"/>
        <v>0</v>
      </c>
      <c r="S121" s="1" t="e">
        <f t="shared" si="9"/>
        <v>#DIV/0!</v>
      </c>
      <c r="T121" s="1">
        <v>0</v>
      </c>
      <c r="U121" s="1">
        <v>1.8</v>
      </c>
      <c r="V121" s="1">
        <v>8.1999999999999993</v>
      </c>
      <c r="W121" s="1">
        <v>40.200000000000003</v>
      </c>
      <c r="X121" s="1">
        <v>33.799999999999997</v>
      </c>
      <c r="Y121" s="1">
        <v>0</v>
      </c>
      <c r="Z121" s="1">
        <v>0</v>
      </c>
      <c r="AA121" s="1">
        <v>0</v>
      </c>
      <c r="AB121" s="1">
        <v>0.05</v>
      </c>
      <c r="AC121" s="1">
        <v>0</v>
      </c>
      <c r="AD121" s="1">
        <v>0</v>
      </c>
      <c r="AE121" s="1" t="s">
        <v>167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 t="s">
        <v>168</v>
      </c>
      <c r="B122" s="1" t="s">
        <v>41</v>
      </c>
      <c r="C122" s="1">
        <v>68</v>
      </c>
      <c r="D122" s="1"/>
      <c r="E122" s="1">
        <v>20</v>
      </c>
      <c r="F122" s="1">
        <v>68</v>
      </c>
      <c r="G122" s="6">
        <v>0.32500000000000001</v>
      </c>
      <c r="H122" s="1"/>
      <c r="I122" s="1" t="s">
        <v>47</v>
      </c>
      <c r="J122" s="1"/>
      <c r="K122" s="1"/>
      <c r="L122" s="1">
        <f t="shared" si="10"/>
        <v>20</v>
      </c>
      <c r="M122" s="1"/>
      <c r="N122" s="1"/>
      <c r="O122" s="1">
        <v>100</v>
      </c>
      <c r="P122" s="1"/>
      <c r="Q122" s="1"/>
      <c r="R122" s="12">
        <f t="shared" si="11"/>
        <v>4</v>
      </c>
      <c r="S122" s="1">
        <f t="shared" si="9"/>
        <v>42</v>
      </c>
      <c r="T122" s="1">
        <v>4.2</v>
      </c>
      <c r="U122" s="1">
        <v>5.8</v>
      </c>
      <c r="V122" s="1">
        <v>7.2</v>
      </c>
      <c r="W122" s="1">
        <v>21.2</v>
      </c>
      <c r="X122" s="1">
        <v>15.8</v>
      </c>
      <c r="Y122" s="1">
        <v>0</v>
      </c>
      <c r="Z122" s="1">
        <v>0</v>
      </c>
      <c r="AA122" s="1">
        <v>0</v>
      </c>
      <c r="AB122" s="1">
        <v>6.5000000000000002E-2</v>
      </c>
      <c r="AC122" s="1">
        <v>0</v>
      </c>
      <c r="AD122" s="1">
        <v>0</v>
      </c>
      <c r="AE122" s="1" t="s">
        <v>167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 t="s">
        <v>169</v>
      </c>
      <c r="B123" s="1" t="s">
        <v>41</v>
      </c>
      <c r="C123" s="1"/>
      <c r="D123" s="1">
        <v>612</v>
      </c>
      <c r="E123" s="1">
        <v>65</v>
      </c>
      <c r="F123" s="1">
        <v>476</v>
      </c>
      <c r="G123" s="6">
        <v>0.25</v>
      </c>
      <c r="H123" s="1"/>
      <c r="I123" s="1" t="s">
        <v>36</v>
      </c>
      <c r="J123" s="1"/>
      <c r="K123" s="1">
        <v>181</v>
      </c>
      <c r="L123" s="1">
        <f t="shared" si="10"/>
        <v>-116</v>
      </c>
      <c r="M123" s="1"/>
      <c r="N123" s="1"/>
      <c r="O123" s="1">
        <v>0</v>
      </c>
      <c r="P123" s="1"/>
      <c r="Q123" s="1"/>
      <c r="R123" s="12">
        <f t="shared" si="11"/>
        <v>13</v>
      </c>
      <c r="S123" s="1">
        <f t="shared" si="9"/>
        <v>36.615384615384613</v>
      </c>
      <c r="T123" s="1">
        <v>1.2</v>
      </c>
      <c r="U123" s="1">
        <v>1.8</v>
      </c>
      <c r="V123" s="1">
        <v>8</v>
      </c>
      <c r="W123" s="1">
        <v>40.4</v>
      </c>
      <c r="X123" s="1">
        <v>34.4</v>
      </c>
      <c r="Y123" s="1">
        <v>0</v>
      </c>
      <c r="Z123" s="1">
        <v>0</v>
      </c>
      <c r="AA123" s="1">
        <v>0</v>
      </c>
      <c r="AB123" s="1">
        <v>0.05</v>
      </c>
      <c r="AC123" s="1">
        <v>0</v>
      </c>
      <c r="AD123" s="1">
        <v>0</v>
      </c>
      <c r="AE123" s="1" t="s">
        <v>167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 t="s">
        <v>170</v>
      </c>
      <c r="B124" s="1" t="s">
        <v>41</v>
      </c>
      <c r="C124" s="1">
        <v>417</v>
      </c>
      <c r="D124" s="1">
        <v>20.434999999999999</v>
      </c>
      <c r="E124" s="1">
        <v>260</v>
      </c>
      <c r="F124" s="1">
        <v>114</v>
      </c>
      <c r="G124" s="6">
        <v>0.3</v>
      </c>
      <c r="H124" s="1">
        <v>40</v>
      </c>
      <c r="I124" s="1" t="s">
        <v>47</v>
      </c>
      <c r="J124" s="1"/>
      <c r="K124" s="1">
        <v>313</v>
      </c>
      <c r="L124" s="1">
        <f t="shared" si="10"/>
        <v>-53</v>
      </c>
      <c r="M124" s="1"/>
      <c r="N124" s="1"/>
      <c r="O124" s="1">
        <v>60</v>
      </c>
      <c r="P124" s="1">
        <v>-60</v>
      </c>
      <c r="Q124" s="1"/>
      <c r="R124" s="1">
        <f t="shared" si="11"/>
        <v>52</v>
      </c>
      <c r="S124" s="1">
        <f t="shared" si="9"/>
        <v>2.1923076923076925</v>
      </c>
      <c r="T124" s="1">
        <v>43.487000000000002</v>
      </c>
      <c r="U124" s="1">
        <v>36.4</v>
      </c>
      <c r="V124" s="1">
        <v>33.200000000000003</v>
      </c>
      <c r="W124" s="1">
        <v>32.200000000000003</v>
      </c>
      <c r="X124" s="1">
        <v>32</v>
      </c>
      <c r="Y124" s="1">
        <v>44.4</v>
      </c>
      <c r="Z124" s="1">
        <v>38.4</v>
      </c>
      <c r="AA124" s="1">
        <v>19.399999999999999</v>
      </c>
      <c r="AB124" s="1">
        <v>29</v>
      </c>
      <c r="AC124" s="1">
        <v>46.8</v>
      </c>
      <c r="AD124" s="1">
        <v>49.4</v>
      </c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 t="s">
        <v>171</v>
      </c>
      <c r="B125" s="1" t="s">
        <v>41</v>
      </c>
      <c r="C125" s="1">
        <v>77</v>
      </c>
      <c r="D125" s="1">
        <v>6</v>
      </c>
      <c r="E125" s="1">
        <v>72</v>
      </c>
      <c r="F125" s="1">
        <v>5</v>
      </c>
      <c r="G125" s="6">
        <v>0.3</v>
      </c>
      <c r="H125" s="1">
        <v>40</v>
      </c>
      <c r="I125" s="1" t="s">
        <v>47</v>
      </c>
      <c r="J125" s="1"/>
      <c r="K125" s="1">
        <v>168</v>
      </c>
      <c r="L125" s="1">
        <f t="shared" si="10"/>
        <v>-96</v>
      </c>
      <c r="M125" s="1"/>
      <c r="N125" s="1"/>
      <c r="O125" s="1">
        <v>80</v>
      </c>
      <c r="P125" s="1">
        <v>-84</v>
      </c>
      <c r="Q125" s="1"/>
      <c r="R125" s="1">
        <f t="shared" si="11"/>
        <v>14.4</v>
      </c>
      <c r="S125" s="1">
        <f t="shared" si="9"/>
        <v>6.9444444444444448E-2</v>
      </c>
      <c r="T125" s="1">
        <v>19</v>
      </c>
      <c r="U125" s="1">
        <v>30.6</v>
      </c>
      <c r="V125" s="1">
        <v>31</v>
      </c>
      <c r="W125" s="1">
        <v>25.2</v>
      </c>
      <c r="X125" s="1">
        <v>24.6</v>
      </c>
      <c r="Y125" s="1">
        <v>23.6</v>
      </c>
      <c r="Z125" s="1">
        <v>18.399999999999999</v>
      </c>
      <c r="AA125" s="1">
        <v>7.4</v>
      </c>
      <c r="AB125" s="1">
        <v>13.2</v>
      </c>
      <c r="AC125" s="1">
        <v>39.200000000000003</v>
      </c>
      <c r="AD125" s="1">
        <v>42.6</v>
      </c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 t="s">
        <v>172</v>
      </c>
      <c r="B126" s="1" t="s">
        <v>35</v>
      </c>
      <c r="C126" s="1">
        <v>34.256999999999998</v>
      </c>
      <c r="D126" s="1"/>
      <c r="E126" s="1">
        <v>19.027000000000001</v>
      </c>
      <c r="F126" s="1">
        <v>9.7050000000000001</v>
      </c>
      <c r="G126" s="6">
        <v>1</v>
      </c>
      <c r="H126" s="1">
        <v>50</v>
      </c>
      <c r="I126" s="1" t="s">
        <v>36</v>
      </c>
      <c r="J126" s="1"/>
      <c r="K126" s="1">
        <v>25.3</v>
      </c>
      <c r="L126" s="1">
        <f t="shared" si="10"/>
        <v>-6.2729999999999997</v>
      </c>
      <c r="M126" s="1"/>
      <c r="N126" s="1"/>
      <c r="O126" s="1">
        <v>0</v>
      </c>
      <c r="P126" s="1"/>
      <c r="Q126" s="1"/>
      <c r="R126" s="1">
        <f t="shared" si="11"/>
        <v>3.8054000000000001</v>
      </c>
      <c r="S126" s="1">
        <f t="shared" si="9"/>
        <v>2.5503232248909442</v>
      </c>
      <c r="T126" s="1">
        <v>3.5312000000000001</v>
      </c>
      <c r="U126" s="1">
        <v>1.0506</v>
      </c>
      <c r="V126" s="1">
        <v>1.6064000000000001</v>
      </c>
      <c r="W126" s="1">
        <v>2.1257999999999999</v>
      </c>
      <c r="X126" s="1">
        <v>2.6814</v>
      </c>
      <c r="Y126" s="1">
        <v>3.0156000000000001</v>
      </c>
      <c r="Z126" s="1">
        <v>2.7410000000000001</v>
      </c>
      <c r="AA126" s="1">
        <v>3.8424</v>
      </c>
      <c r="AB126" s="1">
        <v>3.2942</v>
      </c>
      <c r="AC126" s="1">
        <v>3.3081999999999998</v>
      </c>
      <c r="AD126" s="1">
        <v>3.577</v>
      </c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 t="s">
        <v>173</v>
      </c>
      <c r="B127" s="1" t="s">
        <v>41</v>
      </c>
      <c r="C127" s="1">
        <v>18</v>
      </c>
      <c r="D127" s="1">
        <v>174</v>
      </c>
      <c r="E127" s="1">
        <v>57</v>
      </c>
      <c r="F127" s="1">
        <v>92</v>
      </c>
      <c r="G127" s="6">
        <v>0.3</v>
      </c>
      <c r="H127" s="1">
        <v>40</v>
      </c>
      <c r="I127" s="1" t="s">
        <v>47</v>
      </c>
      <c r="J127" s="1"/>
      <c r="K127" s="1">
        <v>129</v>
      </c>
      <c r="L127" s="1">
        <f t="shared" si="10"/>
        <v>-72</v>
      </c>
      <c r="M127" s="1"/>
      <c r="N127" s="1"/>
      <c r="O127" s="1">
        <v>40</v>
      </c>
      <c r="P127" s="1">
        <v>-42</v>
      </c>
      <c r="Q127" s="1"/>
      <c r="R127" s="1">
        <f t="shared" si="11"/>
        <v>11.4</v>
      </c>
      <c r="S127" s="1">
        <f t="shared" si="9"/>
        <v>7.8947368421052628</v>
      </c>
      <c r="T127" s="1">
        <v>5.4</v>
      </c>
      <c r="U127" s="1">
        <v>17.8</v>
      </c>
      <c r="V127" s="1">
        <v>18.600000000000001</v>
      </c>
      <c r="W127" s="1">
        <v>19.600000000000001</v>
      </c>
      <c r="X127" s="1">
        <v>19.8</v>
      </c>
      <c r="Y127" s="1">
        <v>17.600000000000001</v>
      </c>
      <c r="Z127" s="1">
        <v>21.6</v>
      </c>
      <c r="AA127" s="1">
        <v>22.8</v>
      </c>
      <c r="AB127" s="1">
        <v>13.4</v>
      </c>
      <c r="AC127" s="1">
        <v>-0.8</v>
      </c>
      <c r="AD127" s="1">
        <v>11.6</v>
      </c>
      <c r="AE127" s="1" t="s">
        <v>38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 t="s">
        <v>174</v>
      </c>
      <c r="B128" s="1" t="s">
        <v>41</v>
      </c>
      <c r="C128" s="1">
        <v>56</v>
      </c>
      <c r="D128" s="1">
        <v>31</v>
      </c>
      <c r="E128" s="1">
        <v>34</v>
      </c>
      <c r="F128" s="1">
        <v>38</v>
      </c>
      <c r="G128" s="6">
        <v>0.12</v>
      </c>
      <c r="H128" s="1">
        <v>45</v>
      </c>
      <c r="I128" s="1" t="s">
        <v>36</v>
      </c>
      <c r="J128" s="1"/>
      <c r="K128" s="1">
        <v>54</v>
      </c>
      <c r="L128" s="1">
        <f t="shared" si="10"/>
        <v>-20</v>
      </c>
      <c r="M128" s="1"/>
      <c r="N128" s="1"/>
      <c r="O128" s="1">
        <v>32.399999999999991</v>
      </c>
      <c r="P128" s="1"/>
      <c r="Q128" s="1"/>
      <c r="R128" s="1">
        <f t="shared" si="11"/>
        <v>6.8</v>
      </c>
      <c r="S128" s="1">
        <f t="shared" si="9"/>
        <v>10.352941176470587</v>
      </c>
      <c r="T128" s="1">
        <v>7</v>
      </c>
      <c r="U128" s="1">
        <v>9.1999999999999993</v>
      </c>
      <c r="V128" s="1">
        <v>9</v>
      </c>
      <c r="W128" s="1">
        <v>5.6</v>
      </c>
      <c r="X128" s="1">
        <v>5.4</v>
      </c>
      <c r="Y128" s="1">
        <v>8</v>
      </c>
      <c r="Z128" s="1">
        <v>11.2</v>
      </c>
      <c r="AA128" s="1">
        <v>9.1999999999999993</v>
      </c>
      <c r="AB128" s="1">
        <v>4.5999999999999996</v>
      </c>
      <c r="AC128" s="1">
        <v>8.1999999999999993</v>
      </c>
      <c r="AD128" s="1">
        <v>12.6</v>
      </c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8" t="s">
        <v>175</v>
      </c>
      <c r="B129" s="8" t="s">
        <v>41</v>
      </c>
      <c r="C129" s="8"/>
      <c r="D129" s="8"/>
      <c r="E129" s="8">
        <v>11</v>
      </c>
      <c r="F129" s="8">
        <v>-21</v>
      </c>
      <c r="G129" s="9">
        <v>0</v>
      </c>
      <c r="H129" s="8"/>
      <c r="I129" s="8" t="s">
        <v>176</v>
      </c>
      <c r="J129" s="8" t="s">
        <v>168</v>
      </c>
      <c r="K129" s="8">
        <v>21</v>
      </c>
      <c r="L129" s="8">
        <f t="shared" si="10"/>
        <v>-10</v>
      </c>
      <c r="M129" s="8"/>
      <c r="N129" s="8"/>
      <c r="O129" s="8">
        <v>0</v>
      </c>
      <c r="P129" s="8"/>
      <c r="Q129" s="8"/>
      <c r="R129" s="8">
        <f t="shared" si="11"/>
        <v>2.2000000000000002</v>
      </c>
      <c r="S129" s="1">
        <f t="shared" si="9"/>
        <v>-9.545454545454545</v>
      </c>
      <c r="T129" s="8">
        <v>0.2</v>
      </c>
      <c r="U129" s="8">
        <v>0</v>
      </c>
      <c r="V129" s="8">
        <v>0.8</v>
      </c>
      <c r="W129" s="8">
        <v>1.8</v>
      </c>
      <c r="X129" s="8">
        <v>1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2"/>
      <c r="S130" s="15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2"/>
      <c r="S131" s="15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2"/>
      <c r="S132" s="15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2"/>
      <c r="S133" s="15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2"/>
      <c r="S134" s="15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2"/>
      <c r="S135" s="15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2"/>
      <c r="S136" s="15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2"/>
      <c r="S137" s="15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2"/>
      <c r="S138" s="15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2"/>
      <c r="S139" s="15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2"/>
      <c r="S140" s="15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2"/>
      <c r="S141" s="15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2"/>
      <c r="S142" s="15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2"/>
      <c r="S143" s="15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2"/>
      <c r="S144" s="15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2"/>
      <c r="S145" s="15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2"/>
      <c r="S146" s="15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2"/>
      <c r="S147" s="15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2"/>
      <c r="S148" s="15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2"/>
      <c r="S149" s="15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2"/>
      <c r="S150" s="15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2"/>
      <c r="S151" s="15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2"/>
      <c r="S152" s="15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2"/>
      <c r="S153" s="15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2"/>
      <c r="S154" s="15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2"/>
      <c r="S155" s="15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2"/>
      <c r="S156" s="15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2"/>
      <c r="S157" s="15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2"/>
      <c r="S158" s="15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2"/>
      <c r="S159" s="15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2"/>
      <c r="S160" s="15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2"/>
      <c r="S161" s="15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2"/>
      <c r="S162" s="15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2"/>
      <c r="S163" s="15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2"/>
      <c r="S164" s="15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2"/>
      <c r="S165" s="15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2"/>
      <c r="S166" s="15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2"/>
      <c r="S167" s="15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2"/>
      <c r="S168" s="15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2"/>
      <c r="S169" s="15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2"/>
      <c r="S170" s="15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2"/>
      <c r="S171" s="15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2"/>
      <c r="S172" s="15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2"/>
      <c r="S173" s="15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2"/>
      <c r="S174" s="15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2"/>
      <c r="S175" s="15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2"/>
      <c r="S176" s="15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2"/>
      <c r="S177" s="15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2"/>
      <c r="S178" s="15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2"/>
      <c r="S179" s="15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2"/>
      <c r="S180" s="15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2"/>
      <c r="S181" s="15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2"/>
      <c r="S182" s="15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2"/>
      <c r="S183" s="15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2"/>
      <c r="S184" s="15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2"/>
      <c r="S185" s="15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2"/>
      <c r="S186" s="15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2"/>
      <c r="S187" s="15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2"/>
      <c r="S188" s="15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2"/>
      <c r="S189" s="15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2"/>
      <c r="S190" s="15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2"/>
      <c r="S191" s="15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2"/>
      <c r="S192" s="15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2"/>
      <c r="S193" s="15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2"/>
      <c r="S194" s="15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2"/>
      <c r="S195" s="15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2"/>
      <c r="S196" s="15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2"/>
      <c r="S197" s="15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2"/>
      <c r="S198" s="15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2"/>
      <c r="S199" s="15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2"/>
      <c r="S200" s="15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2"/>
      <c r="S201" s="15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2"/>
      <c r="S202" s="15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2"/>
      <c r="S203" s="15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2"/>
      <c r="S204" s="15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2"/>
      <c r="S205" s="15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2"/>
      <c r="S206" s="15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2"/>
      <c r="S207" s="15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2"/>
      <c r="S208" s="15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2"/>
      <c r="S209" s="15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2"/>
      <c r="S210" s="15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2"/>
      <c r="S211" s="15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2"/>
      <c r="S212" s="15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2"/>
      <c r="S213" s="15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2"/>
      <c r="S214" s="15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2"/>
      <c r="S215" s="15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2"/>
      <c r="S216" s="1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2"/>
      <c r="S217" s="15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2"/>
      <c r="S218" s="15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2"/>
      <c r="S219" s="15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2"/>
      <c r="S220" s="15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2"/>
      <c r="S221" s="15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2"/>
      <c r="S222" s="15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2"/>
      <c r="S223" s="15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2"/>
      <c r="S224" s="15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2"/>
      <c r="S225" s="15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2"/>
      <c r="S226" s="15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2"/>
      <c r="S227" s="15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2"/>
      <c r="S228" s="15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2"/>
      <c r="S229" s="15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2"/>
      <c r="S230" s="15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2"/>
      <c r="S231" s="15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2"/>
      <c r="S232" s="15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2"/>
      <c r="S233" s="15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2"/>
      <c r="S234" s="15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2"/>
      <c r="S235" s="15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2"/>
      <c r="S236" s="15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2"/>
      <c r="S237" s="15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2"/>
      <c r="S238" s="15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2"/>
      <c r="S239" s="15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2"/>
      <c r="S240" s="15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2"/>
      <c r="S241" s="15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2"/>
      <c r="S242" s="15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2"/>
      <c r="S243" s="15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2"/>
      <c r="S244" s="15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2"/>
      <c r="S245" s="15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2"/>
      <c r="S246" s="15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2"/>
      <c r="S247" s="15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2"/>
      <c r="S248" s="15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2"/>
      <c r="S249" s="15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2"/>
      <c r="S250" s="15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2"/>
      <c r="S251" s="15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2"/>
      <c r="S252" s="15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2"/>
      <c r="S253" s="15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2"/>
      <c r="S254" s="15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2"/>
      <c r="S255" s="15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2"/>
      <c r="S256" s="15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2"/>
      <c r="S257" s="15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2"/>
      <c r="S258" s="15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2"/>
      <c r="S259" s="15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2"/>
      <c r="S260" s="15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2"/>
      <c r="S261" s="15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2"/>
      <c r="S262" s="15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2"/>
      <c r="S263" s="15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2"/>
      <c r="S264" s="15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2"/>
      <c r="S265" s="15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2"/>
      <c r="S266" s="15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2"/>
      <c r="S267" s="15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2"/>
      <c r="S268" s="15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2"/>
      <c r="S269" s="15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2"/>
      <c r="S270" s="15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2"/>
      <c r="S271" s="15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2"/>
      <c r="S272" s="15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2"/>
      <c r="S273" s="15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2"/>
      <c r="S274" s="15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2"/>
      <c r="S275" s="15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2"/>
      <c r="S276" s="15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2"/>
      <c r="S277" s="15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2"/>
      <c r="S278" s="15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2"/>
      <c r="S279" s="15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2"/>
      <c r="S280" s="15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2"/>
      <c r="S281" s="15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2"/>
      <c r="S282" s="15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2"/>
      <c r="S283" s="15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2"/>
      <c r="S284" s="15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2"/>
      <c r="S285" s="15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2"/>
      <c r="S286" s="15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2"/>
      <c r="S287" s="15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2"/>
      <c r="S288" s="15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2"/>
      <c r="S289" s="15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2"/>
      <c r="S290" s="15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2"/>
      <c r="S291" s="15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2"/>
      <c r="S292" s="15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2"/>
      <c r="S293" s="15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2"/>
      <c r="S294" s="15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2"/>
      <c r="S295" s="15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2"/>
      <c r="S296" s="15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2"/>
      <c r="S297" s="15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2"/>
      <c r="S298" s="15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2"/>
      <c r="S299" s="15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2"/>
      <c r="S300" s="15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2"/>
      <c r="S301" s="15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2"/>
      <c r="S302" s="15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2"/>
      <c r="S303" s="15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2"/>
      <c r="S304" s="15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2"/>
      <c r="S305" s="15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2"/>
      <c r="S306" s="15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2"/>
      <c r="S307" s="15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2"/>
      <c r="S308" s="15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2"/>
      <c r="S309" s="15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2"/>
      <c r="S310" s="15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2"/>
      <c r="S311" s="15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2"/>
      <c r="S312" s="15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2"/>
      <c r="S313" s="15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2"/>
      <c r="S314" s="15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2"/>
      <c r="S315" s="15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2"/>
      <c r="S316" s="15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2"/>
      <c r="S317" s="15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2"/>
      <c r="S318" s="15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2"/>
      <c r="S319" s="15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2"/>
      <c r="S320" s="15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2"/>
      <c r="S321" s="15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2"/>
      <c r="S322" s="15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2"/>
      <c r="S323" s="15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2"/>
      <c r="S324" s="15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2"/>
      <c r="S325" s="15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2"/>
      <c r="S326" s="15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2"/>
      <c r="S327" s="15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2"/>
      <c r="S328" s="15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2"/>
      <c r="S329" s="15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2"/>
      <c r="S330" s="15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2"/>
      <c r="S331" s="15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2"/>
      <c r="S332" s="15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2"/>
      <c r="S333" s="15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2"/>
      <c r="S334" s="15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2"/>
      <c r="S335" s="15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2"/>
      <c r="S336" s="15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2"/>
      <c r="S337" s="15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2"/>
      <c r="S338" s="15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2"/>
      <c r="S339" s="15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2"/>
      <c r="S340" s="15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2"/>
      <c r="S341" s="15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2"/>
      <c r="S342" s="15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2"/>
      <c r="S343" s="15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2"/>
      <c r="S344" s="15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2"/>
      <c r="S345" s="15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2"/>
      <c r="S346" s="15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2"/>
      <c r="S347" s="15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2"/>
      <c r="S348" s="15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2"/>
      <c r="S349" s="15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2"/>
      <c r="S350" s="15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2"/>
      <c r="S351" s="15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2"/>
      <c r="S352" s="15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2"/>
      <c r="S353" s="15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2"/>
      <c r="S354" s="15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2"/>
      <c r="S355" s="15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2"/>
      <c r="S356" s="15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2"/>
      <c r="S357" s="15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2"/>
      <c r="S358" s="15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2"/>
      <c r="S359" s="15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2"/>
      <c r="S360" s="15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2"/>
      <c r="S361" s="15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2"/>
      <c r="S362" s="15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2"/>
      <c r="S363" s="15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2"/>
      <c r="S364" s="15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2"/>
      <c r="S365" s="15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2"/>
      <c r="S366" s="15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2"/>
      <c r="S367" s="15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2"/>
      <c r="S368" s="15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2"/>
      <c r="S369" s="15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2"/>
      <c r="S370" s="15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2"/>
      <c r="S371" s="15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2"/>
      <c r="S372" s="15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2"/>
      <c r="S373" s="15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2"/>
      <c r="S374" s="15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2"/>
      <c r="S375" s="15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2"/>
      <c r="S376" s="15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2"/>
      <c r="S377" s="15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2"/>
      <c r="S378" s="15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2"/>
      <c r="S379" s="15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2"/>
      <c r="S380" s="15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2"/>
      <c r="S381" s="15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2"/>
      <c r="S382" s="15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2"/>
      <c r="S383" s="15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2"/>
      <c r="S384" s="15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2"/>
      <c r="S385" s="15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2"/>
      <c r="S386" s="15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2"/>
      <c r="S387" s="15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2"/>
      <c r="S388" s="15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2"/>
      <c r="S389" s="15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2"/>
      <c r="S390" s="15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2"/>
      <c r="S391" s="15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2"/>
      <c r="S392" s="15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2"/>
      <c r="S393" s="15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2"/>
      <c r="S394" s="15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2"/>
      <c r="S395" s="15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2"/>
      <c r="S396" s="15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2"/>
      <c r="S397" s="15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2"/>
      <c r="S398" s="15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2"/>
      <c r="S399" s="15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2"/>
      <c r="S400" s="15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2"/>
      <c r="S401" s="15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2"/>
      <c r="S402" s="15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2"/>
      <c r="S403" s="15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2"/>
      <c r="S404" s="15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2"/>
      <c r="S405" s="15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2"/>
      <c r="S406" s="15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2"/>
      <c r="S407" s="15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2"/>
      <c r="S408" s="15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2"/>
      <c r="S409" s="15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2"/>
      <c r="S410" s="15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2"/>
      <c r="S411" s="15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2"/>
      <c r="S412" s="15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2"/>
      <c r="S413" s="15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2"/>
      <c r="S414" s="15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2"/>
      <c r="S415" s="15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2"/>
      <c r="S416" s="15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2"/>
      <c r="S417" s="15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2"/>
      <c r="S418" s="15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2"/>
      <c r="S419" s="15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2"/>
      <c r="S420" s="15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2"/>
      <c r="S421" s="15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2"/>
      <c r="S422" s="15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2"/>
      <c r="S423" s="15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2"/>
      <c r="S424" s="15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2"/>
      <c r="S425" s="15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2"/>
      <c r="S426" s="15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2"/>
      <c r="S427" s="15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2"/>
      <c r="S428" s="15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2"/>
      <c r="S429" s="15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2"/>
      <c r="S430" s="15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2"/>
      <c r="S431" s="15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2"/>
      <c r="S432" s="15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2"/>
      <c r="S433" s="15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2"/>
      <c r="S434" s="15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2"/>
      <c r="S435" s="15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2"/>
      <c r="S436" s="15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2"/>
      <c r="S437" s="15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2"/>
      <c r="S438" s="15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2"/>
      <c r="S439" s="15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2"/>
      <c r="S440" s="15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2"/>
      <c r="S441" s="15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2"/>
      <c r="S442" s="15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2"/>
      <c r="S443" s="15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2"/>
      <c r="S444" s="15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2"/>
      <c r="S445" s="15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2"/>
      <c r="S446" s="15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2"/>
      <c r="S447" s="15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2"/>
      <c r="S448" s="15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2"/>
      <c r="S449" s="15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2"/>
      <c r="S450" s="15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2"/>
      <c r="S451" s="15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2"/>
      <c r="S452" s="15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2"/>
      <c r="S453" s="15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2"/>
      <c r="S454" s="15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2"/>
      <c r="S455" s="15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2"/>
      <c r="S456" s="15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2"/>
      <c r="S457" s="15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2"/>
      <c r="S458" s="15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2"/>
      <c r="S459" s="15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2"/>
      <c r="S460" s="15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2"/>
      <c r="S461" s="15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2"/>
      <c r="S462" s="15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2"/>
      <c r="S463" s="15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2"/>
      <c r="S464" s="15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2"/>
      <c r="S465" s="15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2"/>
      <c r="S466" s="15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2"/>
      <c r="S467" s="15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2"/>
      <c r="S468" s="15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2"/>
      <c r="S469" s="15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2"/>
      <c r="S470" s="15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2"/>
      <c r="S471" s="15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2"/>
      <c r="S472" s="15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2"/>
      <c r="S473" s="15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2"/>
      <c r="S474" s="15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2"/>
      <c r="S475" s="15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2"/>
      <c r="S476" s="15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2"/>
      <c r="S477" s="15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2"/>
      <c r="S478" s="15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2"/>
      <c r="S479" s="15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2"/>
      <c r="S480" s="15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2"/>
      <c r="S481" s="15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2"/>
      <c r="S482" s="15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2"/>
      <c r="S483" s="15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2"/>
      <c r="S484" s="15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2"/>
      <c r="S485" s="15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2"/>
      <c r="S486" s="15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2"/>
      <c r="S487" s="15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2"/>
      <c r="S488" s="15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2"/>
      <c r="S489" s="15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2"/>
      <c r="S490" s="15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2"/>
      <c r="S491" s="15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2"/>
      <c r="S492" s="15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2"/>
      <c r="S493" s="15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2"/>
      <c r="S494" s="15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2"/>
      <c r="S495" s="15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2"/>
      <c r="S496" s="15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2"/>
      <c r="S497" s="15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2"/>
      <c r="S498" s="15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2"/>
      <c r="S499" s="15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</sheetData>
  <autoFilter ref="A3:AF129" xr:uid="{3438255D-6C8C-483D-B4A0-44F743AAEE69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631B-32BB-405C-A660-F0A959777A4B}">
  <dimension ref="A1:J7"/>
  <sheetViews>
    <sheetView tabSelected="1" workbookViewId="0">
      <selection activeCell="J11" sqref="J11"/>
    </sheetView>
  </sheetViews>
  <sheetFormatPr defaultRowHeight="15" x14ac:dyDescent="0.25"/>
  <cols>
    <col min="1" max="1" width="9.140625" style="23"/>
    <col min="2" max="2" width="66.7109375" bestFit="1" customWidth="1"/>
    <col min="3" max="3" width="8.42578125" bestFit="1" customWidth="1"/>
    <col min="4" max="4" width="10.7109375" customWidth="1"/>
    <col min="5" max="5" width="5" bestFit="1" customWidth="1"/>
    <col min="6" max="6" width="6.28515625" hidden="1" customWidth="1"/>
    <col min="7" max="7" width="7.42578125" customWidth="1"/>
    <col min="8" max="8" width="10" customWidth="1"/>
    <col min="9" max="9" width="8.140625" customWidth="1"/>
    <col min="10" max="10" width="20.28515625" bestFit="1" customWidth="1"/>
  </cols>
  <sheetData>
    <row r="1" spans="1:10" s="30" customFormat="1" ht="45" x14ac:dyDescent="0.25">
      <c r="A1" s="24" t="s">
        <v>182</v>
      </c>
      <c r="B1" s="25" t="s">
        <v>0</v>
      </c>
      <c r="C1" s="25" t="s">
        <v>1</v>
      </c>
      <c r="D1" s="26" t="s">
        <v>5</v>
      </c>
      <c r="E1" s="27" t="s">
        <v>6</v>
      </c>
      <c r="F1" s="26" t="s">
        <v>7</v>
      </c>
      <c r="G1" s="26" t="s">
        <v>14</v>
      </c>
      <c r="H1" s="28" t="s">
        <v>180</v>
      </c>
      <c r="I1" s="29" t="s">
        <v>181</v>
      </c>
      <c r="J1" s="28" t="s">
        <v>18</v>
      </c>
    </row>
    <row r="2" spans="1:10" x14ac:dyDescent="0.25">
      <c r="A2" s="22">
        <v>1</v>
      </c>
      <c r="B2" s="17" t="s">
        <v>37</v>
      </c>
      <c r="C2" s="17" t="s">
        <v>35</v>
      </c>
      <c r="D2" s="17">
        <v>699.428</v>
      </c>
      <c r="E2" s="18">
        <v>1</v>
      </c>
      <c r="F2" s="17">
        <v>45</v>
      </c>
      <c r="G2" s="17">
        <v>382.19719199999969</v>
      </c>
      <c r="H2" s="19">
        <v>43.399000000000001</v>
      </c>
      <c r="I2" s="20">
        <v>24.922813705384911</v>
      </c>
      <c r="J2" s="21" t="s">
        <v>179</v>
      </c>
    </row>
    <row r="3" spans="1:10" x14ac:dyDescent="0.25">
      <c r="A3" s="22">
        <v>2</v>
      </c>
      <c r="B3" s="17" t="s">
        <v>60</v>
      </c>
      <c r="C3" s="17" t="s">
        <v>35</v>
      </c>
      <c r="D3" s="17">
        <v>273.233</v>
      </c>
      <c r="E3" s="18">
        <v>1</v>
      </c>
      <c r="F3" s="17">
        <v>30</v>
      </c>
      <c r="G3" s="17">
        <v>0</v>
      </c>
      <c r="H3" s="19">
        <v>6.2774000000000001</v>
      </c>
      <c r="I3" s="20">
        <v>43.526459999362793</v>
      </c>
      <c r="J3" s="21" t="s">
        <v>179</v>
      </c>
    </row>
    <row r="4" spans="1:10" x14ac:dyDescent="0.25">
      <c r="A4" s="22">
        <v>3</v>
      </c>
      <c r="B4" s="17" t="s">
        <v>66</v>
      </c>
      <c r="C4" s="17" t="s">
        <v>35</v>
      </c>
      <c r="D4" s="17">
        <v>162.624</v>
      </c>
      <c r="E4" s="18">
        <v>1</v>
      </c>
      <c r="F4" s="17">
        <v>30</v>
      </c>
      <c r="G4" s="17">
        <v>0</v>
      </c>
      <c r="H4" s="19">
        <v>6.5914000000000001</v>
      </c>
      <c r="I4" s="20">
        <v>24.67214855721091</v>
      </c>
      <c r="J4" s="21" t="s">
        <v>179</v>
      </c>
    </row>
    <row r="5" spans="1:10" x14ac:dyDescent="0.25">
      <c r="A5" s="22">
        <v>4</v>
      </c>
      <c r="B5" s="17" t="s">
        <v>86</v>
      </c>
      <c r="C5" s="17" t="s">
        <v>35</v>
      </c>
      <c r="D5" s="17">
        <v>28.358000000000001</v>
      </c>
      <c r="E5" s="18">
        <v>1</v>
      </c>
      <c r="F5" s="17">
        <v>50</v>
      </c>
      <c r="G5" s="17">
        <v>80</v>
      </c>
      <c r="H5" s="19">
        <v>0</v>
      </c>
      <c r="I5" s="20" t="s">
        <v>183</v>
      </c>
      <c r="J5" s="21" t="s">
        <v>178</v>
      </c>
    </row>
    <row r="6" spans="1:10" x14ac:dyDescent="0.25">
      <c r="A6" s="22">
        <v>5</v>
      </c>
      <c r="B6" s="17" t="s">
        <v>109</v>
      </c>
      <c r="C6" s="17" t="s">
        <v>35</v>
      </c>
      <c r="D6" s="17">
        <v>266.55200000000002</v>
      </c>
      <c r="E6" s="18">
        <v>1</v>
      </c>
      <c r="F6" s="17">
        <v>30</v>
      </c>
      <c r="G6" s="17">
        <v>6.4275499999999974</v>
      </c>
      <c r="H6" s="19">
        <v>3.6637999999999997</v>
      </c>
      <c r="I6" s="20">
        <v>74.507219280528417</v>
      </c>
      <c r="J6" s="21" t="s">
        <v>179</v>
      </c>
    </row>
    <row r="7" spans="1:10" x14ac:dyDescent="0.25">
      <c r="A7" s="22">
        <v>6</v>
      </c>
      <c r="B7" s="17" t="s">
        <v>117</v>
      </c>
      <c r="C7" s="17" t="s">
        <v>41</v>
      </c>
      <c r="D7" s="17">
        <v>112</v>
      </c>
      <c r="E7" s="18">
        <v>0.33</v>
      </c>
      <c r="F7" s="17">
        <v>40</v>
      </c>
      <c r="G7" s="17">
        <v>0</v>
      </c>
      <c r="H7" s="19">
        <v>2.8</v>
      </c>
      <c r="I7" s="20">
        <v>40</v>
      </c>
      <c r="J7" s="2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потенциальный просрок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2026-08-19T12:51:12Z</dcterms:created>
  <dcterms:modified xsi:type="dcterms:W3CDTF">2026-08-19T13:50:44Z</dcterms:modified>
</cp:coreProperties>
</file>