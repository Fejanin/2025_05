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Бердянск_Мелитополь\ПОКОМ\"/>
    </mc:Choice>
  </mc:AlternateContent>
  <xr:revisionPtr revIDLastSave="0" documentId="13_ncr:1_{EC0449A7-2F72-468B-B399-7C8D31B8C96C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Sheet" sheetId="1" r:id="rId1"/>
    <sheet name="потенциальный просрок" sheetId="2" r:id="rId2"/>
  </sheets>
  <definedNames>
    <definedName name="_xlnm._FilterDatabase" localSheetId="0" hidden="1">Sheet!$A$3:$AG$133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7" i="1" l="1"/>
  <c r="T7" i="1" s="1"/>
  <c r="S8" i="1"/>
  <c r="T8" i="1" s="1"/>
  <c r="S9" i="1"/>
  <c r="T9" i="1" s="1"/>
  <c r="S10" i="1"/>
  <c r="T10" i="1" s="1"/>
  <c r="S11" i="1"/>
  <c r="T11" i="1" s="1"/>
  <c r="S12" i="1"/>
  <c r="T12" i="1" s="1"/>
  <c r="S13" i="1"/>
  <c r="T13" i="1" s="1"/>
  <c r="S14" i="1"/>
  <c r="T14" i="1" s="1"/>
  <c r="S15" i="1"/>
  <c r="T15" i="1" s="1"/>
  <c r="S16" i="1"/>
  <c r="T16" i="1" s="1"/>
  <c r="S17" i="1"/>
  <c r="T17" i="1" s="1"/>
  <c r="S18" i="1"/>
  <c r="T18" i="1" s="1"/>
  <c r="S19" i="1"/>
  <c r="T19" i="1" s="1"/>
  <c r="S20" i="1"/>
  <c r="T20" i="1" s="1"/>
  <c r="S21" i="1"/>
  <c r="T21" i="1" s="1"/>
  <c r="S22" i="1"/>
  <c r="T22" i="1" s="1"/>
  <c r="S23" i="1"/>
  <c r="T23" i="1" s="1"/>
  <c r="S24" i="1"/>
  <c r="T24" i="1" s="1"/>
  <c r="S25" i="1"/>
  <c r="T25" i="1" s="1"/>
  <c r="S26" i="1"/>
  <c r="T26" i="1" s="1"/>
  <c r="S27" i="1"/>
  <c r="T27" i="1" s="1"/>
  <c r="S28" i="1"/>
  <c r="T28" i="1" s="1"/>
  <c r="S29" i="1"/>
  <c r="T29" i="1" s="1"/>
  <c r="S30" i="1"/>
  <c r="T30" i="1" s="1"/>
  <c r="S31" i="1"/>
  <c r="T31" i="1" s="1"/>
  <c r="S32" i="1"/>
  <c r="T32" i="1" s="1"/>
  <c r="S33" i="1"/>
  <c r="T33" i="1" s="1"/>
  <c r="S34" i="1"/>
  <c r="T34" i="1" s="1"/>
  <c r="S35" i="1"/>
  <c r="T35" i="1" s="1"/>
  <c r="S36" i="1"/>
  <c r="T36" i="1" s="1"/>
  <c r="S37" i="1"/>
  <c r="T37" i="1" s="1"/>
  <c r="S38" i="1"/>
  <c r="T38" i="1" s="1"/>
  <c r="S39" i="1"/>
  <c r="T39" i="1" s="1"/>
  <c r="S40" i="1"/>
  <c r="T40" i="1" s="1"/>
  <c r="S41" i="1"/>
  <c r="T41" i="1" s="1"/>
  <c r="S42" i="1"/>
  <c r="T42" i="1" s="1"/>
  <c r="S43" i="1"/>
  <c r="T43" i="1" s="1"/>
  <c r="S44" i="1"/>
  <c r="T44" i="1" s="1"/>
  <c r="S45" i="1"/>
  <c r="T45" i="1" s="1"/>
  <c r="S46" i="1"/>
  <c r="T46" i="1" s="1"/>
  <c r="S47" i="1"/>
  <c r="T47" i="1" s="1"/>
  <c r="S48" i="1"/>
  <c r="T48" i="1" s="1"/>
  <c r="S49" i="1"/>
  <c r="T49" i="1" s="1"/>
  <c r="S50" i="1"/>
  <c r="T50" i="1" s="1"/>
  <c r="S51" i="1"/>
  <c r="T51" i="1" s="1"/>
  <c r="S52" i="1"/>
  <c r="T52" i="1" s="1"/>
  <c r="S53" i="1"/>
  <c r="T53" i="1" s="1"/>
  <c r="S54" i="1"/>
  <c r="T54" i="1" s="1"/>
  <c r="S55" i="1"/>
  <c r="T55" i="1" s="1"/>
  <c r="S56" i="1"/>
  <c r="T56" i="1" s="1"/>
  <c r="S57" i="1"/>
  <c r="T57" i="1" s="1"/>
  <c r="S58" i="1"/>
  <c r="T58" i="1" s="1"/>
  <c r="S59" i="1"/>
  <c r="T59" i="1" s="1"/>
  <c r="S60" i="1"/>
  <c r="T60" i="1" s="1"/>
  <c r="S61" i="1"/>
  <c r="T61" i="1" s="1"/>
  <c r="S62" i="1"/>
  <c r="T62" i="1" s="1"/>
  <c r="S63" i="1"/>
  <c r="T63" i="1" s="1"/>
  <c r="S64" i="1"/>
  <c r="T64" i="1" s="1"/>
  <c r="S65" i="1"/>
  <c r="T65" i="1" s="1"/>
  <c r="S66" i="1"/>
  <c r="T66" i="1" s="1"/>
  <c r="S67" i="1"/>
  <c r="T67" i="1" s="1"/>
  <c r="S68" i="1"/>
  <c r="T68" i="1" s="1"/>
  <c r="S69" i="1"/>
  <c r="T69" i="1" s="1"/>
  <c r="S70" i="1"/>
  <c r="T70" i="1" s="1"/>
  <c r="S71" i="1"/>
  <c r="T71" i="1" s="1"/>
  <c r="S72" i="1"/>
  <c r="T72" i="1" s="1"/>
  <c r="S73" i="1"/>
  <c r="T73" i="1" s="1"/>
  <c r="S74" i="1"/>
  <c r="T74" i="1" s="1"/>
  <c r="S75" i="1"/>
  <c r="T75" i="1" s="1"/>
  <c r="S76" i="1"/>
  <c r="T76" i="1" s="1"/>
  <c r="S77" i="1"/>
  <c r="T77" i="1" s="1"/>
  <c r="S78" i="1"/>
  <c r="T78" i="1" s="1"/>
  <c r="S79" i="1"/>
  <c r="T79" i="1" s="1"/>
  <c r="S80" i="1"/>
  <c r="T80" i="1" s="1"/>
  <c r="S81" i="1"/>
  <c r="T81" i="1" s="1"/>
  <c r="S82" i="1"/>
  <c r="T82" i="1" s="1"/>
  <c r="S83" i="1"/>
  <c r="T83" i="1" s="1"/>
  <c r="S84" i="1"/>
  <c r="T84" i="1" s="1"/>
  <c r="S85" i="1"/>
  <c r="T85" i="1" s="1"/>
  <c r="S86" i="1"/>
  <c r="T86" i="1" s="1"/>
  <c r="S87" i="1"/>
  <c r="T87" i="1" s="1"/>
  <c r="S88" i="1"/>
  <c r="T88" i="1" s="1"/>
  <c r="S89" i="1"/>
  <c r="T89" i="1" s="1"/>
  <c r="S90" i="1"/>
  <c r="T90" i="1" s="1"/>
  <c r="S91" i="1"/>
  <c r="T91" i="1" s="1"/>
  <c r="S92" i="1"/>
  <c r="T92" i="1" s="1"/>
  <c r="S93" i="1"/>
  <c r="T93" i="1" s="1"/>
  <c r="S94" i="1"/>
  <c r="T94" i="1" s="1"/>
  <c r="S95" i="1"/>
  <c r="T95" i="1" s="1"/>
  <c r="S96" i="1"/>
  <c r="T96" i="1" s="1"/>
  <c r="S97" i="1"/>
  <c r="T97" i="1" s="1"/>
  <c r="S98" i="1"/>
  <c r="T98" i="1" s="1"/>
  <c r="S99" i="1"/>
  <c r="T99" i="1" s="1"/>
  <c r="S100" i="1"/>
  <c r="T100" i="1" s="1"/>
  <c r="S101" i="1"/>
  <c r="T101" i="1" s="1"/>
  <c r="S102" i="1"/>
  <c r="T102" i="1" s="1"/>
  <c r="S103" i="1"/>
  <c r="T103" i="1" s="1"/>
  <c r="S104" i="1"/>
  <c r="T104" i="1" s="1"/>
  <c r="S105" i="1"/>
  <c r="T105" i="1" s="1"/>
  <c r="S106" i="1"/>
  <c r="T106" i="1" s="1"/>
  <c r="S107" i="1"/>
  <c r="T107" i="1" s="1"/>
  <c r="S108" i="1"/>
  <c r="T108" i="1" s="1"/>
  <c r="S109" i="1"/>
  <c r="T109" i="1" s="1"/>
  <c r="S110" i="1"/>
  <c r="T110" i="1" s="1"/>
  <c r="S111" i="1"/>
  <c r="T111" i="1" s="1"/>
  <c r="S112" i="1"/>
  <c r="T112" i="1" s="1"/>
  <c r="S113" i="1"/>
  <c r="T113" i="1" s="1"/>
  <c r="S114" i="1"/>
  <c r="T114" i="1" s="1"/>
  <c r="S115" i="1"/>
  <c r="T115" i="1" s="1"/>
  <c r="S116" i="1"/>
  <c r="T116" i="1" s="1"/>
  <c r="S117" i="1"/>
  <c r="T117" i="1" s="1"/>
  <c r="S118" i="1"/>
  <c r="T118" i="1" s="1"/>
  <c r="S119" i="1"/>
  <c r="T119" i="1" s="1"/>
  <c r="S120" i="1"/>
  <c r="T120" i="1" s="1"/>
  <c r="S121" i="1"/>
  <c r="T121" i="1" s="1"/>
  <c r="S122" i="1"/>
  <c r="T122" i="1" s="1"/>
  <c r="S123" i="1"/>
  <c r="T123" i="1" s="1"/>
  <c r="S124" i="1"/>
  <c r="T124" i="1" s="1"/>
  <c r="S125" i="1"/>
  <c r="T125" i="1" s="1"/>
  <c r="S126" i="1"/>
  <c r="T126" i="1" s="1"/>
  <c r="S127" i="1"/>
  <c r="T127" i="1" s="1"/>
  <c r="S128" i="1"/>
  <c r="T128" i="1" s="1"/>
  <c r="S129" i="1"/>
  <c r="T129" i="1" s="1"/>
  <c r="S130" i="1"/>
  <c r="T130" i="1" s="1"/>
  <c r="S131" i="1"/>
  <c r="T131" i="1" s="1"/>
  <c r="S132" i="1"/>
  <c r="T132" i="1" s="1"/>
  <c r="S133" i="1"/>
  <c r="T133" i="1" s="1"/>
  <c r="S6" i="1"/>
  <c r="T6" i="1" s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 s="1"/>
  <c r="AE5" i="1"/>
  <c r="AD5" i="1"/>
  <c r="AC5" i="1"/>
  <c r="AB5" i="1"/>
  <c r="AA5" i="1"/>
  <c r="Z5" i="1"/>
  <c r="Y5" i="1"/>
  <c r="X5" i="1"/>
  <c r="W5" i="1"/>
  <c r="V5" i="1"/>
  <c r="U5" i="1"/>
  <c r="S5" i="1"/>
  <c r="R5" i="1"/>
  <c r="Q5" i="1"/>
  <c r="P5" i="1"/>
  <c r="O5" i="1"/>
  <c r="N5" i="1"/>
  <c r="M5" i="1"/>
  <c r="K5" i="1"/>
  <c r="F5" i="1"/>
  <c r="E5" i="1"/>
</calcChain>
</file>

<file path=xl/sharedStrings.xml><?xml version="1.0" encoding="utf-8"?>
<sst xmlns="http://schemas.openxmlformats.org/spreadsheetml/2006/main" count="510" uniqueCount="182">
  <si>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</si>
  <si>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</si>
  <si>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</si>
  <si>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</si>
  <si>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</si>
  <si>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</si>
  <si>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</si>
  <si>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</si>
  <si>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</si>
  <si>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</si>
  <si>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</si>
  <si>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</si>
  <si>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</si>
  <si>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</si>
  <si>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</si>
  <si>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</si>
  <si>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факт</t>
  </si>
  <si>
    <t>ср</t>
  </si>
  <si>
    <t>комментарии</t>
  </si>
  <si>
    <t>17,08,</t>
  </si>
  <si>
    <t>17,08,недогр</t>
  </si>
  <si>
    <t>17,08,доз</t>
  </si>
  <si>
    <t>17,08,доз2</t>
  </si>
  <si>
    <t>19,08,</t>
  </si>
  <si>
    <t>18,08,</t>
  </si>
  <si>
    <t>13,08,</t>
  </si>
  <si>
    <t>11,08,</t>
  </si>
  <si>
    <t>06,08,</t>
  </si>
  <si>
    <t>04,08,</t>
  </si>
  <si>
    <t>30,07,</t>
  </si>
  <si>
    <t>28,07,</t>
  </si>
  <si>
    <t>23,07,</t>
  </si>
  <si>
    <t>21,07,</t>
  </si>
  <si>
    <t>16,07,</t>
  </si>
  <si>
    <t>14,07,</t>
  </si>
  <si>
    <t xml:space="preserve"> 005  Колбаса Докторская ГОСТ, Вязанка вектор,ВЕС. ПОКОМ</t>
  </si>
  <si>
    <t>кг</t>
  </si>
  <si>
    <t>матрица</t>
  </si>
  <si>
    <t>нужно увеличить продажи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</si>
  <si>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</si>
  <si>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</si>
  <si>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</si>
  <si>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</si>
  <si>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</si>
  <si>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</si>
  <si>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</si>
  <si>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</si>
  <si>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</si>
  <si>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</si>
  <si>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</si>
  <si>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</si>
  <si>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</si>
  <si>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</si>
  <si>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</si>
  <si>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</si>
  <si>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</si>
  <si>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</si>
  <si>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</si>
  <si>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</si>
  <si>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</si>
  <si>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</si>
  <si>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</si>
  <si>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>не в матрице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</si>
  <si>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</si>
  <si>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</si>
  <si>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</si>
  <si>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</si>
  <si>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</si>
  <si>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</si>
  <si>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</si>
  <si>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</si>
  <si>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</si>
  <si>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</si>
  <si>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</si>
  <si>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</si>
  <si>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</si>
  <si>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</si>
  <si>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</si>
  <si>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</si>
  <si>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</si>
  <si>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</si>
  <si>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</si>
  <si>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</si>
  <si>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</si>
  <si>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</si>
  <si>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</si>
  <si>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</si>
  <si>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</si>
  <si>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>нужно увеличить продажи!!!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</si>
  <si>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</si>
  <si>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</si>
  <si>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</si>
  <si>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</si>
  <si>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</si>
  <si>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</si>
  <si>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</si>
  <si>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</si>
  <si>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</si>
  <si>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</si>
  <si>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</si>
  <si>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</si>
  <si>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</si>
  <si>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80кг задача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</si>
  <si>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</si>
  <si>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</si>
  <si>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</si>
  <si>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</si>
  <si>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</si>
  <si>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</si>
  <si>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</si>
  <si>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</si>
  <si>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</si>
  <si>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</si>
  <si>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</si>
  <si>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</si>
  <si>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</si>
  <si>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</si>
  <si>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</si>
  <si>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</si>
  <si>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</si>
  <si>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</si>
  <si>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</si>
  <si>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</si>
  <si>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</si>
  <si>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</si>
  <si>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</si>
  <si>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</si>
  <si>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</si>
  <si>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</si>
  <si>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</si>
  <si>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</si>
  <si>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</si>
  <si>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</si>
  <si>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</si>
  <si>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</si>
  <si>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</si>
  <si>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</si>
  <si>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</si>
  <si>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</si>
  <si>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</si>
  <si>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>нет в бланке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</si>
  <si>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</si>
  <si>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</si>
  <si>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</si>
  <si>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</si>
  <si>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</si>
  <si>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</si>
  <si>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</si>
  <si>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</si>
  <si>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</si>
  <si>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</si>
  <si>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</si>
  <si>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</si>
  <si>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</si>
  <si>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</si>
  <si>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</si>
  <si>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</si>
  <si>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</si>
  <si>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</si>
  <si>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</si>
  <si>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</si>
  <si>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</si>
  <si>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</si>
  <si>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</si>
  <si>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</si>
  <si>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</si>
  <si>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новинка / 500шт Боярко (05,08,26)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</si>
  <si>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</si>
  <si>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</si>
  <si>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</si>
  <si>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</si>
  <si>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</si>
  <si>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</si>
  <si>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</si>
  <si>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</si>
  <si>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</si>
  <si>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</si>
  <si>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комментарии2</t>
  </si>
  <si>
    <t>падение продаж</t>
  </si>
  <si>
    <t>№ п/п</t>
  </si>
  <si>
    <t>средние продажи в день</t>
  </si>
  <si>
    <t>остаток в днях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</si>
</sst>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  <font>
      <b/>
      <sz val="10"/>
      <name val="Arial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05959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1" fillId="3" borderId="1" xfId="1" applyNumberFormat="1" applyFill="1"/>
    <xf numFmtId="164" fontId="1" fillId="4" borderId="1" xfId="1" applyNumberFormat="1" applyFill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5" fillId="0" borderId="1" xfId="1" applyNumberFormat="1" applyFont="1"/>
    <xf numFmtId="0" fontId="3" fillId="0" borderId="0" xfId="0" applyFont="1" applyBorder="1"/>
    <xf numFmtId="164" fontId="6" fillId="2" borderId="1" xfId="1" applyNumberFormat="1" applyFont="1" applyFill="1"/>
    <xf numFmtId="164" fontId="7" fillId="0" borderId="1" xfId="1" applyNumberFormat="1" applyFont="1"/>
    <xf numFmtId="0" fontId="8" fillId="0" borderId="0" xfId="0" applyFont="1" applyBorder="1"/>
    <xf numFmtId="164" fontId="9" fillId="0" borderId="1" xfId="1" applyNumberFormat="1" applyFont="1"/>
    <xf numFmtId="164" fontId="4" fillId="2" borderId="2" xfId="1" applyNumberFormat="1" applyFont="1" applyFill="1" applyBorder="1" applyAlignment="1">
      <alignment horizontal="center" vertical="center"/>
    </xf>
    <xf numFmtId="164" fontId="4" fillId="2" borderId="2" xfId="1" applyNumberFormat="1" applyFont="1" applyFill="1" applyBorder="1" applyAlignment="1">
      <alignment vertical="center"/>
    </xf>
    <xf numFmtId="164" fontId="4" fillId="2" borderId="2" xfId="1" applyNumberFormat="1" applyFont="1" applyFill="1" applyBorder="1" applyAlignment="1">
      <alignment vertical="center" wrapText="1"/>
    </xf>
    <xf numFmtId="2" fontId="4" fillId="2" borderId="2" xfId="1" applyNumberFormat="1" applyFont="1" applyFill="1" applyBorder="1" applyAlignment="1">
      <alignment vertical="center" wrapText="1"/>
    </xf>
    <xf numFmtId="164" fontId="6" fillId="2" borderId="2" xfId="1" applyNumberFormat="1" applyFont="1" applyFill="1" applyBorder="1" applyAlignment="1">
      <alignment vertical="center" wrapText="1"/>
    </xf>
    <xf numFmtId="164" fontId="1" fillId="0" borderId="2" xfId="1" applyNumberFormat="1" applyBorder="1" applyAlignment="1">
      <alignment horizontal="center"/>
    </xf>
    <xf numFmtId="164" fontId="1" fillId="0" borderId="2" xfId="1" applyNumberFormat="1" applyBorder="1"/>
    <xf numFmtId="2" fontId="1" fillId="0" borderId="2" xfId="1" applyNumberFormat="1" applyBorder="1"/>
    <xf numFmtId="164" fontId="5" fillId="0" borderId="2" xfId="1" applyNumberFormat="1" applyFont="1" applyBorder="1"/>
    <xf numFmtId="164" fontId="7" fillId="0" borderId="2" xfId="1" applyNumberFormat="1" applyFont="1" applyBorder="1"/>
    <xf numFmtId="164" fontId="9" fillId="0" borderId="2" xfId="1" applyNumberFormat="1" applyFont="1" applyBorder="1"/>
    <xf numFmtId="0" fontId="0" fillId="0" borderId="1" xfId="0" applyAlignment="1">
      <alignment horizontal="center"/>
    </xf>
    <xf numFmtId="0" fontId="0" fillId="0" borderId="1" xfId="0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T499"/>
  <sheetViews>
    <sheetView zoomScale="85" workbookViewId="0">
      <pane xSplit="2" ySplit="5" topLeftCell="C6" activePane="bottomRight" state="frozen"/>
      <selection pane="topRight"/>
      <selection pane="bottomLeft"/>
      <selection pane="bottomRight" activeCell="AG18" sqref="AG18:AG11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8" width="7" customWidth="1"/>
    <col min="19" max="19" width="7" style="12" customWidth="1"/>
    <col min="20" max="20" width="5" style="15" customWidth="1"/>
    <col min="21" max="31" width="6" customWidth="1"/>
    <col min="32" max="33" width="25" customWidth="1"/>
    <col min="34" max="46" width="3" customWidth="1"/>
  </cols>
  <sheetData>
    <row r="1" spans="1:46" x14ac:dyDescent="0.25">
      <c r="A1" s="1"/>
      <c r="B1" s="1"/>
      <c r="C1" s="1"/>
      <c r="D1" s="1"/>
      <c r="E1" s="1"/>
      <c r="F1" s="1"/>
      <c r="G1" s="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1"/>
      <c r="T1" s="14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25">
      <c r="A2" s="1"/>
      <c r="B2" s="1"/>
      <c r="C2" s="1"/>
      <c r="D2" s="1"/>
      <c r="E2" s="1"/>
      <c r="F2" s="1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1"/>
      <c r="T2" s="14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7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8" t="s">
        <v>15</v>
      </c>
      <c r="T3" s="13" t="s">
        <v>16</v>
      </c>
      <c r="U3" s="2" t="s">
        <v>17</v>
      </c>
      <c r="V3" s="2" t="s">
        <v>17</v>
      </c>
      <c r="W3" s="2" t="s">
        <v>17</v>
      </c>
      <c r="X3" s="2" t="s">
        <v>17</v>
      </c>
      <c r="Y3" s="2" t="s">
        <v>17</v>
      </c>
      <c r="Z3" s="2" t="s">
        <v>17</v>
      </c>
      <c r="AA3" s="2" t="s">
        <v>17</v>
      </c>
      <c r="AB3" s="2" t="s">
        <v>17</v>
      </c>
      <c r="AC3" s="2" t="s">
        <v>17</v>
      </c>
      <c r="AD3" s="2" t="s">
        <v>17</v>
      </c>
      <c r="AE3" s="2" t="s">
        <v>17</v>
      </c>
      <c r="AF3" s="2" t="s">
        <v>18</v>
      </c>
      <c r="AG3" s="8" t="s">
        <v>177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idden="1" x14ac:dyDescent="0.25">
      <c r="A4" s="1"/>
      <c r="B4" s="1"/>
      <c r="C4" s="1"/>
      <c r="D4" s="1"/>
      <c r="E4" s="1"/>
      <c r="F4" s="1"/>
      <c r="G4" s="6"/>
      <c r="H4" s="1"/>
      <c r="I4" s="1"/>
      <c r="J4" s="1"/>
      <c r="K4" s="1"/>
      <c r="L4" s="1"/>
      <c r="M4" s="1"/>
      <c r="N4" s="1"/>
      <c r="O4" s="1" t="s">
        <v>19</v>
      </c>
      <c r="P4" s="1" t="s">
        <v>20</v>
      </c>
      <c r="Q4" s="1" t="s">
        <v>21</v>
      </c>
      <c r="R4" s="1" t="s">
        <v>22</v>
      </c>
      <c r="S4" s="1" t="s">
        <v>23</v>
      </c>
      <c r="T4" s="1"/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idden="1" x14ac:dyDescent="0.25">
      <c r="A5" s="1"/>
      <c r="B5" s="1"/>
      <c r="C5" s="1"/>
      <c r="D5" s="1"/>
      <c r="E5" s="3">
        <f>SUM(E6:E499)</f>
        <v>18890.461000000007</v>
      </c>
      <c r="F5" s="3">
        <f>SUM(F6:F499)</f>
        <v>26636.912000000004</v>
      </c>
      <c r="G5" s="6"/>
      <c r="H5" s="1"/>
      <c r="I5" s="1"/>
      <c r="J5" s="1"/>
      <c r="K5" s="3">
        <f t="shared" ref="K5:S5" si="0">SUM(K6:K499)</f>
        <v>21523.008999999995</v>
      </c>
      <c r="L5" s="3">
        <f t="shared" si="0"/>
        <v>-2632.5479999999998</v>
      </c>
      <c r="M5" s="3">
        <f t="shared" si="0"/>
        <v>0</v>
      </c>
      <c r="N5" s="3">
        <f t="shared" si="0"/>
        <v>0</v>
      </c>
      <c r="O5" s="3">
        <f t="shared" si="0"/>
        <v>10291.902212000003</v>
      </c>
      <c r="P5" s="3">
        <f t="shared" si="0"/>
        <v>-2944.3139999999999</v>
      </c>
      <c r="Q5" s="3">
        <f t="shared" si="0"/>
        <v>2100</v>
      </c>
      <c r="R5" s="3">
        <f t="shared" si="0"/>
        <v>700</v>
      </c>
      <c r="S5" s="3">
        <f t="shared" si="0"/>
        <v>3778.092200000001</v>
      </c>
      <c r="T5" s="1"/>
      <c r="U5" s="3">
        <f t="shared" ref="U5:AE5" si="1">SUM(U6:U499)</f>
        <v>3443.0367999999989</v>
      </c>
      <c r="V5" s="3">
        <f t="shared" si="1"/>
        <v>3963.5633999999986</v>
      </c>
      <c r="W5" s="3">
        <f t="shared" si="1"/>
        <v>3762.9608000000012</v>
      </c>
      <c r="X5" s="3">
        <f t="shared" si="1"/>
        <v>3888.003999999999</v>
      </c>
      <c r="Y5" s="3">
        <f t="shared" si="1"/>
        <v>4297.2658000000001</v>
      </c>
      <c r="Z5" s="3">
        <f t="shared" si="1"/>
        <v>4684.4022000000004</v>
      </c>
      <c r="AA5" s="3">
        <f t="shared" si="1"/>
        <v>4934.9677999999976</v>
      </c>
      <c r="AB5" s="3">
        <f t="shared" si="1"/>
        <v>5484.3842000000004</v>
      </c>
      <c r="AC5" s="3">
        <f t="shared" si="1"/>
        <v>5313.1188000000011</v>
      </c>
      <c r="AD5" s="3">
        <f t="shared" si="1"/>
        <v>4949.6584000000003</v>
      </c>
      <c r="AE5" s="3">
        <f t="shared" si="1"/>
        <v>5681.5398000000005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idden="1" x14ac:dyDescent="0.25">
      <c r="A6" s="1" t="s">
        <v>35</v>
      </c>
      <c r="B6" s="1" t="s">
        <v>36</v>
      </c>
      <c r="C6" s="1">
        <v>331.60700000000003</v>
      </c>
      <c r="D6" s="1">
        <v>270.30700000000002</v>
      </c>
      <c r="E6" s="1">
        <v>192.053</v>
      </c>
      <c r="F6" s="1">
        <v>352.88200000000001</v>
      </c>
      <c r="G6" s="6">
        <v>1</v>
      </c>
      <c r="H6" s="1">
        <v>50</v>
      </c>
      <c r="I6" s="1" t="s">
        <v>37</v>
      </c>
      <c r="J6" s="1"/>
      <c r="K6" s="1">
        <v>200.4</v>
      </c>
      <c r="L6" s="1">
        <f t="shared" ref="L6:L37" si="2">E6-K6</f>
        <v>-8.3470000000000084</v>
      </c>
      <c r="M6" s="1"/>
      <c r="N6" s="1"/>
      <c r="O6" s="1">
        <v>164.77141199999991</v>
      </c>
      <c r="P6" s="1"/>
      <c r="Q6" s="1"/>
      <c r="R6" s="1"/>
      <c r="S6" s="1">
        <f>E6/5</f>
        <v>38.410600000000002</v>
      </c>
      <c r="T6" s="1">
        <f>(F6+O6+P6+Q6+R6)/S6</f>
        <v>13.476837435499572</v>
      </c>
      <c r="U6" s="1">
        <v>34.5426</v>
      </c>
      <c r="V6" s="1">
        <v>43.8718</v>
      </c>
      <c r="W6" s="1">
        <v>37.962800000000001</v>
      </c>
      <c r="X6" s="1">
        <v>34.125799999999998</v>
      </c>
      <c r="Y6" s="1">
        <v>48.797400000000003</v>
      </c>
      <c r="Z6" s="1">
        <v>48.463799999999999</v>
      </c>
      <c r="AA6" s="1">
        <v>38.078200000000002</v>
      </c>
      <c r="AB6" s="1">
        <v>53.040599999999998</v>
      </c>
      <c r="AC6" s="1">
        <v>62.256600000000013</v>
      </c>
      <c r="AD6" s="1">
        <v>66.852599999999995</v>
      </c>
      <c r="AE6" s="1">
        <v>82.294000000000011</v>
      </c>
      <c r="AF6" s="1" t="s">
        <v>38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idden="1" x14ac:dyDescent="0.25">
      <c r="A7" s="1" t="s">
        <v>39</v>
      </c>
      <c r="B7" s="1" t="s">
        <v>36</v>
      </c>
      <c r="C7" s="1">
        <v>578.18600000000004</v>
      </c>
      <c r="D7" s="1">
        <v>1479.6120000000001</v>
      </c>
      <c r="E7" s="1">
        <v>798.68200000000002</v>
      </c>
      <c r="F7" s="1">
        <v>1025.9469999999999</v>
      </c>
      <c r="G7" s="6">
        <v>1</v>
      </c>
      <c r="H7" s="1">
        <v>45</v>
      </c>
      <c r="I7" s="1" t="s">
        <v>37</v>
      </c>
      <c r="J7" s="1"/>
      <c r="K7" s="1">
        <v>788.7</v>
      </c>
      <c r="L7" s="1">
        <f t="shared" si="2"/>
        <v>9.9819999999999709</v>
      </c>
      <c r="M7" s="1"/>
      <c r="N7" s="1"/>
      <c r="O7" s="1">
        <v>639.46720600000015</v>
      </c>
      <c r="P7" s="1"/>
      <c r="Q7" s="1"/>
      <c r="R7" s="1"/>
      <c r="S7" s="1">
        <f t="shared" ref="S7:S70" si="3">E7/5</f>
        <v>159.7364</v>
      </c>
      <c r="T7" s="1">
        <f t="shared" ref="T7:T70" si="4">(F7+O7+P7+Q7+R7)/S7</f>
        <v>10.426015648280542</v>
      </c>
      <c r="U7" s="1">
        <v>161.2954</v>
      </c>
      <c r="V7" s="1">
        <v>174.07939999999999</v>
      </c>
      <c r="W7" s="1">
        <v>156.54300000000001</v>
      </c>
      <c r="X7" s="1">
        <v>115.7188</v>
      </c>
      <c r="Y7" s="1">
        <v>123.2384</v>
      </c>
      <c r="Z7" s="1">
        <v>165.91419999999999</v>
      </c>
      <c r="AA7" s="1">
        <v>160.22540000000001</v>
      </c>
      <c r="AB7" s="1">
        <v>155.3356</v>
      </c>
      <c r="AC7" s="1">
        <v>161.36680000000001</v>
      </c>
      <c r="AD7" s="1">
        <v>149.6454</v>
      </c>
      <c r="AE7" s="1">
        <v>178.84819999999999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idden="1" x14ac:dyDescent="0.25">
      <c r="A8" s="1" t="s">
        <v>40</v>
      </c>
      <c r="B8" s="1" t="s">
        <v>36</v>
      </c>
      <c r="C8" s="1">
        <v>855.34299999999996</v>
      </c>
      <c r="D8" s="1">
        <v>1007.586</v>
      </c>
      <c r="E8" s="1">
        <v>839.44</v>
      </c>
      <c r="F8" s="1">
        <v>802.36300000000006</v>
      </c>
      <c r="G8" s="6">
        <v>1</v>
      </c>
      <c r="H8" s="1">
        <v>45</v>
      </c>
      <c r="I8" s="1" t="s">
        <v>37</v>
      </c>
      <c r="J8" s="1"/>
      <c r="K8" s="1">
        <v>866.23199999999997</v>
      </c>
      <c r="L8" s="1">
        <f t="shared" si="2"/>
        <v>-26.791999999999916</v>
      </c>
      <c r="M8" s="1"/>
      <c r="N8" s="1"/>
      <c r="O8" s="1">
        <v>644.28089799999998</v>
      </c>
      <c r="P8" s="1"/>
      <c r="Q8" s="1"/>
      <c r="R8" s="1"/>
      <c r="S8" s="1">
        <f t="shared" si="3"/>
        <v>167.88800000000001</v>
      </c>
      <c r="T8" s="1">
        <f t="shared" si="4"/>
        <v>8.6167200633755829</v>
      </c>
      <c r="U8" s="1">
        <v>166.39340000000001</v>
      </c>
      <c r="V8" s="1">
        <v>154.95760000000001</v>
      </c>
      <c r="W8" s="1">
        <v>140.4342</v>
      </c>
      <c r="X8" s="1">
        <v>130.178</v>
      </c>
      <c r="Y8" s="1">
        <v>141.642</v>
      </c>
      <c r="Z8" s="1">
        <v>157.6602</v>
      </c>
      <c r="AA8" s="1">
        <v>153.99100000000001</v>
      </c>
      <c r="AB8" s="1">
        <v>162.184</v>
      </c>
      <c r="AC8" s="1">
        <v>168.56280000000001</v>
      </c>
      <c r="AD8" s="1">
        <v>152.89080000000001</v>
      </c>
      <c r="AE8" s="1">
        <v>189.7098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idden="1" x14ac:dyDescent="0.25">
      <c r="A9" s="1" t="s">
        <v>41</v>
      </c>
      <c r="B9" s="1" t="s">
        <v>42</v>
      </c>
      <c r="C9" s="1">
        <v>27</v>
      </c>
      <c r="D9" s="1">
        <v>10</v>
      </c>
      <c r="E9" s="1">
        <v>25</v>
      </c>
      <c r="F9" s="1">
        <v>12</v>
      </c>
      <c r="G9" s="6">
        <v>0.4</v>
      </c>
      <c r="H9" s="1">
        <v>50</v>
      </c>
      <c r="I9" s="1" t="s">
        <v>37</v>
      </c>
      <c r="J9" s="1"/>
      <c r="K9" s="1">
        <v>25</v>
      </c>
      <c r="L9" s="1">
        <f t="shared" si="2"/>
        <v>0</v>
      </c>
      <c r="M9" s="1"/>
      <c r="N9" s="1"/>
      <c r="O9" s="1">
        <v>0</v>
      </c>
      <c r="P9" s="1"/>
      <c r="Q9" s="1"/>
      <c r="R9" s="1"/>
      <c r="S9" s="1">
        <f t="shared" si="3"/>
        <v>5</v>
      </c>
      <c r="T9" s="1">
        <f t="shared" si="4"/>
        <v>2.4</v>
      </c>
      <c r="U9" s="1">
        <v>4.5999999999999996</v>
      </c>
      <c r="V9" s="1">
        <v>2</v>
      </c>
      <c r="W9" s="1">
        <v>2.6</v>
      </c>
      <c r="X9" s="1">
        <v>1.4</v>
      </c>
      <c r="Y9" s="1">
        <v>0.2</v>
      </c>
      <c r="Z9" s="1">
        <v>1</v>
      </c>
      <c r="AA9" s="1">
        <v>3.2</v>
      </c>
      <c r="AB9" s="1">
        <v>2.6</v>
      </c>
      <c r="AC9" s="1">
        <v>0.4</v>
      </c>
      <c r="AD9" s="1">
        <v>0</v>
      </c>
      <c r="AE9" s="1">
        <v>0</v>
      </c>
      <c r="AF9" s="1" t="s">
        <v>43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idden="1" x14ac:dyDescent="0.25">
      <c r="A10" s="1" t="s">
        <v>44</v>
      </c>
      <c r="B10" s="1" t="s">
        <v>42</v>
      </c>
      <c r="C10" s="1">
        <v>365</v>
      </c>
      <c r="D10" s="1">
        <v>164</v>
      </c>
      <c r="E10" s="1">
        <v>308</v>
      </c>
      <c r="F10" s="1">
        <v>133</v>
      </c>
      <c r="G10" s="6">
        <v>0.45</v>
      </c>
      <c r="H10" s="1">
        <v>45</v>
      </c>
      <c r="I10" s="1" t="s">
        <v>37</v>
      </c>
      <c r="J10" s="1"/>
      <c r="K10" s="1">
        <v>354</v>
      </c>
      <c r="L10" s="1">
        <f t="shared" si="2"/>
        <v>-46</v>
      </c>
      <c r="M10" s="1"/>
      <c r="N10" s="1"/>
      <c r="O10" s="1">
        <v>287.72399999999988</v>
      </c>
      <c r="P10" s="1"/>
      <c r="Q10" s="1"/>
      <c r="R10" s="1"/>
      <c r="S10" s="1">
        <f t="shared" si="3"/>
        <v>61.6</v>
      </c>
      <c r="T10" s="1">
        <f t="shared" si="4"/>
        <v>6.8299350649350625</v>
      </c>
      <c r="U10" s="1">
        <v>52.4</v>
      </c>
      <c r="V10" s="1">
        <v>54.8</v>
      </c>
      <c r="W10" s="1">
        <v>47.6</v>
      </c>
      <c r="X10" s="1">
        <v>31.2</v>
      </c>
      <c r="Y10" s="1">
        <v>38.4</v>
      </c>
      <c r="Z10" s="1">
        <v>60.4</v>
      </c>
      <c r="AA10" s="1">
        <v>57.4</v>
      </c>
      <c r="AB10" s="1">
        <v>77</v>
      </c>
      <c r="AC10" s="1">
        <v>68.599999999999994</v>
      </c>
      <c r="AD10" s="1">
        <v>57</v>
      </c>
      <c r="AE10" s="1">
        <v>64.400000000000006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idden="1" x14ac:dyDescent="0.25">
      <c r="A11" s="1" t="s">
        <v>45</v>
      </c>
      <c r="B11" s="1" t="s">
        <v>42</v>
      </c>
      <c r="C11" s="1">
        <v>616</v>
      </c>
      <c r="D11" s="1">
        <v>179</v>
      </c>
      <c r="E11" s="1">
        <v>469</v>
      </c>
      <c r="F11" s="1">
        <v>228</v>
      </c>
      <c r="G11" s="6">
        <v>0.45</v>
      </c>
      <c r="H11" s="1">
        <v>45</v>
      </c>
      <c r="I11" s="1" t="s">
        <v>37</v>
      </c>
      <c r="J11" s="1"/>
      <c r="K11" s="1">
        <v>512</v>
      </c>
      <c r="L11" s="1">
        <f t="shared" si="2"/>
        <v>-43</v>
      </c>
      <c r="M11" s="1"/>
      <c r="N11" s="1"/>
      <c r="O11" s="1">
        <v>256.09999999999991</v>
      </c>
      <c r="P11" s="1"/>
      <c r="Q11" s="1"/>
      <c r="R11" s="1"/>
      <c r="S11" s="1">
        <f t="shared" si="3"/>
        <v>93.8</v>
      </c>
      <c r="T11" s="1">
        <f t="shared" si="4"/>
        <v>5.1609808102345411</v>
      </c>
      <c r="U11" s="1">
        <v>80.599999999999994</v>
      </c>
      <c r="V11" s="1">
        <v>70</v>
      </c>
      <c r="W11" s="1">
        <v>63.8</v>
      </c>
      <c r="X11" s="1">
        <v>57.2</v>
      </c>
      <c r="Y11" s="1">
        <v>72.2</v>
      </c>
      <c r="Z11" s="1">
        <v>90</v>
      </c>
      <c r="AA11" s="1">
        <v>77.2</v>
      </c>
      <c r="AB11" s="1">
        <v>93.8</v>
      </c>
      <c r="AC11" s="1">
        <v>88.6</v>
      </c>
      <c r="AD11" s="1">
        <v>85.2</v>
      </c>
      <c r="AE11" s="1">
        <v>90.6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idden="1" x14ac:dyDescent="0.25">
      <c r="A12" s="9" t="s">
        <v>46</v>
      </c>
      <c r="B12" s="9" t="s">
        <v>42</v>
      </c>
      <c r="C12" s="9"/>
      <c r="D12" s="9"/>
      <c r="E12" s="9"/>
      <c r="F12" s="9"/>
      <c r="G12" s="10">
        <v>0</v>
      </c>
      <c r="H12" s="9"/>
      <c r="I12" s="9" t="s">
        <v>37</v>
      </c>
      <c r="J12" s="9"/>
      <c r="K12" s="9"/>
      <c r="L12" s="9">
        <f t="shared" si="2"/>
        <v>0</v>
      </c>
      <c r="M12" s="9"/>
      <c r="N12" s="9"/>
      <c r="O12" s="9">
        <v>0</v>
      </c>
      <c r="P12" s="9"/>
      <c r="Q12" s="9"/>
      <c r="R12" s="9"/>
      <c r="S12" s="9">
        <f t="shared" si="3"/>
        <v>0</v>
      </c>
      <c r="T12" s="9" t="e">
        <f t="shared" si="4"/>
        <v>#DIV/0!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 t="s">
        <v>47</v>
      </c>
      <c r="AG12" s="9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idden="1" x14ac:dyDescent="0.25">
      <c r="A13" s="1" t="s">
        <v>48</v>
      </c>
      <c r="B13" s="1" t="s">
        <v>42</v>
      </c>
      <c r="C13" s="1">
        <v>115</v>
      </c>
      <c r="D13" s="1">
        <v>147</v>
      </c>
      <c r="E13" s="1">
        <v>130</v>
      </c>
      <c r="F13" s="1">
        <v>99</v>
      </c>
      <c r="G13" s="6">
        <v>0.3</v>
      </c>
      <c r="H13" s="1">
        <v>40</v>
      </c>
      <c r="I13" s="1" t="s">
        <v>49</v>
      </c>
      <c r="J13" s="1"/>
      <c r="K13" s="1">
        <v>151</v>
      </c>
      <c r="L13" s="1">
        <f t="shared" si="2"/>
        <v>-21</v>
      </c>
      <c r="M13" s="1"/>
      <c r="N13" s="1"/>
      <c r="O13" s="1">
        <v>80.199999999999932</v>
      </c>
      <c r="P13" s="1">
        <v>-84</v>
      </c>
      <c r="Q13" s="1"/>
      <c r="R13" s="1"/>
      <c r="S13" s="1">
        <f t="shared" si="3"/>
        <v>26</v>
      </c>
      <c r="T13" s="1">
        <f t="shared" si="4"/>
        <v>3.6615384615384587</v>
      </c>
      <c r="U13" s="1">
        <v>19.399999999999999</v>
      </c>
      <c r="V13" s="1">
        <v>21.6</v>
      </c>
      <c r="W13" s="1">
        <v>19.8</v>
      </c>
      <c r="X13" s="1">
        <v>20.2</v>
      </c>
      <c r="Y13" s="1">
        <v>21.4</v>
      </c>
      <c r="Z13" s="1">
        <v>22.4</v>
      </c>
      <c r="AA13" s="1">
        <v>23.8</v>
      </c>
      <c r="AB13" s="1">
        <v>23</v>
      </c>
      <c r="AC13" s="1">
        <v>19.8</v>
      </c>
      <c r="AD13" s="1">
        <v>18</v>
      </c>
      <c r="AE13" s="1">
        <v>25.6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idden="1" x14ac:dyDescent="0.25">
      <c r="A14" s="1" t="s">
        <v>50</v>
      </c>
      <c r="B14" s="1" t="s">
        <v>42</v>
      </c>
      <c r="C14" s="1">
        <v>85</v>
      </c>
      <c r="D14" s="1">
        <v>155</v>
      </c>
      <c r="E14" s="1">
        <v>127</v>
      </c>
      <c r="F14" s="1">
        <v>98</v>
      </c>
      <c r="G14" s="6">
        <v>0.17</v>
      </c>
      <c r="H14" s="1">
        <v>180</v>
      </c>
      <c r="I14" s="1" t="s">
        <v>37</v>
      </c>
      <c r="J14" s="1"/>
      <c r="K14" s="1">
        <v>128</v>
      </c>
      <c r="L14" s="1">
        <f t="shared" si="2"/>
        <v>-1</v>
      </c>
      <c r="M14" s="1"/>
      <c r="N14" s="1"/>
      <c r="O14" s="1">
        <v>8</v>
      </c>
      <c r="P14" s="1"/>
      <c r="Q14" s="1"/>
      <c r="R14" s="1"/>
      <c r="S14" s="1">
        <f t="shared" si="3"/>
        <v>25.4</v>
      </c>
      <c r="T14" s="1">
        <f t="shared" si="4"/>
        <v>4.1732283464566935</v>
      </c>
      <c r="U14" s="1">
        <v>17.8</v>
      </c>
      <c r="V14" s="1">
        <v>16.2</v>
      </c>
      <c r="W14" s="1">
        <v>18</v>
      </c>
      <c r="X14" s="1">
        <v>19.2</v>
      </c>
      <c r="Y14" s="1">
        <v>22</v>
      </c>
      <c r="Z14" s="1">
        <v>18.8</v>
      </c>
      <c r="AA14" s="1">
        <v>15.8</v>
      </c>
      <c r="AB14" s="1">
        <v>17.600000000000001</v>
      </c>
      <c r="AC14" s="1">
        <v>19.8</v>
      </c>
      <c r="AD14" s="1">
        <v>14.8</v>
      </c>
      <c r="AE14" s="1">
        <v>20.6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idden="1" x14ac:dyDescent="0.25">
      <c r="A15" s="1" t="s">
        <v>51</v>
      </c>
      <c r="B15" s="1" t="s">
        <v>36</v>
      </c>
      <c r="C15" s="1">
        <v>442.37299999999999</v>
      </c>
      <c r="D15" s="1">
        <v>611.25599999999997</v>
      </c>
      <c r="E15" s="1">
        <v>323.53500000000003</v>
      </c>
      <c r="F15" s="1">
        <v>690.54899999999998</v>
      </c>
      <c r="G15" s="6">
        <v>1</v>
      </c>
      <c r="H15" s="1">
        <v>70</v>
      </c>
      <c r="I15" s="1" t="s">
        <v>37</v>
      </c>
      <c r="J15" s="1"/>
      <c r="K15" s="1">
        <v>306.06</v>
      </c>
      <c r="L15" s="1">
        <f t="shared" si="2"/>
        <v>17.475000000000023</v>
      </c>
      <c r="M15" s="1"/>
      <c r="N15" s="1"/>
      <c r="O15" s="1">
        <v>36.585680000000018</v>
      </c>
      <c r="P15" s="1"/>
      <c r="Q15" s="1"/>
      <c r="R15" s="1"/>
      <c r="S15" s="1">
        <f t="shared" si="3"/>
        <v>64.707000000000008</v>
      </c>
      <c r="T15" s="1">
        <f t="shared" si="4"/>
        <v>11.237341864095074</v>
      </c>
      <c r="U15" s="1">
        <v>67.419600000000003</v>
      </c>
      <c r="V15" s="1">
        <v>63.860999999999997</v>
      </c>
      <c r="W15" s="1">
        <v>64.120199999999997</v>
      </c>
      <c r="X15" s="1">
        <v>71.404200000000003</v>
      </c>
      <c r="Y15" s="1">
        <v>76.710000000000008</v>
      </c>
      <c r="Z15" s="1">
        <v>82.161599999999993</v>
      </c>
      <c r="AA15" s="1">
        <v>77.837599999999995</v>
      </c>
      <c r="AB15" s="1">
        <v>83.318399999999997</v>
      </c>
      <c r="AC15" s="1">
        <v>95.534199999999998</v>
      </c>
      <c r="AD15" s="1">
        <v>52.246799999999993</v>
      </c>
      <c r="AE15" s="1">
        <v>66.222200000000001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idden="1" x14ac:dyDescent="0.25">
      <c r="A16" s="1" t="s">
        <v>52</v>
      </c>
      <c r="B16" s="1" t="s">
        <v>36</v>
      </c>
      <c r="C16" s="1">
        <v>2536.1019999999999</v>
      </c>
      <c r="D16" s="1">
        <v>1128.5160000000001</v>
      </c>
      <c r="E16" s="1">
        <v>1644.691</v>
      </c>
      <c r="F16" s="1">
        <v>1547.373</v>
      </c>
      <c r="G16" s="6">
        <v>1</v>
      </c>
      <c r="H16" s="1">
        <v>50</v>
      </c>
      <c r="I16" s="1" t="s">
        <v>37</v>
      </c>
      <c r="J16" s="1"/>
      <c r="K16" s="1">
        <v>1817.2</v>
      </c>
      <c r="L16" s="1">
        <f t="shared" si="2"/>
        <v>-172.50900000000001</v>
      </c>
      <c r="M16" s="1"/>
      <c r="N16" s="1"/>
      <c r="O16" s="1">
        <v>1430.3971919999999</v>
      </c>
      <c r="P16" s="1"/>
      <c r="Q16" s="1">
        <v>1100</v>
      </c>
      <c r="R16" s="1"/>
      <c r="S16" s="1">
        <f t="shared" si="3"/>
        <v>328.93819999999999</v>
      </c>
      <c r="T16" s="1">
        <f t="shared" si="4"/>
        <v>12.396766906367214</v>
      </c>
      <c r="U16" s="1">
        <v>312.99419999999998</v>
      </c>
      <c r="V16" s="1">
        <v>340.73579999999998</v>
      </c>
      <c r="W16" s="1">
        <v>301.46600000000001</v>
      </c>
      <c r="X16" s="1">
        <v>223.81219999999999</v>
      </c>
      <c r="Y16" s="1">
        <v>225.41679999999999</v>
      </c>
      <c r="Z16" s="1">
        <v>363.58780000000002</v>
      </c>
      <c r="AA16" s="1">
        <v>414.27560000000011</v>
      </c>
      <c r="AB16" s="1">
        <v>403.12939999999998</v>
      </c>
      <c r="AC16" s="1">
        <v>368.91160000000002</v>
      </c>
      <c r="AD16" s="1">
        <v>333.24779999999998</v>
      </c>
      <c r="AE16" s="1">
        <v>396.964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idden="1" x14ac:dyDescent="0.25">
      <c r="A17" s="1" t="s">
        <v>53</v>
      </c>
      <c r="B17" s="1" t="s">
        <v>36</v>
      </c>
      <c r="C17" s="1">
        <v>112.72199999999999</v>
      </c>
      <c r="D17" s="1">
        <v>90.974999999999994</v>
      </c>
      <c r="E17" s="1">
        <v>41.569000000000003</v>
      </c>
      <c r="F17" s="1">
        <v>143.62299999999999</v>
      </c>
      <c r="G17" s="6">
        <v>1</v>
      </c>
      <c r="H17" s="1">
        <v>60</v>
      </c>
      <c r="I17" s="1" t="s">
        <v>37</v>
      </c>
      <c r="J17" s="1"/>
      <c r="K17" s="1">
        <v>44.8</v>
      </c>
      <c r="L17" s="1">
        <f t="shared" si="2"/>
        <v>-3.2309999999999945</v>
      </c>
      <c r="M17" s="1"/>
      <c r="N17" s="1"/>
      <c r="O17" s="1">
        <v>0</v>
      </c>
      <c r="P17" s="1"/>
      <c r="Q17" s="1"/>
      <c r="R17" s="1"/>
      <c r="S17" s="1">
        <f t="shared" si="3"/>
        <v>8.3138000000000005</v>
      </c>
      <c r="T17" s="1">
        <f t="shared" si="4"/>
        <v>17.275253193485529</v>
      </c>
      <c r="U17" s="1">
        <v>14.825799999999999</v>
      </c>
      <c r="V17" s="1">
        <v>13.7936</v>
      </c>
      <c r="W17" s="1">
        <v>9.2590000000000003</v>
      </c>
      <c r="X17" s="1">
        <v>15.664400000000001</v>
      </c>
      <c r="Y17" s="1">
        <v>19.814599999999999</v>
      </c>
      <c r="Z17" s="1">
        <v>17.560199999999998</v>
      </c>
      <c r="AA17" s="1">
        <v>20.452200000000001</v>
      </c>
      <c r="AB17" s="1">
        <v>22.732399999999998</v>
      </c>
      <c r="AC17" s="1">
        <v>16.6022</v>
      </c>
      <c r="AD17" s="1">
        <v>18.7286</v>
      </c>
      <c r="AE17" s="1">
        <v>18.415600000000001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x14ac:dyDescent="0.25">
      <c r="A18" s="1" t="s">
        <v>54</v>
      </c>
      <c r="B18" s="1" t="s">
        <v>36</v>
      </c>
      <c r="C18" s="1">
        <v>58.915999999999997</v>
      </c>
      <c r="D18" s="1">
        <v>0.89500000000000002</v>
      </c>
      <c r="E18" s="1">
        <v>23.055</v>
      </c>
      <c r="F18" s="1">
        <v>35.860999999999997</v>
      </c>
      <c r="G18" s="6">
        <v>1</v>
      </c>
      <c r="H18" s="1">
        <v>60</v>
      </c>
      <c r="I18" s="1" t="s">
        <v>37</v>
      </c>
      <c r="J18" s="1"/>
      <c r="K18" s="1">
        <v>21.7</v>
      </c>
      <c r="L18" s="1">
        <f t="shared" si="2"/>
        <v>1.3550000000000004</v>
      </c>
      <c r="M18" s="1"/>
      <c r="N18" s="1"/>
      <c r="O18" s="1">
        <v>71.01100000000001</v>
      </c>
      <c r="P18" s="1"/>
      <c r="Q18" s="1"/>
      <c r="R18" s="1"/>
      <c r="S18" s="11">
        <f t="shared" si="3"/>
        <v>4.6109999999999998</v>
      </c>
      <c r="T18" s="14">
        <f t="shared" si="4"/>
        <v>23.177618737800916</v>
      </c>
      <c r="U18" s="1">
        <v>9.6975999999999996</v>
      </c>
      <c r="V18" s="1">
        <v>9.870000000000001</v>
      </c>
      <c r="W18" s="1">
        <v>4.0758000000000001</v>
      </c>
      <c r="X18" s="1">
        <v>5.8464</v>
      </c>
      <c r="Y18" s="1">
        <v>11.7798</v>
      </c>
      <c r="Z18" s="1">
        <v>9.9963999999999995</v>
      </c>
      <c r="AA18" s="1">
        <v>9.1463999999999999</v>
      </c>
      <c r="AB18" s="1">
        <v>10.711600000000001</v>
      </c>
      <c r="AC18" s="1">
        <v>10.7</v>
      </c>
      <c r="AD18" s="1">
        <v>9.6920000000000002</v>
      </c>
      <c r="AE18" s="1">
        <v>6.7256</v>
      </c>
      <c r="AF18" s="1"/>
      <c r="AG18" s="16" t="s">
        <v>178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idden="1" x14ac:dyDescent="0.25">
      <c r="A19" s="1" t="s">
        <v>55</v>
      </c>
      <c r="B19" s="1" t="s">
        <v>36</v>
      </c>
      <c r="C19" s="1">
        <v>14.95</v>
      </c>
      <c r="D19" s="1">
        <v>26.940999999999999</v>
      </c>
      <c r="E19" s="1">
        <v>23.041</v>
      </c>
      <c r="F19" s="1">
        <v>13.718999999999999</v>
      </c>
      <c r="G19" s="6">
        <v>1</v>
      </c>
      <c r="H19" s="1">
        <v>180</v>
      </c>
      <c r="I19" s="1" t="s">
        <v>37</v>
      </c>
      <c r="J19" s="1"/>
      <c r="K19" s="1">
        <v>44.35</v>
      </c>
      <c r="L19" s="1">
        <f t="shared" si="2"/>
        <v>-21.309000000000001</v>
      </c>
      <c r="M19" s="1"/>
      <c r="N19" s="1"/>
      <c r="O19" s="1">
        <v>30.536599999999989</v>
      </c>
      <c r="P19" s="1"/>
      <c r="Q19" s="1"/>
      <c r="R19" s="1"/>
      <c r="S19" s="1">
        <f t="shared" si="3"/>
        <v>4.6082000000000001</v>
      </c>
      <c r="T19" s="1">
        <f t="shared" si="4"/>
        <v>9.6036630354585277</v>
      </c>
      <c r="U19" s="1">
        <v>3.7277999999999998</v>
      </c>
      <c r="V19" s="1">
        <v>4.875</v>
      </c>
      <c r="W19" s="1">
        <v>3.3774000000000002</v>
      </c>
      <c r="X19" s="1">
        <v>2.6214</v>
      </c>
      <c r="Y19" s="1">
        <v>3.2532000000000001</v>
      </c>
      <c r="Z19" s="1">
        <v>2.9756</v>
      </c>
      <c r="AA19" s="1">
        <v>3.4765999999999999</v>
      </c>
      <c r="AB19" s="1">
        <v>3.2033999999999998</v>
      </c>
      <c r="AC19" s="1">
        <v>2.6796000000000002</v>
      </c>
      <c r="AD19" s="1">
        <v>5.3262</v>
      </c>
      <c r="AE19" s="1">
        <v>5.8662000000000001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idden="1" x14ac:dyDescent="0.25">
      <c r="A20" s="1" t="s">
        <v>56</v>
      </c>
      <c r="B20" s="1" t="s">
        <v>36</v>
      </c>
      <c r="C20" s="1">
        <v>407.37299999999999</v>
      </c>
      <c r="D20" s="1">
        <v>624.23400000000004</v>
      </c>
      <c r="E20" s="1">
        <v>366.6</v>
      </c>
      <c r="F20" s="1">
        <v>596.72299999999996</v>
      </c>
      <c r="G20" s="6">
        <v>1</v>
      </c>
      <c r="H20" s="1">
        <v>60</v>
      </c>
      <c r="I20" s="1" t="s">
        <v>37</v>
      </c>
      <c r="J20" s="1"/>
      <c r="K20" s="1">
        <v>346.72</v>
      </c>
      <c r="L20" s="1">
        <f t="shared" si="2"/>
        <v>19.879999999999995</v>
      </c>
      <c r="M20" s="1"/>
      <c r="N20" s="1"/>
      <c r="O20" s="1">
        <v>95.781790000000285</v>
      </c>
      <c r="P20" s="1"/>
      <c r="Q20" s="1"/>
      <c r="R20" s="1"/>
      <c r="S20" s="1">
        <f t="shared" si="3"/>
        <v>73.320000000000007</v>
      </c>
      <c r="T20" s="1">
        <f t="shared" si="4"/>
        <v>9.444964402618659</v>
      </c>
      <c r="U20" s="1">
        <v>77.209599999999995</v>
      </c>
      <c r="V20" s="1">
        <v>79.551599999999993</v>
      </c>
      <c r="W20" s="1">
        <v>73.747199999999992</v>
      </c>
      <c r="X20" s="1">
        <v>84.715599999999995</v>
      </c>
      <c r="Y20" s="1">
        <v>89.979399999999998</v>
      </c>
      <c r="Z20" s="1">
        <v>85.64500000000001</v>
      </c>
      <c r="AA20" s="1">
        <v>82.814400000000006</v>
      </c>
      <c r="AB20" s="1">
        <v>99.254800000000003</v>
      </c>
      <c r="AC20" s="1">
        <v>109.6948</v>
      </c>
      <c r="AD20" s="1">
        <v>108.2616</v>
      </c>
      <c r="AE20" s="1">
        <v>128.46600000000001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idden="1" x14ac:dyDescent="0.25">
      <c r="A21" s="1" t="s">
        <v>57</v>
      </c>
      <c r="B21" s="1" t="s">
        <v>36</v>
      </c>
      <c r="C21" s="1">
        <v>232.50299999999999</v>
      </c>
      <c r="D21" s="1">
        <v>7.9619999999999997</v>
      </c>
      <c r="E21" s="1">
        <v>61.344000000000001</v>
      </c>
      <c r="F21" s="1">
        <v>156.61099999999999</v>
      </c>
      <c r="G21" s="6">
        <v>1</v>
      </c>
      <c r="H21" s="1">
        <v>70</v>
      </c>
      <c r="I21" s="1" t="s">
        <v>37</v>
      </c>
      <c r="J21" s="1"/>
      <c r="K21" s="1">
        <v>67.3</v>
      </c>
      <c r="L21" s="1">
        <f t="shared" si="2"/>
        <v>-5.955999999999996</v>
      </c>
      <c r="M21" s="1"/>
      <c r="N21" s="1"/>
      <c r="O21" s="1">
        <v>44.206999999999972</v>
      </c>
      <c r="P21" s="1"/>
      <c r="Q21" s="1"/>
      <c r="R21" s="1"/>
      <c r="S21" s="1">
        <f t="shared" si="3"/>
        <v>12.268800000000001</v>
      </c>
      <c r="T21" s="1">
        <f t="shared" si="4"/>
        <v>16.368185967657794</v>
      </c>
      <c r="U21" s="1">
        <v>13</v>
      </c>
      <c r="V21" s="1">
        <v>21.806999999999999</v>
      </c>
      <c r="W21" s="1">
        <v>21.227</v>
      </c>
      <c r="X21" s="1">
        <v>14.3834</v>
      </c>
      <c r="Y21" s="1">
        <v>19.766999999999999</v>
      </c>
      <c r="Z21" s="1">
        <v>31.105599999999999</v>
      </c>
      <c r="AA21" s="1">
        <v>31.758400000000002</v>
      </c>
      <c r="AB21" s="1">
        <v>22.8048</v>
      </c>
      <c r="AC21" s="1">
        <v>16.5824</v>
      </c>
      <c r="AD21" s="1">
        <v>21.981400000000001</v>
      </c>
      <c r="AE21" s="1">
        <v>25.205400000000001</v>
      </c>
      <c r="AF21" s="1" t="s">
        <v>38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idden="1" x14ac:dyDescent="0.25">
      <c r="A22" s="1" t="s">
        <v>58</v>
      </c>
      <c r="B22" s="1" t="s">
        <v>36</v>
      </c>
      <c r="C22" s="1">
        <v>177.626</v>
      </c>
      <c r="D22" s="1">
        <v>254.755</v>
      </c>
      <c r="E22" s="1">
        <v>189.44</v>
      </c>
      <c r="F22" s="1">
        <v>218.28399999999999</v>
      </c>
      <c r="G22" s="6">
        <v>1</v>
      </c>
      <c r="H22" s="1">
        <v>70</v>
      </c>
      <c r="I22" s="1" t="s">
        <v>37</v>
      </c>
      <c r="J22" s="1"/>
      <c r="K22" s="1">
        <v>188.68</v>
      </c>
      <c r="L22" s="1">
        <f t="shared" si="2"/>
        <v>0.75999999999999091</v>
      </c>
      <c r="M22" s="1"/>
      <c r="N22" s="1"/>
      <c r="O22" s="1">
        <v>144.06731199999999</v>
      </c>
      <c r="P22" s="1"/>
      <c r="Q22" s="1"/>
      <c r="R22" s="1"/>
      <c r="S22" s="1">
        <f t="shared" si="3"/>
        <v>37.887999999999998</v>
      </c>
      <c r="T22" s="1">
        <f t="shared" si="4"/>
        <v>9.5637487331081079</v>
      </c>
      <c r="U22" s="1">
        <v>38.575599999999987</v>
      </c>
      <c r="V22" s="1">
        <v>44.986800000000002</v>
      </c>
      <c r="W22" s="1">
        <v>38.965000000000003</v>
      </c>
      <c r="X22" s="1">
        <v>37.324399999999997</v>
      </c>
      <c r="Y22" s="1">
        <v>42.604799999999997</v>
      </c>
      <c r="Z22" s="1">
        <v>42.156199999999998</v>
      </c>
      <c r="AA22" s="1">
        <v>46.545400000000001</v>
      </c>
      <c r="AB22" s="1">
        <v>57.740400000000001</v>
      </c>
      <c r="AC22" s="1">
        <v>61.052200000000013</v>
      </c>
      <c r="AD22" s="1">
        <v>53.941800000000001</v>
      </c>
      <c r="AE22" s="1">
        <v>51.120199999999997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idden="1" x14ac:dyDescent="0.25">
      <c r="A23" s="1" t="s">
        <v>59</v>
      </c>
      <c r="B23" s="1" t="s">
        <v>36</v>
      </c>
      <c r="C23" s="1">
        <v>7.1280000000000001</v>
      </c>
      <c r="D23" s="1">
        <v>38.387999999999998</v>
      </c>
      <c r="E23" s="1">
        <v>17.431999999999999</v>
      </c>
      <c r="F23" s="1">
        <v>23.991</v>
      </c>
      <c r="G23" s="6">
        <v>1</v>
      </c>
      <c r="H23" s="1">
        <v>180</v>
      </c>
      <c r="I23" s="1" t="s">
        <v>37</v>
      </c>
      <c r="J23" s="1"/>
      <c r="K23" s="1">
        <v>15.9</v>
      </c>
      <c r="L23" s="1">
        <f t="shared" si="2"/>
        <v>1.5319999999999983</v>
      </c>
      <c r="M23" s="1"/>
      <c r="N23" s="1"/>
      <c r="O23" s="1">
        <v>17.873000000000001</v>
      </c>
      <c r="P23" s="1"/>
      <c r="Q23" s="1"/>
      <c r="R23" s="1"/>
      <c r="S23" s="1">
        <f t="shared" si="3"/>
        <v>3.4863999999999997</v>
      </c>
      <c r="T23" s="1">
        <f t="shared" si="4"/>
        <v>12.007801743919231</v>
      </c>
      <c r="U23" s="1">
        <v>1.9630000000000001</v>
      </c>
      <c r="V23" s="1">
        <v>4.3348000000000004</v>
      </c>
      <c r="W23" s="1">
        <v>3.0522</v>
      </c>
      <c r="X23" s="1">
        <v>3.3224</v>
      </c>
      <c r="Y23" s="1">
        <v>4.6915999999999993</v>
      </c>
      <c r="Z23" s="1">
        <v>3.9258000000000002</v>
      </c>
      <c r="AA23" s="1">
        <v>4.0861999999999998</v>
      </c>
      <c r="AB23" s="1">
        <v>3.0114000000000001</v>
      </c>
      <c r="AC23" s="1">
        <v>1.6878</v>
      </c>
      <c r="AD23" s="1">
        <v>2.2938000000000001</v>
      </c>
      <c r="AE23" s="1">
        <v>4.5103999999999997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idden="1" x14ac:dyDescent="0.25">
      <c r="A24" s="1" t="s">
        <v>60</v>
      </c>
      <c r="B24" s="1" t="s">
        <v>36</v>
      </c>
      <c r="C24" s="1">
        <v>330.11900000000003</v>
      </c>
      <c r="D24" s="1">
        <v>61.252000000000002</v>
      </c>
      <c r="E24" s="1">
        <v>165.64500000000001</v>
      </c>
      <c r="F24" s="1">
        <v>179.63800000000001</v>
      </c>
      <c r="G24" s="6">
        <v>1</v>
      </c>
      <c r="H24" s="1">
        <v>70</v>
      </c>
      <c r="I24" s="1" t="s">
        <v>37</v>
      </c>
      <c r="J24" s="1"/>
      <c r="K24" s="1">
        <v>156.41999999999999</v>
      </c>
      <c r="L24" s="1">
        <f t="shared" si="2"/>
        <v>9.2250000000000227</v>
      </c>
      <c r="M24" s="1"/>
      <c r="N24" s="1"/>
      <c r="O24" s="1">
        <v>145.50750800000009</v>
      </c>
      <c r="P24" s="1"/>
      <c r="Q24" s="1"/>
      <c r="R24" s="1"/>
      <c r="S24" s="1">
        <f t="shared" si="3"/>
        <v>33.129000000000005</v>
      </c>
      <c r="T24" s="1">
        <f t="shared" si="4"/>
        <v>9.8145282984696198</v>
      </c>
      <c r="U24" s="1">
        <v>36.545400000000001</v>
      </c>
      <c r="V24" s="1">
        <v>37.086200000000012</v>
      </c>
      <c r="W24" s="1">
        <v>30.3794</v>
      </c>
      <c r="X24" s="1">
        <v>37.165799999999997</v>
      </c>
      <c r="Y24" s="1">
        <v>46.671199999999999</v>
      </c>
      <c r="Z24" s="1">
        <v>51.576599999999999</v>
      </c>
      <c r="AA24" s="1">
        <v>50.810199999999988</v>
      </c>
      <c r="AB24" s="1">
        <v>51.419199999999996</v>
      </c>
      <c r="AC24" s="1">
        <v>53.342599999999997</v>
      </c>
      <c r="AD24" s="1">
        <v>51.205800000000004</v>
      </c>
      <c r="AE24" s="1">
        <v>58.679999999999993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idden="1" x14ac:dyDescent="0.25">
      <c r="A25" s="9" t="s">
        <v>61</v>
      </c>
      <c r="B25" s="9" t="s">
        <v>36</v>
      </c>
      <c r="C25" s="9">
        <v>1.0980000000000001</v>
      </c>
      <c r="D25" s="9"/>
      <c r="E25" s="9">
        <v>-0.7</v>
      </c>
      <c r="F25" s="9">
        <v>1.0980000000000001</v>
      </c>
      <c r="G25" s="10">
        <v>0</v>
      </c>
      <c r="H25" s="9">
        <v>35</v>
      </c>
      <c r="I25" s="9" t="s">
        <v>62</v>
      </c>
      <c r="J25" s="9"/>
      <c r="K25" s="9">
        <v>9.1</v>
      </c>
      <c r="L25" s="9">
        <f t="shared" si="2"/>
        <v>-9.7999999999999989</v>
      </c>
      <c r="M25" s="9"/>
      <c r="N25" s="9"/>
      <c r="O25" s="9">
        <v>0</v>
      </c>
      <c r="P25" s="9"/>
      <c r="Q25" s="9"/>
      <c r="R25" s="9"/>
      <c r="S25" s="9">
        <f t="shared" si="3"/>
        <v>-0.13999999999999999</v>
      </c>
      <c r="T25" s="9">
        <f t="shared" si="4"/>
        <v>-7.8428571428571443</v>
      </c>
      <c r="U25" s="9">
        <v>-0.14000000000000001</v>
      </c>
      <c r="V25" s="9">
        <v>-0.14000000000000001</v>
      </c>
      <c r="W25" s="9">
        <v>0</v>
      </c>
      <c r="X25" s="9">
        <v>4.6292</v>
      </c>
      <c r="Y25" s="9">
        <v>6.452</v>
      </c>
      <c r="Z25" s="9">
        <v>6.3102</v>
      </c>
      <c r="AA25" s="9">
        <v>5.6124000000000001</v>
      </c>
      <c r="AB25" s="9">
        <v>3.0931999999999999</v>
      </c>
      <c r="AC25" s="9">
        <v>2.9478</v>
      </c>
      <c r="AD25" s="9">
        <v>4.7827999999999999</v>
      </c>
      <c r="AE25" s="9">
        <v>7.0242000000000004</v>
      </c>
      <c r="AF25" s="9"/>
      <c r="AG25" s="9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idden="1" x14ac:dyDescent="0.25">
      <c r="A26" s="9" t="s">
        <v>63</v>
      </c>
      <c r="B26" s="9" t="s">
        <v>36</v>
      </c>
      <c r="C26" s="9"/>
      <c r="D26" s="9"/>
      <c r="E26" s="9"/>
      <c r="F26" s="9"/>
      <c r="G26" s="10">
        <v>0</v>
      </c>
      <c r="H26" s="9"/>
      <c r="I26" s="9" t="s">
        <v>37</v>
      </c>
      <c r="J26" s="9"/>
      <c r="K26" s="9"/>
      <c r="L26" s="9">
        <f t="shared" si="2"/>
        <v>0</v>
      </c>
      <c r="M26" s="9"/>
      <c r="N26" s="9"/>
      <c r="O26" s="9">
        <v>0</v>
      </c>
      <c r="P26" s="9"/>
      <c r="Q26" s="9"/>
      <c r="R26" s="9"/>
      <c r="S26" s="9">
        <f t="shared" si="3"/>
        <v>0</v>
      </c>
      <c r="T26" s="9" t="e">
        <f t="shared" si="4"/>
        <v>#DIV/0!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 t="s">
        <v>47</v>
      </c>
      <c r="AG26" s="9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idden="1" x14ac:dyDescent="0.25">
      <c r="A27" s="1" t="s">
        <v>64</v>
      </c>
      <c r="B27" s="1" t="s">
        <v>36</v>
      </c>
      <c r="C27" s="1">
        <v>134.74</v>
      </c>
      <c r="D27" s="1">
        <v>324.14499999999998</v>
      </c>
      <c r="E27" s="1">
        <v>193.92</v>
      </c>
      <c r="F27" s="1">
        <v>161.26599999999999</v>
      </c>
      <c r="G27" s="6">
        <v>1</v>
      </c>
      <c r="H27" s="1">
        <v>30</v>
      </c>
      <c r="I27" s="1" t="s">
        <v>37</v>
      </c>
      <c r="J27" s="1"/>
      <c r="K27" s="1">
        <v>274.7</v>
      </c>
      <c r="L27" s="1">
        <f t="shared" si="2"/>
        <v>-80.78</v>
      </c>
      <c r="M27" s="1"/>
      <c r="N27" s="1"/>
      <c r="O27" s="1">
        <v>317.1260239999998</v>
      </c>
      <c r="P27" s="1"/>
      <c r="Q27" s="1"/>
      <c r="R27" s="1"/>
      <c r="S27" s="1">
        <f t="shared" si="3"/>
        <v>38.783999999999999</v>
      </c>
      <c r="T27" s="1">
        <f t="shared" si="4"/>
        <v>12.334777846534648</v>
      </c>
      <c r="U27" s="1">
        <v>45.629399999999997</v>
      </c>
      <c r="V27" s="1">
        <v>54.0336</v>
      </c>
      <c r="W27" s="1">
        <v>33.3504</v>
      </c>
      <c r="X27" s="1">
        <v>39.0062</v>
      </c>
      <c r="Y27" s="1">
        <v>53.301000000000002</v>
      </c>
      <c r="Z27" s="1">
        <v>46.706800000000001</v>
      </c>
      <c r="AA27" s="1">
        <v>23.161200000000001</v>
      </c>
      <c r="AB27" s="1">
        <v>34.602600000000002</v>
      </c>
      <c r="AC27" s="1">
        <v>39.710599999999999</v>
      </c>
      <c r="AD27" s="1">
        <v>34.586599999999997</v>
      </c>
      <c r="AE27" s="1">
        <v>40.651400000000002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idden="1" x14ac:dyDescent="0.25">
      <c r="A28" s="1" t="s">
        <v>65</v>
      </c>
      <c r="B28" s="1" t="s">
        <v>36</v>
      </c>
      <c r="C28" s="1">
        <v>5.2210000000000001</v>
      </c>
      <c r="D28" s="1"/>
      <c r="E28" s="1">
        <v>-0.105</v>
      </c>
      <c r="F28" s="1">
        <v>3.702</v>
      </c>
      <c r="G28" s="6">
        <v>1</v>
      </c>
      <c r="H28" s="1">
        <v>40</v>
      </c>
      <c r="I28" s="1" t="s">
        <v>49</v>
      </c>
      <c r="J28" s="1"/>
      <c r="K28" s="1">
        <v>91.8</v>
      </c>
      <c r="L28" s="1">
        <f t="shared" si="2"/>
        <v>-91.905000000000001</v>
      </c>
      <c r="M28" s="1"/>
      <c r="N28" s="1"/>
      <c r="O28" s="1">
        <v>120</v>
      </c>
      <c r="P28" s="1">
        <v>-126</v>
      </c>
      <c r="Q28" s="1"/>
      <c r="R28" s="1"/>
      <c r="S28" s="11">
        <f t="shared" si="3"/>
        <v>-2.0999999999999998E-2</v>
      </c>
      <c r="T28" s="14">
        <f t="shared" si="4"/>
        <v>109.42857142857153</v>
      </c>
      <c r="U28" s="1">
        <v>-2.1000000000000001E-2</v>
      </c>
      <c r="V28" s="1">
        <v>0.1164</v>
      </c>
      <c r="W28" s="1">
        <v>1.6801999999999999</v>
      </c>
      <c r="X28" s="1">
        <v>37.1038</v>
      </c>
      <c r="Y28" s="1">
        <v>73.638800000000003</v>
      </c>
      <c r="Z28" s="1">
        <v>62.238599999999998</v>
      </c>
      <c r="AA28" s="1">
        <v>32.152799999999999</v>
      </c>
      <c r="AB28" s="1">
        <v>66.114800000000002</v>
      </c>
      <c r="AC28" s="1">
        <v>89.90979999999999</v>
      </c>
      <c r="AD28" s="1">
        <v>73.314800000000005</v>
      </c>
      <c r="AE28" s="1">
        <v>79.865399999999994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idden="1" x14ac:dyDescent="0.25">
      <c r="A29" s="1" t="s">
        <v>66</v>
      </c>
      <c r="B29" s="1" t="s">
        <v>36</v>
      </c>
      <c r="C29" s="1">
        <v>-0.41</v>
      </c>
      <c r="D29" s="1">
        <v>395.53199999999998</v>
      </c>
      <c r="E29" s="1">
        <v>181.65799999999999</v>
      </c>
      <c r="F29" s="1">
        <v>158.46</v>
      </c>
      <c r="G29" s="6">
        <v>1</v>
      </c>
      <c r="H29" s="1">
        <v>30</v>
      </c>
      <c r="I29" s="1" t="s">
        <v>49</v>
      </c>
      <c r="J29" s="1"/>
      <c r="K29" s="1">
        <v>175</v>
      </c>
      <c r="L29" s="1">
        <f t="shared" si="2"/>
        <v>6.657999999999987</v>
      </c>
      <c r="M29" s="1"/>
      <c r="N29" s="1"/>
      <c r="O29" s="1">
        <v>200</v>
      </c>
      <c r="P29" s="1"/>
      <c r="Q29" s="1"/>
      <c r="R29" s="1"/>
      <c r="S29" s="1">
        <f t="shared" si="3"/>
        <v>36.331599999999995</v>
      </c>
      <c r="T29" s="1">
        <f t="shared" si="4"/>
        <v>9.8663422475200679</v>
      </c>
      <c r="U29" s="1">
        <v>2.3946000000000001</v>
      </c>
      <c r="V29" s="1">
        <v>-0.96219999999999994</v>
      </c>
      <c r="W29" s="1">
        <v>10.6404</v>
      </c>
      <c r="X29" s="1">
        <v>28.9634</v>
      </c>
      <c r="Y29" s="1">
        <v>20.459</v>
      </c>
      <c r="Z29" s="1">
        <v>-1.2302</v>
      </c>
      <c r="AA29" s="1">
        <v>10.5242</v>
      </c>
      <c r="AB29" s="1">
        <v>51.875800000000012</v>
      </c>
      <c r="AC29" s="1">
        <v>106.5702</v>
      </c>
      <c r="AD29" s="1">
        <v>91.686000000000007</v>
      </c>
      <c r="AE29" s="1">
        <v>71.770200000000003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idden="1" x14ac:dyDescent="0.25">
      <c r="A30" s="1" t="s">
        <v>67</v>
      </c>
      <c r="B30" s="1" t="s">
        <v>36</v>
      </c>
      <c r="C30" s="1">
        <v>-6.8019999999999996</v>
      </c>
      <c r="D30" s="1">
        <v>467.82799999999997</v>
      </c>
      <c r="E30" s="1">
        <v>382.48099999999999</v>
      </c>
      <c r="F30" s="1">
        <v>-1.6140000000000001</v>
      </c>
      <c r="G30" s="6">
        <v>1</v>
      </c>
      <c r="H30" s="1">
        <v>40</v>
      </c>
      <c r="I30" s="1" t="s">
        <v>49</v>
      </c>
      <c r="J30" s="1"/>
      <c r="K30" s="1">
        <v>351.5</v>
      </c>
      <c r="L30" s="1">
        <f t="shared" si="2"/>
        <v>30.980999999999995</v>
      </c>
      <c r="M30" s="1"/>
      <c r="N30" s="1"/>
      <c r="O30" s="1">
        <v>400</v>
      </c>
      <c r="P30" s="1">
        <v>-405</v>
      </c>
      <c r="Q30" s="1"/>
      <c r="R30" s="1"/>
      <c r="S30" s="1">
        <f t="shared" si="3"/>
        <v>76.496200000000002</v>
      </c>
      <c r="T30" s="1">
        <f t="shared" si="4"/>
        <v>-8.6461811174933859E-2</v>
      </c>
      <c r="U30" s="1">
        <v>5.6337999999999999</v>
      </c>
      <c r="V30" s="1">
        <v>-0.54759999999999998</v>
      </c>
      <c r="W30" s="1">
        <v>-0.10059999999999999</v>
      </c>
      <c r="X30" s="1">
        <v>-0.82639999999999991</v>
      </c>
      <c r="Y30" s="1">
        <v>0.14080000000000001</v>
      </c>
      <c r="Z30" s="1">
        <v>2.6922000000000001</v>
      </c>
      <c r="AA30" s="1">
        <v>93.157600000000002</v>
      </c>
      <c r="AB30" s="1">
        <v>186.66319999999999</v>
      </c>
      <c r="AC30" s="1">
        <v>177.22620000000001</v>
      </c>
      <c r="AD30" s="1">
        <v>205.678</v>
      </c>
      <c r="AE30" s="1">
        <v>192.21559999999999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idden="1" x14ac:dyDescent="0.25">
      <c r="A31" s="1" t="s">
        <v>68</v>
      </c>
      <c r="B31" s="1" t="s">
        <v>36</v>
      </c>
      <c r="C31" s="1">
        <v>1.4E-2</v>
      </c>
      <c r="D31" s="1">
        <v>28.244</v>
      </c>
      <c r="E31" s="1">
        <v>6.3280000000000003</v>
      </c>
      <c r="F31" s="1">
        <v>20.448</v>
      </c>
      <c r="G31" s="6">
        <v>1</v>
      </c>
      <c r="H31" s="1">
        <v>40</v>
      </c>
      <c r="I31" s="1" t="s">
        <v>49</v>
      </c>
      <c r="J31" s="1"/>
      <c r="K31" s="1">
        <v>5.4</v>
      </c>
      <c r="L31" s="1">
        <f t="shared" si="2"/>
        <v>0.92799999999999994</v>
      </c>
      <c r="M31" s="1"/>
      <c r="N31" s="1"/>
      <c r="O31" s="1">
        <v>10</v>
      </c>
      <c r="P31" s="1">
        <v>-18</v>
      </c>
      <c r="Q31" s="1"/>
      <c r="R31" s="1"/>
      <c r="S31" s="1">
        <f t="shared" si="3"/>
        <v>1.2656000000000001</v>
      </c>
      <c r="T31" s="1">
        <f t="shared" si="4"/>
        <v>9.8356510745891281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0.87280000000000002</v>
      </c>
      <c r="AC31" s="1">
        <v>8.621599999999999</v>
      </c>
      <c r="AD31" s="1">
        <v>7.7488000000000001</v>
      </c>
      <c r="AE31" s="1">
        <v>-0.42280000000000001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idden="1" x14ac:dyDescent="0.25">
      <c r="A32" s="1" t="s">
        <v>69</v>
      </c>
      <c r="B32" s="1" t="s">
        <v>36</v>
      </c>
      <c r="C32" s="1">
        <v>10.057</v>
      </c>
      <c r="D32" s="1">
        <v>117.378</v>
      </c>
      <c r="E32" s="1">
        <v>18.815999999999999</v>
      </c>
      <c r="F32" s="1">
        <v>92.584999999999994</v>
      </c>
      <c r="G32" s="6">
        <v>1</v>
      </c>
      <c r="H32" s="1">
        <v>30</v>
      </c>
      <c r="I32" s="1" t="s">
        <v>37</v>
      </c>
      <c r="J32" s="1"/>
      <c r="K32" s="1">
        <v>40.5</v>
      </c>
      <c r="L32" s="1">
        <f t="shared" si="2"/>
        <v>-21.684000000000001</v>
      </c>
      <c r="M32" s="1"/>
      <c r="N32" s="1"/>
      <c r="O32" s="1">
        <v>0</v>
      </c>
      <c r="P32" s="1"/>
      <c r="Q32" s="1"/>
      <c r="R32" s="1"/>
      <c r="S32" s="11">
        <f t="shared" si="3"/>
        <v>3.7631999999999999</v>
      </c>
      <c r="T32" s="14">
        <f t="shared" si="4"/>
        <v>24.602731717687075</v>
      </c>
      <c r="U32" s="1">
        <v>0.57519999999999993</v>
      </c>
      <c r="V32" s="1">
        <v>4.4287999999999998</v>
      </c>
      <c r="W32" s="1">
        <v>9.4892000000000003</v>
      </c>
      <c r="X32" s="1">
        <v>9.4754000000000005</v>
      </c>
      <c r="Y32" s="1">
        <v>3.5449999999999999</v>
      </c>
      <c r="Z32" s="1">
        <v>0</v>
      </c>
      <c r="AA32" s="1">
        <v>5.3902000000000001</v>
      </c>
      <c r="AB32" s="1">
        <v>10.913</v>
      </c>
      <c r="AC32" s="1">
        <v>11.9476</v>
      </c>
      <c r="AD32" s="1">
        <v>7.6019999999999994</v>
      </c>
      <c r="AE32" s="1">
        <v>9.0299999999999994</v>
      </c>
      <c r="AF32" s="1" t="s">
        <v>38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idden="1" x14ac:dyDescent="0.25">
      <c r="A33" s="1" t="s">
        <v>70</v>
      </c>
      <c r="B33" s="1" t="s">
        <v>36</v>
      </c>
      <c r="C33" s="1">
        <v>130.85499999999999</v>
      </c>
      <c r="D33" s="1">
        <v>4.6079999999999997</v>
      </c>
      <c r="E33" s="1">
        <v>41.292999999999999</v>
      </c>
      <c r="F33" s="1">
        <v>79.501999999999995</v>
      </c>
      <c r="G33" s="6">
        <v>1</v>
      </c>
      <c r="H33" s="1">
        <v>50</v>
      </c>
      <c r="I33" s="1" t="s">
        <v>37</v>
      </c>
      <c r="J33" s="1"/>
      <c r="K33" s="1">
        <v>38.299999999999997</v>
      </c>
      <c r="L33" s="1">
        <f t="shared" si="2"/>
        <v>2.9930000000000021</v>
      </c>
      <c r="M33" s="1"/>
      <c r="N33" s="1"/>
      <c r="O33" s="1">
        <v>51.8048</v>
      </c>
      <c r="P33" s="1"/>
      <c r="Q33" s="1"/>
      <c r="R33" s="1"/>
      <c r="S33" s="1">
        <f t="shared" si="3"/>
        <v>8.2585999999999995</v>
      </c>
      <c r="T33" s="1">
        <f t="shared" si="4"/>
        <v>15.899401835662221</v>
      </c>
      <c r="U33" s="1">
        <v>14.135999999999999</v>
      </c>
      <c r="V33" s="1">
        <v>12.776400000000001</v>
      </c>
      <c r="W33" s="1">
        <v>6.4742000000000006</v>
      </c>
      <c r="X33" s="1">
        <v>12.1784</v>
      </c>
      <c r="Y33" s="1">
        <v>24.013999999999999</v>
      </c>
      <c r="Z33" s="1">
        <v>21.271599999999999</v>
      </c>
      <c r="AA33" s="1">
        <v>12.952199999999999</v>
      </c>
      <c r="AB33" s="1">
        <v>13.867599999999999</v>
      </c>
      <c r="AC33" s="1">
        <v>15.708600000000001</v>
      </c>
      <c r="AD33" s="1">
        <v>12.254200000000001</v>
      </c>
      <c r="AE33" s="1">
        <v>11.743399999999999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idden="1" x14ac:dyDescent="0.25">
      <c r="A34" s="9" t="s">
        <v>71</v>
      </c>
      <c r="B34" s="9" t="s">
        <v>36</v>
      </c>
      <c r="C34" s="9">
        <v>6.8090000000000002</v>
      </c>
      <c r="D34" s="9">
        <v>0.89100000000000001</v>
      </c>
      <c r="E34" s="9">
        <v>-6.4409999999999998</v>
      </c>
      <c r="F34" s="9">
        <v>3.173</v>
      </c>
      <c r="G34" s="10">
        <v>0</v>
      </c>
      <c r="H34" s="9">
        <v>50</v>
      </c>
      <c r="I34" s="9" t="s">
        <v>62</v>
      </c>
      <c r="J34" s="9"/>
      <c r="K34" s="9">
        <v>12.1</v>
      </c>
      <c r="L34" s="9">
        <f t="shared" si="2"/>
        <v>-18.541</v>
      </c>
      <c r="M34" s="9"/>
      <c r="N34" s="9"/>
      <c r="O34" s="9">
        <v>0</v>
      </c>
      <c r="P34" s="9"/>
      <c r="Q34" s="9"/>
      <c r="R34" s="9"/>
      <c r="S34" s="9">
        <f t="shared" si="3"/>
        <v>-1.2882</v>
      </c>
      <c r="T34" s="9">
        <f t="shared" si="4"/>
        <v>-2.4631268436578173</v>
      </c>
      <c r="U34" s="9">
        <v>-0.74660000000000004</v>
      </c>
      <c r="V34" s="9">
        <v>5.9942000000000002</v>
      </c>
      <c r="W34" s="9">
        <v>6.5543999999999993</v>
      </c>
      <c r="X34" s="9">
        <v>7.2969999999999997</v>
      </c>
      <c r="Y34" s="9">
        <v>12.2094</v>
      </c>
      <c r="Z34" s="9">
        <v>12.5466</v>
      </c>
      <c r="AA34" s="9">
        <v>9.8046000000000006</v>
      </c>
      <c r="AB34" s="9">
        <v>10.172000000000001</v>
      </c>
      <c r="AC34" s="9">
        <v>9.0811999999999991</v>
      </c>
      <c r="AD34" s="9">
        <v>5.2960000000000003</v>
      </c>
      <c r="AE34" s="9">
        <v>9.1239999999999988</v>
      </c>
      <c r="AF34" s="9"/>
      <c r="AG34" s="9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idden="1" x14ac:dyDescent="0.25">
      <c r="A35" s="1" t="s">
        <v>72</v>
      </c>
      <c r="B35" s="1" t="s">
        <v>36</v>
      </c>
      <c r="C35" s="1">
        <v>114.78400000000001</v>
      </c>
      <c r="D35" s="1">
        <v>3.625</v>
      </c>
      <c r="E35" s="1">
        <v>34.411000000000001</v>
      </c>
      <c r="F35" s="1">
        <v>76.742999999999995</v>
      </c>
      <c r="G35" s="6">
        <v>1</v>
      </c>
      <c r="H35" s="1">
        <v>50</v>
      </c>
      <c r="I35" s="1" t="s">
        <v>49</v>
      </c>
      <c r="J35" s="1"/>
      <c r="K35" s="1">
        <v>32.4</v>
      </c>
      <c r="L35" s="1">
        <f t="shared" si="2"/>
        <v>2.0110000000000028</v>
      </c>
      <c r="M35" s="1"/>
      <c r="N35" s="1"/>
      <c r="O35" s="1">
        <v>36.678599999999989</v>
      </c>
      <c r="P35" s="1">
        <v>-37.799999999999997</v>
      </c>
      <c r="Q35" s="1"/>
      <c r="R35" s="1"/>
      <c r="S35" s="1">
        <f t="shared" si="3"/>
        <v>6.8822000000000001</v>
      </c>
      <c r="T35" s="1">
        <f t="shared" si="4"/>
        <v>10.987998023887709</v>
      </c>
      <c r="U35" s="1">
        <v>11.959199999999999</v>
      </c>
      <c r="V35" s="1">
        <v>10.5078</v>
      </c>
      <c r="W35" s="1">
        <v>5.4367999999999999</v>
      </c>
      <c r="X35" s="1">
        <v>6.6819999999999986</v>
      </c>
      <c r="Y35" s="1">
        <v>14.173999999999999</v>
      </c>
      <c r="Z35" s="1">
        <v>14.984400000000001</v>
      </c>
      <c r="AA35" s="1">
        <v>12.6342</v>
      </c>
      <c r="AB35" s="1">
        <v>12.2704</v>
      </c>
      <c r="AC35" s="1">
        <v>9.8894000000000002</v>
      </c>
      <c r="AD35" s="1">
        <v>6.7754000000000003</v>
      </c>
      <c r="AE35" s="1">
        <v>9.1257999999999999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idden="1" x14ac:dyDescent="0.25">
      <c r="A36" s="1" t="s">
        <v>73</v>
      </c>
      <c r="B36" s="1" t="s">
        <v>42</v>
      </c>
      <c r="C36" s="1">
        <v>222</v>
      </c>
      <c r="D36" s="1">
        <v>549</v>
      </c>
      <c r="E36" s="1">
        <v>645</v>
      </c>
      <c r="F36" s="1">
        <v>5</v>
      </c>
      <c r="G36" s="6">
        <v>0.4</v>
      </c>
      <c r="H36" s="1">
        <v>45</v>
      </c>
      <c r="I36" s="1" t="s">
        <v>49</v>
      </c>
      <c r="J36" s="1"/>
      <c r="K36" s="1">
        <v>1001</v>
      </c>
      <c r="L36" s="1">
        <f t="shared" si="2"/>
        <v>-356</v>
      </c>
      <c r="M36" s="1"/>
      <c r="N36" s="1"/>
      <c r="O36" s="1">
        <v>500</v>
      </c>
      <c r="P36" s="1"/>
      <c r="Q36" s="1"/>
      <c r="R36" s="1"/>
      <c r="S36" s="1">
        <f t="shared" si="3"/>
        <v>129</v>
      </c>
      <c r="T36" s="1">
        <f t="shared" si="4"/>
        <v>3.9147286821705425</v>
      </c>
      <c r="U36" s="1">
        <v>116</v>
      </c>
      <c r="V36" s="1">
        <v>216.8</v>
      </c>
      <c r="W36" s="1">
        <v>207.6</v>
      </c>
      <c r="X36" s="1">
        <v>159.19999999999999</v>
      </c>
      <c r="Y36" s="1">
        <v>176.4</v>
      </c>
      <c r="Z36" s="1">
        <v>250</v>
      </c>
      <c r="AA36" s="1">
        <v>263.39999999999998</v>
      </c>
      <c r="AB36" s="1">
        <v>260</v>
      </c>
      <c r="AC36" s="1">
        <v>238.2</v>
      </c>
      <c r="AD36" s="1">
        <v>222</v>
      </c>
      <c r="AE36" s="1">
        <v>266.76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idden="1" x14ac:dyDescent="0.25">
      <c r="A37" s="1" t="s">
        <v>74</v>
      </c>
      <c r="B37" s="1" t="s">
        <v>42</v>
      </c>
      <c r="C37" s="1">
        <v>326</v>
      </c>
      <c r="D37" s="1">
        <v>81</v>
      </c>
      <c r="E37" s="1">
        <v>178</v>
      </c>
      <c r="F37" s="1">
        <v>222</v>
      </c>
      <c r="G37" s="6">
        <v>0.45</v>
      </c>
      <c r="H37" s="1">
        <v>50</v>
      </c>
      <c r="I37" s="1" t="s">
        <v>37</v>
      </c>
      <c r="J37" s="1"/>
      <c r="K37" s="1">
        <v>199</v>
      </c>
      <c r="L37" s="1">
        <f t="shared" si="2"/>
        <v>-21</v>
      </c>
      <c r="M37" s="1"/>
      <c r="N37" s="1"/>
      <c r="O37" s="1">
        <v>9</v>
      </c>
      <c r="P37" s="1"/>
      <c r="Q37" s="1"/>
      <c r="R37" s="1"/>
      <c r="S37" s="1">
        <f t="shared" si="3"/>
        <v>35.6</v>
      </c>
      <c r="T37" s="1">
        <f t="shared" si="4"/>
        <v>6.48876404494382</v>
      </c>
      <c r="U37" s="1">
        <v>22.2</v>
      </c>
      <c r="V37" s="1">
        <v>31.6</v>
      </c>
      <c r="W37" s="1">
        <v>33.799999999999997</v>
      </c>
      <c r="X37" s="1">
        <v>31.2</v>
      </c>
      <c r="Y37" s="1">
        <v>42</v>
      </c>
      <c r="Z37" s="1">
        <v>45.4</v>
      </c>
      <c r="AA37" s="1">
        <v>60</v>
      </c>
      <c r="AB37" s="1">
        <v>71</v>
      </c>
      <c r="AC37" s="1">
        <v>44.6</v>
      </c>
      <c r="AD37" s="1">
        <v>24</v>
      </c>
      <c r="AE37" s="1">
        <v>40.4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idden="1" x14ac:dyDescent="0.25">
      <c r="A38" s="1" t="s">
        <v>75</v>
      </c>
      <c r="B38" s="1" t="s">
        <v>42</v>
      </c>
      <c r="C38" s="1">
        <v>17</v>
      </c>
      <c r="D38" s="1">
        <v>180</v>
      </c>
      <c r="E38" s="1">
        <v>129</v>
      </c>
      <c r="F38" s="1">
        <v>22</v>
      </c>
      <c r="G38" s="6">
        <v>0.4</v>
      </c>
      <c r="H38" s="1">
        <v>45</v>
      </c>
      <c r="I38" s="1" t="s">
        <v>49</v>
      </c>
      <c r="J38" s="1"/>
      <c r="K38" s="1">
        <v>203</v>
      </c>
      <c r="L38" s="1">
        <f t="shared" ref="L38:L69" si="5">E38-K38</f>
        <v>-74</v>
      </c>
      <c r="M38" s="1"/>
      <c r="N38" s="1"/>
      <c r="O38" s="1">
        <v>150</v>
      </c>
      <c r="P38" s="1">
        <v>-150</v>
      </c>
      <c r="Q38" s="1"/>
      <c r="R38" s="1"/>
      <c r="S38" s="1">
        <f t="shared" si="3"/>
        <v>25.8</v>
      </c>
      <c r="T38" s="1">
        <f t="shared" si="4"/>
        <v>0.8527131782945736</v>
      </c>
      <c r="U38" s="1">
        <v>5.4</v>
      </c>
      <c r="V38" s="1">
        <v>27.8</v>
      </c>
      <c r="W38" s="1">
        <v>61.4</v>
      </c>
      <c r="X38" s="1">
        <v>43.8</v>
      </c>
      <c r="Y38" s="1">
        <v>19.8</v>
      </c>
      <c r="Z38" s="1">
        <v>19</v>
      </c>
      <c r="AA38" s="1">
        <v>23.4</v>
      </c>
      <c r="AB38" s="1">
        <v>63</v>
      </c>
      <c r="AC38" s="1">
        <v>70.400000000000006</v>
      </c>
      <c r="AD38" s="1">
        <v>69.8</v>
      </c>
      <c r="AE38" s="1">
        <v>86.6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idden="1" x14ac:dyDescent="0.25">
      <c r="A39" s="1" t="s">
        <v>76</v>
      </c>
      <c r="B39" s="1" t="s">
        <v>42</v>
      </c>
      <c r="C39" s="1">
        <v>15</v>
      </c>
      <c r="D39" s="1">
        <v>54</v>
      </c>
      <c r="E39" s="1">
        <v>42</v>
      </c>
      <c r="F39" s="1">
        <v>18</v>
      </c>
      <c r="G39" s="6">
        <v>0.4</v>
      </c>
      <c r="H39" s="1">
        <v>40</v>
      </c>
      <c r="I39" s="1" t="s">
        <v>49</v>
      </c>
      <c r="J39" s="1"/>
      <c r="K39" s="1">
        <v>48</v>
      </c>
      <c r="L39" s="1">
        <f t="shared" si="5"/>
        <v>-6</v>
      </c>
      <c r="M39" s="1"/>
      <c r="N39" s="1"/>
      <c r="O39" s="1">
        <v>30</v>
      </c>
      <c r="P39" s="1">
        <v>-30</v>
      </c>
      <c r="Q39" s="1"/>
      <c r="R39" s="1"/>
      <c r="S39" s="1">
        <f t="shared" si="3"/>
        <v>8.4</v>
      </c>
      <c r="T39" s="1">
        <f t="shared" si="4"/>
        <v>2.1428571428571428</v>
      </c>
      <c r="U39" s="1">
        <v>5.6</v>
      </c>
      <c r="V39" s="1">
        <v>11.2</v>
      </c>
      <c r="W39" s="1">
        <v>12</v>
      </c>
      <c r="X39" s="1">
        <v>6.6</v>
      </c>
      <c r="Y39" s="1">
        <v>6.2</v>
      </c>
      <c r="Z39" s="1">
        <v>6</v>
      </c>
      <c r="AA39" s="1">
        <v>6.6</v>
      </c>
      <c r="AB39" s="1">
        <v>14.2</v>
      </c>
      <c r="AC39" s="1">
        <v>15.4</v>
      </c>
      <c r="AD39" s="1">
        <v>8.1999999999999993</v>
      </c>
      <c r="AE39" s="1">
        <v>4.5999999999999996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idden="1" x14ac:dyDescent="0.25">
      <c r="A40" s="1" t="s">
        <v>77</v>
      </c>
      <c r="B40" s="1" t="s">
        <v>36</v>
      </c>
      <c r="C40" s="1"/>
      <c r="D40" s="1">
        <v>68.83</v>
      </c>
      <c r="E40" s="1">
        <v>15.782999999999999</v>
      </c>
      <c r="F40" s="1">
        <v>41.576999999999998</v>
      </c>
      <c r="G40" s="6">
        <v>1</v>
      </c>
      <c r="H40" s="1">
        <v>45</v>
      </c>
      <c r="I40" s="1" t="s">
        <v>49</v>
      </c>
      <c r="J40" s="1"/>
      <c r="K40" s="1">
        <v>12.8</v>
      </c>
      <c r="L40" s="1">
        <f t="shared" si="5"/>
        <v>2.9829999999999988</v>
      </c>
      <c r="M40" s="1"/>
      <c r="N40" s="1"/>
      <c r="O40" s="1">
        <v>20</v>
      </c>
      <c r="P40" s="1"/>
      <c r="Q40" s="1"/>
      <c r="R40" s="1"/>
      <c r="S40" s="11">
        <f t="shared" si="3"/>
        <v>3.1566000000000001</v>
      </c>
      <c r="T40" s="14">
        <f t="shared" si="4"/>
        <v>19.507381359690804</v>
      </c>
      <c r="U40" s="1">
        <v>0</v>
      </c>
      <c r="V40" s="1">
        <v>0</v>
      </c>
      <c r="W40" s="1">
        <v>0</v>
      </c>
      <c r="X40" s="1">
        <v>0</v>
      </c>
      <c r="Y40" s="1">
        <v>2.0533999999999999</v>
      </c>
      <c r="Z40" s="1">
        <v>4.7110000000000003</v>
      </c>
      <c r="AA40" s="1">
        <v>5.5636000000000001</v>
      </c>
      <c r="AB40" s="1">
        <v>4.6311999999999998</v>
      </c>
      <c r="AC40" s="1">
        <v>2.2968000000000002</v>
      </c>
      <c r="AD40" s="1">
        <v>2.3052000000000001</v>
      </c>
      <c r="AE40" s="1">
        <v>2.8776000000000002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idden="1" x14ac:dyDescent="0.25">
      <c r="A41" s="1" t="s">
        <v>78</v>
      </c>
      <c r="B41" s="1" t="s">
        <v>42</v>
      </c>
      <c r="C41" s="1">
        <v>788</v>
      </c>
      <c r="D41" s="1"/>
      <c r="E41" s="1">
        <v>387</v>
      </c>
      <c r="F41" s="1">
        <v>401</v>
      </c>
      <c r="G41" s="6">
        <v>0.1</v>
      </c>
      <c r="H41" s="1">
        <v>731</v>
      </c>
      <c r="I41" s="1" t="s">
        <v>37</v>
      </c>
      <c r="J41" s="1"/>
      <c r="K41" s="1">
        <v>358</v>
      </c>
      <c r="L41" s="1">
        <f t="shared" si="5"/>
        <v>29</v>
      </c>
      <c r="M41" s="1"/>
      <c r="N41" s="1"/>
      <c r="O41" s="1">
        <v>0</v>
      </c>
      <c r="P41" s="1"/>
      <c r="Q41" s="1"/>
      <c r="R41" s="1"/>
      <c r="S41" s="1">
        <f t="shared" si="3"/>
        <v>77.400000000000006</v>
      </c>
      <c r="T41" s="1">
        <f t="shared" si="4"/>
        <v>5.180878552971576</v>
      </c>
      <c r="U41" s="1">
        <v>67.400000000000006</v>
      </c>
      <c r="V41" s="1">
        <v>57.8</v>
      </c>
      <c r="W41" s="1">
        <v>47.8</v>
      </c>
      <c r="X41" s="1">
        <v>59.6</v>
      </c>
      <c r="Y41" s="1">
        <v>64.2</v>
      </c>
      <c r="Z41" s="1">
        <v>86</v>
      </c>
      <c r="AA41" s="1">
        <v>87.2</v>
      </c>
      <c r="AB41" s="1">
        <v>66.599999999999994</v>
      </c>
      <c r="AC41" s="1">
        <v>65.400000000000006</v>
      </c>
      <c r="AD41" s="1">
        <v>37.6</v>
      </c>
      <c r="AE41" s="1">
        <v>47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idden="1" x14ac:dyDescent="0.25">
      <c r="A42" s="1" t="s">
        <v>79</v>
      </c>
      <c r="B42" s="1" t="s">
        <v>42</v>
      </c>
      <c r="C42" s="1">
        <v>5</v>
      </c>
      <c r="D42" s="1">
        <v>3</v>
      </c>
      <c r="E42" s="1">
        <v>-1</v>
      </c>
      <c r="F42" s="1">
        <v>5</v>
      </c>
      <c r="G42" s="6">
        <v>0.35</v>
      </c>
      <c r="H42" s="1">
        <v>40</v>
      </c>
      <c r="I42" s="1" t="s">
        <v>49</v>
      </c>
      <c r="J42" s="1"/>
      <c r="K42" s="1">
        <v>98</v>
      </c>
      <c r="L42" s="1">
        <f t="shared" si="5"/>
        <v>-99</v>
      </c>
      <c r="M42" s="1"/>
      <c r="N42" s="1"/>
      <c r="O42" s="1">
        <v>100</v>
      </c>
      <c r="P42" s="1">
        <v>-102</v>
      </c>
      <c r="Q42" s="1"/>
      <c r="R42" s="1"/>
      <c r="S42" s="1">
        <f t="shared" si="3"/>
        <v>-0.2</v>
      </c>
      <c r="T42" s="1">
        <f t="shared" si="4"/>
        <v>-15</v>
      </c>
      <c r="U42" s="1">
        <v>-0.2</v>
      </c>
      <c r="V42" s="1">
        <v>-0.8</v>
      </c>
      <c r="W42" s="1">
        <v>3.8</v>
      </c>
      <c r="X42" s="1">
        <v>1.4</v>
      </c>
      <c r="Y42" s="1">
        <v>-3</v>
      </c>
      <c r="Z42" s="1">
        <v>5.6</v>
      </c>
      <c r="AA42" s="1">
        <v>29.2</v>
      </c>
      <c r="AB42" s="1">
        <v>53.2</v>
      </c>
      <c r="AC42" s="1">
        <v>48</v>
      </c>
      <c r="AD42" s="1">
        <v>28</v>
      </c>
      <c r="AE42" s="1">
        <v>33.799999999999997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idden="1" x14ac:dyDescent="0.25">
      <c r="A43" s="1" t="s">
        <v>80</v>
      </c>
      <c r="B43" s="1" t="s">
        <v>36</v>
      </c>
      <c r="C43" s="1">
        <v>121.126</v>
      </c>
      <c r="D43" s="1">
        <v>142.00299999999999</v>
      </c>
      <c r="E43" s="1">
        <v>71.486999999999995</v>
      </c>
      <c r="F43" s="1">
        <v>174.233</v>
      </c>
      <c r="G43" s="6">
        <v>1</v>
      </c>
      <c r="H43" s="1">
        <v>40</v>
      </c>
      <c r="I43" s="1" t="s">
        <v>49</v>
      </c>
      <c r="J43" s="1"/>
      <c r="K43" s="1">
        <v>85.7</v>
      </c>
      <c r="L43" s="1">
        <f t="shared" si="5"/>
        <v>-14.213000000000008</v>
      </c>
      <c r="M43" s="1"/>
      <c r="N43" s="1"/>
      <c r="O43" s="1">
        <v>41.096600000000009</v>
      </c>
      <c r="P43" s="1">
        <v>-42</v>
      </c>
      <c r="Q43" s="1"/>
      <c r="R43" s="1"/>
      <c r="S43" s="1">
        <f t="shared" si="3"/>
        <v>14.2974</v>
      </c>
      <c r="T43" s="1">
        <f t="shared" si="4"/>
        <v>12.123155258998143</v>
      </c>
      <c r="U43" s="1">
        <v>16.7</v>
      </c>
      <c r="V43" s="1">
        <v>22.0274</v>
      </c>
      <c r="W43" s="1">
        <v>19.802399999999999</v>
      </c>
      <c r="X43" s="1">
        <v>21.879200000000001</v>
      </c>
      <c r="Y43" s="1">
        <v>21.395800000000001</v>
      </c>
      <c r="Z43" s="1">
        <v>23.605599999999999</v>
      </c>
      <c r="AA43" s="1">
        <v>23.142399999999999</v>
      </c>
      <c r="AB43" s="1">
        <v>25.816199999999998</v>
      </c>
      <c r="AC43" s="1">
        <v>21.3096</v>
      </c>
      <c r="AD43" s="1">
        <v>20.192399999999999</v>
      </c>
      <c r="AE43" s="1">
        <v>27.465599999999998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idden="1" x14ac:dyDescent="0.25">
      <c r="A44" s="1" t="s">
        <v>81</v>
      </c>
      <c r="B44" s="1" t="s">
        <v>42</v>
      </c>
      <c r="C44" s="1">
        <v>1</v>
      </c>
      <c r="D44" s="1">
        <v>162</v>
      </c>
      <c r="E44" s="1">
        <v>28</v>
      </c>
      <c r="F44" s="1">
        <v>123</v>
      </c>
      <c r="G44" s="6">
        <v>0.4</v>
      </c>
      <c r="H44" s="1">
        <v>40</v>
      </c>
      <c r="I44" s="1" t="s">
        <v>49</v>
      </c>
      <c r="J44" s="1"/>
      <c r="K44" s="1">
        <v>59</v>
      </c>
      <c r="L44" s="1">
        <f t="shared" si="5"/>
        <v>-31</v>
      </c>
      <c r="M44" s="1"/>
      <c r="N44" s="1"/>
      <c r="O44" s="1">
        <v>40</v>
      </c>
      <c r="P44" s="1"/>
      <c r="Q44" s="1"/>
      <c r="R44" s="1"/>
      <c r="S44" s="11">
        <f t="shared" si="3"/>
        <v>5.6</v>
      </c>
      <c r="T44" s="14">
        <f t="shared" si="4"/>
        <v>29.107142857142858</v>
      </c>
      <c r="U44" s="1">
        <v>2</v>
      </c>
      <c r="V44" s="1">
        <v>6.2</v>
      </c>
      <c r="W44" s="1">
        <v>16.399999999999999</v>
      </c>
      <c r="X44" s="1">
        <v>13.2</v>
      </c>
      <c r="Y44" s="1">
        <v>1</v>
      </c>
      <c r="Z44" s="1">
        <v>0</v>
      </c>
      <c r="AA44" s="1">
        <v>-0.4</v>
      </c>
      <c r="AB44" s="1">
        <v>1.6</v>
      </c>
      <c r="AC44" s="1">
        <v>15.4</v>
      </c>
      <c r="AD44" s="1">
        <v>26.8</v>
      </c>
      <c r="AE44" s="1">
        <v>22.6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idden="1" x14ac:dyDescent="0.25">
      <c r="A45" s="1" t="s">
        <v>82</v>
      </c>
      <c r="B45" s="1" t="s">
        <v>42</v>
      </c>
      <c r="C45" s="1">
        <v>100</v>
      </c>
      <c r="D45" s="1">
        <v>98</v>
      </c>
      <c r="E45" s="1">
        <v>104</v>
      </c>
      <c r="F45" s="1">
        <v>71</v>
      </c>
      <c r="G45" s="6">
        <v>0.4</v>
      </c>
      <c r="H45" s="1">
        <v>45</v>
      </c>
      <c r="I45" s="1" t="s">
        <v>49</v>
      </c>
      <c r="J45" s="1"/>
      <c r="K45" s="1">
        <v>130</v>
      </c>
      <c r="L45" s="1">
        <f t="shared" si="5"/>
        <v>-26</v>
      </c>
      <c r="M45" s="1"/>
      <c r="N45" s="1"/>
      <c r="O45" s="1">
        <v>18.600000000000019</v>
      </c>
      <c r="P45" s="1"/>
      <c r="Q45" s="1"/>
      <c r="R45" s="1"/>
      <c r="S45" s="1">
        <f t="shared" si="3"/>
        <v>20.8</v>
      </c>
      <c r="T45" s="1">
        <f t="shared" si="4"/>
        <v>4.3076923076923084</v>
      </c>
      <c r="U45" s="1">
        <v>13.8</v>
      </c>
      <c r="V45" s="1">
        <v>21.8</v>
      </c>
      <c r="W45" s="1">
        <v>26.4</v>
      </c>
      <c r="X45" s="1">
        <v>14.8</v>
      </c>
      <c r="Y45" s="1">
        <v>2.4</v>
      </c>
      <c r="Z45" s="1">
        <v>0</v>
      </c>
      <c r="AA45" s="1">
        <v>18</v>
      </c>
      <c r="AB45" s="1">
        <v>37.6</v>
      </c>
      <c r="AC45" s="1">
        <v>30.2</v>
      </c>
      <c r="AD45" s="1">
        <v>22.4</v>
      </c>
      <c r="AE45" s="1">
        <v>21.8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idden="1" x14ac:dyDescent="0.25">
      <c r="A46" s="9" t="s">
        <v>83</v>
      </c>
      <c r="B46" s="9" t="s">
        <v>36</v>
      </c>
      <c r="C46" s="9">
        <v>2.2000000000000002</v>
      </c>
      <c r="D46" s="9"/>
      <c r="E46" s="9"/>
      <c r="F46" s="9">
        <v>2.2000000000000002</v>
      </c>
      <c r="G46" s="10">
        <v>0</v>
      </c>
      <c r="H46" s="9">
        <v>40</v>
      </c>
      <c r="I46" s="9" t="s">
        <v>62</v>
      </c>
      <c r="J46" s="9"/>
      <c r="K46" s="9">
        <v>33.6</v>
      </c>
      <c r="L46" s="9">
        <f t="shared" si="5"/>
        <v>-33.6</v>
      </c>
      <c r="M46" s="9"/>
      <c r="N46" s="9"/>
      <c r="O46" s="9">
        <v>0</v>
      </c>
      <c r="P46" s="9"/>
      <c r="Q46" s="9"/>
      <c r="R46" s="9"/>
      <c r="S46" s="9">
        <f t="shared" si="3"/>
        <v>0</v>
      </c>
      <c r="T46" s="9" t="e">
        <f t="shared" si="4"/>
        <v>#DIV/0!</v>
      </c>
      <c r="U46" s="9">
        <v>0</v>
      </c>
      <c r="V46" s="9">
        <v>-0.43659999999999999</v>
      </c>
      <c r="W46" s="9">
        <v>-0.43659999999999999</v>
      </c>
      <c r="X46" s="9">
        <v>-0.28799999999999998</v>
      </c>
      <c r="Y46" s="9">
        <v>0.14779999999999999</v>
      </c>
      <c r="Z46" s="9">
        <v>9.0436000000000014</v>
      </c>
      <c r="AA46" s="9">
        <v>13.8338</v>
      </c>
      <c r="AB46" s="9">
        <v>14.6386</v>
      </c>
      <c r="AC46" s="9">
        <v>12.710599999999999</v>
      </c>
      <c r="AD46" s="9">
        <v>6.6037999999999997</v>
      </c>
      <c r="AE46" s="9">
        <v>9.2596000000000007</v>
      </c>
      <c r="AF46" s="9"/>
      <c r="AG46" s="9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idden="1" x14ac:dyDescent="0.25">
      <c r="A47" s="1" t="s">
        <v>84</v>
      </c>
      <c r="B47" s="1" t="s">
        <v>36</v>
      </c>
      <c r="C47" s="1">
        <v>139.923</v>
      </c>
      <c r="D47" s="1">
        <v>55.417000000000002</v>
      </c>
      <c r="E47" s="1">
        <v>54.444000000000003</v>
      </c>
      <c r="F47" s="1">
        <v>124.19799999999999</v>
      </c>
      <c r="G47" s="6">
        <v>1</v>
      </c>
      <c r="H47" s="1">
        <v>40</v>
      </c>
      <c r="I47" s="1" t="s">
        <v>49</v>
      </c>
      <c r="J47" s="1"/>
      <c r="K47" s="1">
        <v>79.3</v>
      </c>
      <c r="L47" s="1">
        <f t="shared" si="5"/>
        <v>-24.855999999999995</v>
      </c>
      <c r="M47" s="1"/>
      <c r="N47" s="1"/>
      <c r="O47" s="1">
        <v>88.88479999999997</v>
      </c>
      <c r="P47" s="1">
        <v>-92.4</v>
      </c>
      <c r="Q47" s="1"/>
      <c r="R47" s="1"/>
      <c r="S47" s="1">
        <f t="shared" si="3"/>
        <v>10.8888</v>
      </c>
      <c r="T47" s="1">
        <f t="shared" si="4"/>
        <v>11.083204760855187</v>
      </c>
      <c r="U47" s="1">
        <v>15.678000000000001</v>
      </c>
      <c r="V47" s="1">
        <v>20.927800000000001</v>
      </c>
      <c r="W47" s="1">
        <v>16.421600000000002</v>
      </c>
      <c r="X47" s="1">
        <v>18.161000000000001</v>
      </c>
      <c r="Y47" s="1">
        <v>19.6008</v>
      </c>
      <c r="Z47" s="1">
        <v>24.483599999999999</v>
      </c>
      <c r="AA47" s="1">
        <v>29.43</v>
      </c>
      <c r="AB47" s="1">
        <v>32.792200000000001</v>
      </c>
      <c r="AC47" s="1">
        <v>25.5106</v>
      </c>
      <c r="AD47" s="1">
        <v>21.378599999999999</v>
      </c>
      <c r="AE47" s="1">
        <v>28.646000000000001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idden="1" x14ac:dyDescent="0.25">
      <c r="A48" s="1" t="s">
        <v>85</v>
      </c>
      <c r="B48" s="1" t="s">
        <v>42</v>
      </c>
      <c r="C48" s="1">
        <v>569</v>
      </c>
      <c r="D48" s="1">
        <v>123</v>
      </c>
      <c r="E48" s="1">
        <v>510</v>
      </c>
      <c r="F48" s="1">
        <v>85</v>
      </c>
      <c r="G48" s="6">
        <v>0.35</v>
      </c>
      <c r="H48" s="1">
        <v>40</v>
      </c>
      <c r="I48" s="1" t="s">
        <v>49</v>
      </c>
      <c r="J48" s="1"/>
      <c r="K48" s="1">
        <v>554</v>
      </c>
      <c r="L48" s="1">
        <f t="shared" si="5"/>
        <v>-44</v>
      </c>
      <c r="M48" s="1"/>
      <c r="N48" s="1"/>
      <c r="O48" s="1">
        <v>537.46</v>
      </c>
      <c r="P48" s="1">
        <v>-540</v>
      </c>
      <c r="Q48" s="1"/>
      <c r="R48" s="1"/>
      <c r="S48" s="1">
        <f t="shared" si="3"/>
        <v>102</v>
      </c>
      <c r="T48" s="1">
        <f t="shared" si="4"/>
        <v>0.80843137254901998</v>
      </c>
      <c r="U48" s="1">
        <v>97.6</v>
      </c>
      <c r="V48" s="1">
        <v>89</v>
      </c>
      <c r="W48" s="1">
        <v>59.8</v>
      </c>
      <c r="X48" s="1">
        <v>29.4</v>
      </c>
      <c r="Y48" s="1">
        <v>28.2</v>
      </c>
      <c r="Z48" s="1">
        <v>68</v>
      </c>
      <c r="AA48" s="1">
        <v>90.8</v>
      </c>
      <c r="AB48" s="1">
        <v>100.4</v>
      </c>
      <c r="AC48" s="1">
        <v>88.8</v>
      </c>
      <c r="AD48" s="1">
        <v>72.599999999999994</v>
      </c>
      <c r="AE48" s="1">
        <v>95.6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idden="1" x14ac:dyDescent="0.25">
      <c r="A49" s="1" t="s">
        <v>86</v>
      </c>
      <c r="B49" s="1" t="s">
        <v>42</v>
      </c>
      <c r="C49" s="1">
        <v>7</v>
      </c>
      <c r="D49" s="1">
        <v>282</v>
      </c>
      <c r="E49" s="1">
        <v>125</v>
      </c>
      <c r="F49" s="1">
        <v>136</v>
      </c>
      <c r="G49" s="6">
        <v>0.4</v>
      </c>
      <c r="H49" s="1">
        <v>40</v>
      </c>
      <c r="I49" s="1" t="s">
        <v>49</v>
      </c>
      <c r="J49" s="1"/>
      <c r="K49" s="1">
        <v>191</v>
      </c>
      <c r="L49" s="1">
        <f t="shared" si="5"/>
        <v>-66</v>
      </c>
      <c r="M49" s="1"/>
      <c r="N49" s="1"/>
      <c r="O49" s="1">
        <v>50</v>
      </c>
      <c r="P49" s="1"/>
      <c r="Q49" s="1"/>
      <c r="R49" s="1"/>
      <c r="S49" s="1">
        <f t="shared" si="3"/>
        <v>25</v>
      </c>
      <c r="T49" s="1">
        <f t="shared" si="4"/>
        <v>7.44</v>
      </c>
      <c r="U49" s="1">
        <v>5.8</v>
      </c>
      <c r="V49" s="1">
        <v>33.6</v>
      </c>
      <c r="W49" s="1">
        <v>70.400000000000006</v>
      </c>
      <c r="X49" s="1">
        <v>38.799999999999997</v>
      </c>
      <c r="Y49" s="1">
        <v>-0.4</v>
      </c>
      <c r="Z49" s="1">
        <v>4.8</v>
      </c>
      <c r="AA49" s="1">
        <v>60.6</v>
      </c>
      <c r="AB49" s="1">
        <v>80.400000000000006</v>
      </c>
      <c r="AC49" s="1">
        <v>31</v>
      </c>
      <c r="AD49" s="1">
        <v>47</v>
      </c>
      <c r="AE49" s="1">
        <v>79.599999999999994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x14ac:dyDescent="0.25">
      <c r="A50" s="1" t="s">
        <v>87</v>
      </c>
      <c r="B50" s="1" t="s">
        <v>36</v>
      </c>
      <c r="C50" s="1">
        <v>155.083</v>
      </c>
      <c r="D50" s="1">
        <v>2.72</v>
      </c>
      <c r="E50" s="1">
        <v>31.256</v>
      </c>
      <c r="F50" s="1">
        <v>122.471</v>
      </c>
      <c r="G50" s="6">
        <v>1</v>
      </c>
      <c r="H50" s="1">
        <v>50</v>
      </c>
      <c r="I50" s="1" t="s">
        <v>37</v>
      </c>
      <c r="J50" s="1"/>
      <c r="K50" s="1">
        <v>29.4</v>
      </c>
      <c r="L50" s="1">
        <f t="shared" si="5"/>
        <v>1.8560000000000016</v>
      </c>
      <c r="M50" s="1"/>
      <c r="N50" s="1"/>
      <c r="O50" s="1">
        <v>0</v>
      </c>
      <c r="P50" s="1"/>
      <c r="Q50" s="1"/>
      <c r="R50" s="1"/>
      <c r="S50" s="11">
        <f t="shared" si="3"/>
        <v>6.2511999999999999</v>
      </c>
      <c r="T50" s="14">
        <f t="shared" si="4"/>
        <v>19.591598413104684</v>
      </c>
      <c r="U50" s="1">
        <v>5.7111999999999998</v>
      </c>
      <c r="V50" s="1">
        <v>8.3732000000000006</v>
      </c>
      <c r="W50" s="1">
        <v>5.0987999999999998</v>
      </c>
      <c r="X50" s="1">
        <v>3.4666000000000001</v>
      </c>
      <c r="Y50" s="1">
        <v>8.6292000000000009</v>
      </c>
      <c r="Z50" s="1">
        <v>14.634600000000001</v>
      </c>
      <c r="AA50" s="1">
        <v>11.626799999999999</v>
      </c>
      <c r="AB50" s="1">
        <v>6.9311999999999996</v>
      </c>
      <c r="AC50" s="1">
        <v>5.5941999999999998</v>
      </c>
      <c r="AD50" s="1">
        <v>8.6849999999999987</v>
      </c>
      <c r="AE50" s="1">
        <v>11.409000000000001</v>
      </c>
      <c r="AF50" s="1" t="s">
        <v>88</v>
      </c>
      <c r="AG50" s="16" t="s">
        <v>178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idden="1" x14ac:dyDescent="0.25">
      <c r="A51" s="1" t="s">
        <v>89</v>
      </c>
      <c r="B51" s="1" t="s">
        <v>36</v>
      </c>
      <c r="C51" s="1">
        <v>157.64599999999999</v>
      </c>
      <c r="D51" s="1">
        <v>86.025000000000006</v>
      </c>
      <c r="E51" s="1">
        <v>69.198999999999998</v>
      </c>
      <c r="F51" s="1">
        <v>165.43299999999999</v>
      </c>
      <c r="G51" s="6">
        <v>1</v>
      </c>
      <c r="H51" s="1">
        <v>50</v>
      </c>
      <c r="I51" s="1" t="s">
        <v>37</v>
      </c>
      <c r="J51" s="1"/>
      <c r="K51" s="1">
        <v>71.599999999999994</v>
      </c>
      <c r="L51" s="1">
        <f t="shared" si="5"/>
        <v>-2.4009999999999962</v>
      </c>
      <c r="M51" s="1"/>
      <c r="N51" s="1"/>
      <c r="O51" s="1">
        <v>55.873399999999997</v>
      </c>
      <c r="P51" s="1"/>
      <c r="Q51" s="1"/>
      <c r="R51" s="1"/>
      <c r="S51" s="1">
        <f t="shared" si="3"/>
        <v>13.8398</v>
      </c>
      <c r="T51" s="1">
        <f t="shared" si="4"/>
        <v>15.990577898524544</v>
      </c>
      <c r="U51" s="1">
        <v>15.357799999999999</v>
      </c>
      <c r="V51" s="1">
        <v>21.200199999999999</v>
      </c>
      <c r="W51" s="1">
        <v>14.8202</v>
      </c>
      <c r="X51" s="1">
        <v>20.593</v>
      </c>
      <c r="Y51" s="1">
        <v>27.026800000000001</v>
      </c>
      <c r="Z51" s="1">
        <v>24.317599999999999</v>
      </c>
      <c r="AA51" s="1">
        <v>22.387</v>
      </c>
      <c r="AB51" s="1">
        <v>17.299399999999999</v>
      </c>
      <c r="AC51" s="1">
        <v>20.2286</v>
      </c>
      <c r="AD51" s="1">
        <v>30.904399999999999</v>
      </c>
      <c r="AE51" s="1">
        <v>32.477800000000002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idden="1" x14ac:dyDescent="0.25">
      <c r="A52" s="1" t="s">
        <v>90</v>
      </c>
      <c r="B52" s="1" t="s">
        <v>36</v>
      </c>
      <c r="C52" s="1">
        <v>-0.125</v>
      </c>
      <c r="D52" s="1"/>
      <c r="E52" s="1"/>
      <c r="F52" s="1">
        <v>-0.125</v>
      </c>
      <c r="G52" s="6">
        <v>1</v>
      </c>
      <c r="H52" s="1">
        <v>45</v>
      </c>
      <c r="I52" s="1" t="s">
        <v>49</v>
      </c>
      <c r="J52" s="1"/>
      <c r="K52" s="1"/>
      <c r="L52" s="1">
        <f t="shared" si="5"/>
        <v>0</v>
      </c>
      <c r="M52" s="1"/>
      <c r="N52" s="1"/>
      <c r="O52" s="1">
        <v>80</v>
      </c>
      <c r="P52" s="1">
        <v>-81</v>
      </c>
      <c r="Q52" s="1"/>
      <c r="R52" s="1"/>
      <c r="S52" s="1">
        <f t="shared" si="3"/>
        <v>0</v>
      </c>
      <c r="T52" s="1" t="e">
        <f t="shared" si="4"/>
        <v>#DIV/0!</v>
      </c>
      <c r="U52" s="1">
        <v>0</v>
      </c>
      <c r="V52" s="1">
        <v>0.57939999999999992</v>
      </c>
      <c r="W52" s="1">
        <v>19.140999999999998</v>
      </c>
      <c r="X52" s="1">
        <v>23.854800000000001</v>
      </c>
      <c r="Y52" s="1">
        <v>5.6736000000000004</v>
      </c>
      <c r="Z52" s="1">
        <v>9.59</v>
      </c>
      <c r="AA52" s="1">
        <v>25.247399999999999</v>
      </c>
      <c r="AB52" s="1">
        <v>16.625399999999999</v>
      </c>
      <c r="AC52" s="1">
        <v>0.30599999999999999</v>
      </c>
      <c r="AD52" s="1">
        <v>1.5204</v>
      </c>
      <c r="AE52" s="1">
        <v>10.6396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idden="1" x14ac:dyDescent="0.25">
      <c r="A53" s="1" t="s">
        <v>91</v>
      </c>
      <c r="B53" s="1" t="s">
        <v>42</v>
      </c>
      <c r="C53" s="1">
        <v>161</v>
      </c>
      <c r="D53" s="1">
        <v>101</v>
      </c>
      <c r="E53" s="1">
        <v>101</v>
      </c>
      <c r="F53" s="1">
        <v>156</v>
      </c>
      <c r="G53" s="6">
        <v>0.45</v>
      </c>
      <c r="H53" s="1">
        <v>50</v>
      </c>
      <c r="I53" s="1" t="s">
        <v>37</v>
      </c>
      <c r="J53" s="1"/>
      <c r="K53" s="1">
        <v>102</v>
      </c>
      <c r="L53" s="1">
        <f t="shared" si="5"/>
        <v>-1</v>
      </c>
      <c r="M53" s="1"/>
      <c r="N53" s="1"/>
      <c r="O53" s="1">
        <v>11.599999999999969</v>
      </c>
      <c r="P53" s="1"/>
      <c r="Q53" s="1"/>
      <c r="R53" s="1"/>
      <c r="S53" s="1">
        <f t="shared" si="3"/>
        <v>20.2</v>
      </c>
      <c r="T53" s="1">
        <f t="shared" si="4"/>
        <v>8.2970297029702955</v>
      </c>
      <c r="U53" s="1">
        <v>16.399999999999999</v>
      </c>
      <c r="V53" s="1">
        <v>19.600000000000001</v>
      </c>
      <c r="W53" s="1">
        <v>21.8</v>
      </c>
      <c r="X53" s="1">
        <v>20.2</v>
      </c>
      <c r="Y53" s="1">
        <v>25.4</v>
      </c>
      <c r="Z53" s="1">
        <v>24.4</v>
      </c>
      <c r="AA53" s="1">
        <v>20.8</v>
      </c>
      <c r="AB53" s="1">
        <v>31</v>
      </c>
      <c r="AC53" s="1">
        <v>31.8</v>
      </c>
      <c r="AD53" s="1">
        <v>22.2</v>
      </c>
      <c r="AE53" s="1">
        <v>21.8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idden="1" x14ac:dyDescent="0.25">
      <c r="A54" s="1" t="s">
        <v>92</v>
      </c>
      <c r="B54" s="1" t="s">
        <v>42</v>
      </c>
      <c r="C54" s="1">
        <v>506</v>
      </c>
      <c r="D54" s="1">
        <v>1</v>
      </c>
      <c r="E54" s="1">
        <v>155</v>
      </c>
      <c r="F54" s="1">
        <v>349</v>
      </c>
      <c r="G54" s="6">
        <v>0.45</v>
      </c>
      <c r="H54" s="1">
        <v>50</v>
      </c>
      <c r="I54" s="1" t="s">
        <v>37</v>
      </c>
      <c r="J54" s="1"/>
      <c r="K54" s="1">
        <v>176</v>
      </c>
      <c r="L54" s="1">
        <f t="shared" si="5"/>
        <v>-21</v>
      </c>
      <c r="M54" s="1"/>
      <c r="N54" s="1"/>
      <c r="O54" s="1">
        <v>0</v>
      </c>
      <c r="P54" s="1"/>
      <c r="Q54" s="1"/>
      <c r="R54" s="1"/>
      <c r="S54" s="1">
        <f t="shared" si="3"/>
        <v>31</v>
      </c>
      <c r="T54" s="1">
        <f t="shared" si="4"/>
        <v>11.258064516129032</v>
      </c>
      <c r="U54" s="1">
        <v>21.2</v>
      </c>
      <c r="V54" s="1">
        <v>24</v>
      </c>
      <c r="W54" s="1">
        <v>25.8</v>
      </c>
      <c r="X54" s="1">
        <v>20.8</v>
      </c>
      <c r="Y54" s="1">
        <v>32.200000000000003</v>
      </c>
      <c r="Z54" s="1">
        <v>52.2</v>
      </c>
      <c r="AA54" s="1">
        <v>55.2</v>
      </c>
      <c r="AB54" s="1">
        <v>40.4</v>
      </c>
      <c r="AC54" s="1">
        <v>26.6</v>
      </c>
      <c r="AD54" s="1">
        <v>33.4</v>
      </c>
      <c r="AE54" s="1">
        <v>48.6</v>
      </c>
      <c r="AF54" s="1" t="s">
        <v>88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idden="1" x14ac:dyDescent="0.25">
      <c r="A55" s="1" t="s">
        <v>93</v>
      </c>
      <c r="B55" s="1" t="s">
        <v>42</v>
      </c>
      <c r="C55" s="1">
        <v>85</v>
      </c>
      <c r="D55" s="1">
        <v>164</v>
      </c>
      <c r="E55" s="1">
        <v>143</v>
      </c>
      <c r="F55" s="1">
        <v>83</v>
      </c>
      <c r="G55" s="6">
        <v>0.4</v>
      </c>
      <c r="H55" s="1">
        <v>40</v>
      </c>
      <c r="I55" s="1" t="s">
        <v>49</v>
      </c>
      <c r="J55" s="1"/>
      <c r="K55" s="1">
        <v>154</v>
      </c>
      <c r="L55" s="1">
        <f t="shared" si="5"/>
        <v>-11</v>
      </c>
      <c r="M55" s="1"/>
      <c r="N55" s="1"/>
      <c r="O55" s="1">
        <v>84</v>
      </c>
      <c r="P55" s="1">
        <v>-90</v>
      </c>
      <c r="Q55" s="1"/>
      <c r="R55" s="1"/>
      <c r="S55" s="1">
        <f t="shared" si="3"/>
        <v>28.6</v>
      </c>
      <c r="T55" s="1">
        <f t="shared" si="4"/>
        <v>2.6923076923076921</v>
      </c>
      <c r="U55" s="1">
        <v>17</v>
      </c>
      <c r="V55" s="1">
        <v>23.2</v>
      </c>
      <c r="W55" s="1">
        <v>22.4</v>
      </c>
      <c r="X55" s="1">
        <v>14.8</v>
      </c>
      <c r="Y55" s="1">
        <v>21.2</v>
      </c>
      <c r="Z55" s="1">
        <v>21.8</v>
      </c>
      <c r="AA55" s="1">
        <v>20.2</v>
      </c>
      <c r="AB55" s="1">
        <v>32.6</v>
      </c>
      <c r="AC55" s="1">
        <v>27.8</v>
      </c>
      <c r="AD55" s="1">
        <v>19</v>
      </c>
      <c r="AE55" s="1">
        <v>19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idden="1" x14ac:dyDescent="0.25">
      <c r="A56" s="1" t="s">
        <v>94</v>
      </c>
      <c r="B56" s="1" t="s">
        <v>42</v>
      </c>
      <c r="C56" s="1">
        <v>56</v>
      </c>
      <c r="D56" s="1">
        <v>194</v>
      </c>
      <c r="E56" s="1">
        <v>106</v>
      </c>
      <c r="F56" s="1">
        <v>129</v>
      </c>
      <c r="G56" s="6">
        <v>0.4</v>
      </c>
      <c r="H56" s="1">
        <v>40</v>
      </c>
      <c r="I56" s="1" t="s">
        <v>49</v>
      </c>
      <c r="J56" s="1"/>
      <c r="K56" s="1">
        <v>134</v>
      </c>
      <c r="L56" s="1">
        <f t="shared" si="5"/>
        <v>-28</v>
      </c>
      <c r="M56" s="1"/>
      <c r="N56" s="1"/>
      <c r="O56" s="1">
        <v>51.618000000000023</v>
      </c>
      <c r="P56" s="1"/>
      <c r="Q56" s="1"/>
      <c r="R56" s="1"/>
      <c r="S56" s="1">
        <f t="shared" si="3"/>
        <v>21.2</v>
      </c>
      <c r="T56" s="1">
        <f t="shared" si="4"/>
        <v>8.5197169811320776</v>
      </c>
      <c r="U56" s="1">
        <v>12.8</v>
      </c>
      <c r="V56" s="1">
        <v>20.8</v>
      </c>
      <c r="W56" s="1">
        <v>25.4</v>
      </c>
      <c r="X56" s="1">
        <v>15.6</v>
      </c>
      <c r="Y56" s="1">
        <v>12.8</v>
      </c>
      <c r="Z56" s="1">
        <v>14.4</v>
      </c>
      <c r="AA56" s="1">
        <v>16.600000000000001</v>
      </c>
      <c r="AB56" s="1">
        <v>31.6</v>
      </c>
      <c r="AC56" s="1">
        <v>18.2</v>
      </c>
      <c r="AD56" s="1">
        <v>-0.8</v>
      </c>
      <c r="AE56" s="1">
        <v>8.8000000000000007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idden="1" x14ac:dyDescent="0.25">
      <c r="A57" s="1" t="s">
        <v>95</v>
      </c>
      <c r="B57" s="1" t="s">
        <v>36</v>
      </c>
      <c r="C57" s="1">
        <v>137.93600000000001</v>
      </c>
      <c r="D57" s="1">
        <v>25.949000000000002</v>
      </c>
      <c r="E57" s="1">
        <v>63.07</v>
      </c>
      <c r="F57" s="1">
        <v>85.728999999999999</v>
      </c>
      <c r="G57" s="6">
        <v>1</v>
      </c>
      <c r="H57" s="1">
        <v>50</v>
      </c>
      <c r="I57" s="1" t="s">
        <v>37</v>
      </c>
      <c r="J57" s="1"/>
      <c r="K57" s="1">
        <v>60.85</v>
      </c>
      <c r="L57" s="1">
        <f t="shared" si="5"/>
        <v>2.2199999999999989</v>
      </c>
      <c r="M57" s="1"/>
      <c r="N57" s="1"/>
      <c r="O57" s="1">
        <v>89.746048000000002</v>
      </c>
      <c r="P57" s="1"/>
      <c r="Q57" s="1"/>
      <c r="R57" s="1"/>
      <c r="S57" s="1">
        <f t="shared" si="3"/>
        <v>12.614000000000001</v>
      </c>
      <c r="T57" s="1">
        <f t="shared" si="4"/>
        <v>13.911134295227525</v>
      </c>
      <c r="U57" s="1">
        <v>12.8612</v>
      </c>
      <c r="V57" s="1">
        <v>18.917200000000001</v>
      </c>
      <c r="W57" s="1">
        <v>14.224399999999999</v>
      </c>
      <c r="X57" s="1">
        <v>14.7386</v>
      </c>
      <c r="Y57" s="1">
        <v>21.672000000000001</v>
      </c>
      <c r="Z57" s="1">
        <v>21.163</v>
      </c>
      <c r="AA57" s="1">
        <v>17.197600000000001</v>
      </c>
      <c r="AB57" s="1">
        <v>18.852</v>
      </c>
      <c r="AC57" s="1">
        <v>18.622800000000002</v>
      </c>
      <c r="AD57" s="1">
        <v>15.298999999999999</v>
      </c>
      <c r="AE57" s="1">
        <v>19.466200000000001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idden="1" x14ac:dyDescent="0.25">
      <c r="A58" s="1" t="s">
        <v>96</v>
      </c>
      <c r="B58" s="1" t="s">
        <v>42</v>
      </c>
      <c r="C58" s="1">
        <v>314</v>
      </c>
      <c r="D58" s="1">
        <v>280</v>
      </c>
      <c r="E58" s="1">
        <v>149</v>
      </c>
      <c r="F58" s="1">
        <v>444</v>
      </c>
      <c r="G58" s="6">
        <v>0.1</v>
      </c>
      <c r="H58" s="1">
        <v>731</v>
      </c>
      <c r="I58" s="1" t="s">
        <v>37</v>
      </c>
      <c r="J58" s="1"/>
      <c r="K58" s="1">
        <v>145</v>
      </c>
      <c r="L58" s="1">
        <f t="shared" si="5"/>
        <v>4</v>
      </c>
      <c r="M58" s="1"/>
      <c r="N58" s="1"/>
      <c r="O58" s="1">
        <v>0</v>
      </c>
      <c r="P58" s="1"/>
      <c r="Q58" s="1"/>
      <c r="R58" s="1"/>
      <c r="S58" s="1">
        <f t="shared" si="3"/>
        <v>29.8</v>
      </c>
      <c r="T58" s="1">
        <f t="shared" si="4"/>
        <v>14.899328859060402</v>
      </c>
      <c r="U58" s="1">
        <v>36.799999999999997</v>
      </c>
      <c r="V58" s="1">
        <v>25.6</v>
      </c>
      <c r="W58" s="1">
        <v>16.2</v>
      </c>
      <c r="X58" s="1">
        <v>44</v>
      </c>
      <c r="Y58" s="1">
        <v>53</v>
      </c>
      <c r="Z58" s="1">
        <v>43.4</v>
      </c>
      <c r="AA58" s="1">
        <v>37.799999999999997</v>
      </c>
      <c r="AB58" s="1">
        <v>25.4</v>
      </c>
      <c r="AC58" s="1">
        <v>33</v>
      </c>
      <c r="AD58" s="1">
        <v>46</v>
      </c>
      <c r="AE58" s="1">
        <v>45.8</v>
      </c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idden="1" x14ac:dyDescent="0.25">
      <c r="A59" s="1" t="s">
        <v>97</v>
      </c>
      <c r="B59" s="1" t="s">
        <v>36</v>
      </c>
      <c r="C59" s="1">
        <v>128.953</v>
      </c>
      <c r="D59" s="1">
        <v>8.1140000000000008</v>
      </c>
      <c r="E59" s="1">
        <v>65.569000000000003</v>
      </c>
      <c r="F59" s="1">
        <v>61.03</v>
      </c>
      <c r="G59" s="6">
        <v>1</v>
      </c>
      <c r="H59" s="1">
        <v>50</v>
      </c>
      <c r="I59" s="1" t="s">
        <v>37</v>
      </c>
      <c r="J59" s="1"/>
      <c r="K59" s="1">
        <v>61.6</v>
      </c>
      <c r="L59" s="1">
        <f t="shared" si="5"/>
        <v>3.9690000000000012</v>
      </c>
      <c r="M59" s="1"/>
      <c r="N59" s="1"/>
      <c r="O59" s="1">
        <v>95.391200000000026</v>
      </c>
      <c r="P59" s="1"/>
      <c r="Q59" s="1"/>
      <c r="R59" s="1"/>
      <c r="S59" s="1">
        <f t="shared" si="3"/>
        <v>13.113800000000001</v>
      </c>
      <c r="T59" s="1">
        <f t="shared" si="4"/>
        <v>11.927984260854979</v>
      </c>
      <c r="U59" s="1">
        <v>14.961</v>
      </c>
      <c r="V59" s="1">
        <v>15.6616</v>
      </c>
      <c r="W59" s="1">
        <v>8.7063999999999986</v>
      </c>
      <c r="X59" s="1">
        <v>10.54</v>
      </c>
      <c r="Y59" s="1">
        <v>16.8352</v>
      </c>
      <c r="Z59" s="1">
        <v>17.306999999999999</v>
      </c>
      <c r="AA59" s="1">
        <v>15.000999999999999</v>
      </c>
      <c r="AB59" s="1">
        <v>12.8538</v>
      </c>
      <c r="AC59" s="1">
        <v>14.462999999999999</v>
      </c>
      <c r="AD59" s="1">
        <v>19.234200000000001</v>
      </c>
      <c r="AE59" s="1">
        <v>21.715800000000002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x14ac:dyDescent="0.25">
      <c r="A60" s="1" t="s">
        <v>98</v>
      </c>
      <c r="B60" s="1" t="s">
        <v>36</v>
      </c>
      <c r="C60" s="1">
        <v>53.453000000000003</v>
      </c>
      <c r="D60" s="1"/>
      <c r="E60" s="1">
        <v>13.704000000000001</v>
      </c>
      <c r="F60" s="1">
        <v>38.381</v>
      </c>
      <c r="G60" s="6">
        <v>1</v>
      </c>
      <c r="H60" s="1">
        <v>55</v>
      </c>
      <c r="I60" s="1" t="s">
        <v>37</v>
      </c>
      <c r="J60" s="1"/>
      <c r="K60" s="1">
        <v>12.6</v>
      </c>
      <c r="L60" s="1">
        <f t="shared" si="5"/>
        <v>1.104000000000001</v>
      </c>
      <c r="M60" s="1"/>
      <c r="N60" s="1"/>
      <c r="O60" s="1">
        <v>30.510200000000012</v>
      </c>
      <c r="P60" s="1"/>
      <c r="Q60" s="1"/>
      <c r="R60" s="1"/>
      <c r="S60" s="11">
        <f t="shared" si="3"/>
        <v>2.7408000000000001</v>
      </c>
      <c r="T60" s="14">
        <f t="shared" si="4"/>
        <v>25.135434909515475</v>
      </c>
      <c r="U60" s="1">
        <v>6.0340000000000007</v>
      </c>
      <c r="V60" s="1">
        <v>6.3116000000000003</v>
      </c>
      <c r="W60" s="1">
        <v>1.65</v>
      </c>
      <c r="X60" s="1">
        <v>4.9256000000000002</v>
      </c>
      <c r="Y60" s="1">
        <v>7.6627999999999998</v>
      </c>
      <c r="Z60" s="1">
        <v>7.9290000000000003</v>
      </c>
      <c r="AA60" s="1">
        <v>6.2595999999999998</v>
      </c>
      <c r="AB60" s="1">
        <v>4.0456000000000003</v>
      </c>
      <c r="AC60" s="1">
        <v>5.1433999999999997</v>
      </c>
      <c r="AD60" s="1">
        <v>5.1475999999999997</v>
      </c>
      <c r="AE60" s="1">
        <v>5.4037999999999986</v>
      </c>
      <c r="AF60" s="1"/>
      <c r="AG60" s="16" t="s">
        <v>178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idden="1" x14ac:dyDescent="0.25">
      <c r="A61" s="1" t="s">
        <v>99</v>
      </c>
      <c r="B61" s="1" t="s">
        <v>42</v>
      </c>
      <c r="C61" s="1">
        <v>349</v>
      </c>
      <c r="D61" s="1">
        <v>140</v>
      </c>
      <c r="E61" s="1">
        <v>210</v>
      </c>
      <c r="F61" s="1">
        <v>279</v>
      </c>
      <c r="G61" s="6">
        <v>0.1</v>
      </c>
      <c r="H61" s="1">
        <v>731</v>
      </c>
      <c r="I61" s="1" t="s">
        <v>37</v>
      </c>
      <c r="J61" s="1"/>
      <c r="K61" s="1">
        <v>155</v>
      </c>
      <c r="L61" s="1">
        <f t="shared" si="5"/>
        <v>55</v>
      </c>
      <c r="M61" s="1"/>
      <c r="N61" s="1"/>
      <c r="O61" s="1">
        <v>0</v>
      </c>
      <c r="P61" s="1"/>
      <c r="Q61" s="1"/>
      <c r="R61" s="1"/>
      <c r="S61" s="1">
        <f t="shared" si="3"/>
        <v>42</v>
      </c>
      <c r="T61" s="1">
        <f t="shared" si="4"/>
        <v>6.6428571428571432</v>
      </c>
      <c r="U61" s="1">
        <v>32.799999999999997</v>
      </c>
      <c r="V61" s="1">
        <v>32.6</v>
      </c>
      <c r="W61" s="1">
        <v>33.200000000000003</v>
      </c>
      <c r="X61" s="1">
        <v>38.4</v>
      </c>
      <c r="Y61" s="1">
        <v>39</v>
      </c>
      <c r="Z61" s="1">
        <v>48.6</v>
      </c>
      <c r="AA61" s="1">
        <v>60.4</v>
      </c>
      <c r="AB61" s="1">
        <v>36.200000000000003</v>
      </c>
      <c r="AC61" s="1">
        <v>27</v>
      </c>
      <c r="AD61" s="1">
        <v>41.2</v>
      </c>
      <c r="AE61" s="1">
        <v>38.799999999999997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idden="1" x14ac:dyDescent="0.25">
      <c r="A62" s="1" t="s">
        <v>100</v>
      </c>
      <c r="B62" s="1" t="s">
        <v>42</v>
      </c>
      <c r="C62" s="1">
        <v>90</v>
      </c>
      <c r="D62" s="1">
        <v>1</v>
      </c>
      <c r="E62" s="1">
        <v>18</v>
      </c>
      <c r="F62" s="1">
        <v>71</v>
      </c>
      <c r="G62" s="6">
        <v>0.4</v>
      </c>
      <c r="H62" s="1">
        <v>50</v>
      </c>
      <c r="I62" s="1" t="s">
        <v>37</v>
      </c>
      <c r="J62" s="1"/>
      <c r="K62" s="1">
        <v>19</v>
      </c>
      <c r="L62" s="1">
        <f t="shared" si="5"/>
        <v>-1</v>
      </c>
      <c r="M62" s="1"/>
      <c r="N62" s="1"/>
      <c r="O62" s="1">
        <v>0</v>
      </c>
      <c r="P62" s="1"/>
      <c r="Q62" s="1"/>
      <c r="R62" s="1"/>
      <c r="S62" s="11">
        <f t="shared" si="3"/>
        <v>3.6</v>
      </c>
      <c r="T62" s="14">
        <f t="shared" si="4"/>
        <v>19.722222222222221</v>
      </c>
      <c r="U62" s="1">
        <v>4</v>
      </c>
      <c r="V62" s="1">
        <v>3.6</v>
      </c>
      <c r="W62" s="1">
        <v>2.6</v>
      </c>
      <c r="X62" s="1">
        <v>3.6</v>
      </c>
      <c r="Y62" s="1">
        <v>4</v>
      </c>
      <c r="Z62" s="1">
        <v>9</v>
      </c>
      <c r="AA62" s="1">
        <v>10</v>
      </c>
      <c r="AB62" s="1">
        <v>3</v>
      </c>
      <c r="AC62" s="1">
        <v>1.2</v>
      </c>
      <c r="AD62" s="1">
        <v>5</v>
      </c>
      <c r="AE62" s="1">
        <v>7.6</v>
      </c>
      <c r="AF62" s="1" t="s">
        <v>88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idden="1" x14ac:dyDescent="0.25">
      <c r="A63" s="1" t="s">
        <v>101</v>
      </c>
      <c r="B63" s="1" t="s">
        <v>36</v>
      </c>
      <c r="C63" s="1">
        <v>-0.39200000000000002</v>
      </c>
      <c r="D63" s="1">
        <v>48.137999999999998</v>
      </c>
      <c r="E63" s="1">
        <v>19.914999999999999</v>
      </c>
      <c r="F63" s="1">
        <v>5.1589999999999998</v>
      </c>
      <c r="G63" s="6">
        <v>1</v>
      </c>
      <c r="H63" s="1">
        <v>40</v>
      </c>
      <c r="I63" s="1" t="s">
        <v>49</v>
      </c>
      <c r="J63" s="1"/>
      <c r="K63" s="1">
        <v>18.8</v>
      </c>
      <c r="L63" s="1">
        <f t="shared" si="5"/>
        <v>1.1149999999999984</v>
      </c>
      <c r="M63" s="1"/>
      <c r="N63" s="1"/>
      <c r="O63" s="1">
        <v>43.790400000000012</v>
      </c>
      <c r="P63" s="1"/>
      <c r="Q63" s="1"/>
      <c r="R63" s="1"/>
      <c r="S63" s="1">
        <f t="shared" si="3"/>
        <v>3.9829999999999997</v>
      </c>
      <c r="T63" s="1">
        <f t="shared" si="4"/>
        <v>12.289580718051724</v>
      </c>
      <c r="U63" s="1">
        <v>0</v>
      </c>
      <c r="V63" s="1">
        <v>13.583600000000001</v>
      </c>
      <c r="W63" s="1">
        <v>14.9016</v>
      </c>
      <c r="X63" s="1">
        <v>6.7847999999999997</v>
      </c>
      <c r="Y63" s="1">
        <v>7.556</v>
      </c>
      <c r="Z63" s="1">
        <v>3.6623999999999999</v>
      </c>
      <c r="AA63" s="1">
        <v>4.5907999999999998</v>
      </c>
      <c r="AB63" s="1">
        <v>4.3612000000000002</v>
      </c>
      <c r="AC63" s="1">
        <v>1.5891999999999999</v>
      </c>
      <c r="AD63" s="1">
        <v>3.0236000000000001</v>
      </c>
      <c r="AE63" s="1">
        <v>3.0611999999999999</v>
      </c>
      <c r="AF63" s="1" t="s">
        <v>102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idden="1" x14ac:dyDescent="0.25">
      <c r="A64" s="1" t="s">
        <v>103</v>
      </c>
      <c r="B64" s="1" t="s">
        <v>36</v>
      </c>
      <c r="C64" s="1">
        <v>1.111</v>
      </c>
      <c r="D64" s="1">
        <v>158.292</v>
      </c>
      <c r="E64" s="1">
        <v>36.798000000000002</v>
      </c>
      <c r="F64" s="1">
        <v>92.477999999999994</v>
      </c>
      <c r="G64" s="6">
        <v>1</v>
      </c>
      <c r="H64" s="1">
        <v>40</v>
      </c>
      <c r="I64" s="1" t="s">
        <v>37</v>
      </c>
      <c r="J64" s="1"/>
      <c r="K64" s="1">
        <v>43.5</v>
      </c>
      <c r="L64" s="1">
        <f t="shared" si="5"/>
        <v>-6.7019999999999982</v>
      </c>
      <c r="M64" s="1"/>
      <c r="N64" s="1"/>
      <c r="O64" s="1">
        <v>42.087599999999981</v>
      </c>
      <c r="P64" s="1"/>
      <c r="Q64" s="1"/>
      <c r="R64" s="1"/>
      <c r="S64" s="11">
        <f t="shared" si="3"/>
        <v>7.3596000000000004</v>
      </c>
      <c r="T64" s="14">
        <f t="shared" si="4"/>
        <v>18.284363280613071</v>
      </c>
      <c r="U64" s="1">
        <v>3.8224</v>
      </c>
      <c r="V64" s="1">
        <v>16.229199999999999</v>
      </c>
      <c r="W64" s="1">
        <v>13.7578</v>
      </c>
      <c r="X64" s="1">
        <v>11.1006</v>
      </c>
      <c r="Y64" s="1">
        <v>15.066599999999999</v>
      </c>
      <c r="Z64" s="1">
        <v>7.2840000000000007</v>
      </c>
      <c r="AA64" s="1">
        <v>7.2656000000000009</v>
      </c>
      <c r="AB64" s="1">
        <v>7.7450000000000001</v>
      </c>
      <c r="AC64" s="1">
        <v>3.6516000000000002</v>
      </c>
      <c r="AD64" s="1">
        <v>5.5808</v>
      </c>
      <c r="AE64" s="1">
        <v>9.1449999999999996</v>
      </c>
      <c r="AF64" s="1" t="s">
        <v>102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idden="1" x14ac:dyDescent="0.25">
      <c r="A65" s="1" t="s">
        <v>104</v>
      </c>
      <c r="B65" s="1" t="s">
        <v>42</v>
      </c>
      <c r="C65" s="1">
        <v>323</v>
      </c>
      <c r="D65" s="1">
        <v>300</v>
      </c>
      <c r="E65" s="1">
        <v>174</v>
      </c>
      <c r="F65" s="1">
        <v>388</v>
      </c>
      <c r="G65" s="6">
        <v>0.4</v>
      </c>
      <c r="H65" s="1">
        <v>40</v>
      </c>
      <c r="I65" s="1" t="s">
        <v>37</v>
      </c>
      <c r="J65" s="1"/>
      <c r="K65" s="1">
        <v>415</v>
      </c>
      <c r="L65" s="1">
        <f t="shared" si="5"/>
        <v>-241</v>
      </c>
      <c r="M65" s="1"/>
      <c r="N65" s="1"/>
      <c r="O65" s="1">
        <v>0</v>
      </c>
      <c r="P65" s="1"/>
      <c r="Q65" s="1"/>
      <c r="R65" s="1"/>
      <c r="S65" s="1">
        <f t="shared" si="3"/>
        <v>34.799999999999997</v>
      </c>
      <c r="T65" s="1">
        <f t="shared" si="4"/>
        <v>11.149425287356323</v>
      </c>
      <c r="U65" s="1">
        <v>10</v>
      </c>
      <c r="V65" s="1">
        <v>24.8</v>
      </c>
      <c r="W65" s="1">
        <v>56.2</v>
      </c>
      <c r="X65" s="1">
        <v>44.2</v>
      </c>
      <c r="Y65" s="1">
        <v>14.2</v>
      </c>
      <c r="Z65" s="1">
        <v>1.4</v>
      </c>
      <c r="AA65" s="1">
        <v>13.8</v>
      </c>
      <c r="AB65" s="1">
        <v>63.8</v>
      </c>
      <c r="AC65" s="1">
        <v>81.2</v>
      </c>
      <c r="AD65" s="1">
        <v>86.2</v>
      </c>
      <c r="AE65" s="1">
        <v>112.6</v>
      </c>
      <c r="AF65" s="1" t="s">
        <v>88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idden="1" x14ac:dyDescent="0.25">
      <c r="A66" s="1" t="s">
        <v>105</v>
      </c>
      <c r="B66" s="1" t="s">
        <v>42</v>
      </c>
      <c r="C66" s="1">
        <v>11</v>
      </c>
      <c r="D66" s="1">
        <v>456</v>
      </c>
      <c r="E66" s="1">
        <v>102</v>
      </c>
      <c r="F66" s="1">
        <v>330</v>
      </c>
      <c r="G66" s="6">
        <v>0.4</v>
      </c>
      <c r="H66" s="1">
        <v>40</v>
      </c>
      <c r="I66" s="1" t="s">
        <v>49</v>
      </c>
      <c r="J66" s="1"/>
      <c r="K66" s="1">
        <v>166</v>
      </c>
      <c r="L66" s="1">
        <f t="shared" si="5"/>
        <v>-64</v>
      </c>
      <c r="M66" s="1"/>
      <c r="N66" s="1"/>
      <c r="O66" s="1">
        <v>100</v>
      </c>
      <c r="P66" s="1"/>
      <c r="Q66" s="1"/>
      <c r="R66" s="1"/>
      <c r="S66" s="11">
        <f t="shared" si="3"/>
        <v>20.399999999999999</v>
      </c>
      <c r="T66" s="14">
        <f t="shared" si="4"/>
        <v>21.078431372549019</v>
      </c>
      <c r="U66" s="1">
        <v>4</v>
      </c>
      <c r="V66" s="1">
        <v>-0.2</v>
      </c>
      <c r="W66" s="1">
        <v>-0.2</v>
      </c>
      <c r="X66" s="1">
        <v>-0.2</v>
      </c>
      <c r="Y66" s="1">
        <v>0</v>
      </c>
      <c r="Z66" s="1">
        <v>0</v>
      </c>
      <c r="AA66" s="1">
        <v>45.2</v>
      </c>
      <c r="AB66" s="1">
        <v>92.6</v>
      </c>
      <c r="AC66" s="1">
        <v>69</v>
      </c>
      <c r="AD66" s="1">
        <v>57.4</v>
      </c>
      <c r="AE66" s="1">
        <v>72.400000000000006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idden="1" x14ac:dyDescent="0.25">
      <c r="A67" s="1" t="s">
        <v>106</v>
      </c>
      <c r="B67" s="1" t="s">
        <v>36</v>
      </c>
      <c r="C67" s="1">
        <v>253.63900000000001</v>
      </c>
      <c r="D67" s="1">
        <v>17.350000000000001</v>
      </c>
      <c r="E67" s="1">
        <v>174.351</v>
      </c>
      <c r="F67" s="1">
        <v>68.412999999999997</v>
      </c>
      <c r="G67" s="6">
        <v>1</v>
      </c>
      <c r="H67" s="1">
        <v>40</v>
      </c>
      <c r="I67" s="1" t="s">
        <v>49</v>
      </c>
      <c r="J67" s="1"/>
      <c r="K67" s="1">
        <v>173.7</v>
      </c>
      <c r="L67" s="1">
        <f t="shared" si="5"/>
        <v>0.65100000000001046</v>
      </c>
      <c r="M67" s="1"/>
      <c r="N67" s="1"/>
      <c r="O67" s="1">
        <v>80</v>
      </c>
      <c r="P67" s="1"/>
      <c r="Q67" s="1"/>
      <c r="R67" s="1"/>
      <c r="S67" s="1">
        <f t="shared" si="3"/>
        <v>34.870199999999997</v>
      </c>
      <c r="T67" s="1">
        <f t="shared" si="4"/>
        <v>4.2561556859438729</v>
      </c>
      <c r="U67" s="1">
        <v>28.920999999999999</v>
      </c>
      <c r="V67" s="1">
        <v>27.451000000000001</v>
      </c>
      <c r="W67" s="1">
        <v>27.457799999999999</v>
      </c>
      <c r="X67" s="1">
        <v>33.810199999999988</v>
      </c>
      <c r="Y67" s="1">
        <v>30.891400000000001</v>
      </c>
      <c r="Z67" s="1">
        <v>39.8172</v>
      </c>
      <c r="AA67" s="1">
        <v>43.403599999999997</v>
      </c>
      <c r="AB67" s="1">
        <v>22.808599999999998</v>
      </c>
      <c r="AC67" s="1">
        <v>12.564399999999999</v>
      </c>
      <c r="AD67" s="1">
        <v>29.346399999999999</v>
      </c>
      <c r="AE67" s="1">
        <v>40.2258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idden="1" x14ac:dyDescent="0.25">
      <c r="A68" s="1" t="s">
        <v>107</v>
      </c>
      <c r="B68" s="1" t="s">
        <v>36</v>
      </c>
      <c r="C68" s="1">
        <v>185.614</v>
      </c>
      <c r="D68" s="1">
        <v>14.43</v>
      </c>
      <c r="E68" s="1">
        <v>168.22900000000001</v>
      </c>
      <c r="F68" s="1">
        <v>9.266</v>
      </c>
      <c r="G68" s="6">
        <v>1</v>
      </c>
      <c r="H68" s="1">
        <v>40</v>
      </c>
      <c r="I68" s="1" t="s">
        <v>49</v>
      </c>
      <c r="J68" s="1"/>
      <c r="K68" s="1">
        <v>179.50700000000001</v>
      </c>
      <c r="L68" s="1">
        <f t="shared" si="5"/>
        <v>-11.277999999999992</v>
      </c>
      <c r="M68" s="1"/>
      <c r="N68" s="1"/>
      <c r="O68" s="1">
        <v>70</v>
      </c>
      <c r="P68" s="1"/>
      <c r="Q68" s="1"/>
      <c r="R68" s="1"/>
      <c r="S68" s="1">
        <f t="shared" si="3"/>
        <v>33.645800000000001</v>
      </c>
      <c r="T68" s="1">
        <f t="shared" si="4"/>
        <v>2.3558958324664596</v>
      </c>
      <c r="U68" s="1">
        <v>30.546399999999998</v>
      </c>
      <c r="V68" s="1">
        <v>28.173400000000001</v>
      </c>
      <c r="W68" s="1">
        <v>25.8324</v>
      </c>
      <c r="X68" s="1">
        <v>32.492199999999997</v>
      </c>
      <c r="Y68" s="1">
        <v>34.5336</v>
      </c>
      <c r="Z68" s="1">
        <v>33.2986</v>
      </c>
      <c r="AA68" s="1">
        <v>24.674399999999999</v>
      </c>
      <c r="AB68" s="1">
        <v>33.698399999999999</v>
      </c>
      <c r="AC68" s="1">
        <v>35.2834</v>
      </c>
      <c r="AD68" s="1">
        <v>31.5944</v>
      </c>
      <c r="AE68" s="1">
        <v>36.930199999999999</v>
      </c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idden="1" x14ac:dyDescent="0.25">
      <c r="A69" s="1" t="s">
        <v>108</v>
      </c>
      <c r="B69" s="1" t="s">
        <v>36</v>
      </c>
      <c r="C69" s="1">
        <v>390.88900000000001</v>
      </c>
      <c r="D69" s="1">
        <v>199.517</v>
      </c>
      <c r="E69" s="1">
        <v>330.77600000000001</v>
      </c>
      <c r="F69" s="1">
        <v>190.88900000000001</v>
      </c>
      <c r="G69" s="6">
        <v>1</v>
      </c>
      <c r="H69" s="1">
        <v>40</v>
      </c>
      <c r="I69" s="1" t="s">
        <v>37</v>
      </c>
      <c r="J69" s="1"/>
      <c r="K69" s="1">
        <v>325</v>
      </c>
      <c r="L69" s="1">
        <f t="shared" si="5"/>
        <v>5.7760000000000105</v>
      </c>
      <c r="M69" s="1"/>
      <c r="N69" s="1"/>
      <c r="O69" s="1">
        <v>265.31086599999981</v>
      </c>
      <c r="P69" s="1"/>
      <c r="Q69" s="1"/>
      <c r="R69" s="1"/>
      <c r="S69" s="1">
        <f t="shared" si="3"/>
        <v>66.155200000000008</v>
      </c>
      <c r="T69" s="1">
        <f t="shared" si="4"/>
        <v>6.8959033605823841</v>
      </c>
      <c r="U69" s="1">
        <v>64.944199999999995</v>
      </c>
      <c r="V69" s="1">
        <v>60.923400000000001</v>
      </c>
      <c r="W69" s="1">
        <v>43.718000000000004</v>
      </c>
      <c r="X69" s="1">
        <v>53.330599999999997</v>
      </c>
      <c r="Y69" s="1">
        <v>67.684799999999996</v>
      </c>
      <c r="Z69" s="1">
        <v>69.110199999999992</v>
      </c>
      <c r="AA69" s="1">
        <v>62.149800000000013</v>
      </c>
      <c r="AB69" s="1">
        <v>77.261200000000002</v>
      </c>
      <c r="AC69" s="1">
        <v>84.820999999999998</v>
      </c>
      <c r="AD69" s="1">
        <v>67.469399999999993</v>
      </c>
      <c r="AE69" s="1">
        <v>80.919799999999995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idden="1" x14ac:dyDescent="0.25">
      <c r="A70" s="1" t="s">
        <v>109</v>
      </c>
      <c r="B70" s="1" t="s">
        <v>36</v>
      </c>
      <c r="C70" s="1">
        <v>180.16800000000001</v>
      </c>
      <c r="D70" s="1">
        <v>165.81100000000001</v>
      </c>
      <c r="E70" s="1">
        <v>102.74299999999999</v>
      </c>
      <c r="F70" s="1">
        <v>211.38200000000001</v>
      </c>
      <c r="G70" s="6">
        <v>1</v>
      </c>
      <c r="H70" s="1">
        <v>40</v>
      </c>
      <c r="I70" s="1" t="s">
        <v>37</v>
      </c>
      <c r="J70" s="1"/>
      <c r="K70" s="1">
        <v>120.1</v>
      </c>
      <c r="L70" s="1">
        <f t="shared" ref="L70:L101" si="6">E70-K70</f>
        <v>-17.356999999999999</v>
      </c>
      <c r="M70" s="1"/>
      <c r="N70" s="1"/>
      <c r="O70" s="1">
        <v>0</v>
      </c>
      <c r="P70" s="1"/>
      <c r="Q70" s="1"/>
      <c r="R70" s="1"/>
      <c r="S70" s="1">
        <f t="shared" si="3"/>
        <v>20.5486</v>
      </c>
      <c r="T70" s="1">
        <f t="shared" si="4"/>
        <v>10.286929523179195</v>
      </c>
      <c r="U70" s="1">
        <v>23.120999999999999</v>
      </c>
      <c r="V70" s="1">
        <v>23.457599999999999</v>
      </c>
      <c r="W70" s="1">
        <v>20.8584</v>
      </c>
      <c r="X70" s="1">
        <v>27.188800000000001</v>
      </c>
      <c r="Y70" s="1">
        <v>28.836200000000002</v>
      </c>
      <c r="Z70" s="1">
        <v>31.062999999999999</v>
      </c>
      <c r="AA70" s="1">
        <v>31.611599999999999</v>
      </c>
      <c r="AB70" s="1">
        <v>37.389200000000002</v>
      </c>
      <c r="AC70" s="1">
        <v>31.877600000000001</v>
      </c>
      <c r="AD70" s="1">
        <v>27.787199999999999</v>
      </c>
      <c r="AE70" s="1">
        <v>32.726599999999998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x14ac:dyDescent="0.25">
      <c r="A71" s="1" t="s">
        <v>110</v>
      </c>
      <c r="B71" s="1" t="s">
        <v>42</v>
      </c>
      <c r="C71" s="1">
        <v>54</v>
      </c>
      <c r="D71" s="1"/>
      <c r="E71" s="1">
        <v>11</v>
      </c>
      <c r="F71" s="1">
        <v>43</v>
      </c>
      <c r="G71" s="6">
        <v>0.6</v>
      </c>
      <c r="H71" s="1">
        <v>70</v>
      </c>
      <c r="I71" s="1" t="s">
        <v>37</v>
      </c>
      <c r="J71" s="1"/>
      <c r="K71" s="1">
        <v>13</v>
      </c>
      <c r="L71" s="1">
        <f t="shared" si="6"/>
        <v>-2</v>
      </c>
      <c r="M71" s="1"/>
      <c r="N71" s="1"/>
      <c r="O71" s="1">
        <v>0</v>
      </c>
      <c r="P71" s="1"/>
      <c r="Q71" s="1"/>
      <c r="R71" s="1"/>
      <c r="S71" s="11">
        <f t="shared" ref="S71:S133" si="7">E71/5</f>
        <v>2.2000000000000002</v>
      </c>
      <c r="T71" s="14">
        <f t="shared" ref="T71:T133" si="8">(F71+O71+P71+Q71+R71)/S71</f>
        <v>19.545454545454543</v>
      </c>
      <c r="U71" s="1">
        <v>1.6</v>
      </c>
      <c r="V71" s="1">
        <v>1.6</v>
      </c>
      <c r="W71" s="1">
        <v>1.6</v>
      </c>
      <c r="X71" s="1">
        <v>0.6</v>
      </c>
      <c r="Y71" s="1">
        <v>1</v>
      </c>
      <c r="Z71" s="1">
        <v>0.8</v>
      </c>
      <c r="AA71" s="1">
        <v>1.2</v>
      </c>
      <c r="AB71" s="1">
        <v>2.4</v>
      </c>
      <c r="AC71" s="1">
        <v>1.6</v>
      </c>
      <c r="AD71" s="1">
        <v>5</v>
      </c>
      <c r="AE71" s="1">
        <v>5.4</v>
      </c>
      <c r="AF71" s="1" t="s">
        <v>88</v>
      </c>
      <c r="AG71" s="16" t="s">
        <v>178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idden="1" x14ac:dyDescent="0.25">
      <c r="A72" s="1" t="s">
        <v>111</v>
      </c>
      <c r="B72" s="1" t="s">
        <v>36</v>
      </c>
      <c r="C72" s="1">
        <v>13.116</v>
      </c>
      <c r="D72" s="1">
        <v>757.63199999999995</v>
      </c>
      <c r="E72" s="1">
        <v>132.88</v>
      </c>
      <c r="F72" s="1">
        <v>581.10900000000004</v>
      </c>
      <c r="G72" s="6">
        <v>1</v>
      </c>
      <c r="H72" s="1">
        <v>30</v>
      </c>
      <c r="I72" s="1" t="s">
        <v>37</v>
      </c>
      <c r="J72" s="1"/>
      <c r="K72" s="1">
        <v>248.75</v>
      </c>
      <c r="L72" s="1">
        <f t="shared" si="6"/>
        <v>-115.87</v>
      </c>
      <c r="M72" s="1"/>
      <c r="N72" s="1"/>
      <c r="O72" s="1">
        <v>0</v>
      </c>
      <c r="P72" s="1"/>
      <c r="Q72" s="1"/>
      <c r="R72" s="1"/>
      <c r="S72" s="11">
        <f t="shared" si="7"/>
        <v>26.576000000000001</v>
      </c>
      <c r="T72" s="14">
        <f t="shared" si="8"/>
        <v>21.865931667670079</v>
      </c>
      <c r="U72" s="1">
        <v>12.5822</v>
      </c>
      <c r="V72" s="1">
        <v>49.552399999999999</v>
      </c>
      <c r="W72" s="1">
        <v>72.886200000000002</v>
      </c>
      <c r="X72" s="1">
        <v>41.464399999999998</v>
      </c>
      <c r="Y72" s="1">
        <v>16.122800000000002</v>
      </c>
      <c r="Z72" s="1">
        <v>65.612400000000008</v>
      </c>
      <c r="AA72" s="1">
        <v>95.952399999999997</v>
      </c>
      <c r="AB72" s="1">
        <v>85.349000000000004</v>
      </c>
      <c r="AC72" s="1">
        <v>80.937399999999997</v>
      </c>
      <c r="AD72" s="1">
        <v>39.692799999999998</v>
      </c>
      <c r="AE72" s="1">
        <v>48.635199999999998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idden="1" x14ac:dyDescent="0.25">
      <c r="A73" s="9" t="s">
        <v>112</v>
      </c>
      <c r="B73" s="9" t="s">
        <v>42</v>
      </c>
      <c r="C73" s="9"/>
      <c r="D73" s="9"/>
      <c r="E73" s="9"/>
      <c r="F73" s="9"/>
      <c r="G73" s="10">
        <v>0</v>
      </c>
      <c r="H73" s="9"/>
      <c r="I73" s="9" t="s">
        <v>37</v>
      </c>
      <c r="J73" s="9"/>
      <c r="K73" s="9"/>
      <c r="L73" s="9">
        <f t="shared" si="6"/>
        <v>0</v>
      </c>
      <c r="M73" s="9"/>
      <c r="N73" s="9"/>
      <c r="O73" s="9">
        <v>0</v>
      </c>
      <c r="P73" s="9"/>
      <c r="Q73" s="9"/>
      <c r="R73" s="9"/>
      <c r="S73" s="9">
        <f t="shared" si="7"/>
        <v>0</v>
      </c>
      <c r="T73" s="9" t="e">
        <f t="shared" si="8"/>
        <v>#DIV/0!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 t="s">
        <v>47</v>
      </c>
      <c r="AG73" s="9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idden="1" x14ac:dyDescent="0.25">
      <c r="A74" s="1" t="s">
        <v>113</v>
      </c>
      <c r="B74" s="1" t="s">
        <v>42</v>
      </c>
      <c r="C74" s="1">
        <v>142</v>
      </c>
      <c r="D74" s="1">
        <v>48</v>
      </c>
      <c r="E74" s="1">
        <v>64</v>
      </c>
      <c r="F74" s="1">
        <v>126</v>
      </c>
      <c r="G74" s="6">
        <v>0.6</v>
      </c>
      <c r="H74" s="1">
        <v>60</v>
      </c>
      <c r="I74" s="1" t="s">
        <v>37</v>
      </c>
      <c r="J74" s="1"/>
      <c r="K74" s="1">
        <v>76</v>
      </c>
      <c r="L74" s="1">
        <f t="shared" si="6"/>
        <v>-12</v>
      </c>
      <c r="M74" s="1"/>
      <c r="N74" s="1"/>
      <c r="O74" s="1">
        <v>0</v>
      </c>
      <c r="P74" s="1"/>
      <c r="Q74" s="1"/>
      <c r="R74" s="1"/>
      <c r="S74" s="1">
        <f t="shared" si="7"/>
        <v>12.8</v>
      </c>
      <c r="T74" s="1">
        <f t="shared" si="8"/>
        <v>9.84375</v>
      </c>
      <c r="U74" s="1">
        <v>1.8</v>
      </c>
      <c r="V74" s="1">
        <v>12</v>
      </c>
      <c r="W74" s="1">
        <v>16.8</v>
      </c>
      <c r="X74" s="1">
        <v>10</v>
      </c>
      <c r="Y74" s="1">
        <v>13.4</v>
      </c>
      <c r="Z74" s="1">
        <v>8.1999999999999993</v>
      </c>
      <c r="AA74" s="1">
        <v>3.2</v>
      </c>
      <c r="AB74" s="1">
        <v>24</v>
      </c>
      <c r="AC74" s="1">
        <v>23</v>
      </c>
      <c r="AD74" s="1">
        <v>12.4</v>
      </c>
      <c r="AE74" s="1">
        <v>11.8</v>
      </c>
      <c r="AF74" s="1" t="s">
        <v>88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idden="1" x14ac:dyDescent="0.25">
      <c r="A75" s="1" t="s">
        <v>114</v>
      </c>
      <c r="B75" s="1" t="s">
        <v>42</v>
      </c>
      <c r="C75" s="1">
        <v>160</v>
      </c>
      <c r="D75" s="1">
        <v>4</v>
      </c>
      <c r="E75" s="1">
        <v>95</v>
      </c>
      <c r="F75" s="1">
        <v>61</v>
      </c>
      <c r="G75" s="6">
        <v>0.4</v>
      </c>
      <c r="H75" s="1">
        <v>90</v>
      </c>
      <c r="I75" s="1" t="s">
        <v>37</v>
      </c>
      <c r="J75" s="1"/>
      <c r="K75" s="1">
        <v>86</v>
      </c>
      <c r="L75" s="1">
        <f t="shared" si="6"/>
        <v>9</v>
      </c>
      <c r="M75" s="1"/>
      <c r="N75" s="1"/>
      <c r="O75" s="1">
        <v>44.199999999999989</v>
      </c>
      <c r="P75" s="1"/>
      <c r="Q75" s="1"/>
      <c r="R75" s="1"/>
      <c r="S75" s="1">
        <f t="shared" si="7"/>
        <v>19</v>
      </c>
      <c r="T75" s="1">
        <f t="shared" si="8"/>
        <v>5.5368421052631573</v>
      </c>
      <c r="U75" s="1">
        <v>16.600000000000001</v>
      </c>
      <c r="V75" s="1">
        <v>13.6</v>
      </c>
      <c r="W75" s="1">
        <v>5.4</v>
      </c>
      <c r="X75" s="1">
        <v>5.6</v>
      </c>
      <c r="Y75" s="1">
        <v>9.8000000000000007</v>
      </c>
      <c r="Z75" s="1">
        <v>16.600000000000001</v>
      </c>
      <c r="AA75" s="1">
        <v>17.2</v>
      </c>
      <c r="AB75" s="1">
        <v>18.399999999999999</v>
      </c>
      <c r="AC75" s="1">
        <v>20</v>
      </c>
      <c r="AD75" s="1">
        <v>20.6</v>
      </c>
      <c r="AE75" s="1">
        <v>25.4</v>
      </c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idden="1" x14ac:dyDescent="0.25">
      <c r="A76" s="1" t="s">
        <v>115</v>
      </c>
      <c r="B76" s="1" t="s">
        <v>42</v>
      </c>
      <c r="C76" s="1">
        <v>120</v>
      </c>
      <c r="D76" s="1">
        <v>167</v>
      </c>
      <c r="E76" s="1">
        <v>169</v>
      </c>
      <c r="F76" s="1">
        <v>93</v>
      </c>
      <c r="G76" s="6">
        <v>0.33</v>
      </c>
      <c r="H76" s="1">
        <v>60</v>
      </c>
      <c r="I76" s="1" t="s">
        <v>37</v>
      </c>
      <c r="J76" s="1"/>
      <c r="K76" s="1">
        <v>170</v>
      </c>
      <c r="L76" s="1">
        <f t="shared" si="6"/>
        <v>-1</v>
      </c>
      <c r="M76" s="1"/>
      <c r="N76" s="1"/>
      <c r="O76" s="1">
        <v>86.107999999999976</v>
      </c>
      <c r="P76" s="1"/>
      <c r="Q76" s="1"/>
      <c r="R76" s="1"/>
      <c r="S76" s="1">
        <f t="shared" si="7"/>
        <v>33.799999999999997</v>
      </c>
      <c r="T76" s="1">
        <f t="shared" si="8"/>
        <v>5.2990532544378697</v>
      </c>
      <c r="U76" s="1">
        <v>29.6</v>
      </c>
      <c r="V76" s="1">
        <v>26.2</v>
      </c>
      <c r="W76" s="1">
        <v>20.399999999999999</v>
      </c>
      <c r="X76" s="1">
        <v>23.4</v>
      </c>
      <c r="Y76" s="1">
        <v>26.6</v>
      </c>
      <c r="Z76" s="1">
        <v>29</v>
      </c>
      <c r="AA76" s="1">
        <v>25</v>
      </c>
      <c r="AB76" s="1">
        <v>24.2</v>
      </c>
      <c r="AC76" s="1">
        <v>33.6</v>
      </c>
      <c r="AD76" s="1">
        <v>25.6</v>
      </c>
      <c r="AE76" s="1">
        <v>14.8</v>
      </c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idden="1" x14ac:dyDescent="0.25">
      <c r="A77" s="1" t="s">
        <v>116</v>
      </c>
      <c r="B77" s="1" t="s">
        <v>42</v>
      </c>
      <c r="C77" s="1">
        <v>134</v>
      </c>
      <c r="D77" s="1">
        <v>1</v>
      </c>
      <c r="E77" s="1">
        <v>129</v>
      </c>
      <c r="F77" s="1">
        <v>3</v>
      </c>
      <c r="G77" s="6">
        <v>0.35</v>
      </c>
      <c r="H77" s="1">
        <v>90</v>
      </c>
      <c r="I77" s="1" t="s">
        <v>37</v>
      </c>
      <c r="J77" s="1"/>
      <c r="K77" s="1">
        <v>117</v>
      </c>
      <c r="L77" s="1">
        <f t="shared" si="6"/>
        <v>12</v>
      </c>
      <c r="M77" s="1"/>
      <c r="N77" s="1"/>
      <c r="O77" s="1">
        <v>63</v>
      </c>
      <c r="P77" s="1"/>
      <c r="Q77" s="1"/>
      <c r="R77" s="1"/>
      <c r="S77" s="1">
        <f t="shared" si="7"/>
        <v>25.8</v>
      </c>
      <c r="T77" s="1">
        <f t="shared" si="8"/>
        <v>2.558139534883721</v>
      </c>
      <c r="U77" s="1">
        <v>25</v>
      </c>
      <c r="V77" s="1">
        <v>13</v>
      </c>
      <c r="W77" s="1">
        <v>5.4</v>
      </c>
      <c r="X77" s="1">
        <v>7.2</v>
      </c>
      <c r="Y77" s="1">
        <v>11</v>
      </c>
      <c r="Z77" s="1">
        <v>15</v>
      </c>
      <c r="AA77" s="1">
        <v>12.8</v>
      </c>
      <c r="AB77" s="1">
        <v>11.2</v>
      </c>
      <c r="AC77" s="1">
        <v>13.4</v>
      </c>
      <c r="AD77" s="1">
        <v>13.6</v>
      </c>
      <c r="AE77" s="1">
        <v>20.8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idden="1" x14ac:dyDescent="0.25">
      <c r="A78" s="1" t="s">
        <v>117</v>
      </c>
      <c r="B78" s="1" t="s">
        <v>42</v>
      </c>
      <c r="C78" s="1">
        <v>249</v>
      </c>
      <c r="D78" s="1"/>
      <c r="E78" s="1">
        <v>118</v>
      </c>
      <c r="F78" s="1">
        <v>130</v>
      </c>
      <c r="G78" s="6">
        <v>0.37</v>
      </c>
      <c r="H78" s="1">
        <v>50</v>
      </c>
      <c r="I78" s="1" t="s">
        <v>37</v>
      </c>
      <c r="J78" s="1"/>
      <c r="K78" s="1">
        <v>148</v>
      </c>
      <c r="L78" s="1">
        <f t="shared" si="6"/>
        <v>-30</v>
      </c>
      <c r="M78" s="1"/>
      <c r="N78" s="1"/>
      <c r="O78" s="1">
        <v>44.200000000000053</v>
      </c>
      <c r="P78" s="1"/>
      <c r="Q78" s="1"/>
      <c r="R78" s="1"/>
      <c r="S78" s="1">
        <f t="shared" si="7"/>
        <v>23.6</v>
      </c>
      <c r="T78" s="1">
        <f t="shared" si="8"/>
        <v>7.381355932203391</v>
      </c>
      <c r="U78" s="1">
        <v>11.8</v>
      </c>
      <c r="V78" s="1">
        <v>23.6</v>
      </c>
      <c r="W78" s="1">
        <v>22.4</v>
      </c>
      <c r="X78" s="1">
        <v>18.399999999999999</v>
      </c>
      <c r="Y78" s="1">
        <v>26</v>
      </c>
      <c r="Z78" s="1">
        <v>33.4</v>
      </c>
      <c r="AA78" s="1">
        <v>42.4</v>
      </c>
      <c r="AB78" s="1">
        <v>46</v>
      </c>
      <c r="AC78" s="1">
        <v>32</v>
      </c>
      <c r="AD78" s="1">
        <v>24.8</v>
      </c>
      <c r="AE78" s="1">
        <v>30.8</v>
      </c>
      <c r="AF78" s="1" t="s">
        <v>88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idden="1" x14ac:dyDescent="0.25">
      <c r="A79" s="9" t="s">
        <v>118</v>
      </c>
      <c r="B79" s="9" t="s">
        <v>42</v>
      </c>
      <c r="C79" s="9"/>
      <c r="D79" s="9"/>
      <c r="E79" s="9"/>
      <c r="F79" s="9"/>
      <c r="G79" s="10">
        <v>0</v>
      </c>
      <c r="H79" s="9"/>
      <c r="I79" s="9" t="s">
        <v>37</v>
      </c>
      <c r="J79" s="9"/>
      <c r="K79" s="9"/>
      <c r="L79" s="9">
        <f t="shared" si="6"/>
        <v>0</v>
      </c>
      <c r="M79" s="9"/>
      <c r="N79" s="9"/>
      <c r="O79" s="9">
        <v>0</v>
      </c>
      <c r="P79" s="9"/>
      <c r="Q79" s="9"/>
      <c r="R79" s="9"/>
      <c r="S79" s="9">
        <f t="shared" si="7"/>
        <v>0</v>
      </c>
      <c r="T79" s="9" t="e">
        <f t="shared" si="8"/>
        <v>#DIV/0!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 t="s">
        <v>47</v>
      </c>
      <c r="AG79" s="9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idden="1" x14ac:dyDescent="0.25">
      <c r="A80" s="1" t="s">
        <v>119</v>
      </c>
      <c r="B80" s="1" t="s">
        <v>42</v>
      </c>
      <c r="C80" s="1">
        <v>18</v>
      </c>
      <c r="D80" s="1">
        <v>84</v>
      </c>
      <c r="E80" s="1">
        <v>58</v>
      </c>
      <c r="F80" s="1">
        <v>33</v>
      </c>
      <c r="G80" s="6">
        <v>0.33</v>
      </c>
      <c r="H80" s="1">
        <v>40</v>
      </c>
      <c r="I80" s="1" t="s">
        <v>37</v>
      </c>
      <c r="J80" s="1"/>
      <c r="K80" s="1">
        <v>59</v>
      </c>
      <c r="L80" s="1">
        <f t="shared" si="6"/>
        <v>-1</v>
      </c>
      <c r="M80" s="1"/>
      <c r="N80" s="1"/>
      <c r="O80" s="1">
        <v>25.799999999999979</v>
      </c>
      <c r="P80" s="1"/>
      <c r="Q80" s="1"/>
      <c r="R80" s="1"/>
      <c r="S80" s="1">
        <f t="shared" si="7"/>
        <v>11.6</v>
      </c>
      <c r="T80" s="1">
        <f t="shared" si="8"/>
        <v>5.0689655172413781</v>
      </c>
      <c r="U80" s="1">
        <v>6.4</v>
      </c>
      <c r="V80" s="1">
        <v>8.6</v>
      </c>
      <c r="W80" s="1">
        <v>8.4</v>
      </c>
      <c r="X80" s="1">
        <v>6</v>
      </c>
      <c r="Y80" s="1">
        <v>5.6</v>
      </c>
      <c r="Z80" s="1">
        <v>8.1999999999999993</v>
      </c>
      <c r="AA80" s="1">
        <v>11</v>
      </c>
      <c r="AB80" s="1">
        <v>10.8</v>
      </c>
      <c r="AC80" s="1">
        <v>10.199999999999999</v>
      </c>
      <c r="AD80" s="1">
        <v>7.4</v>
      </c>
      <c r="AE80" s="1">
        <v>7.6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x14ac:dyDescent="0.25">
      <c r="A81" s="1" t="s">
        <v>120</v>
      </c>
      <c r="B81" s="1" t="s">
        <v>42</v>
      </c>
      <c r="C81" s="1">
        <v>329</v>
      </c>
      <c r="D81" s="1">
        <v>6</v>
      </c>
      <c r="E81" s="1">
        <v>43</v>
      </c>
      <c r="F81" s="1">
        <v>292</v>
      </c>
      <c r="G81" s="6">
        <v>0.4</v>
      </c>
      <c r="H81" s="1">
        <v>55</v>
      </c>
      <c r="I81" s="1" t="s">
        <v>37</v>
      </c>
      <c r="J81" s="1"/>
      <c r="K81" s="1">
        <v>39</v>
      </c>
      <c r="L81" s="1">
        <f t="shared" si="6"/>
        <v>4</v>
      </c>
      <c r="M81" s="1"/>
      <c r="N81" s="1"/>
      <c r="O81" s="1">
        <v>0</v>
      </c>
      <c r="P81" s="1"/>
      <c r="Q81" s="1"/>
      <c r="R81" s="1"/>
      <c r="S81" s="11">
        <f t="shared" si="7"/>
        <v>8.6</v>
      </c>
      <c r="T81" s="14">
        <f t="shared" si="8"/>
        <v>33.953488372093027</v>
      </c>
      <c r="U81" s="1">
        <v>4.4000000000000004</v>
      </c>
      <c r="V81" s="1">
        <v>12.2</v>
      </c>
      <c r="W81" s="1">
        <v>13.8</v>
      </c>
      <c r="X81" s="1">
        <v>9</v>
      </c>
      <c r="Y81" s="1">
        <v>12.6</v>
      </c>
      <c r="Z81" s="1">
        <v>8.6</v>
      </c>
      <c r="AA81" s="1">
        <v>7.4</v>
      </c>
      <c r="AB81" s="1">
        <v>43</v>
      </c>
      <c r="AC81" s="1">
        <v>39.4</v>
      </c>
      <c r="AD81" s="1">
        <v>4</v>
      </c>
      <c r="AE81" s="1">
        <v>4.2</v>
      </c>
      <c r="AF81" s="1" t="s">
        <v>88</v>
      </c>
      <c r="AG81" s="16" t="s">
        <v>178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idden="1" x14ac:dyDescent="0.25">
      <c r="A82" s="1" t="s">
        <v>121</v>
      </c>
      <c r="B82" s="1" t="s">
        <v>42</v>
      </c>
      <c r="C82" s="1">
        <v>5</v>
      </c>
      <c r="D82" s="1">
        <v>12</v>
      </c>
      <c r="E82" s="1">
        <v>5</v>
      </c>
      <c r="F82" s="1">
        <v>8</v>
      </c>
      <c r="G82" s="6">
        <v>0.35</v>
      </c>
      <c r="H82" s="1">
        <v>40</v>
      </c>
      <c r="I82" s="1" t="s">
        <v>49</v>
      </c>
      <c r="J82" s="1"/>
      <c r="K82" s="1">
        <v>23</v>
      </c>
      <c r="L82" s="1">
        <f t="shared" si="6"/>
        <v>-18</v>
      </c>
      <c r="M82" s="1"/>
      <c r="N82" s="1"/>
      <c r="O82" s="1">
        <v>0</v>
      </c>
      <c r="P82" s="1"/>
      <c r="Q82" s="1"/>
      <c r="R82" s="1"/>
      <c r="S82" s="1">
        <f t="shared" si="7"/>
        <v>1</v>
      </c>
      <c r="T82" s="1">
        <f t="shared" si="8"/>
        <v>8</v>
      </c>
      <c r="U82" s="1">
        <v>0</v>
      </c>
      <c r="V82" s="1">
        <v>0</v>
      </c>
      <c r="W82" s="1">
        <v>2.4</v>
      </c>
      <c r="X82" s="1">
        <v>6.2</v>
      </c>
      <c r="Y82" s="1">
        <v>7</v>
      </c>
      <c r="Z82" s="1">
        <v>8</v>
      </c>
      <c r="AA82" s="1">
        <v>6.4</v>
      </c>
      <c r="AB82" s="1">
        <v>3.4</v>
      </c>
      <c r="AC82" s="1">
        <v>2.2000000000000002</v>
      </c>
      <c r="AD82" s="1">
        <v>0.6</v>
      </c>
      <c r="AE82" s="1">
        <v>4.8</v>
      </c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idden="1" x14ac:dyDescent="0.25">
      <c r="A83" s="1" t="s">
        <v>122</v>
      </c>
      <c r="B83" s="1" t="s">
        <v>42</v>
      </c>
      <c r="C83" s="1">
        <v>2</v>
      </c>
      <c r="D83" s="1">
        <v>60</v>
      </c>
      <c r="E83" s="1">
        <v>3</v>
      </c>
      <c r="F83" s="1">
        <v>58</v>
      </c>
      <c r="G83" s="6">
        <v>0.35</v>
      </c>
      <c r="H83" s="1">
        <v>45</v>
      </c>
      <c r="I83" s="1" t="s">
        <v>49</v>
      </c>
      <c r="J83" s="1"/>
      <c r="K83" s="1">
        <v>17</v>
      </c>
      <c r="L83" s="1">
        <f t="shared" si="6"/>
        <v>-14</v>
      </c>
      <c r="M83" s="1"/>
      <c r="N83" s="1"/>
      <c r="O83" s="1">
        <v>0</v>
      </c>
      <c r="P83" s="1"/>
      <c r="Q83" s="1"/>
      <c r="R83" s="1"/>
      <c r="S83" s="11">
        <f t="shared" si="7"/>
        <v>0.6</v>
      </c>
      <c r="T83" s="14">
        <f t="shared" si="8"/>
        <v>96.666666666666671</v>
      </c>
      <c r="U83" s="1">
        <v>0</v>
      </c>
      <c r="V83" s="1">
        <v>0</v>
      </c>
      <c r="W83" s="1">
        <v>1.4</v>
      </c>
      <c r="X83" s="1">
        <v>5.4</v>
      </c>
      <c r="Y83" s="1">
        <v>8.1999999999999993</v>
      </c>
      <c r="Z83" s="1">
        <v>9</v>
      </c>
      <c r="AA83" s="1">
        <v>5</v>
      </c>
      <c r="AB83" s="1">
        <v>1.8</v>
      </c>
      <c r="AC83" s="1">
        <v>6.2</v>
      </c>
      <c r="AD83" s="1">
        <v>6.6</v>
      </c>
      <c r="AE83" s="1">
        <v>4</v>
      </c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idden="1" x14ac:dyDescent="0.25">
      <c r="A84" s="9" t="s">
        <v>123</v>
      </c>
      <c r="B84" s="9" t="s">
        <v>42</v>
      </c>
      <c r="C84" s="9"/>
      <c r="D84" s="9"/>
      <c r="E84" s="9"/>
      <c r="F84" s="9"/>
      <c r="G84" s="10">
        <v>0</v>
      </c>
      <c r="H84" s="9"/>
      <c r="I84" s="9" t="s">
        <v>37</v>
      </c>
      <c r="J84" s="9"/>
      <c r="K84" s="9"/>
      <c r="L84" s="9">
        <f t="shared" si="6"/>
        <v>0</v>
      </c>
      <c r="M84" s="9"/>
      <c r="N84" s="9"/>
      <c r="O84" s="9">
        <v>0</v>
      </c>
      <c r="P84" s="9"/>
      <c r="Q84" s="9"/>
      <c r="R84" s="9"/>
      <c r="S84" s="9">
        <f t="shared" si="7"/>
        <v>0</v>
      </c>
      <c r="T84" s="9" t="e">
        <f t="shared" si="8"/>
        <v>#DIV/0!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 t="s">
        <v>47</v>
      </c>
      <c r="AG84" s="9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idden="1" x14ac:dyDescent="0.25">
      <c r="A85" s="9" t="s">
        <v>124</v>
      </c>
      <c r="B85" s="9" t="s">
        <v>36</v>
      </c>
      <c r="C85" s="9"/>
      <c r="D85" s="9"/>
      <c r="E85" s="9"/>
      <c r="F85" s="9"/>
      <c r="G85" s="10">
        <v>0</v>
      </c>
      <c r="H85" s="9"/>
      <c r="I85" s="9" t="s">
        <v>37</v>
      </c>
      <c r="J85" s="9"/>
      <c r="K85" s="9"/>
      <c r="L85" s="9">
        <f t="shared" si="6"/>
        <v>0</v>
      </c>
      <c r="M85" s="9"/>
      <c r="N85" s="9"/>
      <c r="O85" s="9">
        <v>0</v>
      </c>
      <c r="P85" s="9"/>
      <c r="Q85" s="9"/>
      <c r="R85" s="9"/>
      <c r="S85" s="9">
        <f t="shared" si="7"/>
        <v>0</v>
      </c>
      <c r="T85" s="9" t="e">
        <f t="shared" si="8"/>
        <v>#DIV/0!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 t="s">
        <v>47</v>
      </c>
      <c r="AG85" s="9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idden="1" x14ac:dyDescent="0.25">
      <c r="A86" s="9" t="s">
        <v>125</v>
      </c>
      <c r="B86" s="9" t="s">
        <v>42</v>
      </c>
      <c r="C86" s="9">
        <v>-5</v>
      </c>
      <c r="D86" s="9"/>
      <c r="E86" s="9"/>
      <c r="F86" s="9">
        <v>-5</v>
      </c>
      <c r="G86" s="10">
        <v>0</v>
      </c>
      <c r="H86" s="9">
        <v>55</v>
      </c>
      <c r="I86" s="9" t="s">
        <v>62</v>
      </c>
      <c r="J86" s="9"/>
      <c r="K86" s="9"/>
      <c r="L86" s="9">
        <f t="shared" si="6"/>
        <v>0</v>
      </c>
      <c r="M86" s="9"/>
      <c r="N86" s="9"/>
      <c r="O86" s="9">
        <v>0</v>
      </c>
      <c r="P86" s="9"/>
      <c r="Q86" s="9"/>
      <c r="R86" s="9"/>
      <c r="S86" s="9">
        <f t="shared" si="7"/>
        <v>0</v>
      </c>
      <c r="T86" s="9" t="e">
        <f t="shared" si="8"/>
        <v>#DIV/0!</v>
      </c>
      <c r="U86" s="9">
        <v>0</v>
      </c>
      <c r="V86" s="9">
        <v>0</v>
      </c>
      <c r="W86" s="9">
        <v>2</v>
      </c>
      <c r="X86" s="9">
        <v>2</v>
      </c>
      <c r="Y86" s="9">
        <v>0</v>
      </c>
      <c r="Z86" s="9">
        <v>8.6</v>
      </c>
      <c r="AA86" s="9">
        <v>17.399999999999999</v>
      </c>
      <c r="AB86" s="9">
        <v>27.4</v>
      </c>
      <c r="AC86" s="9">
        <v>18.600000000000001</v>
      </c>
      <c r="AD86" s="9">
        <v>2.6</v>
      </c>
      <c r="AE86" s="9">
        <v>14.4</v>
      </c>
      <c r="AF86" s="9"/>
      <c r="AG86" s="9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idden="1" x14ac:dyDescent="0.25">
      <c r="A87" s="1" t="s">
        <v>126</v>
      </c>
      <c r="B87" s="1" t="s">
        <v>36</v>
      </c>
      <c r="C87" s="1">
        <v>34.417000000000002</v>
      </c>
      <c r="D87" s="1"/>
      <c r="E87" s="1">
        <v>8.6029999999999998</v>
      </c>
      <c r="F87" s="1">
        <v>25.814</v>
      </c>
      <c r="G87" s="6">
        <v>1</v>
      </c>
      <c r="H87" s="1">
        <v>55</v>
      </c>
      <c r="I87" s="1" t="s">
        <v>37</v>
      </c>
      <c r="J87" s="1"/>
      <c r="K87" s="1">
        <v>8</v>
      </c>
      <c r="L87" s="1">
        <f t="shared" si="6"/>
        <v>0.60299999999999976</v>
      </c>
      <c r="M87" s="1"/>
      <c r="N87" s="1"/>
      <c r="O87" s="1">
        <v>0</v>
      </c>
      <c r="P87" s="1"/>
      <c r="Q87" s="1"/>
      <c r="R87" s="1"/>
      <c r="S87" s="1">
        <f t="shared" si="7"/>
        <v>1.7205999999999999</v>
      </c>
      <c r="T87" s="1">
        <f t="shared" si="8"/>
        <v>15.002905963036151</v>
      </c>
      <c r="U87" s="1">
        <v>1.1472</v>
      </c>
      <c r="V87" s="1">
        <v>0.57320000000000004</v>
      </c>
      <c r="W87" s="1">
        <v>0.57420000000000004</v>
      </c>
      <c r="X87" s="1">
        <v>0.57440000000000002</v>
      </c>
      <c r="Y87" s="1">
        <v>1.1494</v>
      </c>
      <c r="Z87" s="1">
        <v>2.0078</v>
      </c>
      <c r="AA87" s="1">
        <v>2.8702000000000001</v>
      </c>
      <c r="AB87" s="1">
        <v>2.3037999999999998</v>
      </c>
      <c r="AC87" s="1">
        <v>0.86639999999999995</v>
      </c>
      <c r="AD87" s="1">
        <v>1.159</v>
      </c>
      <c r="AE87" s="1">
        <v>1.4476</v>
      </c>
      <c r="AF87" s="1" t="s">
        <v>88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idden="1" x14ac:dyDescent="0.25">
      <c r="A88" s="1" t="s">
        <v>127</v>
      </c>
      <c r="B88" s="1" t="s">
        <v>36</v>
      </c>
      <c r="C88" s="1">
        <v>364.548</v>
      </c>
      <c r="D88" s="1">
        <v>224.11</v>
      </c>
      <c r="E88" s="1">
        <v>150.803</v>
      </c>
      <c r="F88" s="1">
        <v>425.95</v>
      </c>
      <c r="G88" s="6">
        <v>1</v>
      </c>
      <c r="H88" s="1">
        <v>60</v>
      </c>
      <c r="I88" s="1" t="s">
        <v>37</v>
      </c>
      <c r="J88" s="1"/>
      <c r="K88" s="1">
        <v>161.30000000000001</v>
      </c>
      <c r="L88" s="1">
        <f t="shared" si="6"/>
        <v>-10.497000000000014</v>
      </c>
      <c r="M88" s="1"/>
      <c r="N88" s="1"/>
      <c r="O88" s="1">
        <v>4</v>
      </c>
      <c r="P88" s="1"/>
      <c r="Q88" s="1"/>
      <c r="R88" s="1"/>
      <c r="S88" s="1">
        <f t="shared" si="7"/>
        <v>30.160599999999999</v>
      </c>
      <c r="T88" s="1">
        <f t="shared" si="8"/>
        <v>14.255353010218629</v>
      </c>
      <c r="U88" s="1">
        <v>27.297799999999999</v>
      </c>
      <c r="V88" s="1">
        <v>35.398400000000002</v>
      </c>
      <c r="W88" s="1">
        <v>35.738399999999999</v>
      </c>
      <c r="X88" s="1">
        <v>39.966799999999999</v>
      </c>
      <c r="Y88" s="1">
        <v>42.334800000000001</v>
      </c>
      <c r="Z88" s="1">
        <v>54.258799999999987</v>
      </c>
      <c r="AA88" s="1">
        <v>64.385599999999997</v>
      </c>
      <c r="AB88" s="1">
        <v>65.792000000000002</v>
      </c>
      <c r="AC88" s="1">
        <v>54.653599999999997</v>
      </c>
      <c r="AD88" s="1">
        <v>52.551599999999993</v>
      </c>
      <c r="AE88" s="1">
        <v>69.242800000000003</v>
      </c>
      <c r="AF88" s="1" t="s">
        <v>88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idden="1" x14ac:dyDescent="0.25">
      <c r="A89" s="9" t="s">
        <v>128</v>
      </c>
      <c r="B89" s="9" t="s">
        <v>42</v>
      </c>
      <c r="C89" s="9"/>
      <c r="D89" s="9"/>
      <c r="E89" s="9"/>
      <c r="F89" s="9"/>
      <c r="G89" s="10">
        <v>0</v>
      </c>
      <c r="H89" s="9"/>
      <c r="I89" s="9" t="s">
        <v>37</v>
      </c>
      <c r="J89" s="9"/>
      <c r="K89" s="9"/>
      <c r="L89" s="9">
        <f t="shared" si="6"/>
        <v>0</v>
      </c>
      <c r="M89" s="9"/>
      <c r="N89" s="9"/>
      <c r="O89" s="9">
        <v>0</v>
      </c>
      <c r="P89" s="9"/>
      <c r="Q89" s="9"/>
      <c r="R89" s="9"/>
      <c r="S89" s="9">
        <f t="shared" si="7"/>
        <v>0</v>
      </c>
      <c r="T89" s="9" t="e">
        <f t="shared" si="8"/>
        <v>#DIV/0!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 t="s">
        <v>47</v>
      </c>
      <c r="AG89" s="9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idden="1" x14ac:dyDescent="0.25">
      <c r="A90" s="1" t="s">
        <v>129</v>
      </c>
      <c r="B90" s="1" t="s">
        <v>36</v>
      </c>
      <c r="C90" s="1">
        <v>3074.3629999999998</v>
      </c>
      <c r="D90" s="1">
        <v>800.803</v>
      </c>
      <c r="E90" s="1">
        <v>1182.424</v>
      </c>
      <c r="F90" s="1">
        <v>2357.1030000000001</v>
      </c>
      <c r="G90" s="6">
        <v>1</v>
      </c>
      <c r="H90" s="1">
        <v>60</v>
      </c>
      <c r="I90" s="1" t="s">
        <v>37</v>
      </c>
      <c r="J90" s="1"/>
      <c r="K90" s="1">
        <v>1262.5</v>
      </c>
      <c r="L90" s="1">
        <f t="shared" si="6"/>
        <v>-80.076000000000022</v>
      </c>
      <c r="M90" s="1"/>
      <c r="N90" s="1"/>
      <c r="O90" s="1">
        <v>811.44399599999997</v>
      </c>
      <c r="P90" s="1"/>
      <c r="Q90" s="1">
        <v>600</v>
      </c>
      <c r="R90" s="1">
        <v>300</v>
      </c>
      <c r="S90" s="1">
        <f t="shared" si="7"/>
        <v>236.48480000000001</v>
      </c>
      <c r="T90" s="1">
        <f t="shared" si="8"/>
        <v>17.204264274067508</v>
      </c>
      <c r="U90" s="1">
        <v>263.76119999999997</v>
      </c>
      <c r="V90" s="1">
        <v>305.51940000000002</v>
      </c>
      <c r="W90" s="1">
        <v>261.89159999999998</v>
      </c>
      <c r="X90" s="1">
        <v>278.6728</v>
      </c>
      <c r="Y90" s="1">
        <v>349.59500000000003</v>
      </c>
      <c r="Z90" s="1">
        <v>386.44279999999998</v>
      </c>
      <c r="AA90" s="1">
        <v>349.46839999999997</v>
      </c>
      <c r="AB90" s="1">
        <v>330.30160000000001</v>
      </c>
      <c r="AC90" s="1">
        <v>346.56220000000002</v>
      </c>
      <c r="AD90" s="1">
        <v>373.70159999999998</v>
      </c>
      <c r="AE90" s="1">
        <v>399.83</v>
      </c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idden="1" x14ac:dyDescent="0.25">
      <c r="A91" s="1" t="s">
        <v>130</v>
      </c>
      <c r="B91" s="1" t="s">
        <v>36</v>
      </c>
      <c r="C91" s="1">
        <v>3557.328</v>
      </c>
      <c r="D91" s="1">
        <v>417.05399999999997</v>
      </c>
      <c r="E91" s="1">
        <v>1087.684</v>
      </c>
      <c r="F91" s="1">
        <v>2671.6990000000001</v>
      </c>
      <c r="G91" s="6">
        <v>1</v>
      </c>
      <c r="H91" s="1">
        <v>60</v>
      </c>
      <c r="I91" s="1" t="s">
        <v>37</v>
      </c>
      <c r="J91" s="1"/>
      <c r="K91" s="1">
        <v>1192.5</v>
      </c>
      <c r="L91" s="1">
        <f t="shared" si="6"/>
        <v>-104.81600000000003</v>
      </c>
      <c r="M91" s="1"/>
      <c r="N91" s="1"/>
      <c r="O91" s="1">
        <v>0</v>
      </c>
      <c r="P91" s="1"/>
      <c r="Q91" s="1"/>
      <c r="R91" s="1"/>
      <c r="S91" s="1">
        <f t="shared" si="7"/>
        <v>217.5368</v>
      </c>
      <c r="T91" s="1">
        <f t="shared" si="8"/>
        <v>12.281595573714425</v>
      </c>
      <c r="U91" s="1">
        <v>230.60740000000001</v>
      </c>
      <c r="V91" s="1">
        <v>267.38240000000002</v>
      </c>
      <c r="W91" s="1">
        <v>257.27859999999998</v>
      </c>
      <c r="X91" s="1">
        <v>302.92239999999998</v>
      </c>
      <c r="Y91" s="1">
        <v>335.65300000000002</v>
      </c>
      <c r="Z91" s="1">
        <v>342.85480000000001</v>
      </c>
      <c r="AA91" s="1">
        <v>355.83800000000002</v>
      </c>
      <c r="AB91" s="1">
        <v>333.839</v>
      </c>
      <c r="AC91" s="1">
        <v>299.80560000000003</v>
      </c>
      <c r="AD91" s="1">
        <v>327.33319999999998</v>
      </c>
      <c r="AE91" s="1">
        <v>409.26220000000001</v>
      </c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idden="1" x14ac:dyDescent="0.25">
      <c r="A92" s="1" t="s">
        <v>131</v>
      </c>
      <c r="B92" s="1" t="s">
        <v>36</v>
      </c>
      <c r="C92" s="1">
        <v>4708.326</v>
      </c>
      <c r="D92" s="1">
        <v>2010.1079999999999</v>
      </c>
      <c r="E92" s="1">
        <v>1893.0740000000001</v>
      </c>
      <c r="F92" s="1">
        <v>4343.8180000000002</v>
      </c>
      <c r="G92" s="6">
        <v>1</v>
      </c>
      <c r="H92" s="1">
        <v>60</v>
      </c>
      <c r="I92" s="1" t="s">
        <v>37</v>
      </c>
      <c r="J92" s="1"/>
      <c r="K92" s="1">
        <v>2070</v>
      </c>
      <c r="L92" s="1">
        <f t="shared" si="6"/>
        <v>-176.92599999999993</v>
      </c>
      <c r="M92" s="1"/>
      <c r="N92" s="1"/>
      <c r="O92" s="1">
        <v>0</v>
      </c>
      <c r="P92" s="1"/>
      <c r="Q92" s="1">
        <v>400</v>
      </c>
      <c r="R92" s="1">
        <v>400</v>
      </c>
      <c r="S92" s="1">
        <f t="shared" si="7"/>
        <v>378.6148</v>
      </c>
      <c r="T92" s="1">
        <f t="shared" si="8"/>
        <v>13.585887292308701</v>
      </c>
      <c r="U92" s="1">
        <v>377.59100000000001</v>
      </c>
      <c r="V92" s="1">
        <v>432.98239999999998</v>
      </c>
      <c r="W92" s="1">
        <v>418.18819999999988</v>
      </c>
      <c r="X92" s="1">
        <v>465.66320000000002</v>
      </c>
      <c r="Y92" s="1">
        <v>537.89380000000006</v>
      </c>
      <c r="Z92" s="1">
        <v>509.97379999999998</v>
      </c>
      <c r="AA92" s="1">
        <v>493.71719999999988</v>
      </c>
      <c r="AB92" s="1">
        <v>528.36019999999996</v>
      </c>
      <c r="AC92" s="1">
        <v>520.89139999999998</v>
      </c>
      <c r="AD92" s="1">
        <v>526.52819999999997</v>
      </c>
      <c r="AE92" s="1">
        <v>579.12779999999998</v>
      </c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idden="1" x14ac:dyDescent="0.25">
      <c r="A93" s="9" t="s">
        <v>132</v>
      </c>
      <c r="B93" s="9" t="s">
        <v>36</v>
      </c>
      <c r="C93" s="9"/>
      <c r="D93" s="9"/>
      <c r="E93" s="9"/>
      <c r="F93" s="9"/>
      <c r="G93" s="10">
        <v>0</v>
      </c>
      <c r="H93" s="9"/>
      <c r="I93" s="9" t="s">
        <v>37</v>
      </c>
      <c r="J93" s="9"/>
      <c r="K93" s="9"/>
      <c r="L93" s="9">
        <f t="shared" si="6"/>
        <v>0</v>
      </c>
      <c r="M93" s="9"/>
      <c r="N93" s="9"/>
      <c r="O93" s="9">
        <v>0</v>
      </c>
      <c r="P93" s="9"/>
      <c r="Q93" s="9"/>
      <c r="R93" s="9"/>
      <c r="S93" s="9">
        <f t="shared" si="7"/>
        <v>0</v>
      </c>
      <c r="T93" s="9" t="e">
        <f t="shared" si="8"/>
        <v>#DIV/0!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 t="s">
        <v>47</v>
      </c>
      <c r="AG93" s="9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idden="1" x14ac:dyDescent="0.25">
      <c r="A94" s="1" t="s">
        <v>133</v>
      </c>
      <c r="B94" s="1" t="s">
        <v>42</v>
      </c>
      <c r="C94" s="1">
        <v>59</v>
      </c>
      <c r="D94" s="1">
        <v>6</v>
      </c>
      <c r="E94" s="1">
        <v>69</v>
      </c>
      <c r="F94" s="1">
        <v>-7</v>
      </c>
      <c r="G94" s="6">
        <v>0.3</v>
      </c>
      <c r="H94" s="1">
        <v>40</v>
      </c>
      <c r="I94" s="1" t="s">
        <v>49</v>
      </c>
      <c r="J94" s="1"/>
      <c r="K94" s="1">
        <v>70</v>
      </c>
      <c r="L94" s="1">
        <f t="shared" si="6"/>
        <v>-1</v>
      </c>
      <c r="M94" s="1"/>
      <c r="N94" s="1"/>
      <c r="O94" s="1">
        <v>292.86599999999999</v>
      </c>
      <c r="P94" s="1">
        <v>-294</v>
      </c>
      <c r="Q94" s="1"/>
      <c r="R94" s="1"/>
      <c r="S94" s="1">
        <f t="shared" si="7"/>
        <v>13.8</v>
      </c>
      <c r="T94" s="1">
        <f t="shared" si="8"/>
        <v>-0.58942028985507344</v>
      </c>
      <c r="U94" s="1">
        <v>28.6</v>
      </c>
      <c r="V94" s="1">
        <v>48.6</v>
      </c>
      <c r="W94" s="1">
        <v>42.6</v>
      </c>
      <c r="X94" s="1">
        <v>15.2</v>
      </c>
      <c r="Y94" s="1">
        <v>0.6</v>
      </c>
      <c r="Z94" s="1">
        <v>35</v>
      </c>
      <c r="AA94" s="1">
        <v>57.4</v>
      </c>
      <c r="AB94" s="1">
        <v>28.8</v>
      </c>
      <c r="AC94" s="1">
        <v>12.6</v>
      </c>
      <c r="AD94" s="1">
        <v>25</v>
      </c>
      <c r="AE94" s="1">
        <v>32.4</v>
      </c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idden="1" x14ac:dyDescent="0.25">
      <c r="A95" s="9" t="s">
        <v>134</v>
      </c>
      <c r="B95" s="9" t="s">
        <v>42</v>
      </c>
      <c r="C95" s="9"/>
      <c r="D95" s="9"/>
      <c r="E95" s="9"/>
      <c r="F95" s="9"/>
      <c r="G95" s="10">
        <v>0</v>
      </c>
      <c r="H95" s="9"/>
      <c r="I95" s="9" t="s">
        <v>37</v>
      </c>
      <c r="J95" s="9"/>
      <c r="K95" s="9"/>
      <c r="L95" s="9">
        <f t="shared" si="6"/>
        <v>0</v>
      </c>
      <c r="M95" s="9"/>
      <c r="N95" s="9"/>
      <c r="O95" s="9">
        <v>0</v>
      </c>
      <c r="P95" s="9"/>
      <c r="Q95" s="9"/>
      <c r="R95" s="9"/>
      <c r="S95" s="9">
        <f t="shared" si="7"/>
        <v>0</v>
      </c>
      <c r="T95" s="9" t="e">
        <f t="shared" si="8"/>
        <v>#DIV/0!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 t="s">
        <v>47</v>
      </c>
      <c r="AG95" s="9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idden="1" x14ac:dyDescent="0.25">
      <c r="A96" s="1" t="s">
        <v>135</v>
      </c>
      <c r="B96" s="1" t="s">
        <v>42</v>
      </c>
      <c r="C96" s="1">
        <v>97</v>
      </c>
      <c r="D96" s="1">
        <v>115</v>
      </c>
      <c r="E96" s="1">
        <v>66</v>
      </c>
      <c r="F96" s="1">
        <v>134</v>
      </c>
      <c r="G96" s="6">
        <v>7.0000000000000007E-2</v>
      </c>
      <c r="H96" s="1">
        <v>90</v>
      </c>
      <c r="I96" s="1" t="s">
        <v>37</v>
      </c>
      <c r="J96" s="1"/>
      <c r="K96" s="1">
        <v>75</v>
      </c>
      <c r="L96" s="1">
        <f t="shared" si="6"/>
        <v>-9</v>
      </c>
      <c r="M96" s="1"/>
      <c r="N96" s="1"/>
      <c r="O96" s="1">
        <v>0</v>
      </c>
      <c r="P96" s="1"/>
      <c r="Q96" s="1"/>
      <c r="R96" s="1"/>
      <c r="S96" s="1">
        <f t="shared" si="7"/>
        <v>13.2</v>
      </c>
      <c r="T96" s="1">
        <f t="shared" si="8"/>
        <v>10.151515151515152</v>
      </c>
      <c r="U96" s="1">
        <v>12.6</v>
      </c>
      <c r="V96" s="1">
        <v>7</v>
      </c>
      <c r="W96" s="1">
        <v>4.4000000000000004</v>
      </c>
      <c r="X96" s="1">
        <v>14.2</v>
      </c>
      <c r="Y96" s="1">
        <v>17</v>
      </c>
      <c r="Z96" s="1">
        <v>9.4</v>
      </c>
      <c r="AA96" s="1">
        <v>9.4</v>
      </c>
      <c r="AB96" s="1">
        <v>12</v>
      </c>
      <c r="AC96" s="1">
        <v>13</v>
      </c>
      <c r="AD96" s="1">
        <v>14.6</v>
      </c>
      <c r="AE96" s="1">
        <v>15</v>
      </c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idden="1" x14ac:dyDescent="0.25">
      <c r="A97" s="4" t="s">
        <v>136</v>
      </c>
      <c r="B97" s="1" t="s">
        <v>42</v>
      </c>
      <c r="C97" s="1"/>
      <c r="D97" s="1"/>
      <c r="E97" s="1"/>
      <c r="F97" s="1"/>
      <c r="G97" s="6">
        <v>7.0000000000000007E-2</v>
      </c>
      <c r="H97" s="1">
        <v>90</v>
      </c>
      <c r="I97" s="1" t="s">
        <v>49</v>
      </c>
      <c r="J97" s="1"/>
      <c r="K97" s="1">
        <v>3</v>
      </c>
      <c r="L97" s="1">
        <f t="shared" si="6"/>
        <v>-3</v>
      </c>
      <c r="M97" s="1"/>
      <c r="N97" s="1"/>
      <c r="O97" s="1">
        <v>50</v>
      </c>
      <c r="P97" s="1">
        <v>-72</v>
      </c>
      <c r="Q97" s="1"/>
      <c r="R97" s="1"/>
      <c r="S97" s="1">
        <f t="shared" si="7"/>
        <v>0</v>
      </c>
      <c r="T97" s="1" t="e">
        <f t="shared" si="8"/>
        <v>#DIV/0!</v>
      </c>
      <c r="U97" s="1">
        <v>0</v>
      </c>
      <c r="V97" s="1">
        <v>0</v>
      </c>
      <c r="W97" s="1">
        <v>0</v>
      </c>
      <c r="X97" s="1">
        <v>7.2</v>
      </c>
      <c r="Y97" s="1">
        <v>11.2</v>
      </c>
      <c r="Z97" s="1">
        <v>7.2</v>
      </c>
      <c r="AA97" s="1">
        <v>3.2</v>
      </c>
      <c r="AB97" s="1">
        <v>0</v>
      </c>
      <c r="AC97" s="1">
        <v>0</v>
      </c>
      <c r="AD97" s="1">
        <v>4</v>
      </c>
      <c r="AE97" s="1">
        <v>10.4</v>
      </c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idden="1" x14ac:dyDescent="0.25">
      <c r="A98" s="1" t="s">
        <v>137</v>
      </c>
      <c r="B98" s="1" t="s">
        <v>42</v>
      </c>
      <c r="C98" s="1">
        <v>99</v>
      </c>
      <c r="D98" s="1">
        <v>61</v>
      </c>
      <c r="E98" s="1">
        <v>60</v>
      </c>
      <c r="F98" s="1">
        <v>89</v>
      </c>
      <c r="G98" s="6">
        <v>7.0000000000000007E-2</v>
      </c>
      <c r="H98" s="1">
        <v>90</v>
      </c>
      <c r="I98" s="1" t="s">
        <v>37</v>
      </c>
      <c r="J98" s="1"/>
      <c r="K98" s="1">
        <v>69</v>
      </c>
      <c r="L98" s="1">
        <f t="shared" si="6"/>
        <v>-9</v>
      </c>
      <c r="M98" s="1"/>
      <c r="N98" s="1"/>
      <c r="O98" s="1">
        <v>0</v>
      </c>
      <c r="P98" s="1"/>
      <c r="Q98" s="1"/>
      <c r="R98" s="1"/>
      <c r="S98" s="1">
        <f t="shared" si="7"/>
        <v>12</v>
      </c>
      <c r="T98" s="1">
        <f t="shared" si="8"/>
        <v>7.416666666666667</v>
      </c>
      <c r="U98" s="1">
        <v>12.2</v>
      </c>
      <c r="V98" s="1">
        <v>9.1999999999999993</v>
      </c>
      <c r="W98" s="1">
        <v>5</v>
      </c>
      <c r="X98" s="1">
        <v>11</v>
      </c>
      <c r="Y98" s="1">
        <v>12.6</v>
      </c>
      <c r="Z98" s="1">
        <v>7</v>
      </c>
      <c r="AA98" s="1">
        <v>9.4</v>
      </c>
      <c r="AB98" s="1">
        <v>15.4</v>
      </c>
      <c r="AC98" s="1">
        <v>14.2</v>
      </c>
      <c r="AD98" s="1">
        <v>10.6</v>
      </c>
      <c r="AE98" s="1">
        <v>8.4</v>
      </c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idden="1" x14ac:dyDescent="0.25">
      <c r="A99" s="9" t="s">
        <v>138</v>
      </c>
      <c r="B99" s="9" t="s">
        <v>42</v>
      </c>
      <c r="C99" s="9">
        <v>7</v>
      </c>
      <c r="D99" s="9"/>
      <c r="E99" s="9">
        <v>-3</v>
      </c>
      <c r="F99" s="9">
        <v>7</v>
      </c>
      <c r="G99" s="10">
        <v>0</v>
      </c>
      <c r="H99" s="9">
        <v>90</v>
      </c>
      <c r="I99" s="9" t="s">
        <v>62</v>
      </c>
      <c r="J99" s="9"/>
      <c r="K99" s="9">
        <v>33</v>
      </c>
      <c r="L99" s="9">
        <f t="shared" si="6"/>
        <v>-36</v>
      </c>
      <c r="M99" s="9"/>
      <c r="N99" s="9"/>
      <c r="O99" s="9">
        <v>0</v>
      </c>
      <c r="P99" s="9"/>
      <c r="Q99" s="9"/>
      <c r="R99" s="9"/>
      <c r="S99" s="9">
        <f t="shared" si="7"/>
        <v>-0.6</v>
      </c>
      <c r="T99" s="9">
        <f t="shared" si="8"/>
        <v>-11.666666666666668</v>
      </c>
      <c r="U99" s="9">
        <v>-0.6</v>
      </c>
      <c r="V99" s="9">
        <v>-0.4</v>
      </c>
      <c r="W99" s="9">
        <v>0</v>
      </c>
      <c r="X99" s="9">
        <v>8.8000000000000007</v>
      </c>
      <c r="Y99" s="9">
        <v>14</v>
      </c>
      <c r="Z99" s="9">
        <v>12.6</v>
      </c>
      <c r="AA99" s="9">
        <v>14</v>
      </c>
      <c r="AB99" s="9">
        <v>15</v>
      </c>
      <c r="AC99" s="9">
        <v>12.6</v>
      </c>
      <c r="AD99" s="9">
        <v>7.6</v>
      </c>
      <c r="AE99" s="9">
        <v>9.1999999999999993</v>
      </c>
      <c r="AF99" s="9"/>
      <c r="AG99" s="9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idden="1" x14ac:dyDescent="0.25">
      <c r="A100" s="9" t="s">
        <v>139</v>
      </c>
      <c r="B100" s="9" t="s">
        <v>42</v>
      </c>
      <c r="C100" s="9">
        <v>1</v>
      </c>
      <c r="D100" s="9"/>
      <c r="E100" s="9">
        <v>-1</v>
      </c>
      <c r="F100" s="9">
        <v>1</v>
      </c>
      <c r="G100" s="10">
        <v>0</v>
      </c>
      <c r="H100" s="9"/>
      <c r="I100" s="9" t="s">
        <v>62</v>
      </c>
      <c r="J100" s="9"/>
      <c r="K100" s="9">
        <v>12</v>
      </c>
      <c r="L100" s="9">
        <f t="shared" si="6"/>
        <v>-13</v>
      </c>
      <c r="M100" s="9"/>
      <c r="N100" s="9"/>
      <c r="O100" s="9">
        <v>0</v>
      </c>
      <c r="P100" s="9"/>
      <c r="Q100" s="9"/>
      <c r="R100" s="9"/>
      <c r="S100" s="9">
        <f t="shared" si="7"/>
        <v>-0.2</v>
      </c>
      <c r="T100" s="9">
        <f t="shared" si="8"/>
        <v>-5</v>
      </c>
      <c r="U100" s="9">
        <v>-0.2</v>
      </c>
      <c r="V100" s="9">
        <v>-0.2</v>
      </c>
      <c r="W100" s="9">
        <v>-0.2</v>
      </c>
      <c r="X100" s="9">
        <v>-1.8</v>
      </c>
      <c r="Y100" s="9">
        <v>-1.8</v>
      </c>
      <c r="Z100" s="9">
        <v>0</v>
      </c>
      <c r="AA100" s="9">
        <v>0</v>
      </c>
      <c r="AB100" s="9">
        <v>-0.2</v>
      </c>
      <c r="AC100" s="9">
        <v>-0.8</v>
      </c>
      <c r="AD100" s="9">
        <v>2.8</v>
      </c>
      <c r="AE100" s="9">
        <v>11</v>
      </c>
      <c r="AF100" s="9" t="s">
        <v>140</v>
      </c>
      <c r="AG100" s="9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idden="1" x14ac:dyDescent="0.25">
      <c r="A101" s="9" t="s">
        <v>141</v>
      </c>
      <c r="B101" s="9" t="s">
        <v>42</v>
      </c>
      <c r="C101" s="9"/>
      <c r="D101" s="9"/>
      <c r="E101" s="9"/>
      <c r="F101" s="9"/>
      <c r="G101" s="10">
        <v>0</v>
      </c>
      <c r="H101" s="9"/>
      <c r="I101" s="9" t="s">
        <v>37</v>
      </c>
      <c r="J101" s="9"/>
      <c r="K101" s="9"/>
      <c r="L101" s="9">
        <f t="shared" si="6"/>
        <v>0</v>
      </c>
      <c r="M101" s="9"/>
      <c r="N101" s="9"/>
      <c r="O101" s="9">
        <v>0</v>
      </c>
      <c r="P101" s="9"/>
      <c r="Q101" s="9"/>
      <c r="R101" s="9"/>
      <c r="S101" s="9">
        <f t="shared" si="7"/>
        <v>0</v>
      </c>
      <c r="T101" s="9" t="e">
        <f t="shared" si="8"/>
        <v>#DIV/0!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 t="s">
        <v>47</v>
      </c>
      <c r="AG101" s="9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idden="1" x14ac:dyDescent="0.25">
      <c r="A102" s="9" t="s">
        <v>142</v>
      </c>
      <c r="B102" s="9" t="s">
        <v>36</v>
      </c>
      <c r="C102" s="9">
        <v>-3.173</v>
      </c>
      <c r="D102" s="9"/>
      <c r="E102" s="9">
        <v>-1.6</v>
      </c>
      <c r="F102" s="9">
        <v>-3.173</v>
      </c>
      <c r="G102" s="10">
        <v>0</v>
      </c>
      <c r="H102" s="9"/>
      <c r="I102" s="9" t="s">
        <v>37</v>
      </c>
      <c r="J102" s="9"/>
      <c r="K102" s="9">
        <v>1</v>
      </c>
      <c r="L102" s="9">
        <f t="shared" ref="L102:L133" si="9">E102-K102</f>
        <v>-2.6</v>
      </c>
      <c r="M102" s="9"/>
      <c r="N102" s="9"/>
      <c r="O102" s="9">
        <v>0</v>
      </c>
      <c r="P102" s="9"/>
      <c r="Q102" s="9"/>
      <c r="R102" s="9"/>
      <c r="S102" s="9">
        <f t="shared" si="7"/>
        <v>-0.32</v>
      </c>
      <c r="T102" s="9">
        <f t="shared" si="8"/>
        <v>9.9156250000000004</v>
      </c>
      <c r="U102" s="9">
        <v>-0.32</v>
      </c>
      <c r="V102" s="9">
        <v>-0.32</v>
      </c>
      <c r="W102" s="9">
        <v>-0.31919999999999998</v>
      </c>
      <c r="X102" s="9">
        <v>-0.31919999999999998</v>
      </c>
      <c r="Y102" s="9">
        <v>-5.4399999999999997E-2</v>
      </c>
      <c r="Z102" s="9">
        <v>0.63460000000000005</v>
      </c>
      <c r="AA102" s="9">
        <v>4.1537999999999986</v>
      </c>
      <c r="AB102" s="9">
        <v>6.4096000000000002</v>
      </c>
      <c r="AC102" s="9">
        <v>3.5326</v>
      </c>
      <c r="AD102" s="9">
        <v>2.8809999999999998</v>
      </c>
      <c r="AE102" s="9">
        <v>7.3634000000000004</v>
      </c>
      <c r="AF102" s="9" t="s">
        <v>47</v>
      </c>
      <c r="AG102" s="9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idden="1" x14ac:dyDescent="0.25">
      <c r="A103" s="9" t="s">
        <v>143</v>
      </c>
      <c r="B103" s="9" t="s">
        <v>42</v>
      </c>
      <c r="C103" s="9"/>
      <c r="D103" s="9"/>
      <c r="E103" s="9"/>
      <c r="F103" s="9"/>
      <c r="G103" s="10">
        <v>0</v>
      </c>
      <c r="H103" s="9"/>
      <c r="I103" s="9" t="s">
        <v>37</v>
      </c>
      <c r="J103" s="9"/>
      <c r="K103" s="9"/>
      <c r="L103" s="9">
        <f t="shared" si="9"/>
        <v>0</v>
      </c>
      <c r="M103" s="9"/>
      <c r="N103" s="9"/>
      <c r="O103" s="9">
        <v>0</v>
      </c>
      <c r="P103" s="9"/>
      <c r="Q103" s="9"/>
      <c r="R103" s="9"/>
      <c r="S103" s="9">
        <f t="shared" si="7"/>
        <v>0</v>
      </c>
      <c r="T103" s="9" t="e">
        <f t="shared" si="8"/>
        <v>#DIV/0!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 t="s">
        <v>47</v>
      </c>
      <c r="AG103" s="9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idden="1" x14ac:dyDescent="0.25">
      <c r="A104" s="9" t="s">
        <v>144</v>
      </c>
      <c r="B104" s="9" t="s">
        <v>42</v>
      </c>
      <c r="C104" s="9"/>
      <c r="D104" s="9"/>
      <c r="E104" s="9"/>
      <c r="F104" s="9"/>
      <c r="G104" s="10">
        <v>0</v>
      </c>
      <c r="H104" s="9"/>
      <c r="I104" s="9" t="s">
        <v>37</v>
      </c>
      <c r="J104" s="9"/>
      <c r="K104" s="9"/>
      <c r="L104" s="9">
        <f t="shared" si="9"/>
        <v>0</v>
      </c>
      <c r="M104" s="9"/>
      <c r="N104" s="9"/>
      <c r="O104" s="9">
        <v>0</v>
      </c>
      <c r="P104" s="9"/>
      <c r="Q104" s="9"/>
      <c r="R104" s="9"/>
      <c r="S104" s="9">
        <f t="shared" si="7"/>
        <v>0</v>
      </c>
      <c r="T104" s="9" t="e">
        <f t="shared" si="8"/>
        <v>#DIV/0!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 t="s">
        <v>47</v>
      </c>
      <c r="AG104" s="9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idden="1" x14ac:dyDescent="0.25">
      <c r="A105" s="1" t="s">
        <v>145</v>
      </c>
      <c r="B105" s="1" t="s">
        <v>42</v>
      </c>
      <c r="C105" s="1">
        <v>70</v>
      </c>
      <c r="D105" s="1">
        <v>127</v>
      </c>
      <c r="E105" s="1">
        <v>85</v>
      </c>
      <c r="F105" s="1">
        <v>95</v>
      </c>
      <c r="G105" s="6">
        <v>0.08</v>
      </c>
      <c r="H105" s="1">
        <v>45</v>
      </c>
      <c r="I105" s="1" t="s">
        <v>37</v>
      </c>
      <c r="J105" s="1"/>
      <c r="K105" s="1">
        <v>87</v>
      </c>
      <c r="L105" s="1">
        <f t="shared" si="9"/>
        <v>-2</v>
      </c>
      <c r="M105" s="1"/>
      <c r="N105" s="1"/>
      <c r="O105" s="1">
        <v>0</v>
      </c>
      <c r="P105" s="1"/>
      <c r="Q105" s="1"/>
      <c r="R105" s="1"/>
      <c r="S105" s="1">
        <f t="shared" si="7"/>
        <v>17</v>
      </c>
      <c r="T105" s="1">
        <f t="shared" si="8"/>
        <v>5.5882352941176467</v>
      </c>
      <c r="U105" s="1">
        <v>14.6</v>
      </c>
      <c r="V105" s="1">
        <v>11.6</v>
      </c>
      <c r="W105" s="1">
        <v>5.4</v>
      </c>
      <c r="X105" s="1">
        <v>13.6</v>
      </c>
      <c r="Y105" s="1">
        <v>20</v>
      </c>
      <c r="Z105" s="1">
        <v>12.6</v>
      </c>
      <c r="AA105" s="1">
        <v>5</v>
      </c>
      <c r="AB105" s="1">
        <v>10</v>
      </c>
      <c r="AC105" s="1">
        <v>18.399999999999999</v>
      </c>
      <c r="AD105" s="1">
        <v>18.8</v>
      </c>
      <c r="AE105" s="1">
        <v>17.2</v>
      </c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idden="1" x14ac:dyDescent="0.25">
      <c r="A106" s="1" t="s">
        <v>146</v>
      </c>
      <c r="B106" s="1" t="s">
        <v>42</v>
      </c>
      <c r="C106" s="1">
        <v>64</v>
      </c>
      <c r="D106" s="1">
        <v>199</v>
      </c>
      <c r="E106" s="1">
        <v>73</v>
      </c>
      <c r="F106" s="1">
        <v>173</v>
      </c>
      <c r="G106" s="6">
        <v>0.08</v>
      </c>
      <c r="H106" s="1">
        <v>45</v>
      </c>
      <c r="I106" s="1" t="s">
        <v>37</v>
      </c>
      <c r="J106" s="1"/>
      <c r="K106" s="1">
        <v>85</v>
      </c>
      <c r="L106" s="1">
        <f t="shared" si="9"/>
        <v>-12</v>
      </c>
      <c r="M106" s="1"/>
      <c r="N106" s="1"/>
      <c r="O106" s="1">
        <v>0</v>
      </c>
      <c r="P106" s="1"/>
      <c r="Q106" s="1"/>
      <c r="R106" s="1"/>
      <c r="S106" s="1">
        <f t="shared" si="7"/>
        <v>14.6</v>
      </c>
      <c r="T106" s="1">
        <f t="shared" si="8"/>
        <v>11.849315068493151</v>
      </c>
      <c r="U106" s="1">
        <v>15.6</v>
      </c>
      <c r="V106" s="1">
        <v>9.8000000000000007</v>
      </c>
      <c r="W106" s="1">
        <v>4.2</v>
      </c>
      <c r="X106" s="1">
        <v>18</v>
      </c>
      <c r="Y106" s="1">
        <v>20</v>
      </c>
      <c r="Z106" s="1">
        <v>9.4</v>
      </c>
      <c r="AA106" s="1">
        <v>5.4</v>
      </c>
      <c r="AB106" s="1">
        <v>9.4</v>
      </c>
      <c r="AC106" s="1">
        <v>16.8</v>
      </c>
      <c r="AD106" s="1">
        <v>22.2</v>
      </c>
      <c r="AE106" s="1">
        <v>22</v>
      </c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idden="1" x14ac:dyDescent="0.25">
      <c r="A107" s="9" t="s">
        <v>147</v>
      </c>
      <c r="B107" s="9" t="s">
        <v>42</v>
      </c>
      <c r="C107" s="9"/>
      <c r="D107" s="9"/>
      <c r="E107" s="9"/>
      <c r="F107" s="9"/>
      <c r="G107" s="10">
        <v>0</v>
      </c>
      <c r="H107" s="9"/>
      <c r="I107" s="9" t="s">
        <v>37</v>
      </c>
      <c r="J107" s="9"/>
      <c r="K107" s="9"/>
      <c r="L107" s="9">
        <f t="shared" si="9"/>
        <v>0</v>
      </c>
      <c r="M107" s="9"/>
      <c r="N107" s="9"/>
      <c r="O107" s="9">
        <v>0</v>
      </c>
      <c r="P107" s="9"/>
      <c r="Q107" s="9"/>
      <c r="R107" s="9"/>
      <c r="S107" s="9">
        <f t="shared" si="7"/>
        <v>0</v>
      </c>
      <c r="T107" s="9" t="e">
        <f t="shared" si="8"/>
        <v>#DIV/0!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 t="s">
        <v>47</v>
      </c>
      <c r="AG107" s="9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idden="1" x14ac:dyDescent="0.25">
      <c r="A108" s="1" t="s">
        <v>148</v>
      </c>
      <c r="B108" s="1" t="s">
        <v>36</v>
      </c>
      <c r="C108" s="1">
        <v>177.059</v>
      </c>
      <c r="D108" s="1">
        <v>242.596</v>
      </c>
      <c r="E108" s="1">
        <v>263.75599999999997</v>
      </c>
      <c r="F108" s="1">
        <v>108.4</v>
      </c>
      <c r="G108" s="6">
        <v>1</v>
      </c>
      <c r="H108" s="1">
        <v>40</v>
      </c>
      <c r="I108" s="1" t="s">
        <v>49</v>
      </c>
      <c r="J108" s="1"/>
      <c r="K108" s="1">
        <v>261.75</v>
      </c>
      <c r="L108" s="1">
        <f t="shared" si="9"/>
        <v>2.0059999999999718</v>
      </c>
      <c r="M108" s="1"/>
      <c r="N108" s="1"/>
      <c r="O108" s="1">
        <v>205.1577119999998</v>
      </c>
      <c r="P108" s="1">
        <v>-206.5</v>
      </c>
      <c r="Q108" s="1"/>
      <c r="R108" s="1"/>
      <c r="S108" s="1">
        <f t="shared" si="7"/>
        <v>52.751199999999997</v>
      </c>
      <c r="T108" s="1">
        <f t="shared" si="8"/>
        <v>2.0294839169535446</v>
      </c>
      <c r="U108" s="1">
        <v>48.293199999999999</v>
      </c>
      <c r="V108" s="1">
        <v>40.6768</v>
      </c>
      <c r="W108" s="1">
        <v>32.158000000000001</v>
      </c>
      <c r="X108" s="1">
        <v>35.068199999999997</v>
      </c>
      <c r="Y108" s="1">
        <v>38.737400000000001</v>
      </c>
      <c r="Z108" s="1">
        <v>37.202199999999998</v>
      </c>
      <c r="AA108" s="1">
        <v>32.511200000000002</v>
      </c>
      <c r="AB108" s="1">
        <v>39.205399999999997</v>
      </c>
      <c r="AC108" s="1">
        <v>47.357999999999997</v>
      </c>
      <c r="AD108" s="1">
        <v>40.43</v>
      </c>
      <c r="AE108" s="1">
        <v>48.8384</v>
      </c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idden="1" x14ac:dyDescent="0.25">
      <c r="A109" s="1" t="s">
        <v>149</v>
      </c>
      <c r="B109" s="1" t="s">
        <v>36</v>
      </c>
      <c r="C109" s="1">
        <v>231.90299999999999</v>
      </c>
      <c r="D109" s="1">
        <v>195.14400000000001</v>
      </c>
      <c r="E109" s="1">
        <v>273.75599999999997</v>
      </c>
      <c r="F109" s="1">
        <v>102.968</v>
      </c>
      <c r="G109" s="6">
        <v>1</v>
      </c>
      <c r="H109" s="1">
        <v>40</v>
      </c>
      <c r="I109" s="1" t="s">
        <v>49</v>
      </c>
      <c r="J109" s="1"/>
      <c r="K109" s="1">
        <v>266.87</v>
      </c>
      <c r="L109" s="1">
        <f t="shared" si="9"/>
        <v>6.8859999999999673</v>
      </c>
      <c r="M109" s="1"/>
      <c r="N109" s="1"/>
      <c r="O109" s="1">
        <v>159.75491600000001</v>
      </c>
      <c r="P109" s="1">
        <v>-161</v>
      </c>
      <c r="Q109" s="1"/>
      <c r="R109" s="1"/>
      <c r="S109" s="1">
        <f t="shared" si="7"/>
        <v>54.751199999999997</v>
      </c>
      <c r="T109" s="1">
        <f t="shared" si="8"/>
        <v>1.8579120822922603</v>
      </c>
      <c r="U109" s="1">
        <v>46.6586</v>
      </c>
      <c r="V109" s="1">
        <v>38.007399999999997</v>
      </c>
      <c r="W109" s="1">
        <v>31.772600000000001</v>
      </c>
      <c r="X109" s="1">
        <v>34.806199999999997</v>
      </c>
      <c r="Y109" s="1">
        <v>35.509799999999998</v>
      </c>
      <c r="Z109" s="1">
        <v>40.703800000000001</v>
      </c>
      <c r="AA109" s="1">
        <v>41.782600000000002</v>
      </c>
      <c r="AB109" s="1">
        <v>43.181199999999997</v>
      </c>
      <c r="AC109" s="1">
        <v>44.637</v>
      </c>
      <c r="AD109" s="1">
        <v>44.8142</v>
      </c>
      <c r="AE109" s="1">
        <v>56.320599999999999</v>
      </c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idden="1" x14ac:dyDescent="0.25">
      <c r="A110" s="1" t="s">
        <v>150</v>
      </c>
      <c r="B110" s="1" t="s">
        <v>36</v>
      </c>
      <c r="C110" s="1">
        <v>217.36099999999999</v>
      </c>
      <c r="D110" s="1">
        <v>34.148000000000003</v>
      </c>
      <c r="E110" s="1">
        <v>215.72900000000001</v>
      </c>
      <c r="F110" s="1">
        <v>8.0519999999999996</v>
      </c>
      <c r="G110" s="6">
        <v>1</v>
      </c>
      <c r="H110" s="1">
        <v>40</v>
      </c>
      <c r="I110" s="1" t="s">
        <v>49</v>
      </c>
      <c r="J110" s="1"/>
      <c r="K110" s="1">
        <v>360.87</v>
      </c>
      <c r="L110" s="1">
        <f t="shared" si="9"/>
        <v>-145.14099999999999</v>
      </c>
      <c r="M110" s="1"/>
      <c r="N110" s="1"/>
      <c r="O110" s="1">
        <v>180</v>
      </c>
      <c r="P110" s="1">
        <v>-172.614</v>
      </c>
      <c r="Q110" s="1"/>
      <c r="R110" s="1"/>
      <c r="S110" s="1">
        <f t="shared" si="7"/>
        <v>43.145800000000001</v>
      </c>
      <c r="T110" s="1">
        <f t="shared" si="8"/>
        <v>0.35781003017674923</v>
      </c>
      <c r="U110" s="1">
        <v>60.248199999999997</v>
      </c>
      <c r="V110" s="1">
        <v>61.4514</v>
      </c>
      <c r="W110" s="1">
        <v>45.332599999999999</v>
      </c>
      <c r="X110" s="1">
        <v>44.720799999999997</v>
      </c>
      <c r="Y110" s="1">
        <v>51.527799999999999</v>
      </c>
      <c r="Z110" s="1">
        <v>51.247799999999998</v>
      </c>
      <c r="AA110" s="1">
        <v>50.388800000000003</v>
      </c>
      <c r="AB110" s="1">
        <v>57.012800000000013</v>
      </c>
      <c r="AC110" s="1">
        <v>65.165199999999999</v>
      </c>
      <c r="AD110" s="1">
        <v>60.9452</v>
      </c>
      <c r="AE110" s="1">
        <v>70.5732</v>
      </c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idden="1" x14ac:dyDescent="0.25">
      <c r="A111" s="9" t="s">
        <v>151</v>
      </c>
      <c r="B111" s="9" t="s">
        <v>42</v>
      </c>
      <c r="C111" s="9"/>
      <c r="D111" s="9"/>
      <c r="E111" s="9"/>
      <c r="F111" s="9"/>
      <c r="G111" s="10">
        <v>0</v>
      </c>
      <c r="H111" s="9"/>
      <c r="I111" s="9" t="s">
        <v>37</v>
      </c>
      <c r="J111" s="9"/>
      <c r="K111" s="9"/>
      <c r="L111" s="9">
        <f t="shared" si="9"/>
        <v>0</v>
      </c>
      <c r="M111" s="9"/>
      <c r="N111" s="9"/>
      <c r="O111" s="9">
        <v>0</v>
      </c>
      <c r="P111" s="9"/>
      <c r="Q111" s="9"/>
      <c r="R111" s="9"/>
      <c r="S111" s="9">
        <f t="shared" si="7"/>
        <v>0</v>
      </c>
      <c r="T111" s="9" t="e">
        <f t="shared" si="8"/>
        <v>#DIV/0!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 t="s">
        <v>47</v>
      </c>
      <c r="AG111" s="9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idden="1" x14ac:dyDescent="0.25">
      <c r="A112" s="9" t="s">
        <v>152</v>
      </c>
      <c r="B112" s="9" t="s">
        <v>42</v>
      </c>
      <c r="C112" s="9"/>
      <c r="D112" s="9"/>
      <c r="E112" s="9"/>
      <c r="F112" s="9"/>
      <c r="G112" s="10">
        <v>0</v>
      </c>
      <c r="H112" s="9"/>
      <c r="I112" s="9" t="s">
        <v>37</v>
      </c>
      <c r="J112" s="9"/>
      <c r="K112" s="9"/>
      <c r="L112" s="9">
        <f t="shared" si="9"/>
        <v>0</v>
      </c>
      <c r="M112" s="9"/>
      <c r="N112" s="9"/>
      <c r="O112" s="9">
        <v>0</v>
      </c>
      <c r="P112" s="9"/>
      <c r="Q112" s="9"/>
      <c r="R112" s="9"/>
      <c r="S112" s="9">
        <f t="shared" si="7"/>
        <v>0</v>
      </c>
      <c r="T112" s="9" t="e">
        <f t="shared" si="8"/>
        <v>#DIV/0!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 t="s">
        <v>47</v>
      </c>
      <c r="AG112" s="9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idden="1" x14ac:dyDescent="0.25">
      <c r="A113" s="1" t="s">
        <v>153</v>
      </c>
      <c r="B113" s="1" t="s">
        <v>42</v>
      </c>
      <c r="C113" s="1">
        <v>4</v>
      </c>
      <c r="D113" s="1">
        <v>312</v>
      </c>
      <c r="E113" s="1">
        <v>100</v>
      </c>
      <c r="F113" s="1">
        <v>171</v>
      </c>
      <c r="G113" s="6">
        <v>0.28000000000000003</v>
      </c>
      <c r="H113" s="1">
        <v>40</v>
      </c>
      <c r="I113" s="1" t="s">
        <v>37</v>
      </c>
      <c r="J113" s="1"/>
      <c r="K113" s="1">
        <v>135</v>
      </c>
      <c r="L113" s="1">
        <f t="shared" si="9"/>
        <v>-35</v>
      </c>
      <c r="M113" s="1"/>
      <c r="N113" s="1"/>
      <c r="O113" s="1">
        <v>0</v>
      </c>
      <c r="P113" s="1"/>
      <c r="Q113" s="1"/>
      <c r="R113" s="1"/>
      <c r="S113" s="1">
        <f t="shared" si="7"/>
        <v>20</v>
      </c>
      <c r="T113" s="1">
        <f t="shared" si="8"/>
        <v>8.5500000000000007</v>
      </c>
      <c r="U113" s="1">
        <v>1</v>
      </c>
      <c r="V113" s="1">
        <v>-2</v>
      </c>
      <c r="W113" s="1">
        <v>7</v>
      </c>
      <c r="X113" s="1">
        <v>46</v>
      </c>
      <c r="Y113" s="1">
        <v>56.4</v>
      </c>
      <c r="Z113" s="1">
        <v>36.6</v>
      </c>
      <c r="AA113" s="1">
        <v>18.8</v>
      </c>
      <c r="AB113" s="1">
        <v>1.8</v>
      </c>
      <c r="AC113" s="1">
        <v>20</v>
      </c>
      <c r="AD113" s="1">
        <v>41</v>
      </c>
      <c r="AE113" s="1">
        <v>38.799999999999997</v>
      </c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idden="1" x14ac:dyDescent="0.25">
      <c r="A114" s="1" t="s">
        <v>154</v>
      </c>
      <c r="B114" s="1" t="s">
        <v>42</v>
      </c>
      <c r="C114" s="1">
        <v>2</v>
      </c>
      <c r="D114" s="1">
        <v>2</v>
      </c>
      <c r="E114" s="1">
        <v>-10</v>
      </c>
      <c r="F114" s="1">
        <v>2</v>
      </c>
      <c r="G114" s="6">
        <v>0.28000000000000003</v>
      </c>
      <c r="H114" s="1">
        <v>40</v>
      </c>
      <c r="I114" s="1" t="s">
        <v>49</v>
      </c>
      <c r="J114" s="1"/>
      <c r="K114" s="1">
        <v>61</v>
      </c>
      <c r="L114" s="1">
        <f t="shared" si="9"/>
        <v>-71</v>
      </c>
      <c r="M114" s="1"/>
      <c r="N114" s="1"/>
      <c r="O114" s="1">
        <v>0</v>
      </c>
      <c r="P114" s="1"/>
      <c r="Q114" s="1"/>
      <c r="R114" s="1"/>
      <c r="S114" s="1">
        <f t="shared" si="7"/>
        <v>-2</v>
      </c>
      <c r="T114" s="1">
        <f t="shared" si="8"/>
        <v>-1</v>
      </c>
      <c r="U114" s="1">
        <v>1</v>
      </c>
      <c r="V114" s="1">
        <v>22.4</v>
      </c>
      <c r="W114" s="1">
        <v>34.6</v>
      </c>
      <c r="X114" s="1">
        <v>45.2</v>
      </c>
      <c r="Y114" s="1">
        <v>45.8</v>
      </c>
      <c r="Z114" s="1">
        <v>35</v>
      </c>
      <c r="AA114" s="1">
        <v>34.799999999999997</v>
      </c>
      <c r="AB114" s="1">
        <v>40.4</v>
      </c>
      <c r="AC114" s="1">
        <v>38.6</v>
      </c>
      <c r="AD114" s="1">
        <v>25</v>
      </c>
      <c r="AE114" s="1">
        <v>12.8</v>
      </c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idden="1" x14ac:dyDescent="0.25">
      <c r="A115" s="1" t="s">
        <v>155</v>
      </c>
      <c r="B115" s="1" t="s">
        <v>42</v>
      </c>
      <c r="C115" s="1">
        <v>104</v>
      </c>
      <c r="D115" s="1">
        <v>440</v>
      </c>
      <c r="E115" s="1">
        <v>192</v>
      </c>
      <c r="F115" s="1">
        <v>263</v>
      </c>
      <c r="G115" s="6">
        <v>0.28000000000000003</v>
      </c>
      <c r="H115" s="1">
        <v>40</v>
      </c>
      <c r="I115" s="1" t="s">
        <v>49</v>
      </c>
      <c r="J115" s="1"/>
      <c r="K115" s="1">
        <v>224</v>
      </c>
      <c r="L115" s="1">
        <f t="shared" si="9"/>
        <v>-32</v>
      </c>
      <c r="M115" s="1"/>
      <c r="N115" s="1"/>
      <c r="O115" s="1">
        <v>36.000000000000107</v>
      </c>
      <c r="P115" s="1">
        <v>-36</v>
      </c>
      <c r="Q115" s="1"/>
      <c r="R115" s="1"/>
      <c r="S115" s="1">
        <f t="shared" si="7"/>
        <v>38.4</v>
      </c>
      <c r="T115" s="1">
        <f t="shared" si="8"/>
        <v>6.8489583333333366</v>
      </c>
      <c r="U115" s="1">
        <v>33</v>
      </c>
      <c r="V115" s="1">
        <v>39.200000000000003</v>
      </c>
      <c r="W115" s="1">
        <v>30.6</v>
      </c>
      <c r="X115" s="1">
        <v>43.4</v>
      </c>
      <c r="Y115" s="1">
        <v>43</v>
      </c>
      <c r="Z115" s="1">
        <v>33</v>
      </c>
      <c r="AA115" s="1">
        <v>34.799999999999997</v>
      </c>
      <c r="AB115" s="1">
        <v>39</v>
      </c>
      <c r="AC115" s="1">
        <v>39.6</v>
      </c>
      <c r="AD115" s="1">
        <v>31.8</v>
      </c>
      <c r="AE115" s="1">
        <v>39</v>
      </c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idden="1" x14ac:dyDescent="0.25">
      <c r="A116" s="9" t="s">
        <v>156</v>
      </c>
      <c r="B116" s="9" t="s">
        <v>42</v>
      </c>
      <c r="C116" s="9"/>
      <c r="D116" s="9"/>
      <c r="E116" s="9"/>
      <c r="F116" s="9"/>
      <c r="G116" s="10">
        <v>0</v>
      </c>
      <c r="H116" s="9"/>
      <c r="I116" s="9" t="s">
        <v>37</v>
      </c>
      <c r="J116" s="9"/>
      <c r="K116" s="9"/>
      <c r="L116" s="9">
        <f t="shared" si="9"/>
        <v>0</v>
      </c>
      <c r="M116" s="9"/>
      <c r="N116" s="9"/>
      <c r="O116" s="9">
        <v>0</v>
      </c>
      <c r="P116" s="9"/>
      <c r="Q116" s="9"/>
      <c r="R116" s="9"/>
      <c r="S116" s="9">
        <f t="shared" si="7"/>
        <v>0</v>
      </c>
      <c r="T116" s="9" t="e">
        <f t="shared" si="8"/>
        <v>#DIV/0!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 t="s">
        <v>47</v>
      </c>
      <c r="AG116" s="9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idden="1" x14ac:dyDescent="0.25">
      <c r="A117" s="1" t="s">
        <v>157</v>
      </c>
      <c r="B117" s="1" t="s">
        <v>36</v>
      </c>
      <c r="C117" s="1">
        <v>31.792000000000002</v>
      </c>
      <c r="D117" s="1">
        <v>210.53399999999999</v>
      </c>
      <c r="E117" s="1">
        <v>20.931000000000001</v>
      </c>
      <c r="F117" s="1">
        <v>212.12200000000001</v>
      </c>
      <c r="G117" s="6">
        <v>1</v>
      </c>
      <c r="H117" s="1">
        <v>60</v>
      </c>
      <c r="I117" s="1" t="s">
        <v>37</v>
      </c>
      <c r="J117" s="1"/>
      <c r="K117" s="1">
        <v>32.5</v>
      </c>
      <c r="L117" s="1">
        <f t="shared" si="9"/>
        <v>-11.568999999999999</v>
      </c>
      <c r="M117" s="1"/>
      <c r="N117" s="1"/>
      <c r="O117" s="1">
        <v>0</v>
      </c>
      <c r="P117" s="1"/>
      <c r="Q117" s="1"/>
      <c r="R117" s="1"/>
      <c r="S117" s="11">
        <f t="shared" si="7"/>
        <v>4.1862000000000004</v>
      </c>
      <c r="T117" s="14">
        <f t="shared" si="8"/>
        <v>50.67173092542162</v>
      </c>
      <c r="U117" s="1">
        <v>4.3917999999999999</v>
      </c>
      <c r="V117" s="1">
        <v>9.8704000000000001</v>
      </c>
      <c r="W117" s="1">
        <v>11.0616</v>
      </c>
      <c r="X117" s="1">
        <v>18.499199999999998</v>
      </c>
      <c r="Y117" s="1">
        <v>18.447199999999999</v>
      </c>
      <c r="Z117" s="1">
        <v>12.635400000000001</v>
      </c>
      <c r="AA117" s="1">
        <v>14.976000000000001</v>
      </c>
      <c r="AB117" s="1">
        <v>20.262599999999999</v>
      </c>
      <c r="AC117" s="1">
        <v>18.412800000000001</v>
      </c>
      <c r="AD117" s="1">
        <v>15.7308</v>
      </c>
      <c r="AE117" s="1">
        <v>19.185199999999998</v>
      </c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x14ac:dyDescent="0.25">
      <c r="A118" s="1" t="s">
        <v>158</v>
      </c>
      <c r="B118" s="1" t="s">
        <v>36</v>
      </c>
      <c r="C118" s="1">
        <v>114.661</v>
      </c>
      <c r="D118" s="1">
        <v>4.99</v>
      </c>
      <c r="E118" s="1">
        <v>22.446000000000002</v>
      </c>
      <c r="F118" s="1">
        <v>92.215000000000003</v>
      </c>
      <c r="G118" s="6">
        <v>1</v>
      </c>
      <c r="H118" s="1">
        <v>50</v>
      </c>
      <c r="I118" s="1" t="s">
        <v>37</v>
      </c>
      <c r="J118" s="1"/>
      <c r="K118" s="1">
        <v>27.5</v>
      </c>
      <c r="L118" s="1">
        <f t="shared" si="9"/>
        <v>-5.0539999999999985</v>
      </c>
      <c r="M118" s="1"/>
      <c r="N118" s="1"/>
      <c r="O118" s="1">
        <v>0</v>
      </c>
      <c r="P118" s="1"/>
      <c r="Q118" s="1"/>
      <c r="R118" s="1"/>
      <c r="S118" s="11">
        <f t="shared" si="7"/>
        <v>4.4892000000000003</v>
      </c>
      <c r="T118" s="14">
        <f t="shared" si="8"/>
        <v>20.541521874721553</v>
      </c>
      <c r="U118" s="1">
        <v>5.2645999999999997</v>
      </c>
      <c r="V118" s="1">
        <v>7.7645999999999997</v>
      </c>
      <c r="W118" s="1">
        <v>5.4868000000000006</v>
      </c>
      <c r="X118" s="1">
        <v>7.4721999999999991</v>
      </c>
      <c r="Y118" s="1">
        <v>9.9611999999999998</v>
      </c>
      <c r="Z118" s="1">
        <v>8.8994</v>
      </c>
      <c r="AA118" s="1">
        <v>10.405799999999999</v>
      </c>
      <c r="AB118" s="1">
        <v>16.494800000000001</v>
      </c>
      <c r="AC118" s="1">
        <v>16.497199999999999</v>
      </c>
      <c r="AD118" s="1">
        <v>14.1732</v>
      </c>
      <c r="AE118" s="1">
        <v>15.641999999999999</v>
      </c>
      <c r="AF118" s="1" t="s">
        <v>88</v>
      </c>
      <c r="AG118" s="16" t="s">
        <v>178</v>
      </c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idden="1" x14ac:dyDescent="0.25">
      <c r="A119" s="9" t="s">
        <v>159</v>
      </c>
      <c r="B119" s="9" t="s">
        <v>42</v>
      </c>
      <c r="C119" s="9"/>
      <c r="D119" s="9"/>
      <c r="E119" s="9"/>
      <c r="F119" s="9"/>
      <c r="G119" s="10">
        <v>0</v>
      </c>
      <c r="H119" s="9"/>
      <c r="I119" s="9" t="s">
        <v>37</v>
      </c>
      <c r="J119" s="9"/>
      <c r="K119" s="9"/>
      <c r="L119" s="9">
        <f t="shared" si="9"/>
        <v>0</v>
      </c>
      <c r="M119" s="9"/>
      <c r="N119" s="9"/>
      <c r="O119" s="9">
        <v>0</v>
      </c>
      <c r="P119" s="9"/>
      <c r="Q119" s="9"/>
      <c r="R119" s="9"/>
      <c r="S119" s="9">
        <f t="shared" si="7"/>
        <v>0</v>
      </c>
      <c r="T119" s="9" t="e">
        <f t="shared" si="8"/>
        <v>#DIV/0!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 t="s">
        <v>47</v>
      </c>
      <c r="AG119" s="9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idden="1" x14ac:dyDescent="0.25">
      <c r="A120" s="9" t="s">
        <v>160</v>
      </c>
      <c r="B120" s="9" t="s">
        <v>42</v>
      </c>
      <c r="C120" s="9"/>
      <c r="D120" s="9"/>
      <c r="E120" s="9"/>
      <c r="F120" s="9"/>
      <c r="G120" s="10">
        <v>0</v>
      </c>
      <c r="H120" s="9"/>
      <c r="I120" s="9" t="s">
        <v>37</v>
      </c>
      <c r="J120" s="9"/>
      <c r="K120" s="9"/>
      <c r="L120" s="9">
        <f t="shared" si="9"/>
        <v>0</v>
      </c>
      <c r="M120" s="9"/>
      <c r="N120" s="9"/>
      <c r="O120" s="9">
        <v>0</v>
      </c>
      <c r="P120" s="9"/>
      <c r="Q120" s="9"/>
      <c r="R120" s="9"/>
      <c r="S120" s="9">
        <f t="shared" si="7"/>
        <v>0</v>
      </c>
      <c r="T120" s="9" t="e">
        <f t="shared" si="8"/>
        <v>#DIV/0!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 t="s">
        <v>47</v>
      </c>
      <c r="AG120" s="9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idden="1" x14ac:dyDescent="0.25">
      <c r="A121" s="1" t="s">
        <v>161</v>
      </c>
      <c r="B121" s="1" t="s">
        <v>36</v>
      </c>
      <c r="C121" s="1">
        <v>129.22399999999999</v>
      </c>
      <c r="D121" s="1">
        <v>56.131999999999998</v>
      </c>
      <c r="E121" s="1">
        <v>114.935</v>
      </c>
      <c r="F121" s="1">
        <v>37.005000000000003</v>
      </c>
      <c r="G121" s="6">
        <v>1</v>
      </c>
      <c r="H121" s="1">
        <v>60</v>
      </c>
      <c r="I121" s="1" t="s">
        <v>37</v>
      </c>
      <c r="J121" s="1"/>
      <c r="K121" s="1">
        <v>116.4</v>
      </c>
      <c r="L121" s="1">
        <f t="shared" si="9"/>
        <v>-1.4650000000000034</v>
      </c>
      <c r="M121" s="1"/>
      <c r="N121" s="1"/>
      <c r="O121" s="1">
        <v>102.60187999999999</v>
      </c>
      <c r="P121" s="1"/>
      <c r="Q121" s="1"/>
      <c r="R121" s="1"/>
      <c r="S121" s="1">
        <f t="shared" si="7"/>
        <v>22.987000000000002</v>
      </c>
      <c r="T121" s="1">
        <f t="shared" si="8"/>
        <v>6.0732970809588016</v>
      </c>
      <c r="U121" s="1">
        <v>21.065799999999999</v>
      </c>
      <c r="V121" s="1">
        <v>20.172000000000001</v>
      </c>
      <c r="W121" s="1">
        <v>15.214600000000001</v>
      </c>
      <c r="X121" s="1">
        <v>14.1698</v>
      </c>
      <c r="Y121" s="1">
        <v>20.410399999999999</v>
      </c>
      <c r="Z121" s="1">
        <v>21.778199999999998</v>
      </c>
      <c r="AA121" s="1">
        <v>13.795400000000001</v>
      </c>
      <c r="AB121" s="1">
        <v>8.7471999999999994</v>
      </c>
      <c r="AC121" s="1">
        <v>11.3284</v>
      </c>
      <c r="AD121" s="1">
        <v>16.998000000000001</v>
      </c>
      <c r="AE121" s="1">
        <v>21.1784</v>
      </c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idden="1" x14ac:dyDescent="0.25">
      <c r="A122" s="1" t="s">
        <v>162</v>
      </c>
      <c r="B122" s="1" t="s">
        <v>36</v>
      </c>
      <c r="C122" s="1">
        <v>208.755</v>
      </c>
      <c r="D122" s="1">
        <v>223.291</v>
      </c>
      <c r="E122" s="1">
        <v>178.14099999999999</v>
      </c>
      <c r="F122" s="1">
        <v>219.96299999999999</v>
      </c>
      <c r="G122" s="6">
        <v>1</v>
      </c>
      <c r="H122" s="1">
        <v>60</v>
      </c>
      <c r="I122" s="1" t="s">
        <v>37</v>
      </c>
      <c r="J122" s="1"/>
      <c r="K122" s="1">
        <v>174.6</v>
      </c>
      <c r="L122" s="1">
        <f t="shared" si="9"/>
        <v>3.5409999999999968</v>
      </c>
      <c r="M122" s="1"/>
      <c r="N122" s="1"/>
      <c r="O122" s="1">
        <v>40.72279999999995</v>
      </c>
      <c r="P122" s="1"/>
      <c r="Q122" s="1"/>
      <c r="R122" s="1"/>
      <c r="S122" s="1">
        <f t="shared" si="7"/>
        <v>35.6282</v>
      </c>
      <c r="T122" s="1">
        <f t="shared" si="8"/>
        <v>7.3168389085050602</v>
      </c>
      <c r="U122" s="1">
        <v>28.829000000000001</v>
      </c>
      <c r="V122" s="1">
        <v>33.867400000000004</v>
      </c>
      <c r="W122" s="1">
        <v>37.478999999999999</v>
      </c>
      <c r="X122" s="1">
        <v>34.275799999999997</v>
      </c>
      <c r="Y122" s="1">
        <v>36.581000000000003</v>
      </c>
      <c r="Z122" s="1">
        <v>40.446399999999997</v>
      </c>
      <c r="AA122" s="1">
        <v>52.765599999999992</v>
      </c>
      <c r="AB122" s="1">
        <v>58.024800000000013</v>
      </c>
      <c r="AC122" s="1">
        <v>40.68</v>
      </c>
      <c r="AD122" s="1">
        <v>30.541399999999999</v>
      </c>
      <c r="AE122" s="1">
        <v>38.330199999999998</v>
      </c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idden="1" x14ac:dyDescent="0.25">
      <c r="A123" s="1" t="s">
        <v>163</v>
      </c>
      <c r="B123" s="1" t="s">
        <v>36</v>
      </c>
      <c r="C123" s="1">
        <v>131.72800000000001</v>
      </c>
      <c r="D123" s="1">
        <v>25.785</v>
      </c>
      <c r="E123" s="1">
        <v>65.331999999999994</v>
      </c>
      <c r="F123" s="1">
        <v>79.864000000000004</v>
      </c>
      <c r="G123" s="6">
        <v>1</v>
      </c>
      <c r="H123" s="1">
        <v>60</v>
      </c>
      <c r="I123" s="1" t="s">
        <v>37</v>
      </c>
      <c r="J123" s="1"/>
      <c r="K123" s="1">
        <v>58.05</v>
      </c>
      <c r="L123" s="1">
        <f t="shared" si="9"/>
        <v>7.2819999999999965</v>
      </c>
      <c r="M123" s="1"/>
      <c r="N123" s="1"/>
      <c r="O123" s="1">
        <v>0</v>
      </c>
      <c r="P123" s="1"/>
      <c r="Q123" s="1"/>
      <c r="R123" s="1"/>
      <c r="S123" s="1">
        <f t="shared" si="7"/>
        <v>13.066399999999998</v>
      </c>
      <c r="T123" s="1">
        <f t="shared" si="8"/>
        <v>6.1121655543990707</v>
      </c>
      <c r="U123" s="1">
        <v>11.468</v>
      </c>
      <c r="V123" s="1">
        <v>9.6209999999999987</v>
      </c>
      <c r="W123" s="1">
        <v>8.5533999999999999</v>
      </c>
      <c r="X123" s="1">
        <v>12.0816</v>
      </c>
      <c r="Y123" s="1">
        <v>11.7842</v>
      </c>
      <c r="Z123" s="1">
        <v>5.2182000000000004</v>
      </c>
      <c r="AA123" s="1">
        <v>9.017199999999999</v>
      </c>
      <c r="AB123" s="1">
        <v>19.734200000000001</v>
      </c>
      <c r="AC123" s="1">
        <v>18.6568</v>
      </c>
      <c r="AD123" s="1">
        <v>9.5117999999999991</v>
      </c>
      <c r="AE123" s="1">
        <v>9.5025999999999993</v>
      </c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idden="1" x14ac:dyDescent="0.25">
      <c r="A124" s="1" t="s">
        <v>164</v>
      </c>
      <c r="B124" s="1" t="s">
        <v>36</v>
      </c>
      <c r="C124" s="1">
        <v>1675.8240000000001</v>
      </c>
      <c r="D124" s="1">
        <v>559.149</v>
      </c>
      <c r="E124" s="1">
        <v>612.56100000000004</v>
      </c>
      <c r="F124" s="1">
        <v>1357.7840000000001</v>
      </c>
      <c r="G124" s="6">
        <v>1</v>
      </c>
      <c r="H124" s="1">
        <v>60</v>
      </c>
      <c r="I124" s="1" t="s">
        <v>37</v>
      </c>
      <c r="J124" s="1"/>
      <c r="K124" s="1">
        <v>707.5</v>
      </c>
      <c r="L124" s="1">
        <f t="shared" si="9"/>
        <v>-94.938999999999965</v>
      </c>
      <c r="M124" s="1"/>
      <c r="N124" s="1"/>
      <c r="O124" s="1">
        <v>28.957772000000841</v>
      </c>
      <c r="P124" s="1"/>
      <c r="Q124" s="1"/>
      <c r="R124" s="1"/>
      <c r="S124" s="1">
        <f t="shared" si="7"/>
        <v>122.51220000000001</v>
      </c>
      <c r="T124" s="1">
        <f t="shared" si="8"/>
        <v>11.319213694636133</v>
      </c>
      <c r="U124" s="1">
        <v>135.7192</v>
      </c>
      <c r="V124" s="1">
        <v>165.4958</v>
      </c>
      <c r="W124" s="1">
        <v>148.43340000000001</v>
      </c>
      <c r="X124" s="1">
        <v>180.2364</v>
      </c>
      <c r="Y124" s="1">
        <v>202.20419999999999</v>
      </c>
      <c r="Z124" s="1">
        <v>198.17320000000001</v>
      </c>
      <c r="AA124" s="1">
        <v>185.0686</v>
      </c>
      <c r="AB124" s="1">
        <v>197.94739999999999</v>
      </c>
      <c r="AC124" s="1">
        <v>193.87379999999999</v>
      </c>
      <c r="AD124" s="1">
        <v>177.26840000000001</v>
      </c>
      <c r="AE124" s="1">
        <v>143.54259999999999</v>
      </c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idden="1" x14ac:dyDescent="0.25">
      <c r="A125" s="1" t="s">
        <v>165</v>
      </c>
      <c r="B125" s="1" t="s">
        <v>42</v>
      </c>
      <c r="C125" s="1">
        <v>4</v>
      </c>
      <c r="D125" s="1"/>
      <c r="E125" s="1"/>
      <c r="F125" s="1">
        <v>4</v>
      </c>
      <c r="G125" s="6">
        <v>0.25</v>
      </c>
      <c r="H125" s="1">
        <v>1096</v>
      </c>
      <c r="I125" s="1" t="s">
        <v>49</v>
      </c>
      <c r="J125" s="1"/>
      <c r="K125" s="1">
        <v>18</v>
      </c>
      <c r="L125" s="1">
        <f t="shared" si="9"/>
        <v>-18</v>
      </c>
      <c r="M125" s="1"/>
      <c r="N125" s="1"/>
      <c r="O125" s="1">
        <v>0</v>
      </c>
      <c r="P125" s="1"/>
      <c r="Q125" s="1"/>
      <c r="R125" s="1"/>
      <c r="S125" s="1">
        <f t="shared" si="7"/>
        <v>0</v>
      </c>
      <c r="T125" s="1" t="e">
        <f t="shared" si="8"/>
        <v>#DIV/0!</v>
      </c>
      <c r="U125" s="1">
        <v>1.6</v>
      </c>
      <c r="V125" s="1">
        <v>3.6</v>
      </c>
      <c r="W125" s="1">
        <v>5.4</v>
      </c>
      <c r="X125" s="1">
        <v>25.8</v>
      </c>
      <c r="Y125" s="1">
        <v>33</v>
      </c>
      <c r="Z125" s="1">
        <v>10.6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 t="s">
        <v>166</v>
      </c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idden="1" x14ac:dyDescent="0.25">
      <c r="A126" s="1" t="s">
        <v>167</v>
      </c>
      <c r="B126" s="1" t="s">
        <v>42</v>
      </c>
      <c r="C126" s="1">
        <v>24</v>
      </c>
      <c r="D126" s="1"/>
      <c r="E126" s="1">
        <v>24</v>
      </c>
      <c r="F126" s="1"/>
      <c r="G126" s="6">
        <v>0.32500000000000001</v>
      </c>
      <c r="H126" s="1">
        <v>1096</v>
      </c>
      <c r="I126" s="1" t="s">
        <v>49</v>
      </c>
      <c r="J126" s="1"/>
      <c r="K126" s="1">
        <v>24</v>
      </c>
      <c r="L126" s="1">
        <f t="shared" si="9"/>
        <v>0</v>
      </c>
      <c r="M126" s="1"/>
      <c r="N126" s="1"/>
      <c r="O126" s="1">
        <v>0</v>
      </c>
      <c r="P126" s="1"/>
      <c r="Q126" s="1"/>
      <c r="R126" s="1"/>
      <c r="S126" s="1">
        <f t="shared" si="7"/>
        <v>4.8</v>
      </c>
      <c r="T126" s="1">
        <f t="shared" si="8"/>
        <v>0</v>
      </c>
      <c r="U126" s="1">
        <v>11</v>
      </c>
      <c r="V126" s="1">
        <v>8</v>
      </c>
      <c r="W126" s="1">
        <v>5.6</v>
      </c>
      <c r="X126" s="1">
        <v>22</v>
      </c>
      <c r="Y126" s="1">
        <v>22.4</v>
      </c>
      <c r="Z126" s="1">
        <v>3.2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 t="s">
        <v>166</v>
      </c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idden="1" x14ac:dyDescent="0.25">
      <c r="A127" s="1" t="s">
        <v>168</v>
      </c>
      <c r="B127" s="1" t="s">
        <v>42</v>
      </c>
      <c r="C127" s="1">
        <v>6</v>
      </c>
      <c r="D127" s="1">
        <v>504</v>
      </c>
      <c r="E127" s="1">
        <v>64</v>
      </c>
      <c r="F127" s="1">
        <v>441</v>
      </c>
      <c r="G127" s="6">
        <v>0.25</v>
      </c>
      <c r="H127" s="1">
        <v>1096</v>
      </c>
      <c r="I127" s="1" t="s">
        <v>37</v>
      </c>
      <c r="J127" s="1"/>
      <c r="K127" s="1">
        <v>78</v>
      </c>
      <c r="L127" s="1">
        <f t="shared" si="9"/>
        <v>-14</v>
      </c>
      <c r="M127" s="1"/>
      <c r="N127" s="1"/>
      <c r="O127" s="1">
        <v>0</v>
      </c>
      <c r="P127" s="1"/>
      <c r="Q127" s="1"/>
      <c r="R127" s="1"/>
      <c r="S127" s="11">
        <f t="shared" si="7"/>
        <v>12.8</v>
      </c>
      <c r="T127" s="14">
        <f t="shared" si="8"/>
        <v>34.453125</v>
      </c>
      <c r="U127" s="1">
        <v>3</v>
      </c>
      <c r="V127" s="1">
        <v>5.2</v>
      </c>
      <c r="W127" s="1">
        <v>8.1999999999999993</v>
      </c>
      <c r="X127" s="1">
        <v>27.6</v>
      </c>
      <c r="Y127" s="1">
        <v>29.4</v>
      </c>
      <c r="Z127" s="1">
        <v>7.2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 t="s">
        <v>166</v>
      </c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idden="1" x14ac:dyDescent="0.25">
      <c r="A128" s="4" t="s">
        <v>169</v>
      </c>
      <c r="B128" s="1" t="s">
        <v>42</v>
      </c>
      <c r="C128" s="1"/>
      <c r="D128" s="1"/>
      <c r="E128" s="1">
        <v>-2</v>
      </c>
      <c r="F128" s="1"/>
      <c r="G128" s="6">
        <v>0.3</v>
      </c>
      <c r="H128" s="1">
        <v>40</v>
      </c>
      <c r="I128" s="1" t="s">
        <v>49</v>
      </c>
      <c r="J128" s="1"/>
      <c r="K128" s="1">
        <v>2</v>
      </c>
      <c r="L128" s="1">
        <f t="shared" si="9"/>
        <v>-4</v>
      </c>
      <c r="M128" s="1"/>
      <c r="N128" s="1"/>
      <c r="O128" s="1">
        <v>180</v>
      </c>
      <c r="P128" s="1">
        <v>-180</v>
      </c>
      <c r="Q128" s="1"/>
      <c r="R128" s="1"/>
      <c r="S128" s="1">
        <f t="shared" si="7"/>
        <v>-0.4</v>
      </c>
      <c r="T128" s="1">
        <f t="shared" si="8"/>
        <v>0</v>
      </c>
      <c r="U128" s="1">
        <v>-0.4</v>
      </c>
      <c r="V128" s="1">
        <v>-1</v>
      </c>
      <c r="W128" s="1">
        <v>-1.2</v>
      </c>
      <c r="X128" s="1">
        <v>-0.6</v>
      </c>
      <c r="Y128" s="1">
        <v>15.2</v>
      </c>
      <c r="Z128" s="1">
        <v>36.4</v>
      </c>
      <c r="AA128" s="1">
        <v>36.6</v>
      </c>
      <c r="AB128" s="1">
        <v>59.8</v>
      </c>
      <c r="AC128" s="1">
        <v>60</v>
      </c>
      <c r="AD128" s="1">
        <v>36.4</v>
      </c>
      <c r="AE128" s="1">
        <v>44.4</v>
      </c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idden="1" x14ac:dyDescent="0.25">
      <c r="A129" s="1" t="s">
        <v>170</v>
      </c>
      <c r="B129" s="1" t="s">
        <v>42</v>
      </c>
      <c r="C129" s="1">
        <v>1</v>
      </c>
      <c r="D129" s="1"/>
      <c r="E129" s="1">
        <v>-1</v>
      </c>
      <c r="F129" s="1">
        <v>1</v>
      </c>
      <c r="G129" s="6">
        <v>0.3</v>
      </c>
      <c r="H129" s="1">
        <v>40</v>
      </c>
      <c r="I129" s="1" t="s">
        <v>49</v>
      </c>
      <c r="J129" s="1"/>
      <c r="K129" s="1">
        <v>12</v>
      </c>
      <c r="L129" s="1">
        <f t="shared" si="9"/>
        <v>-13</v>
      </c>
      <c r="M129" s="1"/>
      <c r="N129" s="1"/>
      <c r="O129" s="1">
        <v>0</v>
      </c>
      <c r="P129" s="1"/>
      <c r="Q129" s="1"/>
      <c r="R129" s="1"/>
      <c r="S129" s="1">
        <f t="shared" si="7"/>
        <v>-0.2</v>
      </c>
      <c r="T129" s="1">
        <f t="shared" si="8"/>
        <v>-5</v>
      </c>
      <c r="U129" s="1">
        <v>0</v>
      </c>
      <c r="V129" s="1">
        <v>0.6</v>
      </c>
      <c r="W129" s="1">
        <v>5.8</v>
      </c>
      <c r="X129" s="1">
        <v>6.8</v>
      </c>
      <c r="Y129" s="1">
        <v>1.4</v>
      </c>
      <c r="Z129" s="1">
        <v>-0.2</v>
      </c>
      <c r="AA129" s="1">
        <v>-0.8</v>
      </c>
      <c r="AB129" s="1">
        <v>15.8</v>
      </c>
      <c r="AC129" s="1">
        <v>16</v>
      </c>
      <c r="AD129" s="1">
        <v>-1.2</v>
      </c>
      <c r="AE129" s="1">
        <v>-0.6</v>
      </c>
      <c r="AF129" s="1" t="s">
        <v>171</v>
      </c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idden="1" x14ac:dyDescent="0.25">
      <c r="A130" s="1" t="s">
        <v>172</v>
      </c>
      <c r="B130" s="1" t="s">
        <v>36</v>
      </c>
      <c r="C130" s="1">
        <v>47.072000000000003</v>
      </c>
      <c r="D130" s="1"/>
      <c r="E130" s="1">
        <v>13.494</v>
      </c>
      <c r="F130" s="1">
        <v>33.578000000000003</v>
      </c>
      <c r="G130" s="6">
        <v>1</v>
      </c>
      <c r="H130" s="1">
        <v>50</v>
      </c>
      <c r="I130" s="1" t="s">
        <v>37</v>
      </c>
      <c r="J130" s="1"/>
      <c r="K130" s="1">
        <v>11.6</v>
      </c>
      <c r="L130" s="1">
        <f t="shared" si="9"/>
        <v>1.8940000000000001</v>
      </c>
      <c r="M130" s="1"/>
      <c r="N130" s="1"/>
      <c r="O130" s="1">
        <v>0</v>
      </c>
      <c r="P130" s="1"/>
      <c r="Q130" s="1"/>
      <c r="R130" s="1"/>
      <c r="S130" s="1">
        <f t="shared" si="7"/>
        <v>2.6987999999999999</v>
      </c>
      <c r="T130" s="1">
        <f t="shared" si="8"/>
        <v>12.441825996739293</v>
      </c>
      <c r="U130" s="1">
        <v>2.9628000000000001</v>
      </c>
      <c r="V130" s="1">
        <v>2.1503999999999999</v>
      </c>
      <c r="W130" s="1">
        <v>2.1423999999999999</v>
      </c>
      <c r="X130" s="1">
        <v>2.9592000000000001</v>
      </c>
      <c r="Y130" s="1">
        <v>2.4420000000000002</v>
      </c>
      <c r="Z130" s="1">
        <v>4.0430000000000001</v>
      </c>
      <c r="AA130" s="1">
        <v>4.5990000000000002</v>
      </c>
      <c r="AB130" s="1">
        <v>3.5379999999999998</v>
      </c>
      <c r="AC130" s="1">
        <v>1.901</v>
      </c>
      <c r="AD130" s="1">
        <v>1.0864</v>
      </c>
      <c r="AE130" s="1">
        <v>2.4331999999999998</v>
      </c>
      <c r="AF130" s="1" t="s">
        <v>38</v>
      </c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idden="1" x14ac:dyDescent="0.25">
      <c r="A131" s="1" t="s">
        <v>173</v>
      </c>
      <c r="B131" s="1" t="s">
        <v>42</v>
      </c>
      <c r="C131" s="1">
        <v>8</v>
      </c>
      <c r="D131" s="1">
        <v>126</v>
      </c>
      <c r="E131" s="1">
        <v>50</v>
      </c>
      <c r="F131" s="1">
        <v>60</v>
      </c>
      <c r="G131" s="6">
        <v>0.3</v>
      </c>
      <c r="H131" s="1">
        <v>40</v>
      </c>
      <c r="I131" s="1" t="s">
        <v>49</v>
      </c>
      <c r="J131" s="1"/>
      <c r="K131" s="1">
        <v>66</v>
      </c>
      <c r="L131" s="1">
        <f t="shared" si="9"/>
        <v>-16</v>
      </c>
      <c r="M131" s="1"/>
      <c r="N131" s="1"/>
      <c r="O131" s="1">
        <v>20</v>
      </c>
      <c r="P131" s="1">
        <v>-24</v>
      </c>
      <c r="Q131" s="1"/>
      <c r="R131" s="1"/>
      <c r="S131" s="1">
        <f t="shared" si="7"/>
        <v>10</v>
      </c>
      <c r="T131" s="1">
        <f t="shared" si="8"/>
        <v>5.6</v>
      </c>
      <c r="U131" s="1">
        <v>2.4</v>
      </c>
      <c r="V131" s="1">
        <v>4</v>
      </c>
      <c r="W131" s="1">
        <v>11.6</v>
      </c>
      <c r="X131" s="1">
        <v>31.2</v>
      </c>
      <c r="Y131" s="1">
        <v>39.6</v>
      </c>
      <c r="Z131" s="1">
        <v>28.2</v>
      </c>
      <c r="AA131" s="1">
        <v>23.2</v>
      </c>
      <c r="AB131" s="1">
        <v>15.8</v>
      </c>
      <c r="AC131" s="1">
        <v>14.6</v>
      </c>
      <c r="AD131" s="1">
        <v>30</v>
      </c>
      <c r="AE131" s="1">
        <v>42.6</v>
      </c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idden="1" x14ac:dyDescent="0.25">
      <c r="A132" s="1" t="s">
        <v>174</v>
      </c>
      <c r="B132" s="1" t="s">
        <v>42</v>
      </c>
      <c r="C132" s="1">
        <v>84</v>
      </c>
      <c r="D132" s="1">
        <v>12</v>
      </c>
      <c r="E132" s="1">
        <v>47</v>
      </c>
      <c r="F132" s="1">
        <v>37</v>
      </c>
      <c r="G132" s="6">
        <v>0.12</v>
      </c>
      <c r="H132" s="1">
        <v>45</v>
      </c>
      <c r="I132" s="1" t="s">
        <v>37</v>
      </c>
      <c r="J132" s="1"/>
      <c r="K132" s="1">
        <v>55</v>
      </c>
      <c r="L132" s="1">
        <f t="shared" si="9"/>
        <v>-8</v>
      </c>
      <c r="M132" s="1"/>
      <c r="N132" s="1"/>
      <c r="O132" s="1">
        <v>0</v>
      </c>
      <c r="P132" s="1"/>
      <c r="Q132" s="1"/>
      <c r="R132" s="1"/>
      <c r="S132" s="1">
        <f t="shared" si="7"/>
        <v>9.4</v>
      </c>
      <c r="T132" s="1">
        <f t="shared" si="8"/>
        <v>3.9361702127659575</v>
      </c>
      <c r="U132" s="1">
        <v>6</v>
      </c>
      <c r="V132" s="1">
        <v>8.6</v>
      </c>
      <c r="W132" s="1">
        <v>9</v>
      </c>
      <c r="X132" s="1">
        <v>13.4</v>
      </c>
      <c r="Y132" s="1">
        <v>15</v>
      </c>
      <c r="Z132" s="1">
        <v>11.8</v>
      </c>
      <c r="AA132" s="1">
        <v>14.6</v>
      </c>
      <c r="AB132" s="1">
        <v>17.600000000000001</v>
      </c>
      <c r="AC132" s="1">
        <v>14.6</v>
      </c>
      <c r="AD132" s="1">
        <v>7.4</v>
      </c>
      <c r="AE132" s="1">
        <v>3.6</v>
      </c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idden="1" x14ac:dyDescent="0.25">
      <c r="A133" s="9" t="s">
        <v>175</v>
      </c>
      <c r="B133" s="9" t="s">
        <v>42</v>
      </c>
      <c r="C133" s="9">
        <v>35</v>
      </c>
      <c r="D133" s="9"/>
      <c r="E133" s="9">
        <v>28</v>
      </c>
      <c r="F133" s="9">
        <v>7</v>
      </c>
      <c r="G133" s="10">
        <v>0</v>
      </c>
      <c r="H133" s="9"/>
      <c r="I133" s="9" t="s">
        <v>176</v>
      </c>
      <c r="J133" s="9" t="s">
        <v>167</v>
      </c>
      <c r="K133" s="9">
        <v>24</v>
      </c>
      <c r="L133" s="9">
        <f t="shared" si="9"/>
        <v>4</v>
      </c>
      <c r="M133" s="9"/>
      <c r="N133" s="9"/>
      <c r="O133" s="9">
        <v>0</v>
      </c>
      <c r="P133" s="9"/>
      <c r="Q133" s="9"/>
      <c r="R133" s="9"/>
      <c r="S133" s="9">
        <f t="shared" si="7"/>
        <v>5.6</v>
      </c>
      <c r="T133" s="9">
        <f t="shared" si="8"/>
        <v>1.25</v>
      </c>
      <c r="U133" s="9">
        <v>5.2</v>
      </c>
      <c r="V133" s="9">
        <v>1.4</v>
      </c>
      <c r="W133" s="9">
        <v>2.4</v>
      </c>
      <c r="X133" s="9">
        <v>2</v>
      </c>
      <c r="Y133" s="9">
        <v>0.6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 s="9"/>
      <c r="AG133" s="9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x14ac:dyDescent="0.25">
      <c r="A134" s="1"/>
      <c r="B134" s="1"/>
      <c r="C134" s="1"/>
      <c r="D134" s="1"/>
      <c r="E134" s="1"/>
      <c r="F134" s="1"/>
      <c r="G134" s="6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1"/>
      <c r="T134" s="14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x14ac:dyDescent="0.25">
      <c r="A135" s="1"/>
      <c r="B135" s="1"/>
      <c r="C135" s="1"/>
      <c r="D135" s="1"/>
      <c r="E135" s="1"/>
      <c r="F135" s="1"/>
      <c r="G135" s="6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1"/>
      <c r="T135" s="14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x14ac:dyDescent="0.25">
      <c r="A136" s="1"/>
      <c r="B136" s="1"/>
      <c r="C136" s="1"/>
      <c r="D136" s="1"/>
      <c r="E136" s="1"/>
      <c r="F136" s="1"/>
      <c r="G136" s="6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1"/>
      <c r="T136" s="14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x14ac:dyDescent="0.25">
      <c r="A137" s="1"/>
      <c r="B137" s="1"/>
      <c r="C137" s="1"/>
      <c r="D137" s="1"/>
      <c r="E137" s="1"/>
      <c r="F137" s="1"/>
      <c r="G137" s="6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1"/>
      <c r="T137" s="14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x14ac:dyDescent="0.25">
      <c r="A138" s="1"/>
      <c r="B138" s="1"/>
      <c r="C138" s="1"/>
      <c r="D138" s="1"/>
      <c r="E138" s="1"/>
      <c r="F138" s="1"/>
      <c r="G138" s="6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1"/>
      <c r="T138" s="14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x14ac:dyDescent="0.25">
      <c r="A139" s="1"/>
      <c r="B139" s="1"/>
      <c r="C139" s="1"/>
      <c r="D139" s="1"/>
      <c r="E139" s="1"/>
      <c r="F139" s="1"/>
      <c r="G139" s="6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1"/>
      <c r="T139" s="14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x14ac:dyDescent="0.25">
      <c r="A140" s="1"/>
      <c r="B140" s="1"/>
      <c r="C140" s="1"/>
      <c r="D140" s="1"/>
      <c r="E140" s="1"/>
      <c r="F140" s="1"/>
      <c r="G140" s="6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1"/>
      <c r="T140" s="14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x14ac:dyDescent="0.25">
      <c r="A141" s="1"/>
      <c r="B141" s="1"/>
      <c r="C141" s="1"/>
      <c r="D141" s="1"/>
      <c r="E141" s="1"/>
      <c r="F141" s="1"/>
      <c r="G141" s="6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1"/>
      <c r="T141" s="14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x14ac:dyDescent="0.25">
      <c r="A142" s="1"/>
      <c r="B142" s="1"/>
      <c r="C142" s="1"/>
      <c r="D142" s="1"/>
      <c r="E142" s="1"/>
      <c r="F142" s="1"/>
      <c r="G142" s="6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1"/>
      <c r="T142" s="14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x14ac:dyDescent="0.25">
      <c r="A143" s="1"/>
      <c r="B143" s="1"/>
      <c r="C143" s="1"/>
      <c r="D143" s="1"/>
      <c r="E143" s="1"/>
      <c r="F143" s="1"/>
      <c r="G143" s="6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1"/>
      <c r="T143" s="14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x14ac:dyDescent="0.25">
      <c r="A144" s="1"/>
      <c r="B144" s="1"/>
      <c r="C144" s="1"/>
      <c r="D144" s="1"/>
      <c r="E144" s="1"/>
      <c r="F144" s="1"/>
      <c r="G144" s="6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1"/>
      <c r="T144" s="14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x14ac:dyDescent="0.25">
      <c r="A145" s="1"/>
      <c r="B145" s="1"/>
      <c r="C145" s="1"/>
      <c r="D145" s="1"/>
      <c r="E145" s="1"/>
      <c r="F145" s="1"/>
      <c r="G145" s="6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1"/>
      <c r="T145" s="14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x14ac:dyDescent="0.25">
      <c r="A146" s="1"/>
      <c r="B146" s="1"/>
      <c r="C146" s="1"/>
      <c r="D146" s="1"/>
      <c r="E146" s="1"/>
      <c r="F146" s="1"/>
      <c r="G146" s="6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1"/>
      <c r="T146" s="14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x14ac:dyDescent="0.25">
      <c r="A147" s="1"/>
      <c r="B147" s="1"/>
      <c r="C147" s="1"/>
      <c r="D147" s="1"/>
      <c r="E147" s="1"/>
      <c r="F147" s="1"/>
      <c r="G147" s="6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1"/>
      <c r="T147" s="14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x14ac:dyDescent="0.25">
      <c r="A148" s="1"/>
      <c r="B148" s="1"/>
      <c r="C148" s="1"/>
      <c r="D148" s="1"/>
      <c r="E148" s="1"/>
      <c r="F148" s="1"/>
      <c r="G148" s="6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1"/>
      <c r="T148" s="14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x14ac:dyDescent="0.25">
      <c r="A149" s="1"/>
      <c r="B149" s="1"/>
      <c r="C149" s="1"/>
      <c r="D149" s="1"/>
      <c r="E149" s="1"/>
      <c r="F149" s="1"/>
      <c r="G149" s="6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1"/>
      <c r="T149" s="14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x14ac:dyDescent="0.25">
      <c r="A150" s="1"/>
      <c r="B150" s="1"/>
      <c r="C150" s="1"/>
      <c r="D150" s="1"/>
      <c r="E150" s="1"/>
      <c r="F150" s="1"/>
      <c r="G150" s="6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1"/>
      <c r="T150" s="14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x14ac:dyDescent="0.25">
      <c r="A151" s="1"/>
      <c r="B151" s="1"/>
      <c r="C151" s="1"/>
      <c r="D151" s="1"/>
      <c r="E151" s="1"/>
      <c r="F151" s="1"/>
      <c r="G151" s="6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1"/>
      <c r="T151" s="14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x14ac:dyDescent="0.25">
      <c r="A152" s="1"/>
      <c r="B152" s="1"/>
      <c r="C152" s="1"/>
      <c r="D152" s="1"/>
      <c r="E152" s="1"/>
      <c r="F152" s="1"/>
      <c r="G152" s="6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1"/>
      <c r="T152" s="14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x14ac:dyDescent="0.25">
      <c r="A153" s="1"/>
      <c r="B153" s="1"/>
      <c r="C153" s="1"/>
      <c r="D153" s="1"/>
      <c r="E153" s="1"/>
      <c r="F153" s="1"/>
      <c r="G153" s="6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1"/>
      <c r="T153" s="14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x14ac:dyDescent="0.25">
      <c r="A154" s="1"/>
      <c r="B154" s="1"/>
      <c r="C154" s="1"/>
      <c r="D154" s="1"/>
      <c r="E154" s="1"/>
      <c r="F154" s="1"/>
      <c r="G154" s="6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1"/>
      <c r="T154" s="14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x14ac:dyDescent="0.25">
      <c r="A155" s="1"/>
      <c r="B155" s="1"/>
      <c r="C155" s="1"/>
      <c r="D155" s="1"/>
      <c r="E155" s="1"/>
      <c r="F155" s="1"/>
      <c r="G155" s="6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1"/>
      <c r="T155" s="14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x14ac:dyDescent="0.25">
      <c r="A156" s="1"/>
      <c r="B156" s="1"/>
      <c r="C156" s="1"/>
      <c r="D156" s="1"/>
      <c r="E156" s="1"/>
      <c r="F156" s="1"/>
      <c r="G156" s="6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1"/>
      <c r="T156" s="14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x14ac:dyDescent="0.25">
      <c r="A157" s="1"/>
      <c r="B157" s="1"/>
      <c r="C157" s="1"/>
      <c r="D157" s="1"/>
      <c r="E157" s="1"/>
      <c r="F157" s="1"/>
      <c r="G157" s="6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1"/>
      <c r="T157" s="14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x14ac:dyDescent="0.25">
      <c r="A158" s="1"/>
      <c r="B158" s="1"/>
      <c r="C158" s="1"/>
      <c r="D158" s="1"/>
      <c r="E158" s="1"/>
      <c r="F158" s="1"/>
      <c r="G158" s="6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1"/>
      <c r="T158" s="14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x14ac:dyDescent="0.25">
      <c r="A159" s="1"/>
      <c r="B159" s="1"/>
      <c r="C159" s="1"/>
      <c r="D159" s="1"/>
      <c r="E159" s="1"/>
      <c r="F159" s="1"/>
      <c r="G159" s="6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1"/>
      <c r="T159" s="14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x14ac:dyDescent="0.25">
      <c r="A160" s="1"/>
      <c r="B160" s="1"/>
      <c r="C160" s="1"/>
      <c r="D160" s="1"/>
      <c r="E160" s="1"/>
      <c r="F160" s="1"/>
      <c r="G160" s="6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1"/>
      <c r="T160" s="14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x14ac:dyDescent="0.25">
      <c r="A161" s="1"/>
      <c r="B161" s="1"/>
      <c r="C161" s="1"/>
      <c r="D161" s="1"/>
      <c r="E161" s="1"/>
      <c r="F161" s="1"/>
      <c r="G161" s="6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1"/>
      <c r="T161" s="14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x14ac:dyDescent="0.25">
      <c r="A162" s="1"/>
      <c r="B162" s="1"/>
      <c r="C162" s="1"/>
      <c r="D162" s="1"/>
      <c r="E162" s="1"/>
      <c r="F162" s="1"/>
      <c r="G162" s="6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1"/>
      <c r="T162" s="14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x14ac:dyDescent="0.25">
      <c r="A163" s="1"/>
      <c r="B163" s="1"/>
      <c r="C163" s="1"/>
      <c r="D163" s="1"/>
      <c r="E163" s="1"/>
      <c r="F163" s="1"/>
      <c r="G163" s="6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1"/>
      <c r="T163" s="14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x14ac:dyDescent="0.25">
      <c r="A164" s="1"/>
      <c r="B164" s="1"/>
      <c r="C164" s="1"/>
      <c r="D164" s="1"/>
      <c r="E164" s="1"/>
      <c r="F164" s="1"/>
      <c r="G164" s="6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1"/>
      <c r="T164" s="14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x14ac:dyDescent="0.25">
      <c r="A165" s="1"/>
      <c r="B165" s="1"/>
      <c r="C165" s="1"/>
      <c r="D165" s="1"/>
      <c r="E165" s="1"/>
      <c r="F165" s="1"/>
      <c r="G165" s="6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1"/>
      <c r="T165" s="14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x14ac:dyDescent="0.25">
      <c r="A166" s="1"/>
      <c r="B166" s="1"/>
      <c r="C166" s="1"/>
      <c r="D166" s="1"/>
      <c r="E166" s="1"/>
      <c r="F166" s="1"/>
      <c r="G166" s="6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1"/>
      <c r="T166" s="14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x14ac:dyDescent="0.25">
      <c r="A167" s="1"/>
      <c r="B167" s="1"/>
      <c r="C167" s="1"/>
      <c r="D167" s="1"/>
      <c r="E167" s="1"/>
      <c r="F167" s="1"/>
      <c r="G167" s="6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1"/>
      <c r="T167" s="14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x14ac:dyDescent="0.25">
      <c r="A168" s="1"/>
      <c r="B168" s="1"/>
      <c r="C168" s="1"/>
      <c r="D168" s="1"/>
      <c r="E168" s="1"/>
      <c r="F168" s="1"/>
      <c r="G168" s="6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1"/>
      <c r="T168" s="14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x14ac:dyDescent="0.25">
      <c r="A169" s="1"/>
      <c r="B169" s="1"/>
      <c r="C169" s="1"/>
      <c r="D169" s="1"/>
      <c r="E169" s="1"/>
      <c r="F169" s="1"/>
      <c r="G169" s="6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1"/>
      <c r="T169" s="14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x14ac:dyDescent="0.25">
      <c r="A170" s="1"/>
      <c r="B170" s="1"/>
      <c r="C170" s="1"/>
      <c r="D170" s="1"/>
      <c r="E170" s="1"/>
      <c r="F170" s="1"/>
      <c r="G170" s="6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1"/>
      <c r="T170" s="14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x14ac:dyDescent="0.25">
      <c r="A171" s="1"/>
      <c r="B171" s="1"/>
      <c r="C171" s="1"/>
      <c r="D171" s="1"/>
      <c r="E171" s="1"/>
      <c r="F171" s="1"/>
      <c r="G171" s="6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1"/>
      <c r="T171" s="14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x14ac:dyDescent="0.25">
      <c r="A172" s="1"/>
      <c r="B172" s="1"/>
      <c r="C172" s="1"/>
      <c r="D172" s="1"/>
      <c r="E172" s="1"/>
      <c r="F172" s="1"/>
      <c r="G172" s="6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1"/>
      <c r="T172" s="14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x14ac:dyDescent="0.25">
      <c r="A173" s="1"/>
      <c r="B173" s="1"/>
      <c r="C173" s="1"/>
      <c r="D173" s="1"/>
      <c r="E173" s="1"/>
      <c r="F173" s="1"/>
      <c r="G173" s="6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1"/>
      <c r="T173" s="14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x14ac:dyDescent="0.25">
      <c r="A174" s="1"/>
      <c r="B174" s="1"/>
      <c r="C174" s="1"/>
      <c r="D174" s="1"/>
      <c r="E174" s="1"/>
      <c r="F174" s="1"/>
      <c r="G174" s="6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1"/>
      <c r="T174" s="14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x14ac:dyDescent="0.25">
      <c r="A175" s="1"/>
      <c r="B175" s="1"/>
      <c r="C175" s="1"/>
      <c r="D175" s="1"/>
      <c r="E175" s="1"/>
      <c r="F175" s="1"/>
      <c r="G175" s="6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1"/>
      <c r="T175" s="14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x14ac:dyDescent="0.25">
      <c r="A176" s="1"/>
      <c r="B176" s="1"/>
      <c r="C176" s="1"/>
      <c r="D176" s="1"/>
      <c r="E176" s="1"/>
      <c r="F176" s="1"/>
      <c r="G176" s="6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1"/>
      <c r="T176" s="14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x14ac:dyDescent="0.25">
      <c r="A177" s="1"/>
      <c r="B177" s="1"/>
      <c r="C177" s="1"/>
      <c r="D177" s="1"/>
      <c r="E177" s="1"/>
      <c r="F177" s="1"/>
      <c r="G177" s="6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1"/>
      <c r="T177" s="14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x14ac:dyDescent="0.25">
      <c r="A178" s="1"/>
      <c r="B178" s="1"/>
      <c r="C178" s="1"/>
      <c r="D178" s="1"/>
      <c r="E178" s="1"/>
      <c r="F178" s="1"/>
      <c r="G178" s="6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1"/>
      <c r="T178" s="14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x14ac:dyDescent="0.25">
      <c r="A179" s="1"/>
      <c r="B179" s="1"/>
      <c r="C179" s="1"/>
      <c r="D179" s="1"/>
      <c r="E179" s="1"/>
      <c r="F179" s="1"/>
      <c r="G179" s="6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1"/>
      <c r="T179" s="14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x14ac:dyDescent="0.25">
      <c r="A180" s="1"/>
      <c r="B180" s="1"/>
      <c r="C180" s="1"/>
      <c r="D180" s="1"/>
      <c r="E180" s="1"/>
      <c r="F180" s="1"/>
      <c r="G180" s="6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1"/>
      <c r="T180" s="14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x14ac:dyDescent="0.25">
      <c r="A181" s="1"/>
      <c r="B181" s="1"/>
      <c r="C181" s="1"/>
      <c r="D181" s="1"/>
      <c r="E181" s="1"/>
      <c r="F181" s="1"/>
      <c r="G181" s="6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1"/>
      <c r="T181" s="14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x14ac:dyDescent="0.25">
      <c r="A182" s="1"/>
      <c r="B182" s="1"/>
      <c r="C182" s="1"/>
      <c r="D182" s="1"/>
      <c r="E182" s="1"/>
      <c r="F182" s="1"/>
      <c r="G182" s="6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1"/>
      <c r="T182" s="14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x14ac:dyDescent="0.25">
      <c r="A183" s="1"/>
      <c r="B183" s="1"/>
      <c r="C183" s="1"/>
      <c r="D183" s="1"/>
      <c r="E183" s="1"/>
      <c r="F183" s="1"/>
      <c r="G183" s="6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1"/>
      <c r="T183" s="14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x14ac:dyDescent="0.25">
      <c r="A184" s="1"/>
      <c r="B184" s="1"/>
      <c r="C184" s="1"/>
      <c r="D184" s="1"/>
      <c r="E184" s="1"/>
      <c r="F184" s="1"/>
      <c r="G184" s="6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1"/>
      <c r="T184" s="14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x14ac:dyDescent="0.25">
      <c r="A185" s="1"/>
      <c r="B185" s="1"/>
      <c r="C185" s="1"/>
      <c r="D185" s="1"/>
      <c r="E185" s="1"/>
      <c r="F185" s="1"/>
      <c r="G185" s="6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1"/>
      <c r="T185" s="14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x14ac:dyDescent="0.25">
      <c r="A186" s="1"/>
      <c r="B186" s="1"/>
      <c r="C186" s="1"/>
      <c r="D186" s="1"/>
      <c r="E186" s="1"/>
      <c r="F186" s="1"/>
      <c r="G186" s="6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1"/>
      <c r="T186" s="14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x14ac:dyDescent="0.25">
      <c r="A187" s="1"/>
      <c r="B187" s="1"/>
      <c r="C187" s="1"/>
      <c r="D187" s="1"/>
      <c r="E187" s="1"/>
      <c r="F187" s="1"/>
      <c r="G187" s="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1"/>
      <c r="T187" s="14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x14ac:dyDescent="0.25">
      <c r="A188" s="1"/>
      <c r="B188" s="1"/>
      <c r="C188" s="1"/>
      <c r="D188" s="1"/>
      <c r="E188" s="1"/>
      <c r="F188" s="1"/>
      <c r="G188" s="6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1"/>
      <c r="T188" s="14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x14ac:dyDescent="0.25">
      <c r="A189" s="1"/>
      <c r="B189" s="1"/>
      <c r="C189" s="1"/>
      <c r="D189" s="1"/>
      <c r="E189" s="1"/>
      <c r="F189" s="1"/>
      <c r="G189" s="6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1"/>
      <c r="T189" s="14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x14ac:dyDescent="0.25">
      <c r="A190" s="1"/>
      <c r="B190" s="1"/>
      <c r="C190" s="1"/>
      <c r="D190" s="1"/>
      <c r="E190" s="1"/>
      <c r="F190" s="1"/>
      <c r="G190" s="6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1"/>
      <c r="T190" s="14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x14ac:dyDescent="0.25">
      <c r="A191" s="1"/>
      <c r="B191" s="1"/>
      <c r="C191" s="1"/>
      <c r="D191" s="1"/>
      <c r="E191" s="1"/>
      <c r="F191" s="1"/>
      <c r="G191" s="6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1"/>
      <c r="T191" s="14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x14ac:dyDescent="0.25">
      <c r="A192" s="1"/>
      <c r="B192" s="1"/>
      <c r="C192" s="1"/>
      <c r="D192" s="1"/>
      <c r="E192" s="1"/>
      <c r="F192" s="1"/>
      <c r="G192" s="6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1"/>
      <c r="T192" s="14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x14ac:dyDescent="0.25">
      <c r="A193" s="1"/>
      <c r="B193" s="1"/>
      <c r="C193" s="1"/>
      <c r="D193" s="1"/>
      <c r="E193" s="1"/>
      <c r="F193" s="1"/>
      <c r="G193" s="6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1"/>
      <c r="T193" s="14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x14ac:dyDescent="0.25">
      <c r="A194" s="1"/>
      <c r="B194" s="1"/>
      <c r="C194" s="1"/>
      <c r="D194" s="1"/>
      <c r="E194" s="1"/>
      <c r="F194" s="1"/>
      <c r="G194" s="6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1"/>
      <c r="T194" s="14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x14ac:dyDescent="0.25">
      <c r="A195" s="1"/>
      <c r="B195" s="1"/>
      <c r="C195" s="1"/>
      <c r="D195" s="1"/>
      <c r="E195" s="1"/>
      <c r="F195" s="1"/>
      <c r="G195" s="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1"/>
      <c r="T195" s="14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x14ac:dyDescent="0.25">
      <c r="A196" s="1"/>
      <c r="B196" s="1"/>
      <c r="C196" s="1"/>
      <c r="D196" s="1"/>
      <c r="E196" s="1"/>
      <c r="F196" s="1"/>
      <c r="G196" s="6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1"/>
      <c r="T196" s="14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x14ac:dyDescent="0.25">
      <c r="A197" s="1"/>
      <c r="B197" s="1"/>
      <c r="C197" s="1"/>
      <c r="D197" s="1"/>
      <c r="E197" s="1"/>
      <c r="F197" s="1"/>
      <c r="G197" s="6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1"/>
      <c r="T197" s="14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x14ac:dyDescent="0.25">
      <c r="A198" s="1"/>
      <c r="B198" s="1"/>
      <c r="C198" s="1"/>
      <c r="D198" s="1"/>
      <c r="E198" s="1"/>
      <c r="F198" s="1"/>
      <c r="G198" s="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1"/>
      <c r="T198" s="14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x14ac:dyDescent="0.25">
      <c r="A199" s="1"/>
      <c r="B199" s="1"/>
      <c r="C199" s="1"/>
      <c r="D199" s="1"/>
      <c r="E199" s="1"/>
      <c r="F199" s="1"/>
      <c r="G199" s="6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1"/>
      <c r="T199" s="14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x14ac:dyDescent="0.25">
      <c r="A200" s="1"/>
      <c r="B200" s="1"/>
      <c r="C200" s="1"/>
      <c r="D200" s="1"/>
      <c r="E200" s="1"/>
      <c r="F200" s="1"/>
      <c r="G200" s="6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1"/>
      <c r="T200" s="14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x14ac:dyDescent="0.25">
      <c r="A201" s="1"/>
      <c r="B201" s="1"/>
      <c r="C201" s="1"/>
      <c r="D201" s="1"/>
      <c r="E201" s="1"/>
      <c r="F201" s="1"/>
      <c r="G201" s="6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1"/>
      <c r="T201" s="14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x14ac:dyDescent="0.25">
      <c r="A202" s="1"/>
      <c r="B202" s="1"/>
      <c r="C202" s="1"/>
      <c r="D202" s="1"/>
      <c r="E202" s="1"/>
      <c r="F202" s="1"/>
      <c r="G202" s="6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1"/>
      <c r="T202" s="14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x14ac:dyDescent="0.25">
      <c r="A203" s="1"/>
      <c r="B203" s="1"/>
      <c r="C203" s="1"/>
      <c r="D203" s="1"/>
      <c r="E203" s="1"/>
      <c r="F203" s="1"/>
      <c r="G203" s="6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1"/>
      <c r="T203" s="14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x14ac:dyDescent="0.25">
      <c r="A204" s="1"/>
      <c r="B204" s="1"/>
      <c r="C204" s="1"/>
      <c r="D204" s="1"/>
      <c r="E204" s="1"/>
      <c r="F204" s="1"/>
      <c r="G204" s="6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1"/>
      <c r="T204" s="14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x14ac:dyDescent="0.25">
      <c r="A205" s="1"/>
      <c r="B205" s="1"/>
      <c r="C205" s="1"/>
      <c r="D205" s="1"/>
      <c r="E205" s="1"/>
      <c r="F205" s="1"/>
      <c r="G205" s="6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1"/>
      <c r="T205" s="14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x14ac:dyDescent="0.25">
      <c r="A206" s="1"/>
      <c r="B206" s="1"/>
      <c r="C206" s="1"/>
      <c r="D206" s="1"/>
      <c r="E206" s="1"/>
      <c r="F206" s="1"/>
      <c r="G206" s="6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1"/>
      <c r="T206" s="14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x14ac:dyDescent="0.25">
      <c r="A207" s="1"/>
      <c r="B207" s="1"/>
      <c r="C207" s="1"/>
      <c r="D207" s="1"/>
      <c r="E207" s="1"/>
      <c r="F207" s="1"/>
      <c r="G207" s="6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1"/>
      <c r="T207" s="14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x14ac:dyDescent="0.25">
      <c r="A208" s="1"/>
      <c r="B208" s="1"/>
      <c r="C208" s="1"/>
      <c r="D208" s="1"/>
      <c r="E208" s="1"/>
      <c r="F208" s="1"/>
      <c r="G208" s="6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1"/>
      <c r="T208" s="14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x14ac:dyDescent="0.25">
      <c r="A209" s="1"/>
      <c r="B209" s="1"/>
      <c r="C209" s="1"/>
      <c r="D209" s="1"/>
      <c r="E209" s="1"/>
      <c r="F209" s="1"/>
      <c r="G209" s="6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1"/>
      <c r="T209" s="14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x14ac:dyDescent="0.25">
      <c r="A210" s="1"/>
      <c r="B210" s="1"/>
      <c r="C210" s="1"/>
      <c r="D210" s="1"/>
      <c r="E210" s="1"/>
      <c r="F210" s="1"/>
      <c r="G210" s="6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1"/>
      <c r="T210" s="14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x14ac:dyDescent="0.25">
      <c r="A211" s="1"/>
      <c r="B211" s="1"/>
      <c r="C211" s="1"/>
      <c r="D211" s="1"/>
      <c r="E211" s="1"/>
      <c r="F211" s="1"/>
      <c r="G211" s="6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1"/>
      <c r="T211" s="14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x14ac:dyDescent="0.25">
      <c r="A212" s="1"/>
      <c r="B212" s="1"/>
      <c r="C212" s="1"/>
      <c r="D212" s="1"/>
      <c r="E212" s="1"/>
      <c r="F212" s="1"/>
      <c r="G212" s="6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1"/>
      <c r="T212" s="14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x14ac:dyDescent="0.25">
      <c r="A213" s="1"/>
      <c r="B213" s="1"/>
      <c r="C213" s="1"/>
      <c r="D213" s="1"/>
      <c r="E213" s="1"/>
      <c r="F213" s="1"/>
      <c r="G213" s="6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1"/>
      <c r="T213" s="14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x14ac:dyDescent="0.25">
      <c r="A214" s="1"/>
      <c r="B214" s="1"/>
      <c r="C214" s="1"/>
      <c r="D214" s="1"/>
      <c r="E214" s="1"/>
      <c r="F214" s="1"/>
      <c r="G214" s="6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1"/>
      <c r="T214" s="14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x14ac:dyDescent="0.25">
      <c r="A215" s="1"/>
      <c r="B215" s="1"/>
      <c r="C215" s="1"/>
      <c r="D215" s="1"/>
      <c r="E215" s="1"/>
      <c r="F215" s="1"/>
      <c r="G215" s="6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1"/>
      <c r="T215" s="14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x14ac:dyDescent="0.25">
      <c r="A216" s="1"/>
      <c r="B216" s="1"/>
      <c r="C216" s="1"/>
      <c r="D216" s="1"/>
      <c r="E216" s="1"/>
      <c r="F216" s="1"/>
      <c r="G216" s="6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1"/>
      <c r="T216" s="14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x14ac:dyDescent="0.25">
      <c r="A217" s="1"/>
      <c r="B217" s="1"/>
      <c r="C217" s="1"/>
      <c r="D217" s="1"/>
      <c r="E217" s="1"/>
      <c r="F217" s="1"/>
      <c r="G217" s="6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1"/>
      <c r="T217" s="14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x14ac:dyDescent="0.25">
      <c r="A218" s="1"/>
      <c r="B218" s="1"/>
      <c r="C218" s="1"/>
      <c r="D218" s="1"/>
      <c r="E218" s="1"/>
      <c r="F218" s="1"/>
      <c r="G218" s="6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1"/>
      <c r="T218" s="14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x14ac:dyDescent="0.25">
      <c r="A219" s="1"/>
      <c r="B219" s="1"/>
      <c r="C219" s="1"/>
      <c r="D219" s="1"/>
      <c r="E219" s="1"/>
      <c r="F219" s="1"/>
      <c r="G219" s="6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1"/>
      <c r="T219" s="14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x14ac:dyDescent="0.25">
      <c r="A220" s="1"/>
      <c r="B220" s="1"/>
      <c r="C220" s="1"/>
      <c r="D220" s="1"/>
      <c r="E220" s="1"/>
      <c r="F220" s="1"/>
      <c r="G220" s="6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1"/>
      <c r="T220" s="14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x14ac:dyDescent="0.25">
      <c r="A221" s="1"/>
      <c r="B221" s="1"/>
      <c r="C221" s="1"/>
      <c r="D221" s="1"/>
      <c r="E221" s="1"/>
      <c r="F221" s="1"/>
      <c r="G221" s="6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1"/>
      <c r="T221" s="14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x14ac:dyDescent="0.25">
      <c r="A222" s="1"/>
      <c r="B222" s="1"/>
      <c r="C222" s="1"/>
      <c r="D222" s="1"/>
      <c r="E222" s="1"/>
      <c r="F222" s="1"/>
      <c r="G222" s="6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1"/>
      <c r="T222" s="14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x14ac:dyDescent="0.25">
      <c r="A223" s="1"/>
      <c r="B223" s="1"/>
      <c r="C223" s="1"/>
      <c r="D223" s="1"/>
      <c r="E223" s="1"/>
      <c r="F223" s="1"/>
      <c r="G223" s="6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1"/>
      <c r="T223" s="14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x14ac:dyDescent="0.25">
      <c r="A224" s="1"/>
      <c r="B224" s="1"/>
      <c r="C224" s="1"/>
      <c r="D224" s="1"/>
      <c r="E224" s="1"/>
      <c r="F224" s="1"/>
      <c r="G224" s="6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1"/>
      <c r="T224" s="14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x14ac:dyDescent="0.25">
      <c r="A225" s="1"/>
      <c r="B225" s="1"/>
      <c r="C225" s="1"/>
      <c r="D225" s="1"/>
      <c r="E225" s="1"/>
      <c r="F225" s="1"/>
      <c r="G225" s="6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1"/>
      <c r="T225" s="14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x14ac:dyDescent="0.25">
      <c r="A226" s="1"/>
      <c r="B226" s="1"/>
      <c r="C226" s="1"/>
      <c r="D226" s="1"/>
      <c r="E226" s="1"/>
      <c r="F226" s="1"/>
      <c r="G226" s="6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1"/>
      <c r="T226" s="14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x14ac:dyDescent="0.25">
      <c r="A227" s="1"/>
      <c r="B227" s="1"/>
      <c r="C227" s="1"/>
      <c r="D227" s="1"/>
      <c r="E227" s="1"/>
      <c r="F227" s="1"/>
      <c r="G227" s="6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1"/>
      <c r="T227" s="14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x14ac:dyDescent="0.25">
      <c r="A228" s="1"/>
      <c r="B228" s="1"/>
      <c r="C228" s="1"/>
      <c r="D228" s="1"/>
      <c r="E228" s="1"/>
      <c r="F228" s="1"/>
      <c r="G228" s="6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1"/>
      <c r="T228" s="14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x14ac:dyDescent="0.25">
      <c r="A229" s="1"/>
      <c r="B229" s="1"/>
      <c r="C229" s="1"/>
      <c r="D229" s="1"/>
      <c r="E229" s="1"/>
      <c r="F229" s="1"/>
      <c r="G229" s="6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1"/>
      <c r="T229" s="14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x14ac:dyDescent="0.25">
      <c r="A230" s="1"/>
      <c r="B230" s="1"/>
      <c r="C230" s="1"/>
      <c r="D230" s="1"/>
      <c r="E230" s="1"/>
      <c r="F230" s="1"/>
      <c r="G230" s="6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1"/>
      <c r="T230" s="14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x14ac:dyDescent="0.25">
      <c r="A231" s="1"/>
      <c r="B231" s="1"/>
      <c r="C231" s="1"/>
      <c r="D231" s="1"/>
      <c r="E231" s="1"/>
      <c r="F231" s="1"/>
      <c r="G231" s="6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1"/>
      <c r="T231" s="14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x14ac:dyDescent="0.25">
      <c r="A232" s="1"/>
      <c r="B232" s="1"/>
      <c r="C232" s="1"/>
      <c r="D232" s="1"/>
      <c r="E232" s="1"/>
      <c r="F232" s="1"/>
      <c r="G232" s="6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1"/>
      <c r="T232" s="14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x14ac:dyDescent="0.25">
      <c r="A233" s="1"/>
      <c r="B233" s="1"/>
      <c r="C233" s="1"/>
      <c r="D233" s="1"/>
      <c r="E233" s="1"/>
      <c r="F233" s="1"/>
      <c r="G233" s="6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1"/>
      <c r="T233" s="14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x14ac:dyDescent="0.25">
      <c r="A234" s="1"/>
      <c r="B234" s="1"/>
      <c r="C234" s="1"/>
      <c r="D234" s="1"/>
      <c r="E234" s="1"/>
      <c r="F234" s="1"/>
      <c r="G234" s="6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1"/>
      <c r="T234" s="14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x14ac:dyDescent="0.25">
      <c r="A235" s="1"/>
      <c r="B235" s="1"/>
      <c r="C235" s="1"/>
      <c r="D235" s="1"/>
      <c r="E235" s="1"/>
      <c r="F235" s="1"/>
      <c r="G235" s="6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1"/>
      <c r="T235" s="14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x14ac:dyDescent="0.25">
      <c r="A236" s="1"/>
      <c r="B236" s="1"/>
      <c r="C236" s="1"/>
      <c r="D236" s="1"/>
      <c r="E236" s="1"/>
      <c r="F236" s="1"/>
      <c r="G236" s="6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1"/>
      <c r="T236" s="14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x14ac:dyDescent="0.25">
      <c r="A237" s="1"/>
      <c r="B237" s="1"/>
      <c r="C237" s="1"/>
      <c r="D237" s="1"/>
      <c r="E237" s="1"/>
      <c r="F237" s="1"/>
      <c r="G237" s="6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1"/>
      <c r="T237" s="14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x14ac:dyDescent="0.25">
      <c r="A238" s="1"/>
      <c r="B238" s="1"/>
      <c r="C238" s="1"/>
      <c r="D238" s="1"/>
      <c r="E238" s="1"/>
      <c r="F238" s="1"/>
      <c r="G238" s="6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1"/>
      <c r="T238" s="14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x14ac:dyDescent="0.25">
      <c r="A239" s="1"/>
      <c r="B239" s="1"/>
      <c r="C239" s="1"/>
      <c r="D239" s="1"/>
      <c r="E239" s="1"/>
      <c r="F239" s="1"/>
      <c r="G239" s="6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1"/>
      <c r="T239" s="14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x14ac:dyDescent="0.25">
      <c r="A240" s="1"/>
      <c r="B240" s="1"/>
      <c r="C240" s="1"/>
      <c r="D240" s="1"/>
      <c r="E240" s="1"/>
      <c r="F240" s="1"/>
      <c r="G240" s="6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1"/>
      <c r="T240" s="14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x14ac:dyDescent="0.25">
      <c r="A241" s="1"/>
      <c r="B241" s="1"/>
      <c r="C241" s="1"/>
      <c r="D241" s="1"/>
      <c r="E241" s="1"/>
      <c r="F241" s="1"/>
      <c r="G241" s="6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1"/>
      <c r="T241" s="14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x14ac:dyDescent="0.25">
      <c r="A242" s="1"/>
      <c r="B242" s="1"/>
      <c r="C242" s="1"/>
      <c r="D242" s="1"/>
      <c r="E242" s="1"/>
      <c r="F242" s="1"/>
      <c r="G242" s="6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1"/>
      <c r="T242" s="14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x14ac:dyDescent="0.25">
      <c r="A243" s="1"/>
      <c r="B243" s="1"/>
      <c r="C243" s="1"/>
      <c r="D243" s="1"/>
      <c r="E243" s="1"/>
      <c r="F243" s="1"/>
      <c r="G243" s="6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1"/>
      <c r="T243" s="14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x14ac:dyDescent="0.25">
      <c r="A244" s="1"/>
      <c r="B244" s="1"/>
      <c r="C244" s="1"/>
      <c r="D244" s="1"/>
      <c r="E244" s="1"/>
      <c r="F244" s="1"/>
      <c r="G244" s="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1"/>
      <c r="T244" s="14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x14ac:dyDescent="0.25">
      <c r="A245" s="1"/>
      <c r="B245" s="1"/>
      <c r="C245" s="1"/>
      <c r="D245" s="1"/>
      <c r="E245" s="1"/>
      <c r="F245" s="1"/>
      <c r="G245" s="6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1"/>
      <c r="T245" s="14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x14ac:dyDescent="0.25">
      <c r="A246" s="1"/>
      <c r="B246" s="1"/>
      <c r="C246" s="1"/>
      <c r="D246" s="1"/>
      <c r="E246" s="1"/>
      <c r="F246" s="1"/>
      <c r="G246" s="6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1"/>
      <c r="T246" s="14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x14ac:dyDescent="0.25">
      <c r="A247" s="1"/>
      <c r="B247" s="1"/>
      <c r="C247" s="1"/>
      <c r="D247" s="1"/>
      <c r="E247" s="1"/>
      <c r="F247" s="1"/>
      <c r="G247" s="6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1"/>
      <c r="T247" s="14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x14ac:dyDescent="0.25">
      <c r="A248" s="1"/>
      <c r="B248" s="1"/>
      <c r="C248" s="1"/>
      <c r="D248" s="1"/>
      <c r="E248" s="1"/>
      <c r="F248" s="1"/>
      <c r="G248" s="6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1"/>
      <c r="T248" s="14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x14ac:dyDescent="0.25">
      <c r="A249" s="1"/>
      <c r="B249" s="1"/>
      <c r="C249" s="1"/>
      <c r="D249" s="1"/>
      <c r="E249" s="1"/>
      <c r="F249" s="1"/>
      <c r="G249" s="6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1"/>
      <c r="T249" s="14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x14ac:dyDescent="0.25">
      <c r="A250" s="1"/>
      <c r="B250" s="1"/>
      <c r="C250" s="1"/>
      <c r="D250" s="1"/>
      <c r="E250" s="1"/>
      <c r="F250" s="1"/>
      <c r="G250" s="6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1"/>
      <c r="T250" s="14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x14ac:dyDescent="0.25">
      <c r="A251" s="1"/>
      <c r="B251" s="1"/>
      <c r="C251" s="1"/>
      <c r="D251" s="1"/>
      <c r="E251" s="1"/>
      <c r="F251" s="1"/>
      <c r="G251" s="6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1"/>
      <c r="T251" s="14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x14ac:dyDescent="0.25">
      <c r="A252" s="1"/>
      <c r="B252" s="1"/>
      <c r="C252" s="1"/>
      <c r="D252" s="1"/>
      <c r="E252" s="1"/>
      <c r="F252" s="1"/>
      <c r="G252" s="6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1"/>
      <c r="T252" s="14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x14ac:dyDescent="0.25">
      <c r="A253" s="1"/>
      <c r="B253" s="1"/>
      <c r="C253" s="1"/>
      <c r="D253" s="1"/>
      <c r="E253" s="1"/>
      <c r="F253" s="1"/>
      <c r="G253" s="6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1"/>
      <c r="T253" s="14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x14ac:dyDescent="0.25">
      <c r="A254" s="1"/>
      <c r="B254" s="1"/>
      <c r="C254" s="1"/>
      <c r="D254" s="1"/>
      <c r="E254" s="1"/>
      <c r="F254" s="1"/>
      <c r="G254" s="6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1"/>
      <c r="T254" s="14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x14ac:dyDescent="0.25">
      <c r="A255" s="1"/>
      <c r="B255" s="1"/>
      <c r="C255" s="1"/>
      <c r="D255" s="1"/>
      <c r="E255" s="1"/>
      <c r="F255" s="1"/>
      <c r="G255" s="6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1"/>
      <c r="T255" s="14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x14ac:dyDescent="0.25">
      <c r="A256" s="1"/>
      <c r="B256" s="1"/>
      <c r="C256" s="1"/>
      <c r="D256" s="1"/>
      <c r="E256" s="1"/>
      <c r="F256" s="1"/>
      <c r="G256" s="6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1"/>
      <c r="T256" s="14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x14ac:dyDescent="0.25">
      <c r="A257" s="1"/>
      <c r="B257" s="1"/>
      <c r="C257" s="1"/>
      <c r="D257" s="1"/>
      <c r="E257" s="1"/>
      <c r="F257" s="1"/>
      <c r="G257" s="6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1"/>
      <c r="T257" s="14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x14ac:dyDescent="0.25">
      <c r="A258" s="1"/>
      <c r="B258" s="1"/>
      <c r="C258" s="1"/>
      <c r="D258" s="1"/>
      <c r="E258" s="1"/>
      <c r="F258" s="1"/>
      <c r="G258" s="6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1"/>
      <c r="T258" s="14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x14ac:dyDescent="0.25">
      <c r="A259" s="1"/>
      <c r="B259" s="1"/>
      <c r="C259" s="1"/>
      <c r="D259" s="1"/>
      <c r="E259" s="1"/>
      <c r="F259" s="1"/>
      <c r="G259" s="6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1"/>
      <c r="T259" s="14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x14ac:dyDescent="0.25">
      <c r="A260" s="1"/>
      <c r="B260" s="1"/>
      <c r="C260" s="1"/>
      <c r="D260" s="1"/>
      <c r="E260" s="1"/>
      <c r="F260" s="1"/>
      <c r="G260" s="6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1"/>
      <c r="T260" s="14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x14ac:dyDescent="0.25">
      <c r="A261" s="1"/>
      <c r="B261" s="1"/>
      <c r="C261" s="1"/>
      <c r="D261" s="1"/>
      <c r="E261" s="1"/>
      <c r="F261" s="1"/>
      <c r="G261" s="6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1"/>
      <c r="T261" s="14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x14ac:dyDescent="0.25">
      <c r="A262" s="1"/>
      <c r="B262" s="1"/>
      <c r="C262" s="1"/>
      <c r="D262" s="1"/>
      <c r="E262" s="1"/>
      <c r="F262" s="1"/>
      <c r="G262" s="6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1"/>
      <c r="T262" s="14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x14ac:dyDescent="0.25">
      <c r="A263" s="1"/>
      <c r="B263" s="1"/>
      <c r="C263" s="1"/>
      <c r="D263" s="1"/>
      <c r="E263" s="1"/>
      <c r="F263" s="1"/>
      <c r="G263" s="6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1"/>
      <c r="T263" s="14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x14ac:dyDescent="0.25">
      <c r="A264" s="1"/>
      <c r="B264" s="1"/>
      <c r="C264" s="1"/>
      <c r="D264" s="1"/>
      <c r="E264" s="1"/>
      <c r="F264" s="1"/>
      <c r="G264" s="6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1"/>
      <c r="T264" s="14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x14ac:dyDescent="0.25">
      <c r="A265" s="1"/>
      <c r="B265" s="1"/>
      <c r="C265" s="1"/>
      <c r="D265" s="1"/>
      <c r="E265" s="1"/>
      <c r="F265" s="1"/>
      <c r="G265" s="6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1"/>
      <c r="T265" s="14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x14ac:dyDescent="0.25">
      <c r="A266" s="1"/>
      <c r="B266" s="1"/>
      <c r="C266" s="1"/>
      <c r="D266" s="1"/>
      <c r="E266" s="1"/>
      <c r="F266" s="1"/>
      <c r="G266" s="6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1"/>
      <c r="T266" s="14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x14ac:dyDescent="0.25">
      <c r="A267" s="1"/>
      <c r="B267" s="1"/>
      <c r="C267" s="1"/>
      <c r="D267" s="1"/>
      <c r="E267" s="1"/>
      <c r="F267" s="1"/>
      <c r="G267" s="6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1"/>
      <c r="T267" s="14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x14ac:dyDescent="0.25">
      <c r="A268" s="1"/>
      <c r="B268" s="1"/>
      <c r="C268" s="1"/>
      <c r="D268" s="1"/>
      <c r="E268" s="1"/>
      <c r="F268" s="1"/>
      <c r="G268" s="6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1"/>
      <c r="T268" s="14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x14ac:dyDescent="0.25">
      <c r="A269" s="1"/>
      <c r="B269" s="1"/>
      <c r="C269" s="1"/>
      <c r="D269" s="1"/>
      <c r="E269" s="1"/>
      <c r="F269" s="1"/>
      <c r="G269" s="6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1"/>
      <c r="T269" s="14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x14ac:dyDescent="0.25">
      <c r="A270" s="1"/>
      <c r="B270" s="1"/>
      <c r="C270" s="1"/>
      <c r="D270" s="1"/>
      <c r="E270" s="1"/>
      <c r="F270" s="1"/>
      <c r="G270" s="6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1"/>
      <c r="T270" s="14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x14ac:dyDescent="0.25">
      <c r="A271" s="1"/>
      <c r="B271" s="1"/>
      <c r="C271" s="1"/>
      <c r="D271" s="1"/>
      <c r="E271" s="1"/>
      <c r="F271" s="1"/>
      <c r="G271" s="6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1"/>
      <c r="T271" s="14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x14ac:dyDescent="0.25">
      <c r="A272" s="1"/>
      <c r="B272" s="1"/>
      <c r="C272" s="1"/>
      <c r="D272" s="1"/>
      <c r="E272" s="1"/>
      <c r="F272" s="1"/>
      <c r="G272" s="6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1"/>
      <c r="T272" s="14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x14ac:dyDescent="0.25">
      <c r="A273" s="1"/>
      <c r="B273" s="1"/>
      <c r="C273" s="1"/>
      <c r="D273" s="1"/>
      <c r="E273" s="1"/>
      <c r="F273" s="1"/>
      <c r="G273" s="6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1"/>
      <c r="T273" s="14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x14ac:dyDescent="0.25">
      <c r="A274" s="1"/>
      <c r="B274" s="1"/>
      <c r="C274" s="1"/>
      <c r="D274" s="1"/>
      <c r="E274" s="1"/>
      <c r="F274" s="1"/>
      <c r="G274" s="6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1"/>
      <c r="T274" s="14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x14ac:dyDescent="0.25">
      <c r="A275" s="1"/>
      <c r="B275" s="1"/>
      <c r="C275" s="1"/>
      <c r="D275" s="1"/>
      <c r="E275" s="1"/>
      <c r="F275" s="1"/>
      <c r="G275" s="6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1"/>
      <c r="T275" s="14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x14ac:dyDescent="0.25">
      <c r="A276" s="1"/>
      <c r="B276" s="1"/>
      <c r="C276" s="1"/>
      <c r="D276" s="1"/>
      <c r="E276" s="1"/>
      <c r="F276" s="1"/>
      <c r="G276" s="6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1"/>
      <c r="T276" s="14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x14ac:dyDescent="0.25">
      <c r="A277" s="1"/>
      <c r="B277" s="1"/>
      <c r="C277" s="1"/>
      <c r="D277" s="1"/>
      <c r="E277" s="1"/>
      <c r="F277" s="1"/>
      <c r="G277" s="6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1"/>
      <c r="T277" s="14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x14ac:dyDescent="0.25">
      <c r="A278" s="1"/>
      <c r="B278" s="1"/>
      <c r="C278" s="1"/>
      <c r="D278" s="1"/>
      <c r="E278" s="1"/>
      <c r="F278" s="1"/>
      <c r="G278" s="6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1"/>
      <c r="T278" s="14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x14ac:dyDescent="0.25">
      <c r="A279" s="1"/>
      <c r="B279" s="1"/>
      <c r="C279" s="1"/>
      <c r="D279" s="1"/>
      <c r="E279" s="1"/>
      <c r="F279" s="1"/>
      <c r="G279" s="6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1"/>
      <c r="T279" s="14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x14ac:dyDescent="0.25">
      <c r="A280" s="1"/>
      <c r="B280" s="1"/>
      <c r="C280" s="1"/>
      <c r="D280" s="1"/>
      <c r="E280" s="1"/>
      <c r="F280" s="1"/>
      <c r="G280" s="6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1"/>
      <c r="T280" s="14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x14ac:dyDescent="0.25">
      <c r="A281" s="1"/>
      <c r="B281" s="1"/>
      <c r="C281" s="1"/>
      <c r="D281" s="1"/>
      <c r="E281" s="1"/>
      <c r="F281" s="1"/>
      <c r="G281" s="6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1"/>
      <c r="T281" s="14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x14ac:dyDescent="0.25">
      <c r="A282" s="1"/>
      <c r="B282" s="1"/>
      <c r="C282" s="1"/>
      <c r="D282" s="1"/>
      <c r="E282" s="1"/>
      <c r="F282" s="1"/>
      <c r="G282" s="6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1"/>
      <c r="T282" s="14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x14ac:dyDescent="0.25">
      <c r="A283" s="1"/>
      <c r="B283" s="1"/>
      <c r="C283" s="1"/>
      <c r="D283" s="1"/>
      <c r="E283" s="1"/>
      <c r="F283" s="1"/>
      <c r="G283" s="6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1"/>
      <c r="T283" s="14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x14ac:dyDescent="0.25">
      <c r="A284" s="1"/>
      <c r="B284" s="1"/>
      <c r="C284" s="1"/>
      <c r="D284" s="1"/>
      <c r="E284" s="1"/>
      <c r="F284" s="1"/>
      <c r="G284" s="6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1"/>
      <c r="T284" s="14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x14ac:dyDescent="0.25">
      <c r="A285" s="1"/>
      <c r="B285" s="1"/>
      <c r="C285" s="1"/>
      <c r="D285" s="1"/>
      <c r="E285" s="1"/>
      <c r="F285" s="1"/>
      <c r="G285" s="6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1"/>
      <c r="T285" s="14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x14ac:dyDescent="0.25">
      <c r="A286" s="1"/>
      <c r="B286" s="1"/>
      <c r="C286" s="1"/>
      <c r="D286" s="1"/>
      <c r="E286" s="1"/>
      <c r="F286" s="1"/>
      <c r="G286" s="6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1"/>
      <c r="T286" s="14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x14ac:dyDescent="0.25">
      <c r="A287" s="1"/>
      <c r="B287" s="1"/>
      <c r="C287" s="1"/>
      <c r="D287" s="1"/>
      <c r="E287" s="1"/>
      <c r="F287" s="1"/>
      <c r="G287" s="6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1"/>
      <c r="T287" s="14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x14ac:dyDescent="0.25">
      <c r="A288" s="1"/>
      <c r="B288" s="1"/>
      <c r="C288" s="1"/>
      <c r="D288" s="1"/>
      <c r="E288" s="1"/>
      <c r="F288" s="1"/>
      <c r="G288" s="6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1"/>
      <c r="T288" s="14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x14ac:dyDescent="0.25">
      <c r="A289" s="1"/>
      <c r="B289" s="1"/>
      <c r="C289" s="1"/>
      <c r="D289" s="1"/>
      <c r="E289" s="1"/>
      <c r="F289" s="1"/>
      <c r="G289" s="6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1"/>
      <c r="T289" s="14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x14ac:dyDescent="0.25">
      <c r="A290" s="1"/>
      <c r="B290" s="1"/>
      <c r="C290" s="1"/>
      <c r="D290" s="1"/>
      <c r="E290" s="1"/>
      <c r="F290" s="1"/>
      <c r="G290" s="6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1"/>
      <c r="T290" s="14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x14ac:dyDescent="0.25">
      <c r="A291" s="1"/>
      <c r="B291" s="1"/>
      <c r="C291" s="1"/>
      <c r="D291" s="1"/>
      <c r="E291" s="1"/>
      <c r="F291" s="1"/>
      <c r="G291" s="6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1"/>
      <c r="T291" s="14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x14ac:dyDescent="0.25">
      <c r="A292" s="1"/>
      <c r="B292" s="1"/>
      <c r="C292" s="1"/>
      <c r="D292" s="1"/>
      <c r="E292" s="1"/>
      <c r="F292" s="1"/>
      <c r="G292" s="6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1"/>
      <c r="T292" s="14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x14ac:dyDescent="0.25">
      <c r="A293" s="1"/>
      <c r="B293" s="1"/>
      <c r="C293" s="1"/>
      <c r="D293" s="1"/>
      <c r="E293" s="1"/>
      <c r="F293" s="1"/>
      <c r="G293" s="6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1"/>
      <c r="T293" s="14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x14ac:dyDescent="0.25">
      <c r="A294" s="1"/>
      <c r="B294" s="1"/>
      <c r="C294" s="1"/>
      <c r="D294" s="1"/>
      <c r="E294" s="1"/>
      <c r="F294" s="1"/>
      <c r="G294" s="6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1"/>
      <c r="T294" s="14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x14ac:dyDescent="0.25">
      <c r="A295" s="1"/>
      <c r="B295" s="1"/>
      <c r="C295" s="1"/>
      <c r="D295" s="1"/>
      <c r="E295" s="1"/>
      <c r="F295" s="1"/>
      <c r="G295" s="6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1"/>
      <c r="T295" s="14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x14ac:dyDescent="0.25">
      <c r="A296" s="1"/>
      <c r="B296" s="1"/>
      <c r="C296" s="1"/>
      <c r="D296" s="1"/>
      <c r="E296" s="1"/>
      <c r="F296" s="1"/>
      <c r="G296" s="6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1"/>
      <c r="T296" s="14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x14ac:dyDescent="0.25">
      <c r="A297" s="1"/>
      <c r="B297" s="1"/>
      <c r="C297" s="1"/>
      <c r="D297" s="1"/>
      <c r="E297" s="1"/>
      <c r="F297" s="1"/>
      <c r="G297" s="6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1"/>
      <c r="T297" s="14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x14ac:dyDescent="0.25">
      <c r="A298" s="1"/>
      <c r="B298" s="1"/>
      <c r="C298" s="1"/>
      <c r="D298" s="1"/>
      <c r="E298" s="1"/>
      <c r="F298" s="1"/>
      <c r="G298" s="6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1"/>
      <c r="T298" s="14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x14ac:dyDescent="0.25">
      <c r="A299" s="1"/>
      <c r="B299" s="1"/>
      <c r="C299" s="1"/>
      <c r="D299" s="1"/>
      <c r="E299" s="1"/>
      <c r="F299" s="1"/>
      <c r="G299" s="6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1"/>
      <c r="T299" s="14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x14ac:dyDescent="0.25">
      <c r="A300" s="1"/>
      <c r="B300" s="1"/>
      <c r="C300" s="1"/>
      <c r="D300" s="1"/>
      <c r="E300" s="1"/>
      <c r="F300" s="1"/>
      <c r="G300" s="6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1"/>
      <c r="T300" s="14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spans="1:46" x14ac:dyDescent="0.25">
      <c r="A301" s="1"/>
      <c r="B301" s="1"/>
      <c r="C301" s="1"/>
      <c r="D301" s="1"/>
      <c r="E301" s="1"/>
      <c r="F301" s="1"/>
      <c r="G301" s="6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1"/>
      <c r="T301" s="14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spans="1:46" x14ac:dyDescent="0.25">
      <c r="A302" s="1"/>
      <c r="B302" s="1"/>
      <c r="C302" s="1"/>
      <c r="D302" s="1"/>
      <c r="E302" s="1"/>
      <c r="F302" s="1"/>
      <c r="G302" s="6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1"/>
      <c r="T302" s="14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spans="1:46" x14ac:dyDescent="0.25">
      <c r="A303" s="1"/>
      <c r="B303" s="1"/>
      <c r="C303" s="1"/>
      <c r="D303" s="1"/>
      <c r="E303" s="1"/>
      <c r="F303" s="1"/>
      <c r="G303" s="6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1"/>
      <c r="T303" s="14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spans="1:46" x14ac:dyDescent="0.25">
      <c r="A304" s="1"/>
      <c r="B304" s="1"/>
      <c r="C304" s="1"/>
      <c r="D304" s="1"/>
      <c r="E304" s="1"/>
      <c r="F304" s="1"/>
      <c r="G304" s="6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1"/>
      <c r="T304" s="14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spans="1:46" x14ac:dyDescent="0.25">
      <c r="A305" s="1"/>
      <c r="B305" s="1"/>
      <c r="C305" s="1"/>
      <c r="D305" s="1"/>
      <c r="E305" s="1"/>
      <c r="F305" s="1"/>
      <c r="G305" s="6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1"/>
      <c r="T305" s="14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spans="1:46" x14ac:dyDescent="0.25">
      <c r="A306" s="1"/>
      <c r="B306" s="1"/>
      <c r="C306" s="1"/>
      <c r="D306" s="1"/>
      <c r="E306" s="1"/>
      <c r="F306" s="1"/>
      <c r="G306" s="6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1"/>
      <c r="T306" s="14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spans="1:46" x14ac:dyDescent="0.25">
      <c r="A307" s="1"/>
      <c r="B307" s="1"/>
      <c r="C307" s="1"/>
      <c r="D307" s="1"/>
      <c r="E307" s="1"/>
      <c r="F307" s="1"/>
      <c r="G307" s="6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1"/>
      <c r="T307" s="14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spans="1:46" x14ac:dyDescent="0.25">
      <c r="A308" s="1"/>
      <c r="B308" s="1"/>
      <c r="C308" s="1"/>
      <c r="D308" s="1"/>
      <c r="E308" s="1"/>
      <c r="F308" s="1"/>
      <c r="G308" s="6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1"/>
      <c r="T308" s="14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spans="1:46" x14ac:dyDescent="0.25">
      <c r="A309" s="1"/>
      <c r="B309" s="1"/>
      <c r="C309" s="1"/>
      <c r="D309" s="1"/>
      <c r="E309" s="1"/>
      <c r="F309" s="1"/>
      <c r="G309" s="6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1"/>
      <c r="T309" s="14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spans="1:46" x14ac:dyDescent="0.25">
      <c r="A310" s="1"/>
      <c r="B310" s="1"/>
      <c r="C310" s="1"/>
      <c r="D310" s="1"/>
      <c r="E310" s="1"/>
      <c r="F310" s="1"/>
      <c r="G310" s="6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1"/>
      <c r="T310" s="14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spans="1:46" x14ac:dyDescent="0.25">
      <c r="A311" s="1"/>
      <c r="B311" s="1"/>
      <c r="C311" s="1"/>
      <c r="D311" s="1"/>
      <c r="E311" s="1"/>
      <c r="F311" s="1"/>
      <c r="G311" s="6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1"/>
      <c r="T311" s="14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spans="1:46" x14ac:dyDescent="0.25">
      <c r="A312" s="1"/>
      <c r="B312" s="1"/>
      <c r="C312" s="1"/>
      <c r="D312" s="1"/>
      <c r="E312" s="1"/>
      <c r="F312" s="1"/>
      <c r="G312" s="6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1"/>
      <c r="T312" s="14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spans="1:46" x14ac:dyDescent="0.25">
      <c r="A313" s="1"/>
      <c r="B313" s="1"/>
      <c r="C313" s="1"/>
      <c r="D313" s="1"/>
      <c r="E313" s="1"/>
      <c r="F313" s="1"/>
      <c r="G313" s="6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1"/>
      <c r="T313" s="14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spans="1:46" x14ac:dyDescent="0.25">
      <c r="A314" s="1"/>
      <c r="B314" s="1"/>
      <c r="C314" s="1"/>
      <c r="D314" s="1"/>
      <c r="E314" s="1"/>
      <c r="F314" s="1"/>
      <c r="G314" s="6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1"/>
      <c r="T314" s="14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spans="1:46" x14ac:dyDescent="0.25">
      <c r="A315" s="1"/>
      <c r="B315" s="1"/>
      <c r="C315" s="1"/>
      <c r="D315" s="1"/>
      <c r="E315" s="1"/>
      <c r="F315" s="1"/>
      <c r="G315" s="6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1"/>
      <c r="T315" s="14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spans="1:46" x14ac:dyDescent="0.25">
      <c r="A316" s="1"/>
      <c r="B316" s="1"/>
      <c r="C316" s="1"/>
      <c r="D316" s="1"/>
      <c r="E316" s="1"/>
      <c r="F316" s="1"/>
      <c r="G316" s="6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1"/>
      <c r="T316" s="14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spans="1:46" x14ac:dyDescent="0.25">
      <c r="A317" s="1"/>
      <c r="B317" s="1"/>
      <c r="C317" s="1"/>
      <c r="D317" s="1"/>
      <c r="E317" s="1"/>
      <c r="F317" s="1"/>
      <c r="G317" s="6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1"/>
      <c r="T317" s="14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spans="1:46" x14ac:dyDescent="0.25">
      <c r="A318" s="1"/>
      <c r="B318" s="1"/>
      <c r="C318" s="1"/>
      <c r="D318" s="1"/>
      <c r="E318" s="1"/>
      <c r="F318" s="1"/>
      <c r="G318" s="6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1"/>
      <c r="T318" s="14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spans="1:46" x14ac:dyDescent="0.25">
      <c r="A319" s="1"/>
      <c r="B319" s="1"/>
      <c r="C319" s="1"/>
      <c r="D319" s="1"/>
      <c r="E319" s="1"/>
      <c r="F319" s="1"/>
      <c r="G319" s="6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1"/>
      <c r="T319" s="14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spans="1:46" x14ac:dyDescent="0.25">
      <c r="A320" s="1"/>
      <c r="B320" s="1"/>
      <c r="C320" s="1"/>
      <c r="D320" s="1"/>
      <c r="E320" s="1"/>
      <c r="F320" s="1"/>
      <c r="G320" s="6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1"/>
      <c r="T320" s="14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spans="1:46" x14ac:dyDescent="0.25">
      <c r="A321" s="1"/>
      <c r="B321" s="1"/>
      <c r="C321" s="1"/>
      <c r="D321" s="1"/>
      <c r="E321" s="1"/>
      <c r="F321" s="1"/>
      <c r="G321" s="6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1"/>
      <c r="T321" s="14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spans="1:46" x14ac:dyDescent="0.25">
      <c r="A322" s="1"/>
      <c r="B322" s="1"/>
      <c r="C322" s="1"/>
      <c r="D322" s="1"/>
      <c r="E322" s="1"/>
      <c r="F322" s="1"/>
      <c r="G322" s="6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1"/>
      <c r="T322" s="14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spans="1:46" x14ac:dyDescent="0.25">
      <c r="A323" s="1"/>
      <c r="B323" s="1"/>
      <c r="C323" s="1"/>
      <c r="D323" s="1"/>
      <c r="E323" s="1"/>
      <c r="F323" s="1"/>
      <c r="G323" s="6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1"/>
      <c r="T323" s="14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spans="1:46" x14ac:dyDescent="0.25">
      <c r="A324" s="1"/>
      <c r="B324" s="1"/>
      <c r="C324" s="1"/>
      <c r="D324" s="1"/>
      <c r="E324" s="1"/>
      <c r="F324" s="1"/>
      <c r="G324" s="6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1"/>
      <c r="T324" s="14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spans="1:46" x14ac:dyDescent="0.25">
      <c r="A325" s="1"/>
      <c r="B325" s="1"/>
      <c r="C325" s="1"/>
      <c r="D325" s="1"/>
      <c r="E325" s="1"/>
      <c r="F325" s="1"/>
      <c r="G325" s="6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1"/>
      <c r="T325" s="14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spans="1:46" x14ac:dyDescent="0.25">
      <c r="A326" s="1"/>
      <c r="B326" s="1"/>
      <c r="C326" s="1"/>
      <c r="D326" s="1"/>
      <c r="E326" s="1"/>
      <c r="F326" s="1"/>
      <c r="G326" s="6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1"/>
      <c r="T326" s="14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spans="1:46" x14ac:dyDescent="0.25">
      <c r="A327" s="1"/>
      <c r="B327" s="1"/>
      <c r="C327" s="1"/>
      <c r="D327" s="1"/>
      <c r="E327" s="1"/>
      <c r="F327" s="1"/>
      <c r="G327" s="6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1"/>
      <c r="T327" s="14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spans="1:46" x14ac:dyDescent="0.25">
      <c r="A328" s="1"/>
      <c r="B328" s="1"/>
      <c r="C328" s="1"/>
      <c r="D328" s="1"/>
      <c r="E328" s="1"/>
      <c r="F328" s="1"/>
      <c r="G328" s="6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1"/>
      <c r="T328" s="14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spans="1:46" x14ac:dyDescent="0.25">
      <c r="A329" s="1"/>
      <c r="B329" s="1"/>
      <c r="C329" s="1"/>
      <c r="D329" s="1"/>
      <c r="E329" s="1"/>
      <c r="F329" s="1"/>
      <c r="G329" s="6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1"/>
      <c r="T329" s="14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spans="1:46" x14ac:dyDescent="0.25">
      <c r="A330" s="1"/>
      <c r="B330" s="1"/>
      <c r="C330" s="1"/>
      <c r="D330" s="1"/>
      <c r="E330" s="1"/>
      <c r="F330" s="1"/>
      <c r="G330" s="6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1"/>
      <c r="T330" s="14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spans="1:46" x14ac:dyDescent="0.25">
      <c r="A331" s="1"/>
      <c r="B331" s="1"/>
      <c r="C331" s="1"/>
      <c r="D331" s="1"/>
      <c r="E331" s="1"/>
      <c r="F331" s="1"/>
      <c r="G331" s="6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1"/>
      <c r="T331" s="14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spans="1:46" x14ac:dyDescent="0.25">
      <c r="A332" s="1"/>
      <c r="B332" s="1"/>
      <c r="C332" s="1"/>
      <c r="D332" s="1"/>
      <c r="E332" s="1"/>
      <c r="F332" s="1"/>
      <c r="G332" s="6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1"/>
      <c r="T332" s="14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spans="1:46" x14ac:dyDescent="0.25">
      <c r="A333" s="1"/>
      <c r="B333" s="1"/>
      <c r="C333" s="1"/>
      <c r="D333" s="1"/>
      <c r="E333" s="1"/>
      <c r="F333" s="1"/>
      <c r="G333" s="6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1"/>
      <c r="T333" s="14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spans="1:46" x14ac:dyDescent="0.25">
      <c r="A334" s="1"/>
      <c r="B334" s="1"/>
      <c r="C334" s="1"/>
      <c r="D334" s="1"/>
      <c r="E334" s="1"/>
      <c r="F334" s="1"/>
      <c r="G334" s="6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1"/>
      <c r="T334" s="14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spans="1:46" x14ac:dyDescent="0.25">
      <c r="A335" s="1"/>
      <c r="B335" s="1"/>
      <c r="C335" s="1"/>
      <c r="D335" s="1"/>
      <c r="E335" s="1"/>
      <c r="F335" s="1"/>
      <c r="G335" s="6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1"/>
      <c r="T335" s="14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spans="1:46" x14ac:dyDescent="0.25">
      <c r="A336" s="1"/>
      <c r="B336" s="1"/>
      <c r="C336" s="1"/>
      <c r="D336" s="1"/>
      <c r="E336" s="1"/>
      <c r="F336" s="1"/>
      <c r="G336" s="6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1"/>
      <c r="T336" s="14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spans="1:46" x14ac:dyDescent="0.25">
      <c r="A337" s="1"/>
      <c r="B337" s="1"/>
      <c r="C337" s="1"/>
      <c r="D337" s="1"/>
      <c r="E337" s="1"/>
      <c r="F337" s="1"/>
      <c r="G337" s="6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1"/>
      <c r="T337" s="14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spans="1:46" x14ac:dyDescent="0.25">
      <c r="A338" s="1"/>
      <c r="B338" s="1"/>
      <c r="C338" s="1"/>
      <c r="D338" s="1"/>
      <c r="E338" s="1"/>
      <c r="F338" s="1"/>
      <c r="G338" s="6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1"/>
      <c r="T338" s="14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spans="1:46" x14ac:dyDescent="0.25">
      <c r="A339" s="1"/>
      <c r="B339" s="1"/>
      <c r="C339" s="1"/>
      <c r="D339" s="1"/>
      <c r="E339" s="1"/>
      <c r="F339" s="1"/>
      <c r="G339" s="6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1"/>
      <c r="T339" s="14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spans="1:46" x14ac:dyDescent="0.25">
      <c r="A340" s="1"/>
      <c r="B340" s="1"/>
      <c r="C340" s="1"/>
      <c r="D340" s="1"/>
      <c r="E340" s="1"/>
      <c r="F340" s="1"/>
      <c r="G340" s="6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1"/>
      <c r="T340" s="14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spans="1:46" x14ac:dyDescent="0.25">
      <c r="A341" s="1"/>
      <c r="B341" s="1"/>
      <c r="C341" s="1"/>
      <c r="D341" s="1"/>
      <c r="E341" s="1"/>
      <c r="F341" s="1"/>
      <c r="G341" s="6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1"/>
      <c r="T341" s="14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spans="1:46" x14ac:dyDescent="0.25">
      <c r="A342" s="1"/>
      <c r="B342" s="1"/>
      <c r="C342" s="1"/>
      <c r="D342" s="1"/>
      <c r="E342" s="1"/>
      <c r="F342" s="1"/>
      <c r="G342" s="6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1"/>
      <c r="T342" s="14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spans="1:46" x14ac:dyDescent="0.25">
      <c r="A343" s="1"/>
      <c r="B343" s="1"/>
      <c r="C343" s="1"/>
      <c r="D343" s="1"/>
      <c r="E343" s="1"/>
      <c r="F343" s="1"/>
      <c r="G343" s="6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1"/>
      <c r="T343" s="14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spans="1:46" x14ac:dyDescent="0.25">
      <c r="A344" s="1"/>
      <c r="B344" s="1"/>
      <c r="C344" s="1"/>
      <c r="D344" s="1"/>
      <c r="E344" s="1"/>
      <c r="F344" s="1"/>
      <c r="G344" s="6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1"/>
      <c r="T344" s="14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spans="1:46" x14ac:dyDescent="0.25">
      <c r="A345" s="1"/>
      <c r="B345" s="1"/>
      <c r="C345" s="1"/>
      <c r="D345" s="1"/>
      <c r="E345" s="1"/>
      <c r="F345" s="1"/>
      <c r="G345" s="6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1"/>
      <c r="T345" s="14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spans="1:46" x14ac:dyDescent="0.25">
      <c r="A346" s="1"/>
      <c r="B346" s="1"/>
      <c r="C346" s="1"/>
      <c r="D346" s="1"/>
      <c r="E346" s="1"/>
      <c r="F346" s="1"/>
      <c r="G346" s="6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1"/>
      <c r="T346" s="14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spans="1:46" x14ac:dyDescent="0.25">
      <c r="A347" s="1"/>
      <c r="B347" s="1"/>
      <c r="C347" s="1"/>
      <c r="D347" s="1"/>
      <c r="E347" s="1"/>
      <c r="F347" s="1"/>
      <c r="G347" s="6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1"/>
      <c r="T347" s="14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spans="1:46" x14ac:dyDescent="0.25">
      <c r="A348" s="1"/>
      <c r="B348" s="1"/>
      <c r="C348" s="1"/>
      <c r="D348" s="1"/>
      <c r="E348" s="1"/>
      <c r="F348" s="1"/>
      <c r="G348" s="6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1"/>
      <c r="T348" s="14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spans="1:46" x14ac:dyDescent="0.25">
      <c r="A349" s="1"/>
      <c r="B349" s="1"/>
      <c r="C349" s="1"/>
      <c r="D349" s="1"/>
      <c r="E349" s="1"/>
      <c r="F349" s="1"/>
      <c r="G349" s="6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1"/>
      <c r="T349" s="14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spans="1:46" x14ac:dyDescent="0.25">
      <c r="A350" s="1"/>
      <c r="B350" s="1"/>
      <c r="C350" s="1"/>
      <c r="D350" s="1"/>
      <c r="E350" s="1"/>
      <c r="F350" s="1"/>
      <c r="G350" s="6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1"/>
      <c r="T350" s="14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spans="1:46" x14ac:dyDescent="0.25">
      <c r="A351" s="1"/>
      <c r="B351" s="1"/>
      <c r="C351" s="1"/>
      <c r="D351" s="1"/>
      <c r="E351" s="1"/>
      <c r="F351" s="1"/>
      <c r="G351" s="6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1"/>
      <c r="T351" s="14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spans="1:46" x14ac:dyDescent="0.25">
      <c r="A352" s="1"/>
      <c r="B352" s="1"/>
      <c r="C352" s="1"/>
      <c r="D352" s="1"/>
      <c r="E352" s="1"/>
      <c r="F352" s="1"/>
      <c r="G352" s="6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1"/>
      <c r="T352" s="14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spans="1:46" x14ac:dyDescent="0.25">
      <c r="A353" s="1"/>
      <c r="B353" s="1"/>
      <c r="C353" s="1"/>
      <c r="D353" s="1"/>
      <c r="E353" s="1"/>
      <c r="F353" s="1"/>
      <c r="G353" s="6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1"/>
      <c r="T353" s="14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spans="1:46" x14ac:dyDescent="0.25">
      <c r="A354" s="1"/>
      <c r="B354" s="1"/>
      <c r="C354" s="1"/>
      <c r="D354" s="1"/>
      <c r="E354" s="1"/>
      <c r="F354" s="1"/>
      <c r="G354" s="6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1"/>
      <c r="T354" s="14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spans="1:46" x14ac:dyDescent="0.25">
      <c r="A355" s="1"/>
      <c r="B355" s="1"/>
      <c r="C355" s="1"/>
      <c r="D355" s="1"/>
      <c r="E355" s="1"/>
      <c r="F355" s="1"/>
      <c r="G355" s="6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1"/>
      <c r="T355" s="14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spans="1:46" x14ac:dyDescent="0.25">
      <c r="A356" s="1"/>
      <c r="B356" s="1"/>
      <c r="C356" s="1"/>
      <c r="D356" s="1"/>
      <c r="E356" s="1"/>
      <c r="F356" s="1"/>
      <c r="G356" s="6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1"/>
      <c r="T356" s="14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spans="1:46" x14ac:dyDescent="0.25">
      <c r="A357" s="1"/>
      <c r="B357" s="1"/>
      <c r="C357" s="1"/>
      <c r="D357" s="1"/>
      <c r="E357" s="1"/>
      <c r="F357" s="1"/>
      <c r="G357" s="6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1"/>
      <c r="T357" s="14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spans="1:46" x14ac:dyDescent="0.25">
      <c r="A358" s="1"/>
      <c r="B358" s="1"/>
      <c r="C358" s="1"/>
      <c r="D358" s="1"/>
      <c r="E358" s="1"/>
      <c r="F358" s="1"/>
      <c r="G358" s="6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1"/>
      <c r="T358" s="14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spans="1:46" x14ac:dyDescent="0.25">
      <c r="A359" s="1"/>
      <c r="B359" s="1"/>
      <c r="C359" s="1"/>
      <c r="D359" s="1"/>
      <c r="E359" s="1"/>
      <c r="F359" s="1"/>
      <c r="G359" s="6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1"/>
      <c r="T359" s="14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spans="1:46" x14ac:dyDescent="0.25">
      <c r="A360" s="1"/>
      <c r="B360" s="1"/>
      <c r="C360" s="1"/>
      <c r="D360" s="1"/>
      <c r="E360" s="1"/>
      <c r="F360" s="1"/>
      <c r="G360" s="6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1"/>
      <c r="T360" s="14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spans="1:46" x14ac:dyDescent="0.25">
      <c r="A361" s="1"/>
      <c r="B361" s="1"/>
      <c r="C361" s="1"/>
      <c r="D361" s="1"/>
      <c r="E361" s="1"/>
      <c r="F361" s="1"/>
      <c r="G361" s="6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1"/>
      <c r="T361" s="14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spans="1:46" x14ac:dyDescent="0.25">
      <c r="A362" s="1"/>
      <c r="B362" s="1"/>
      <c r="C362" s="1"/>
      <c r="D362" s="1"/>
      <c r="E362" s="1"/>
      <c r="F362" s="1"/>
      <c r="G362" s="6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1"/>
      <c r="T362" s="14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spans="1:46" x14ac:dyDescent="0.25">
      <c r="A363" s="1"/>
      <c r="B363" s="1"/>
      <c r="C363" s="1"/>
      <c r="D363" s="1"/>
      <c r="E363" s="1"/>
      <c r="F363" s="1"/>
      <c r="G363" s="6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1"/>
      <c r="T363" s="14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spans="1:46" x14ac:dyDescent="0.25">
      <c r="A364" s="1"/>
      <c r="B364" s="1"/>
      <c r="C364" s="1"/>
      <c r="D364" s="1"/>
      <c r="E364" s="1"/>
      <c r="F364" s="1"/>
      <c r="G364" s="6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1"/>
      <c r="T364" s="14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spans="1:46" x14ac:dyDescent="0.25">
      <c r="A365" s="1"/>
      <c r="B365" s="1"/>
      <c r="C365" s="1"/>
      <c r="D365" s="1"/>
      <c r="E365" s="1"/>
      <c r="F365" s="1"/>
      <c r="G365" s="6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1"/>
      <c r="T365" s="14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spans="1:46" x14ac:dyDescent="0.25">
      <c r="A366" s="1"/>
      <c r="B366" s="1"/>
      <c r="C366" s="1"/>
      <c r="D366" s="1"/>
      <c r="E366" s="1"/>
      <c r="F366" s="1"/>
      <c r="G366" s="6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1"/>
      <c r="T366" s="14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spans="1:46" x14ac:dyDescent="0.25">
      <c r="A367" s="1"/>
      <c r="B367" s="1"/>
      <c r="C367" s="1"/>
      <c r="D367" s="1"/>
      <c r="E367" s="1"/>
      <c r="F367" s="1"/>
      <c r="G367" s="6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1"/>
      <c r="T367" s="14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spans="1:46" x14ac:dyDescent="0.25">
      <c r="A368" s="1"/>
      <c r="B368" s="1"/>
      <c r="C368" s="1"/>
      <c r="D368" s="1"/>
      <c r="E368" s="1"/>
      <c r="F368" s="1"/>
      <c r="G368" s="6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1"/>
      <c r="T368" s="14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spans="1:46" x14ac:dyDescent="0.25">
      <c r="A369" s="1"/>
      <c r="B369" s="1"/>
      <c r="C369" s="1"/>
      <c r="D369" s="1"/>
      <c r="E369" s="1"/>
      <c r="F369" s="1"/>
      <c r="G369" s="6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1"/>
      <c r="T369" s="14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spans="1:46" x14ac:dyDescent="0.25">
      <c r="A370" s="1"/>
      <c r="B370" s="1"/>
      <c r="C370" s="1"/>
      <c r="D370" s="1"/>
      <c r="E370" s="1"/>
      <c r="F370" s="1"/>
      <c r="G370" s="6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1"/>
      <c r="T370" s="14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spans="1:46" x14ac:dyDescent="0.25">
      <c r="A371" s="1"/>
      <c r="B371" s="1"/>
      <c r="C371" s="1"/>
      <c r="D371" s="1"/>
      <c r="E371" s="1"/>
      <c r="F371" s="1"/>
      <c r="G371" s="6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1"/>
      <c r="T371" s="14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spans="1:46" x14ac:dyDescent="0.25">
      <c r="A372" s="1"/>
      <c r="B372" s="1"/>
      <c r="C372" s="1"/>
      <c r="D372" s="1"/>
      <c r="E372" s="1"/>
      <c r="F372" s="1"/>
      <c r="G372" s="6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1"/>
      <c r="T372" s="14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spans="1:46" x14ac:dyDescent="0.25">
      <c r="A373" s="1"/>
      <c r="B373" s="1"/>
      <c r="C373" s="1"/>
      <c r="D373" s="1"/>
      <c r="E373" s="1"/>
      <c r="F373" s="1"/>
      <c r="G373" s="6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1"/>
      <c r="T373" s="14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spans="1:46" x14ac:dyDescent="0.25">
      <c r="A374" s="1"/>
      <c r="B374" s="1"/>
      <c r="C374" s="1"/>
      <c r="D374" s="1"/>
      <c r="E374" s="1"/>
      <c r="F374" s="1"/>
      <c r="G374" s="6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1"/>
      <c r="T374" s="14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spans="1:46" x14ac:dyDescent="0.25">
      <c r="A375" s="1"/>
      <c r="B375" s="1"/>
      <c r="C375" s="1"/>
      <c r="D375" s="1"/>
      <c r="E375" s="1"/>
      <c r="F375" s="1"/>
      <c r="G375" s="6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1"/>
      <c r="T375" s="14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spans="1:46" x14ac:dyDescent="0.25">
      <c r="A376" s="1"/>
      <c r="B376" s="1"/>
      <c r="C376" s="1"/>
      <c r="D376" s="1"/>
      <c r="E376" s="1"/>
      <c r="F376" s="1"/>
      <c r="G376" s="6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1"/>
      <c r="T376" s="14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spans="1:46" x14ac:dyDescent="0.25">
      <c r="A377" s="1"/>
      <c r="B377" s="1"/>
      <c r="C377" s="1"/>
      <c r="D377" s="1"/>
      <c r="E377" s="1"/>
      <c r="F377" s="1"/>
      <c r="G377" s="6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1"/>
      <c r="T377" s="14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spans="1:46" x14ac:dyDescent="0.25">
      <c r="A378" s="1"/>
      <c r="B378" s="1"/>
      <c r="C378" s="1"/>
      <c r="D378" s="1"/>
      <c r="E378" s="1"/>
      <c r="F378" s="1"/>
      <c r="G378" s="6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1"/>
      <c r="T378" s="14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spans="1:46" x14ac:dyDescent="0.25">
      <c r="A379" s="1"/>
      <c r="B379" s="1"/>
      <c r="C379" s="1"/>
      <c r="D379" s="1"/>
      <c r="E379" s="1"/>
      <c r="F379" s="1"/>
      <c r="G379" s="6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1"/>
      <c r="T379" s="14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spans="1:46" x14ac:dyDescent="0.25">
      <c r="A380" s="1"/>
      <c r="B380" s="1"/>
      <c r="C380" s="1"/>
      <c r="D380" s="1"/>
      <c r="E380" s="1"/>
      <c r="F380" s="1"/>
      <c r="G380" s="6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1"/>
      <c r="T380" s="14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spans="1:46" x14ac:dyDescent="0.25">
      <c r="A381" s="1"/>
      <c r="B381" s="1"/>
      <c r="C381" s="1"/>
      <c r="D381" s="1"/>
      <c r="E381" s="1"/>
      <c r="F381" s="1"/>
      <c r="G381" s="6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1"/>
      <c r="T381" s="14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spans="1:46" x14ac:dyDescent="0.25">
      <c r="A382" s="1"/>
      <c r="B382" s="1"/>
      <c r="C382" s="1"/>
      <c r="D382" s="1"/>
      <c r="E382" s="1"/>
      <c r="F382" s="1"/>
      <c r="G382" s="6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1"/>
      <c r="T382" s="14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spans="1:46" x14ac:dyDescent="0.25">
      <c r="A383" s="1"/>
      <c r="B383" s="1"/>
      <c r="C383" s="1"/>
      <c r="D383" s="1"/>
      <c r="E383" s="1"/>
      <c r="F383" s="1"/>
      <c r="G383" s="6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1"/>
      <c r="T383" s="14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spans="1:46" x14ac:dyDescent="0.25">
      <c r="A384" s="1"/>
      <c r="B384" s="1"/>
      <c r="C384" s="1"/>
      <c r="D384" s="1"/>
      <c r="E384" s="1"/>
      <c r="F384" s="1"/>
      <c r="G384" s="6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1"/>
      <c r="T384" s="14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spans="1:46" x14ac:dyDescent="0.25">
      <c r="A385" s="1"/>
      <c r="B385" s="1"/>
      <c r="C385" s="1"/>
      <c r="D385" s="1"/>
      <c r="E385" s="1"/>
      <c r="F385" s="1"/>
      <c r="G385" s="6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1"/>
      <c r="T385" s="14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spans="1:46" x14ac:dyDescent="0.25">
      <c r="A386" s="1"/>
      <c r="B386" s="1"/>
      <c r="C386" s="1"/>
      <c r="D386" s="1"/>
      <c r="E386" s="1"/>
      <c r="F386" s="1"/>
      <c r="G386" s="6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1"/>
      <c r="T386" s="14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spans="1:46" x14ac:dyDescent="0.25">
      <c r="A387" s="1"/>
      <c r="B387" s="1"/>
      <c r="C387" s="1"/>
      <c r="D387" s="1"/>
      <c r="E387" s="1"/>
      <c r="F387" s="1"/>
      <c r="G387" s="6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1"/>
      <c r="T387" s="14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spans="1:46" x14ac:dyDescent="0.25">
      <c r="A388" s="1"/>
      <c r="B388" s="1"/>
      <c r="C388" s="1"/>
      <c r="D388" s="1"/>
      <c r="E388" s="1"/>
      <c r="F388" s="1"/>
      <c r="G388" s="6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1"/>
      <c r="T388" s="14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spans="1:46" x14ac:dyDescent="0.25">
      <c r="A389" s="1"/>
      <c r="B389" s="1"/>
      <c r="C389" s="1"/>
      <c r="D389" s="1"/>
      <c r="E389" s="1"/>
      <c r="F389" s="1"/>
      <c r="G389" s="6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1"/>
      <c r="T389" s="14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spans="1:46" x14ac:dyDescent="0.25">
      <c r="A390" s="1"/>
      <c r="B390" s="1"/>
      <c r="C390" s="1"/>
      <c r="D390" s="1"/>
      <c r="E390" s="1"/>
      <c r="F390" s="1"/>
      <c r="G390" s="6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1"/>
      <c r="T390" s="14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spans="1:46" x14ac:dyDescent="0.25">
      <c r="A391" s="1"/>
      <c r="B391" s="1"/>
      <c r="C391" s="1"/>
      <c r="D391" s="1"/>
      <c r="E391" s="1"/>
      <c r="F391" s="1"/>
      <c r="G391" s="6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1"/>
      <c r="T391" s="14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spans="1:46" x14ac:dyDescent="0.25">
      <c r="A392" s="1"/>
      <c r="B392" s="1"/>
      <c r="C392" s="1"/>
      <c r="D392" s="1"/>
      <c r="E392" s="1"/>
      <c r="F392" s="1"/>
      <c r="G392" s="6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1"/>
      <c r="T392" s="14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spans="1:46" x14ac:dyDescent="0.25">
      <c r="A393" s="1"/>
      <c r="B393" s="1"/>
      <c r="C393" s="1"/>
      <c r="D393" s="1"/>
      <c r="E393" s="1"/>
      <c r="F393" s="1"/>
      <c r="G393" s="6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1"/>
      <c r="T393" s="14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spans="1:46" x14ac:dyDescent="0.25">
      <c r="A394" s="1"/>
      <c r="B394" s="1"/>
      <c r="C394" s="1"/>
      <c r="D394" s="1"/>
      <c r="E394" s="1"/>
      <c r="F394" s="1"/>
      <c r="G394" s="6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1"/>
      <c r="T394" s="14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spans="1:46" x14ac:dyDescent="0.25">
      <c r="A395" s="1"/>
      <c r="B395" s="1"/>
      <c r="C395" s="1"/>
      <c r="D395" s="1"/>
      <c r="E395" s="1"/>
      <c r="F395" s="1"/>
      <c r="G395" s="6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1"/>
      <c r="T395" s="14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spans="1:46" x14ac:dyDescent="0.25">
      <c r="A396" s="1"/>
      <c r="B396" s="1"/>
      <c r="C396" s="1"/>
      <c r="D396" s="1"/>
      <c r="E396" s="1"/>
      <c r="F396" s="1"/>
      <c r="G396" s="6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1"/>
      <c r="T396" s="14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spans="1:46" x14ac:dyDescent="0.25">
      <c r="A397" s="1"/>
      <c r="B397" s="1"/>
      <c r="C397" s="1"/>
      <c r="D397" s="1"/>
      <c r="E397" s="1"/>
      <c r="F397" s="1"/>
      <c r="G397" s="6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1"/>
      <c r="T397" s="14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spans="1:46" x14ac:dyDescent="0.25">
      <c r="A398" s="1"/>
      <c r="B398" s="1"/>
      <c r="C398" s="1"/>
      <c r="D398" s="1"/>
      <c r="E398" s="1"/>
      <c r="F398" s="1"/>
      <c r="G398" s="6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1"/>
      <c r="T398" s="14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spans="1:46" x14ac:dyDescent="0.25">
      <c r="A399" s="1"/>
      <c r="B399" s="1"/>
      <c r="C399" s="1"/>
      <c r="D399" s="1"/>
      <c r="E399" s="1"/>
      <c r="F399" s="1"/>
      <c r="G399" s="6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1"/>
      <c r="T399" s="14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spans="1:46" x14ac:dyDescent="0.25">
      <c r="A400" s="1"/>
      <c r="B400" s="1"/>
      <c r="C400" s="1"/>
      <c r="D400" s="1"/>
      <c r="E400" s="1"/>
      <c r="F400" s="1"/>
      <c r="G400" s="6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1"/>
      <c r="T400" s="14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spans="1:46" x14ac:dyDescent="0.25">
      <c r="A401" s="1"/>
      <c r="B401" s="1"/>
      <c r="C401" s="1"/>
      <c r="D401" s="1"/>
      <c r="E401" s="1"/>
      <c r="F401" s="1"/>
      <c r="G401" s="6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1"/>
      <c r="T401" s="14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spans="1:46" x14ac:dyDescent="0.25">
      <c r="A402" s="1"/>
      <c r="B402" s="1"/>
      <c r="C402" s="1"/>
      <c r="D402" s="1"/>
      <c r="E402" s="1"/>
      <c r="F402" s="1"/>
      <c r="G402" s="6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1"/>
      <c r="T402" s="14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spans="1:46" x14ac:dyDescent="0.25">
      <c r="A403" s="1"/>
      <c r="B403" s="1"/>
      <c r="C403" s="1"/>
      <c r="D403" s="1"/>
      <c r="E403" s="1"/>
      <c r="F403" s="1"/>
      <c r="G403" s="6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1"/>
      <c r="T403" s="14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spans="1:46" x14ac:dyDescent="0.25">
      <c r="A404" s="1"/>
      <c r="B404" s="1"/>
      <c r="C404" s="1"/>
      <c r="D404" s="1"/>
      <c r="E404" s="1"/>
      <c r="F404" s="1"/>
      <c r="G404" s="6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1"/>
      <c r="T404" s="14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spans="1:46" x14ac:dyDescent="0.25">
      <c r="A405" s="1"/>
      <c r="B405" s="1"/>
      <c r="C405" s="1"/>
      <c r="D405" s="1"/>
      <c r="E405" s="1"/>
      <c r="F405" s="1"/>
      <c r="G405" s="6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1"/>
      <c r="T405" s="14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spans="1:46" x14ac:dyDescent="0.25">
      <c r="A406" s="1"/>
      <c r="B406" s="1"/>
      <c r="C406" s="1"/>
      <c r="D406" s="1"/>
      <c r="E406" s="1"/>
      <c r="F406" s="1"/>
      <c r="G406" s="6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1"/>
      <c r="T406" s="14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spans="1:46" x14ac:dyDescent="0.25">
      <c r="A407" s="1"/>
      <c r="B407" s="1"/>
      <c r="C407" s="1"/>
      <c r="D407" s="1"/>
      <c r="E407" s="1"/>
      <c r="F407" s="1"/>
      <c r="G407" s="6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1"/>
      <c r="T407" s="14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spans="1:46" x14ac:dyDescent="0.25">
      <c r="A408" s="1"/>
      <c r="B408" s="1"/>
      <c r="C408" s="1"/>
      <c r="D408" s="1"/>
      <c r="E408" s="1"/>
      <c r="F408" s="1"/>
      <c r="G408" s="6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1"/>
      <c r="T408" s="14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spans="1:46" x14ac:dyDescent="0.25">
      <c r="A409" s="1"/>
      <c r="B409" s="1"/>
      <c r="C409" s="1"/>
      <c r="D409" s="1"/>
      <c r="E409" s="1"/>
      <c r="F409" s="1"/>
      <c r="G409" s="6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1"/>
      <c r="T409" s="14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spans="1:46" x14ac:dyDescent="0.25">
      <c r="A410" s="1"/>
      <c r="B410" s="1"/>
      <c r="C410" s="1"/>
      <c r="D410" s="1"/>
      <c r="E410" s="1"/>
      <c r="F410" s="1"/>
      <c r="G410" s="6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1"/>
      <c r="T410" s="14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spans="1:46" x14ac:dyDescent="0.25">
      <c r="A411" s="1"/>
      <c r="B411" s="1"/>
      <c r="C411" s="1"/>
      <c r="D411" s="1"/>
      <c r="E411" s="1"/>
      <c r="F411" s="1"/>
      <c r="G411" s="6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1"/>
      <c r="T411" s="14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spans="1:46" x14ac:dyDescent="0.25">
      <c r="A412" s="1"/>
      <c r="B412" s="1"/>
      <c r="C412" s="1"/>
      <c r="D412" s="1"/>
      <c r="E412" s="1"/>
      <c r="F412" s="1"/>
      <c r="G412" s="6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1"/>
      <c r="T412" s="14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spans="1:46" x14ac:dyDescent="0.25">
      <c r="A413" s="1"/>
      <c r="B413" s="1"/>
      <c r="C413" s="1"/>
      <c r="D413" s="1"/>
      <c r="E413" s="1"/>
      <c r="F413" s="1"/>
      <c r="G413" s="6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1"/>
      <c r="T413" s="14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spans="1:46" x14ac:dyDescent="0.25">
      <c r="A414" s="1"/>
      <c r="B414" s="1"/>
      <c r="C414" s="1"/>
      <c r="D414" s="1"/>
      <c r="E414" s="1"/>
      <c r="F414" s="1"/>
      <c r="G414" s="6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1"/>
      <c r="T414" s="14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spans="1:46" x14ac:dyDescent="0.25">
      <c r="A415" s="1"/>
      <c r="B415" s="1"/>
      <c r="C415" s="1"/>
      <c r="D415" s="1"/>
      <c r="E415" s="1"/>
      <c r="F415" s="1"/>
      <c r="G415" s="6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1"/>
      <c r="T415" s="14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spans="1:46" x14ac:dyDescent="0.25">
      <c r="A416" s="1"/>
      <c r="B416" s="1"/>
      <c r="C416" s="1"/>
      <c r="D416" s="1"/>
      <c r="E416" s="1"/>
      <c r="F416" s="1"/>
      <c r="G416" s="6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1"/>
      <c r="T416" s="14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spans="1:46" x14ac:dyDescent="0.25">
      <c r="A417" s="1"/>
      <c r="B417" s="1"/>
      <c r="C417" s="1"/>
      <c r="D417" s="1"/>
      <c r="E417" s="1"/>
      <c r="F417" s="1"/>
      <c r="G417" s="6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1"/>
      <c r="T417" s="14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spans="1:46" x14ac:dyDescent="0.25">
      <c r="A418" s="1"/>
      <c r="B418" s="1"/>
      <c r="C418" s="1"/>
      <c r="D418" s="1"/>
      <c r="E418" s="1"/>
      <c r="F418" s="1"/>
      <c r="G418" s="6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1"/>
      <c r="T418" s="14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spans="1:46" x14ac:dyDescent="0.25">
      <c r="A419" s="1"/>
      <c r="B419" s="1"/>
      <c r="C419" s="1"/>
      <c r="D419" s="1"/>
      <c r="E419" s="1"/>
      <c r="F419" s="1"/>
      <c r="G419" s="6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1"/>
      <c r="T419" s="14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spans="1:46" x14ac:dyDescent="0.25">
      <c r="A420" s="1"/>
      <c r="B420" s="1"/>
      <c r="C420" s="1"/>
      <c r="D420" s="1"/>
      <c r="E420" s="1"/>
      <c r="F420" s="1"/>
      <c r="G420" s="6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1"/>
      <c r="T420" s="14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spans="1:46" x14ac:dyDescent="0.25">
      <c r="A421" s="1"/>
      <c r="B421" s="1"/>
      <c r="C421" s="1"/>
      <c r="D421" s="1"/>
      <c r="E421" s="1"/>
      <c r="F421" s="1"/>
      <c r="G421" s="6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1"/>
      <c r="T421" s="14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spans="1:46" x14ac:dyDescent="0.25">
      <c r="A422" s="1"/>
      <c r="B422" s="1"/>
      <c r="C422" s="1"/>
      <c r="D422" s="1"/>
      <c r="E422" s="1"/>
      <c r="F422" s="1"/>
      <c r="G422" s="6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1"/>
      <c r="T422" s="14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spans="1:46" x14ac:dyDescent="0.25">
      <c r="A423" s="1"/>
      <c r="B423" s="1"/>
      <c r="C423" s="1"/>
      <c r="D423" s="1"/>
      <c r="E423" s="1"/>
      <c r="F423" s="1"/>
      <c r="G423" s="6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1"/>
      <c r="T423" s="14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spans="1:46" x14ac:dyDescent="0.25">
      <c r="A424" s="1"/>
      <c r="B424" s="1"/>
      <c r="C424" s="1"/>
      <c r="D424" s="1"/>
      <c r="E424" s="1"/>
      <c r="F424" s="1"/>
      <c r="G424" s="6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1"/>
      <c r="T424" s="14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spans="1:46" x14ac:dyDescent="0.25">
      <c r="A425" s="1"/>
      <c r="B425" s="1"/>
      <c r="C425" s="1"/>
      <c r="D425" s="1"/>
      <c r="E425" s="1"/>
      <c r="F425" s="1"/>
      <c r="G425" s="6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1"/>
      <c r="T425" s="14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spans="1:46" x14ac:dyDescent="0.25">
      <c r="A426" s="1"/>
      <c r="B426" s="1"/>
      <c r="C426" s="1"/>
      <c r="D426" s="1"/>
      <c r="E426" s="1"/>
      <c r="F426" s="1"/>
      <c r="G426" s="6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1"/>
      <c r="T426" s="14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spans="1:46" x14ac:dyDescent="0.25">
      <c r="A427" s="1"/>
      <c r="B427" s="1"/>
      <c r="C427" s="1"/>
      <c r="D427" s="1"/>
      <c r="E427" s="1"/>
      <c r="F427" s="1"/>
      <c r="G427" s="6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1"/>
      <c r="T427" s="14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spans="1:46" x14ac:dyDescent="0.25">
      <c r="A428" s="1"/>
      <c r="B428" s="1"/>
      <c r="C428" s="1"/>
      <c r="D428" s="1"/>
      <c r="E428" s="1"/>
      <c r="F428" s="1"/>
      <c r="G428" s="6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1"/>
      <c r="T428" s="14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spans="1:46" x14ac:dyDescent="0.25">
      <c r="A429" s="1"/>
      <c r="B429" s="1"/>
      <c r="C429" s="1"/>
      <c r="D429" s="1"/>
      <c r="E429" s="1"/>
      <c r="F429" s="1"/>
      <c r="G429" s="6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1"/>
      <c r="T429" s="14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spans="1:46" x14ac:dyDescent="0.25">
      <c r="A430" s="1"/>
      <c r="B430" s="1"/>
      <c r="C430" s="1"/>
      <c r="D430" s="1"/>
      <c r="E430" s="1"/>
      <c r="F430" s="1"/>
      <c r="G430" s="6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1"/>
      <c r="T430" s="14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spans="1:46" x14ac:dyDescent="0.25">
      <c r="A431" s="1"/>
      <c r="B431" s="1"/>
      <c r="C431" s="1"/>
      <c r="D431" s="1"/>
      <c r="E431" s="1"/>
      <c r="F431" s="1"/>
      <c r="G431" s="6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1"/>
      <c r="T431" s="14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spans="1:46" x14ac:dyDescent="0.25">
      <c r="A432" s="1"/>
      <c r="B432" s="1"/>
      <c r="C432" s="1"/>
      <c r="D432" s="1"/>
      <c r="E432" s="1"/>
      <c r="F432" s="1"/>
      <c r="G432" s="6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1"/>
      <c r="T432" s="14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spans="1:46" x14ac:dyDescent="0.25">
      <c r="A433" s="1"/>
      <c r="B433" s="1"/>
      <c r="C433" s="1"/>
      <c r="D433" s="1"/>
      <c r="E433" s="1"/>
      <c r="F433" s="1"/>
      <c r="G433" s="6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1"/>
      <c r="T433" s="14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spans="1:46" x14ac:dyDescent="0.25">
      <c r="A434" s="1"/>
      <c r="B434" s="1"/>
      <c r="C434" s="1"/>
      <c r="D434" s="1"/>
      <c r="E434" s="1"/>
      <c r="F434" s="1"/>
      <c r="G434" s="6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1"/>
      <c r="T434" s="14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spans="1:46" x14ac:dyDescent="0.25">
      <c r="A435" s="1"/>
      <c r="B435" s="1"/>
      <c r="C435" s="1"/>
      <c r="D435" s="1"/>
      <c r="E435" s="1"/>
      <c r="F435" s="1"/>
      <c r="G435" s="6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1"/>
      <c r="T435" s="14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spans="1:46" x14ac:dyDescent="0.25">
      <c r="A436" s="1"/>
      <c r="B436" s="1"/>
      <c r="C436" s="1"/>
      <c r="D436" s="1"/>
      <c r="E436" s="1"/>
      <c r="F436" s="1"/>
      <c r="G436" s="6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1"/>
      <c r="T436" s="14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spans="1:46" x14ac:dyDescent="0.25">
      <c r="A437" s="1"/>
      <c r="B437" s="1"/>
      <c r="C437" s="1"/>
      <c r="D437" s="1"/>
      <c r="E437" s="1"/>
      <c r="F437" s="1"/>
      <c r="G437" s="6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1"/>
      <c r="T437" s="14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spans="1:46" x14ac:dyDescent="0.25">
      <c r="A438" s="1"/>
      <c r="B438" s="1"/>
      <c r="C438" s="1"/>
      <c r="D438" s="1"/>
      <c r="E438" s="1"/>
      <c r="F438" s="1"/>
      <c r="G438" s="6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1"/>
      <c r="T438" s="14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spans="1:46" x14ac:dyDescent="0.25">
      <c r="A439" s="1"/>
      <c r="B439" s="1"/>
      <c r="C439" s="1"/>
      <c r="D439" s="1"/>
      <c r="E439" s="1"/>
      <c r="F439" s="1"/>
      <c r="G439" s="6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1"/>
      <c r="T439" s="14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spans="1:46" x14ac:dyDescent="0.25">
      <c r="A440" s="1"/>
      <c r="B440" s="1"/>
      <c r="C440" s="1"/>
      <c r="D440" s="1"/>
      <c r="E440" s="1"/>
      <c r="F440" s="1"/>
      <c r="G440" s="6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1"/>
      <c r="T440" s="14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spans="1:46" x14ac:dyDescent="0.25">
      <c r="A441" s="1"/>
      <c r="B441" s="1"/>
      <c r="C441" s="1"/>
      <c r="D441" s="1"/>
      <c r="E441" s="1"/>
      <c r="F441" s="1"/>
      <c r="G441" s="6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1"/>
      <c r="T441" s="14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spans="1:46" x14ac:dyDescent="0.25">
      <c r="A442" s="1"/>
      <c r="B442" s="1"/>
      <c r="C442" s="1"/>
      <c r="D442" s="1"/>
      <c r="E442" s="1"/>
      <c r="F442" s="1"/>
      <c r="G442" s="6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1"/>
      <c r="T442" s="14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spans="1:46" x14ac:dyDescent="0.25">
      <c r="A443" s="1"/>
      <c r="B443" s="1"/>
      <c r="C443" s="1"/>
      <c r="D443" s="1"/>
      <c r="E443" s="1"/>
      <c r="F443" s="1"/>
      <c r="G443" s="6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1"/>
      <c r="T443" s="14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spans="1:46" x14ac:dyDescent="0.25">
      <c r="A444" s="1"/>
      <c r="B444" s="1"/>
      <c r="C444" s="1"/>
      <c r="D444" s="1"/>
      <c r="E444" s="1"/>
      <c r="F444" s="1"/>
      <c r="G444" s="6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1"/>
      <c r="T444" s="14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spans="1:46" x14ac:dyDescent="0.25">
      <c r="A445" s="1"/>
      <c r="B445" s="1"/>
      <c r="C445" s="1"/>
      <c r="D445" s="1"/>
      <c r="E445" s="1"/>
      <c r="F445" s="1"/>
      <c r="G445" s="6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1"/>
      <c r="T445" s="14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spans="1:46" x14ac:dyDescent="0.25">
      <c r="A446" s="1"/>
      <c r="B446" s="1"/>
      <c r="C446" s="1"/>
      <c r="D446" s="1"/>
      <c r="E446" s="1"/>
      <c r="F446" s="1"/>
      <c r="G446" s="6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1"/>
      <c r="T446" s="14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spans="1:46" x14ac:dyDescent="0.25">
      <c r="A447" s="1"/>
      <c r="B447" s="1"/>
      <c r="C447" s="1"/>
      <c r="D447" s="1"/>
      <c r="E447" s="1"/>
      <c r="F447" s="1"/>
      <c r="G447" s="6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1"/>
      <c r="T447" s="14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spans="1:46" x14ac:dyDescent="0.25">
      <c r="A448" s="1"/>
      <c r="B448" s="1"/>
      <c r="C448" s="1"/>
      <c r="D448" s="1"/>
      <c r="E448" s="1"/>
      <c r="F448" s="1"/>
      <c r="G448" s="6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1"/>
      <c r="T448" s="14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spans="1:46" x14ac:dyDescent="0.25">
      <c r="A449" s="1"/>
      <c r="B449" s="1"/>
      <c r="C449" s="1"/>
      <c r="D449" s="1"/>
      <c r="E449" s="1"/>
      <c r="F449" s="1"/>
      <c r="G449" s="6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1"/>
      <c r="T449" s="14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spans="1:46" x14ac:dyDescent="0.25">
      <c r="A450" s="1"/>
      <c r="B450" s="1"/>
      <c r="C450" s="1"/>
      <c r="D450" s="1"/>
      <c r="E450" s="1"/>
      <c r="F450" s="1"/>
      <c r="G450" s="6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1"/>
      <c r="T450" s="14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spans="1:46" x14ac:dyDescent="0.25">
      <c r="A451" s="1"/>
      <c r="B451" s="1"/>
      <c r="C451" s="1"/>
      <c r="D451" s="1"/>
      <c r="E451" s="1"/>
      <c r="F451" s="1"/>
      <c r="G451" s="6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1"/>
      <c r="T451" s="14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spans="1:46" x14ac:dyDescent="0.25">
      <c r="A452" s="1"/>
      <c r="B452" s="1"/>
      <c r="C452" s="1"/>
      <c r="D452" s="1"/>
      <c r="E452" s="1"/>
      <c r="F452" s="1"/>
      <c r="G452" s="6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1"/>
      <c r="T452" s="14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spans="1:46" x14ac:dyDescent="0.25">
      <c r="A453" s="1"/>
      <c r="B453" s="1"/>
      <c r="C453" s="1"/>
      <c r="D453" s="1"/>
      <c r="E453" s="1"/>
      <c r="F453" s="1"/>
      <c r="G453" s="6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1"/>
      <c r="T453" s="14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spans="1:46" x14ac:dyDescent="0.25">
      <c r="A454" s="1"/>
      <c r="B454" s="1"/>
      <c r="C454" s="1"/>
      <c r="D454" s="1"/>
      <c r="E454" s="1"/>
      <c r="F454" s="1"/>
      <c r="G454" s="6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1"/>
      <c r="T454" s="14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spans="1:46" x14ac:dyDescent="0.25">
      <c r="A455" s="1"/>
      <c r="B455" s="1"/>
      <c r="C455" s="1"/>
      <c r="D455" s="1"/>
      <c r="E455" s="1"/>
      <c r="F455" s="1"/>
      <c r="G455" s="6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1"/>
      <c r="T455" s="14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spans="1:46" x14ac:dyDescent="0.25">
      <c r="A456" s="1"/>
      <c r="B456" s="1"/>
      <c r="C456" s="1"/>
      <c r="D456" s="1"/>
      <c r="E456" s="1"/>
      <c r="F456" s="1"/>
      <c r="G456" s="6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1"/>
      <c r="T456" s="14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spans="1:46" x14ac:dyDescent="0.25">
      <c r="A457" s="1"/>
      <c r="B457" s="1"/>
      <c r="C457" s="1"/>
      <c r="D457" s="1"/>
      <c r="E457" s="1"/>
      <c r="F457" s="1"/>
      <c r="G457" s="6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1"/>
      <c r="T457" s="14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spans="1:46" x14ac:dyDescent="0.25">
      <c r="A458" s="1"/>
      <c r="B458" s="1"/>
      <c r="C458" s="1"/>
      <c r="D458" s="1"/>
      <c r="E458" s="1"/>
      <c r="F458" s="1"/>
      <c r="G458" s="6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1"/>
      <c r="T458" s="14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spans="1:46" x14ac:dyDescent="0.25">
      <c r="A459" s="1"/>
      <c r="B459" s="1"/>
      <c r="C459" s="1"/>
      <c r="D459" s="1"/>
      <c r="E459" s="1"/>
      <c r="F459" s="1"/>
      <c r="G459" s="6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1"/>
      <c r="T459" s="14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spans="1:46" x14ac:dyDescent="0.25">
      <c r="A460" s="1"/>
      <c r="B460" s="1"/>
      <c r="C460" s="1"/>
      <c r="D460" s="1"/>
      <c r="E460" s="1"/>
      <c r="F460" s="1"/>
      <c r="G460" s="6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1"/>
      <c r="T460" s="14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spans="1:46" x14ac:dyDescent="0.25">
      <c r="A461" s="1"/>
      <c r="B461" s="1"/>
      <c r="C461" s="1"/>
      <c r="D461" s="1"/>
      <c r="E461" s="1"/>
      <c r="F461" s="1"/>
      <c r="G461" s="6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1"/>
      <c r="T461" s="14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spans="1:46" x14ac:dyDescent="0.25">
      <c r="A462" s="1"/>
      <c r="B462" s="1"/>
      <c r="C462" s="1"/>
      <c r="D462" s="1"/>
      <c r="E462" s="1"/>
      <c r="F462" s="1"/>
      <c r="G462" s="6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1"/>
      <c r="T462" s="14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spans="1:46" x14ac:dyDescent="0.25">
      <c r="A463" s="1"/>
      <c r="B463" s="1"/>
      <c r="C463" s="1"/>
      <c r="D463" s="1"/>
      <c r="E463" s="1"/>
      <c r="F463" s="1"/>
      <c r="G463" s="6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1"/>
      <c r="T463" s="14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spans="1:46" x14ac:dyDescent="0.25">
      <c r="A464" s="1"/>
      <c r="B464" s="1"/>
      <c r="C464" s="1"/>
      <c r="D464" s="1"/>
      <c r="E464" s="1"/>
      <c r="F464" s="1"/>
      <c r="G464" s="6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1"/>
      <c r="T464" s="14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spans="1:46" x14ac:dyDescent="0.25">
      <c r="A465" s="1"/>
      <c r="B465" s="1"/>
      <c r="C465" s="1"/>
      <c r="D465" s="1"/>
      <c r="E465" s="1"/>
      <c r="F465" s="1"/>
      <c r="G465" s="6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1"/>
      <c r="T465" s="14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spans="1:46" x14ac:dyDescent="0.25">
      <c r="A466" s="1"/>
      <c r="B466" s="1"/>
      <c r="C466" s="1"/>
      <c r="D466" s="1"/>
      <c r="E466" s="1"/>
      <c r="F466" s="1"/>
      <c r="G466" s="6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1"/>
      <c r="T466" s="14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spans="1:46" x14ac:dyDescent="0.25">
      <c r="A467" s="1"/>
      <c r="B467" s="1"/>
      <c r="C467" s="1"/>
      <c r="D467" s="1"/>
      <c r="E467" s="1"/>
      <c r="F467" s="1"/>
      <c r="G467" s="6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1"/>
      <c r="T467" s="14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spans="1:46" x14ac:dyDescent="0.25">
      <c r="A468" s="1"/>
      <c r="B468" s="1"/>
      <c r="C468" s="1"/>
      <c r="D468" s="1"/>
      <c r="E468" s="1"/>
      <c r="F468" s="1"/>
      <c r="G468" s="6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1"/>
      <c r="T468" s="14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spans="1:46" x14ac:dyDescent="0.25">
      <c r="A469" s="1"/>
      <c r="B469" s="1"/>
      <c r="C469" s="1"/>
      <c r="D469" s="1"/>
      <c r="E469" s="1"/>
      <c r="F469" s="1"/>
      <c r="G469" s="6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1"/>
      <c r="T469" s="14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spans="1:46" x14ac:dyDescent="0.25">
      <c r="A470" s="1"/>
      <c r="B470" s="1"/>
      <c r="C470" s="1"/>
      <c r="D470" s="1"/>
      <c r="E470" s="1"/>
      <c r="F470" s="1"/>
      <c r="G470" s="6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1"/>
      <c r="T470" s="14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spans="1:46" x14ac:dyDescent="0.25">
      <c r="A471" s="1"/>
      <c r="B471" s="1"/>
      <c r="C471" s="1"/>
      <c r="D471" s="1"/>
      <c r="E471" s="1"/>
      <c r="F471" s="1"/>
      <c r="G471" s="6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1"/>
      <c r="T471" s="14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spans="1:46" x14ac:dyDescent="0.25">
      <c r="A472" s="1"/>
      <c r="B472" s="1"/>
      <c r="C472" s="1"/>
      <c r="D472" s="1"/>
      <c r="E472" s="1"/>
      <c r="F472" s="1"/>
      <c r="G472" s="6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1"/>
      <c r="T472" s="14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spans="1:46" x14ac:dyDescent="0.25">
      <c r="A473" s="1"/>
      <c r="B473" s="1"/>
      <c r="C473" s="1"/>
      <c r="D473" s="1"/>
      <c r="E473" s="1"/>
      <c r="F473" s="1"/>
      <c r="G473" s="6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1"/>
      <c r="T473" s="14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spans="1:46" x14ac:dyDescent="0.25">
      <c r="A474" s="1"/>
      <c r="B474" s="1"/>
      <c r="C474" s="1"/>
      <c r="D474" s="1"/>
      <c r="E474" s="1"/>
      <c r="F474" s="1"/>
      <c r="G474" s="6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1"/>
      <c r="T474" s="14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spans="1:46" x14ac:dyDescent="0.25">
      <c r="A475" s="1"/>
      <c r="B475" s="1"/>
      <c r="C475" s="1"/>
      <c r="D475" s="1"/>
      <c r="E475" s="1"/>
      <c r="F475" s="1"/>
      <c r="G475" s="6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1"/>
      <c r="T475" s="14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spans="1:46" x14ac:dyDescent="0.25">
      <c r="A476" s="1"/>
      <c r="B476" s="1"/>
      <c r="C476" s="1"/>
      <c r="D476" s="1"/>
      <c r="E476" s="1"/>
      <c r="F476" s="1"/>
      <c r="G476" s="6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1"/>
      <c r="T476" s="14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spans="1:46" x14ac:dyDescent="0.25">
      <c r="A477" s="1"/>
      <c r="B477" s="1"/>
      <c r="C477" s="1"/>
      <c r="D477" s="1"/>
      <c r="E477" s="1"/>
      <c r="F477" s="1"/>
      <c r="G477" s="6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1"/>
      <c r="T477" s="14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spans="1:46" x14ac:dyDescent="0.25">
      <c r="A478" s="1"/>
      <c r="B478" s="1"/>
      <c r="C478" s="1"/>
      <c r="D478" s="1"/>
      <c r="E478" s="1"/>
      <c r="F478" s="1"/>
      <c r="G478" s="6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1"/>
      <c r="T478" s="14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spans="1:46" x14ac:dyDescent="0.25">
      <c r="A479" s="1"/>
      <c r="B479" s="1"/>
      <c r="C479" s="1"/>
      <c r="D479" s="1"/>
      <c r="E479" s="1"/>
      <c r="F479" s="1"/>
      <c r="G479" s="6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1"/>
      <c r="T479" s="14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spans="1:46" x14ac:dyDescent="0.25">
      <c r="A480" s="1"/>
      <c r="B480" s="1"/>
      <c r="C480" s="1"/>
      <c r="D480" s="1"/>
      <c r="E480" s="1"/>
      <c r="F480" s="1"/>
      <c r="G480" s="6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1"/>
      <c r="T480" s="14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spans="1:46" x14ac:dyDescent="0.25">
      <c r="A481" s="1"/>
      <c r="B481" s="1"/>
      <c r="C481" s="1"/>
      <c r="D481" s="1"/>
      <c r="E481" s="1"/>
      <c r="F481" s="1"/>
      <c r="G481" s="6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1"/>
      <c r="T481" s="14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spans="1:46" x14ac:dyDescent="0.25">
      <c r="A482" s="1"/>
      <c r="B482" s="1"/>
      <c r="C482" s="1"/>
      <c r="D482" s="1"/>
      <c r="E482" s="1"/>
      <c r="F482" s="1"/>
      <c r="G482" s="6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1"/>
      <c r="T482" s="14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spans="1:46" x14ac:dyDescent="0.25">
      <c r="A483" s="1"/>
      <c r="B483" s="1"/>
      <c r="C483" s="1"/>
      <c r="D483" s="1"/>
      <c r="E483" s="1"/>
      <c r="F483" s="1"/>
      <c r="G483" s="6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1"/>
      <c r="T483" s="14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spans="1:46" x14ac:dyDescent="0.25">
      <c r="A484" s="1"/>
      <c r="B484" s="1"/>
      <c r="C484" s="1"/>
      <c r="D484" s="1"/>
      <c r="E484" s="1"/>
      <c r="F484" s="1"/>
      <c r="G484" s="6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1"/>
      <c r="T484" s="14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spans="1:46" x14ac:dyDescent="0.25">
      <c r="A485" s="1"/>
      <c r="B485" s="1"/>
      <c r="C485" s="1"/>
      <c r="D485" s="1"/>
      <c r="E485" s="1"/>
      <c r="F485" s="1"/>
      <c r="G485" s="6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1"/>
      <c r="T485" s="14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spans="1:46" x14ac:dyDescent="0.25">
      <c r="A486" s="1"/>
      <c r="B486" s="1"/>
      <c r="C486" s="1"/>
      <c r="D486" s="1"/>
      <c r="E486" s="1"/>
      <c r="F486" s="1"/>
      <c r="G486" s="6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1"/>
      <c r="T486" s="14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spans="1:46" x14ac:dyDescent="0.25">
      <c r="A487" s="1"/>
      <c r="B487" s="1"/>
      <c r="C487" s="1"/>
      <c r="D487" s="1"/>
      <c r="E487" s="1"/>
      <c r="F487" s="1"/>
      <c r="G487" s="6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1"/>
      <c r="T487" s="14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spans="1:46" x14ac:dyDescent="0.25">
      <c r="A488" s="1"/>
      <c r="B488" s="1"/>
      <c r="C488" s="1"/>
      <c r="D488" s="1"/>
      <c r="E488" s="1"/>
      <c r="F488" s="1"/>
      <c r="G488" s="6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1"/>
      <c r="T488" s="14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spans="1:46" x14ac:dyDescent="0.25">
      <c r="A489" s="1"/>
      <c r="B489" s="1"/>
      <c r="C489" s="1"/>
      <c r="D489" s="1"/>
      <c r="E489" s="1"/>
      <c r="F489" s="1"/>
      <c r="G489" s="6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1"/>
      <c r="T489" s="14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spans="1:46" x14ac:dyDescent="0.25">
      <c r="A490" s="1"/>
      <c r="B490" s="1"/>
      <c r="C490" s="1"/>
      <c r="D490" s="1"/>
      <c r="E490" s="1"/>
      <c r="F490" s="1"/>
      <c r="G490" s="6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1"/>
      <c r="T490" s="14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spans="1:46" x14ac:dyDescent="0.25">
      <c r="A491" s="1"/>
      <c r="B491" s="1"/>
      <c r="C491" s="1"/>
      <c r="D491" s="1"/>
      <c r="E491" s="1"/>
      <c r="F491" s="1"/>
      <c r="G491" s="6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1"/>
      <c r="T491" s="14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spans="1:46" x14ac:dyDescent="0.25">
      <c r="A492" s="1"/>
      <c r="B492" s="1"/>
      <c r="C492" s="1"/>
      <c r="D492" s="1"/>
      <c r="E492" s="1"/>
      <c r="F492" s="1"/>
      <c r="G492" s="6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1"/>
      <c r="T492" s="14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spans="1:46" x14ac:dyDescent="0.25">
      <c r="A493" s="1"/>
      <c r="B493" s="1"/>
      <c r="C493" s="1"/>
      <c r="D493" s="1"/>
      <c r="E493" s="1"/>
      <c r="F493" s="1"/>
      <c r="G493" s="6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1"/>
      <c r="T493" s="14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spans="1:46" x14ac:dyDescent="0.25">
      <c r="A494" s="1"/>
      <c r="B494" s="1"/>
      <c r="C494" s="1"/>
      <c r="D494" s="1"/>
      <c r="E494" s="1"/>
      <c r="F494" s="1"/>
      <c r="G494" s="6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1"/>
      <c r="T494" s="14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spans="1:46" x14ac:dyDescent="0.25">
      <c r="A495" s="1"/>
      <c r="B495" s="1"/>
      <c r="C495" s="1"/>
      <c r="D495" s="1"/>
      <c r="E495" s="1"/>
      <c r="F495" s="1"/>
      <c r="G495" s="6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1"/>
      <c r="T495" s="14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spans="1:46" x14ac:dyDescent="0.25">
      <c r="A496" s="1"/>
      <c r="B496" s="1"/>
      <c r="C496" s="1"/>
      <c r="D496" s="1"/>
      <c r="E496" s="1"/>
      <c r="F496" s="1"/>
      <c r="G496" s="6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1"/>
      <c r="T496" s="14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 spans="1:46" x14ac:dyDescent="0.25">
      <c r="A497" s="1"/>
      <c r="B497" s="1"/>
      <c r="C497" s="1"/>
      <c r="D497" s="1"/>
      <c r="E497" s="1"/>
      <c r="F497" s="1"/>
      <c r="G497" s="6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1"/>
      <c r="T497" s="14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 spans="1:46" x14ac:dyDescent="0.25">
      <c r="A498" s="1"/>
      <c r="B498" s="1"/>
      <c r="C498" s="1"/>
      <c r="D498" s="1"/>
      <c r="E498" s="1"/>
      <c r="F498" s="1"/>
      <c r="G498" s="6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1"/>
      <c r="T498" s="14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 spans="1:46" x14ac:dyDescent="0.25">
      <c r="A499" s="1"/>
      <c r="B499" s="1"/>
      <c r="C499" s="1"/>
      <c r="D499" s="1"/>
      <c r="E499" s="1"/>
      <c r="F499" s="1"/>
      <c r="G499" s="6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1"/>
      <c r="T499" s="14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</sheetData>
  <autoFilter ref="A3:AG133" xr:uid="{CAAB1710-D64D-4A9C-AC19-299F8772FA52}">
    <filterColumn colId="19">
      <customFilters>
        <customFilter operator="greaterThan" val="18"/>
      </customFilters>
    </filterColumn>
    <filterColumn colId="32">
      <customFilters>
        <customFilter operator="notEqual" val=" "/>
      </customFilters>
    </filterColumn>
  </autoFilter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9E452-3F5E-46BB-B205-E80CD96BEA39}">
  <dimension ref="A1:J7"/>
  <sheetViews>
    <sheetView tabSelected="1" workbookViewId="0">
      <selection activeCell="M16" sqref="M16"/>
    </sheetView>
  </sheetViews>
  <sheetFormatPr defaultRowHeight="15" x14ac:dyDescent="0.25"/>
  <cols>
    <col min="1" max="1" width="9.140625" style="28"/>
    <col min="2" max="2" width="66.7109375" style="29" bestFit="1" customWidth="1"/>
    <col min="3" max="3" width="8.42578125" style="29" bestFit="1" customWidth="1"/>
    <col min="4" max="4" width="10.7109375" style="29" customWidth="1"/>
    <col min="5" max="5" width="5" style="29" bestFit="1" customWidth="1"/>
    <col min="6" max="6" width="6.28515625" style="29" hidden="1" customWidth="1"/>
    <col min="7" max="7" width="7.42578125" style="29" customWidth="1"/>
    <col min="8" max="8" width="10" style="29" customWidth="1"/>
    <col min="9" max="9" width="8.140625" style="29" customWidth="1"/>
    <col min="10" max="10" width="20.28515625" style="29" bestFit="1" customWidth="1"/>
  </cols>
  <sheetData>
    <row r="1" spans="1:10" ht="45" x14ac:dyDescent="0.25">
      <c r="A1" s="17" t="s">
        <v>179</v>
      </c>
      <c r="B1" s="18" t="s">
        <v>0</v>
      </c>
      <c r="C1" s="18" t="s">
        <v>1</v>
      </c>
      <c r="D1" s="19" t="s">
        <v>5</v>
      </c>
      <c r="E1" s="20" t="s">
        <v>6</v>
      </c>
      <c r="F1" s="19" t="s">
        <v>7</v>
      </c>
      <c r="G1" s="19" t="s">
        <v>14</v>
      </c>
      <c r="H1" s="19" t="s">
        <v>180</v>
      </c>
      <c r="I1" s="21" t="s">
        <v>181</v>
      </c>
      <c r="J1" s="19" t="s">
        <v>18</v>
      </c>
    </row>
    <row r="2" spans="1:10" x14ac:dyDescent="0.25">
      <c r="A2" s="22">
        <v>1</v>
      </c>
      <c r="B2" s="23" t="s">
        <v>54</v>
      </c>
      <c r="C2" s="23" t="s">
        <v>36</v>
      </c>
      <c r="D2" s="23">
        <v>35.860999999999997</v>
      </c>
      <c r="E2" s="24">
        <v>1</v>
      </c>
      <c r="F2" s="23">
        <v>60</v>
      </c>
      <c r="G2" s="23">
        <v>71.01100000000001</v>
      </c>
      <c r="H2" s="25">
        <v>4.6109999999999998</v>
      </c>
      <c r="I2" s="26">
        <v>23.177618737800916</v>
      </c>
      <c r="J2" s="27" t="s">
        <v>178</v>
      </c>
    </row>
    <row r="3" spans="1:10" x14ac:dyDescent="0.25">
      <c r="A3" s="22">
        <v>2</v>
      </c>
      <c r="B3" s="23" t="s">
        <v>87</v>
      </c>
      <c r="C3" s="23" t="s">
        <v>36</v>
      </c>
      <c r="D3" s="23">
        <v>122.471</v>
      </c>
      <c r="E3" s="24">
        <v>1</v>
      </c>
      <c r="F3" s="23">
        <v>50</v>
      </c>
      <c r="G3" s="23">
        <v>0</v>
      </c>
      <c r="H3" s="25">
        <v>6.2511999999999999</v>
      </c>
      <c r="I3" s="26">
        <v>19.591598413104684</v>
      </c>
      <c r="J3" s="27" t="s">
        <v>178</v>
      </c>
    </row>
    <row r="4" spans="1:10" x14ac:dyDescent="0.25">
      <c r="A4" s="22">
        <v>3</v>
      </c>
      <c r="B4" s="23" t="s">
        <v>98</v>
      </c>
      <c r="C4" s="23" t="s">
        <v>36</v>
      </c>
      <c r="D4" s="23">
        <v>38.381</v>
      </c>
      <c r="E4" s="24">
        <v>1</v>
      </c>
      <c r="F4" s="23">
        <v>55</v>
      </c>
      <c r="G4" s="23">
        <v>30.510200000000012</v>
      </c>
      <c r="H4" s="25">
        <v>2.7408000000000001</v>
      </c>
      <c r="I4" s="26">
        <v>25.135434909515475</v>
      </c>
      <c r="J4" s="27" t="s">
        <v>178</v>
      </c>
    </row>
    <row r="5" spans="1:10" x14ac:dyDescent="0.25">
      <c r="A5" s="22">
        <v>4</v>
      </c>
      <c r="B5" s="23" t="s">
        <v>110</v>
      </c>
      <c r="C5" s="23" t="s">
        <v>42</v>
      </c>
      <c r="D5" s="23">
        <v>43</v>
      </c>
      <c r="E5" s="24">
        <v>0.6</v>
      </c>
      <c r="F5" s="23">
        <v>70</v>
      </c>
      <c r="G5" s="23">
        <v>0</v>
      </c>
      <c r="H5" s="23">
        <v>2.2000000000000002</v>
      </c>
      <c r="I5" s="26">
        <v>19.545454545454543</v>
      </c>
      <c r="J5" s="27" t="s">
        <v>178</v>
      </c>
    </row>
    <row r="6" spans="1:10" x14ac:dyDescent="0.25">
      <c r="A6" s="22">
        <v>5</v>
      </c>
      <c r="B6" s="23" t="s">
        <v>120</v>
      </c>
      <c r="C6" s="23" t="s">
        <v>42</v>
      </c>
      <c r="D6" s="23">
        <v>292</v>
      </c>
      <c r="E6" s="24">
        <v>0.4</v>
      </c>
      <c r="F6" s="23">
        <v>55</v>
      </c>
      <c r="G6" s="23">
        <v>0</v>
      </c>
      <c r="H6" s="25">
        <v>8.6</v>
      </c>
      <c r="I6" s="26">
        <v>33.953488372093027</v>
      </c>
      <c r="J6" s="27" t="s">
        <v>178</v>
      </c>
    </row>
    <row r="7" spans="1:10" x14ac:dyDescent="0.25">
      <c r="A7" s="22">
        <v>6</v>
      </c>
      <c r="B7" s="23" t="s">
        <v>158</v>
      </c>
      <c r="C7" s="23" t="s">
        <v>36</v>
      </c>
      <c r="D7" s="23">
        <v>92.215000000000003</v>
      </c>
      <c r="E7" s="24">
        <v>1</v>
      </c>
      <c r="F7" s="23">
        <v>50</v>
      </c>
      <c r="G7" s="23">
        <v>0</v>
      </c>
      <c r="H7" s="25">
        <v>4.4892000000000003</v>
      </c>
      <c r="I7" s="26">
        <v>20.541521874721553</v>
      </c>
      <c r="J7" s="27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потенциальный просрок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2026-08-19T13:12:10Z</dcterms:created>
  <dcterms:modified xsi:type="dcterms:W3CDTF">2026-08-19T13:50:58Z</dcterms:modified>
</cp:coreProperties>
</file>