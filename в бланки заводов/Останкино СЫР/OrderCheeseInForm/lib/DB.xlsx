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lib\"/>
    </mc:Choice>
  </mc:AlternateContent>
  <xr:revisionPtr revIDLastSave="0" documentId="13_ncr:1_{29AF5C2D-113E-42A6-BE85-2F1C3CB899E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Лист1!$A$1:$F$59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0" i="1" l="1"/>
  <c r="G61" i="1"/>
  <c r="G59" i="1" l="1"/>
  <c r="G58" i="1"/>
  <c r="G57" i="1" l="1"/>
  <c r="G54" i="1" l="1"/>
  <c r="G55" i="1"/>
  <c r="G56" i="1"/>
  <c r="G53" i="1"/>
  <c r="G18" i="1" l="1"/>
  <c r="G52" i="1" l="1"/>
  <c r="G51" i="1"/>
  <c r="G3" i="1" l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3" i="1"/>
  <c r="G9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<sst xmlns="http://schemas.openxmlformats.org/spreadsheetml/2006/main" count="194" uniqueCount="124">
  <si>
    <t>SKU</t>
  </si>
  <si>
    <t>art</t>
  </si>
  <si>
    <t>name</t>
  </si>
  <si>
    <t>mult</t>
  </si>
  <si>
    <t>formuls</t>
  </si>
  <si>
    <t>coof</t>
  </si>
  <si>
    <t>9988421 Творожный Сыр 60 % С маринованными огурчиками и укропом  Останкино</t>
  </si>
  <si>
    <t>Творожный Сыр 60 % С маринованными огурчиками и укропом СТМ "ПапаМожет" 140гр</t>
  </si>
  <si>
    <t>штуки</t>
  </si>
  <si>
    <t>9988438 Плавленый Сыр 45% "С ветчиной" СТМ"ПапаМожет" 180гр  Останкино</t>
  </si>
  <si>
    <t>Плавленый Сыр 45% "С ветчиной" СТМ "ПапаМожет" 180гр</t>
  </si>
  <si>
    <t>9988445 Плавленый Сыр 45%"С грибами" СТМ"ПапаМожет" 180 гр  Останкино</t>
  </si>
  <si>
    <t>Плавленый Сыр 45% "С грибами" СТМ "ПапаМожет" 180гр</t>
  </si>
  <si>
    <t>Плавленый Сыр колбасный копченый 40% СТМ"ПапаМожет"400гр  Останкино</t>
  </si>
  <si>
    <t>Плавленый Сыр колбасный копченый 40% СТМ "ПапаМожет" 400гр</t>
  </si>
  <si>
    <t>Плавленый продукт с Сыром колбасный копченый 40% СТМ "Коровино" 400гр  Останкино</t>
  </si>
  <si>
    <t>Плавленый продукт с Сыром колбасный копченый 40% СТМ "Коровино" 400гр</t>
  </si>
  <si>
    <t>Сыр "Пармезан" 40% кусок 180 гр  ОСТАНКИНО</t>
  </si>
  <si>
    <t>Сыр "Пармезан" (срок созревания 3 мес) м.д.ж. в с.в. 40% фас в газ.среда 180 г ОСТАНКИНО</t>
  </si>
  <si>
    <t>Сыр "Пармезан" с массовой долей жира в сухом веществе 40%  Останкино</t>
  </si>
  <si>
    <t>Сыр твердый "Пармезан", с массовой долей жира в пересчете на сухое вещество 35%, цилиндр 1/4, пленка</t>
  </si>
  <si>
    <t>вес</t>
  </si>
  <si>
    <t>Сыр Боккончини копченый 40% 100 гр.  ОСТАНКИНО</t>
  </si>
  <si>
    <t>Сыр Боккончини копченый 40% 100г/8шт ТМ Папа Может</t>
  </si>
  <si>
    <t>Сыр ПАПА МОЖЕТ "Гауда Голд" 45 % 180 гр (10шт) Останкино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</si>
  <si>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</si>
  <si>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"Голландский традиционный" 45% 180 гр (10шт)  Останкино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</si>
  <si>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</si>
  <si>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"Министерский" 180 г фасованный массовая  Останкино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</si>
  <si>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</si>
  <si>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"Папин завтрак"  45% 180 г  Останкино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</si>
  <si>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</si>
  <si>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"Российский традиционный"45 % 180 г Останкино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</si>
  <si>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</si>
  <si>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45%, 180г  Останкино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</si>
  <si>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</si>
  <si>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"Гауда Голд" 45% (-2,5 кг брус) (6 шт)  Останкино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</si>
  <si>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</si>
  <si>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Папа Может "Российский традиционный"  50%, вакуум  Останкино</t>
  </si>
  <si>
    <t>Сыр полутвердый "Российский" 3,2 кг, 50%, "Папа Может" ЮГ</t>
  </si>
  <si>
    <t>Сыр Скаморца свежий 100 гр.  ОСТАНКИНО</t>
  </si>
  <si>
    <t>Сыр Скаморца свежий 100г/8шт ТМ Папа Может</t>
  </si>
  <si>
    <t>Сыр Сливочный со вкусом топленого молока 45% ти Папа Может, брус (2 шт)  Останкино</t>
  </si>
  <si>
    <t>Сыр Сливочный со вкусом топленого молока 45% тм Папа Может, брус (2 шт)</t>
  </si>
  <si>
    <t>Сыр Творожный с зеленью 60% Папа может 140 гр.  Останкино</t>
  </si>
  <si>
    <t>Творожный Сыр 60 % С зеленью СТМ "ПапаМожет-" 140гр</t>
  </si>
  <si>
    <t>Сыр плавленный Сливочный ж.45% 180г ТМ Папа может (16шт)  Останкино</t>
  </si>
  <si>
    <t>Плавленый сыр "Сливочный" 45% 180 гр ТМ "ПАПА МОЖЕТ"</t>
  </si>
  <si>
    <t>Сыр полутвердый "Сметанковый", с масс долей жира в пересчете на сухое вещес50%, брус  Останкино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</si>
  <si>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</si>
  <si>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Сыр рассольный жирный Чечил 45% 100 гр  ОСТАНКИНО</t>
  </si>
  <si>
    <t>Сыр Чечил свежий 45% 100г/6шт ТМ Папа Может</t>
  </si>
  <si>
    <t>Сыр рассольный жирный Чечил копченый 43% 100 гр  Останкино</t>
  </si>
  <si>
    <t>Сыр Чечил копченый 43% 100г/6шт ТМ Папа Может</t>
  </si>
  <si>
    <t>Сыч/Прод Коровино Российский 50% 200г СЗМЖ  Останкино</t>
  </si>
  <si>
    <t>783К798</t>
  </si>
  <si>
    <t>Сыч/Прод Коровино Российский 50% 200г  СЗМЖ</t>
  </si>
  <si>
    <t>Сыч/Прод Коровино Российский Оригин 50% ВЕС (3,5 кг)  Останкино</t>
  </si>
  <si>
    <t>783К811</t>
  </si>
  <si>
    <t>Сыч/Прод Коровино Российский Оригин  50% вес  (3,5 кг брус) СЗМЖ</t>
  </si>
  <si>
    <t>Сыч/Прод Коровино Тильзитер 50% 200г СЗМЖ  ОСТАНКИНО</t>
  </si>
  <si>
    <t>783К801</t>
  </si>
  <si>
    <t>Сыч/Прод Коровино Тильзитер 50% 200г  СЗМЖ</t>
  </si>
  <si>
    <t>Сыч/Прод Коровино Тильзитер Оригин 50% ВЕС (3,5 кг брус) СЗМЖ  Останкино</t>
  </si>
  <si>
    <t>783К825</t>
  </si>
  <si>
    <t>Сыч/Прод Коровино Тильзитер Оригин  50% вес  (3,5 кг брус) СЗМЖ</t>
  </si>
  <si>
    <t>Сыр творожный Сливочный 140 гр.  Останкино</t>
  </si>
  <si>
    <t>Творожный Сыр 60% Сливочный  СТМ "ПапаМожет"- 140гр</t>
  </si>
  <si>
    <t>6948249 Майонезный соус провансаль 824,5гр деликатес.с массовой долей жирн.25% Коровино Останкино</t>
  </si>
  <si>
    <t>Майонезный соус провансаль деликатесный с массовой долей жира 25%ТМ "Коровино" 824,5 г</t>
  </si>
  <si>
    <t>6948256 Майонез провансаль классич.оливковый Папа может 372гр с массовой долей жирн. 67% Останкино</t>
  </si>
  <si>
    <t>Майонез провансаль классический оливковый с массовой долей жира 67%ТМ «ПАПА МОЖЕТ» 372г дой-пак с дозатором</t>
  </si>
  <si>
    <t>6948263 Майонез провансаль классич.оливковый Папа может 744гр с массовой долей жирн. 67% Останкино</t>
  </si>
  <si>
    <t>Майонез провансаль классический оливковый с массовой долей жира 67%ТМ «ПАПА МОЖЕТ» 744г дой-пак с дозатором</t>
  </si>
  <si>
    <t>6948270 Майонез провансаль классич.Папа может 372гр с массовой долей жирн. 67% Останкино</t>
  </si>
  <si>
    <t>Майонез провансаль классический с массовой долей жира 67% ТМ «ПАПА МОЖЕТ» 372г дой-пак с дозатором</t>
  </si>
  <si>
    <t>6948287 Майонез провансаль классич.Папа может 744гр с массовой долей жирн. 67% Останкино</t>
  </si>
  <si>
    <t>Майонез провансаль классический с массовой долей жира 67% ТМ "ПАПА МОЖЕТ" 744 г дой-пак с дозатором</t>
  </si>
  <si>
    <t>3323 Сыр Российский цилиндр 1/4 пленка ЮКМП м.д.ж. 50%  ОСТАНКИНО</t>
  </si>
  <si>
    <t>Cыр Перлини со вкусом Васаби 40% 100гр (8шт)  Останкино</t>
  </si>
  <si>
    <t>Масло сливочное 72,5 % 180 гр.(10 шт) СЛАВЯНА  Останкино</t>
  </si>
  <si>
    <t>Сыр Косичка сырная копченая 43% 100г/8шт Папа Может Останкино</t>
  </si>
  <si>
    <t>Сыч/Прод Коровино Тильзитер 50% 200г НОВАЯ СЗМЖ  ОСТАНКИНО</t>
  </si>
  <si>
    <t>Сыр Перлини со вкусом Васаби 40% 100гр (8шт)</t>
  </si>
  <si>
    <t>Масло сливочное ПАПА МОЖЕТ 72.5%, фас. в фольгу, 180гр</t>
  </si>
  <si>
    <t>Сыр Косичка сырная копченая 43% 100г/8шт ТМ Папа Может</t>
  </si>
  <si>
    <t>Сыр твердый "Пармезан", с масовой долей жира 35% Останкино</t>
  </si>
  <si>
    <t>Масло "Папа может" 82,5% 180гр  Останкино</t>
  </si>
  <si>
    <t>Масло сливочное ПАПА МОЖЕТ 82.5%, фас. в фольгу, 180гр</t>
  </si>
  <si>
    <t>Сыч/Прод Коровино Российский Оригин 50% ВЕС НОВАЯ (3,5 кг)  ОСТАНКИНО</t>
  </si>
  <si>
    <t>Сыч/Прод Коровино Тильзитер Оригин 50% ВЕС НОВАЯ (5 кг брус) СЗМЖ  ОСТАНКИНО</t>
  </si>
  <si>
    <t>Сыч/Прод Коровино Российский 50% 200г НОВАЯ СЗМЖ  ОСТАНКИНО</t>
  </si>
  <si>
    <t>Сыр Косичка сырная 45% 100г/8шт Папа Может Останкино</t>
  </si>
  <si>
    <t>Сыр Косичка сырная 45% 100г/8шт ТМ Папа Может</t>
  </si>
  <si>
    <t>4931  Сыр полутвердый "Купеческий" с ароматом топленого молока, с м.д.ж. 50% ОСТАНКИНО</t>
  </si>
  <si>
    <t>Сыр полутвердый "Тильзитер" с массовой долей жира в пересчете на сухое вещество 45%. 1/5  Останкино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</si>
  <si>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</si>
  <si>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Cыр Перлини копченый 40% 100гр (8шт)  Останкино</t>
  </si>
  <si>
    <t>Сыр Перлини копченый 40% 100гр (8шт)</t>
  </si>
  <si>
    <t>Сыр полутвердый Российский, цилиндр, 1/4, пленка, массовая доля жира в сухом веществе 50%</t>
  </si>
  <si>
    <t>Плавленый сыр "Шоколадный" 30% 180гр Папа Может Останкино</t>
  </si>
  <si>
    <t>Плавленый сыр "Шоколадный" 30% 180 гр ТМ "ПАПА МОЖЕТ"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</si>
  <si>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</si>
  <si>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</si>
  <si>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</si>
  <si>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</si>
  <si>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</si>
  <si>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</si>
  <si>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</si>
  <si>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</si>
  <si>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</si>
  <si>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</si>
  <si>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</si>
  <si>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</si>
  <si>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</si>
  <si>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</si>
  <si>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Продукт белково-жировой Сметанковый 50% вес ТМ Коровино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</si>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</sst>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1" fillId="0" borderId="0" xfId="1" applyNumberFormat="1"/>
  </cellXfs>
  <cellStyles count="2">
    <cellStyle name="Arial10px" xfId="1" xr:uid="{848D5204-7CA3-438A-9585-1CC7452ED98C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85" zoomScaleNormal="85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98.140625" bestFit="1" customWidth="1"/>
    <col min="3" max="3" width="14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>
        <v>9988421</v>
      </c>
      <c r="C2" t="s">
        <v>7</v>
      </c>
      <c r="D2">
        <v>16</v>
      </c>
      <c r="E2" t="s">
        <v>8</v>
      </c>
      <c r="F2">
        <v>0.14000000000000001</v>
      </c>
      <c r="G2" t="b">
        <f t="shared" ref="G2:G33" si="0">COUNTIF(B:B,B2)&gt;1</f>
        <v>0</v>
      </c>
    </row>
    <row r="3" spans="1:7" x14ac:dyDescent="0.25">
      <c r="A3" t="s">
        <v>9</v>
      </c>
      <c r="B3">
        <v>9988438</v>
      </c>
      <c r="C3" t="s">
        <v>10</v>
      </c>
      <c r="D3">
        <v>16</v>
      </c>
      <c r="E3" t="s">
        <v>8</v>
      </c>
      <c r="F3">
        <v>0.18</v>
      </c>
      <c r="G3" t="b">
        <f t="shared" si="0"/>
        <v>0</v>
      </c>
    </row>
    <row r="4" spans="1:7" x14ac:dyDescent="0.25">
      <c r="A4" t="s">
        <v>11</v>
      </c>
      <c r="B4">
        <v>9988445</v>
      </c>
      <c r="C4" t="s">
        <v>12</v>
      </c>
      <c r="D4">
        <v>16</v>
      </c>
      <c r="E4" t="s">
        <v>8</v>
      </c>
      <c r="F4">
        <v>0.18</v>
      </c>
      <c r="G4" t="b">
        <f t="shared" si="0"/>
        <v>0</v>
      </c>
    </row>
    <row r="5" spans="1:7" x14ac:dyDescent="0.25">
      <c r="A5" t="s">
        <v>13</v>
      </c>
      <c r="B5">
        <v>9988452</v>
      </c>
      <c r="C5" t="s">
        <v>14</v>
      </c>
      <c r="D5">
        <v>8</v>
      </c>
      <c r="E5" t="s">
        <v>8</v>
      </c>
      <c r="F5">
        <v>0.4</v>
      </c>
      <c r="G5" t="b">
        <f t="shared" si="0"/>
        <v>0</v>
      </c>
    </row>
    <row r="6" spans="1:7" x14ac:dyDescent="0.25">
      <c r="A6" t="s">
        <v>15</v>
      </c>
      <c r="B6">
        <v>9988476</v>
      </c>
      <c r="C6" t="s">
        <v>16</v>
      </c>
      <c r="D6">
        <v>28</v>
      </c>
      <c r="E6" t="s">
        <v>8</v>
      </c>
      <c r="F6">
        <v>0.4</v>
      </c>
      <c r="G6" t="b">
        <f t="shared" si="0"/>
        <v>0</v>
      </c>
    </row>
    <row r="7" spans="1:7" x14ac:dyDescent="0.25">
      <c r="A7" t="s">
        <v>17</v>
      </c>
      <c r="B7">
        <v>5034819</v>
      </c>
      <c r="C7" t="s">
        <v>18</v>
      </c>
      <c r="D7">
        <v>6</v>
      </c>
      <c r="E7" t="s">
        <v>8</v>
      </c>
      <c r="F7">
        <v>0.18</v>
      </c>
      <c r="G7" t="b">
        <f t="shared" si="0"/>
        <v>0</v>
      </c>
    </row>
    <row r="8" spans="1:7" x14ac:dyDescent="0.25">
      <c r="A8" t="s">
        <v>19</v>
      </c>
      <c r="B8" s="2">
        <v>8786928</v>
      </c>
      <c r="C8" s="2" t="s">
        <v>20</v>
      </c>
      <c r="D8" s="2">
        <v>6</v>
      </c>
      <c r="E8" s="2" t="s">
        <v>21</v>
      </c>
      <c r="F8" s="2">
        <v>1</v>
      </c>
      <c r="G8" s="2" t="b">
        <f t="shared" si="0"/>
        <v>1</v>
      </c>
    </row>
    <row r="9" spans="1:7" x14ac:dyDescent="0.25">
      <c r="A9" t="s">
        <v>86</v>
      </c>
      <c r="B9" s="2">
        <v>8786928</v>
      </c>
      <c r="C9" s="2" t="s">
        <v>20</v>
      </c>
      <c r="D9" s="2">
        <v>6</v>
      </c>
      <c r="E9" s="2" t="s">
        <v>21</v>
      </c>
      <c r="F9" s="2">
        <v>1</v>
      </c>
      <c r="G9" s="2" t="b">
        <f t="shared" si="0"/>
        <v>1</v>
      </c>
    </row>
    <row r="10" spans="1:7" x14ac:dyDescent="0.25">
      <c r="A10" t="s">
        <v>22</v>
      </c>
      <c r="B10">
        <v>8444163</v>
      </c>
      <c r="C10" t="s">
        <v>23</v>
      </c>
      <c r="D10">
        <v>8</v>
      </c>
      <c r="E10" t="s">
        <v>8</v>
      </c>
      <c r="F10">
        <v>0.1</v>
      </c>
      <c r="G10" t="b">
        <f t="shared" si="0"/>
        <v>0</v>
      </c>
    </row>
    <row r="11" spans="1:7" x14ac:dyDescent="0.25">
      <c r="A11" t="s">
        <v>24</v>
      </c>
      <c r="B11">
        <v>5038411</v>
      </c>
      <c r="C11" t="s">
        <v>25</v>
      </c>
      <c r="D11">
        <v>10</v>
      </c>
      <c r="E11" t="s">
        <v>8</v>
      </c>
      <c r="F11">
        <v>0.18</v>
      </c>
      <c r="G11" t="b">
        <f t="shared" si="0"/>
        <v>0</v>
      </c>
    </row>
    <row r="12" spans="1:7" x14ac:dyDescent="0.25">
      <c r="A12" t="s">
        <v>26</v>
      </c>
      <c r="B12">
        <v>5038459</v>
      </c>
      <c r="C12" t="s">
        <v>27</v>
      </c>
      <c r="D12">
        <v>10</v>
      </c>
      <c r="E12" t="s">
        <v>8</v>
      </c>
      <c r="F12">
        <v>0.18</v>
      </c>
      <c r="G12" t="b">
        <f t="shared" si="0"/>
        <v>0</v>
      </c>
    </row>
    <row r="13" spans="1:7" x14ac:dyDescent="0.25">
      <c r="A13" t="s">
        <v>28</v>
      </c>
      <c r="B13">
        <v>5038831</v>
      </c>
      <c r="C13" t="s">
        <v>29</v>
      </c>
      <c r="D13">
        <v>10</v>
      </c>
      <c r="E13" t="s">
        <v>8</v>
      </c>
      <c r="F13">
        <v>0.18</v>
      </c>
      <c r="G13" t="b">
        <f t="shared" si="0"/>
        <v>0</v>
      </c>
    </row>
    <row r="14" spans="1:7" x14ac:dyDescent="0.25">
      <c r="A14" t="s">
        <v>30</v>
      </c>
      <c r="B14">
        <v>5038855</v>
      </c>
      <c r="C14" t="s">
        <v>31</v>
      </c>
      <c r="D14">
        <v>10</v>
      </c>
      <c r="E14" t="s">
        <v>8</v>
      </c>
      <c r="F14">
        <v>0.2</v>
      </c>
      <c r="G14" t="b">
        <f t="shared" si="0"/>
        <v>0</v>
      </c>
    </row>
    <row r="15" spans="1:7" x14ac:dyDescent="0.25">
      <c r="A15" t="s">
        <v>32</v>
      </c>
      <c r="B15">
        <v>5038435</v>
      </c>
      <c r="C15" t="s">
        <v>33</v>
      </c>
      <c r="D15">
        <v>10</v>
      </c>
      <c r="E15" t="s">
        <v>8</v>
      </c>
      <c r="F15">
        <v>0.18</v>
      </c>
      <c r="G15" t="b">
        <f t="shared" si="0"/>
        <v>0</v>
      </c>
    </row>
    <row r="16" spans="1:7" x14ac:dyDescent="0.25">
      <c r="A16" t="s">
        <v>34</v>
      </c>
      <c r="B16">
        <v>5038398</v>
      </c>
      <c r="C16" t="s">
        <v>35</v>
      </c>
      <c r="D16">
        <v>10</v>
      </c>
      <c r="E16" t="s">
        <v>8</v>
      </c>
      <c r="F16">
        <v>0.18</v>
      </c>
      <c r="G16" t="b">
        <f t="shared" si="0"/>
        <v>0</v>
      </c>
    </row>
    <row r="17" spans="1:7" x14ac:dyDescent="0.25">
      <c r="A17" t="s">
        <v>36</v>
      </c>
      <c r="B17" s="3">
        <v>8785242</v>
      </c>
      <c r="C17" s="3" t="s">
        <v>37</v>
      </c>
      <c r="D17" s="3">
        <v>16.5</v>
      </c>
      <c r="E17" s="3" t="s">
        <v>21</v>
      </c>
      <c r="F17" s="3">
        <v>1</v>
      </c>
      <c r="G17" s="3" t="b">
        <f t="shared" si="0"/>
        <v>1</v>
      </c>
    </row>
    <row r="18" spans="1:7" x14ac:dyDescent="0.25">
      <c r="A18" t="s">
        <v>107</v>
      </c>
      <c r="B18" s="3">
        <v>8785242</v>
      </c>
      <c r="C18" s="3" t="s">
        <v>37</v>
      </c>
      <c r="D18" s="3">
        <v>16.5</v>
      </c>
      <c r="E18" s="3" t="s">
        <v>21</v>
      </c>
      <c r="F18" s="3">
        <v>1</v>
      </c>
      <c r="G18" s="3" t="b">
        <f t="shared" si="0"/>
        <v>1</v>
      </c>
    </row>
    <row r="19" spans="1:7" x14ac:dyDescent="0.25">
      <c r="A19" t="s">
        <v>94</v>
      </c>
      <c r="B19">
        <v>8784931</v>
      </c>
      <c r="C19" t="s">
        <v>102</v>
      </c>
      <c r="D19">
        <v>16.5</v>
      </c>
      <c r="E19" t="s">
        <v>21</v>
      </c>
      <c r="F19">
        <v>1</v>
      </c>
      <c r="G19" t="b">
        <f t="shared" si="0"/>
        <v>0</v>
      </c>
    </row>
    <row r="20" spans="1:7" x14ac:dyDescent="0.25">
      <c r="A20" t="s">
        <v>38</v>
      </c>
      <c r="B20">
        <v>8785204</v>
      </c>
      <c r="C20" t="s">
        <v>39</v>
      </c>
      <c r="D20">
        <v>16.5</v>
      </c>
      <c r="E20" t="s">
        <v>21</v>
      </c>
      <c r="F20">
        <v>1</v>
      </c>
      <c r="G20" t="b">
        <f t="shared" si="0"/>
        <v>0</v>
      </c>
    </row>
    <row r="21" spans="1:7" x14ac:dyDescent="0.25">
      <c r="A21" t="s">
        <v>40</v>
      </c>
      <c r="B21">
        <v>8444170</v>
      </c>
      <c r="C21" t="s">
        <v>41</v>
      </c>
      <c r="D21">
        <v>8</v>
      </c>
      <c r="E21" t="s">
        <v>8</v>
      </c>
      <c r="F21">
        <v>0.1</v>
      </c>
      <c r="G21" t="b">
        <f t="shared" si="0"/>
        <v>0</v>
      </c>
    </row>
    <row r="22" spans="1:7" x14ac:dyDescent="0.25">
      <c r="A22" t="s">
        <v>42</v>
      </c>
      <c r="B22">
        <v>5522704</v>
      </c>
      <c r="C22" t="s">
        <v>43</v>
      </c>
      <c r="D22">
        <v>7</v>
      </c>
      <c r="E22" t="s">
        <v>21</v>
      </c>
      <c r="F22">
        <v>1</v>
      </c>
      <c r="G22" t="b">
        <f t="shared" si="0"/>
        <v>0</v>
      </c>
    </row>
    <row r="23" spans="1:7" x14ac:dyDescent="0.25">
      <c r="A23" t="s">
        <v>44</v>
      </c>
      <c r="B23">
        <v>9988391</v>
      </c>
      <c r="C23" t="s">
        <v>45</v>
      </c>
      <c r="D23">
        <v>16</v>
      </c>
      <c r="E23" t="s">
        <v>8</v>
      </c>
      <c r="F23">
        <v>0.14000000000000001</v>
      </c>
      <c r="G23" t="b">
        <f t="shared" si="0"/>
        <v>0</v>
      </c>
    </row>
    <row r="24" spans="1:7" x14ac:dyDescent="0.25">
      <c r="A24" t="s">
        <v>46</v>
      </c>
      <c r="B24">
        <v>9988681</v>
      </c>
      <c r="C24" t="s">
        <v>47</v>
      </c>
      <c r="D24">
        <v>16</v>
      </c>
      <c r="E24" t="s">
        <v>8</v>
      </c>
      <c r="F24">
        <v>0.18</v>
      </c>
      <c r="G24" t="b">
        <f t="shared" si="0"/>
        <v>0</v>
      </c>
    </row>
    <row r="25" spans="1:7" x14ac:dyDescent="0.25">
      <c r="A25" t="s">
        <v>48</v>
      </c>
      <c r="B25">
        <v>8785198</v>
      </c>
      <c r="C25" t="s">
        <v>49</v>
      </c>
      <c r="D25">
        <v>16.5</v>
      </c>
      <c r="E25" t="s">
        <v>21</v>
      </c>
      <c r="F25">
        <v>1</v>
      </c>
      <c r="G25" t="b">
        <f t="shared" si="0"/>
        <v>0</v>
      </c>
    </row>
    <row r="26" spans="1:7" x14ac:dyDescent="0.25">
      <c r="A26" t="s">
        <v>50</v>
      </c>
      <c r="B26">
        <v>8444187</v>
      </c>
      <c r="C26" t="s">
        <v>51</v>
      </c>
      <c r="D26">
        <v>6</v>
      </c>
      <c r="E26" t="s">
        <v>8</v>
      </c>
      <c r="F26">
        <v>0.1</v>
      </c>
      <c r="G26" t="b">
        <f t="shared" si="0"/>
        <v>0</v>
      </c>
    </row>
    <row r="27" spans="1:7" x14ac:dyDescent="0.25">
      <c r="A27" t="s">
        <v>52</v>
      </c>
      <c r="B27">
        <v>8444194</v>
      </c>
      <c r="C27" t="s">
        <v>53</v>
      </c>
      <c r="D27">
        <v>6</v>
      </c>
      <c r="E27" t="s">
        <v>8</v>
      </c>
      <c r="F27">
        <v>0.1</v>
      </c>
      <c r="G27" t="b">
        <f t="shared" si="0"/>
        <v>0</v>
      </c>
    </row>
    <row r="28" spans="1:7" x14ac:dyDescent="0.25">
      <c r="A28" t="s">
        <v>54</v>
      </c>
      <c r="B28" t="s">
        <v>55</v>
      </c>
      <c r="C28" t="s">
        <v>56</v>
      </c>
      <c r="D28">
        <v>10</v>
      </c>
      <c r="E28" t="s">
        <v>8</v>
      </c>
      <c r="F28">
        <v>0.2</v>
      </c>
      <c r="G28" t="b">
        <f t="shared" si="0"/>
        <v>1</v>
      </c>
    </row>
    <row r="29" spans="1:7" x14ac:dyDescent="0.25">
      <c r="A29" t="s">
        <v>91</v>
      </c>
      <c r="B29" t="s">
        <v>55</v>
      </c>
      <c r="C29" t="s">
        <v>56</v>
      </c>
      <c r="D29">
        <v>10</v>
      </c>
      <c r="E29" t="s">
        <v>8</v>
      </c>
      <c r="F29">
        <v>0.2</v>
      </c>
      <c r="G29" t="b">
        <f t="shared" si="0"/>
        <v>1</v>
      </c>
    </row>
    <row r="30" spans="1:7" x14ac:dyDescent="0.25">
      <c r="A30" t="s">
        <v>57</v>
      </c>
      <c r="B30" t="s">
        <v>58</v>
      </c>
      <c r="C30" t="s">
        <v>59</v>
      </c>
      <c r="D30">
        <v>15</v>
      </c>
      <c r="E30" t="s">
        <v>21</v>
      </c>
      <c r="F30">
        <v>1</v>
      </c>
      <c r="G30" t="b">
        <f t="shared" si="0"/>
        <v>1</v>
      </c>
    </row>
    <row r="31" spans="1:7" x14ac:dyDescent="0.25">
      <c r="A31" t="s">
        <v>89</v>
      </c>
      <c r="B31" t="s">
        <v>58</v>
      </c>
      <c r="C31" t="s">
        <v>59</v>
      </c>
      <c r="D31">
        <v>15</v>
      </c>
      <c r="E31" t="s">
        <v>21</v>
      </c>
      <c r="F31">
        <v>1</v>
      </c>
      <c r="G31" t="b">
        <f t="shared" si="0"/>
        <v>1</v>
      </c>
    </row>
    <row r="32" spans="1:7" x14ac:dyDescent="0.25">
      <c r="A32" t="s">
        <v>60</v>
      </c>
      <c r="B32" s="1" t="s">
        <v>61</v>
      </c>
      <c r="C32" s="1" t="s">
        <v>62</v>
      </c>
      <c r="D32" s="1">
        <v>10</v>
      </c>
      <c r="E32" s="1" t="s">
        <v>8</v>
      </c>
      <c r="F32" s="1">
        <v>0.2</v>
      </c>
      <c r="G32" s="1" t="b">
        <f t="shared" si="0"/>
        <v>1</v>
      </c>
    </row>
    <row r="33" spans="1:7" x14ac:dyDescent="0.25">
      <c r="A33" t="s">
        <v>82</v>
      </c>
      <c r="B33" s="1" t="s">
        <v>61</v>
      </c>
      <c r="C33" s="1" t="s">
        <v>62</v>
      </c>
      <c r="D33" s="1">
        <v>10</v>
      </c>
      <c r="E33" s="1" t="s">
        <v>8</v>
      </c>
      <c r="F33" s="1">
        <v>0.2</v>
      </c>
      <c r="G33" s="1" t="b">
        <f t="shared" si="0"/>
        <v>1</v>
      </c>
    </row>
    <row r="34" spans="1:7" x14ac:dyDescent="0.25">
      <c r="A34" t="s">
        <v>63</v>
      </c>
      <c r="B34" t="s">
        <v>64</v>
      </c>
      <c r="C34" t="s">
        <v>65</v>
      </c>
      <c r="D34">
        <v>15</v>
      </c>
      <c r="E34" t="s">
        <v>21</v>
      </c>
      <c r="F34">
        <v>1</v>
      </c>
      <c r="G34" t="b">
        <f t="shared" ref="G34:G61" si="1">COUNTIF(B:B,B34)&gt;1</f>
        <v>1</v>
      </c>
    </row>
    <row r="35" spans="1:7" x14ac:dyDescent="0.25">
      <c r="A35" t="s">
        <v>90</v>
      </c>
      <c r="B35" t="s">
        <v>64</v>
      </c>
      <c r="C35" t="s">
        <v>65</v>
      </c>
      <c r="D35">
        <v>15</v>
      </c>
      <c r="E35" t="s">
        <v>21</v>
      </c>
      <c r="F35">
        <v>1</v>
      </c>
      <c r="G35" t="b">
        <f t="shared" si="1"/>
        <v>1</v>
      </c>
    </row>
    <row r="36" spans="1:7" x14ac:dyDescent="0.25">
      <c r="A36" t="s">
        <v>66</v>
      </c>
      <c r="B36">
        <v>9988377</v>
      </c>
      <c r="C36" t="s">
        <v>67</v>
      </c>
      <c r="D36">
        <v>16</v>
      </c>
      <c r="E36" t="s">
        <v>8</v>
      </c>
      <c r="F36">
        <v>0.14000000000000001</v>
      </c>
      <c r="G36" t="b">
        <f t="shared" si="1"/>
        <v>0</v>
      </c>
    </row>
    <row r="37" spans="1:7" x14ac:dyDescent="0.25">
      <c r="A37" t="s">
        <v>68</v>
      </c>
      <c r="B37">
        <v>6948249</v>
      </c>
      <c r="C37" t="s">
        <v>69</v>
      </c>
      <c r="D37">
        <v>12</v>
      </c>
      <c r="E37" t="s">
        <v>8</v>
      </c>
      <c r="F37">
        <v>0.82499999999999996</v>
      </c>
      <c r="G37" t="b">
        <f t="shared" si="1"/>
        <v>0</v>
      </c>
    </row>
    <row r="38" spans="1:7" x14ac:dyDescent="0.25">
      <c r="A38" t="s">
        <v>70</v>
      </c>
      <c r="B38">
        <v>6948256</v>
      </c>
      <c r="C38" t="s">
        <v>71</v>
      </c>
      <c r="D38">
        <v>12</v>
      </c>
      <c r="E38" t="s">
        <v>8</v>
      </c>
      <c r="F38">
        <v>0.372</v>
      </c>
      <c r="G38" t="b">
        <f t="shared" si="1"/>
        <v>0</v>
      </c>
    </row>
    <row r="39" spans="1:7" x14ac:dyDescent="0.25">
      <c r="A39" t="s">
        <v>72</v>
      </c>
      <c r="B39">
        <v>6948263</v>
      </c>
      <c r="C39" t="s">
        <v>73</v>
      </c>
      <c r="D39">
        <v>12</v>
      </c>
      <c r="E39" t="s">
        <v>8</v>
      </c>
      <c r="F39">
        <v>0.74399999999999999</v>
      </c>
      <c r="G39" t="b">
        <f t="shared" si="1"/>
        <v>0</v>
      </c>
    </row>
    <row r="40" spans="1:7" x14ac:dyDescent="0.25">
      <c r="A40" t="s">
        <v>74</v>
      </c>
      <c r="B40">
        <v>6948270</v>
      </c>
      <c r="C40" t="s">
        <v>75</v>
      </c>
      <c r="D40">
        <v>12</v>
      </c>
      <c r="E40" t="s">
        <v>8</v>
      </c>
      <c r="F40">
        <v>0.372</v>
      </c>
      <c r="G40" t="b">
        <f t="shared" si="1"/>
        <v>0</v>
      </c>
    </row>
    <row r="41" spans="1:7" x14ac:dyDescent="0.25">
      <c r="A41" t="s">
        <v>76</v>
      </c>
      <c r="B41">
        <v>6948287</v>
      </c>
      <c r="C41" t="s">
        <v>77</v>
      </c>
      <c r="D41">
        <v>12</v>
      </c>
      <c r="E41" t="s">
        <v>8</v>
      </c>
      <c r="F41">
        <v>0.74399999999999999</v>
      </c>
      <c r="G41" t="b">
        <f t="shared" si="1"/>
        <v>0</v>
      </c>
    </row>
    <row r="42" spans="1:7" x14ac:dyDescent="0.25">
      <c r="A42" t="s">
        <v>78</v>
      </c>
      <c r="B42">
        <v>8783323</v>
      </c>
      <c r="C42" t="s">
        <v>99</v>
      </c>
      <c r="D42">
        <v>5</v>
      </c>
      <c r="E42" t="s">
        <v>21</v>
      </c>
      <c r="F42">
        <v>1</v>
      </c>
      <c r="G42" t="b">
        <f t="shared" si="1"/>
        <v>0</v>
      </c>
    </row>
    <row r="43" spans="1:7" x14ac:dyDescent="0.25">
      <c r="A43" t="s">
        <v>79</v>
      </c>
      <c r="B43">
        <v>8444927</v>
      </c>
      <c r="C43" t="s">
        <v>83</v>
      </c>
      <c r="D43">
        <v>8</v>
      </c>
      <c r="E43" t="s">
        <v>8</v>
      </c>
      <c r="F43">
        <v>0.1</v>
      </c>
      <c r="G43" t="b">
        <f t="shared" si="1"/>
        <v>0</v>
      </c>
    </row>
    <row r="44" spans="1:7" x14ac:dyDescent="0.25">
      <c r="A44" t="s">
        <v>80</v>
      </c>
      <c r="B44">
        <v>1018950</v>
      </c>
      <c r="C44" t="s">
        <v>84</v>
      </c>
      <c r="D44">
        <v>10</v>
      </c>
      <c r="E44" t="s">
        <v>8</v>
      </c>
      <c r="F44">
        <v>0.18</v>
      </c>
      <c r="G44" t="b">
        <f t="shared" si="1"/>
        <v>0</v>
      </c>
    </row>
    <row r="45" spans="1:7" x14ac:dyDescent="0.25">
      <c r="A45" t="s">
        <v>92</v>
      </c>
      <c r="B45">
        <v>8445160</v>
      </c>
      <c r="C45" t="s">
        <v>93</v>
      </c>
      <c r="D45">
        <v>8</v>
      </c>
      <c r="E45" t="s">
        <v>8</v>
      </c>
      <c r="F45">
        <v>0.1</v>
      </c>
      <c r="G45" t="b">
        <f t="shared" si="1"/>
        <v>0</v>
      </c>
    </row>
    <row r="46" spans="1:7" x14ac:dyDescent="0.25">
      <c r="A46" t="s">
        <v>81</v>
      </c>
      <c r="B46">
        <v>8445177</v>
      </c>
      <c r="C46" t="s">
        <v>85</v>
      </c>
      <c r="D46">
        <v>8</v>
      </c>
      <c r="E46" t="s">
        <v>8</v>
      </c>
      <c r="F46">
        <v>0.1</v>
      </c>
      <c r="G46" t="b">
        <f t="shared" si="1"/>
        <v>0</v>
      </c>
    </row>
    <row r="47" spans="1:7" x14ac:dyDescent="0.25">
      <c r="A47" t="s">
        <v>87</v>
      </c>
      <c r="B47">
        <v>1018967</v>
      </c>
      <c r="C47" t="s">
        <v>88</v>
      </c>
      <c r="D47">
        <v>10</v>
      </c>
      <c r="E47" t="s">
        <v>8</v>
      </c>
      <c r="F47">
        <v>0.18</v>
      </c>
      <c r="G47" t="b">
        <f t="shared" si="1"/>
        <v>0</v>
      </c>
    </row>
    <row r="48" spans="1:7" x14ac:dyDescent="0.25">
      <c r="A48" t="s">
        <v>95</v>
      </c>
      <c r="B48">
        <v>8785259</v>
      </c>
      <c r="C48" t="s">
        <v>96</v>
      </c>
      <c r="D48">
        <v>16.5</v>
      </c>
      <c r="E48" t="s">
        <v>21</v>
      </c>
      <c r="F48">
        <v>1</v>
      </c>
      <c r="G48" t="b">
        <f t="shared" si="1"/>
        <v>0</v>
      </c>
    </row>
    <row r="49" spans="1:7" x14ac:dyDescent="0.25">
      <c r="A49" t="s">
        <v>97</v>
      </c>
      <c r="B49">
        <v>8444910</v>
      </c>
      <c r="C49" t="s">
        <v>98</v>
      </c>
      <c r="D49">
        <v>8</v>
      </c>
      <c r="E49" t="s">
        <v>8</v>
      </c>
      <c r="F49">
        <v>0.1</v>
      </c>
      <c r="G49" t="b">
        <f t="shared" si="1"/>
        <v>0</v>
      </c>
    </row>
    <row r="50" spans="1:7" x14ac:dyDescent="0.25">
      <c r="A50" t="s">
        <v>100</v>
      </c>
      <c r="B50">
        <v>9988674</v>
      </c>
      <c r="C50" t="s">
        <v>101</v>
      </c>
      <c r="D50">
        <v>16</v>
      </c>
      <c r="E50" t="s">
        <v>8</v>
      </c>
      <c r="F50">
        <v>0.18</v>
      </c>
      <c r="G50" t="b">
        <f t="shared" si="1"/>
        <v>0</v>
      </c>
    </row>
    <row r="51" spans="1:7" x14ac:dyDescent="0.25">
      <c r="A51" t="s">
        <v>103</v>
      </c>
      <c r="B51">
        <v>4421577</v>
      </c>
      <c r="C51" t="s">
        <v>106</v>
      </c>
      <c r="D51">
        <v>12</v>
      </c>
      <c r="E51" t="s">
        <v>8</v>
      </c>
      <c r="F51">
        <v>0.18</v>
      </c>
      <c r="G51" t="b">
        <f t="shared" si="1"/>
        <v>0</v>
      </c>
    </row>
    <row r="52" spans="1:7" x14ac:dyDescent="0.25">
      <c r="A52" t="s">
        <v>104</v>
      </c>
      <c r="B52">
        <v>4421584</v>
      </c>
      <c r="C52" t="s">
        <v>105</v>
      </c>
      <c r="D52">
        <v>12</v>
      </c>
      <c r="E52" t="s">
        <v>8</v>
      </c>
      <c r="F52">
        <v>0.18</v>
      </c>
      <c r="G52" t="b">
        <f t="shared" si="1"/>
        <v>0</v>
      </c>
    </row>
    <row r="53" spans="1:7" x14ac:dyDescent="0.25">
      <c r="A53" t="s">
        <v>108</v>
      </c>
      <c r="B53">
        <v>8785235</v>
      </c>
      <c r="C53" t="s">
        <v>109</v>
      </c>
      <c r="D53">
        <v>16.5</v>
      </c>
      <c r="E53" t="s">
        <v>21</v>
      </c>
      <c r="F53">
        <v>1</v>
      </c>
      <c r="G53" t="b">
        <f t="shared" si="1"/>
        <v>0</v>
      </c>
    </row>
    <row r="54" spans="1:7" x14ac:dyDescent="0.25">
      <c r="A54" t="s">
        <v>110</v>
      </c>
      <c r="B54">
        <v>1103201</v>
      </c>
      <c r="C54" t="s">
        <v>115</v>
      </c>
      <c r="D54">
        <v>24</v>
      </c>
      <c r="E54" t="s">
        <v>8</v>
      </c>
      <c r="F54">
        <v>5.5E-2</v>
      </c>
      <c r="G54" t="b">
        <f>COUNTIF(B:B,B55)&gt;1</f>
        <v>0</v>
      </c>
    </row>
    <row r="55" spans="1:7" x14ac:dyDescent="0.25">
      <c r="A55" t="s">
        <v>111</v>
      </c>
      <c r="B55">
        <v>2103201</v>
      </c>
      <c r="C55" t="s">
        <v>114</v>
      </c>
      <c r="D55">
        <v>24</v>
      </c>
      <c r="E55" t="s">
        <v>8</v>
      </c>
      <c r="F55">
        <v>0.1</v>
      </c>
      <c r="G55" t="b">
        <f>COUNTIF(B:B,#REF!)&gt;1</f>
        <v>0</v>
      </c>
    </row>
    <row r="56" spans="1:7" x14ac:dyDescent="0.25">
      <c r="A56" t="s">
        <v>112</v>
      </c>
      <c r="B56">
        <v>2105201</v>
      </c>
      <c r="C56" t="s">
        <v>113</v>
      </c>
      <c r="D56">
        <v>24</v>
      </c>
      <c r="E56" t="s">
        <v>8</v>
      </c>
      <c r="F56">
        <v>0.1</v>
      </c>
      <c r="G56" t="b">
        <f t="shared" si="1"/>
        <v>0</v>
      </c>
    </row>
    <row r="57" spans="1:7" x14ac:dyDescent="0.25">
      <c r="A57" t="s">
        <v>117</v>
      </c>
      <c r="B57">
        <v>7100726</v>
      </c>
      <c r="C57" t="s">
        <v>116</v>
      </c>
      <c r="D57">
        <v>20</v>
      </c>
      <c r="E57" t="s">
        <v>21</v>
      </c>
      <c r="F57">
        <v>1</v>
      </c>
      <c r="G57" t="b">
        <f t="shared" si="1"/>
        <v>0</v>
      </c>
    </row>
    <row r="58" spans="1:7" x14ac:dyDescent="0.25">
      <c r="A58" s="4" t="s">
        <v>118</v>
      </c>
      <c r="B58">
        <v>7100108</v>
      </c>
      <c r="C58" t="s">
        <v>120</v>
      </c>
      <c r="D58">
        <v>12</v>
      </c>
      <c r="E58" t="s">
        <v>8</v>
      </c>
      <c r="F58">
        <v>0.2</v>
      </c>
      <c r="G58" t="b">
        <f t="shared" si="1"/>
        <v>0</v>
      </c>
    </row>
    <row r="59" spans="1:7" x14ac:dyDescent="0.25">
      <c r="A59" s="4" t="s">
        <v>119</v>
      </c>
      <c r="B59">
        <v>7100139</v>
      </c>
      <c r="C59" t="s">
        <v>121</v>
      </c>
      <c r="D59">
        <v>20</v>
      </c>
      <c r="E59" t="s">
        <v>21</v>
      </c>
      <c r="F59">
        <v>1</v>
      </c>
      <c r="G59" t="b">
        <f t="shared" si="1"/>
        <v>0</v>
      </c>
    </row>
    <row r="60" spans="1:7" x14ac:dyDescent="0.25">
      <c r="A60" t="s">
        <v>122</v>
      </c>
      <c r="B60">
        <v>6948362</v>
      </c>
      <c r="C60" t="s">
        <v>122</v>
      </c>
      <c r="D60">
        <v>20</v>
      </c>
      <c r="E60" t="s">
        <v>8</v>
      </c>
      <c r="F60">
        <v>0.186</v>
      </c>
      <c r="G60" t="b">
        <f t="shared" si="1"/>
        <v>0</v>
      </c>
    </row>
    <row r="61" spans="1:7" x14ac:dyDescent="0.25">
      <c r="A61" t="s">
        <v>123</v>
      </c>
      <c r="B61">
        <v>6948508</v>
      </c>
      <c r="C61" t="s">
        <v>123</v>
      </c>
      <c r="D61">
        <v>20</v>
      </c>
      <c r="E61" t="s">
        <v>8</v>
      </c>
      <c r="F61">
        <v>0.186</v>
      </c>
      <c r="G61" t="b">
        <f t="shared" si="1"/>
        <v>0</v>
      </c>
    </row>
  </sheetData>
  <autoFilter ref="A1:F59" xr:uid="{96B3D912-A4FF-4C68-B7EA-D60AFD3DF8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2026-10-29T12:03:35Z</dcterms:modified>
</cp:coreProperties>
</file>