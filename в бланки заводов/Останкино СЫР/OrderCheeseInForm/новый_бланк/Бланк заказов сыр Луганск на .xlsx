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новый_бланк\"/>
    </mc:Choice>
  </mc:AlternateContent>
  <xr:revisionPtr revIDLastSave="0" documentId="13_ncr:1_{8607AE03-1D6E-44F1-92A3-B63C5299F5A9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<sst xmlns="http://schemas.openxmlformats.org/spreadsheetml/2006/main" count="83" uniqueCount="78">
  <si>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</si>
  <si>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</si>
  <si>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</si>
  <si>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</si>
  <si>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</si>
  <si>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</si>
  <si>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</si>
  <si>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</si>
  <si>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</si>
  <si>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</si>
  <si>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</si>
  <si>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</si>
  <si>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</si>
  <si>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</si>
  <si>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</si>
  <si>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</si>
  <si>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</si>
  <si>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</si>
  <si>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</si>
  <si>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</si>
  <si>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</si>
  <si>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</si>
  <si>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</si>
  <si>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</si>
  <si>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</si>
  <si>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</si>
  <si>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</si>
  <si>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</si>
  <si>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</si>
  <si>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</si>
  <si>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</si>
  <si>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</si>
  <si>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</si>
  <si>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</si>
  <si>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</si>
  <si>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</si>
  <si>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</si>
  <si>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</si>
  <si>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</si>
  <si>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</si>
  <si>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</si>
  <si>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</si>
  <si>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</si>
  <si>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</si>
  <si>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</si>
  <si>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</si>
  <si>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</si>
  <si>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</si>
  <si>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</si>
  <si>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</si>
  <si>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</si>
  <si>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</si>
  <si>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</si>
  <si>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</si>
  <si>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</si>
  <si>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</si>
  <si>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</si>
  <si>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</si>
  <si>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</si>
  <si>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</si>
  <si>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</si>
  <si>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</si>
  <si>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</si>
  <si>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</si>
  <si>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</si>
  <si>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</si>
  <si>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</si>
  <si>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</si>
  <si>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</si>
  <si>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ЛП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</si>
  <si>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</si>
  <si>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</si>
  <si>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</si>
  <si>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</si>
  <si>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</si>
  <si>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</si>
  <si>
    <t>Майонез провансаль классический с массовой долей жира 67% ТМ «ПАПА МОЖЕТ» 186г дой-пак с дозатором</t>
  </si>
  <si>
    <t>Майонез провансаль классический оливковый с массовой долей жира 67% ТМ «ПАПА МОЖЕТ» 186г дой-пак с дозатором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</si>
</sst>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  <font>
      <sz val="10"/>
      <color rgb="FFFF0000"/>
      <name val="Arial Cyr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  <xf numFmtId="0" fontId="17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40" activePane="bottomLeft" state="frozen"/>
      <selection activeCell="B1" sqref="B1"/>
      <selection pane="bottomLeft" activeCell="C64" sqref="C64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69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/>
      <c r="E4" s="14"/>
      <c r="F4" s="8">
        <f>D4/C4</f>
        <v>0</v>
      </c>
      <c r="G4" s="12">
        <v>0.18</v>
      </c>
      <c r="H4" s="8">
        <f>G4*D4</f>
        <v>0</v>
      </c>
      <c r="I4" s="8"/>
    </row>
    <row r="5" spans="1:9" ht="25.5">
      <c r="A5" s="33">
        <v>8783323</v>
      </c>
      <c r="B5" s="34" t="s">
        <v>70</v>
      </c>
      <c r="C5" s="31">
        <v>4</v>
      </c>
      <c r="D5" s="21"/>
      <c r="E5" s="21"/>
      <c r="F5" s="8">
        <f>E5/5</f>
        <v>0</v>
      </c>
      <c r="G5" s="22">
        <v>1.8</v>
      </c>
      <c r="H5" s="23">
        <f>E5</f>
        <v>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/>
      <c r="E6" s="14"/>
      <c r="F6" s="8">
        <f>D6/C6</f>
        <v>0</v>
      </c>
      <c r="G6" s="12">
        <v>0.18</v>
      </c>
      <c r="H6" s="8">
        <f>G6*D6</f>
        <v>0</v>
      </c>
      <c r="I6" s="8"/>
    </row>
    <row r="7" spans="1:9" ht="25.5">
      <c r="A7" s="33">
        <v>8785235</v>
      </c>
      <c r="B7" s="34" t="s">
        <v>71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/>
      <c r="E8" s="14"/>
      <c r="F8" s="8">
        <f>D8/C8</f>
        <v>0</v>
      </c>
      <c r="G8" s="12">
        <v>0.18</v>
      </c>
      <c r="H8" s="8">
        <f>G8*D8</f>
        <v>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72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/>
      <c r="E15" s="14"/>
      <c r="F15" s="8">
        <f>D15/C15</f>
        <v>0</v>
      </c>
      <c r="G15" s="12">
        <v>0.18</v>
      </c>
      <c r="H15" s="8">
        <f t="shared" ref="H15:H23" si="0">G15*D15</f>
        <v>0</v>
      </c>
      <c r="I15" s="8"/>
    </row>
    <row r="16" spans="1:9">
      <c r="A16" s="11">
        <v>1018967</v>
      </c>
      <c r="B16" s="12" t="s">
        <v>37</v>
      </c>
      <c r="C16" s="13">
        <v>10</v>
      </c>
      <c r="D16" s="14"/>
      <c r="E16" s="14"/>
      <c r="F16" s="8">
        <f>D16/C16</f>
        <v>0</v>
      </c>
      <c r="G16" s="12">
        <v>0.18</v>
      </c>
      <c r="H16" s="8">
        <f t="shared" si="0"/>
        <v>0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ref="F17:F23" si="1">D17/C17</f>
        <v>0</v>
      </c>
      <c r="G17" s="12">
        <v>0.1</v>
      </c>
      <c r="H17" s="8">
        <f t="shared" si="0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/>
      <c r="E18" s="14"/>
      <c r="F18" s="8">
        <f t="shared" si="1"/>
        <v>0</v>
      </c>
      <c r="G18" s="12">
        <v>0.1</v>
      </c>
      <c r="H18" s="8">
        <f t="shared" si="0"/>
        <v>0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1"/>
        <v>0</v>
      </c>
      <c r="G19" s="12">
        <v>0.1</v>
      </c>
      <c r="H19" s="8">
        <f t="shared" si="0"/>
        <v>0</v>
      </c>
      <c r="I19" s="8"/>
    </row>
    <row r="20" spans="1:9">
      <c r="A20" s="11">
        <v>8444170</v>
      </c>
      <c r="B20" s="27" t="s">
        <v>52</v>
      </c>
      <c r="C20" s="13">
        <v>8</v>
      </c>
      <c r="D20" s="14"/>
      <c r="E20" s="14"/>
      <c r="F20" s="8">
        <f>D20/C20</f>
        <v>0</v>
      </c>
      <c r="G20" s="12">
        <v>0.1</v>
      </c>
      <c r="H20" s="8">
        <f t="shared" si="0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/>
      <c r="E21" s="14"/>
      <c r="F21" s="8">
        <f t="shared" si="1"/>
        <v>0</v>
      </c>
      <c r="G21" s="12">
        <v>0.14000000000000001</v>
      </c>
      <c r="H21" s="8">
        <f t="shared" si="0"/>
        <v>0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1"/>
        <v>0</v>
      </c>
      <c r="G22" s="12">
        <v>0.14000000000000001</v>
      </c>
      <c r="H22" s="8">
        <f t="shared" si="0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1"/>
        <v>0</v>
      </c>
      <c r="G23" s="12">
        <v>0.18</v>
      </c>
      <c r="H23" s="8">
        <f t="shared" si="0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7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>D28/C28</f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/>
      <c r="E29" s="14"/>
      <c r="F29" s="8">
        <f t="shared" si="2"/>
        <v>0</v>
      </c>
      <c r="G29" s="12">
        <v>0.18</v>
      </c>
      <c r="H29" s="8">
        <f t="shared" si="3"/>
        <v>0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67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68</v>
      </c>
      <c r="C37" s="13">
        <v>8</v>
      </c>
      <c r="D37" s="14"/>
      <c r="E37" s="14"/>
      <c r="F37" s="8">
        <f t="shared" si="2"/>
        <v>0</v>
      </c>
      <c r="G37" s="12">
        <v>0.1</v>
      </c>
      <c r="H37" s="8">
        <f>G37*D37</f>
        <v>0</v>
      </c>
      <c r="I37" s="8"/>
    </row>
    <row r="38" spans="1:9">
      <c r="A38" s="11" t="s">
        <v>58</v>
      </c>
      <c r="B38" s="12" t="s">
        <v>59</v>
      </c>
      <c r="C38" s="13">
        <v>10</v>
      </c>
      <c r="D38" s="14"/>
      <c r="E38" s="14"/>
      <c r="F38" s="8">
        <f>D38/C38</f>
        <v>0</v>
      </c>
      <c r="G38" s="12">
        <v>0.2</v>
      </c>
      <c r="H38" s="8">
        <f>G38*D38</f>
        <v>0</v>
      </c>
      <c r="I38" s="8"/>
    </row>
    <row r="39" spans="1:9">
      <c r="A39" s="11" t="s">
        <v>60</v>
      </c>
      <c r="B39" s="12" t="s">
        <v>61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62</v>
      </c>
    </row>
    <row r="40" spans="1:9" s="10" customFormat="1">
      <c r="A40" s="11" t="s">
        <v>63</v>
      </c>
      <c r="B40" s="12" t="s">
        <v>64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65</v>
      </c>
      <c r="B41" s="12" t="s">
        <v>66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62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9985949</v>
      </c>
      <c r="B46" s="27" t="s">
        <v>49</v>
      </c>
      <c r="C46" s="13">
        <v>10</v>
      </c>
      <c r="D46" s="14"/>
      <c r="E46" s="14"/>
      <c r="F46" s="8">
        <f>D46/C46</f>
        <v>0</v>
      </c>
      <c r="G46" s="32">
        <v>1</v>
      </c>
      <c r="H46" s="8">
        <f>G46*D46</f>
        <v>0</v>
      </c>
      <c r="I46" s="8"/>
    </row>
    <row r="47" spans="1:9">
      <c r="A47" s="11">
        <v>8786928</v>
      </c>
      <c r="B47" s="27" t="s">
        <v>50</v>
      </c>
      <c r="C47" s="13">
        <v>4</v>
      </c>
      <c r="D47" s="14"/>
      <c r="E47" s="14"/>
      <c r="F47" s="8">
        <f>E47/6</f>
        <v>0</v>
      </c>
      <c r="G47" s="12">
        <v>1.5</v>
      </c>
      <c r="H47" s="8">
        <f>E47</f>
        <v>0</v>
      </c>
      <c r="I47" s="8" t="s">
        <v>51</v>
      </c>
    </row>
    <row r="48" spans="1:9">
      <c r="A48" s="11">
        <v>6948270</v>
      </c>
      <c r="B48" s="27" t="s">
        <v>53</v>
      </c>
      <c r="C48" s="13">
        <v>12</v>
      </c>
      <c r="D48" s="14"/>
      <c r="E48" s="14"/>
      <c r="F48" s="8">
        <f t="shared" ref="F48:F57" si="4">D48/C48</f>
        <v>0</v>
      </c>
      <c r="G48" s="12">
        <v>0.372</v>
      </c>
      <c r="H48" s="8">
        <f t="shared" ref="H48:H57" si="5">G48*D48</f>
        <v>0</v>
      </c>
      <c r="I48" s="8"/>
    </row>
    <row r="49" spans="1:9">
      <c r="A49" s="11">
        <v>6948287</v>
      </c>
      <c r="B49" s="27" t="s">
        <v>54</v>
      </c>
      <c r="C49" s="13">
        <v>12</v>
      </c>
      <c r="D49" s="14"/>
      <c r="E49" s="14"/>
      <c r="F49" s="8">
        <f t="shared" si="4"/>
        <v>0</v>
      </c>
      <c r="G49" s="12">
        <v>0.74399999999999999</v>
      </c>
      <c r="H49" s="8">
        <f t="shared" si="5"/>
        <v>0</v>
      </c>
      <c r="I49" s="8"/>
    </row>
    <row r="50" spans="1:9">
      <c r="A50" s="11">
        <v>6948256</v>
      </c>
      <c r="B50" s="27" t="s">
        <v>55</v>
      </c>
      <c r="C50" s="13">
        <v>12</v>
      </c>
      <c r="D50" s="14"/>
      <c r="E50" s="14"/>
      <c r="F50" s="8">
        <f t="shared" si="4"/>
        <v>0</v>
      </c>
      <c r="G50" s="12">
        <v>0.372</v>
      </c>
      <c r="H50" s="8">
        <f t="shared" si="5"/>
        <v>0</v>
      </c>
      <c r="I50" s="8"/>
    </row>
    <row r="51" spans="1:9">
      <c r="A51" s="11">
        <v>6948263</v>
      </c>
      <c r="B51" s="27" t="s">
        <v>56</v>
      </c>
      <c r="C51" s="13">
        <v>12</v>
      </c>
      <c r="D51" s="14"/>
      <c r="E51" s="14"/>
      <c r="F51" s="8">
        <f t="shared" si="4"/>
        <v>0</v>
      </c>
      <c r="G51" s="12">
        <v>0.74399999999999999</v>
      </c>
      <c r="H51" s="8">
        <f t="shared" si="5"/>
        <v>0</v>
      </c>
      <c r="I51" s="8"/>
    </row>
    <row r="52" spans="1:9">
      <c r="A52" s="11">
        <v>6948249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0.82499999999999996</v>
      </c>
      <c r="H52" s="8">
        <f t="shared" si="5"/>
        <v>0</v>
      </c>
      <c r="I52" s="8"/>
    </row>
    <row r="53" spans="1:9">
      <c r="A53" s="26">
        <v>2105201</v>
      </c>
      <c r="B53" s="30" t="s">
        <v>73</v>
      </c>
      <c r="C53" s="13">
        <v>24</v>
      </c>
      <c r="D53" s="14"/>
      <c r="E53" s="14"/>
      <c r="F53" s="8">
        <f t="shared" si="4"/>
        <v>0</v>
      </c>
      <c r="G53" s="12">
        <v>0.1</v>
      </c>
      <c r="H53" s="8">
        <f t="shared" si="5"/>
        <v>0</v>
      </c>
      <c r="I53" s="8"/>
    </row>
    <row r="54" spans="1:9">
      <c r="A54" s="26">
        <v>2103201</v>
      </c>
      <c r="B54" s="30" t="s">
        <v>74</v>
      </c>
      <c r="C54" s="13">
        <v>24</v>
      </c>
      <c r="D54" s="14"/>
      <c r="E54" s="14"/>
      <c r="F54" s="8">
        <f t="shared" si="4"/>
        <v>0</v>
      </c>
      <c r="G54" s="12">
        <v>0.1</v>
      </c>
      <c r="H54" s="8">
        <f t="shared" si="5"/>
        <v>0</v>
      </c>
      <c r="I54" s="8"/>
    </row>
    <row r="55" spans="1:9">
      <c r="A55" s="26">
        <v>1103201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5.5E-2</v>
      </c>
      <c r="H55" s="8">
        <f t="shared" si="5"/>
        <v>0</v>
      </c>
      <c r="I55" s="8"/>
    </row>
    <row r="56" spans="1:9">
      <c r="A56" s="26">
        <v>6948362</v>
      </c>
      <c r="B56" s="30" t="s">
        <v>76</v>
      </c>
      <c r="C56" s="35">
        <v>20</v>
      </c>
      <c r="D56" s="21"/>
      <c r="E56" s="21"/>
      <c r="F56" s="23">
        <f t="shared" si="4"/>
        <v>0</v>
      </c>
      <c r="G56" s="22">
        <v>0.186</v>
      </c>
      <c r="H56" s="23">
        <f t="shared" si="5"/>
        <v>0</v>
      </c>
      <c r="I56" s="8"/>
    </row>
    <row r="57" spans="1:9">
      <c r="A57" s="26">
        <v>6948508</v>
      </c>
      <c r="B57" s="30" t="s">
        <v>77</v>
      </c>
      <c r="C57" s="35">
        <v>20</v>
      </c>
      <c r="D57" s="21"/>
      <c r="E57" s="21"/>
      <c r="F57" s="23">
        <f t="shared" si="4"/>
        <v>0</v>
      </c>
      <c r="G57" s="22">
        <v>0.186</v>
      </c>
      <c r="H57" s="23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0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2026-10-29T07:18:53Z</dcterms:modified>
</cp:coreProperties>
</file>