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16,12,25 Ост СЫР филиалы\"/>
    </mc:Choice>
  </mc:AlternateContent>
  <xr:revisionPtr revIDLastSave="0" documentId="8_{FE093207-D7B7-4BB5-B92D-C1A6BC1F97E6}" xr6:coauthVersionLast="45" xr6:coauthVersionMax="45" xr10:uidLastSave="{00000000-0000-0000-0000-000000000000}"/>
  <bookViews>
    <workbookView xWindow="-120" yWindow="-120" windowWidth="29040" windowHeight="15840" tabRatio="500"/>
  </bookViews>
  <sheets>
    <sheet name="Мелитополь" sheetId="1" r:id="rId1"/>
    <sheet name="Бердянск" sheetId="2" r:id="rId2"/>
    <sheet name="Донецк" sheetId="3" r:id="rId3"/>
    <sheet name="Луганск" sheetId="4" r:id="rId4"/>
  </sheets>
  <definedNames>
    <definedName name="_xlnm._FilterDatabase" localSheetId="1" hidden="1">Бердянск!$A$3:$I$3</definedName>
    <definedName name="_xlnm._FilterDatabase" localSheetId="2" hidden="1">Донецк!$A$3:$I$3</definedName>
    <definedName name="_xlnm._FilterDatabase" localSheetId="3" hidden="1">Луганск!$A$3:$I$3</definedName>
    <definedName name="_xlnm._FilterDatabase" localSheetId="0" hidden="1">Мелитополь!$A$3:$I$53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5" i="1" l="1"/>
  <c r="H52" i="4"/>
  <c r="F52" i="4"/>
  <c r="H51" i="4"/>
  <c r="F51" i="4"/>
  <c r="H50" i="4"/>
  <c r="F50" i="4"/>
  <c r="H49" i="4"/>
  <c r="F49" i="4"/>
  <c r="H48" i="4"/>
  <c r="F48" i="4"/>
  <c r="H47" i="4"/>
  <c r="F47" i="4"/>
  <c r="H46" i="4"/>
  <c r="F46" i="4"/>
  <c r="H45" i="4"/>
  <c r="F45" i="4"/>
  <c r="H44" i="4"/>
  <c r="F44" i="4"/>
  <c r="H43" i="4"/>
  <c r="F43" i="4"/>
  <c r="H42" i="4"/>
  <c r="F42" i="4"/>
  <c r="H41" i="4"/>
  <c r="F41" i="4"/>
  <c r="H40" i="4"/>
  <c r="F40" i="4"/>
  <c r="H39" i="4"/>
  <c r="F39" i="4"/>
  <c r="H38" i="4"/>
  <c r="F38" i="4"/>
  <c r="H37" i="4"/>
  <c r="F37" i="4"/>
  <c r="H36" i="4"/>
  <c r="F36" i="4"/>
  <c r="H35" i="4"/>
  <c r="F35" i="4"/>
  <c r="H34" i="4"/>
  <c r="F34" i="4"/>
  <c r="H33" i="4"/>
  <c r="F33" i="4"/>
  <c r="H32" i="4"/>
  <c r="F32" i="4"/>
  <c r="H31" i="4"/>
  <c r="F31" i="4"/>
  <c r="H30" i="4"/>
  <c r="F30" i="4"/>
  <c r="H29" i="4"/>
  <c r="F29" i="4"/>
  <c r="H28" i="4"/>
  <c r="F28" i="4"/>
  <c r="H27" i="4"/>
  <c r="F27" i="4"/>
  <c r="H26" i="4"/>
  <c r="F26" i="4"/>
  <c r="H25" i="4"/>
  <c r="F25" i="4"/>
  <c r="H24" i="4"/>
  <c r="F24" i="4"/>
  <c r="H23" i="4"/>
  <c r="F23" i="4"/>
  <c r="H22" i="4"/>
  <c r="F22" i="4"/>
  <c r="H21" i="4"/>
  <c r="F21" i="4"/>
  <c r="H20" i="4"/>
  <c r="F20" i="4"/>
  <c r="H19" i="4"/>
  <c r="F19" i="4"/>
  <c r="H18" i="4"/>
  <c r="F18" i="4"/>
  <c r="H17" i="4"/>
  <c r="F17" i="4"/>
  <c r="H16" i="4"/>
  <c r="F16" i="4"/>
  <c r="H15" i="4"/>
  <c r="F15" i="4"/>
  <c r="H14" i="4"/>
  <c r="F14" i="4"/>
  <c r="H13" i="4"/>
  <c r="F13" i="4"/>
  <c r="H12" i="4"/>
  <c r="F12" i="4"/>
  <c r="H11" i="4"/>
  <c r="F11" i="4"/>
  <c r="H10" i="4"/>
  <c r="F10" i="4"/>
  <c r="H9" i="4"/>
  <c r="F9" i="4"/>
  <c r="H8" i="4"/>
  <c r="F8" i="4"/>
  <c r="H7" i="4"/>
  <c r="F7" i="4"/>
  <c r="H6" i="4"/>
  <c r="F6" i="4"/>
  <c r="H5" i="4"/>
  <c r="F5" i="4"/>
  <c r="H4" i="4"/>
  <c r="H53" i="4"/>
  <c r="F4" i="4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H53" i="3"/>
  <c r="F4" i="3"/>
  <c r="H52" i="2"/>
  <c r="F52" i="2"/>
  <c r="H51" i="2"/>
  <c r="F51" i="2"/>
  <c r="H50" i="2"/>
  <c r="F50" i="2"/>
  <c r="H49" i="2"/>
  <c r="F49" i="2"/>
  <c r="H48" i="2"/>
  <c r="F48" i="2"/>
  <c r="H47" i="2"/>
  <c r="F47" i="2"/>
  <c r="H46" i="2"/>
  <c r="F46" i="2"/>
  <c r="H45" i="2"/>
  <c r="F45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H37" i="2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H53" i="2"/>
  <c r="F4" i="2"/>
  <c r="F50" i="1"/>
  <c r="F48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29" i="1"/>
  <c r="F28" i="1"/>
  <c r="F27" i="1"/>
  <c r="F26" i="1"/>
  <c r="F25" i="1"/>
  <c r="F24" i="1"/>
  <c r="F23" i="1"/>
  <c r="F21" i="1"/>
  <c r="F19" i="1"/>
  <c r="F18" i="1"/>
  <c r="F17" i="1"/>
  <c r="F16" i="1"/>
  <c r="F15" i="1"/>
  <c r="F14" i="1"/>
  <c r="F13" i="1"/>
  <c r="F11" i="1"/>
  <c r="F10" i="1"/>
  <c r="F8" i="1"/>
  <c r="F6" i="1"/>
  <c r="F4" i="1"/>
  <c r="F47" i="1"/>
  <c r="F31" i="1"/>
  <c r="F30" i="1"/>
  <c r="F22" i="1"/>
  <c r="F20" i="1"/>
  <c r="F12" i="1"/>
  <c r="F9" i="1"/>
  <c r="F7" i="1"/>
  <c r="F5" i="1"/>
  <c r="F52" i="1"/>
  <c r="F46" i="1"/>
  <c r="F51" i="1"/>
  <c r="F49" i="1"/>
  <c r="H52" i="1"/>
  <c r="H51" i="1"/>
  <c r="H50" i="1"/>
  <c r="H49" i="1"/>
  <c r="H48" i="1"/>
  <c r="H47" i="1"/>
  <c r="H26" i="1"/>
  <c r="H46" i="1"/>
  <c r="H45" i="1"/>
  <c r="H44" i="1"/>
  <c r="H5" i="1"/>
  <c r="H6" i="1"/>
  <c r="H7" i="1"/>
  <c r="H29" i="1"/>
  <c r="H42" i="1"/>
  <c r="H43" i="1"/>
  <c r="H41" i="1"/>
  <c r="H40" i="1"/>
  <c r="H39" i="1"/>
  <c r="H9" i="1"/>
  <c r="H12" i="1"/>
  <c r="H16" i="1"/>
  <c r="H14" i="1"/>
  <c r="H11" i="1"/>
  <c r="H10" i="1"/>
  <c r="H17" i="1"/>
  <c r="H37" i="1"/>
  <c r="H38" i="1"/>
  <c r="H15" i="1"/>
  <c r="H34" i="1"/>
  <c r="H4" i="1"/>
  <c r="H19" i="1"/>
  <c r="H20" i="1"/>
  <c r="H21" i="1"/>
  <c r="H22" i="1"/>
  <c r="H23" i="1"/>
  <c r="H24" i="1"/>
  <c r="H27" i="1"/>
  <c r="H28" i="1"/>
  <c r="H30" i="1"/>
  <c r="H31" i="1"/>
  <c r="H32" i="1"/>
  <c r="H33" i="1"/>
  <c r="H35" i="1"/>
  <c r="H36" i="1"/>
  <c r="H25" i="1"/>
  <c r="H18" i="1"/>
  <c r="H13" i="1"/>
  <c r="H8" i="1"/>
  <c r="H53" i="1"/>
</calcChain>
</file>

<file path=xl/sharedStrings.xml><?xml version="1.0" encoding="utf-8"?>
<sst xmlns="http://schemas.openxmlformats.org/spreadsheetml/2006/main" count="292" uniqueCount="71">
  <si>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</si>
  <si>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</si>
  <si>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</si>
  <si>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</si>
  <si>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</si>
  <si>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</si>
  <si>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</si>
  <si>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</si>
  <si>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</si>
  <si>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</si>
  <si>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</si>
  <si>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</si>
  <si>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Наименование Контрагента</t>
  </si>
  <si>
    <t>Сыч/Прод Коровино Российский 50% 200г  СЗМЖ</t>
  </si>
  <si>
    <t>Сыч/Прод Коровино Тильзитер 50% 200г  СЗМЖ</t>
  </si>
  <si>
    <t>Средний вес короба 16,5( вес 1 брус 3,2кг)</t>
  </si>
  <si>
    <t>Сыч/Прод Коровино Российский Оригин  50% вес  (3,5 кг брус) СЗМЖ</t>
  </si>
  <si>
    <t>Сыч/Прод Коровино Тильзитер Оригин  50% вес  (3,5 кг брус) СЗМЖ</t>
  </si>
  <si>
    <t>Средний вес короба 15( вес 1 бруса 3,5 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</si>
  <si>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</si>
  <si>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</si>
  <si>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</si>
  <si>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</si>
  <si>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</si>
  <si>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</si>
  <si>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</si>
  <si>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</si>
  <si>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</si>
  <si>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</si>
  <si>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</si>
  <si>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</si>
  <si>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</si>
  <si>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</si>
  <si>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</si>
  <si>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</si>
  <si>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</si>
  <si>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</si>
  <si>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</si>
  <si>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</si>
  <si>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</si>
  <si>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</si>
  <si>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</si>
  <si>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</si>
  <si>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Сыр ПАПА МОЖЕТ "Тильзитер" ж. 45% газ.среда, 400 гр (8 шт)</t>
  </si>
  <si>
    <t>Сыр ПАПА МОЖЕТ "Папин завтрак" ж. 45% газ.среда, 400 гр (8 шт)</t>
  </si>
  <si>
    <t>Сыр ПАПА МОЖЕТ "Министерский" ж. 45% газ.среда, 400 гр (8 шт)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</si>
  <si>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</si>
  <si>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</si>
  <si>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 xml:space="preserve">Сыр полутвердый "Голландский" с массовой долей жира в пересчете на сухое </t>
  </si>
  <si>
    <t>Сыр полутвердый "Российский" 3,2 кг, 50%, "Папа Может" ЮГ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</si>
  <si>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</si>
  <si>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</si>
  <si>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</si>
  <si>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</si>
  <si>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Сыр Голландский 45%. Нарезка 125г ТМ Папа Может</t>
  </si>
  <si>
    <t>Сыр Российский Особый 45%. Нарезка 125г  ТМ Папа Может</t>
  </si>
  <si>
    <t>783К798</t>
  </si>
  <si>
    <t>783К811</t>
  </si>
  <si>
    <t>783К801</t>
  </si>
  <si>
    <t>783К825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</si>
  <si>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</si>
  <si>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</si>
  <si>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</si>
  <si>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Скаморца свежий 100г/8шт ТМ Папа Может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</si>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</sst>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1" fontId="3" fillId="2" borderId="1" xfId="0" applyNumberFormat="1" applyFont="1" applyFill="1" applyBorder="1" applyAlignment="1">
      <alignment horizontal="left"/>
    </xf>
    <xf numFmtId="0" fontId="4" fillId="2" borderId="1" xfId="0" applyNumberFormat="1" applyFont="1" applyFill="1" applyBorder="1" applyAlignment="1"/>
    <xf numFmtId="0" fontId="5" fillId="2" borderId="1" xfId="0" applyNumberFormat="1" applyFont="1" applyFill="1" applyBorder="1" applyAlignment="1">
      <alignment horizontal="left"/>
    </xf>
    <xf numFmtId="0" fontId="3" fillId="0" borderId="1" xfId="0" applyNumberFormat="1" applyFont="1" applyBorder="1"/>
    <xf numFmtId="0" fontId="5" fillId="2" borderId="1" xfId="0" applyFont="1" applyFill="1" applyBorder="1" applyAlignment="1">
      <alignment horizontal="left"/>
    </xf>
    <xf numFmtId="0" fontId="3" fillId="0" borderId="1" xfId="0" applyFont="1" applyBorder="1"/>
    <xf numFmtId="0" fontId="4" fillId="0" borderId="1" xfId="0" applyNumberFormat="1" applyFont="1" applyFill="1" applyBorder="1" applyAlignment="1"/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3" fillId="3" borderId="1" xfId="0" applyNumberFormat="1" applyFont="1" applyFill="1" applyBorder="1"/>
    <xf numFmtId="0" fontId="6" fillId="0" borderId="1" xfId="0" applyNumberFormat="1" applyFont="1" applyBorder="1"/>
    <xf numFmtId="0" fontId="6" fillId="4" borderId="1" xfId="0" applyNumberFormat="1" applyFont="1" applyFill="1" applyBorder="1" applyAlignment="1">
      <alignment horizontal="center" wrapText="1"/>
    </xf>
    <xf numFmtId="0" fontId="7" fillId="2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center"/>
    </xf>
    <xf numFmtId="0" fontId="7" fillId="0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4" fillId="2" borderId="1" xfId="0" applyFont="1" applyFill="1" applyBorder="1"/>
    <xf numFmtId="0" fontId="6" fillId="0" borderId="0" xfId="0" applyFont="1"/>
    <xf numFmtId="0" fontId="6" fillId="0" borderId="1" xfId="0" applyNumberFormat="1" applyFont="1" applyBorder="1" applyAlignment="1"/>
    <xf numFmtId="0" fontId="8" fillId="0" borderId="1" xfId="0" applyNumberFormat="1" applyFont="1" applyBorder="1"/>
    <xf numFmtId="0" fontId="8" fillId="0" borderId="1" xfId="0" applyNumberFormat="1" applyFont="1" applyFill="1" applyBorder="1" applyAlignment="1">
      <alignment horizontal="center"/>
    </xf>
    <xf numFmtId="0" fontId="9" fillId="0" borderId="1" xfId="0" applyNumberFormat="1" applyFont="1" applyBorder="1"/>
    <xf numFmtId="0" fontId="4" fillId="2" borderId="1" xfId="0" applyNumberFormat="1" applyFont="1" applyFill="1" applyBorder="1"/>
    <xf numFmtId="0" fontId="4" fillId="2" borderId="1" xfId="0" applyNumberFormat="1" applyFont="1" applyFill="1" applyBorder="1" applyAlignment="1">
      <alignment wrapText="1"/>
    </xf>
    <xf numFmtId="0" fontId="10" fillId="2" borderId="1" xfId="0" applyNumberFormat="1" applyFont="1" applyFill="1" applyBorder="1" applyAlignment="1">
      <alignment horizontal="left"/>
    </xf>
    <xf numFmtId="0" fontId="11" fillId="0" borderId="1" xfId="0" applyNumberFormat="1" applyFont="1" applyBorder="1"/>
    <xf numFmtId="0" fontId="4" fillId="0" borderId="1" xfId="0" applyNumberFormat="1" applyFont="1" applyFill="1" applyBorder="1" applyAlignment="1">
      <alignment wrapText="1"/>
    </xf>
    <xf numFmtId="0" fontId="10" fillId="2" borderId="1" xfId="0" applyFont="1" applyFill="1" applyBorder="1" applyAlignment="1">
      <alignment horizontal="left"/>
    </xf>
    <xf numFmtId="0" fontId="11" fillId="0" borderId="1" xfId="0" applyFont="1" applyBorder="1"/>
    <xf numFmtId="0" fontId="6" fillId="0" borderId="1" xfId="0" applyFont="1" applyBorder="1" applyAlignment="1">
      <alignment horizontal="center"/>
    </xf>
    <xf numFmtId="2" fontId="4" fillId="2" borderId="1" xfId="0" applyNumberFormat="1" applyFont="1" applyFill="1" applyBorder="1"/>
    <xf numFmtId="0" fontId="1" fillId="2" borderId="1" xfId="0" applyNumberFormat="1" applyFont="1" applyFill="1" applyBorder="1" applyAlignment="1">
      <alignment horizontal="left"/>
    </xf>
    <xf numFmtId="0" fontId="2" fillId="0" borderId="1" xfId="0" applyNumberFormat="1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5"/>
  <sheetViews>
    <sheetView tabSelected="1" workbookViewId="0">
      <pane ySplit="3" topLeftCell="A25" activePane="bottomLeft" state="frozen"/>
      <selection pane="bottomLeft" activeCell="A56" sqref="A56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/>
      <c r="E1" s="16"/>
      <c r="F1" s="11"/>
      <c r="G1" s="11"/>
      <c r="H1" s="11"/>
      <c r="I1" s="11"/>
    </row>
    <row r="2" spans="1:9" ht="38.25">
      <c r="A2" s="11" t="s">
        <v>46</v>
      </c>
      <c r="B2" s="10" t="s">
        <v>12</v>
      </c>
      <c r="C2" s="11"/>
      <c r="D2" s="12" t="s">
        <v>8</v>
      </c>
      <c r="E2" s="12" t="s">
        <v>9</v>
      </c>
      <c r="F2" s="11"/>
      <c r="G2" s="11"/>
      <c r="H2" s="11"/>
      <c r="I2" s="11"/>
    </row>
    <row r="3" spans="1:9">
      <c r="A3" s="22" t="s">
        <v>0</v>
      </c>
      <c r="B3" s="22" t="s">
        <v>1</v>
      </c>
      <c r="C3" s="22" t="s">
        <v>2</v>
      </c>
      <c r="D3" s="23" t="s">
        <v>3</v>
      </c>
      <c r="E3" s="23" t="s">
        <v>4</v>
      </c>
      <c r="F3" s="22" t="s">
        <v>5</v>
      </c>
      <c r="G3" s="24" t="s">
        <v>10</v>
      </c>
      <c r="H3" s="11" t="s">
        <v>6</v>
      </c>
      <c r="I3" s="11" t="s">
        <v>7</v>
      </c>
    </row>
    <row r="4" spans="1:9" ht="25.5">
      <c r="A4" s="1">
        <v>5038435</v>
      </c>
      <c r="B4" s="26" t="s">
        <v>35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49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33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>
      <c r="A7" s="3">
        <v>8785235</v>
      </c>
      <c r="B7" s="2" t="s">
        <v>48</v>
      </c>
      <c r="C7" s="13">
        <v>5</v>
      </c>
      <c r="D7" s="14"/>
      <c r="E7" s="14"/>
      <c r="F7" s="11">
        <f>E7/16.5</f>
        <v>0</v>
      </c>
      <c r="G7" s="11">
        <v>3.5</v>
      </c>
      <c r="H7" s="11">
        <f>E7</f>
        <v>0</v>
      </c>
      <c r="I7" s="11"/>
    </row>
    <row r="8" spans="1:9" ht="25.5">
      <c r="A8" s="1">
        <v>5038411</v>
      </c>
      <c r="B8" s="26" t="s">
        <v>34</v>
      </c>
      <c r="C8" s="13">
        <v>10</v>
      </c>
      <c r="D8" s="14"/>
      <c r="E8" s="14"/>
      <c r="F8" s="11">
        <f>D8/C8</f>
        <v>0</v>
      </c>
      <c r="G8" s="2">
        <v>0.18</v>
      </c>
      <c r="H8" s="11">
        <f>G8*D8</f>
        <v>0</v>
      </c>
      <c r="I8" s="11"/>
    </row>
    <row r="9" spans="1:9" ht="25.5">
      <c r="A9" s="3">
        <v>8785242</v>
      </c>
      <c r="B9" s="26" t="s">
        <v>47</v>
      </c>
      <c r="C9" s="13">
        <v>5</v>
      </c>
      <c r="D9" s="14"/>
      <c r="E9" s="14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ht="25.5">
      <c r="A10" s="1">
        <v>5038398</v>
      </c>
      <c r="B10" s="26" t="s">
        <v>36</v>
      </c>
      <c r="C10" s="13">
        <v>10</v>
      </c>
      <c r="D10" s="14"/>
      <c r="E10" s="14"/>
      <c r="F10" s="11">
        <f>D10/C10</f>
        <v>0</v>
      </c>
      <c r="G10" s="2">
        <v>0.18</v>
      </c>
      <c r="H10" s="11">
        <f>G10*D10</f>
        <v>0</v>
      </c>
      <c r="I10" s="11"/>
    </row>
    <row r="11" spans="1:9">
      <c r="A11" s="1">
        <v>5039609</v>
      </c>
      <c r="B11" s="2" t="s">
        <v>43</v>
      </c>
      <c r="C11" s="13">
        <v>8</v>
      </c>
      <c r="D11" s="14"/>
      <c r="E11" s="14"/>
      <c r="F11" s="11">
        <f>D11/C11</f>
        <v>0</v>
      </c>
      <c r="G11" s="2">
        <v>0.4</v>
      </c>
      <c r="H11" s="11">
        <f>G11*D11</f>
        <v>0</v>
      </c>
      <c r="I11" s="11"/>
    </row>
    <row r="12" spans="1:9" ht="25.5">
      <c r="A12" s="3">
        <v>8785259</v>
      </c>
      <c r="B12" s="26" t="s">
        <v>53</v>
      </c>
      <c r="C12" s="13">
        <v>5</v>
      </c>
      <c r="D12" s="14"/>
      <c r="E12" s="14"/>
      <c r="F12" s="11">
        <f>E12/16.5</f>
        <v>0</v>
      </c>
      <c r="G12" s="11">
        <v>3.5</v>
      </c>
      <c r="H12" s="11">
        <f>E12</f>
        <v>0</v>
      </c>
      <c r="I12" s="11"/>
    </row>
    <row r="13" spans="1:9" ht="25.5">
      <c r="A13" s="3">
        <v>5038855</v>
      </c>
      <c r="B13" s="29" t="s">
        <v>41</v>
      </c>
      <c r="C13" s="13">
        <v>10</v>
      </c>
      <c r="D13" s="14"/>
      <c r="E13" s="14"/>
      <c r="F13" s="11">
        <f t="shared" ref="F13:F19" si="0">D13/C13</f>
        <v>0</v>
      </c>
      <c r="G13" s="2">
        <v>0.2</v>
      </c>
      <c r="H13" s="11">
        <f t="shared" ref="H13:H19" si="1">G13*D13</f>
        <v>0</v>
      </c>
      <c r="I13" s="11"/>
    </row>
    <row r="14" spans="1:9">
      <c r="A14" s="3">
        <v>5039647</v>
      </c>
      <c r="B14" s="7" t="s">
        <v>44</v>
      </c>
      <c r="C14" s="13">
        <v>8</v>
      </c>
      <c r="D14" s="14"/>
      <c r="E14" s="14"/>
      <c r="F14" s="11">
        <f t="shared" si="0"/>
        <v>0</v>
      </c>
      <c r="G14" s="2">
        <v>0.4</v>
      </c>
      <c r="H14" s="11">
        <f t="shared" si="1"/>
        <v>0</v>
      </c>
      <c r="I14" s="11"/>
    </row>
    <row r="15" spans="1:9" ht="25.5">
      <c r="A15" s="3">
        <v>5038831</v>
      </c>
      <c r="B15" s="26" t="s">
        <v>39</v>
      </c>
      <c r="C15" s="15">
        <v>10</v>
      </c>
      <c r="D15" s="14"/>
      <c r="E15" s="14"/>
      <c r="F15" s="11">
        <f t="shared" si="0"/>
        <v>0</v>
      </c>
      <c r="G15" s="2">
        <v>0.18</v>
      </c>
      <c r="H15" s="11">
        <f t="shared" si="1"/>
        <v>0</v>
      </c>
      <c r="I15" s="11"/>
    </row>
    <row r="16" spans="1:9">
      <c r="A16" s="3">
        <v>5039623</v>
      </c>
      <c r="B16" s="2" t="s">
        <v>45</v>
      </c>
      <c r="C16" s="15">
        <v>8</v>
      </c>
      <c r="D16" s="14"/>
      <c r="E16" s="14"/>
      <c r="F16" s="11">
        <f t="shared" si="0"/>
        <v>0</v>
      </c>
      <c r="G16" s="2">
        <v>0.4</v>
      </c>
      <c r="H16" s="11">
        <f t="shared" si="1"/>
        <v>0</v>
      </c>
      <c r="I16" s="11"/>
    </row>
    <row r="17" spans="1:9">
      <c r="A17" s="3">
        <v>1018950</v>
      </c>
      <c r="B17" s="2" t="s">
        <v>40</v>
      </c>
      <c r="C17" s="13">
        <v>10</v>
      </c>
      <c r="D17" s="14"/>
      <c r="E17" s="14"/>
      <c r="F17" s="11">
        <f t="shared" si="0"/>
        <v>0</v>
      </c>
      <c r="G17" s="2">
        <v>0.18</v>
      </c>
      <c r="H17" s="11">
        <f t="shared" si="1"/>
        <v>0</v>
      </c>
      <c r="I17" s="11"/>
    </row>
    <row r="18" spans="1:9">
      <c r="A18" s="3">
        <v>1018967</v>
      </c>
      <c r="B18" s="2" t="s">
        <v>42</v>
      </c>
      <c r="C18" s="13">
        <v>10</v>
      </c>
      <c r="D18" s="14"/>
      <c r="E18" s="14"/>
      <c r="F18" s="11">
        <f t="shared" si="0"/>
        <v>0</v>
      </c>
      <c r="G18" s="2">
        <v>0.18</v>
      </c>
      <c r="H18" s="11">
        <f t="shared" si="1"/>
        <v>0</v>
      </c>
      <c r="I18" s="11"/>
    </row>
    <row r="19" spans="1:9">
      <c r="A19" s="3" t="s">
        <v>56</v>
      </c>
      <c r="B19" s="2" t="s">
        <v>13</v>
      </c>
      <c r="C19" s="13">
        <v>10</v>
      </c>
      <c r="D19" s="14"/>
      <c r="E19" s="14"/>
      <c r="F19" s="11">
        <f t="shared" si="0"/>
        <v>0</v>
      </c>
      <c r="G19" s="2">
        <v>0.2</v>
      </c>
      <c r="H19" s="11">
        <f t="shared" si="1"/>
        <v>0</v>
      </c>
      <c r="I19" s="11"/>
    </row>
    <row r="20" spans="1:9">
      <c r="A20" s="3" t="s">
        <v>57</v>
      </c>
      <c r="B20" s="2" t="s">
        <v>16</v>
      </c>
      <c r="C20" s="13">
        <v>4</v>
      </c>
      <c r="D20" s="14"/>
      <c r="E20" s="14"/>
      <c r="F20" s="11">
        <f>E20/15</f>
        <v>0</v>
      </c>
      <c r="G20" s="2">
        <v>3.5</v>
      </c>
      <c r="H20" s="11">
        <f>E20</f>
        <v>0</v>
      </c>
      <c r="I20" s="11" t="s">
        <v>18</v>
      </c>
    </row>
    <row r="21" spans="1:9">
      <c r="A21" s="3" t="s">
        <v>58</v>
      </c>
      <c r="B21" s="2" t="s">
        <v>14</v>
      </c>
      <c r="C21" s="13">
        <v>10</v>
      </c>
      <c r="D21" s="14"/>
      <c r="E21" s="14"/>
      <c r="F21" s="11">
        <f>D21/C21</f>
        <v>0</v>
      </c>
      <c r="G21" s="2">
        <v>0.2</v>
      </c>
      <c r="H21" s="11">
        <f>G21*D21</f>
        <v>0</v>
      </c>
      <c r="I21" s="11"/>
    </row>
    <row r="22" spans="1:9">
      <c r="A22" s="3" t="s">
        <v>59</v>
      </c>
      <c r="B22" s="2" t="s">
        <v>17</v>
      </c>
      <c r="C22" s="13">
        <v>4</v>
      </c>
      <c r="D22" s="14"/>
      <c r="E22" s="14"/>
      <c r="F22" s="11">
        <f>E22/15</f>
        <v>0</v>
      </c>
      <c r="G22" s="2">
        <v>3.5</v>
      </c>
      <c r="H22" s="11">
        <f>E22</f>
        <v>0</v>
      </c>
      <c r="I22" s="11" t="s">
        <v>18</v>
      </c>
    </row>
    <row r="23" spans="1:9">
      <c r="A23" s="3">
        <v>8444194</v>
      </c>
      <c r="B23" s="4" t="s">
        <v>20</v>
      </c>
      <c r="C23" s="13">
        <v>6</v>
      </c>
      <c r="D23" s="16"/>
      <c r="E23" s="16"/>
      <c r="F23" s="11">
        <f t="shared" ref="F23:F29" si="2">D23/C23</f>
        <v>0</v>
      </c>
      <c r="G23" s="2">
        <v>0.1</v>
      </c>
      <c r="H23" s="11">
        <f t="shared" ref="H23:H29" si="3">G23*D23</f>
        <v>0</v>
      </c>
      <c r="I23" s="11"/>
    </row>
    <row r="24" spans="1:9">
      <c r="A24" s="3">
        <v>8444187</v>
      </c>
      <c r="B24" s="4" t="s">
        <v>21</v>
      </c>
      <c r="C24" s="13">
        <v>6</v>
      </c>
      <c r="D24" s="16"/>
      <c r="E24" s="16"/>
      <c r="F24" s="11">
        <f t="shared" si="2"/>
        <v>0</v>
      </c>
      <c r="G24" s="2">
        <v>0.1</v>
      </c>
      <c r="H24" s="11">
        <f t="shared" si="3"/>
        <v>0</v>
      </c>
      <c r="I24" s="11"/>
    </row>
    <row r="25" spans="1:9">
      <c r="A25" s="3">
        <v>8444163</v>
      </c>
      <c r="B25" s="4" t="s">
        <v>22</v>
      </c>
      <c r="C25" s="13">
        <v>8</v>
      </c>
      <c r="D25" s="16"/>
      <c r="E25" s="16"/>
      <c r="F25" s="11">
        <f t="shared" si="2"/>
        <v>0</v>
      </c>
      <c r="G25" s="2">
        <v>0.1</v>
      </c>
      <c r="H25" s="11">
        <f t="shared" si="3"/>
        <v>0</v>
      </c>
      <c r="I25" s="11"/>
    </row>
    <row r="26" spans="1:9" s="20" customFormat="1">
      <c r="A26" s="5">
        <v>8444170</v>
      </c>
      <c r="B26" s="6" t="s">
        <v>63</v>
      </c>
      <c r="C26" s="17">
        <v>8</v>
      </c>
      <c r="D26" s="32"/>
      <c r="E26" s="32"/>
      <c r="F26" s="18">
        <f t="shared" si="2"/>
        <v>0</v>
      </c>
      <c r="G26" s="19">
        <v>0.1</v>
      </c>
      <c r="H26" s="18">
        <f t="shared" si="3"/>
        <v>0</v>
      </c>
      <c r="I26" s="18"/>
    </row>
    <row r="27" spans="1:9">
      <c r="A27" s="3">
        <v>9988377</v>
      </c>
      <c r="B27" s="4" t="s">
        <v>23</v>
      </c>
      <c r="C27" s="13">
        <v>16</v>
      </c>
      <c r="D27" s="16"/>
      <c r="E27" s="16"/>
      <c r="F27" s="11">
        <f t="shared" si="2"/>
        <v>0</v>
      </c>
      <c r="G27" s="2">
        <v>0.14000000000000001</v>
      </c>
      <c r="H27" s="11">
        <f t="shared" si="3"/>
        <v>0</v>
      </c>
      <c r="I27" s="11"/>
    </row>
    <row r="28" spans="1:9">
      <c r="A28" s="3">
        <v>9988391</v>
      </c>
      <c r="B28" s="4" t="s">
        <v>24</v>
      </c>
      <c r="C28" s="13">
        <v>16</v>
      </c>
      <c r="D28" s="16"/>
      <c r="E28" s="16"/>
      <c r="F28" s="11">
        <f t="shared" si="2"/>
        <v>0</v>
      </c>
      <c r="G28" s="2">
        <v>0.14000000000000001</v>
      </c>
      <c r="H28" s="11">
        <f t="shared" si="3"/>
        <v>0</v>
      </c>
      <c r="I28" s="11"/>
    </row>
    <row r="29" spans="1:9">
      <c r="A29" s="3">
        <v>5034819</v>
      </c>
      <c r="B29" s="4" t="s">
        <v>25</v>
      </c>
      <c r="C29" s="13">
        <v>6</v>
      </c>
      <c r="D29" s="16"/>
      <c r="E29" s="16"/>
      <c r="F29" s="11">
        <f t="shared" si="2"/>
        <v>0</v>
      </c>
      <c r="G29" s="2">
        <v>0.18</v>
      </c>
      <c r="H29" s="11">
        <f t="shared" si="3"/>
        <v>0</v>
      </c>
      <c r="I29" s="11"/>
    </row>
    <row r="30" spans="1:9">
      <c r="A30" s="3">
        <v>2981244</v>
      </c>
      <c r="B30" s="4" t="s">
        <v>26</v>
      </c>
      <c r="C30" s="13">
        <v>6</v>
      </c>
      <c r="D30" s="16"/>
      <c r="E30" s="16"/>
      <c r="F30" s="11">
        <f>E30/7.8</f>
        <v>0</v>
      </c>
      <c r="G30" s="2">
        <v>1.3</v>
      </c>
      <c r="H30" s="11">
        <f>E30</f>
        <v>0</v>
      </c>
      <c r="I30" s="11" t="s">
        <v>19</v>
      </c>
    </row>
    <row r="31" spans="1:9">
      <c r="A31" s="3">
        <v>8785198</v>
      </c>
      <c r="B31" s="4" t="s">
        <v>27</v>
      </c>
      <c r="C31" s="13">
        <v>5</v>
      </c>
      <c r="D31" s="16"/>
      <c r="E31" s="16"/>
      <c r="F31" s="11">
        <f>E31/16.5</f>
        <v>0</v>
      </c>
      <c r="G31" s="2">
        <v>3.2</v>
      </c>
      <c r="H31" s="11">
        <f>E31</f>
        <v>0</v>
      </c>
      <c r="I31" s="11" t="s">
        <v>15</v>
      </c>
    </row>
    <row r="32" spans="1:9">
      <c r="A32" s="3">
        <v>9988452</v>
      </c>
      <c r="B32" s="4" t="s">
        <v>28</v>
      </c>
      <c r="C32" s="13">
        <v>8</v>
      </c>
      <c r="D32" s="16"/>
      <c r="E32" s="16"/>
      <c r="F32" s="11">
        <f t="shared" ref="F32:F46" si="4">D32/C32</f>
        <v>0</v>
      </c>
      <c r="G32" s="2">
        <v>0.4</v>
      </c>
      <c r="H32" s="11">
        <f t="shared" ref="H32:H37" si="5">G32*D32</f>
        <v>0</v>
      </c>
      <c r="I32" s="11"/>
    </row>
    <row r="33" spans="1:9">
      <c r="A33" s="3">
        <v>9988476</v>
      </c>
      <c r="B33" s="4" t="s">
        <v>29</v>
      </c>
      <c r="C33" s="13">
        <v>28</v>
      </c>
      <c r="D33" s="16"/>
      <c r="E33" s="16"/>
      <c r="F33" s="11">
        <f t="shared" si="4"/>
        <v>0</v>
      </c>
      <c r="G33" s="2">
        <v>0.4</v>
      </c>
      <c r="H33" s="11">
        <f t="shared" si="5"/>
        <v>0</v>
      </c>
      <c r="I33" s="11"/>
    </row>
    <row r="34" spans="1:9">
      <c r="A34" s="3">
        <v>9988681</v>
      </c>
      <c r="B34" s="4" t="s">
        <v>37</v>
      </c>
      <c r="C34" s="13">
        <v>16</v>
      </c>
      <c r="D34" s="16"/>
      <c r="E34" s="16"/>
      <c r="F34" s="11">
        <f t="shared" si="4"/>
        <v>0</v>
      </c>
      <c r="G34" s="2">
        <v>0.18</v>
      </c>
      <c r="H34" s="11">
        <f t="shared" si="5"/>
        <v>0</v>
      </c>
      <c r="I34" s="11"/>
    </row>
    <row r="35" spans="1:9">
      <c r="A35" s="3">
        <v>9988438</v>
      </c>
      <c r="B35" s="4" t="s">
        <v>30</v>
      </c>
      <c r="C35" s="13">
        <v>16</v>
      </c>
      <c r="D35" s="16"/>
      <c r="E35" s="16"/>
      <c r="F35" s="11">
        <f t="shared" si="4"/>
        <v>0</v>
      </c>
      <c r="G35" s="2">
        <v>0.18</v>
      </c>
      <c r="H35" s="11">
        <f t="shared" si="5"/>
        <v>0</v>
      </c>
      <c r="I35" s="11"/>
    </row>
    <row r="36" spans="1:9">
      <c r="A36" s="3">
        <v>9988445</v>
      </c>
      <c r="B36" s="4" t="s">
        <v>31</v>
      </c>
      <c r="C36" s="13">
        <v>16</v>
      </c>
      <c r="D36" s="16"/>
      <c r="E36" s="16"/>
      <c r="F36" s="11">
        <f t="shared" si="4"/>
        <v>0</v>
      </c>
      <c r="G36" s="2">
        <v>0.18</v>
      </c>
      <c r="H36" s="11">
        <f t="shared" si="5"/>
        <v>0</v>
      </c>
      <c r="I36" s="11"/>
    </row>
    <row r="37" spans="1:9">
      <c r="A37" s="3">
        <v>9988421</v>
      </c>
      <c r="B37" s="4" t="s">
        <v>32</v>
      </c>
      <c r="C37" s="13">
        <v>16</v>
      </c>
      <c r="D37" s="16"/>
      <c r="E37" s="16"/>
      <c r="F37" s="11">
        <f t="shared" si="4"/>
        <v>0</v>
      </c>
      <c r="G37" s="2">
        <v>0.14000000000000001</v>
      </c>
      <c r="H37" s="11">
        <f t="shared" si="5"/>
        <v>0</v>
      </c>
      <c r="I37" s="11"/>
    </row>
    <row r="38" spans="1:9">
      <c r="A38" s="3">
        <v>9988674</v>
      </c>
      <c r="B38" s="4" t="s">
        <v>38</v>
      </c>
      <c r="C38" s="13">
        <v>16</v>
      </c>
      <c r="D38" s="16"/>
      <c r="E38" s="16"/>
      <c r="F38" s="11">
        <f t="shared" si="4"/>
        <v>0</v>
      </c>
      <c r="G38" s="2">
        <v>0.18</v>
      </c>
      <c r="H38" s="11">
        <f t="shared" ref="H38:H43" si="6">D38*G38</f>
        <v>0</v>
      </c>
      <c r="I38" s="11"/>
    </row>
    <row r="39" spans="1:9">
      <c r="A39" s="34">
        <v>8444903</v>
      </c>
      <c r="B39" s="35" t="s">
        <v>50</v>
      </c>
      <c r="C39" s="13">
        <v>8</v>
      </c>
      <c r="D39" s="16"/>
      <c r="E39" s="16"/>
      <c r="F39" s="11">
        <f t="shared" si="4"/>
        <v>0</v>
      </c>
      <c r="G39" s="2">
        <v>0.1</v>
      </c>
      <c r="H39" s="11">
        <f t="shared" si="6"/>
        <v>0</v>
      </c>
      <c r="I39" s="11"/>
    </row>
    <row r="40" spans="1:9">
      <c r="A40" s="34">
        <v>8444910</v>
      </c>
      <c r="B40" s="35" t="s">
        <v>51</v>
      </c>
      <c r="C40" s="13">
        <v>8</v>
      </c>
      <c r="D40" s="16"/>
      <c r="E40" s="16"/>
      <c r="F40" s="11">
        <f t="shared" si="4"/>
        <v>0</v>
      </c>
      <c r="G40" s="2">
        <v>0.1</v>
      </c>
      <c r="H40" s="11">
        <f t="shared" si="6"/>
        <v>0</v>
      </c>
      <c r="I40" s="11"/>
    </row>
    <row r="41" spans="1:9">
      <c r="A41" s="34">
        <v>8444927</v>
      </c>
      <c r="B41" s="35" t="s">
        <v>52</v>
      </c>
      <c r="C41" s="13">
        <v>8</v>
      </c>
      <c r="D41" s="16"/>
      <c r="E41" s="16"/>
      <c r="F41" s="11">
        <f t="shared" si="4"/>
        <v>0</v>
      </c>
      <c r="G41" s="2">
        <v>0.1</v>
      </c>
      <c r="H41" s="11">
        <f t="shared" si="6"/>
        <v>0</v>
      </c>
      <c r="I41" s="11"/>
    </row>
    <row r="42" spans="1:9">
      <c r="A42" s="34">
        <v>6600454</v>
      </c>
      <c r="B42" s="35" t="s">
        <v>55</v>
      </c>
      <c r="C42" s="13">
        <v>12</v>
      </c>
      <c r="D42" s="16"/>
      <c r="E42" s="16"/>
      <c r="F42" s="11">
        <f t="shared" si="4"/>
        <v>0</v>
      </c>
      <c r="G42" s="2">
        <v>0.125</v>
      </c>
      <c r="H42" s="11">
        <f t="shared" si="6"/>
        <v>0</v>
      </c>
      <c r="I42" s="11"/>
    </row>
    <row r="43" spans="1:9">
      <c r="A43" s="34">
        <v>6600447</v>
      </c>
      <c r="B43" s="35" t="s">
        <v>54</v>
      </c>
      <c r="C43" s="13">
        <v>12</v>
      </c>
      <c r="D43" s="16"/>
      <c r="E43" s="16"/>
      <c r="F43" s="11">
        <f t="shared" si="4"/>
        <v>0</v>
      </c>
      <c r="G43" s="2">
        <v>0.125</v>
      </c>
      <c r="H43" s="11">
        <f t="shared" si="6"/>
        <v>0</v>
      </c>
      <c r="I43" s="11"/>
    </row>
    <row r="44" spans="1:9">
      <c r="A44" s="27">
        <v>4421584</v>
      </c>
      <c r="B44" s="28" t="s">
        <v>61</v>
      </c>
      <c r="C44" s="13">
        <v>12</v>
      </c>
      <c r="D44" s="16"/>
      <c r="E44" s="16"/>
      <c r="F44" s="11">
        <f t="shared" si="4"/>
        <v>0</v>
      </c>
      <c r="G44" s="2">
        <v>0.18</v>
      </c>
      <c r="H44" s="11">
        <f>G44*D44</f>
        <v>0</v>
      </c>
      <c r="I44" s="18"/>
    </row>
    <row r="45" spans="1:9">
      <c r="A45" s="27">
        <v>4421577</v>
      </c>
      <c r="B45" s="28" t="s">
        <v>60</v>
      </c>
      <c r="C45" s="13">
        <v>12</v>
      </c>
      <c r="D45" s="16"/>
      <c r="E45" s="16"/>
      <c r="F45" s="11">
        <f t="shared" si="4"/>
        <v>0</v>
      </c>
      <c r="G45" s="2">
        <v>0.18</v>
      </c>
      <c r="H45" s="11">
        <f>G45*D45</f>
        <v>0</v>
      </c>
      <c r="I45" s="18"/>
    </row>
    <row r="46" spans="1:9" s="20" customFormat="1">
      <c r="A46" s="30">
        <v>9985949</v>
      </c>
      <c r="B46" s="31" t="s">
        <v>62</v>
      </c>
      <c r="C46" s="17">
        <v>10</v>
      </c>
      <c r="D46" s="32"/>
      <c r="E46" s="32"/>
      <c r="F46" s="18">
        <f t="shared" si="4"/>
        <v>0</v>
      </c>
      <c r="G46" s="33">
        <v>1</v>
      </c>
      <c r="H46" s="18">
        <f>G46*D46</f>
        <v>0</v>
      </c>
      <c r="I46" s="18"/>
    </row>
    <row r="47" spans="1:9" s="20" customFormat="1">
      <c r="A47" s="30">
        <v>8786928</v>
      </c>
      <c r="B47" s="31" t="s">
        <v>64</v>
      </c>
      <c r="C47" s="17">
        <v>4</v>
      </c>
      <c r="D47" s="32"/>
      <c r="E47" s="32"/>
      <c r="F47" s="18">
        <f>E47/6</f>
        <v>0</v>
      </c>
      <c r="G47" s="19">
        <v>1.5</v>
      </c>
      <c r="H47" s="18">
        <f>E47</f>
        <v>0</v>
      </c>
      <c r="I47" s="18" t="s">
        <v>65</v>
      </c>
    </row>
    <row r="48" spans="1:9" s="20" customFormat="1">
      <c r="A48" s="30">
        <v>6948270</v>
      </c>
      <c r="B48" s="31" t="s">
        <v>66</v>
      </c>
      <c r="C48" s="17">
        <v>12</v>
      </c>
      <c r="D48" s="32"/>
      <c r="E48" s="32"/>
      <c r="F48" s="18">
        <f>D48/C48</f>
        <v>0</v>
      </c>
      <c r="G48" s="19">
        <v>0.372</v>
      </c>
      <c r="H48" s="18">
        <f>G48*D48</f>
        <v>0</v>
      </c>
      <c r="I48" s="18"/>
    </row>
    <row r="49" spans="1:9" s="20" customFormat="1">
      <c r="A49" s="30">
        <v>6948287</v>
      </c>
      <c r="B49" s="31" t="s">
        <v>67</v>
      </c>
      <c r="C49" s="17">
        <v>12</v>
      </c>
      <c r="D49" s="32"/>
      <c r="E49" s="32"/>
      <c r="F49" s="18">
        <f>D49/C49</f>
        <v>0</v>
      </c>
      <c r="G49" s="19">
        <v>0.74399999999999999</v>
      </c>
      <c r="H49" s="18">
        <f>G49*D49</f>
        <v>0</v>
      </c>
      <c r="I49" s="18"/>
    </row>
    <row r="50" spans="1:9" s="20" customFormat="1">
      <c r="A50" s="30">
        <v>6948256</v>
      </c>
      <c r="B50" s="31" t="s">
        <v>68</v>
      </c>
      <c r="C50" s="17">
        <v>12</v>
      </c>
      <c r="D50" s="32"/>
      <c r="E50" s="32"/>
      <c r="F50" s="18">
        <f>D50/C50</f>
        <v>0</v>
      </c>
      <c r="G50" s="19">
        <v>0.372</v>
      </c>
      <c r="H50" s="18">
        <f>G50*D50</f>
        <v>0</v>
      </c>
      <c r="I50" s="18"/>
    </row>
    <row r="51" spans="1:9" s="20" customFormat="1">
      <c r="A51" s="30">
        <v>6948263</v>
      </c>
      <c r="B51" s="31" t="s">
        <v>69</v>
      </c>
      <c r="C51" s="17">
        <v>12</v>
      </c>
      <c r="D51" s="32"/>
      <c r="E51" s="32"/>
      <c r="F51" s="18">
        <f>D51/C51</f>
        <v>0</v>
      </c>
      <c r="G51" s="19">
        <v>0.74399999999999999</v>
      </c>
      <c r="H51" s="18">
        <f>G51*D51</f>
        <v>0</v>
      </c>
      <c r="I51" s="18"/>
    </row>
    <row r="52" spans="1:9" s="20" customFormat="1">
      <c r="A52" s="30">
        <v>6948249</v>
      </c>
      <c r="B52" s="31" t="s">
        <v>70</v>
      </c>
      <c r="C52" s="17">
        <v>12</v>
      </c>
      <c r="D52" s="32"/>
      <c r="E52" s="32"/>
      <c r="F52" s="18">
        <f>D52/C52</f>
        <v>0</v>
      </c>
      <c r="G52" s="19">
        <v>0.82499999999999996</v>
      </c>
      <c r="H52" s="18">
        <f>G52*D52</f>
        <v>0</v>
      </c>
      <c r="I52" s="18"/>
    </row>
    <row r="53" spans="1:9">
      <c r="A53" s="11"/>
      <c r="B53" s="25" t="s">
        <v>11</v>
      </c>
      <c r="C53" s="11"/>
      <c r="D53" s="16"/>
      <c r="E53" s="16"/>
      <c r="F53" s="11"/>
      <c r="G53" s="11"/>
      <c r="H53" s="4">
        <f>SUM(H4:H52)</f>
        <v>0</v>
      </c>
      <c r="I53" s="11"/>
    </row>
    <row r="55" spans="1:9">
      <c r="A55" s="8">
        <f>H53+Бердянск!H53+Донецк!H53+Луганск!H53</f>
        <v>0</v>
      </c>
    </row>
  </sheetData>
  <sheetProtection selectLockedCells="1" selectUnlockedCells="1"/>
  <autoFilter ref="A3:I53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3"/>
  <sheetViews>
    <sheetView workbookViewId="0">
      <pane ySplit="3" topLeftCell="A28" activePane="bottomLeft" state="frozen"/>
      <selection pane="bottomLeft" activeCell="D4" sqref="D4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/>
      <c r="E1" s="16"/>
      <c r="F1" s="11"/>
      <c r="G1" s="11"/>
      <c r="H1" s="11"/>
      <c r="I1" s="11"/>
    </row>
    <row r="2" spans="1:9" ht="38.25">
      <c r="A2" s="11" t="s">
        <v>46</v>
      </c>
      <c r="B2" s="10" t="s">
        <v>12</v>
      </c>
      <c r="C2" s="11"/>
      <c r="D2" s="12" t="s">
        <v>8</v>
      </c>
      <c r="E2" s="12" t="s">
        <v>9</v>
      </c>
      <c r="F2" s="11"/>
      <c r="G2" s="11"/>
      <c r="H2" s="11"/>
      <c r="I2" s="11"/>
    </row>
    <row r="3" spans="1:9">
      <c r="A3" s="22" t="s">
        <v>0</v>
      </c>
      <c r="B3" s="22" t="s">
        <v>1</v>
      </c>
      <c r="C3" s="22" t="s">
        <v>2</v>
      </c>
      <c r="D3" s="23" t="s">
        <v>3</v>
      </c>
      <c r="E3" s="23" t="s">
        <v>4</v>
      </c>
      <c r="F3" s="22" t="s">
        <v>5</v>
      </c>
      <c r="G3" s="24" t="s">
        <v>10</v>
      </c>
      <c r="H3" s="11" t="s">
        <v>6</v>
      </c>
      <c r="I3" s="11" t="s">
        <v>7</v>
      </c>
    </row>
    <row r="4" spans="1:9" ht="25.5">
      <c r="A4" s="1">
        <v>5038435</v>
      </c>
      <c r="B4" s="26" t="s">
        <v>35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49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33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>
      <c r="A7" s="3">
        <v>8785235</v>
      </c>
      <c r="B7" s="2" t="s">
        <v>48</v>
      </c>
      <c r="C7" s="13">
        <v>5</v>
      </c>
      <c r="D7" s="14"/>
      <c r="E7" s="14"/>
      <c r="F7" s="11">
        <f>E7/16.5</f>
        <v>0</v>
      </c>
      <c r="G7" s="11">
        <v>3.5</v>
      </c>
      <c r="H7" s="11">
        <f>E7</f>
        <v>0</v>
      </c>
      <c r="I7" s="11"/>
    </row>
    <row r="8" spans="1:9" ht="25.5">
      <c r="A8" s="1">
        <v>5038411</v>
      </c>
      <c r="B8" s="26" t="s">
        <v>34</v>
      </c>
      <c r="C8" s="13">
        <v>10</v>
      </c>
      <c r="D8" s="14"/>
      <c r="E8" s="14"/>
      <c r="F8" s="11">
        <f>D8/C8</f>
        <v>0</v>
      </c>
      <c r="G8" s="2">
        <v>0.18</v>
      </c>
      <c r="H8" s="11">
        <f>G8*D8</f>
        <v>0</v>
      </c>
      <c r="I8" s="11"/>
    </row>
    <row r="9" spans="1:9" ht="25.5">
      <c r="A9" s="3">
        <v>8785242</v>
      </c>
      <c r="B9" s="26" t="s">
        <v>47</v>
      </c>
      <c r="C9" s="13">
        <v>5</v>
      </c>
      <c r="D9" s="14"/>
      <c r="E9" s="14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ht="25.5">
      <c r="A10" s="1">
        <v>5038398</v>
      </c>
      <c r="B10" s="26" t="s">
        <v>36</v>
      </c>
      <c r="C10" s="13">
        <v>10</v>
      </c>
      <c r="D10" s="14"/>
      <c r="E10" s="14"/>
      <c r="F10" s="11">
        <f>D10/C10</f>
        <v>0</v>
      </c>
      <c r="G10" s="2">
        <v>0.18</v>
      </c>
      <c r="H10" s="11">
        <f>G10*D10</f>
        <v>0</v>
      </c>
      <c r="I10" s="11"/>
    </row>
    <row r="11" spans="1:9">
      <c r="A11" s="1">
        <v>5039609</v>
      </c>
      <c r="B11" s="2" t="s">
        <v>43</v>
      </c>
      <c r="C11" s="13">
        <v>8</v>
      </c>
      <c r="D11" s="14"/>
      <c r="E11" s="14"/>
      <c r="F11" s="11">
        <f>D11/C11</f>
        <v>0</v>
      </c>
      <c r="G11" s="2">
        <v>0.4</v>
      </c>
      <c r="H11" s="11">
        <f>G11*D11</f>
        <v>0</v>
      </c>
      <c r="I11" s="11"/>
    </row>
    <row r="12" spans="1:9" ht="25.5">
      <c r="A12" s="3">
        <v>8785259</v>
      </c>
      <c r="B12" s="26" t="s">
        <v>53</v>
      </c>
      <c r="C12" s="13">
        <v>5</v>
      </c>
      <c r="D12" s="14"/>
      <c r="E12" s="14"/>
      <c r="F12" s="11">
        <f>E12/16.5</f>
        <v>0</v>
      </c>
      <c r="G12" s="11">
        <v>3.5</v>
      </c>
      <c r="H12" s="11">
        <f>E12</f>
        <v>0</v>
      </c>
      <c r="I12" s="11"/>
    </row>
    <row r="13" spans="1:9" ht="25.5">
      <c r="A13" s="3">
        <v>5038855</v>
      </c>
      <c r="B13" s="29" t="s">
        <v>41</v>
      </c>
      <c r="C13" s="13">
        <v>10</v>
      </c>
      <c r="D13" s="14"/>
      <c r="E13" s="14"/>
      <c r="F13" s="11">
        <f t="shared" ref="F13:F19" si="0">D13/C13</f>
        <v>0</v>
      </c>
      <c r="G13" s="2">
        <v>0.2</v>
      </c>
      <c r="H13" s="11">
        <f t="shared" ref="H13:H19" si="1">G13*D13</f>
        <v>0</v>
      </c>
      <c r="I13" s="11"/>
    </row>
    <row r="14" spans="1:9">
      <c r="A14" s="3">
        <v>5039647</v>
      </c>
      <c r="B14" s="7" t="s">
        <v>44</v>
      </c>
      <c r="C14" s="13">
        <v>8</v>
      </c>
      <c r="D14" s="14"/>
      <c r="E14" s="14"/>
      <c r="F14" s="11">
        <f t="shared" si="0"/>
        <v>0</v>
      </c>
      <c r="G14" s="2">
        <v>0.4</v>
      </c>
      <c r="H14" s="11">
        <f t="shared" si="1"/>
        <v>0</v>
      </c>
      <c r="I14" s="11"/>
    </row>
    <row r="15" spans="1:9" ht="25.5">
      <c r="A15" s="3">
        <v>5038831</v>
      </c>
      <c r="B15" s="26" t="s">
        <v>39</v>
      </c>
      <c r="C15" s="15">
        <v>10</v>
      </c>
      <c r="D15" s="14"/>
      <c r="E15" s="14"/>
      <c r="F15" s="11">
        <f t="shared" si="0"/>
        <v>0</v>
      </c>
      <c r="G15" s="2">
        <v>0.18</v>
      </c>
      <c r="H15" s="11">
        <f t="shared" si="1"/>
        <v>0</v>
      </c>
      <c r="I15" s="11"/>
    </row>
    <row r="16" spans="1:9">
      <c r="A16" s="3">
        <v>5039623</v>
      </c>
      <c r="B16" s="2" t="s">
        <v>45</v>
      </c>
      <c r="C16" s="15">
        <v>8</v>
      </c>
      <c r="D16" s="14"/>
      <c r="E16" s="14"/>
      <c r="F16" s="11">
        <f t="shared" si="0"/>
        <v>0</v>
      </c>
      <c r="G16" s="2">
        <v>0.4</v>
      </c>
      <c r="H16" s="11">
        <f t="shared" si="1"/>
        <v>0</v>
      </c>
      <c r="I16" s="11"/>
    </row>
    <row r="17" spans="1:9">
      <c r="A17" s="3">
        <v>1018950</v>
      </c>
      <c r="B17" s="2" t="s">
        <v>40</v>
      </c>
      <c r="C17" s="13">
        <v>10</v>
      </c>
      <c r="D17" s="14"/>
      <c r="E17" s="14"/>
      <c r="F17" s="11">
        <f t="shared" si="0"/>
        <v>0</v>
      </c>
      <c r="G17" s="2">
        <v>0.18</v>
      </c>
      <c r="H17" s="11">
        <f t="shared" si="1"/>
        <v>0</v>
      </c>
      <c r="I17" s="11"/>
    </row>
    <row r="18" spans="1:9">
      <c r="A18" s="3">
        <v>1018967</v>
      </c>
      <c r="B18" s="2" t="s">
        <v>42</v>
      </c>
      <c r="C18" s="13">
        <v>10</v>
      </c>
      <c r="D18" s="14"/>
      <c r="E18" s="14"/>
      <c r="F18" s="11">
        <f t="shared" si="0"/>
        <v>0</v>
      </c>
      <c r="G18" s="2">
        <v>0.18</v>
      </c>
      <c r="H18" s="11">
        <f t="shared" si="1"/>
        <v>0</v>
      </c>
      <c r="I18" s="11"/>
    </row>
    <row r="19" spans="1:9">
      <c r="A19" s="3" t="s">
        <v>56</v>
      </c>
      <c r="B19" s="2" t="s">
        <v>13</v>
      </c>
      <c r="C19" s="13">
        <v>10</v>
      </c>
      <c r="D19" s="14"/>
      <c r="E19" s="14"/>
      <c r="F19" s="11">
        <f t="shared" si="0"/>
        <v>0</v>
      </c>
      <c r="G19" s="2">
        <v>0.2</v>
      </c>
      <c r="H19" s="11">
        <f t="shared" si="1"/>
        <v>0</v>
      </c>
      <c r="I19" s="11"/>
    </row>
    <row r="20" spans="1:9">
      <c r="A20" s="3" t="s">
        <v>57</v>
      </c>
      <c r="B20" s="2" t="s">
        <v>16</v>
      </c>
      <c r="C20" s="13">
        <v>4</v>
      </c>
      <c r="D20" s="14"/>
      <c r="E20" s="14"/>
      <c r="F20" s="11">
        <f>E20/15</f>
        <v>0</v>
      </c>
      <c r="G20" s="2">
        <v>3.5</v>
      </c>
      <c r="H20" s="11">
        <f>E20</f>
        <v>0</v>
      </c>
      <c r="I20" s="11" t="s">
        <v>18</v>
      </c>
    </row>
    <row r="21" spans="1:9">
      <c r="A21" s="3" t="s">
        <v>58</v>
      </c>
      <c r="B21" s="2" t="s">
        <v>14</v>
      </c>
      <c r="C21" s="13">
        <v>10</v>
      </c>
      <c r="D21" s="14"/>
      <c r="E21" s="14"/>
      <c r="F21" s="11">
        <f>D21/C21</f>
        <v>0</v>
      </c>
      <c r="G21" s="2">
        <v>0.2</v>
      </c>
      <c r="H21" s="11">
        <f>G21*D21</f>
        <v>0</v>
      </c>
      <c r="I21" s="11"/>
    </row>
    <row r="22" spans="1:9">
      <c r="A22" s="3" t="s">
        <v>59</v>
      </c>
      <c r="B22" s="2" t="s">
        <v>17</v>
      </c>
      <c r="C22" s="13">
        <v>4</v>
      </c>
      <c r="D22" s="14"/>
      <c r="E22" s="14"/>
      <c r="F22" s="11">
        <f>E22/15</f>
        <v>0</v>
      </c>
      <c r="G22" s="2">
        <v>3.5</v>
      </c>
      <c r="H22" s="11">
        <f>E22</f>
        <v>0</v>
      </c>
      <c r="I22" s="11" t="s">
        <v>18</v>
      </c>
    </row>
    <row r="23" spans="1:9">
      <c r="A23" s="3">
        <v>8444194</v>
      </c>
      <c r="B23" s="4" t="s">
        <v>20</v>
      </c>
      <c r="C23" s="13">
        <v>6</v>
      </c>
      <c r="D23" s="16"/>
      <c r="E23" s="16"/>
      <c r="F23" s="11">
        <f t="shared" ref="F23:F29" si="2">D23/C23</f>
        <v>0</v>
      </c>
      <c r="G23" s="2">
        <v>0.1</v>
      </c>
      <c r="H23" s="11">
        <f t="shared" ref="H23:H29" si="3">G23*D23</f>
        <v>0</v>
      </c>
      <c r="I23" s="11"/>
    </row>
    <row r="24" spans="1:9">
      <c r="A24" s="3">
        <v>8444187</v>
      </c>
      <c r="B24" s="4" t="s">
        <v>21</v>
      </c>
      <c r="C24" s="13">
        <v>6</v>
      </c>
      <c r="D24" s="16"/>
      <c r="E24" s="16"/>
      <c r="F24" s="11">
        <f t="shared" si="2"/>
        <v>0</v>
      </c>
      <c r="G24" s="2">
        <v>0.1</v>
      </c>
      <c r="H24" s="11">
        <f t="shared" si="3"/>
        <v>0</v>
      </c>
      <c r="I24" s="11"/>
    </row>
    <row r="25" spans="1:9">
      <c r="A25" s="3">
        <v>8444163</v>
      </c>
      <c r="B25" s="4" t="s">
        <v>22</v>
      </c>
      <c r="C25" s="13">
        <v>8</v>
      </c>
      <c r="D25" s="16"/>
      <c r="E25" s="16"/>
      <c r="F25" s="11">
        <f t="shared" si="2"/>
        <v>0</v>
      </c>
      <c r="G25" s="2">
        <v>0.1</v>
      </c>
      <c r="H25" s="11">
        <f t="shared" si="3"/>
        <v>0</v>
      </c>
      <c r="I25" s="11"/>
    </row>
    <row r="26" spans="1:9" s="20" customFormat="1">
      <c r="A26" s="5">
        <v>8444170</v>
      </c>
      <c r="B26" s="6" t="s">
        <v>63</v>
      </c>
      <c r="C26" s="17">
        <v>8</v>
      </c>
      <c r="D26" s="32"/>
      <c r="E26" s="32"/>
      <c r="F26" s="18">
        <f t="shared" si="2"/>
        <v>0</v>
      </c>
      <c r="G26" s="19">
        <v>0.1</v>
      </c>
      <c r="H26" s="18">
        <f t="shared" si="3"/>
        <v>0</v>
      </c>
      <c r="I26" s="18"/>
    </row>
    <row r="27" spans="1:9">
      <c r="A27" s="3">
        <v>9988377</v>
      </c>
      <c r="B27" s="4" t="s">
        <v>23</v>
      </c>
      <c r="C27" s="13">
        <v>16</v>
      </c>
      <c r="D27" s="16"/>
      <c r="E27" s="16"/>
      <c r="F27" s="11">
        <f t="shared" si="2"/>
        <v>0</v>
      </c>
      <c r="G27" s="2">
        <v>0.14000000000000001</v>
      </c>
      <c r="H27" s="11">
        <f t="shared" si="3"/>
        <v>0</v>
      </c>
      <c r="I27" s="11"/>
    </row>
    <row r="28" spans="1:9">
      <c r="A28" s="3">
        <v>9988391</v>
      </c>
      <c r="B28" s="4" t="s">
        <v>24</v>
      </c>
      <c r="C28" s="13">
        <v>16</v>
      </c>
      <c r="D28" s="16"/>
      <c r="E28" s="16"/>
      <c r="F28" s="11">
        <f t="shared" si="2"/>
        <v>0</v>
      </c>
      <c r="G28" s="2">
        <v>0.14000000000000001</v>
      </c>
      <c r="H28" s="11">
        <f t="shared" si="3"/>
        <v>0</v>
      </c>
      <c r="I28" s="11"/>
    </row>
    <row r="29" spans="1:9">
      <c r="A29" s="3">
        <v>5034819</v>
      </c>
      <c r="B29" s="4" t="s">
        <v>25</v>
      </c>
      <c r="C29" s="13">
        <v>6</v>
      </c>
      <c r="D29" s="16"/>
      <c r="E29" s="16"/>
      <c r="F29" s="11">
        <f t="shared" si="2"/>
        <v>0</v>
      </c>
      <c r="G29" s="2">
        <v>0.18</v>
      </c>
      <c r="H29" s="11">
        <f t="shared" si="3"/>
        <v>0</v>
      </c>
      <c r="I29" s="11"/>
    </row>
    <row r="30" spans="1:9">
      <c r="A30" s="3">
        <v>2981244</v>
      </c>
      <c r="B30" s="4" t="s">
        <v>26</v>
      </c>
      <c r="C30" s="13">
        <v>6</v>
      </c>
      <c r="D30" s="16"/>
      <c r="E30" s="16"/>
      <c r="F30" s="11">
        <f>E30/7.8</f>
        <v>0</v>
      </c>
      <c r="G30" s="2">
        <v>1.3</v>
      </c>
      <c r="H30" s="11">
        <f>E30</f>
        <v>0</v>
      </c>
      <c r="I30" s="11" t="s">
        <v>19</v>
      </c>
    </row>
    <row r="31" spans="1:9">
      <c r="A31" s="3">
        <v>8785198</v>
      </c>
      <c r="B31" s="4" t="s">
        <v>27</v>
      </c>
      <c r="C31" s="13">
        <v>5</v>
      </c>
      <c r="D31" s="16"/>
      <c r="E31" s="16"/>
      <c r="F31" s="11">
        <f>E31/16.5</f>
        <v>0</v>
      </c>
      <c r="G31" s="2">
        <v>3.2</v>
      </c>
      <c r="H31" s="11">
        <f>E31</f>
        <v>0</v>
      </c>
      <c r="I31" s="11" t="s">
        <v>15</v>
      </c>
    </row>
    <row r="32" spans="1:9">
      <c r="A32" s="3">
        <v>9988452</v>
      </c>
      <c r="B32" s="4" t="s">
        <v>28</v>
      </c>
      <c r="C32" s="13">
        <v>8</v>
      </c>
      <c r="D32" s="16"/>
      <c r="E32" s="16"/>
      <c r="F32" s="11">
        <f t="shared" ref="F32:F46" si="4">D32/C32</f>
        <v>0</v>
      </c>
      <c r="G32" s="2">
        <v>0.4</v>
      </c>
      <c r="H32" s="11">
        <f t="shared" ref="H32:H37" si="5">G32*D32</f>
        <v>0</v>
      </c>
      <c r="I32" s="11"/>
    </row>
    <row r="33" spans="1:9">
      <c r="A33" s="3">
        <v>9988476</v>
      </c>
      <c r="B33" s="4" t="s">
        <v>29</v>
      </c>
      <c r="C33" s="13">
        <v>28</v>
      </c>
      <c r="D33" s="16"/>
      <c r="E33" s="16"/>
      <c r="F33" s="11">
        <f t="shared" si="4"/>
        <v>0</v>
      </c>
      <c r="G33" s="2">
        <v>0.4</v>
      </c>
      <c r="H33" s="11">
        <f t="shared" si="5"/>
        <v>0</v>
      </c>
      <c r="I33" s="11"/>
    </row>
    <row r="34" spans="1:9">
      <c r="A34" s="3">
        <v>9988681</v>
      </c>
      <c r="B34" s="4" t="s">
        <v>37</v>
      </c>
      <c r="C34" s="13">
        <v>16</v>
      </c>
      <c r="D34" s="16"/>
      <c r="E34" s="16"/>
      <c r="F34" s="11">
        <f t="shared" si="4"/>
        <v>0</v>
      </c>
      <c r="G34" s="2">
        <v>0.18</v>
      </c>
      <c r="H34" s="11">
        <f t="shared" si="5"/>
        <v>0</v>
      </c>
      <c r="I34" s="11"/>
    </row>
    <row r="35" spans="1:9">
      <c r="A35" s="3">
        <v>9988438</v>
      </c>
      <c r="B35" s="4" t="s">
        <v>30</v>
      </c>
      <c r="C35" s="13">
        <v>16</v>
      </c>
      <c r="D35" s="16"/>
      <c r="E35" s="16"/>
      <c r="F35" s="11">
        <f t="shared" si="4"/>
        <v>0</v>
      </c>
      <c r="G35" s="2">
        <v>0.18</v>
      </c>
      <c r="H35" s="11">
        <f t="shared" si="5"/>
        <v>0</v>
      </c>
      <c r="I35" s="11"/>
    </row>
    <row r="36" spans="1:9">
      <c r="A36" s="3">
        <v>9988445</v>
      </c>
      <c r="B36" s="4" t="s">
        <v>31</v>
      </c>
      <c r="C36" s="13">
        <v>16</v>
      </c>
      <c r="D36" s="16"/>
      <c r="E36" s="16"/>
      <c r="F36" s="11">
        <f t="shared" si="4"/>
        <v>0</v>
      </c>
      <c r="G36" s="2">
        <v>0.18</v>
      </c>
      <c r="H36" s="11">
        <f t="shared" si="5"/>
        <v>0</v>
      </c>
      <c r="I36" s="11"/>
    </row>
    <row r="37" spans="1:9">
      <c r="A37" s="3">
        <v>9988421</v>
      </c>
      <c r="B37" s="4" t="s">
        <v>32</v>
      </c>
      <c r="C37" s="13">
        <v>16</v>
      </c>
      <c r="D37" s="16"/>
      <c r="E37" s="16"/>
      <c r="F37" s="11">
        <f t="shared" si="4"/>
        <v>0</v>
      </c>
      <c r="G37" s="2">
        <v>0.14000000000000001</v>
      </c>
      <c r="H37" s="11">
        <f t="shared" si="5"/>
        <v>0</v>
      </c>
      <c r="I37" s="11"/>
    </row>
    <row r="38" spans="1:9">
      <c r="A38" s="3">
        <v>9988674</v>
      </c>
      <c r="B38" s="4" t="s">
        <v>38</v>
      </c>
      <c r="C38" s="13">
        <v>16</v>
      </c>
      <c r="D38" s="16"/>
      <c r="E38" s="16"/>
      <c r="F38" s="11">
        <f t="shared" si="4"/>
        <v>0</v>
      </c>
      <c r="G38" s="2">
        <v>0.18</v>
      </c>
      <c r="H38" s="11">
        <f t="shared" ref="H38:H43" si="6">D38*G38</f>
        <v>0</v>
      </c>
      <c r="I38" s="11"/>
    </row>
    <row r="39" spans="1:9">
      <c r="A39" s="34">
        <v>8444903</v>
      </c>
      <c r="B39" s="35" t="s">
        <v>50</v>
      </c>
      <c r="C39" s="13">
        <v>8</v>
      </c>
      <c r="D39" s="16"/>
      <c r="E39" s="16"/>
      <c r="F39" s="11">
        <f t="shared" si="4"/>
        <v>0</v>
      </c>
      <c r="G39" s="2">
        <v>0.1</v>
      </c>
      <c r="H39" s="11">
        <f t="shared" si="6"/>
        <v>0</v>
      </c>
      <c r="I39" s="11"/>
    </row>
    <row r="40" spans="1:9">
      <c r="A40" s="34">
        <v>8444910</v>
      </c>
      <c r="B40" s="35" t="s">
        <v>51</v>
      </c>
      <c r="C40" s="13">
        <v>8</v>
      </c>
      <c r="D40" s="16"/>
      <c r="E40" s="16"/>
      <c r="F40" s="11">
        <f t="shared" si="4"/>
        <v>0</v>
      </c>
      <c r="G40" s="2">
        <v>0.1</v>
      </c>
      <c r="H40" s="11">
        <f t="shared" si="6"/>
        <v>0</v>
      </c>
      <c r="I40" s="11"/>
    </row>
    <row r="41" spans="1:9">
      <c r="A41" s="34">
        <v>8444927</v>
      </c>
      <c r="B41" s="35" t="s">
        <v>52</v>
      </c>
      <c r="C41" s="13">
        <v>8</v>
      </c>
      <c r="D41" s="16"/>
      <c r="E41" s="16"/>
      <c r="F41" s="11">
        <f t="shared" si="4"/>
        <v>0</v>
      </c>
      <c r="G41" s="2">
        <v>0.1</v>
      </c>
      <c r="H41" s="11">
        <f t="shared" si="6"/>
        <v>0</v>
      </c>
      <c r="I41" s="11"/>
    </row>
    <row r="42" spans="1:9">
      <c r="A42" s="34">
        <v>6600454</v>
      </c>
      <c r="B42" s="35" t="s">
        <v>55</v>
      </c>
      <c r="C42" s="13">
        <v>12</v>
      </c>
      <c r="D42" s="16"/>
      <c r="E42" s="16"/>
      <c r="F42" s="11">
        <f t="shared" si="4"/>
        <v>0</v>
      </c>
      <c r="G42" s="2">
        <v>0.125</v>
      </c>
      <c r="H42" s="11">
        <f t="shared" si="6"/>
        <v>0</v>
      </c>
      <c r="I42" s="11"/>
    </row>
    <row r="43" spans="1:9">
      <c r="A43" s="34">
        <v>6600447</v>
      </c>
      <c r="B43" s="35" t="s">
        <v>54</v>
      </c>
      <c r="C43" s="13">
        <v>12</v>
      </c>
      <c r="D43" s="16"/>
      <c r="E43" s="16"/>
      <c r="F43" s="11">
        <f t="shared" si="4"/>
        <v>0</v>
      </c>
      <c r="G43" s="2">
        <v>0.125</v>
      </c>
      <c r="H43" s="11">
        <f t="shared" si="6"/>
        <v>0</v>
      </c>
      <c r="I43" s="11"/>
    </row>
    <row r="44" spans="1:9">
      <c r="A44" s="27">
        <v>4421584</v>
      </c>
      <c r="B44" s="28" t="s">
        <v>61</v>
      </c>
      <c r="C44" s="13">
        <v>12</v>
      </c>
      <c r="D44" s="16"/>
      <c r="E44" s="16"/>
      <c r="F44" s="11">
        <f t="shared" si="4"/>
        <v>0</v>
      </c>
      <c r="G44" s="2">
        <v>0.18</v>
      </c>
      <c r="H44" s="11">
        <f>G44*D44</f>
        <v>0</v>
      </c>
      <c r="I44" s="18"/>
    </row>
    <row r="45" spans="1:9">
      <c r="A45" s="27">
        <v>4421577</v>
      </c>
      <c r="B45" s="28" t="s">
        <v>60</v>
      </c>
      <c r="C45" s="13">
        <v>12</v>
      </c>
      <c r="D45" s="16"/>
      <c r="E45" s="16"/>
      <c r="F45" s="11">
        <f t="shared" si="4"/>
        <v>0</v>
      </c>
      <c r="G45" s="2">
        <v>0.18</v>
      </c>
      <c r="H45" s="11">
        <f>G45*D45</f>
        <v>0</v>
      </c>
      <c r="I45" s="18"/>
    </row>
    <row r="46" spans="1:9" s="20" customFormat="1">
      <c r="A46" s="30">
        <v>9985949</v>
      </c>
      <c r="B46" s="31" t="s">
        <v>62</v>
      </c>
      <c r="C46" s="17">
        <v>10</v>
      </c>
      <c r="D46" s="32"/>
      <c r="E46" s="32"/>
      <c r="F46" s="18">
        <f t="shared" si="4"/>
        <v>0</v>
      </c>
      <c r="G46" s="33">
        <v>1</v>
      </c>
      <c r="H46" s="18">
        <f>G46*D46</f>
        <v>0</v>
      </c>
      <c r="I46" s="18"/>
    </row>
    <row r="47" spans="1:9" s="20" customFormat="1">
      <c r="A47" s="30">
        <v>8786928</v>
      </c>
      <c r="B47" s="31" t="s">
        <v>64</v>
      </c>
      <c r="C47" s="17">
        <v>4</v>
      </c>
      <c r="D47" s="32"/>
      <c r="E47" s="32"/>
      <c r="F47" s="18">
        <f>E47/6</f>
        <v>0</v>
      </c>
      <c r="G47" s="19">
        <v>1.5</v>
      </c>
      <c r="H47" s="18">
        <f>E47</f>
        <v>0</v>
      </c>
      <c r="I47" s="18" t="s">
        <v>65</v>
      </c>
    </row>
    <row r="48" spans="1:9" s="20" customFormat="1">
      <c r="A48" s="30">
        <v>6948270</v>
      </c>
      <c r="B48" s="31" t="s">
        <v>66</v>
      </c>
      <c r="C48" s="17">
        <v>12</v>
      </c>
      <c r="D48" s="32"/>
      <c r="E48" s="32"/>
      <c r="F48" s="18">
        <f>D48/C48</f>
        <v>0</v>
      </c>
      <c r="G48" s="19">
        <v>0.372</v>
      </c>
      <c r="H48" s="18">
        <f>G48*D48</f>
        <v>0</v>
      </c>
      <c r="I48" s="18"/>
    </row>
    <row r="49" spans="1:9" s="20" customFormat="1">
      <c r="A49" s="30">
        <v>6948287</v>
      </c>
      <c r="B49" s="31" t="s">
        <v>67</v>
      </c>
      <c r="C49" s="17">
        <v>12</v>
      </c>
      <c r="D49" s="32"/>
      <c r="E49" s="32"/>
      <c r="F49" s="18">
        <f>D49/C49</f>
        <v>0</v>
      </c>
      <c r="G49" s="19">
        <v>0.74399999999999999</v>
      </c>
      <c r="H49" s="18">
        <f>G49*D49</f>
        <v>0</v>
      </c>
      <c r="I49" s="18"/>
    </row>
    <row r="50" spans="1:9" s="20" customFormat="1">
      <c r="A50" s="30">
        <v>6948256</v>
      </c>
      <c r="B50" s="31" t="s">
        <v>68</v>
      </c>
      <c r="C50" s="17">
        <v>12</v>
      </c>
      <c r="D50" s="32"/>
      <c r="E50" s="32"/>
      <c r="F50" s="18">
        <f>D50/C50</f>
        <v>0</v>
      </c>
      <c r="G50" s="19">
        <v>0.372</v>
      </c>
      <c r="H50" s="18">
        <f>G50*D50</f>
        <v>0</v>
      </c>
      <c r="I50" s="18"/>
    </row>
    <row r="51" spans="1:9" s="20" customFormat="1">
      <c r="A51" s="30">
        <v>6948263</v>
      </c>
      <c r="B51" s="31" t="s">
        <v>69</v>
      </c>
      <c r="C51" s="17">
        <v>12</v>
      </c>
      <c r="D51" s="32"/>
      <c r="E51" s="32"/>
      <c r="F51" s="18">
        <f>D51/C51</f>
        <v>0</v>
      </c>
      <c r="G51" s="19">
        <v>0.74399999999999999</v>
      </c>
      <c r="H51" s="18">
        <f>G51*D51</f>
        <v>0</v>
      </c>
      <c r="I51" s="18"/>
    </row>
    <row r="52" spans="1:9" s="20" customFormat="1">
      <c r="A52" s="30">
        <v>6948249</v>
      </c>
      <c r="B52" s="31" t="s">
        <v>70</v>
      </c>
      <c r="C52" s="17">
        <v>12</v>
      </c>
      <c r="D52" s="32"/>
      <c r="E52" s="32"/>
      <c r="F52" s="18">
        <f>D52/C52</f>
        <v>0</v>
      </c>
      <c r="G52" s="19">
        <v>0.82499999999999996</v>
      </c>
      <c r="H52" s="18">
        <f>G52*D52</f>
        <v>0</v>
      </c>
      <c r="I52" s="18"/>
    </row>
    <row r="53" spans="1:9">
      <c r="A53" s="11"/>
      <c r="B53" s="25" t="s">
        <v>11</v>
      </c>
      <c r="C53" s="11"/>
      <c r="D53" s="16"/>
      <c r="E53" s="16"/>
      <c r="F53" s="11"/>
      <c r="G53" s="11"/>
      <c r="H53" s="4">
        <f>SUM(H4:H52)</f>
        <v>0</v>
      </c>
      <c r="I53" s="11"/>
    </row>
  </sheetData>
  <autoFilter ref="A3:I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3"/>
  <sheetViews>
    <sheetView workbookViewId="0">
      <pane ySplit="3" topLeftCell="A28" activePane="bottomLeft" state="frozen"/>
      <selection pane="bottomLeft" activeCell="D4" sqref="D4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/>
      <c r="E1" s="16"/>
      <c r="F1" s="11"/>
      <c r="G1" s="11"/>
      <c r="H1" s="11"/>
      <c r="I1" s="11"/>
    </row>
    <row r="2" spans="1:9" ht="38.25">
      <c r="A2" s="11" t="s">
        <v>46</v>
      </c>
      <c r="B2" s="10" t="s">
        <v>12</v>
      </c>
      <c r="C2" s="11"/>
      <c r="D2" s="12" t="s">
        <v>8</v>
      </c>
      <c r="E2" s="12" t="s">
        <v>9</v>
      </c>
      <c r="F2" s="11"/>
      <c r="G2" s="11"/>
      <c r="H2" s="11"/>
      <c r="I2" s="11"/>
    </row>
    <row r="3" spans="1:9">
      <c r="A3" s="22" t="s">
        <v>0</v>
      </c>
      <c r="B3" s="22" t="s">
        <v>1</v>
      </c>
      <c r="C3" s="22" t="s">
        <v>2</v>
      </c>
      <c r="D3" s="23" t="s">
        <v>3</v>
      </c>
      <c r="E3" s="23" t="s">
        <v>4</v>
      </c>
      <c r="F3" s="22" t="s">
        <v>5</v>
      </c>
      <c r="G3" s="24" t="s">
        <v>10</v>
      </c>
      <c r="H3" s="11" t="s">
        <v>6</v>
      </c>
      <c r="I3" s="11" t="s">
        <v>7</v>
      </c>
    </row>
    <row r="4" spans="1:9" ht="25.5">
      <c r="A4" s="1">
        <v>5038435</v>
      </c>
      <c r="B4" s="26" t="s">
        <v>35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49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33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>
      <c r="A7" s="3">
        <v>8785235</v>
      </c>
      <c r="B7" s="2" t="s">
        <v>48</v>
      </c>
      <c r="C7" s="13">
        <v>5</v>
      </c>
      <c r="D7" s="14"/>
      <c r="E7" s="14"/>
      <c r="F7" s="11">
        <f>E7/16.5</f>
        <v>0</v>
      </c>
      <c r="G7" s="11">
        <v>3.5</v>
      </c>
      <c r="H7" s="11">
        <f>E7</f>
        <v>0</v>
      </c>
      <c r="I7" s="11"/>
    </row>
    <row r="8" spans="1:9" ht="25.5">
      <c r="A8" s="1">
        <v>5038411</v>
      </c>
      <c r="B8" s="26" t="s">
        <v>34</v>
      </c>
      <c r="C8" s="13">
        <v>10</v>
      </c>
      <c r="D8" s="14"/>
      <c r="E8" s="14"/>
      <c r="F8" s="11">
        <f>D8/C8</f>
        <v>0</v>
      </c>
      <c r="G8" s="2">
        <v>0.18</v>
      </c>
      <c r="H8" s="11">
        <f>G8*D8</f>
        <v>0</v>
      </c>
      <c r="I8" s="11"/>
    </row>
    <row r="9" spans="1:9" ht="25.5">
      <c r="A9" s="3">
        <v>8785242</v>
      </c>
      <c r="B9" s="26" t="s">
        <v>47</v>
      </c>
      <c r="C9" s="13">
        <v>5</v>
      </c>
      <c r="D9" s="14"/>
      <c r="E9" s="14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ht="25.5">
      <c r="A10" s="1">
        <v>5038398</v>
      </c>
      <c r="B10" s="26" t="s">
        <v>36</v>
      </c>
      <c r="C10" s="13">
        <v>10</v>
      </c>
      <c r="D10" s="14"/>
      <c r="E10" s="14"/>
      <c r="F10" s="11">
        <f>D10/C10</f>
        <v>0</v>
      </c>
      <c r="G10" s="2">
        <v>0.18</v>
      </c>
      <c r="H10" s="11">
        <f>G10*D10</f>
        <v>0</v>
      </c>
      <c r="I10" s="11"/>
    </row>
    <row r="11" spans="1:9">
      <c r="A11" s="1">
        <v>5039609</v>
      </c>
      <c r="B11" s="2" t="s">
        <v>43</v>
      </c>
      <c r="C11" s="13">
        <v>8</v>
      </c>
      <c r="D11" s="14"/>
      <c r="E11" s="14"/>
      <c r="F11" s="11">
        <f>D11/C11</f>
        <v>0</v>
      </c>
      <c r="G11" s="2">
        <v>0.4</v>
      </c>
      <c r="H11" s="11">
        <f>G11*D11</f>
        <v>0</v>
      </c>
      <c r="I11" s="11"/>
    </row>
    <row r="12" spans="1:9" ht="25.5">
      <c r="A12" s="3">
        <v>8785259</v>
      </c>
      <c r="B12" s="26" t="s">
        <v>53</v>
      </c>
      <c r="C12" s="13">
        <v>5</v>
      </c>
      <c r="D12" s="14"/>
      <c r="E12" s="14"/>
      <c r="F12" s="11">
        <f>E12/16.5</f>
        <v>0</v>
      </c>
      <c r="G12" s="11">
        <v>3.5</v>
      </c>
      <c r="H12" s="11">
        <f>E12</f>
        <v>0</v>
      </c>
      <c r="I12" s="11"/>
    </row>
    <row r="13" spans="1:9" ht="25.5">
      <c r="A13" s="3">
        <v>5038855</v>
      </c>
      <c r="B13" s="29" t="s">
        <v>41</v>
      </c>
      <c r="C13" s="13">
        <v>10</v>
      </c>
      <c r="D13" s="14"/>
      <c r="E13" s="14"/>
      <c r="F13" s="11">
        <f t="shared" ref="F13:F19" si="0">D13/C13</f>
        <v>0</v>
      </c>
      <c r="G13" s="2">
        <v>0.2</v>
      </c>
      <c r="H13" s="11">
        <f t="shared" ref="H13:H19" si="1">G13*D13</f>
        <v>0</v>
      </c>
      <c r="I13" s="11"/>
    </row>
    <row r="14" spans="1:9">
      <c r="A14" s="3">
        <v>5039647</v>
      </c>
      <c r="B14" s="7" t="s">
        <v>44</v>
      </c>
      <c r="C14" s="13">
        <v>8</v>
      </c>
      <c r="D14" s="14"/>
      <c r="E14" s="14"/>
      <c r="F14" s="11">
        <f t="shared" si="0"/>
        <v>0</v>
      </c>
      <c r="G14" s="2">
        <v>0.4</v>
      </c>
      <c r="H14" s="11">
        <f t="shared" si="1"/>
        <v>0</v>
      </c>
      <c r="I14" s="11"/>
    </row>
    <row r="15" spans="1:9" ht="25.5">
      <c r="A15" s="3">
        <v>5038831</v>
      </c>
      <c r="B15" s="26" t="s">
        <v>39</v>
      </c>
      <c r="C15" s="15">
        <v>10</v>
      </c>
      <c r="D15" s="14"/>
      <c r="E15" s="14"/>
      <c r="F15" s="11">
        <f t="shared" si="0"/>
        <v>0</v>
      </c>
      <c r="G15" s="2">
        <v>0.18</v>
      </c>
      <c r="H15" s="11">
        <f t="shared" si="1"/>
        <v>0</v>
      </c>
      <c r="I15" s="11"/>
    </row>
    <row r="16" spans="1:9">
      <c r="A16" s="3">
        <v>5039623</v>
      </c>
      <c r="B16" s="2" t="s">
        <v>45</v>
      </c>
      <c r="C16" s="15">
        <v>8</v>
      </c>
      <c r="D16" s="14"/>
      <c r="E16" s="14"/>
      <c r="F16" s="11">
        <f t="shared" si="0"/>
        <v>0</v>
      </c>
      <c r="G16" s="2">
        <v>0.4</v>
      </c>
      <c r="H16" s="11">
        <f t="shared" si="1"/>
        <v>0</v>
      </c>
      <c r="I16" s="11"/>
    </row>
    <row r="17" spans="1:9">
      <c r="A17" s="3">
        <v>1018950</v>
      </c>
      <c r="B17" s="2" t="s">
        <v>40</v>
      </c>
      <c r="C17" s="13">
        <v>10</v>
      </c>
      <c r="D17" s="14"/>
      <c r="E17" s="14"/>
      <c r="F17" s="11">
        <f t="shared" si="0"/>
        <v>0</v>
      </c>
      <c r="G17" s="2">
        <v>0.18</v>
      </c>
      <c r="H17" s="11">
        <f t="shared" si="1"/>
        <v>0</v>
      </c>
      <c r="I17" s="11"/>
    </row>
    <row r="18" spans="1:9">
      <c r="A18" s="3">
        <v>1018967</v>
      </c>
      <c r="B18" s="2" t="s">
        <v>42</v>
      </c>
      <c r="C18" s="13">
        <v>10</v>
      </c>
      <c r="D18" s="14"/>
      <c r="E18" s="14"/>
      <c r="F18" s="11">
        <f t="shared" si="0"/>
        <v>0</v>
      </c>
      <c r="G18" s="2">
        <v>0.18</v>
      </c>
      <c r="H18" s="11">
        <f t="shared" si="1"/>
        <v>0</v>
      </c>
      <c r="I18" s="11"/>
    </row>
    <row r="19" spans="1:9">
      <c r="A19" s="3" t="s">
        <v>56</v>
      </c>
      <c r="B19" s="2" t="s">
        <v>13</v>
      </c>
      <c r="C19" s="13">
        <v>10</v>
      </c>
      <c r="D19" s="14"/>
      <c r="E19" s="14"/>
      <c r="F19" s="11">
        <f t="shared" si="0"/>
        <v>0</v>
      </c>
      <c r="G19" s="2">
        <v>0.2</v>
      </c>
      <c r="H19" s="11">
        <f t="shared" si="1"/>
        <v>0</v>
      </c>
      <c r="I19" s="11"/>
    </row>
    <row r="20" spans="1:9">
      <c r="A20" s="3" t="s">
        <v>57</v>
      </c>
      <c r="B20" s="2" t="s">
        <v>16</v>
      </c>
      <c r="C20" s="13">
        <v>4</v>
      </c>
      <c r="D20" s="14"/>
      <c r="E20" s="14"/>
      <c r="F20" s="11">
        <f>E20/15</f>
        <v>0</v>
      </c>
      <c r="G20" s="2">
        <v>3.5</v>
      </c>
      <c r="H20" s="11">
        <f>E20</f>
        <v>0</v>
      </c>
      <c r="I20" s="11" t="s">
        <v>18</v>
      </c>
    </row>
    <row r="21" spans="1:9">
      <c r="A21" s="3" t="s">
        <v>58</v>
      </c>
      <c r="B21" s="2" t="s">
        <v>14</v>
      </c>
      <c r="C21" s="13">
        <v>10</v>
      </c>
      <c r="D21" s="14"/>
      <c r="E21" s="14"/>
      <c r="F21" s="11">
        <f>D21/C21</f>
        <v>0</v>
      </c>
      <c r="G21" s="2">
        <v>0.2</v>
      </c>
      <c r="H21" s="11">
        <f>G21*D21</f>
        <v>0</v>
      </c>
      <c r="I21" s="11"/>
    </row>
    <row r="22" spans="1:9">
      <c r="A22" s="3" t="s">
        <v>59</v>
      </c>
      <c r="B22" s="2" t="s">
        <v>17</v>
      </c>
      <c r="C22" s="13">
        <v>4</v>
      </c>
      <c r="D22" s="14"/>
      <c r="E22" s="14"/>
      <c r="F22" s="11">
        <f>E22/15</f>
        <v>0</v>
      </c>
      <c r="G22" s="2">
        <v>3.5</v>
      </c>
      <c r="H22" s="11">
        <f>E22</f>
        <v>0</v>
      </c>
      <c r="I22" s="11" t="s">
        <v>18</v>
      </c>
    </row>
    <row r="23" spans="1:9">
      <c r="A23" s="3">
        <v>8444194</v>
      </c>
      <c r="B23" s="4" t="s">
        <v>20</v>
      </c>
      <c r="C23" s="13">
        <v>6</v>
      </c>
      <c r="D23" s="16"/>
      <c r="E23" s="16"/>
      <c r="F23" s="11">
        <f t="shared" ref="F23:F29" si="2">D23/C23</f>
        <v>0</v>
      </c>
      <c r="G23" s="2">
        <v>0.1</v>
      </c>
      <c r="H23" s="11">
        <f t="shared" ref="H23:H29" si="3">G23*D23</f>
        <v>0</v>
      </c>
      <c r="I23" s="11"/>
    </row>
    <row r="24" spans="1:9">
      <c r="A24" s="3">
        <v>8444187</v>
      </c>
      <c r="B24" s="4" t="s">
        <v>21</v>
      </c>
      <c r="C24" s="13">
        <v>6</v>
      </c>
      <c r="D24" s="16"/>
      <c r="E24" s="16"/>
      <c r="F24" s="11">
        <f t="shared" si="2"/>
        <v>0</v>
      </c>
      <c r="G24" s="2">
        <v>0.1</v>
      </c>
      <c r="H24" s="11">
        <f t="shared" si="3"/>
        <v>0</v>
      </c>
      <c r="I24" s="11"/>
    </row>
    <row r="25" spans="1:9">
      <c r="A25" s="3">
        <v>8444163</v>
      </c>
      <c r="B25" s="4" t="s">
        <v>22</v>
      </c>
      <c r="C25" s="13">
        <v>8</v>
      </c>
      <c r="D25" s="16"/>
      <c r="E25" s="16"/>
      <c r="F25" s="11">
        <f t="shared" si="2"/>
        <v>0</v>
      </c>
      <c r="G25" s="2">
        <v>0.1</v>
      </c>
      <c r="H25" s="11">
        <f t="shared" si="3"/>
        <v>0</v>
      </c>
      <c r="I25" s="11"/>
    </row>
    <row r="26" spans="1:9" s="20" customFormat="1">
      <c r="A26" s="5">
        <v>8444170</v>
      </c>
      <c r="B26" s="6" t="s">
        <v>63</v>
      </c>
      <c r="C26" s="17">
        <v>8</v>
      </c>
      <c r="D26" s="32"/>
      <c r="E26" s="32"/>
      <c r="F26" s="18">
        <f t="shared" si="2"/>
        <v>0</v>
      </c>
      <c r="G26" s="19">
        <v>0.1</v>
      </c>
      <c r="H26" s="18">
        <f t="shared" si="3"/>
        <v>0</v>
      </c>
      <c r="I26" s="18"/>
    </row>
    <row r="27" spans="1:9">
      <c r="A27" s="3">
        <v>9988377</v>
      </c>
      <c r="B27" s="4" t="s">
        <v>23</v>
      </c>
      <c r="C27" s="13">
        <v>16</v>
      </c>
      <c r="D27" s="16"/>
      <c r="E27" s="16"/>
      <c r="F27" s="11">
        <f t="shared" si="2"/>
        <v>0</v>
      </c>
      <c r="G27" s="2">
        <v>0.14000000000000001</v>
      </c>
      <c r="H27" s="11">
        <f t="shared" si="3"/>
        <v>0</v>
      </c>
      <c r="I27" s="11"/>
    </row>
    <row r="28" spans="1:9">
      <c r="A28" s="3">
        <v>9988391</v>
      </c>
      <c r="B28" s="4" t="s">
        <v>24</v>
      </c>
      <c r="C28" s="13">
        <v>16</v>
      </c>
      <c r="D28" s="16"/>
      <c r="E28" s="16"/>
      <c r="F28" s="11">
        <f t="shared" si="2"/>
        <v>0</v>
      </c>
      <c r="G28" s="2">
        <v>0.14000000000000001</v>
      </c>
      <c r="H28" s="11">
        <f t="shared" si="3"/>
        <v>0</v>
      </c>
      <c r="I28" s="11"/>
    </row>
    <row r="29" spans="1:9">
      <c r="A29" s="3">
        <v>5034819</v>
      </c>
      <c r="B29" s="4" t="s">
        <v>25</v>
      </c>
      <c r="C29" s="13">
        <v>6</v>
      </c>
      <c r="D29" s="16"/>
      <c r="E29" s="16"/>
      <c r="F29" s="11">
        <f t="shared" si="2"/>
        <v>0</v>
      </c>
      <c r="G29" s="2">
        <v>0.18</v>
      </c>
      <c r="H29" s="11">
        <f t="shared" si="3"/>
        <v>0</v>
      </c>
      <c r="I29" s="11"/>
    </row>
    <row r="30" spans="1:9">
      <c r="A30" s="3">
        <v>2981244</v>
      </c>
      <c r="B30" s="4" t="s">
        <v>26</v>
      </c>
      <c r="C30" s="13">
        <v>6</v>
      </c>
      <c r="D30" s="16"/>
      <c r="E30" s="16"/>
      <c r="F30" s="11">
        <f>E30/7.8</f>
        <v>0</v>
      </c>
      <c r="G30" s="2">
        <v>1.3</v>
      </c>
      <c r="H30" s="11">
        <f>E30</f>
        <v>0</v>
      </c>
      <c r="I30" s="11" t="s">
        <v>19</v>
      </c>
    </row>
    <row r="31" spans="1:9">
      <c r="A31" s="3">
        <v>8785198</v>
      </c>
      <c r="B31" s="4" t="s">
        <v>27</v>
      </c>
      <c r="C31" s="13">
        <v>5</v>
      </c>
      <c r="D31" s="16"/>
      <c r="E31" s="16"/>
      <c r="F31" s="11">
        <f>E31/16.5</f>
        <v>0</v>
      </c>
      <c r="G31" s="2">
        <v>3.2</v>
      </c>
      <c r="H31" s="11">
        <f>E31</f>
        <v>0</v>
      </c>
      <c r="I31" s="11" t="s">
        <v>15</v>
      </c>
    </row>
    <row r="32" spans="1:9">
      <c r="A32" s="3">
        <v>9988452</v>
      </c>
      <c r="B32" s="4" t="s">
        <v>28</v>
      </c>
      <c r="C32" s="13">
        <v>8</v>
      </c>
      <c r="D32" s="16"/>
      <c r="E32" s="16"/>
      <c r="F32" s="11">
        <f t="shared" ref="F32:F46" si="4">D32/C32</f>
        <v>0</v>
      </c>
      <c r="G32" s="2">
        <v>0.4</v>
      </c>
      <c r="H32" s="11">
        <f t="shared" ref="H32:H37" si="5">G32*D32</f>
        <v>0</v>
      </c>
      <c r="I32" s="11"/>
    </row>
    <row r="33" spans="1:9">
      <c r="A33" s="3">
        <v>9988476</v>
      </c>
      <c r="B33" s="4" t="s">
        <v>29</v>
      </c>
      <c r="C33" s="13">
        <v>28</v>
      </c>
      <c r="D33" s="16"/>
      <c r="E33" s="16"/>
      <c r="F33" s="11">
        <f t="shared" si="4"/>
        <v>0</v>
      </c>
      <c r="G33" s="2">
        <v>0.4</v>
      </c>
      <c r="H33" s="11">
        <f t="shared" si="5"/>
        <v>0</v>
      </c>
      <c r="I33" s="11"/>
    </row>
    <row r="34" spans="1:9">
      <c r="A34" s="3">
        <v>9988681</v>
      </c>
      <c r="B34" s="4" t="s">
        <v>37</v>
      </c>
      <c r="C34" s="13">
        <v>16</v>
      </c>
      <c r="D34" s="16"/>
      <c r="E34" s="16"/>
      <c r="F34" s="11">
        <f t="shared" si="4"/>
        <v>0</v>
      </c>
      <c r="G34" s="2">
        <v>0.18</v>
      </c>
      <c r="H34" s="11">
        <f t="shared" si="5"/>
        <v>0</v>
      </c>
      <c r="I34" s="11"/>
    </row>
    <row r="35" spans="1:9">
      <c r="A35" s="3">
        <v>9988438</v>
      </c>
      <c r="B35" s="4" t="s">
        <v>30</v>
      </c>
      <c r="C35" s="13">
        <v>16</v>
      </c>
      <c r="D35" s="16"/>
      <c r="E35" s="16"/>
      <c r="F35" s="11">
        <f t="shared" si="4"/>
        <v>0</v>
      </c>
      <c r="G35" s="2">
        <v>0.18</v>
      </c>
      <c r="H35" s="11">
        <f t="shared" si="5"/>
        <v>0</v>
      </c>
      <c r="I35" s="11"/>
    </row>
    <row r="36" spans="1:9">
      <c r="A36" s="3">
        <v>9988445</v>
      </c>
      <c r="B36" s="4" t="s">
        <v>31</v>
      </c>
      <c r="C36" s="13">
        <v>16</v>
      </c>
      <c r="D36" s="16"/>
      <c r="E36" s="16"/>
      <c r="F36" s="11">
        <f t="shared" si="4"/>
        <v>0</v>
      </c>
      <c r="G36" s="2">
        <v>0.18</v>
      </c>
      <c r="H36" s="11">
        <f t="shared" si="5"/>
        <v>0</v>
      </c>
      <c r="I36" s="11"/>
    </row>
    <row r="37" spans="1:9">
      <c r="A37" s="3">
        <v>9988421</v>
      </c>
      <c r="B37" s="4" t="s">
        <v>32</v>
      </c>
      <c r="C37" s="13">
        <v>16</v>
      </c>
      <c r="D37" s="16"/>
      <c r="E37" s="16"/>
      <c r="F37" s="11">
        <f t="shared" si="4"/>
        <v>0</v>
      </c>
      <c r="G37" s="2">
        <v>0.14000000000000001</v>
      </c>
      <c r="H37" s="11">
        <f t="shared" si="5"/>
        <v>0</v>
      </c>
      <c r="I37" s="11"/>
    </row>
    <row r="38" spans="1:9">
      <c r="A38" s="3">
        <v>9988674</v>
      </c>
      <c r="B38" s="4" t="s">
        <v>38</v>
      </c>
      <c r="C38" s="13">
        <v>16</v>
      </c>
      <c r="D38" s="16"/>
      <c r="E38" s="16"/>
      <c r="F38" s="11">
        <f t="shared" si="4"/>
        <v>0</v>
      </c>
      <c r="G38" s="2">
        <v>0.18</v>
      </c>
      <c r="H38" s="11">
        <f t="shared" ref="H38:H43" si="6">D38*G38</f>
        <v>0</v>
      </c>
      <c r="I38" s="11"/>
    </row>
    <row r="39" spans="1:9">
      <c r="A39" s="34">
        <v>8444903</v>
      </c>
      <c r="B39" s="35" t="s">
        <v>50</v>
      </c>
      <c r="C39" s="13">
        <v>8</v>
      </c>
      <c r="D39" s="16"/>
      <c r="E39" s="16"/>
      <c r="F39" s="11">
        <f t="shared" si="4"/>
        <v>0</v>
      </c>
      <c r="G39" s="2">
        <v>0.1</v>
      </c>
      <c r="H39" s="11">
        <f t="shared" si="6"/>
        <v>0</v>
      </c>
      <c r="I39" s="11"/>
    </row>
    <row r="40" spans="1:9">
      <c r="A40" s="34">
        <v>8444910</v>
      </c>
      <c r="B40" s="35" t="s">
        <v>51</v>
      </c>
      <c r="C40" s="13">
        <v>8</v>
      </c>
      <c r="D40" s="16"/>
      <c r="E40" s="16"/>
      <c r="F40" s="11">
        <f t="shared" si="4"/>
        <v>0</v>
      </c>
      <c r="G40" s="2">
        <v>0.1</v>
      </c>
      <c r="H40" s="11">
        <f t="shared" si="6"/>
        <v>0</v>
      </c>
      <c r="I40" s="11"/>
    </row>
    <row r="41" spans="1:9">
      <c r="A41" s="34">
        <v>8444927</v>
      </c>
      <c r="B41" s="35" t="s">
        <v>52</v>
      </c>
      <c r="C41" s="13">
        <v>8</v>
      </c>
      <c r="D41" s="16"/>
      <c r="E41" s="16"/>
      <c r="F41" s="11">
        <f t="shared" si="4"/>
        <v>0</v>
      </c>
      <c r="G41" s="2">
        <v>0.1</v>
      </c>
      <c r="H41" s="11">
        <f t="shared" si="6"/>
        <v>0</v>
      </c>
      <c r="I41" s="11"/>
    </row>
    <row r="42" spans="1:9">
      <c r="A42" s="34">
        <v>6600454</v>
      </c>
      <c r="B42" s="35" t="s">
        <v>55</v>
      </c>
      <c r="C42" s="13">
        <v>12</v>
      </c>
      <c r="D42" s="16"/>
      <c r="E42" s="16"/>
      <c r="F42" s="11">
        <f t="shared" si="4"/>
        <v>0</v>
      </c>
      <c r="G42" s="2">
        <v>0.125</v>
      </c>
      <c r="H42" s="11">
        <f t="shared" si="6"/>
        <v>0</v>
      </c>
      <c r="I42" s="11"/>
    </row>
    <row r="43" spans="1:9">
      <c r="A43" s="34">
        <v>6600447</v>
      </c>
      <c r="B43" s="35" t="s">
        <v>54</v>
      </c>
      <c r="C43" s="13">
        <v>12</v>
      </c>
      <c r="D43" s="16"/>
      <c r="E43" s="16"/>
      <c r="F43" s="11">
        <f t="shared" si="4"/>
        <v>0</v>
      </c>
      <c r="G43" s="2">
        <v>0.125</v>
      </c>
      <c r="H43" s="11">
        <f t="shared" si="6"/>
        <v>0</v>
      </c>
      <c r="I43" s="11"/>
    </row>
    <row r="44" spans="1:9">
      <c r="A44" s="27">
        <v>4421584</v>
      </c>
      <c r="B44" s="28" t="s">
        <v>61</v>
      </c>
      <c r="C44" s="13">
        <v>12</v>
      </c>
      <c r="D44" s="16"/>
      <c r="E44" s="16"/>
      <c r="F44" s="11">
        <f t="shared" si="4"/>
        <v>0</v>
      </c>
      <c r="G44" s="2">
        <v>0.18</v>
      </c>
      <c r="H44" s="11">
        <f>G44*D44</f>
        <v>0</v>
      </c>
      <c r="I44" s="18"/>
    </row>
    <row r="45" spans="1:9">
      <c r="A45" s="27">
        <v>4421577</v>
      </c>
      <c r="B45" s="28" t="s">
        <v>60</v>
      </c>
      <c r="C45" s="13">
        <v>12</v>
      </c>
      <c r="D45" s="16"/>
      <c r="E45" s="16"/>
      <c r="F45" s="11">
        <f t="shared" si="4"/>
        <v>0</v>
      </c>
      <c r="G45" s="2">
        <v>0.18</v>
      </c>
      <c r="H45" s="11">
        <f>G45*D45</f>
        <v>0</v>
      </c>
      <c r="I45" s="18"/>
    </row>
    <row r="46" spans="1:9" s="20" customFormat="1">
      <c r="A46" s="30">
        <v>9985949</v>
      </c>
      <c r="B46" s="31" t="s">
        <v>62</v>
      </c>
      <c r="C46" s="17">
        <v>10</v>
      </c>
      <c r="D46" s="32"/>
      <c r="E46" s="32"/>
      <c r="F46" s="18">
        <f t="shared" si="4"/>
        <v>0</v>
      </c>
      <c r="G46" s="33">
        <v>1</v>
      </c>
      <c r="H46" s="18">
        <f>G46*D46</f>
        <v>0</v>
      </c>
      <c r="I46" s="18"/>
    </row>
    <row r="47" spans="1:9" s="20" customFormat="1">
      <c r="A47" s="30">
        <v>8786928</v>
      </c>
      <c r="B47" s="31" t="s">
        <v>64</v>
      </c>
      <c r="C47" s="17">
        <v>4</v>
      </c>
      <c r="D47" s="32"/>
      <c r="E47" s="32"/>
      <c r="F47" s="18">
        <f>E47/6</f>
        <v>0</v>
      </c>
      <c r="G47" s="19">
        <v>1.5</v>
      </c>
      <c r="H47" s="18">
        <f>E47</f>
        <v>0</v>
      </c>
      <c r="I47" s="18" t="s">
        <v>65</v>
      </c>
    </row>
    <row r="48" spans="1:9" s="20" customFormat="1">
      <c r="A48" s="30">
        <v>6948270</v>
      </c>
      <c r="B48" s="31" t="s">
        <v>66</v>
      </c>
      <c r="C48" s="17">
        <v>12</v>
      </c>
      <c r="D48" s="32"/>
      <c r="E48" s="32"/>
      <c r="F48" s="18">
        <f>D48/C48</f>
        <v>0</v>
      </c>
      <c r="G48" s="19">
        <v>0.372</v>
      </c>
      <c r="H48" s="18">
        <f>G48*D48</f>
        <v>0</v>
      </c>
      <c r="I48" s="18"/>
    </row>
    <row r="49" spans="1:9" s="20" customFormat="1">
      <c r="A49" s="30">
        <v>6948287</v>
      </c>
      <c r="B49" s="31" t="s">
        <v>67</v>
      </c>
      <c r="C49" s="17">
        <v>12</v>
      </c>
      <c r="D49" s="32"/>
      <c r="E49" s="32"/>
      <c r="F49" s="18">
        <f>D49/C49</f>
        <v>0</v>
      </c>
      <c r="G49" s="19">
        <v>0.74399999999999999</v>
      </c>
      <c r="H49" s="18">
        <f>G49*D49</f>
        <v>0</v>
      </c>
      <c r="I49" s="18"/>
    </row>
    <row r="50" spans="1:9" s="20" customFormat="1">
      <c r="A50" s="30">
        <v>6948256</v>
      </c>
      <c r="B50" s="31" t="s">
        <v>68</v>
      </c>
      <c r="C50" s="17">
        <v>12</v>
      </c>
      <c r="D50" s="32"/>
      <c r="E50" s="32"/>
      <c r="F50" s="18">
        <f>D50/C50</f>
        <v>0</v>
      </c>
      <c r="G50" s="19">
        <v>0.372</v>
      </c>
      <c r="H50" s="18">
        <f>G50*D50</f>
        <v>0</v>
      </c>
      <c r="I50" s="18"/>
    </row>
    <row r="51" spans="1:9" s="20" customFormat="1">
      <c r="A51" s="30">
        <v>6948263</v>
      </c>
      <c r="B51" s="31" t="s">
        <v>69</v>
      </c>
      <c r="C51" s="17">
        <v>12</v>
      </c>
      <c r="D51" s="32"/>
      <c r="E51" s="32"/>
      <c r="F51" s="18">
        <f>D51/C51</f>
        <v>0</v>
      </c>
      <c r="G51" s="19">
        <v>0.74399999999999999</v>
      </c>
      <c r="H51" s="18">
        <f>G51*D51</f>
        <v>0</v>
      </c>
      <c r="I51" s="18"/>
    </row>
    <row r="52" spans="1:9" s="20" customFormat="1">
      <c r="A52" s="30">
        <v>6948249</v>
      </c>
      <c r="B52" s="31" t="s">
        <v>70</v>
      </c>
      <c r="C52" s="17">
        <v>12</v>
      </c>
      <c r="D52" s="32"/>
      <c r="E52" s="32"/>
      <c r="F52" s="18">
        <f>D52/C52</f>
        <v>0</v>
      </c>
      <c r="G52" s="19">
        <v>0.82499999999999996</v>
      </c>
      <c r="H52" s="18">
        <f>G52*D52</f>
        <v>0</v>
      </c>
      <c r="I52" s="18"/>
    </row>
    <row r="53" spans="1:9">
      <c r="A53" s="11"/>
      <c r="B53" s="25" t="s">
        <v>11</v>
      </c>
      <c r="C53" s="11"/>
      <c r="D53" s="16"/>
      <c r="E53" s="16"/>
      <c r="F53" s="11"/>
      <c r="G53" s="11"/>
      <c r="H53" s="4">
        <f>SUM(H4:H52)</f>
        <v>0</v>
      </c>
      <c r="I53" s="11"/>
    </row>
  </sheetData>
  <autoFilter ref="A3:I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3"/>
  <sheetViews>
    <sheetView workbookViewId="0">
      <pane ySplit="3" topLeftCell="A25" activePane="bottomLeft" state="frozen"/>
      <selection pane="bottomLeft" activeCell="D4" sqref="D4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/>
      <c r="E1" s="16"/>
      <c r="F1" s="11"/>
      <c r="G1" s="11"/>
      <c r="H1" s="11"/>
      <c r="I1" s="11"/>
    </row>
    <row r="2" spans="1:9" ht="38.25">
      <c r="A2" s="11" t="s">
        <v>46</v>
      </c>
      <c r="B2" s="10" t="s">
        <v>12</v>
      </c>
      <c r="C2" s="11"/>
      <c r="D2" s="12" t="s">
        <v>8</v>
      </c>
      <c r="E2" s="12" t="s">
        <v>9</v>
      </c>
      <c r="F2" s="11"/>
      <c r="G2" s="11"/>
      <c r="H2" s="11"/>
      <c r="I2" s="11"/>
    </row>
    <row r="3" spans="1:9">
      <c r="A3" s="22" t="s">
        <v>0</v>
      </c>
      <c r="B3" s="22" t="s">
        <v>1</v>
      </c>
      <c r="C3" s="22" t="s">
        <v>2</v>
      </c>
      <c r="D3" s="23" t="s">
        <v>3</v>
      </c>
      <c r="E3" s="23" t="s">
        <v>4</v>
      </c>
      <c r="F3" s="22" t="s">
        <v>5</v>
      </c>
      <c r="G3" s="24" t="s">
        <v>10</v>
      </c>
      <c r="H3" s="11" t="s">
        <v>6</v>
      </c>
      <c r="I3" s="11" t="s">
        <v>7</v>
      </c>
    </row>
    <row r="4" spans="1:9" ht="25.5">
      <c r="A4" s="1">
        <v>5038435</v>
      </c>
      <c r="B4" s="26" t="s">
        <v>35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49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33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>
      <c r="A7" s="3">
        <v>8785235</v>
      </c>
      <c r="B7" s="2" t="s">
        <v>48</v>
      </c>
      <c r="C7" s="13">
        <v>5</v>
      </c>
      <c r="D7" s="14"/>
      <c r="E7" s="14"/>
      <c r="F7" s="11">
        <f>E7/16.5</f>
        <v>0</v>
      </c>
      <c r="G7" s="11">
        <v>3.5</v>
      </c>
      <c r="H7" s="11">
        <f>E7</f>
        <v>0</v>
      </c>
      <c r="I7" s="11"/>
    </row>
    <row r="8" spans="1:9" ht="25.5">
      <c r="A8" s="1">
        <v>5038411</v>
      </c>
      <c r="B8" s="26" t="s">
        <v>34</v>
      </c>
      <c r="C8" s="13">
        <v>10</v>
      </c>
      <c r="D8" s="14"/>
      <c r="E8" s="14"/>
      <c r="F8" s="11">
        <f>D8/C8</f>
        <v>0</v>
      </c>
      <c r="G8" s="2">
        <v>0.18</v>
      </c>
      <c r="H8" s="11">
        <f>G8*D8</f>
        <v>0</v>
      </c>
      <c r="I8" s="11"/>
    </row>
    <row r="9" spans="1:9" ht="25.5">
      <c r="A9" s="3">
        <v>8785242</v>
      </c>
      <c r="B9" s="26" t="s">
        <v>47</v>
      </c>
      <c r="C9" s="13">
        <v>5</v>
      </c>
      <c r="D9" s="14"/>
      <c r="E9" s="14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ht="25.5">
      <c r="A10" s="1">
        <v>5038398</v>
      </c>
      <c r="B10" s="26" t="s">
        <v>36</v>
      </c>
      <c r="C10" s="13">
        <v>10</v>
      </c>
      <c r="D10" s="14"/>
      <c r="E10" s="14"/>
      <c r="F10" s="11">
        <f>D10/C10</f>
        <v>0</v>
      </c>
      <c r="G10" s="2">
        <v>0.18</v>
      </c>
      <c r="H10" s="11">
        <f>G10*D10</f>
        <v>0</v>
      </c>
      <c r="I10" s="11"/>
    </row>
    <row r="11" spans="1:9">
      <c r="A11" s="1">
        <v>5039609</v>
      </c>
      <c r="B11" s="2" t="s">
        <v>43</v>
      </c>
      <c r="C11" s="13">
        <v>8</v>
      </c>
      <c r="D11" s="14"/>
      <c r="E11" s="14"/>
      <c r="F11" s="11">
        <f>D11/C11</f>
        <v>0</v>
      </c>
      <c r="G11" s="2">
        <v>0.4</v>
      </c>
      <c r="H11" s="11">
        <f>G11*D11</f>
        <v>0</v>
      </c>
      <c r="I11" s="11"/>
    </row>
    <row r="12" spans="1:9" ht="25.5">
      <c r="A12" s="3">
        <v>8785259</v>
      </c>
      <c r="B12" s="26" t="s">
        <v>53</v>
      </c>
      <c r="C12" s="13">
        <v>5</v>
      </c>
      <c r="D12" s="14"/>
      <c r="E12" s="14"/>
      <c r="F12" s="11">
        <f>E12/16.5</f>
        <v>0</v>
      </c>
      <c r="G12" s="11">
        <v>3.5</v>
      </c>
      <c r="H12" s="11">
        <f>E12</f>
        <v>0</v>
      </c>
      <c r="I12" s="11"/>
    </row>
    <row r="13" spans="1:9" ht="25.5">
      <c r="A13" s="3">
        <v>5038855</v>
      </c>
      <c r="B13" s="29" t="s">
        <v>41</v>
      </c>
      <c r="C13" s="13">
        <v>10</v>
      </c>
      <c r="D13" s="14"/>
      <c r="E13" s="14"/>
      <c r="F13" s="11">
        <f t="shared" ref="F13:F19" si="0">D13/C13</f>
        <v>0</v>
      </c>
      <c r="G13" s="2">
        <v>0.2</v>
      </c>
      <c r="H13" s="11">
        <f t="shared" ref="H13:H19" si="1">G13*D13</f>
        <v>0</v>
      </c>
      <c r="I13" s="11"/>
    </row>
    <row r="14" spans="1:9">
      <c r="A14" s="3">
        <v>5039647</v>
      </c>
      <c r="B14" s="7" t="s">
        <v>44</v>
      </c>
      <c r="C14" s="13">
        <v>8</v>
      </c>
      <c r="D14" s="14"/>
      <c r="E14" s="14"/>
      <c r="F14" s="11">
        <f t="shared" si="0"/>
        <v>0</v>
      </c>
      <c r="G14" s="2">
        <v>0.4</v>
      </c>
      <c r="H14" s="11">
        <f t="shared" si="1"/>
        <v>0</v>
      </c>
      <c r="I14" s="11"/>
    </row>
    <row r="15" spans="1:9" ht="25.5">
      <c r="A15" s="3">
        <v>5038831</v>
      </c>
      <c r="B15" s="26" t="s">
        <v>39</v>
      </c>
      <c r="C15" s="15">
        <v>10</v>
      </c>
      <c r="D15" s="14"/>
      <c r="E15" s="14"/>
      <c r="F15" s="11">
        <f t="shared" si="0"/>
        <v>0</v>
      </c>
      <c r="G15" s="2">
        <v>0.18</v>
      </c>
      <c r="H15" s="11">
        <f t="shared" si="1"/>
        <v>0</v>
      </c>
      <c r="I15" s="11"/>
    </row>
    <row r="16" spans="1:9">
      <c r="A16" s="3">
        <v>5039623</v>
      </c>
      <c r="B16" s="2" t="s">
        <v>45</v>
      </c>
      <c r="C16" s="15">
        <v>8</v>
      </c>
      <c r="D16" s="14"/>
      <c r="E16" s="14"/>
      <c r="F16" s="11">
        <f t="shared" si="0"/>
        <v>0</v>
      </c>
      <c r="G16" s="2">
        <v>0.4</v>
      </c>
      <c r="H16" s="11">
        <f t="shared" si="1"/>
        <v>0</v>
      </c>
      <c r="I16" s="11"/>
    </row>
    <row r="17" spans="1:9">
      <c r="A17" s="3">
        <v>1018950</v>
      </c>
      <c r="B17" s="2" t="s">
        <v>40</v>
      </c>
      <c r="C17" s="13">
        <v>10</v>
      </c>
      <c r="D17" s="14"/>
      <c r="E17" s="14"/>
      <c r="F17" s="11">
        <f t="shared" si="0"/>
        <v>0</v>
      </c>
      <c r="G17" s="2">
        <v>0.18</v>
      </c>
      <c r="H17" s="11">
        <f t="shared" si="1"/>
        <v>0</v>
      </c>
      <c r="I17" s="11"/>
    </row>
    <row r="18" spans="1:9">
      <c r="A18" s="3">
        <v>1018967</v>
      </c>
      <c r="B18" s="2" t="s">
        <v>42</v>
      </c>
      <c r="C18" s="13">
        <v>10</v>
      </c>
      <c r="D18" s="14"/>
      <c r="E18" s="14"/>
      <c r="F18" s="11">
        <f t="shared" si="0"/>
        <v>0</v>
      </c>
      <c r="G18" s="2">
        <v>0.18</v>
      </c>
      <c r="H18" s="11">
        <f t="shared" si="1"/>
        <v>0</v>
      </c>
      <c r="I18" s="11"/>
    </row>
    <row r="19" spans="1:9">
      <c r="A19" s="3" t="s">
        <v>56</v>
      </c>
      <c r="B19" s="2" t="s">
        <v>13</v>
      </c>
      <c r="C19" s="13">
        <v>10</v>
      </c>
      <c r="D19" s="14"/>
      <c r="E19" s="14"/>
      <c r="F19" s="11">
        <f t="shared" si="0"/>
        <v>0</v>
      </c>
      <c r="G19" s="2">
        <v>0.2</v>
      </c>
      <c r="H19" s="11">
        <f t="shared" si="1"/>
        <v>0</v>
      </c>
      <c r="I19" s="11"/>
    </row>
    <row r="20" spans="1:9">
      <c r="A20" s="3" t="s">
        <v>57</v>
      </c>
      <c r="B20" s="2" t="s">
        <v>16</v>
      </c>
      <c r="C20" s="13">
        <v>4</v>
      </c>
      <c r="D20" s="14"/>
      <c r="E20" s="14"/>
      <c r="F20" s="11">
        <f>E20/15</f>
        <v>0</v>
      </c>
      <c r="G20" s="2">
        <v>3.5</v>
      </c>
      <c r="H20" s="11">
        <f>E20</f>
        <v>0</v>
      </c>
      <c r="I20" s="11" t="s">
        <v>18</v>
      </c>
    </row>
    <row r="21" spans="1:9">
      <c r="A21" s="3" t="s">
        <v>58</v>
      </c>
      <c r="B21" s="2" t="s">
        <v>14</v>
      </c>
      <c r="C21" s="13">
        <v>10</v>
      </c>
      <c r="D21" s="14"/>
      <c r="E21" s="14"/>
      <c r="F21" s="11">
        <f>D21/C21</f>
        <v>0</v>
      </c>
      <c r="G21" s="2">
        <v>0.2</v>
      </c>
      <c r="H21" s="11">
        <f>G21*D21</f>
        <v>0</v>
      </c>
      <c r="I21" s="11"/>
    </row>
    <row r="22" spans="1:9">
      <c r="A22" s="3" t="s">
        <v>59</v>
      </c>
      <c r="B22" s="2" t="s">
        <v>17</v>
      </c>
      <c r="C22" s="13">
        <v>4</v>
      </c>
      <c r="D22" s="14"/>
      <c r="E22" s="14"/>
      <c r="F22" s="11">
        <f>E22/15</f>
        <v>0</v>
      </c>
      <c r="G22" s="2">
        <v>3.5</v>
      </c>
      <c r="H22" s="11">
        <f>E22</f>
        <v>0</v>
      </c>
      <c r="I22" s="11" t="s">
        <v>18</v>
      </c>
    </row>
    <row r="23" spans="1:9">
      <c r="A23" s="3">
        <v>8444194</v>
      </c>
      <c r="B23" s="4" t="s">
        <v>20</v>
      </c>
      <c r="C23" s="13">
        <v>6</v>
      </c>
      <c r="D23" s="16"/>
      <c r="E23" s="16"/>
      <c r="F23" s="11">
        <f t="shared" ref="F23:F29" si="2">D23/C23</f>
        <v>0</v>
      </c>
      <c r="G23" s="2">
        <v>0.1</v>
      </c>
      <c r="H23" s="11">
        <f t="shared" ref="H23:H29" si="3">G23*D23</f>
        <v>0</v>
      </c>
      <c r="I23" s="11"/>
    </row>
    <row r="24" spans="1:9">
      <c r="A24" s="3">
        <v>8444187</v>
      </c>
      <c r="B24" s="4" t="s">
        <v>21</v>
      </c>
      <c r="C24" s="13">
        <v>6</v>
      </c>
      <c r="D24" s="16"/>
      <c r="E24" s="16"/>
      <c r="F24" s="11">
        <f t="shared" si="2"/>
        <v>0</v>
      </c>
      <c r="G24" s="2">
        <v>0.1</v>
      </c>
      <c r="H24" s="11">
        <f t="shared" si="3"/>
        <v>0</v>
      </c>
      <c r="I24" s="11"/>
    </row>
    <row r="25" spans="1:9">
      <c r="A25" s="3">
        <v>8444163</v>
      </c>
      <c r="B25" s="4" t="s">
        <v>22</v>
      </c>
      <c r="C25" s="13">
        <v>8</v>
      </c>
      <c r="D25" s="16"/>
      <c r="E25" s="16"/>
      <c r="F25" s="11">
        <f t="shared" si="2"/>
        <v>0</v>
      </c>
      <c r="G25" s="2">
        <v>0.1</v>
      </c>
      <c r="H25" s="11">
        <f t="shared" si="3"/>
        <v>0</v>
      </c>
      <c r="I25" s="11"/>
    </row>
    <row r="26" spans="1:9" s="20" customFormat="1">
      <c r="A26" s="5">
        <v>8444170</v>
      </c>
      <c r="B26" s="6" t="s">
        <v>63</v>
      </c>
      <c r="C26" s="17">
        <v>8</v>
      </c>
      <c r="D26" s="32"/>
      <c r="E26" s="32"/>
      <c r="F26" s="18">
        <f t="shared" si="2"/>
        <v>0</v>
      </c>
      <c r="G26" s="19">
        <v>0.1</v>
      </c>
      <c r="H26" s="18">
        <f t="shared" si="3"/>
        <v>0</v>
      </c>
      <c r="I26" s="18"/>
    </row>
    <row r="27" spans="1:9">
      <c r="A27" s="3">
        <v>9988377</v>
      </c>
      <c r="B27" s="4" t="s">
        <v>23</v>
      </c>
      <c r="C27" s="13">
        <v>16</v>
      </c>
      <c r="D27" s="16"/>
      <c r="E27" s="16"/>
      <c r="F27" s="11">
        <f t="shared" si="2"/>
        <v>0</v>
      </c>
      <c r="G27" s="2">
        <v>0.14000000000000001</v>
      </c>
      <c r="H27" s="11">
        <f t="shared" si="3"/>
        <v>0</v>
      </c>
      <c r="I27" s="11"/>
    </row>
    <row r="28" spans="1:9">
      <c r="A28" s="3">
        <v>9988391</v>
      </c>
      <c r="B28" s="4" t="s">
        <v>24</v>
      </c>
      <c r="C28" s="13">
        <v>16</v>
      </c>
      <c r="D28" s="16"/>
      <c r="E28" s="16"/>
      <c r="F28" s="11">
        <f t="shared" si="2"/>
        <v>0</v>
      </c>
      <c r="G28" s="2">
        <v>0.14000000000000001</v>
      </c>
      <c r="H28" s="11">
        <f t="shared" si="3"/>
        <v>0</v>
      </c>
      <c r="I28" s="11"/>
    </row>
    <row r="29" spans="1:9">
      <c r="A29" s="3">
        <v>5034819</v>
      </c>
      <c r="B29" s="4" t="s">
        <v>25</v>
      </c>
      <c r="C29" s="13">
        <v>6</v>
      </c>
      <c r="D29" s="16"/>
      <c r="E29" s="16"/>
      <c r="F29" s="11">
        <f t="shared" si="2"/>
        <v>0</v>
      </c>
      <c r="G29" s="2">
        <v>0.18</v>
      </c>
      <c r="H29" s="11">
        <f t="shared" si="3"/>
        <v>0</v>
      </c>
      <c r="I29" s="11"/>
    </row>
    <row r="30" spans="1:9">
      <c r="A30" s="3">
        <v>2981244</v>
      </c>
      <c r="B30" s="4" t="s">
        <v>26</v>
      </c>
      <c r="C30" s="13">
        <v>6</v>
      </c>
      <c r="D30" s="16"/>
      <c r="E30" s="16"/>
      <c r="F30" s="11">
        <f>E30/7.8</f>
        <v>0</v>
      </c>
      <c r="G30" s="2">
        <v>1.3</v>
      </c>
      <c r="H30" s="11">
        <f>E30</f>
        <v>0</v>
      </c>
      <c r="I30" s="11" t="s">
        <v>19</v>
      </c>
    </row>
    <row r="31" spans="1:9">
      <c r="A31" s="3">
        <v>8785198</v>
      </c>
      <c r="B31" s="4" t="s">
        <v>27</v>
      </c>
      <c r="C31" s="13">
        <v>5</v>
      </c>
      <c r="D31" s="16"/>
      <c r="E31" s="16"/>
      <c r="F31" s="11">
        <f>E31/16.5</f>
        <v>0</v>
      </c>
      <c r="G31" s="2">
        <v>3.2</v>
      </c>
      <c r="H31" s="11">
        <f>E31</f>
        <v>0</v>
      </c>
      <c r="I31" s="11" t="s">
        <v>15</v>
      </c>
    </row>
    <row r="32" spans="1:9">
      <c r="A32" s="3">
        <v>9988452</v>
      </c>
      <c r="B32" s="4" t="s">
        <v>28</v>
      </c>
      <c r="C32" s="13">
        <v>8</v>
      </c>
      <c r="D32" s="16"/>
      <c r="E32" s="16"/>
      <c r="F32" s="11">
        <f t="shared" ref="F32:F46" si="4">D32/C32</f>
        <v>0</v>
      </c>
      <c r="G32" s="2">
        <v>0.4</v>
      </c>
      <c r="H32" s="11">
        <f t="shared" ref="H32:H37" si="5">G32*D32</f>
        <v>0</v>
      </c>
      <c r="I32" s="11"/>
    </row>
    <row r="33" spans="1:9">
      <c r="A33" s="3">
        <v>9988476</v>
      </c>
      <c r="B33" s="4" t="s">
        <v>29</v>
      </c>
      <c r="C33" s="13">
        <v>28</v>
      </c>
      <c r="D33" s="16"/>
      <c r="E33" s="16"/>
      <c r="F33" s="11">
        <f t="shared" si="4"/>
        <v>0</v>
      </c>
      <c r="G33" s="2">
        <v>0.4</v>
      </c>
      <c r="H33" s="11">
        <f t="shared" si="5"/>
        <v>0</v>
      </c>
      <c r="I33" s="11"/>
    </row>
    <row r="34" spans="1:9">
      <c r="A34" s="3">
        <v>9988681</v>
      </c>
      <c r="B34" s="4" t="s">
        <v>37</v>
      </c>
      <c r="C34" s="13">
        <v>16</v>
      </c>
      <c r="D34" s="16"/>
      <c r="E34" s="16"/>
      <c r="F34" s="11">
        <f t="shared" si="4"/>
        <v>0</v>
      </c>
      <c r="G34" s="2">
        <v>0.18</v>
      </c>
      <c r="H34" s="11">
        <f t="shared" si="5"/>
        <v>0</v>
      </c>
      <c r="I34" s="11"/>
    </row>
    <row r="35" spans="1:9">
      <c r="A35" s="3">
        <v>9988438</v>
      </c>
      <c r="B35" s="4" t="s">
        <v>30</v>
      </c>
      <c r="C35" s="13">
        <v>16</v>
      </c>
      <c r="D35" s="16"/>
      <c r="E35" s="16"/>
      <c r="F35" s="11">
        <f t="shared" si="4"/>
        <v>0</v>
      </c>
      <c r="G35" s="2">
        <v>0.18</v>
      </c>
      <c r="H35" s="11">
        <f t="shared" si="5"/>
        <v>0</v>
      </c>
      <c r="I35" s="11"/>
    </row>
    <row r="36" spans="1:9">
      <c r="A36" s="3">
        <v>9988445</v>
      </c>
      <c r="B36" s="4" t="s">
        <v>31</v>
      </c>
      <c r="C36" s="13">
        <v>16</v>
      </c>
      <c r="D36" s="16"/>
      <c r="E36" s="16"/>
      <c r="F36" s="11">
        <f t="shared" si="4"/>
        <v>0</v>
      </c>
      <c r="G36" s="2">
        <v>0.18</v>
      </c>
      <c r="H36" s="11">
        <f t="shared" si="5"/>
        <v>0</v>
      </c>
      <c r="I36" s="11"/>
    </row>
    <row r="37" spans="1:9">
      <c r="A37" s="3">
        <v>9988421</v>
      </c>
      <c r="B37" s="4" t="s">
        <v>32</v>
      </c>
      <c r="C37" s="13">
        <v>16</v>
      </c>
      <c r="D37" s="16"/>
      <c r="E37" s="16"/>
      <c r="F37" s="11">
        <f t="shared" si="4"/>
        <v>0</v>
      </c>
      <c r="G37" s="2">
        <v>0.14000000000000001</v>
      </c>
      <c r="H37" s="11">
        <f t="shared" si="5"/>
        <v>0</v>
      </c>
      <c r="I37" s="11"/>
    </row>
    <row r="38" spans="1:9">
      <c r="A38" s="3">
        <v>9988674</v>
      </c>
      <c r="B38" s="4" t="s">
        <v>38</v>
      </c>
      <c r="C38" s="13">
        <v>16</v>
      </c>
      <c r="D38" s="16"/>
      <c r="E38" s="16"/>
      <c r="F38" s="11">
        <f t="shared" si="4"/>
        <v>0</v>
      </c>
      <c r="G38" s="2">
        <v>0.18</v>
      </c>
      <c r="H38" s="11">
        <f t="shared" ref="H38:H43" si="6">D38*G38</f>
        <v>0</v>
      </c>
      <c r="I38" s="11"/>
    </row>
    <row r="39" spans="1:9">
      <c r="A39" s="34">
        <v>8444903</v>
      </c>
      <c r="B39" s="35" t="s">
        <v>50</v>
      </c>
      <c r="C39" s="13">
        <v>8</v>
      </c>
      <c r="D39" s="16"/>
      <c r="E39" s="16"/>
      <c r="F39" s="11">
        <f t="shared" si="4"/>
        <v>0</v>
      </c>
      <c r="G39" s="2">
        <v>0.1</v>
      </c>
      <c r="H39" s="11">
        <f t="shared" si="6"/>
        <v>0</v>
      </c>
      <c r="I39" s="11"/>
    </row>
    <row r="40" spans="1:9">
      <c r="A40" s="34">
        <v>8444910</v>
      </c>
      <c r="B40" s="35" t="s">
        <v>51</v>
      </c>
      <c r="C40" s="13">
        <v>8</v>
      </c>
      <c r="D40" s="16"/>
      <c r="E40" s="16"/>
      <c r="F40" s="11">
        <f t="shared" si="4"/>
        <v>0</v>
      </c>
      <c r="G40" s="2">
        <v>0.1</v>
      </c>
      <c r="H40" s="11">
        <f t="shared" si="6"/>
        <v>0</v>
      </c>
      <c r="I40" s="11"/>
    </row>
    <row r="41" spans="1:9">
      <c r="A41" s="34">
        <v>8444927</v>
      </c>
      <c r="B41" s="35" t="s">
        <v>52</v>
      </c>
      <c r="C41" s="13">
        <v>8</v>
      </c>
      <c r="D41" s="16"/>
      <c r="E41" s="16"/>
      <c r="F41" s="11">
        <f t="shared" si="4"/>
        <v>0</v>
      </c>
      <c r="G41" s="2">
        <v>0.1</v>
      </c>
      <c r="H41" s="11">
        <f t="shared" si="6"/>
        <v>0</v>
      </c>
      <c r="I41" s="11"/>
    </row>
    <row r="42" spans="1:9">
      <c r="A42" s="34">
        <v>6600454</v>
      </c>
      <c r="B42" s="35" t="s">
        <v>55</v>
      </c>
      <c r="C42" s="13">
        <v>12</v>
      </c>
      <c r="D42" s="16"/>
      <c r="E42" s="16"/>
      <c r="F42" s="11">
        <f t="shared" si="4"/>
        <v>0</v>
      </c>
      <c r="G42" s="2">
        <v>0.125</v>
      </c>
      <c r="H42" s="11">
        <f t="shared" si="6"/>
        <v>0</v>
      </c>
      <c r="I42" s="11"/>
    </row>
    <row r="43" spans="1:9">
      <c r="A43" s="34">
        <v>6600447</v>
      </c>
      <c r="B43" s="35" t="s">
        <v>54</v>
      </c>
      <c r="C43" s="13">
        <v>12</v>
      </c>
      <c r="D43" s="16"/>
      <c r="E43" s="16"/>
      <c r="F43" s="11">
        <f t="shared" si="4"/>
        <v>0</v>
      </c>
      <c r="G43" s="2">
        <v>0.125</v>
      </c>
      <c r="H43" s="11">
        <f t="shared" si="6"/>
        <v>0</v>
      </c>
      <c r="I43" s="11"/>
    </row>
    <row r="44" spans="1:9">
      <c r="A44" s="27">
        <v>4421584</v>
      </c>
      <c r="B44" s="28" t="s">
        <v>61</v>
      </c>
      <c r="C44" s="13">
        <v>12</v>
      </c>
      <c r="D44" s="16"/>
      <c r="E44" s="16"/>
      <c r="F44" s="11">
        <f t="shared" si="4"/>
        <v>0</v>
      </c>
      <c r="G44" s="2">
        <v>0.18</v>
      </c>
      <c r="H44" s="11">
        <f>G44*D44</f>
        <v>0</v>
      </c>
      <c r="I44" s="18"/>
    </row>
    <row r="45" spans="1:9">
      <c r="A45" s="27">
        <v>4421577</v>
      </c>
      <c r="B45" s="28" t="s">
        <v>60</v>
      </c>
      <c r="C45" s="13">
        <v>12</v>
      </c>
      <c r="D45" s="16"/>
      <c r="E45" s="16"/>
      <c r="F45" s="11">
        <f t="shared" si="4"/>
        <v>0</v>
      </c>
      <c r="G45" s="2">
        <v>0.18</v>
      </c>
      <c r="H45" s="11">
        <f>G45*D45</f>
        <v>0</v>
      </c>
      <c r="I45" s="18"/>
    </row>
    <row r="46" spans="1:9" s="20" customFormat="1">
      <c r="A46" s="30">
        <v>9985949</v>
      </c>
      <c r="B46" s="31" t="s">
        <v>62</v>
      </c>
      <c r="C46" s="17">
        <v>10</v>
      </c>
      <c r="D46" s="32"/>
      <c r="E46" s="32"/>
      <c r="F46" s="18">
        <f t="shared" si="4"/>
        <v>0</v>
      </c>
      <c r="G46" s="33">
        <v>1</v>
      </c>
      <c r="H46" s="18">
        <f>G46*D46</f>
        <v>0</v>
      </c>
      <c r="I46" s="18"/>
    </row>
    <row r="47" spans="1:9" s="20" customFormat="1">
      <c r="A47" s="30">
        <v>8786928</v>
      </c>
      <c r="B47" s="31" t="s">
        <v>64</v>
      </c>
      <c r="C47" s="17">
        <v>4</v>
      </c>
      <c r="D47" s="32"/>
      <c r="E47" s="32"/>
      <c r="F47" s="18">
        <f>E47/6</f>
        <v>0</v>
      </c>
      <c r="G47" s="19">
        <v>1.5</v>
      </c>
      <c r="H47" s="18">
        <f>E47</f>
        <v>0</v>
      </c>
      <c r="I47" s="18" t="s">
        <v>65</v>
      </c>
    </row>
    <row r="48" spans="1:9" s="20" customFormat="1">
      <c r="A48" s="30">
        <v>6948270</v>
      </c>
      <c r="B48" s="31" t="s">
        <v>66</v>
      </c>
      <c r="C48" s="17">
        <v>12</v>
      </c>
      <c r="D48" s="32"/>
      <c r="E48" s="32"/>
      <c r="F48" s="18">
        <f>D48/C48</f>
        <v>0</v>
      </c>
      <c r="G48" s="19">
        <v>0.372</v>
      </c>
      <c r="H48" s="18">
        <f>G48*D48</f>
        <v>0</v>
      </c>
      <c r="I48" s="18"/>
    </row>
    <row r="49" spans="1:9" s="20" customFormat="1">
      <c r="A49" s="30">
        <v>6948287</v>
      </c>
      <c r="B49" s="31" t="s">
        <v>67</v>
      </c>
      <c r="C49" s="17">
        <v>12</v>
      </c>
      <c r="D49" s="32"/>
      <c r="E49" s="32"/>
      <c r="F49" s="18">
        <f>D49/C49</f>
        <v>0</v>
      </c>
      <c r="G49" s="19">
        <v>0.74399999999999999</v>
      </c>
      <c r="H49" s="18">
        <f>G49*D49</f>
        <v>0</v>
      </c>
      <c r="I49" s="18"/>
    </row>
    <row r="50" spans="1:9" s="20" customFormat="1">
      <c r="A50" s="30">
        <v>6948256</v>
      </c>
      <c r="B50" s="31" t="s">
        <v>68</v>
      </c>
      <c r="C50" s="17">
        <v>12</v>
      </c>
      <c r="D50" s="32"/>
      <c r="E50" s="32"/>
      <c r="F50" s="18">
        <f>D50/C50</f>
        <v>0</v>
      </c>
      <c r="G50" s="19">
        <v>0.372</v>
      </c>
      <c r="H50" s="18">
        <f>G50*D50</f>
        <v>0</v>
      </c>
      <c r="I50" s="18"/>
    </row>
    <row r="51" spans="1:9" s="20" customFormat="1">
      <c r="A51" s="30">
        <v>6948263</v>
      </c>
      <c r="B51" s="31" t="s">
        <v>69</v>
      </c>
      <c r="C51" s="17">
        <v>12</v>
      </c>
      <c r="D51" s="32"/>
      <c r="E51" s="32"/>
      <c r="F51" s="18">
        <f>D51/C51</f>
        <v>0</v>
      </c>
      <c r="G51" s="19">
        <v>0.74399999999999999</v>
      </c>
      <c r="H51" s="18">
        <f>G51*D51</f>
        <v>0</v>
      </c>
      <c r="I51" s="18"/>
    </row>
    <row r="52" spans="1:9" s="20" customFormat="1">
      <c r="A52" s="30">
        <v>6948249</v>
      </c>
      <c r="B52" s="31" t="s">
        <v>70</v>
      </c>
      <c r="C52" s="17">
        <v>12</v>
      </c>
      <c r="D52" s="32"/>
      <c r="E52" s="32"/>
      <c r="F52" s="18">
        <f>D52/C52</f>
        <v>0</v>
      </c>
      <c r="G52" s="19">
        <v>0.82499999999999996</v>
      </c>
      <c r="H52" s="18">
        <f>G52*D52</f>
        <v>0</v>
      </c>
      <c r="I52" s="18"/>
    </row>
    <row r="53" spans="1:9">
      <c r="A53" s="11"/>
      <c r="B53" s="25" t="s">
        <v>11</v>
      </c>
      <c r="C53" s="11"/>
      <c r="D53" s="16"/>
      <c r="E53" s="16"/>
      <c r="F53" s="11"/>
      <c r="G53" s="11"/>
      <c r="H53" s="4">
        <f>SUM(H4:H52)</f>
        <v>0</v>
      </c>
      <c r="I53" s="11"/>
    </row>
  </sheetData>
  <autoFilter ref="A3:I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Мелитополь</vt:lpstr>
      <vt:lpstr>Бердянск</vt:lpstr>
      <vt:lpstr>Донецк</vt:lpstr>
      <vt:lpstr>Луганск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2025-12-17T07:58:16Z</dcterms:modified>
</cp:coreProperties>
</file>