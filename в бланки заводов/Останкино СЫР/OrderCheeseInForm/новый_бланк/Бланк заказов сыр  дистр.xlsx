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СЫР\OrderCheeseInForm\новый_бланк\"/>
    </mc:Choice>
  </mc:AlternateContent>
  <xr:revisionPtr revIDLastSave="0" documentId="13_ncr:1_{10BF07D1-6C60-45EF-BD6D-545EEC2EFE43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Бердянск!$A$3:$I$3</definedName>
    <definedName name="_xlnm._FilterDatabase" localSheetId="2" hidden="1">Донецк!$A$3:$I$3</definedName>
    <definedName name="_xlnm._FilterDatabase" localSheetId="3" hidden="1">Луганск!$A$3:$I$3</definedName>
    <definedName name="_xlnm._FilterDatabase" localSheetId="0" hidden="1">Мелитополь!$A$3:$I$53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2" i="4" l="1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53" i="4"/>
  <c r="F4" i="4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3" i="3"/>
  <c r="F4" i="3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3" i="2"/>
  <c r="F4" i="2"/>
  <c r="F50" i="1"/>
  <c r="F48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29" i="1"/>
  <c r="F28" i="1"/>
  <c r="F27" i="1"/>
  <c r="F26" i="1"/>
  <c r="F25" i="1"/>
  <c r="F24" i="1"/>
  <c r="F23" i="1"/>
  <c r="F21" i="1"/>
  <c r="F19" i="1"/>
  <c r="F18" i="1"/>
  <c r="F17" i="1"/>
  <c r="F16" i="1"/>
  <c r="F15" i="1"/>
  <c r="F14" i="1"/>
  <c r="F13" i="1"/>
  <c r="F11" i="1"/>
  <c r="F10" i="1"/>
  <c r="F8" i="1"/>
  <c r="F6" i="1"/>
  <c r="F4" i="1"/>
  <c r="F47" i="1"/>
  <c r="F31" i="1"/>
  <c r="F30" i="1"/>
  <c r="F22" i="1"/>
  <c r="F20" i="1"/>
  <c r="F12" i="1"/>
  <c r="F9" i="1"/>
  <c r="F7" i="1"/>
  <c r="F5" i="1"/>
  <c r="F52" i="1"/>
  <c r="F46" i="1"/>
  <c r="F51" i="1"/>
  <c r="F49" i="1"/>
  <c r="H52" i="1"/>
  <c r="H51" i="1"/>
  <c r="H50" i="1"/>
  <c r="H49" i="1"/>
  <c r="H48" i="1"/>
  <c r="H47" i="1"/>
  <c r="H26" i="1"/>
  <c r="H46" i="1"/>
  <c r="H45" i="1"/>
  <c r="H44" i="1"/>
  <c r="H5" i="1"/>
  <c r="H6" i="1"/>
  <c r="H7" i="1"/>
  <c r="H29" i="1"/>
  <c r="H42" i="1"/>
  <c r="H43" i="1"/>
  <c r="H41" i="1"/>
  <c r="H40" i="1"/>
  <c r="H39" i="1"/>
  <c r="H9" i="1"/>
  <c r="H12" i="1"/>
  <c r="H16" i="1"/>
  <c r="H14" i="1"/>
  <c r="H11" i="1"/>
  <c r="H10" i="1"/>
  <c r="H17" i="1"/>
  <c r="H37" i="1"/>
  <c r="H38" i="1"/>
  <c r="H15" i="1"/>
  <c r="H34" i="1"/>
  <c r="H4" i="1"/>
  <c r="H19" i="1"/>
  <c r="H20" i="1"/>
  <c r="H21" i="1"/>
  <c r="H22" i="1"/>
  <c r="H23" i="1"/>
  <c r="H24" i="1"/>
  <c r="H27" i="1"/>
  <c r="H28" i="1"/>
  <c r="H30" i="1"/>
  <c r="H31" i="1"/>
  <c r="H32" i="1"/>
  <c r="H33" i="1"/>
  <c r="H35" i="1"/>
  <c r="H36" i="1"/>
  <c r="H25" i="1"/>
  <c r="H18" i="1"/>
  <c r="H13" i="1"/>
  <c r="H8" i="1"/>
  <c r="H53" i="1" l="1"/>
  <c r="A55" i="1" s="1"/>
</calcChain>
</file>

<file path=xl/sharedStrings.xml><?xml version="1.0" encoding="utf-8"?>
<sst xmlns="http://schemas.openxmlformats.org/spreadsheetml/2006/main" count="292" uniqueCount="71">
  <si>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</si>
  <si>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</si>
  <si>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</si>
  <si>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</si>
  <si>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</si>
  <si>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</si>
  <si>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</si>
  <si>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</si>
  <si>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</si>
  <si>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</si>
  <si>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</si>
  <si>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</si>
  <si>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</si>
  <si>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</si>
  <si>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</si>
  <si>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</si>
  <si>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</si>
  <si>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</si>
  <si>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</si>
  <si>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</si>
  <si>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</si>
  <si>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</si>
  <si>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</si>
  <si>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</si>
  <si>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</si>
  <si>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</si>
  <si>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</si>
  <si>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</si>
  <si>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</si>
  <si>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</si>
  <si>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</si>
  <si>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</si>
  <si>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</si>
  <si>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</si>
  <si>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</si>
  <si>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</si>
  <si>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</si>
  <si>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</si>
  <si>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</si>
  <si>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</si>
  <si>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</si>
  <si>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</si>
  <si>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</si>
  <si>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</si>
  <si>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</si>
  <si>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</si>
  <si>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</si>
  <si>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</si>
  <si>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 xml:space="preserve">Сыр полутвердый "Голландский" с массовой долей жира в пересчете на сухое 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</si>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</sst>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4" fillId="2" borderId="1" xfId="0" applyNumberFormat="1" applyFont="1" applyFill="1" applyBorder="1" applyAlignment="1"/>
    <xf numFmtId="0" fontId="5" fillId="2" borderId="1" xfId="0" applyNumberFormat="1" applyFont="1" applyFill="1" applyBorder="1" applyAlignment="1">
      <alignment horizontal="left"/>
    </xf>
    <xf numFmtId="0" fontId="3" fillId="0" borderId="1" xfId="0" applyNumberFormat="1" applyFont="1" applyBorder="1"/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4" fillId="0" borderId="1" xfId="0" applyNumberFormat="1" applyFont="1" applyFill="1" applyBorder="1" applyAlignment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7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8" fillId="0" borderId="1" xfId="0" applyNumberFormat="1" applyFont="1" applyBorder="1"/>
    <xf numFmtId="0" fontId="8" fillId="0" borderId="1" xfId="0" applyNumberFormat="1" applyFont="1" applyFill="1" applyBorder="1" applyAlignment="1">
      <alignment horizontal="center"/>
    </xf>
    <xf numFmtId="0" fontId="9" fillId="0" borderId="1" xfId="0" applyNumberFormat="1" applyFont="1" applyBorder="1"/>
    <xf numFmtId="0" fontId="4" fillId="2" borderId="1" xfId="0" applyNumberFormat="1" applyFont="1" applyFill="1" applyBorder="1"/>
    <xf numFmtId="0" fontId="4" fillId="2" borderId="1" xfId="0" applyNumberFormat="1" applyFont="1" applyFill="1" applyBorder="1" applyAlignment="1">
      <alignment wrapText="1"/>
    </xf>
    <xf numFmtId="0" fontId="10" fillId="2" borderId="1" xfId="0" applyNumberFormat="1" applyFont="1" applyFill="1" applyBorder="1" applyAlignment="1">
      <alignment horizontal="left"/>
    </xf>
    <xf numFmtId="0" fontId="11" fillId="0" borderId="1" xfId="0" applyNumberFormat="1" applyFont="1" applyBorder="1"/>
    <xf numFmtId="0" fontId="4" fillId="0" borderId="1" xfId="0" applyNumberFormat="1" applyFont="1" applyFill="1" applyBorder="1" applyAlignment="1">
      <alignment wrapText="1"/>
    </xf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workbookViewId="0">
      <pane ySplit="3" topLeftCell="A4" activePane="bottomLeft" state="frozen"/>
      <selection pane="bottomLeft" activeCell="I2" sqref="I2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  <row r="55" spans="1:9">
      <c r="A55" s="8">
        <f>H53+Бердянск!H53+Донецк!H53+Луганск!H53</f>
        <v>0</v>
      </c>
    </row>
  </sheetData>
  <sheetProtection selectLockedCells="1" selectUnlockedCells="1"/>
  <autoFilter ref="A3:I53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3"/>
  <sheetViews>
    <sheetView workbookViewId="0">
      <pane ySplit="3" topLeftCell="A28" activePane="bottomLeft" state="frozen"/>
      <selection pane="bottomLeft" activeCell="D4" sqref="D4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</sheetData>
  <autoFilter ref="A3:I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3"/>
  <sheetViews>
    <sheetView workbookViewId="0">
      <pane ySplit="3" topLeftCell="A28" activePane="bottomLeft" state="frozen"/>
      <selection pane="bottomLeft" activeCell="D4" sqref="D4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</sheetData>
  <autoFilter ref="A3:I3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3"/>
  <sheetViews>
    <sheetView workbookViewId="0">
      <pane ySplit="3" topLeftCell="A25" activePane="bottomLeft" state="frozen"/>
      <selection pane="bottomLeft" activeCell="D4" sqref="D4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49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48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34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47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ht="25.5">
      <c r="A10" s="1">
        <v>5038398</v>
      </c>
      <c r="B10" s="26" t="s">
        <v>36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43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53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41</v>
      </c>
      <c r="C13" s="13">
        <v>10</v>
      </c>
      <c r="D13" s="14"/>
      <c r="E13" s="14"/>
      <c r="F13" s="11">
        <f t="shared" ref="F13:F19" si="0">D13/C13</f>
        <v>0</v>
      </c>
      <c r="G13" s="2">
        <v>0.2</v>
      </c>
      <c r="H13" s="11">
        <f t="shared" ref="H13:H19" si="1">G13*D13</f>
        <v>0</v>
      </c>
      <c r="I13" s="11"/>
    </row>
    <row r="14" spans="1:9">
      <c r="A14" s="3">
        <v>5039647</v>
      </c>
      <c r="B14" s="7" t="s">
        <v>44</v>
      </c>
      <c r="C14" s="13">
        <v>8</v>
      </c>
      <c r="D14" s="14"/>
      <c r="E14" s="14"/>
      <c r="F14" s="11">
        <f t="shared" si="0"/>
        <v>0</v>
      </c>
      <c r="G14" s="2">
        <v>0.4</v>
      </c>
      <c r="H14" s="11">
        <f t="shared" si="1"/>
        <v>0</v>
      </c>
      <c r="I14" s="11"/>
    </row>
    <row r="15" spans="1:9" ht="25.5">
      <c r="A15" s="3">
        <v>5038831</v>
      </c>
      <c r="B15" s="26" t="s">
        <v>39</v>
      </c>
      <c r="C15" s="15">
        <v>10</v>
      </c>
      <c r="D15" s="14"/>
      <c r="E15" s="14"/>
      <c r="F15" s="11">
        <f t="shared" si="0"/>
        <v>0</v>
      </c>
      <c r="G15" s="2">
        <v>0.18</v>
      </c>
      <c r="H15" s="11">
        <f t="shared" si="1"/>
        <v>0</v>
      </c>
      <c r="I15" s="11"/>
    </row>
    <row r="16" spans="1:9">
      <c r="A16" s="3">
        <v>5039623</v>
      </c>
      <c r="B16" s="2" t="s">
        <v>45</v>
      </c>
      <c r="C16" s="15">
        <v>8</v>
      </c>
      <c r="D16" s="14"/>
      <c r="E16" s="14"/>
      <c r="F16" s="11">
        <f t="shared" si="0"/>
        <v>0</v>
      </c>
      <c r="G16" s="2">
        <v>0.4</v>
      </c>
      <c r="H16" s="11">
        <f t="shared" si="1"/>
        <v>0</v>
      </c>
      <c r="I16" s="11"/>
    </row>
    <row r="17" spans="1:9">
      <c r="A17" s="3">
        <v>1018950</v>
      </c>
      <c r="B17" s="2" t="s">
        <v>40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>
        <v>1018967</v>
      </c>
      <c r="B18" s="2" t="s">
        <v>42</v>
      </c>
      <c r="C18" s="13">
        <v>10</v>
      </c>
      <c r="D18" s="14"/>
      <c r="E18" s="14"/>
      <c r="F18" s="11">
        <f t="shared" si="0"/>
        <v>0</v>
      </c>
      <c r="G18" s="2">
        <v>0.18</v>
      </c>
      <c r="H18" s="11">
        <f t="shared" si="1"/>
        <v>0</v>
      </c>
      <c r="I18" s="11"/>
    </row>
    <row r="19" spans="1:9">
      <c r="A19" s="3" t="s">
        <v>56</v>
      </c>
      <c r="B19" s="2" t="s">
        <v>13</v>
      </c>
      <c r="C19" s="13">
        <v>10</v>
      </c>
      <c r="D19" s="14"/>
      <c r="E19" s="14"/>
      <c r="F19" s="11">
        <f t="shared" si="0"/>
        <v>0</v>
      </c>
      <c r="G19" s="2">
        <v>0.2</v>
      </c>
      <c r="H19" s="11">
        <f t="shared" si="1"/>
        <v>0</v>
      </c>
      <c r="I19" s="11"/>
    </row>
    <row r="20" spans="1:9">
      <c r="A20" s="3" t="s">
        <v>57</v>
      </c>
      <c r="B20" s="2" t="s">
        <v>16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18</v>
      </c>
    </row>
    <row r="21" spans="1:9">
      <c r="A21" s="3" t="s">
        <v>58</v>
      </c>
      <c r="B21" s="2" t="s">
        <v>14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59</v>
      </c>
      <c r="B22" s="2" t="s">
        <v>17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18</v>
      </c>
    </row>
    <row r="23" spans="1:9">
      <c r="A23" s="3">
        <v>8444194</v>
      </c>
      <c r="B23" s="4" t="s">
        <v>20</v>
      </c>
      <c r="C23" s="13">
        <v>6</v>
      </c>
      <c r="D23" s="16"/>
      <c r="E23" s="16"/>
      <c r="F23" s="11">
        <f t="shared" ref="F23:F29" si="2">D23/C23</f>
        <v>0</v>
      </c>
      <c r="G23" s="2">
        <v>0.1</v>
      </c>
      <c r="H23" s="11">
        <f t="shared" ref="H23:H29" si="3">G23*D23</f>
        <v>0</v>
      </c>
      <c r="I23" s="11"/>
    </row>
    <row r="24" spans="1:9">
      <c r="A24" s="3">
        <v>8444187</v>
      </c>
      <c r="B24" s="4" t="s">
        <v>21</v>
      </c>
      <c r="C24" s="13">
        <v>6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>
      <c r="A25" s="3">
        <v>8444163</v>
      </c>
      <c r="B25" s="4" t="s">
        <v>22</v>
      </c>
      <c r="C25" s="13">
        <v>8</v>
      </c>
      <c r="D25" s="16"/>
      <c r="E25" s="16"/>
      <c r="F25" s="11">
        <f t="shared" si="2"/>
        <v>0</v>
      </c>
      <c r="G25" s="2">
        <v>0.1</v>
      </c>
      <c r="H25" s="11">
        <f t="shared" si="3"/>
        <v>0</v>
      </c>
      <c r="I25" s="11"/>
    </row>
    <row r="26" spans="1:9" s="20" customFormat="1">
      <c r="A26" s="5">
        <v>8444170</v>
      </c>
      <c r="B26" s="6" t="s">
        <v>63</v>
      </c>
      <c r="C26" s="17">
        <v>8</v>
      </c>
      <c r="D26" s="32"/>
      <c r="E26" s="32"/>
      <c r="F26" s="18">
        <f t="shared" si="2"/>
        <v>0</v>
      </c>
      <c r="G26" s="19">
        <v>0.1</v>
      </c>
      <c r="H26" s="18">
        <f t="shared" si="3"/>
        <v>0</v>
      </c>
      <c r="I26" s="18"/>
    </row>
    <row r="27" spans="1:9">
      <c r="A27" s="3">
        <v>9988377</v>
      </c>
      <c r="B27" s="4" t="s">
        <v>23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9988391</v>
      </c>
      <c r="B28" s="4" t="s">
        <v>24</v>
      </c>
      <c r="C28" s="13">
        <v>16</v>
      </c>
      <c r="D28" s="16"/>
      <c r="E28" s="16"/>
      <c r="F28" s="11">
        <f t="shared" si="2"/>
        <v>0</v>
      </c>
      <c r="G28" s="2">
        <v>0.14000000000000001</v>
      </c>
      <c r="H28" s="11">
        <f t="shared" si="3"/>
        <v>0</v>
      </c>
      <c r="I28" s="11"/>
    </row>
    <row r="29" spans="1:9">
      <c r="A29" s="3">
        <v>5034819</v>
      </c>
      <c r="B29" s="4" t="s">
        <v>25</v>
      </c>
      <c r="C29" s="13">
        <v>6</v>
      </c>
      <c r="D29" s="16"/>
      <c r="E29" s="16"/>
      <c r="F29" s="11">
        <f t="shared" si="2"/>
        <v>0</v>
      </c>
      <c r="G29" s="2">
        <v>0.18</v>
      </c>
      <c r="H29" s="11">
        <f t="shared" si="3"/>
        <v>0</v>
      </c>
      <c r="I29" s="11"/>
    </row>
    <row r="30" spans="1:9">
      <c r="A30" s="3">
        <v>2981244</v>
      </c>
      <c r="B30" s="4" t="s">
        <v>26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19</v>
      </c>
    </row>
    <row r="31" spans="1:9">
      <c r="A31" s="3">
        <v>8785198</v>
      </c>
      <c r="B31" s="4" t="s">
        <v>27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15</v>
      </c>
    </row>
    <row r="32" spans="1:9">
      <c r="A32" s="3">
        <v>9988452</v>
      </c>
      <c r="B32" s="4" t="s">
        <v>28</v>
      </c>
      <c r="C32" s="13">
        <v>8</v>
      </c>
      <c r="D32" s="16"/>
      <c r="E32" s="16"/>
      <c r="F32" s="11">
        <f t="shared" ref="F32:F46" si="4">D32/C32</f>
        <v>0</v>
      </c>
      <c r="G32" s="2">
        <v>0.4</v>
      </c>
      <c r="H32" s="11">
        <f t="shared" ref="H32:H37" si="5">G32*D32</f>
        <v>0</v>
      </c>
      <c r="I32" s="11"/>
    </row>
    <row r="33" spans="1:9">
      <c r="A33" s="3">
        <v>9988476</v>
      </c>
      <c r="B33" s="4" t="s">
        <v>29</v>
      </c>
      <c r="C33" s="13">
        <v>28</v>
      </c>
      <c r="D33" s="16"/>
      <c r="E33" s="16"/>
      <c r="F33" s="11">
        <f t="shared" si="4"/>
        <v>0</v>
      </c>
      <c r="G33" s="2">
        <v>0.4</v>
      </c>
      <c r="H33" s="11">
        <f t="shared" si="5"/>
        <v>0</v>
      </c>
      <c r="I33" s="11"/>
    </row>
    <row r="34" spans="1:9">
      <c r="A34" s="3">
        <v>9988681</v>
      </c>
      <c r="B34" s="4" t="s">
        <v>37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9988438</v>
      </c>
      <c r="B35" s="4" t="s">
        <v>30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9988445</v>
      </c>
      <c r="B36" s="4" t="s">
        <v>31</v>
      </c>
      <c r="C36" s="13">
        <v>16</v>
      </c>
      <c r="D36" s="16"/>
      <c r="E36" s="16"/>
      <c r="F36" s="11">
        <f t="shared" si="4"/>
        <v>0</v>
      </c>
      <c r="G36" s="2">
        <v>0.18</v>
      </c>
      <c r="H36" s="11">
        <f t="shared" si="5"/>
        <v>0</v>
      </c>
      <c r="I36" s="11"/>
    </row>
    <row r="37" spans="1:9">
      <c r="A37" s="3">
        <v>9988421</v>
      </c>
      <c r="B37" s="4" t="s">
        <v>32</v>
      </c>
      <c r="C37" s="13">
        <v>16</v>
      </c>
      <c r="D37" s="16"/>
      <c r="E37" s="16"/>
      <c r="F37" s="11">
        <f t="shared" si="4"/>
        <v>0</v>
      </c>
      <c r="G37" s="2">
        <v>0.14000000000000001</v>
      </c>
      <c r="H37" s="11">
        <f t="shared" si="5"/>
        <v>0</v>
      </c>
      <c r="I37" s="11"/>
    </row>
    <row r="38" spans="1:9">
      <c r="A38" s="3">
        <v>9988674</v>
      </c>
      <c r="B38" s="4" t="s">
        <v>38</v>
      </c>
      <c r="C38" s="13">
        <v>16</v>
      </c>
      <c r="D38" s="16"/>
      <c r="E38" s="16"/>
      <c r="F38" s="11">
        <f t="shared" si="4"/>
        <v>0</v>
      </c>
      <c r="G38" s="2">
        <v>0.18</v>
      </c>
      <c r="H38" s="11">
        <f t="shared" ref="H38:H43" si="6">D38*G38</f>
        <v>0</v>
      </c>
      <c r="I38" s="11"/>
    </row>
    <row r="39" spans="1:9">
      <c r="A39" s="34">
        <v>8444903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8444910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8444927</v>
      </c>
      <c r="B41" s="35" t="s">
        <v>52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6"/>
        <v>0</v>
      </c>
      <c r="I41" s="11"/>
    </row>
    <row r="42" spans="1:9">
      <c r="A42" s="34">
        <v>6600454</v>
      </c>
      <c r="B42" s="35" t="s">
        <v>55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34">
        <v>6600447</v>
      </c>
      <c r="B43" s="35" t="s">
        <v>54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6"/>
        <v>0</v>
      </c>
      <c r="I43" s="11"/>
    </row>
    <row r="44" spans="1:9">
      <c r="A44" s="27">
        <v>4421584</v>
      </c>
      <c r="B44" s="28" t="s">
        <v>61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60</v>
      </c>
      <c r="C45" s="13">
        <v>12</v>
      </c>
      <c r="D45" s="16"/>
      <c r="E45" s="16"/>
      <c r="F45" s="11">
        <f t="shared" si="4"/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62</v>
      </c>
      <c r="C46" s="17">
        <v>10</v>
      </c>
      <c r="D46" s="32"/>
      <c r="E46" s="32"/>
      <c r="F46" s="18">
        <f t="shared" si="4"/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64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65</v>
      </c>
    </row>
    <row r="48" spans="1:9" s="20" customFormat="1">
      <c r="A48" s="30">
        <v>6948270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0.372</v>
      </c>
      <c r="H48" s="18">
        <f>G48*D48</f>
        <v>0</v>
      </c>
      <c r="I48" s="18"/>
    </row>
    <row r="49" spans="1:9" s="20" customFormat="1">
      <c r="A49" s="30">
        <v>6948287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0.74399999999999999</v>
      </c>
      <c r="H49" s="18">
        <f>G49*D49</f>
        <v>0</v>
      </c>
      <c r="I49" s="18"/>
    </row>
    <row r="50" spans="1:9" s="20" customFormat="1">
      <c r="A50" s="30">
        <v>6948256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0.372</v>
      </c>
      <c r="H50" s="18">
        <f>G50*D50</f>
        <v>0</v>
      </c>
      <c r="I50" s="18"/>
    </row>
    <row r="51" spans="1:9" s="20" customFormat="1">
      <c r="A51" s="30">
        <v>6948263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0.74399999999999999</v>
      </c>
      <c r="H51" s="18">
        <f>G51*D51</f>
        <v>0</v>
      </c>
      <c r="I51" s="18"/>
    </row>
    <row r="52" spans="1:9" s="20" customFormat="1">
      <c r="A52" s="30">
        <v>6948249</v>
      </c>
      <c r="B52" s="31" t="s">
        <v>70</v>
      </c>
      <c r="C52" s="17">
        <v>12</v>
      </c>
      <c r="D52" s="32"/>
      <c r="E52" s="32"/>
      <c r="F52" s="18">
        <f>D52/C52</f>
        <v>0</v>
      </c>
      <c r="G52" s="19">
        <v>0.82499999999999996</v>
      </c>
      <c r="H52" s="18">
        <f>G52*D52</f>
        <v>0</v>
      </c>
      <c r="I52" s="18"/>
    </row>
    <row r="53" spans="1:9">
      <c r="A53" s="11"/>
      <c r="B53" s="25" t="s">
        <v>11</v>
      </c>
      <c r="C53" s="11"/>
      <c r="D53" s="16"/>
      <c r="E53" s="16"/>
      <c r="F53" s="11"/>
      <c r="G53" s="11"/>
      <c r="H53" s="4">
        <f>SUM(H4:H52)</f>
        <v>0</v>
      </c>
      <c r="I53" s="11"/>
    </row>
  </sheetData>
  <autoFilter ref="A3:I3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2025-12-23T08:27:21Z</dcterms:modified>
</cp:coreProperties>
</file>