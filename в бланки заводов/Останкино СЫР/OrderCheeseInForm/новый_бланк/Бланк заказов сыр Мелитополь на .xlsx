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в бланки заводов\Останкино СЫР\OrderCheeseInForm\новый_бланк\"/>
    </mc:Choice>
  </mc:AlternateContent>
  <xr:revisionPtr revIDLastSave="0" documentId="13_ncr:1_{1865FB93-3CCB-4ABA-8283-2AF8521FE359}" xr6:coauthVersionLast="45" xr6:coauthVersionMax="45" xr10:uidLastSave="{00000000-0000-0000-0000-000000000000}"/>
  <bookViews>
    <workbookView xWindow="-120" yWindow="-120" windowWidth="29040" windowHeight="15840" tabRatio="500" xr2:uid="{00000000-000D-0000-FFFF-FFFF00000000}"/>
  </bookViews>
  <sheets>
    <sheet name="11.02" sheetId="1" r:id="rId1"/>
  </sheet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45" i="1" l="1"/>
  <c r="H41" i="1"/>
  <c r="F35" i="1"/>
  <c r="F29" i="1"/>
  <c r="H23" i="1"/>
  <c r="F17" i="1"/>
  <c r="H11" i="1"/>
  <c r="F4" i="1"/>
  <c r="H6" i="1"/>
  <c r="F6" i="1"/>
  <c r="H39" i="1"/>
  <c r="H38" i="1"/>
  <c r="F39" i="1"/>
  <c r="F38" i="1"/>
  <c r="H44" i="1"/>
  <c r="F44" i="1"/>
  <c r="H43" i="1"/>
  <c r="F43" i="1"/>
  <c r="H42" i="1"/>
  <c r="F42" i="1"/>
  <c r="H58" i="1"/>
  <c r="H57" i="1"/>
  <c r="H56" i="1"/>
  <c r="H55" i="1"/>
  <c r="H54" i="1"/>
  <c r="F58" i="1"/>
  <c r="F57" i="1"/>
  <c r="F56" i="1"/>
  <c r="F55" i="1"/>
  <c r="F54" i="1"/>
  <c r="H22" i="1"/>
  <c r="F22" i="1"/>
  <c r="H53" i="1"/>
  <c r="F53" i="1"/>
  <c r="H52" i="1"/>
  <c r="F52" i="1"/>
  <c r="F51" i="1"/>
  <c r="H51" i="1"/>
  <c r="H50" i="1"/>
  <c r="F50" i="1"/>
  <c r="H49" i="1"/>
  <c r="F49" i="1"/>
  <c r="H48" i="1"/>
  <c r="F48" i="1"/>
  <c r="F46" i="1"/>
  <c r="F47" i="1"/>
  <c r="F27" i="1"/>
  <c r="H47" i="1"/>
  <c r="H5" i="1"/>
  <c r="H7" i="1"/>
  <c r="H25" i="1"/>
  <c r="H46" i="1"/>
  <c r="H40" i="1"/>
  <c r="F40" i="1"/>
  <c r="H37" i="1"/>
  <c r="H36" i="1"/>
  <c r="F36" i="1"/>
  <c r="F37" i="1"/>
  <c r="F5" i="1"/>
  <c r="H9" i="1"/>
  <c r="H12" i="1"/>
  <c r="F12" i="1"/>
  <c r="F9" i="1"/>
  <c r="H16" i="1"/>
  <c r="F16" i="1"/>
  <c r="H14" i="1"/>
  <c r="F14" i="1"/>
  <c r="F10" i="1"/>
  <c r="H10" i="1"/>
  <c r="F15" i="1"/>
  <c r="H17" i="1"/>
  <c r="F34" i="1"/>
  <c r="H33" i="1"/>
  <c r="H34" i="1"/>
  <c r="F30" i="1"/>
  <c r="H15" i="1"/>
  <c r="F33" i="1"/>
  <c r="F32" i="1"/>
  <c r="F31" i="1"/>
  <c r="H30" i="1"/>
  <c r="F19" i="1"/>
  <c r="H19" i="1"/>
  <c r="H20" i="1"/>
  <c r="F20" i="1"/>
  <c r="F21" i="1"/>
  <c r="H24" i="1"/>
  <c r="F24" i="1"/>
  <c r="H26" i="1"/>
  <c r="F26" i="1"/>
  <c r="H27" i="1"/>
  <c r="H28" i="1"/>
  <c r="F28" i="1"/>
  <c r="H31" i="1"/>
  <c r="H32" i="1"/>
  <c r="F8" i="1"/>
  <c r="F7" i="1"/>
  <c r="F25" i="1"/>
  <c r="H21" i="1"/>
  <c r="H18" i="1"/>
  <c r="H13" i="1"/>
  <c r="H8" i="1"/>
  <c r="F18" i="1"/>
  <c r="F13" i="1"/>
  <c r="F45" i="1"/>
  <c r="F23" i="1"/>
  <c r="F41" i="1"/>
  <c r="F11" i="1"/>
  <c r="H35" i="1"/>
  <c r="H29" i="1"/>
  <c r="H4" i="1"/>
  <c r="H59" i="1"/>
</calcChain>
</file>

<file path=xl/sharedStrings.xml><?xml version="1.0" encoding="utf-8"?>
<sst xmlns="http://schemas.openxmlformats.org/spreadsheetml/2006/main" count="82" uniqueCount="79">
  <si>
    <t>пример заполнения</t>
  </si>
  <si>
    <t>Артикул</t>
  </si>
  <si>
    <t>Наименование</t>
  </si>
  <si>
    <t>Кол-во в коробе</t>
  </si>
  <si>
    <t>Заказ в штуках</t>
  </si>
  <si>
    <t>Заказ в кг для весовой продукции</t>
  </si>
  <si>
    <t>Заказ в коробах</t>
  </si>
  <si>
    <t>Заказ в кг</t>
  </si>
  <si>
    <t>Комментарии</t>
  </si>
  <si>
    <t>Штучный сыр заполняется в этой колонке</t>
  </si>
  <si>
    <t>Весовой сыр заполняется в этой колонке</t>
  </si>
  <si>
    <t>Вес 1 штучки или 1 бруса</t>
  </si>
  <si>
    <t>ИТОГО вес поставки в КГ</t>
  </si>
  <si>
    <t>Средний вес короба 16,5( вес 1 брус 3,2кг)</t>
  </si>
  <si>
    <t>Средний вес короба 7,8( вес 1 цилиндра 1,3кг)</t>
  </si>
  <si>
    <t>Сыр Чечил копченый 43% 100г/6шт ТМ Папа Может</t>
  </si>
  <si>
    <t>Сыр Чечил свежий 45% 100г/6шт ТМ Папа Может</t>
  </si>
  <si>
    <t>Сыр Боккончини копченый 40% 100г/8шт ТМ Папа Может</t>
  </si>
  <si>
    <t>Творожный Сыр 60% Сливочный  СТМ "ПапаМожет"- 140гр</t>
  </si>
  <si>
    <t>Творожный Сыр 60 % С зеленью СТМ "ПапаМожет-" 140гр</t>
  </si>
  <si>
    <t>Сыр "Пармезан" (срок созревания 3 мес) м.д.ж. в с.в. 40% фас в газ.среда 180 г ОСТАНКИНО</t>
  </si>
  <si>
    <t>Сыр «Алтайский Gold» («Алтайский Золотой») с м.д.ж. в сухом веществе 50%, ТМ "Останкино" цилиндр 1,5 кг</t>
  </si>
  <si>
    <t>Сыр полутвердый "Сметанковый", с массовой долей жира в пересчете на сухое вещество 50%,  брус из блока 1/5, пленка желтая, короб складной, ТМ "Папа мо</t>
  </si>
  <si>
    <t>Плавленый Сыр колбасный копченый 40% СТМ "ПапаМожет" 400гр</t>
  </si>
  <si>
    <t>Плавленый продукт с Сыром колбасный копченый 40% СТМ "Коровино" 400гр</t>
  </si>
  <si>
    <t>Плавленый Сыр 45% "С ветчиной" СТМ "ПапаМожет" 180гр</t>
  </si>
  <si>
    <t>Плавленый Сыр 45% "С грибами" СТМ "ПапаМожет" 180гр</t>
  </si>
  <si>
    <t>Творожный Сыр 60 % С маринованными огурчиками и укропом СТМ "ПапаМожет" 140гр</t>
  </si>
  <si>
    <t>Сыр ПАПА МОЖЕТ "Голландский традиционный" фасованный массовая доля жира в сухом веществе 45 %, пленка полимерная, газовая среда, 180 г</t>
  </si>
  <si>
    <t>Сыр ПАПА МОЖЕТ "Гауда Голд" фасованный массовая доля жира в сухом веществе 45 %, пленка полимерная, газовая среда, 180 г</t>
  </si>
  <si>
    <t>Сыр ПАПА МОЖЕТ "Российский традиционный" фасованный массовая доля жира в сухом веществе 45 %, пленка полимерная, газовая среда, 180 г</t>
  </si>
  <si>
    <t>Сыр ПАПА МОЖЕТ "Тильзитер" фасованный массовая доля жира в сухом веществе 45 %, пленка полимерная, газовая среда, 180 г</t>
  </si>
  <si>
    <t>Плавленый сыр "Сливочный" 45% 180 гр ТМ "ПАПА МОЖЕТ"</t>
  </si>
  <si>
    <t>Плавленый сыр "Шоколадный" 30% 180 гр ТМ "ПАПА МОЖЕТ"</t>
  </si>
  <si>
    <t>Сыр ПАПА МОЖЕТ "Министерский" фасованный массовая доля жира в сухом веществе 45 %, пленка полимерная, газовая среда, 180 г</t>
  </si>
  <si>
    <t>Масло сливочное ПАПА МОЖЕТ 72.5%, фас. в фольгу, 180гр</t>
  </si>
  <si>
    <t>Сыр ПАПА МОЖЕТ "Папин завтрак" фасованный массовая доля жира в сухом веществе 45 %, пленка полимерная, газовая среда, 180 г</t>
  </si>
  <si>
    <t>Масло сливочное ПАПА МОЖЕТ 82.5%, фас. в фольгу, 180гр</t>
  </si>
  <si>
    <t>Сыр ПАПА МОЖЕТ "Тильзитер" ж. 45% газ.среда, 400 гр (8 шт)</t>
  </si>
  <si>
    <t>Сыр ПАПА МОЖЕТ "Папин завтрак" ж. 45% газ.среда, 400 гр (8 шт)</t>
  </si>
  <si>
    <t>Сыр ПАПА МОЖЕТ "Министерский" ж. 45% газ.среда, 400 гр (8 шт)</t>
  </si>
  <si>
    <t>\</t>
  </si>
  <si>
    <t>Сыр полутвердый "Гауда", с массовой долей жира в пересчете на сухое вещество 45%, брус из блока 1/5, пленка желтая, короб складной ТМ Папа может</t>
  </si>
  <si>
    <t>Сыр полутвердый "Российский" 3,2 кг, 50%, "Папа Может" ЮГ</t>
  </si>
  <si>
    <t>Сыр Перлини 40% 100гр (8шт)</t>
  </si>
  <si>
    <t>Сыр Перлини копченый 40% 100гр (8шт)</t>
  </si>
  <si>
    <t>Сыр Перлини со вкусом Васаби 40% 100гр (8шт)</t>
  </si>
  <si>
    <t>Сыр полутвердый "Тильзитер" с массовой долей жира в пересчете на сухое вещество 45%, брус из блока 1/5, пленка желтая, короб складной, весовой</t>
  </si>
  <si>
    <t>Сыр Голландский 45%. Нарезка 125г ТМ Папа Может</t>
  </si>
  <si>
    <t>Сыр Российский Особый 45%. Нарезка 125г  ТМ Папа Может</t>
  </si>
  <si>
    <t>Продукт По-Российски Классический с заменителем молочного жира мдж 50% 200г фасовка ТМ Коровино</t>
  </si>
  <si>
    <t>Продукт По-Российски Классический с заменителем молочного жира мдж 50% ТМ Коровино</t>
  </si>
  <si>
    <t>Средний вес короба 20( вес 1 брус 2,5кг)</t>
  </si>
  <si>
    <t>Сметанковый 50% 200г фасовка ТМ Коровино</t>
  </si>
  <si>
    <t>Продукт белково-жировой Сметанковый 50% вес ТМ Коровино</t>
  </si>
  <si>
    <t>Спред растительно-сливочный «Сливочный вкус» 82,5% 180гр</t>
  </si>
  <si>
    <t>Спред растительно-сливочный «Сливочный вкус» 72,5% 180гр</t>
  </si>
  <si>
    <t>Сырный продукт Моцарелла 45% (батоны) 1,0кг ТМ "КОРОВИНО"</t>
  </si>
  <si>
    <t>Сыр твердый "Пармезан", с массовой долей жира в пересчете на сухое вещество 35%, цилиндр 1/4, пленка</t>
  </si>
  <si>
    <t>Средний вес короба 6 ( вес 1 брус 1,5кг)</t>
  </si>
  <si>
    <t>Сыр Скаморца свежий 100г/8шт ТМ Папа Может</t>
  </si>
  <si>
    <t>Майонез провансаль классический с массовой долей жира 67% ТМ «ПАПА МОЖЕТ» 372г дой-пак с дозатором</t>
  </si>
  <si>
    <t>Майонез провансаль классический с массовой долей жира 67% ТМ "ПАПА МОЖЕТ" 744 г дой-пак с дозатором</t>
  </si>
  <si>
    <t>Майонез провансаль классический оливковый с массовой долей жира 67%ТМ «ПАПА МОЖЕТ» 372г дой-пак с дозатором</t>
  </si>
  <si>
    <t>Майонез провансаль классический оливковый с массовой долей жира 67%ТМ «ПАПА МОЖЕТ» 744г дой-пак с дозатором</t>
  </si>
  <si>
    <t>Майонезный соус провансаль деликатесный с массовой долей жира 25%ТМ "Коровино" 824,5 г</t>
  </si>
  <si>
    <t>783К798</t>
  </si>
  <si>
    <t>Сыч/Прод Коровино Российский 50% 200г  СЗМЖ</t>
  </si>
  <si>
    <t>783К811</t>
  </si>
  <si>
    <t>Сыч/Прод Коровино Российский Оригин  50% вес  (3,5 кг брус) СЗМЖ</t>
  </si>
  <si>
    <t>Средний вес короба 15( вес 1 бруса 3,5 кг)</t>
  </si>
  <si>
    <t>783К801</t>
  </si>
  <si>
    <t>Сыч/Прод Коровино Тильзитер 50% 200г  СЗМЖ</t>
  </si>
  <si>
    <t>783К825</t>
  </si>
  <si>
    <t>Сыч/Прод Коровино Тильзитер Оригин  50% вес  (3,5 кг брус) СЗМЖ</t>
  </si>
  <si>
    <t>Сыр Косичка сырная 45% 100г/8шт ТМ Папа Может</t>
  </si>
  <si>
    <t>Сыр Косичка сырная копченая 43% 100г/8шт ТМ Папа Может</t>
  </si>
  <si>
    <t>Сыр полутвердый Российский, цилиндр, 1/4, пленка с логотипом ЮКМП, массовая доля жира в сухом веществе 50%</t>
  </si>
  <si>
    <t>Новое Время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</si>
</sst>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0"/>
      <color indexed="8"/>
      <name val="Liberation Sans1"/>
      <charset val="204"/>
    </font>
    <font>
      <b/>
      <sz val="10"/>
      <name val="Arial Cyr"/>
      <charset val="204"/>
    </font>
    <font>
      <b/>
      <sz val="10"/>
      <name val="Liberation Sans1"/>
      <charset val="204"/>
    </font>
    <font>
      <sz val="10"/>
      <name val="Arial Cyr"/>
      <charset val="204"/>
    </font>
    <font>
      <sz val="10"/>
      <name val="Liberation Sans1"/>
      <charset val="204"/>
    </font>
    <font>
      <b/>
      <sz val="10"/>
      <name val="Arial"/>
      <family val="2"/>
      <charset val="204"/>
    </font>
    <font>
      <b/>
      <sz val="10"/>
      <color theme="1"/>
      <name val="Liberation Sans1"/>
      <charset val="204"/>
    </font>
    <font>
      <b/>
      <sz val="10"/>
      <color theme="1"/>
      <name val="Arial"/>
      <family val="2"/>
      <charset val="204"/>
    </font>
    <font>
      <b/>
      <sz val="10"/>
      <color theme="1"/>
      <name val="Arial Cyr"/>
      <charset val="204"/>
    </font>
    <font>
      <sz val="10"/>
      <color theme="1"/>
      <name val="Liberation Sans1"/>
      <charset val="204"/>
    </font>
    <font>
      <sz val="10"/>
      <color theme="1"/>
      <name val="Arial Cyr"/>
      <charset val="204"/>
    </font>
    <font>
      <b/>
      <u/>
      <sz val="10"/>
      <color theme="1"/>
      <name val="Arial2"/>
      <charset val="204"/>
    </font>
    <font>
      <b/>
      <u/>
      <sz val="10"/>
      <color theme="1"/>
      <name val="Liberation Sans1"/>
      <charset val="204"/>
    </font>
    <font>
      <b/>
      <sz val="10"/>
      <color rgb="FFFF0000"/>
      <name val="Arial Cyr"/>
      <charset val="204"/>
    </font>
    <font>
      <b/>
      <sz val="10"/>
      <color rgb="FFFF0000"/>
      <name val="Liberation Sans1"/>
      <charset val="204"/>
    </font>
    <font>
      <b/>
      <sz val="10"/>
      <color rgb="FFFF0000"/>
      <name val="Arial"/>
      <family val="2"/>
      <charset val="204"/>
    </font>
    <font>
      <sz val="10"/>
      <color rgb="FFFF0000"/>
      <name val="Arial Cyr"/>
      <charset val="204"/>
    </font>
    <font>
      <sz val="10"/>
      <color rgb="FFFF0000"/>
      <name val="Liberation Sans1"/>
      <charset val="204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indexed="13"/>
        <bgColor indexed="3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1" fontId="6" fillId="2" borderId="1" xfId="0" applyNumberFormat="1" applyFont="1" applyFill="1" applyBorder="1" applyAlignment="1">
      <alignment horizontal="left"/>
    </xf>
    <xf numFmtId="0" fontId="7" fillId="2" borderId="1" xfId="0" applyNumberFormat="1" applyFont="1" applyFill="1" applyBorder="1" applyAlignment="1"/>
    <xf numFmtId="0" fontId="8" fillId="2" borderId="1" xfId="0" applyNumberFormat="1" applyFont="1" applyFill="1" applyBorder="1" applyAlignment="1">
      <alignment horizontal="left"/>
    </xf>
    <xf numFmtId="0" fontId="6" fillId="0" borderId="1" xfId="0" applyNumberFormat="1" applyFont="1" applyBorder="1"/>
    <xf numFmtId="0" fontId="7" fillId="0" borderId="1" xfId="0" applyNumberFormat="1" applyFont="1" applyFill="1" applyBorder="1" applyAlignment="1"/>
    <xf numFmtId="0" fontId="9" fillId="0" borderId="0" xfId="0" applyNumberFormat="1" applyFont="1"/>
    <xf numFmtId="0" fontId="9" fillId="0" borderId="0" xfId="0" applyNumberFormat="1" applyFont="1" applyAlignment="1">
      <alignment horizontal="center"/>
    </xf>
    <xf numFmtId="0" fontId="6" fillId="3" borderId="1" xfId="0" applyNumberFormat="1" applyFont="1" applyFill="1" applyBorder="1"/>
    <xf numFmtId="0" fontId="9" fillId="0" borderId="1" xfId="0" applyNumberFormat="1" applyFont="1" applyBorder="1"/>
    <xf numFmtId="0" fontId="9" fillId="4" borderId="1" xfId="0" applyNumberFormat="1" applyFont="1" applyFill="1" applyBorder="1" applyAlignment="1">
      <alignment horizontal="center" wrapText="1"/>
    </xf>
    <xf numFmtId="0" fontId="10" fillId="2" borderId="1" xfId="0" applyNumberFormat="1" applyFont="1" applyFill="1" applyBorder="1" applyAlignment="1">
      <alignment horizontal="center" vertical="center"/>
    </xf>
    <xf numFmtId="0" fontId="9" fillId="0" borderId="1" xfId="0" applyNumberFormat="1" applyFont="1" applyFill="1" applyBorder="1" applyAlignment="1">
      <alignment horizontal="center"/>
    </xf>
    <xf numFmtId="0" fontId="10" fillId="0" borderId="1" xfId="0" applyNumberFormat="1" applyFont="1" applyFill="1" applyBorder="1" applyAlignment="1">
      <alignment horizontal="center" vertical="center"/>
    </xf>
    <xf numFmtId="0" fontId="9" fillId="0" borderId="1" xfId="0" applyNumberFormat="1" applyFont="1" applyBorder="1" applyAlignment="1">
      <alignment horizontal="center"/>
    </xf>
    <xf numFmtId="0" fontId="9" fillId="0" borderId="1" xfId="0" applyFont="1" applyBorder="1"/>
    <xf numFmtId="0" fontId="9" fillId="0" borderId="1" xfId="0" applyNumberFormat="1" applyFont="1" applyBorder="1" applyAlignment="1"/>
    <xf numFmtId="0" fontId="11" fillId="0" borderId="1" xfId="0" applyNumberFormat="1" applyFont="1" applyBorder="1"/>
    <xf numFmtId="0" fontId="11" fillId="0" borderId="1" xfId="0" applyNumberFormat="1" applyFont="1" applyFill="1" applyBorder="1" applyAlignment="1">
      <alignment horizontal="center"/>
    </xf>
    <xf numFmtId="0" fontId="12" fillId="0" borderId="1" xfId="0" applyNumberFormat="1" applyFont="1" applyBorder="1"/>
    <xf numFmtId="0" fontId="7" fillId="2" borderId="1" xfId="0" applyNumberFormat="1" applyFont="1" applyFill="1" applyBorder="1"/>
    <xf numFmtId="0" fontId="7" fillId="2" borderId="1" xfId="0" applyNumberFormat="1" applyFont="1" applyFill="1" applyBorder="1" applyAlignment="1">
      <alignment wrapText="1"/>
    </xf>
    <xf numFmtId="0" fontId="13" fillId="2" borderId="1" xfId="0" applyNumberFormat="1" applyFont="1" applyFill="1" applyBorder="1" applyAlignment="1">
      <alignment horizontal="left"/>
    </xf>
    <xf numFmtId="0" fontId="14" fillId="0" borderId="1" xfId="0" applyNumberFormat="1" applyFont="1" applyBorder="1"/>
    <xf numFmtId="0" fontId="7" fillId="0" borderId="1" xfId="0" applyNumberFormat="1" applyFont="1" applyFill="1" applyBorder="1" applyAlignment="1">
      <alignment wrapText="1"/>
    </xf>
    <xf numFmtId="2" fontId="7" fillId="2" borderId="1" xfId="0" applyNumberFormat="1" applyFont="1" applyFill="1" applyBorder="1" applyAlignment="1"/>
    <xf numFmtId="0" fontId="1" fillId="2" borderId="1" xfId="0" applyNumberFormat="1" applyFont="1" applyFill="1" applyBorder="1" applyAlignment="1">
      <alignment horizontal="left"/>
    </xf>
    <xf numFmtId="0" fontId="2" fillId="0" borderId="1" xfId="0" applyNumberFormat="1" applyFont="1" applyBorder="1"/>
    <xf numFmtId="0" fontId="3" fillId="2" borderId="1" xfId="0" applyNumberFormat="1" applyFont="1" applyFill="1" applyBorder="1" applyAlignment="1">
      <alignment horizontal="center" vertical="center"/>
    </xf>
    <xf numFmtId="0" fontId="4" fillId="0" borderId="1" xfId="0" applyNumberFormat="1" applyFont="1" applyBorder="1" applyAlignment="1">
      <alignment horizontal="center"/>
    </xf>
    <xf numFmtId="0" fontId="4" fillId="0" borderId="1" xfId="0" applyNumberFormat="1" applyFont="1" applyBorder="1"/>
    <xf numFmtId="0" fontId="5" fillId="2" borderId="1" xfId="0" applyNumberFormat="1" applyFont="1" applyFill="1" applyBorder="1" applyAlignment="1"/>
    <xf numFmtId="0" fontId="4" fillId="0" borderId="0" xfId="0" applyNumberFormat="1" applyFont="1"/>
    <xf numFmtId="0" fontId="8" fillId="2" borderId="1" xfId="0" applyFont="1" applyFill="1" applyBorder="1" applyAlignment="1">
      <alignment horizontal="left"/>
    </xf>
    <xf numFmtId="0" fontId="7" fillId="2" borderId="1" xfId="0" applyFont="1" applyFill="1" applyBorder="1"/>
    <xf numFmtId="0" fontId="10" fillId="2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9" fillId="0" borderId="0" xfId="0" applyFont="1"/>
    <xf numFmtId="1" fontId="14" fillId="2" borderId="1" xfId="0" applyNumberFormat="1" applyFont="1" applyFill="1" applyBorder="1" applyAlignment="1">
      <alignment horizontal="left"/>
    </xf>
    <xf numFmtId="0" fontId="15" fillId="2" borderId="1" xfId="0" applyNumberFormat="1" applyFont="1" applyFill="1" applyBorder="1" applyAlignment="1">
      <alignment wrapText="1"/>
    </xf>
    <xf numFmtId="0" fontId="16" fillId="2" borderId="1" xfId="0" applyNumberFormat="1" applyFont="1" applyFill="1" applyBorder="1" applyAlignment="1">
      <alignment horizontal="center" vertical="center"/>
    </xf>
    <xf numFmtId="0" fontId="17" fillId="0" borderId="1" xfId="0" applyNumberFormat="1" applyFont="1" applyFill="1" applyBorder="1" applyAlignment="1">
      <alignment horizontal="center"/>
    </xf>
    <xf numFmtId="0" fontId="17" fillId="0" borderId="1" xfId="0" applyNumberFormat="1" applyFont="1" applyBorder="1"/>
    <xf numFmtId="0" fontId="15" fillId="2" borderId="1" xfId="0" applyNumberFormat="1" applyFont="1" applyFill="1" applyBorder="1" applyAlignment="1"/>
    <xf numFmtId="0" fontId="17" fillId="0" borderId="0" xfId="0" applyNumberFormat="1" applyFo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9"/>
  <sheetViews>
    <sheetView tabSelected="1" zoomScaleNormal="100" workbookViewId="0">
      <pane ySplit="3" topLeftCell="A4" activePane="bottomLeft" state="frozen"/>
      <selection pane="bottomLeft" activeCell="I7" sqref="I7"/>
    </sheetView>
  </sheetViews>
  <sheetFormatPr defaultColWidth="8.7109375" defaultRowHeight="12.75"/>
  <cols>
    <col min="1" max="1" width="10" style="6" customWidth="1"/>
    <col min="2" max="2" width="90.85546875" style="6" customWidth="1"/>
    <col min="3" max="3" width="18.140625" style="6" customWidth="1"/>
    <col min="4" max="5" width="21.5703125" style="7" customWidth="1"/>
    <col min="6" max="6" width="16.7109375" style="6" bestFit="1" customWidth="1"/>
    <col min="7" max="7" width="24.85546875" style="6" customWidth="1"/>
    <col min="8" max="8" width="16.28515625" style="6" customWidth="1"/>
    <col min="9" max="9" width="40.7109375" style="6" bestFit="1" customWidth="1"/>
    <col min="10" max="10" width="34.85546875" style="6" customWidth="1"/>
    <col min="11" max="16384" width="8.7109375" style="6"/>
  </cols>
  <sheetData>
    <row r="1" spans="1:9">
      <c r="A1" s="9"/>
      <c r="B1" s="9"/>
      <c r="C1" s="9"/>
      <c r="D1" s="16" t="s">
        <v>0</v>
      </c>
      <c r="E1" s="14"/>
      <c r="F1" s="9"/>
      <c r="G1" s="9"/>
      <c r="H1" s="9"/>
      <c r="I1" s="9"/>
    </row>
    <row r="2" spans="1:9" ht="38.25">
      <c r="A2" s="9" t="s">
        <v>41</v>
      </c>
      <c r="B2" s="8" t="s">
        <v>78</v>
      </c>
      <c r="C2" s="9"/>
      <c r="D2" s="10" t="s">
        <v>9</v>
      </c>
      <c r="E2" s="10" t="s">
        <v>10</v>
      </c>
      <c r="F2" s="9"/>
      <c r="G2" s="9"/>
      <c r="H2" s="9"/>
      <c r="I2" s="9"/>
    </row>
    <row r="3" spans="1:9">
      <c r="A3" s="17" t="s">
        <v>1</v>
      </c>
      <c r="B3" s="17" t="s">
        <v>2</v>
      </c>
      <c r="C3" s="17" t="s">
        <v>3</v>
      </c>
      <c r="D3" s="18" t="s">
        <v>4</v>
      </c>
      <c r="E3" s="18" t="s">
        <v>5</v>
      </c>
      <c r="F3" s="17" t="s">
        <v>6</v>
      </c>
      <c r="G3" s="19" t="s">
        <v>11</v>
      </c>
      <c r="H3" s="9" t="s">
        <v>7</v>
      </c>
      <c r="I3" s="9" t="s">
        <v>8</v>
      </c>
    </row>
    <row r="4" spans="1:9" ht="25.5">
      <c r="A4" s="1">
        <v>5038435</v>
      </c>
      <c r="B4" s="21" t="s">
        <v>30</v>
      </c>
      <c r="C4" s="11">
        <v>10</v>
      </c>
      <c r="D4" s="12"/>
      <c r="E4" s="12"/>
      <c r="F4" s="9">
        <f>D4/C4</f>
        <v>0</v>
      </c>
      <c r="G4" s="2">
        <v>0.18</v>
      </c>
      <c r="H4" s="9">
        <f>G4*D4</f>
        <v>0</v>
      </c>
      <c r="I4" s="9"/>
    </row>
    <row r="5" spans="1:9">
      <c r="A5" s="1">
        <v>8785204</v>
      </c>
      <c r="B5" s="2" t="s">
        <v>43</v>
      </c>
      <c r="C5" s="11">
        <v>5</v>
      </c>
      <c r="D5" s="12"/>
      <c r="E5" s="12"/>
      <c r="F5" s="9">
        <f>E5/16.5</f>
        <v>0</v>
      </c>
      <c r="G5" s="2">
        <v>3.2</v>
      </c>
      <c r="H5" s="9">
        <f>E5</f>
        <v>0</v>
      </c>
      <c r="I5" s="9"/>
    </row>
    <row r="6" spans="1:9" s="44" customFormat="1" ht="25.5">
      <c r="A6" s="38">
        <v>8783323</v>
      </c>
      <c r="B6" s="39" t="s">
        <v>77</v>
      </c>
      <c r="C6" s="40">
        <v>8</v>
      </c>
      <c r="D6" s="41"/>
      <c r="E6" s="12"/>
      <c r="F6" s="42">
        <f>E5/15</f>
        <v>0</v>
      </c>
      <c r="G6" s="43">
        <v>1.8</v>
      </c>
      <c r="H6" s="42">
        <f>E6</f>
        <v>0</v>
      </c>
      <c r="I6" s="42"/>
    </row>
    <row r="7" spans="1:9" ht="25.5">
      <c r="A7" s="1">
        <v>5038459</v>
      </c>
      <c r="B7" s="21" t="s">
        <v>28</v>
      </c>
      <c r="C7" s="11">
        <v>10</v>
      </c>
      <c r="D7" s="12"/>
      <c r="E7" s="12"/>
      <c r="F7" s="9">
        <f>D7/C7</f>
        <v>0</v>
      </c>
      <c r="G7" s="2">
        <v>0.18</v>
      </c>
      <c r="H7" s="9">
        <f>G7*D7</f>
        <v>0</v>
      </c>
      <c r="I7" s="9"/>
    </row>
    <row r="8" spans="1:9" ht="25.5">
      <c r="A8" s="1">
        <v>5038411</v>
      </c>
      <c r="B8" s="21" t="s">
        <v>29</v>
      </c>
      <c r="C8" s="11">
        <v>10</v>
      </c>
      <c r="D8" s="12"/>
      <c r="E8" s="12"/>
      <c r="F8" s="9">
        <f>D8/C8</f>
        <v>0</v>
      </c>
      <c r="G8" s="2">
        <v>0.18</v>
      </c>
      <c r="H8" s="9">
        <f>G8*D8</f>
        <v>0</v>
      </c>
      <c r="I8" s="9"/>
    </row>
    <row r="9" spans="1:9" ht="25.5">
      <c r="A9" s="3">
        <v>8785242</v>
      </c>
      <c r="B9" s="21" t="s">
        <v>42</v>
      </c>
      <c r="C9" s="11">
        <v>5</v>
      </c>
      <c r="D9" s="12"/>
      <c r="E9" s="12"/>
      <c r="F9" s="9">
        <f>E9/16.5</f>
        <v>0</v>
      </c>
      <c r="G9" s="9">
        <v>3.5</v>
      </c>
      <c r="H9" s="9">
        <f>E9</f>
        <v>0</v>
      </c>
      <c r="I9" s="9" t="s">
        <v>13</v>
      </c>
    </row>
    <row r="10" spans="1:9" ht="25.5">
      <c r="A10" s="1">
        <v>5038398</v>
      </c>
      <c r="B10" s="21" t="s">
        <v>31</v>
      </c>
      <c r="C10" s="11">
        <v>10</v>
      </c>
      <c r="D10" s="12"/>
      <c r="E10" s="12"/>
      <c r="F10" s="9">
        <f>D10/C10</f>
        <v>0</v>
      </c>
      <c r="G10" s="2">
        <v>0.18</v>
      </c>
      <c r="H10" s="9">
        <f>G10*D10</f>
        <v>0</v>
      </c>
      <c r="I10" s="9"/>
    </row>
    <row r="11" spans="1:9">
      <c r="A11" s="1">
        <v>5039609</v>
      </c>
      <c r="B11" s="2" t="s">
        <v>38</v>
      </c>
      <c r="C11" s="11">
        <v>8</v>
      </c>
      <c r="D11" s="12"/>
      <c r="E11" s="12"/>
      <c r="F11" s="9">
        <f>D11/C11</f>
        <v>0</v>
      </c>
      <c r="G11" s="2">
        <v>0.4</v>
      </c>
      <c r="H11" s="9">
        <f>G11*D11</f>
        <v>0</v>
      </c>
      <c r="I11" s="9"/>
    </row>
    <row r="12" spans="1:9" ht="25.5">
      <c r="A12" s="3">
        <v>8785259</v>
      </c>
      <c r="B12" s="21" t="s">
        <v>47</v>
      </c>
      <c r="C12" s="11">
        <v>5</v>
      </c>
      <c r="D12" s="12"/>
      <c r="E12" s="12"/>
      <c r="F12" s="9">
        <f>E12/16.5</f>
        <v>0</v>
      </c>
      <c r="G12" s="9">
        <v>3.5</v>
      </c>
      <c r="H12" s="9">
        <f>E12</f>
        <v>0</v>
      </c>
      <c r="I12" s="9"/>
    </row>
    <row r="13" spans="1:9" ht="25.5">
      <c r="A13" s="3">
        <v>5038855</v>
      </c>
      <c r="B13" s="24" t="s">
        <v>36</v>
      </c>
      <c r="C13" s="11">
        <v>10</v>
      </c>
      <c r="D13" s="12"/>
      <c r="E13" s="12"/>
      <c r="F13" s="9">
        <f t="shared" ref="F13:F18" si="0">D13/C13</f>
        <v>0</v>
      </c>
      <c r="G13" s="2">
        <v>0.2</v>
      </c>
      <c r="H13" s="9">
        <f>G13*D13</f>
        <v>0</v>
      </c>
      <c r="I13" s="9"/>
    </row>
    <row r="14" spans="1:9">
      <c r="A14" s="3">
        <v>5039647</v>
      </c>
      <c r="B14" s="5" t="s">
        <v>39</v>
      </c>
      <c r="C14" s="11">
        <v>8</v>
      </c>
      <c r="D14" s="12"/>
      <c r="E14" s="12"/>
      <c r="F14" s="9">
        <f t="shared" si="0"/>
        <v>0</v>
      </c>
      <c r="G14" s="2">
        <v>0.4</v>
      </c>
      <c r="H14" s="9">
        <f>G14*D14</f>
        <v>0</v>
      </c>
      <c r="I14" s="9"/>
    </row>
    <row r="15" spans="1:9" ht="25.5">
      <c r="A15" s="3">
        <v>5038831</v>
      </c>
      <c r="B15" s="21" t="s">
        <v>34</v>
      </c>
      <c r="C15" s="13">
        <v>10</v>
      </c>
      <c r="D15" s="12"/>
      <c r="E15" s="12"/>
      <c r="F15" s="9">
        <f t="shared" si="0"/>
        <v>0</v>
      </c>
      <c r="G15" s="2">
        <v>0.18</v>
      </c>
      <c r="H15" s="9">
        <f>G15*D15</f>
        <v>0</v>
      </c>
      <c r="I15" s="9"/>
    </row>
    <row r="16" spans="1:9">
      <c r="A16" s="3">
        <v>5039623</v>
      </c>
      <c r="B16" s="2" t="s">
        <v>40</v>
      </c>
      <c r="C16" s="13">
        <v>8</v>
      </c>
      <c r="D16" s="12"/>
      <c r="E16" s="12"/>
      <c r="F16" s="9">
        <f t="shared" si="0"/>
        <v>0</v>
      </c>
      <c r="G16" s="2">
        <v>0.4</v>
      </c>
      <c r="H16" s="9">
        <f>G16*D16</f>
        <v>0</v>
      </c>
      <c r="I16" s="9"/>
    </row>
    <row r="17" spans="1:9">
      <c r="A17" s="3">
        <v>1018950</v>
      </c>
      <c r="B17" s="2" t="s">
        <v>35</v>
      </c>
      <c r="C17" s="11">
        <v>10</v>
      </c>
      <c r="D17" s="12"/>
      <c r="E17" s="12"/>
      <c r="F17" s="9">
        <f t="shared" si="0"/>
        <v>0</v>
      </c>
      <c r="G17" s="2">
        <v>0.18</v>
      </c>
      <c r="H17" s="9">
        <f t="shared" ref="H17:H25" si="1">G17*D17</f>
        <v>0</v>
      </c>
      <c r="I17" s="9"/>
    </row>
    <row r="18" spans="1:9">
      <c r="A18" s="3">
        <v>1018967</v>
      </c>
      <c r="B18" s="2" t="s">
        <v>37</v>
      </c>
      <c r="C18" s="11">
        <v>10</v>
      </c>
      <c r="D18" s="12"/>
      <c r="E18" s="12"/>
      <c r="F18" s="9">
        <f t="shared" si="0"/>
        <v>0</v>
      </c>
      <c r="G18" s="2">
        <v>0.18</v>
      </c>
      <c r="H18" s="9">
        <f t="shared" si="1"/>
        <v>0</v>
      </c>
      <c r="I18" s="9"/>
    </row>
    <row r="19" spans="1:9">
      <c r="A19" s="3">
        <v>8444194</v>
      </c>
      <c r="B19" s="4" t="s">
        <v>15</v>
      </c>
      <c r="C19" s="11">
        <v>6</v>
      </c>
      <c r="D19" s="14"/>
      <c r="E19" s="12"/>
      <c r="F19" s="9">
        <f t="shared" ref="F19:F25" si="2">D19/C19</f>
        <v>0</v>
      </c>
      <c r="G19" s="2">
        <v>0.1</v>
      </c>
      <c r="H19" s="9">
        <f t="shared" si="1"/>
        <v>0</v>
      </c>
      <c r="I19" s="9"/>
    </row>
    <row r="20" spans="1:9">
      <c r="A20" s="3">
        <v>8444187</v>
      </c>
      <c r="B20" s="4" t="s">
        <v>16</v>
      </c>
      <c r="C20" s="11">
        <v>6</v>
      </c>
      <c r="D20" s="14"/>
      <c r="E20" s="12"/>
      <c r="F20" s="9">
        <f t="shared" si="2"/>
        <v>0</v>
      </c>
      <c r="G20" s="2">
        <v>0.1</v>
      </c>
      <c r="H20" s="9">
        <f t="shared" si="1"/>
        <v>0</v>
      </c>
      <c r="I20" s="9"/>
    </row>
    <row r="21" spans="1:9">
      <c r="A21" s="3">
        <v>8444163</v>
      </c>
      <c r="B21" s="4" t="s">
        <v>17</v>
      </c>
      <c r="C21" s="11">
        <v>8</v>
      </c>
      <c r="D21" s="14"/>
      <c r="E21" s="12"/>
      <c r="F21" s="9">
        <f t="shared" si="2"/>
        <v>0</v>
      </c>
      <c r="G21" s="2">
        <v>0.1</v>
      </c>
      <c r="H21" s="9">
        <f t="shared" si="1"/>
        <v>0</v>
      </c>
      <c r="I21" s="9"/>
    </row>
    <row r="22" spans="1:9">
      <c r="A22" s="3">
        <v>8444170</v>
      </c>
      <c r="B22" s="4" t="s">
        <v>60</v>
      </c>
      <c r="C22" s="11">
        <v>8</v>
      </c>
      <c r="D22" s="14"/>
      <c r="E22" s="12"/>
      <c r="F22" s="9">
        <f>D22/C22</f>
        <v>0</v>
      </c>
      <c r="G22" s="2">
        <v>0.1</v>
      </c>
      <c r="H22" s="9">
        <f t="shared" si="1"/>
        <v>0</v>
      </c>
      <c r="I22" s="9"/>
    </row>
    <row r="23" spans="1:9">
      <c r="A23" s="3">
        <v>9988377</v>
      </c>
      <c r="B23" s="4" t="s">
        <v>18</v>
      </c>
      <c r="C23" s="11">
        <v>16</v>
      </c>
      <c r="D23" s="14"/>
      <c r="E23" s="12"/>
      <c r="F23" s="9">
        <f t="shared" si="2"/>
        <v>0</v>
      </c>
      <c r="G23" s="2">
        <v>0.14000000000000001</v>
      </c>
      <c r="H23" s="9">
        <f t="shared" si="1"/>
        <v>0</v>
      </c>
      <c r="I23" s="9"/>
    </row>
    <row r="24" spans="1:9">
      <c r="A24" s="3">
        <v>9988391</v>
      </c>
      <c r="B24" s="4" t="s">
        <v>19</v>
      </c>
      <c r="C24" s="11">
        <v>16</v>
      </c>
      <c r="D24" s="14"/>
      <c r="E24" s="12"/>
      <c r="F24" s="9">
        <f t="shared" si="2"/>
        <v>0</v>
      </c>
      <c r="G24" s="2">
        <v>0.14000000000000001</v>
      </c>
      <c r="H24" s="9">
        <f t="shared" si="1"/>
        <v>0</v>
      </c>
      <c r="I24" s="9"/>
    </row>
    <row r="25" spans="1:9">
      <c r="A25" s="3">
        <v>5034819</v>
      </c>
      <c r="B25" s="4" t="s">
        <v>20</v>
      </c>
      <c r="C25" s="11">
        <v>6</v>
      </c>
      <c r="D25" s="14"/>
      <c r="E25" s="12"/>
      <c r="F25" s="9">
        <f t="shared" si="2"/>
        <v>0</v>
      </c>
      <c r="G25" s="2">
        <v>0.18</v>
      </c>
      <c r="H25" s="9">
        <f t="shared" si="1"/>
        <v>0</v>
      </c>
      <c r="I25" s="9"/>
    </row>
    <row r="26" spans="1:9">
      <c r="A26" s="3">
        <v>2981244</v>
      </c>
      <c r="B26" s="4" t="s">
        <v>21</v>
      </c>
      <c r="C26" s="11">
        <v>6</v>
      </c>
      <c r="D26" s="14"/>
      <c r="E26" s="12"/>
      <c r="F26" s="9">
        <f>E26/7.8</f>
        <v>0</v>
      </c>
      <c r="G26" s="2">
        <v>1.3</v>
      </c>
      <c r="H26" s="9">
        <f>E26</f>
        <v>0</v>
      </c>
      <c r="I26" s="9" t="s">
        <v>14</v>
      </c>
    </row>
    <row r="27" spans="1:9">
      <c r="A27" s="3">
        <v>8785198</v>
      </c>
      <c r="B27" s="4" t="s">
        <v>22</v>
      </c>
      <c r="C27" s="11">
        <v>5</v>
      </c>
      <c r="D27" s="14"/>
      <c r="E27" s="12"/>
      <c r="F27" s="9">
        <f>E27/16.5</f>
        <v>0</v>
      </c>
      <c r="G27" s="2">
        <v>3.2</v>
      </c>
      <c r="H27" s="9">
        <f>E27</f>
        <v>0</v>
      </c>
      <c r="I27" s="9" t="s">
        <v>13</v>
      </c>
    </row>
    <row r="28" spans="1:9">
      <c r="A28" s="3">
        <v>9988452</v>
      </c>
      <c r="B28" s="4" t="s">
        <v>23</v>
      </c>
      <c r="C28" s="11">
        <v>8</v>
      </c>
      <c r="D28" s="14"/>
      <c r="E28" s="12"/>
      <c r="F28" s="9">
        <f t="shared" ref="F28:F33" si="3">D28/C28</f>
        <v>0</v>
      </c>
      <c r="G28" s="2">
        <v>0.4</v>
      </c>
      <c r="H28" s="9">
        <f t="shared" ref="H28:H33" si="4">G28*D28</f>
        <v>0</v>
      </c>
      <c r="I28" s="9"/>
    </row>
    <row r="29" spans="1:9">
      <c r="A29" s="3">
        <v>9988476</v>
      </c>
      <c r="B29" s="4" t="s">
        <v>24</v>
      </c>
      <c r="C29" s="11">
        <v>28</v>
      </c>
      <c r="D29" s="14"/>
      <c r="E29" s="12"/>
      <c r="F29" s="9">
        <f t="shared" si="3"/>
        <v>0</v>
      </c>
      <c r="G29" s="2">
        <v>0.4</v>
      </c>
      <c r="H29" s="9">
        <f t="shared" si="4"/>
        <v>0</v>
      </c>
      <c r="I29" s="9"/>
    </row>
    <row r="30" spans="1:9">
      <c r="A30" s="3">
        <v>9988681</v>
      </c>
      <c r="B30" s="4" t="s">
        <v>32</v>
      </c>
      <c r="C30" s="11">
        <v>16</v>
      </c>
      <c r="D30" s="14"/>
      <c r="E30" s="12"/>
      <c r="F30" s="9">
        <f>D30/C30</f>
        <v>0</v>
      </c>
      <c r="G30" s="2">
        <v>0.18</v>
      </c>
      <c r="H30" s="9">
        <f t="shared" si="4"/>
        <v>0</v>
      </c>
      <c r="I30" s="9"/>
    </row>
    <row r="31" spans="1:9">
      <c r="A31" s="3">
        <v>9988438</v>
      </c>
      <c r="B31" s="4" t="s">
        <v>25</v>
      </c>
      <c r="C31" s="11">
        <v>16</v>
      </c>
      <c r="D31" s="14"/>
      <c r="E31" s="12"/>
      <c r="F31" s="9">
        <f t="shared" si="3"/>
        <v>0</v>
      </c>
      <c r="G31" s="2">
        <v>0.18</v>
      </c>
      <c r="H31" s="9">
        <f t="shared" si="4"/>
        <v>0</v>
      </c>
      <c r="I31" s="9"/>
    </row>
    <row r="32" spans="1:9">
      <c r="A32" s="3">
        <v>9988445</v>
      </c>
      <c r="B32" s="4" t="s">
        <v>26</v>
      </c>
      <c r="C32" s="11">
        <v>16</v>
      </c>
      <c r="D32" s="14"/>
      <c r="E32" s="12"/>
      <c r="F32" s="9">
        <f t="shared" si="3"/>
        <v>0</v>
      </c>
      <c r="G32" s="2">
        <v>0.18</v>
      </c>
      <c r="H32" s="9">
        <f t="shared" si="4"/>
        <v>0</v>
      </c>
      <c r="I32" s="9"/>
    </row>
    <row r="33" spans="1:9">
      <c r="A33" s="3">
        <v>9988421</v>
      </c>
      <c r="B33" s="4" t="s">
        <v>27</v>
      </c>
      <c r="C33" s="11">
        <v>16</v>
      </c>
      <c r="D33" s="14"/>
      <c r="E33" s="12"/>
      <c r="F33" s="9">
        <f t="shared" si="3"/>
        <v>0</v>
      </c>
      <c r="G33" s="2">
        <v>0.14000000000000001</v>
      </c>
      <c r="H33" s="9">
        <f t="shared" si="4"/>
        <v>0</v>
      </c>
      <c r="I33" s="9"/>
    </row>
    <row r="34" spans="1:9">
      <c r="A34" s="3">
        <v>9988674</v>
      </c>
      <c r="B34" s="4" t="s">
        <v>33</v>
      </c>
      <c r="C34" s="11">
        <v>16</v>
      </c>
      <c r="D34" s="14"/>
      <c r="E34" s="12"/>
      <c r="F34" s="9">
        <f t="shared" ref="F34:F41" si="5">D34/C34</f>
        <v>0</v>
      </c>
      <c r="G34" s="2">
        <v>0.18</v>
      </c>
      <c r="H34" s="9">
        <f t="shared" ref="H34:H41" si="6">D34*G34</f>
        <v>0</v>
      </c>
      <c r="I34" s="9"/>
    </row>
    <row r="35" spans="1:9">
      <c r="A35" s="26">
        <v>8444903</v>
      </c>
      <c r="B35" s="27" t="s">
        <v>44</v>
      </c>
      <c r="C35" s="11">
        <v>8</v>
      </c>
      <c r="D35" s="14"/>
      <c r="E35" s="12"/>
      <c r="F35" s="9">
        <f t="shared" si="5"/>
        <v>0</v>
      </c>
      <c r="G35" s="2">
        <v>0.1</v>
      </c>
      <c r="H35" s="9">
        <f t="shared" si="6"/>
        <v>0</v>
      </c>
      <c r="I35" s="9"/>
    </row>
    <row r="36" spans="1:9">
      <c r="A36" s="26">
        <v>8444910</v>
      </c>
      <c r="B36" s="27" t="s">
        <v>45</v>
      </c>
      <c r="C36" s="11">
        <v>8</v>
      </c>
      <c r="D36" s="14"/>
      <c r="E36" s="12"/>
      <c r="F36" s="9">
        <f t="shared" si="5"/>
        <v>0</v>
      </c>
      <c r="G36" s="2">
        <v>0.1</v>
      </c>
      <c r="H36" s="9">
        <f t="shared" si="6"/>
        <v>0</v>
      </c>
      <c r="I36" s="9"/>
    </row>
    <row r="37" spans="1:9">
      <c r="A37" s="26">
        <v>8444927</v>
      </c>
      <c r="B37" s="27" t="s">
        <v>46</v>
      </c>
      <c r="C37" s="11">
        <v>8</v>
      </c>
      <c r="D37" s="14"/>
      <c r="E37" s="12"/>
      <c r="F37" s="9">
        <f t="shared" si="5"/>
        <v>0</v>
      </c>
      <c r="G37" s="2">
        <v>0.1</v>
      </c>
      <c r="H37" s="9">
        <f t="shared" si="6"/>
        <v>0</v>
      </c>
      <c r="I37" s="9"/>
    </row>
    <row r="38" spans="1:9">
      <c r="A38" s="22">
        <v>8445160</v>
      </c>
      <c r="B38" s="23" t="s">
        <v>75</v>
      </c>
      <c r="C38" s="11">
        <v>8</v>
      </c>
      <c r="D38" s="14"/>
      <c r="E38" s="12"/>
      <c r="F38" s="9">
        <f t="shared" si="5"/>
        <v>0</v>
      </c>
      <c r="G38" s="2">
        <v>0.1</v>
      </c>
      <c r="H38" s="9">
        <f>G38*D38</f>
        <v>0</v>
      </c>
      <c r="I38" s="9"/>
    </row>
    <row r="39" spans="1:9">
      <c r="A39" s="22">
        <v>8445177</v>
      </c>
      <c r="B39" s="23" t="s">
        <v>76</v>
      </c>
      <c r="C39" s="11">
        <v>8</v>
      </c>
      <c r="D39" s="14"/>
      <c r="E39" s="12"/>
      <c r="F39" s="9">
        <f t="shared" si="5"/>
        <v>0</v>
      </c>
      <c r="G39" s="2">
        <v>0.1</v>
      </c>
      <c r="H39" s="9">
        <f>G39*D39</f>
        <v>0</v>
      </c>
      <c r="I39" s="9"/>
    </row>
    <row r="40" spans="1:9" s="32" customFormat="1">
      <c r="A40" s="26">
        <v>6600454</v>
      </c>
      <c r="B40" s="27" t="s">
        <v>49</v>
      </c>
      <c r="C40" s="28">
        <v>12</v>
      </c>
      <c r="D40" s="29"/>
      <c r="E40" s="12"/>
      <c r="F40" s="30">
        <f t="shared" si="5"/>
        <v>0</v>
      </c>
      <c r="G40" s="31">
        <v>0.125</v>
      </c>
      <c r="H40" s="30">
        <f t="shared" si="6"/>
        <v>0</v>
      </c>
      <c r="I40" s="30"/>
    </row>
    <row r="41" spans="1:9" s="32" customFormat="1" ht="11.25" customHeight="1">
      <c r="A41" s="26">
        <v>6600447</v>
      </c>
      <c r="B41" s="27" t="s">
        <v>48</v>
      </c>
      <c r="C41" s="28">
        <v>12</v>
      </c>
      <c r="D41" s="29"/>
      <c r="E41" s="12"/>
      <c r="F41" s="30">
        <f t="shared" si="5"/>
        <v>0</v>
      </c>
      <c r="G41" s="31">
        <v>0.125</v>
      </c>
      <c r="H41" s="30">
        <f t="shared" si="6"/>
        <v>0</v>
      </c>
      <c r="I41" s="30"/>
    </row>
    <row r="42" spans="1:9" s="37" customFormat="1">
      <c r="A42" s="33" t="s">
        <v>66</v>
      </c>
      <c r="B42" s="34" t="s">
        <v>67</v>
      </c>
      <c r="C42" s="35">
        <v>10</v>
      </c>
      <c r="D42" s="36"/>
      <c r="E42" s="12"/>
      <c r="F42" s="15">
        <f>D42/C42</f>
        <v>0</v>
      </c>
      <c r="G42" s="34">
        <v>0.2</v>
      </c>
      <c r="H42" s="15">
        <f>G42*D42</f>
        <v>0</v>
      </c>
      <c r="I42" s="15"/>
    </row>
    <row r="43" spans="1:9" s="37" customFormat="1">
      <c r="A43" s="33" t="s">
        <v>68</v>
      </c>
      <c r="B43" s="34" t="s">
        <v>69</v>
      </c>
      <c r="C43" s="35">
        <v>4</v>
      </c>
      <c r="D43" s="36"/>
      <c r="E43" s="12"/>
      <c r="F43" s="15">
        <f>E43/15</f>
        <v>0</v>
      </c>
      <c r="G43" s="34">
        <v>3.5</v>
      </c>
      <c r="H43" s="15">
        <f>E43</f>
        <v>0</v>
      </c>
      <c r="I43" s="15" t="s">
        <v>70</v>
      </c>
    </row>
    <row r="44" spans="1:9" s="37" customFormat="1">
      <c r="A44" s="33" t="s">
        <v>71</v>
      </c>
      <c r="B44" s="34" t="s">
        <v>72</v>
      </c>
      <c r="C44" s="35">
        <v>10</v>
      </c>
      <c r="D44" s="36"/>
      <c r="E44" s="12"/>
      <c r="F44" s="15">
        <f>D44/C44</f>
        <v>0</v>
      </c>
      <c r="G44" s="34">
        <v>0.2</v>
      </c>
      <c r="H44" s="15">
        <f>G44*D44</f>
        <v>0</v>
      </c>
      <c r="I44" s="15"/>
    </row>
    <row r="45" spans="1:9" s="37" customFormat="1">
      <c r="A45" s="33" t="s">
        <v>73</v>
      </c>
      <c r="B45" s="34" t="s">
        <v>74</v>
      </c>
      <c r="C45" s="35">
        <v>4</v>
      </c>
      <c r="D45" s="36"/>
      <c r="E45" s="12"/>
      <c r="F45" s="15">
        <f>E45/15</f>
        <v>0</v>
      </c>
      <c r="G45" s="34">
        <v>3.5</v>
      </c>
      <c r="H45" s="15">
        <f>E45</f>
        <v>0</v>
      </c>
      <c r="I45" s="15" t="s">
        <v>70</v>
      </c>
    </row>
    <row r="46" spans="1:9">
      <c r="A46" s="3">
        <v>7100108</v>
      </c>
      <c r="B46" s="4" t="s">
        <v>50</v>
      </c>
      <c r="C46" s="11">
        <v>12</v>
      </c>
      <c r="D46" s="14"/>
      <c r="E46" s="12"/>
      <c r="F46" s="9">
        <f>D46/C46</f>
        <v>0</v>
      </c>
      <c r="G46" s="2">
        <v>0.2</v>
      </c>
      <c r="H46" s="9">
        <f>D46*G46</f>
        <v>0</v>
      </c>
      <c r="I46" s="9"/>
    </row>
    <row r="47" spans="1:9">
      <c r="A47" s="3">
        <v>7100139</v>
      </c>
      <c r="B47" s="4" t="s">
        <v>51</v>
      </c>
      <c r="C47" s="11">
        <v>8</v>
      </c>
      <c r="D47" s="14"/>
      <c r="E47" s="12"/>
      <c r="F47" s="9">
        <f>E47/20</f>
        <v>0</v>
      </c>
      <c r="G47" s="2">
        <v>2.5</v>
      </c>
      <c r="H47" s="9">
        <f>E47</f>
        <v>0</v>
      </c>
      <c r="I47" s="15" t="s">
        <v>52</v>
      </c>
    </row>
    <row r="48" spans="1:9">
      <c r="A48" s="3">
        <v>7100740</v>
      </c>
      <c r="B48" s="4" t="s">
        <v>53</v>
      </c>
      <c r="C48" s="11">
        <v>12</v>
      </c>
      <c r="D48" s="14"/>
      <c r="E48" s="12"/>
      <c r="F48" s="9">
        <f>D48/C48</f>
        <v>0</v>
      </c>
      <c r="G48" s="2">
        <v>0.2</v>
      </c>
      <c r="H48" s="9">
        <f>D48*G48</f>
        <v>0</v>
      </c>
      <c r="I48" s="15"/>
    </row>
    <row r="49" spans="1:9">
      <c r="A49" s="3">
        <v>7100726</v>
      </c>
      <c r="B49" s="4" t="s">
        <v>54</v>
      </c>
      <c r="C49" s="11">
        <v>8</v>
      </c>
      <c r="D49" s="14"/>
      <c r="E49" s="12"/>
      <c r="F49" s="9">
        <f>E49/20</f>
        <v>0</v>
      </c>
      <c r="G49" s="2">
        <v>2.5</v>
      </c>
      <c r="H49" s="9">
        <f>E49</f>
        <v>0</v>
      </c>
      <c r="I49" s="15" t="s">
        <v>52</v>
      </c>
    </row>
    <row r="50" spans="1:9">
      <c r="A50" s="3">
        <v>4421584</v>
      </c>
      <c r="B50" s="4" t="s">
        <v>56</v>
      </c>
      <c r="C50" s="11">
        <v>12</v>
      </c>
      <c r="D50" s="14"/>
      <c r="E50" s="12"/>
      <c r="F50" s="9">
        <f>D50/C50</f>
        <v>0</v>
      </c>
      <c r="G50" s="2">
        <v>0.18</v>
      </c>
      <c r="H50" s="9">
        <f>G50*D50</f>
        <v>0</v>
      </c>
      <c r="I50" s="15"/>
    </row>
    <row r="51" spans="1:9">
      <c r="A51" s="3">
        <v>4421577</v>
      </c>
      <c r="B51" s="4" t="s">
        <v>55</v>
      </c>
      <c r="C51" s="11">
        <v>12</v>
      </c>
      <c r="D51" s="14"/>
      <c r="E51" s="12"/>
      <c r="F51" s="9">
        <f>D51/C51</f>
        <v>0</v>
      </c>
      <c r="G51" s="2">
        <v>0.18</v>
      </c>
      <c r="H51" s="9">
        <f>G51*D51</f>
        <v>0</v>
      </c>
      <c r="I51" s="15"/>
    </row>
    <row r="52" spans="1:9">
      <c r="A52" s="3">
        <v>9985949</v>
      </c>
      <c r="B52" s="4" t="s">
        <v>57</v>
      </c>
      <c r="C52" s="11">
        <v>10</v>
      </c>
      <c r="D52" s="14"/>
      <c r="E52" s="12"/>
      <c r="F52" s="9">
        <f>D52/C52</f>
        <v>0</v>
      </c>
      <c r="G52" s="25">
        <v>1</v>
      </c>
      <c r="H52" s="9">
        <f>G52*D52</f>
        <v>0</v>
      </c>
      <c r="I52" s="15"/>
    </row>
    <row r="53" spans="1:9">
      <c r="A53" s="3">
        <v>8786928</v>
      </c>
      <c r="B53" s="4" t="s">
        <v>58</v>
      </c>
      <c r="C53" s="11">
        <v>4</v>
      </c>
      <c r="D53" s="14"/>
      <c r="E53" s="12"/>
      <c r="F53" s="9">
        <f>E53/6</f>
        <v>0</v>
      </c>
      <c r="G53" s="2">
        <v>1.5</v>
      </c>
      <c r="H53" s="9">
        <f>E53</f>
        <v>0</v>
      </c>
      <c r="I53" s="15" t="s">
        <v>59</v>
      </c>
    </row>
    <row r="54" spans="1:9">
      <c r="A54" s="3">
        <v>6948270</v>
      </c>
      <c r="B54" s="4" t="s">
        <v>61</v>
      </c>
      <c r="C54" s="11">
        <v>12</v>
      </c>
      <c r="D54" s="14"/>
      <c r="E54" s="12"/>
      <c r="F54" s="9">
        <f>D54/C54</f>
        <v>0</v>
      </c>
      <c r="G54" s="2">
        <v>0.372</v>
      </c>
      <c r="H54" s="9">
        <f>G54*D54</f>
        <v>0</v>
      </c>
      <c r="I54" s="15"/>
    </row>
    <row r="55" spans="1:9">
      <c r="A55" s="3">
        <v>6948287</v>
      </c>
      <c r="B55" s="4" t="s">
        <v>62</v>
      </c>
      <c r="C55" s="11">
        <v>12</v>
      </c>
      <c r="D55" s="14"/>
      <c r="E55" s="12"/>
      <c r="F55" s="9">
        <f>D55/C55</f>
        <v>0</v>
      </c>
      <c r="G55" s="2">
        <v>0.74399999999999999</v>
      </c>
      <c r="H55" s="9">
        <f>G55*D55</f>
        <v>0</v>
      </c>
      <c r="I55" s="15"/>
    </row>
    <row r="56" spans="1:9">
      <c r="A56" s="3">
        <v>6948256</v>
      </c>
      <c r="B56" s="4" t="s">
        <v>63</v>
      </c>
      <c r="C56" s="11">
        <v>12</v>
      </c>
      <c r="D56" s="14"/>
      <c r="E56" s="12"/>
      <c r="F56" s="9">
        <f>D56/C56</f>
        <v>0</v>
      </c>
      <c r="G56" s="2">
        <v>0.372</v>
      </c>
      <c r="H56" s="9">
        <f>G56*D56</f>
        <v>0</v>
      </c>
      <c r="I56" s="15"/>
    </row>
    <row r="57" spans="1:9">
      <c r="A57" s="3">
        <v>6948263</v>
      </c>
      <c r="B57" s="4" t="s">
        <v>64</v>
      </c>
      <c r="C57" s="11">
        <v>12</v>
      </c>
      <c r="D57" s="14"/>
      <c r="E57" s="12"/>
      <c r="F57" s="9">
        <f>D57/C57</f>
        <v>0</v>
      </c>
      <c r="G57" s="2">
        <v>0.74399999999999999</v>
      </c>
      <c r="H57" s="9">
        <f>G57*D57</f>
        <v>0</v>
      </c>
      <c r="I57" s="15"/>
    </row>
    <row r="58" spans="1:9">
      <c r="A58" s="3">
        <v>6948249</v>
      </c>
      <c r="B58" s="4" t="s">
        <v>65</v>
      </c>
      <c r="C58" s="11">
        <v>12</v>
      </c>
      <c r="D58" s="14"/>
      <c r="E58" s="12"/>
      <c r="F58" s="9">
        <f>D58/C58</f>
        <v>0</v>
      </c>
      <c r="G58" s="2">
        <v>0.82499999999999996</v>
      </c>
      <c r="H58" s="9">
        <f>G58*D58</f>
        <v>0</v>
      </c>
      <c r="I58" s="15"/>
    </row>
    <row r="59" spans="1:9">
      <c r="A59" s="9"/>
      <c r="B59" s="20" t="s">
        <v>12</v>
      </c>
      <c r="C59" s="9"/>
      <c r="D59" s="14"/>
      <c r="E59" s="14"/>
      <c r="F59" s="9"/>
      <c r="G59" s="9"/>
      <c r="H59" s="4">
        <f>SUM(H4:H58)</f>
        <v>0</v>
      </c>
      <c r="I59" s="9"/>
    </row>
  </sheetData>
  <sheetProtection selectLockedCells="1" selectUnlockedCells="1"/>
  <pageMargins left="0" right="0" top="0.1388888888888889" bottom="0.1388888888888889" header="0" footer="0"/>
  <pageSetup paperSize="9" firstPageNumber="0" orientation="portrait" horizontalDpi="300" verticalDpi="300" r:id="rId1"/>
  <headerFooter alignWithMargins="0">
    <oddHeader>&amp;C&amp;"Arial,Обычный"ffffff&amp;A</oddHeader>
    <oddFooter>&amp;C&amp;"Arial,Обычный"ffffffСтраница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11.02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Виноградова</dc:creator>
  <cp:lastModifiedBy>Uaer4</cp:lastModifiedBy>
  <dcterms:created xsi:type="dcterms:W3CDTF">2023-06-28T13:37:12Z</dcterms:created>
  <dcterms:modified xsi:type="dcterms:W3CDTF">2026-07-02T07:03:28Z</dcterms:modified>
</cp:coreProperties>
</file>