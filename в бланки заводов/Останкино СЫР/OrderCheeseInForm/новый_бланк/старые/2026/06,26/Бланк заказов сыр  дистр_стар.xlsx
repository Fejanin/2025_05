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новый_бланк\"/>
    </mc:Choice>
  </mc:AlternateContent>
  <xr:revisionPtr revIDLastSave="0" documentId="13_ncr:1_{B0F7E4B6-E060-4BC5-B7A8-2C6E49B59B62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Мелитополь" sheetId="1" r:id="rId1"/>
    <sheet name="Бердянск" sheetId="2" r:id="rId2"/>
    <sheet name="Донецк" sheetId="3" r:id="rId3"/>
    <sheet name="Луганск" sheetId="4" r:id="rId4"/>
  </sheets>
  <definedNames>
    <definedName name="_xlnm._FilterDatabase" localSheetId="1" hidden="1">Бердянск!$A$3:$I$52</definedName>
    <definedName name="_xlnm._FilterDatabase" localSheetId="2" hidden="1">Донецк!$A$3:$I$52</definedName>
    <definedName name="_xlnm._FilterDatabase" localSheetId="3" hidden="1">Луганск!$A$3:$I$52</definedName>
    <definedName name="_xlnm._FilterDatabase" localSheetId="0" hidden="1">Мелитополь!$A$3:$I$52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1" i="4" l="1"/>
  <c r="F51" i="4"/>
  <c r="H50" i="4"/>
  <c r="F50" i="4"/>
  <c r="H49" i="4"/>
  <c r="F49" i="4"/>
  <c r="H48" i="4"/>
  <c r="F48" i="4"/>
  <c r="H47" i="4"/>
  <c r="F47" i="4"/>
  <c r="H46" i="4"/>
  <c r="F46" i="4"/>
  <c r="H45" i="4"/>
  <c r="F45" i="4"/>
  <c r="H44" i="4"/>
  <c r="F44" i="4"/>
  <c r="H43" i="4"/>
  <c r="F43" i="4"/>
  <c r="H42" i="4"/>
  <c r="F42" i="4"/>
  <c r="H41" i="4"/>
  <c r="F41" i="4"/>
  <c r="H40" i="4"/>
  <c r="F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F25" i="4"/>
  <c r="H24" i="4"/>
  <c r="F24" i="4"/>
  <c r="H23" i="4"/>
  <c r="F23" i="4"/>
  <c r="H22" i="4"/>
  <c r="F22" i="4"/>
  <c r="H21" i="4"/>
  <c r="F21" i="4"/>
  <c r="H20" i="4"/>
  <c r="F20" i="4"/>
  <c r="H19" i="4"/>
  <c r="F19" i="4"/>
  <c r="H18" i="4"/>
  <c r="F18" i="4"/>
  <c r="H17" i="4"/>
  <c r="F17" i="4"/>
  <c r="H16" i="4"/>
  <c r="F16" i="4"/>
  <c r="H15" i="4"/>
  <c r="F15" i="4"/>
  <c r="H14" i="4"/>
  <c r="F14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H5" i="4"/>
  <c r="F5" i="4"/>
  <c r="H4" i="4"/>
  <c r="H52" i="4" s="1"/>
  <c r="F4" i="4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H52" i="3" s="1"/>
  <c r="F4" i="3"/>
  <c r="H51" i="2"/>
  <c r="F51" i="2"/>
  <c r="H50" i="2"/>
  <c r="F50" i="2"/>
  <c r="H49" i="2"/>
  <c r="F49" i="2"/>
  <c r="H48" i="2"/>
  <c r="F48" i="2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H52" i="2" s="1"/>
  <c r="F4" i="2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2" i="1" s="1"/>
  <c r="F4" i="1"/>
  <c r="A54" i="1" l="1"/>
</calcChain>
</file>

<file path=xl/sharedStrings.xml><?xml version="1.0" encoding="utf-8"?>
<sst xmlns="http://schemas.openxmlformats.org/spreadsheetml/2006/main" count="288" uniqueCount="70">
  <si>
    <t>\</t>
  </si>
  <si>
    <t>Наименование Контрагента</t>
  </si>
  <si>
    <t>Штучный сыр заполняется в этой колонке</t>
  </si>
  <si>
    <t>Весовой сыр заполняется в этой колонке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</si>
  <si>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</si>
  <si>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</si>
  <si>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</si>
  <si>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</si>
  <si>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</si>
  <si>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</si>
  <si>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Вес 1 штучки или 1 бруса</t>
  </si>
  <si>
    <t>Заказ в кг</t>
  </si>
  <si>
    <t>Комментарии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</si>
  <si>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</si>
  <si>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полутвердый "Российский" 3,2 кг, 50%, "Папа Может" ЮГ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</si>
  <si>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</si>
  <si>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</si>
  <si>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</si>
  <si>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Средний вес короба 16,5( вес 1 брус 3,2кг)</t>
  </si>
  <si>
    <t>Сыр ПАПА МОЖЕТ "Тильзитер" фасованный массовая доля жира в сухом веществе 45 %, пленка полимерная, газовая среда, 180 г</t>
  </si>
  <si>
    <t>Сыр ПАПА МОЖЕТ "Тильзитер" ж. 45% газ.среда, 400 гр (8 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</si>
  <si>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</si>
  <si>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ПАПА МОЖЕТ "Папин завтрак" фасованный массовая доля жира в сухом веществе 45 %, пленка полимерная, газовая среда, 180 г</t>
  </si>
  <si>
    <t>Сыр ПАПА МОЖЕТ "Папин завтрак" ж. 45% газ.среда, 400 гр (8 шт)</t>
  </si>
  <si>
    <t>Сыр ПАПА МОЖЕТ "Министерский" фасованный массовая доля жира в сухом веществе 45 %, пленка полимерная, газовая среда, 180 г</t>
  </si>
  <si>
    <t>Сыр ПАПА МОЖЕТ "Министерский" ж. 45% газ.среда, 400 гр (8 шт)</t>
  </si>
  <si>
    <t>Масло сливочное ПАПА МОЖЕТ 72.5%, фас. в фольгу, 180гр</t>
  </si>
  <si>
    <t>Масло сливочное ПАПА МОЖЕТ 82.5%, фас. в фольгу, 180гр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</si>
  <si>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</si>
  <si>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</si>
  <si>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</si>
  <si>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</si>
  <si>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</si>
  <si>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</si>
  <si>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</si>
  <si>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</si>
  <si>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</si>
  <si>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</si>
  <si>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</si>
  <si>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</si>
  <si>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Сыр Скаморца свежий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</si>
  <si>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</si>
  <si>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</si>
  <si>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</si>
  <si>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</si>
  <si>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Средний вес короба 7,8( вес 1 цилиндра 1,3кг)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</si>
  <si>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</si>
  <si>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</si>
  <si>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</si>
  <si>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"Сливочный" 45% 180 гр ТМ "ПАПА МОЖЕТ"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</si>
  <si>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</si>
  <si>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</si>
  <si>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</si>
  <si>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Плавленый сыр "Шоколадный" 30% 180 гр ТМ "ПАПА МОЖЕТ"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</si>
  <si>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</si>
  <si>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</si>
  <si>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</si>
  <si>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Российский Особый 45%. Нарезка 125г  ТМ Папа Может</t>
  </si>
  <si>
    <t>Сыр Голландский 45%. Нарезка 125г ТМ Папа Может</t>
  </si>
  <si>
    <t>Спред растительно-сливочный «Сливочный вкус» 72,5% 180гр</t>
  </si>
  <si>
    <t>Спред растительно-сливочный «Сливочный вкус» 82,5%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</si>
  <si>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</si>
  <si>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</si>
  <si>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</si>
  <si>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</si>
  <si>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</si>
  <si>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</si>
  <si>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</si>
  <si>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</si>
  <si>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ИТОГО вес поставки в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</si>
</sst>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" fontId="3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6" fillId="0" borderId="0" xfId="0" applyFont="1" applyAlignment="1">
      <alignment horizontal="center"/>
    </xf>
    <xf numFmtId="0" fontId="3" fillId="3" borderId="1" xfId="0" applyFont="1" applyFill="1" applyBorder="1"/>
    <xf numFmtId="0" fontId="6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10" fillId="2" borderId="1" xfId="0" applyFont="1" applyFill="1" applyBorder="1" applyAlignment="1">
      <alignment horizontal="left"/>
    </xf>
    <xf numFmtId="0" fontId="11" fillId="0" borderId="1" xfId="0" applyFont="1" applyBorder="1"/>
    <xf numFmtId="0" fontId="6" fillId="0" borderId="1" xfId="0" applyFont="1" applyBorder="1" applyAlignment="1">
      <alignment horizontal="center"/>
    </xf>
    <xf numFmtId="2" fontId="4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1" fontId="3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pane ySplit="3" topLeftCell="A4" activePane="bottomLeft" state="frozen"/>
      <selection pane="bottomLeft" activeCell="D4" sqref="D4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/>
      <c r="E4" s="20"/>
      <c r="F4" s="11">
        <f>D4/C4</f>
        <v>0</v>
      </c>
      <c r="G4" s="15">
        <v>0.18</v>
      </c>
      <c r="H4" s="11">
        <f>G4*D4</f>
        <v>0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/>
      <c r="F5" s="11">
        <f>E5/16.5</f>
        <v>0</v>
      </c>
      <c r="G5" s="15">
        <v>3.2</v>
      </c>
      <c r="H5" s="11">
        <f>E5</f>
        <v>0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/>
      <c r="E6" s="20"/>
      <c r="F6" s="11">
        <f>D6/C6</f>
        <v>0</v>
      </c>
      <c r="G6" s="15">
        <v>0.18</v>
      </c>
      <c r="H6" s="11">
        <f>G6*D6</f>
        <v>0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/>
      <c r="E7" s="20"/>
      <c r="F7" s="11">
        <f>D7/C7</f>
        <v>0</v>
      </c>
      <c r="G7" s="15">
        <v>0.18</v>
      </c>
      <c r="H7" s="11">
        <f>G7*D7</f>
        <v>0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/>
      <c r="F8" s="11">
        <f>E8/16.5</f>
        <v>0</v>
      </c>
      <c r="G8" s="11">
        <v>3.5</v>
      </c>
      <c r="H8" s="11">
        <f>E8</f>
        <v>0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/>
      <c r="E9" s="20"/>
      <c r="F9" s="11">
        <f>D9/C9</f>
        <v>0</v>
      </c>
      <c r="G9" s="15">
        <v>0.18</v>
      </c>
      <c r="H9" s="11">
        <f>G9*D9</f>
        <v>0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/>
      <c r="E12" s="20"/>
      <c r="F12" s="11">
        <f t="shared" ref="F12:F18" si="0">D12/C12</f>
        <v>0</v>
      </c>
      <c r="G12" s="15">
        <v>0.2</v>
      </c>
      <c r="H12" s="11">
        <f t="shared" ref="H12:H18" si="1">G12*D12</f>
        <v>0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/>
      <c r="E14" s="20"/>
      <c r="F14" s="11">
        <f t="shared" si="0"/>
        <v>0</v>
      </c>
      <c r="G14" s="15">
        <v>0.18</v>
      </c>
      <c r="H14" s="11">
        <f t="shared" si="1"/>
        <v>0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0.2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/>
      <c r="F19" s="11">
        <f>E19/15</f>
        <v>0</v>
      </c>
      <c r="G19" s="15">
        <v>3.5</v>
      </c>
      <c r="H19" s="11">
        <f>E19</f>
        <v>0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/>
      <c r="E20" s="20"/>
      <c r="F20" s="11">
        <f>D20/C20</f>
        <v>0</v>
      </c>
      <c r="G20" s="15">
        <v>0.2</v>
      </c>
      <c r="H20" s="11">
        <f>G20*D20</f>
        <v>0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/>
      <c r="F21" s="11">
        <f>E21/15</f>
        <v>0</v>
      </c>
      <c r="G21" s="15">
        <v>3.5</v>
      </c>
      <c r="H21" s="11">
        <f>E21</f>
        <v>0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/>
      <c r="E22" s="20"/>
      <c r="F22" s="11">
        <f t="shared" ref="F22:F28" si="2">D22/C22</f>
        <v>0</v>
      </c>
      <c r="G22" s="15">
        <v>0.1</v>
      </c>
      <c r="H22" s="11">
        <f t="shared" ref="H22:H28" si="3">G22*D22</f>
        <v>0</v>
      </c>
      <c r="I22" s="11"/>
    </row>
    <row r="23" spans="1:9">
      <c r="A23" s="2">
        <v>8444187</v>
      </c>
      <c r="B23" s="3" t="s">
        <v>38</v>
      </c>
      <c r="C23" s="9">
        <v>6</v>
      </c>
      <c r="D23" s="20"/>
      <c r="E23" s="20"/>
      <c r="F23" s="11">
        <f t="shared" si="2"/>
        <v>0</v>
      </c>
      <c r="G23" s="15">
        <v>0.1</v>
      </c>
      <c r="H23" s="11">
        <f t="shared" si="3"/>
        <v>0</v>
      </c>
      <c r="I23" s="11"/>
    </row>
    <row r="24" spans="1:9">
      <c r="A24" s="2">
        <v>8444163</v>
      </c>
      <c r="B24" s="3" t="s">
        <v>39</v>
      </c>
      <c r="C24" s="9">
        <v>8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/>
      <c r="E26" s="20"/>
      <c r="F26" s="11">
        <f t="shared" si="2"/>
        <v>0</v>
      </c>
      <c r="G26" s="15">
        <v>0.14000000000000001</v>
      </c>
      <c r="H26" s="11">
        <f t="shared" si="3"/>
        <v>0</v>
      </c>
      <c r="I26" s="11"/>
    </row>
    <row r="27" spans="1:9">
      <c r="A27" s="2">
        <v>9988391</v>
      </c>
      <c r="B27" s="3" t="s">
        <v>42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5034819</v>
      </c>
      <c r="B28" s="3" t="s">
        <v>43</v>
      </c>
      <c r="C28" s="9">
        <v>6</v>
      </c>
      <c r="D28" s="20"/>
      <c r="E28" s="20"/>
      <c r="F28" s="11">
        <f t="shared" si="2"/>
        <v>0</v>
      </c>
      <c r="G28" s="15">
        <v>0.18</v>
      </c>
      <c r="H28" s="11">
        <f t="shared" si="3"/>
        <v>0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/>
      <c r="F30" s="11">
        <f>E30/16.5</f>
        <v>0</v>
      </c>
      <c r="G30" s="15">
        <v>3.2</v>
      </c>
      <c r="H30" s="11">
        <f>E30</f>
        <v>0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/>
      <c r="E32" s="20"/>
      <c r="F32" s="11">
        <f t="shared" si="4"/>
        <v>0</v>
      </c>
      <c r="G32" s="15">
        <v>0.4</v>
      </c>
      <c r="H32" s="11">
        <f t="shared" si="5"/>
        <v>0</v>
      </c>
      <c r="I32" s="11"/>
    </row>
    <row r="33" spans="1:9">
      <c r="A33" s="2">
        <v>9988681</v>
      </c>
      <c r="B33" s="3" t="s">
        <v>49</v>
      </c>
      <c r="C33" s="9">
        <v>16</v>
      </c>
      <c r="D33" s="20"/>
      <c r="E33" s="20"/>
      <c r="F33" s="11">
        <f t="shared" si="4"/>
        <v>0</v>
      </c>
      <c r="G33" s="15">
        <v>0.18</v>
      </c>
      <c r="H33" s="11">
        <f t="shared" si="5"/>
        <v>0</v>
      </c>
      <c r="I33" s="11"/>
    </row>
    <row r="34" spans="1:9">
      <c r="A34" s="2">
        <v>9988438</v>
      </c>
      <c r="B34" s="3" t="s">
        <v>50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9988445</v>
      </c>
      <c r="B35" s="3" t="s">
        <v>51</v>
      </c>
      <c r="C35" s="9">
        <v>16</v>
      </c>
      <c r="D35" s="20"/>
      <c r="E35" s="20"/>
      <c r="F35" s="11">
        <f t="shared" si="4"/>
        <v>0</v>
      </c>
      <c r="G35" s="15">
        <v>0.18</v>
      </c>
      <c r="H35" s="11">
        <f t="shared" si="5"/>
        <v>0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/>
      <c r="E47" s="20"/>
      <c r="F47" s="11">
        <f>D47/C47</f>
        <v>0</v>
      </c>
      <c r="G47" s="15">
        <v>0.372</v>
      </c>
      <c r="H47" s="11">
        <f>G47*D47</f>
        <v>0</v>
      </c>
      <c r="I47" s="11"/>
    </row>
    <row r="48" spans="1:9">
      <c r="A48" s="18">
        <v>6948287</v>
      </c>
      <c r="B48" s="19" t="s">
        <v>65</v>
      </c>
      <c r="C48" s="9">
        <v>12</v>
      </c>
      <c r="D48" s="20"/>
      <c r="E48" s="20"/>
      <c r="F48" s="11">
        <f>D48/C48</f>
        <v>0</v>
      </c>
      <c r="G48" s="15">
        <v>0.74399999999999999</v>
      </c>
      <c r="H48" s="11">
        <f>G48*D48</f>
        <v>0</v>
      </c>
      <c r="I48" s="11"/>
    </row>
    <row r="49" spans="1:9">
      <c r="A49" s="18">
        <v>6948256</v>
      </c>
      <c r="B49" s="19" t="s">
        <v>66</v>
      </c>
      <c r="C49" s="9">
        <v>12</v>
      </c>
      <c r="D49" s="20"/>
      <c r="E49" s="20"/>
      <c r="F49" s="11">
        <f>D49/C49</f>
        <v>0</v>
      </c>
      <c r="G49" s="15">
        <v>0.372</v>
      </c>
      <c r="H49" s="11">
        <f>G49*D49</f>
        <v>0</v>
      </c>
      <c r="I49" s="11"/>
    </row>
    <row r="50" spans="1:9">
      <c r="A50" s="18">
        <v>6948263</v>
      </c>
      <c r="B50" s="19" t="s">
        <v>67</v>
      </c>
      <c r="C50" s="9">
        <v>12</v>
      </c>
      <c r="D50" s="20"/>
      <c r="E50" s="20"/>
      <c r="F50" s="11">
        <f>D50/C50</f>
        <v>0</v>
      </c>
      <c r="G50" s="15">
        <v>0.74399999999999999</v>
      </c>
      <c r="H50" s="11">
        <f>G50*D50</f>
        <v>0</v>
      </c>
      <c r="I50" s="11"/>
    </row>
    <row r="51" spans="1:9">
      <c r="A51" s="18">
        <v>6948249</v>
      </c>
      <c r="B51" s="19" t="s">
        <v>68</v>
      </c>
      <c r="C51" s="9">
        <v>12</v>
      </c>
      <c r="D51" s="20"/>
      <c r="E51" s="20"/>
      <c r="F51" s="11">
        <f>D51/C51</f>
        <v>0</v>
      </c>
      <c r="G51" s="15">
        <v>0.82499999999999996</v>
      </c>
      <c r="H51" s="11">
        <f>G51*D51</f>
        <v>0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0</v>
      </c>
      <c r="I52" s="11"/>
    </row>
    <row r="54" spans="1:9">
      <c r="A54" s="10">
        <f>H52+Бердянск!H52+Донецк!H52+Луганск!H52</f>
        <v>0</v>
      </c>
    </row>
  </sheetData>
  <autoFilter ref="A3:I52" xr:uid="{00000000-0009-0000-0000-000000000000}"/>
  <pageMargins left="0" right="0" top="0.1388888888888889" bottom="0.1388888888888889" header="0" footer="0"/>
  <pageSetup paperSize="9" firstPageNumber="0" orientation="portrait" horizontalDpi="300" verticalDpi="300"/>
  <headerFooter alignWithMargins="0">
    <oddHeader>&amp;C&amp;"Arial,Обычный"ffffff&amp;A</oddHeader>
    <oddFooter>&amp;C&amp;"Arial,Обычный"ffffffСтраница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workbookViewId="0">
      <pane ySplit="3" topLeftCell="A4" activePane="bottomLeft" state="frozen"/>
      <selection pane="bottomLeft" activeCell="D7" sqref="D7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/>
      <c r="E4" s="20"/>
      <c r="F4" s="11">
        <f>D4/C4</f>
        <v>0</v>
      </c>
      <c r="G4" s="15">
        <v>0.18</v>
      </c>
      <c r="H4" s="11">
        <f>G4*D4</f>
        <v>0</v>
      </c>
      <c r="I4" s="11"/>
    </row>
    <row r="5" spans="1:9">
      <c r="A5" s="24">
        <v>8785204</v>
      </c>
      <c r="B5" s="15" t="s">
        <v>14</v>
      </c>
      <c r="C5" s="9">
        <v>5</v>
      </c>
      <c r="D5" s="20"/>
      <c r="E5" s="20"/>
      <c r="F5" s="11">
        <f>E5/16.5</f>
        <v>0</v>
      </c>
      <c r="G5" s="15">
        <v>3.2</v>
      </c>
      <c r="H5" s="11">
        <f>E5</f>
        <v>0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/>
      <c r="E6" s="20"/>
      <c r="F6" s="11">
        <f>D6/C6</f>
        <v>0</v>
      </c>
      <c r="G6" s="15">
        <v>0.18</v>
      </c>
      <c r="H6" s="11">
        <f>G6*D6</f>
        <v>0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/>
      <c r="E7" s="20"/>
      <c r="F7" s="11">
        <f>D7/C7</f>
        <v>0</v>
      </c>
      <c r="G7" s="15">
        <v>0.18</v>
      </c>
      <c r="H7" s="11">
        <f>G7*D7</f>
        <v>0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/>
      <c r="F8" s="11">
        <f>E8/16.5</f>
        <v>0</v>
      </c>
      <c r="G8" s="11">
        <v>3.5</v>
      </c>
      <c r="H8" s="11">
        <f>E8</f>
        <v>0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/>
      <c r="E9" s="20"/>
      <c r="F9" s="11">
        <f>D9/C9</f>
        <v>0</v>
      </c>
      <c r="G9" s="15">
        <v>0.18</v>
      </c>
      <c r="H9" s="11">
        <f>G9*D9</f>
        <v>0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/>
      <c r="E12" s="20"/>
      <c r="F12" s="11">
        <f t="shared" ref="F12:F18" si="0">D12/C12</f>
        <v>0</v>
      </c>
      <c r="G12" s="15">
        <v>0.2</v>
      </c>
      <c r="H12" s="11">
        <f t="shared" ref="H12:H18" si="1">G12*D12</f>
        <v>0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/>
      <c r="E14" s="20"/>
      <c r="F14" s="11">
        <f t="shared" si="0"/>
        <v>0</v>
      </c>
      <c r="G14" s="15">
        <v>0.18</v>
      </c>
      <c r="H14" s="11">
        <f t="shared" si="1"/>
        <v>0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0.2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/>
      <c r="F19" s="11">
        <f>E19/15</f>
        <v>0</v>
      </c>
      <c r="G19" s="15">
        <v>3.5</v>
      </c>
      <c r="H19" s="11">
        <f>E19</f>
        <v>0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/>
      <c r="E20" s="20"/>
      <c r="F20" s="11">
        <f>D20/C20</f>
        <v>0</v>
      </c>
      <c r="G20" s="15">
        <v>0.2</v>
      </c>
      <c r="H20" s="11">
        <f>G20*D20</f>
        <v>0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/>
      <c r="F21" s="11">
        <f>E21/15</f>
        <v>0</v>
      </c>
      <c r="G21" s="15">
        <v>3.5</v>
      </c>
      <c r="H21" s="11">
        <f>E21</f>
        <v>0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/>
      <c r="E22" s="20"/>
      <c r="F22" s="11">
        <f t="shared" ref="F22:F28" si="2">D22/C22</f>
        <v>0</v>
      </c>
      <c r="G22" s="15">
        <v>0.1</v>
      </c>
      <c r="H22" s="11">
        <f t="shared" ref="H22:H28" si="3">G22*D22</f>
        <v>0</v>
      </c>
      <c r="I22" s="11"/>
    </row>
    <row r="23" spans="1:9">
      <c r="A23" s="2">
        <v>8444187</v>
      </c>
      <c r="B23" s="3" t="s">
        <v>38</v>
      </c>
      <c r="C23" s="9">
        <v>6</v>
      </c>
      <c r="D23" s="20"/>
      <c r="E23" s="20"/>
      <c r="F23" s="11">
        <f t="shared" si="2"/>
        <v>0</v>
      </c>
      <c r="G23" s="15">
        <v>0.1</v>
      </c>
      <c r="H23" s="11">
        <f t="shared" si="3"/>
        <v>0</v>
      </c>
      <c r="I23" s="11"/>
    </row>
    <row r="24" spans="1:9">
      <c r="A24" s="2">
        <v>8444163</v>
      </c>
      <c r="B24" s="3" t="s">
        <v>39</v>
      </c>
      <c r="C24" s="9">
        <v>8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/>
      <c r="E26" s="20"/>
      <c r="F26" s="11">
        <f t="shared" si="2"/>
        <v>0</v>
      </c>
      <c r="G26" s="15">
        <v>0.14000000000000001</v>
      </c>
      <c r="H26" s="11">
        <f t="shared" si="3"/>
        <v>0</v>
      </c>
      <c r="I26" s="11"/>
    </row>
    <row r="27" spans="1:9">
      <c r="A27" s="2">
        <v>9988391</v>
      </c>
      <c r="B27" s="3" t="s">
        <v>42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5034819</v>
      </c>
      <c r="B28" s="3" t="s">
        <v>43</v>
      </c>
      <c r="C28" s="9">
        <v>6</v>
      </c>
      <c r="D28" s="20"/>
      <c r="E28" s="20"/>
      <c r="F28" s="11">
        <f t="shared" si="2"/>
        <v>0</v>
      </c>
      <c r="G28" s="15">
        <v>0.18</v>
      </c>
      <c r="H28" s="11">
        <f t="shared" si="3"/>
        <v>0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/>
      <c r="F30" s="11">
        <f>E30/16.5</f>
        <v>0</v>
      </c>
      <c r="G30" s="15">
        <v>3.2</v>
      </c>
      <c r="H30" s="11">
        <f>E30</f>
        <v>0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/>
      <c r="E32" s="20"/>
      <c r="F32" s="11">
        <f t="shared" si="4"/>
        <v>0</v>
      </c>
      <c r="G32" s="15">
        <v>0.4</v>
      </c>
      <c r="H32" s="11">
        <f t="shared" si="5"/>
        <v>0</v>
      </c>
      <c r="I32" s="11"/>
    </row>
    <row r="33" spans="1:9">
      <c r="A33" s="2">
        <v>9988681</v>
      </c>
      <c r="B33" s="3" t="s">
        <v>49</v>
      </c>
      <c r="C33" s="9">
        <v>16</v>
      </c>
      <c r="D33" s="20"/>
      <c r="E33" s="20"/>
      <c r="F33" s="11">
        <f t="shared" si="4"/>
        <v>0</v>
      </c>
      <c r="G33" s="15">
        <v>0.18</v>
      </c>
      <c r="H33" s="11">
        <f t="shared" si="5"/>
        <v>0</v>
      </c>
      <c r="I33" s="11"/>
    </row>
    <row r="34" spans="1:9">
      <c r="A34" s="2">
        <v>9988438</v>
      </c>
      <c r="B34" s="3" t="s">
        <v>50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9988445</v>
      </c>
      <c r="B35" s="3" t="s">
        <v>51</v>
      </c>
      <c r="C35" s="9">
        <v>16</v>
      </c>
      <c r="D35" s="20"/>
      <c r="E35" s="20"/>
      <c r="F35" s="11">
        <f t="shared" si="4"/>
        <v>0</v>
      </c>
      <c r="G35" s="15">
        <v>0.18</v>
      </c>
      <c r="H35" s="11">
        <f t="shared" si="5"/>
        <v>0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/>
      <c r="E47" s="20"/>
      <c r="F47" s="11">
        <f>D47/C47</f>
        <v>0</v>
      </c>
      <c r="G47" s="15">
        <v>0.372</v>
      </c>
      <c r="H47" s="11">
        <f>G47*D47</f>
        <v>0</v>
      </c>
      <c r="I47" s="11"/>
    </row>
    <row r="48" spans="1:9">
      <c r="A48" s="18">
        <v>6948287</v>
      </c>
      <c r="B48" s="19" t="s">
        <v>65</v>
      </c>
      <c r="C48" s="9">
        <v>12</v>
      </c>
      <c r="D48" s="20"/>
      <c r="E48" s="20"/>
      <c r="F48" s="11">
        <f>D48/C48</f>
        <v>0</v>
      </c>
      <c r="G48" s="15">
        <v>0.74399999999999999</v>
      </c>
      <c r="H48" s="11">
        <f>G48*D48</f>
        <v>0</v>
      </c>
      <c r="I48" s="11"/>
    </row>
    <row r="49" spans="1:9">
      <c r="A49" s="18">
        <v>6948256</v>
      </c>
      <c r="B49" s="19" t="s">
        <v>66</v>
      </c>
      <c r="C49" s="9">
        <v>12</v>
      </c>
      <c r="D49" s="20"/>
      <c r="E49" s="20"/>
      <c r="F49" s="11">
        <f>D49/C49</f>
        <v>0</v>
      </c>
      <c r="G49" s="15">
        <v>0.372</v>
      </c>
      <c r="H49" s="11">
        <f>G49*D49</f>
        <v>0</v>
      </c>
      <c r="I49" s="11"/>
    </row>
    <row r="50" spans="1:9">
      <c r="A50" s="18">
        <v>6948263</v>
      </c>
      <c r="B50" s="19" t="s">
        <v>67</v>
      </c>
      <c r="C50" s="9">
        <v>12</v>
      </c>
      <c r="D50" s="20"/>
      <c r="E50" s="20"/>
      <c r="F50" s="11">
        <f>D50/C50</f>
        <v>0</v>
      </c>
      <c r="G50" s="15">
        <v>0.74399999999999999</v>
      </c>
      <c r="H50" s="11">
        <f>G50*D50</f>
        <v>0</v>
      </c>
      <c r="I50" s="11"/>
    </row>
    <row r="51" spans="1:9">
      <c r="A51" s="18">
        <v>6948249</v>
      </c>
      <c r="B51" s="19" t="s">
        <v>68</v>
      </c>
      <c r="C51" s="9">
        <v>12</v>
      </c>
      <c r="D51" s="20"/>
      <c r="E51" s="20"/>
      <c r="F51" s="11">
        <f>D51/C51</f>
        <v>0</v>
      </c>
      <c r="G51" s="15">
        <v>0.82499999999999996</v>
      </c>
      <c r="H51" s="11">
        <f>G51*D51</f>
        <v>0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0</v>
      </c>
      <c r="I52" s="11"/>
    </row>
  </sheetData>
  <autoFilter ref="A3:I52" xr:uid="{00000000-0009-0000-0000-000001000000}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2"/>
  <sheetViews>
    <sheetView workbookViewId="0">
      <pane ySplit="3" topLeftCell="A4" activePane="bottomLeft" state="frozen"/>
      <selection pane="bottomLeft" activeCell="E6" sqref="E6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/>
      <c r="E4" s="20"/>
      <c r="F4" s="11">
        <f>D4/C4</f>
        <v>0</v>
      </c>
      <c r="G4" s="15">
        <v>0.18</v>
      </c>
      <c r="H4" s="11">
        <f>G4*D4</f>
        <v>0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/>
      <c r="F5" s="11">
        <f>E5/16.5</f>
        <v>0</v>
      </c>
      <c r="G5" s="15">
        <v>3.2</v>
      </c>
      <c r="H5" s="11">
        <f>E5</f>
        <v>0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/>
      <c r="E6" s="20"/>
      <c r="F6" s="11">
        <f>D6/C6</f>
        <v>0</v>
      </c>
      <c r="G6" s="15">
        <v>0.18</v>
      </c>
      <c r="H6" s="11">
        <f>G6*D6</f>
        <v>0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/>
      <c r="E7" s="20"/>
      <c r="F7" s="11">
        <f>D7/C7</f>
        <v>0</v>
      </c>
      <c r="G7" s="15">
        <v>0.18</v>
      </c>
      <c r="H7" s="11">
        <f>G7*D7</f>
        <v>0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/>
      <c r="F8" s="11">
        <f>E8/16.5</f>
        <v>0</v>
      </c>
      <c r="G8" s="11">
        <v>3.5</v>
      </c>
      <c r="H8" s="11">
        <f>E8</f>
        <v>0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/>
      <c r="E9" s="20"/>
      <c r="F9" s="11">
        <f>D9/C9</f>
        <v>0</v>
      </c>
      <c r="G9" s="15">
        <v>0.18</v>
      </c>
      <c r="H9" s="11">
        <f>G9*D9</f>
        <v>0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/>
      <c r="E12" s="20"/>
      <c r="F12" s="11">
        <f t="shared" ref="F12:F18" si="0">D12/C12</f>
        <v>0</v>
      </c>
      <c r="G12" s="15">
        <v>0.2</v>
      </c>
      <c r="H12" s="11">
        <f t="shared" ref="H12:H18" si="1">G12*D12</f>
        <v>0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/>
      <c r="E14" s="20"/>
      <c r="F14" s="11">
        <f t="shared" si="0"/>
        <v>0</v>
      </c>
      <c r="G14" s="15">
        <v>0.18</v>
      </c>
      <c r="H14" s="11">
        <f t="shared" si="1"/>
        <v>0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0.2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/>
      <c r="F19" s="11">
        <f>E19/15</f>
        <v>0</v>
      </c>
      <c r="G19" s="15">
        <v>3.5</v>
      </c>
      <c r="H19" s="11">
        <f>E19</f>
        <v>0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/>
      <c r="E20" s="20"/>
      <c r="F20" s="11">
        <f>D20/C20</f>
        <v>0</v>
      </c>
      <c r="G20" s="15">
        <v>0.2</v>
      </c>
      <c r="H20" s="11">
        <f>G20*D20</f>
        <v>0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/>
      <c r="F21" s="11">
        <f>E21/15</f>
        <v>0</v>
      </c>
      <c r="G21" s="15">
        <v>3.5</v>
      </c>
      <c r="H21" s="11">
        <f>E21</f>
        <v>0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/>
      <c r="E22" s="20"/>
      <c r="F22" s="11">
        <f t="shared" ref="F22:F28" si="2">D22/C22</f>
        <v>0</v>
      </c>
      <c r="G22" s="15">
        <v>0.1</v>
      </c>
      <c r="H22" s="11">
        <f t="shared" ref="H22:H28" si="3">G22*D22</f>
        <v>0</v>
      </c>
      <c r="I22" s="11"/>
    </row>
    <row r="23" spans="1:9">
      <c r="A23" s="2">
        <v>8444187</v>
      </c>
      <c r="B23" s="3" t="s">
        <v>38</v>
      </c>
      <c r="C23" s="9">
        <v>6</v>
      </c>
      <c r="D23" s="20"/>
      <c r="E23" s="20"/>
      <c r="F23" s="11">
        <f t="shared" si="2"/>
        <v>0</v>
      </c>
      <c r="G23" s="15">
        <v>0.1</v>
      </c>
      <c r="H23" s="11">
        <f t="shared" si="3"/>
        <v>0</v>
      </c>
      <c r="I23" s="11"/>
    </row>
    <row r="24" spans="1:9">
      <c r="A24" s="2">
        <v>8444163</v>
      </c>
      <c r="B24" s="3" t="s">
        <v>39</v>
      </c>
      <c r="C24" s="9">
        <v>8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/>
      <c r="E26" s="20"/>
      <c r="F26" s="11">
        <f t="shared" si="2"/>
        <v>0</v>
      </c>
      <c r="G26" s="15">
        <v>0.14000000000000001</v>
      </c>
      <c r="H26" s="11">
        <f t="shared" si="3"/>
        <v>0</v>
      </c>
      <c r="I26" s="11"/>
    </row>
    <row r="27" spans="1:9">
      <c r="A27" s="2">
        <v>9988391</v>
      </c>
      <c r="B27" s="3" t="s">
        <v>42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5034819</v>
      </c>
      <c r="B28" s="3" t="s">
        <v>43</v>
      </c>
      <c r="C28" s="9">
        <v>6</v>
      </c>
      <c r="D28" s="20"/>
      <c r="E28" s="20"/>
      <c r="F28" s="11">
        <f t="shared" si="2"/>
        <v>0</v>
      </c>
      <c r="G28" s="15">
        <v>0.18</v>
      </c>
      <c r="H28" s="11">
        <f t="shared" si="3"/>
        <v>0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/>
      <c r="F30" s="11">
        <f>E30/16.5</f>
        <v>0</v>
      </c>
      <c r="G30" s="15">
        <v>3.2</v>
      </c>
      <c r="H30" s="11">
        <f>E30</f>
        <v>0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/>
      <c r="E32" s="20"/>
      <c r="F32" s="11">
        <f t="shared" si="4"/>
        <v>0</v>
      </c>
      <c r="G32" s="15">
        <v>0.4</v>
      </c>
      <c r="H32" s="11">
        <f t="shared" si="5"/>
        <v>0</v>
      </c>
      <c r="I32" s="11"/>
    </row>
    <row r="33" spans="1:9">
      <c r="A33" s="2">
        <v>9988681</v>
      </c>
      <c r="B33" s="3" t="s">
        <v>49</v>
      </c>
      <c r="C33" s="9">
        <v>16</v>
      </c>
      <c r="D33" s="20"/>
      <c r="E33" s="20"/>
      <c r="F33" s="11">
        <f t="shared" si="4"/>
        <v>0</v>
      </c>
      <c r="G33" s="15">
        <v>0.18</v>
      </c>
      <c r="H33" s="11">
        <f t="shared" si="5"/>
        <v>0</v>
      </c>
      <c r="I33" s="11"/>
    </row>
    <row r="34" spans="1:9">
      <c r="A34" s="2">
        <v>9988438</v>
      </c>
      <c r="B34" s="3" t="s">
        <v>50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9988445</v>
      </c>
      <c r="B35" s="3" t="s">
        <v>51</v>
      </c>
      <c r="C35" s="9">
        <v>16</v>
      </c>
      <c r="D35" s="20"/>
      <c r="E35" s="20"/>
      <c r="F35" s="11">
        <f t="shared" si="4"/>
        <v>0</v>
      </c>
      <c r="G35" s="15">
        <v>0.18</v>
      </c>
      <c r="H35" s="11">
        <f t="shared" si="5"/>
        <v>0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/>
      <c r="E47" s="20"/>
      <c r="F47" s="11">
        <f>D47/C47</f>
        <v>0</v>
      </c>
      <c r="G47" s="15">
        <v>0.372</v>
      </c>
      <c r="H47" s="11">
        <f>G47*D47</f>
        <v>0</v>
      </c>
      <c r="I47" s="11"/>
    </row>
    <row r="48" spans="1:9">
      <c r="A48" s="18">
        <v>6948287</v>
      </c>
      <c r="B48" s="19" t="s">
        <v>65</v>
      </c>
      <c r="C48" s="9">
        <v>12</v>
      </c>
      <c r="D48" s="20"/>
      <c r="E48" s="20"/>
      <c r="F48" s="11">
        <f>D48/C48</f>
        <v>0</v>
      </c>
      <c r="G48" s="15">
        <v>0.74399999999999999</v>
      </c>
      <c r="H48" s="11">
        <f>G48*D48</f>
        <v>0</v>
      </c>
      <c r="I48" s="11"/>
    </row>
    <row r="49" spans="1:9">
      <c r="A49" s="18">
        <v>6948256</v>
      </c>
      <c r="B49" s="19" t="s">
        <v>66</v>
      </c>
      <c r="C49" s="9">
        <v>12</v>
      </c>
      <c r="D49" s="20"/>
      <c r="E49" s="20"/>
      <c r="F49" s="11">
        <f>D49/C49</f>
        <v>0</v>
      </c>
      <c r="G49" s="15">
        <v>0.372</v>
      </c>
      <c r="H49" s="11">
        <f>G49*D49</f>
        <v>0</v>
      </c>
      <c r="I49" s="11"/>
    </row>
    <row r="50" spans="1:9">
      <c r="A50" s="18">
        <v>6948263</v>
      </c>
      <c r="B50" s="19" t="s">
        <v>67</v>
      </c>
      <c r="C50" s="9">
        <v>12</v>
      </c>
      <c r="D50" s="20"/>
      <c r="E50" s="20"/>
      <c r="F50" s="11">
        <f>D50/C50</f>
        <v>0</v>
      </c>
      <c r="G50" s="15">
        <v>0.74399999999999999</v>
      </c>
      <c r="H50" s="11">
        <f>G50*D50</f>
        <v>0</v>
      </c>
      <c r="I50" s="11"/>
    </row>
    <row r="51" spans="1:9">
      <c r="A51" s="18">
        <v>6948249</v>
      </c>
      <c r="B51" s="19" t="s">
        <v>68</v>
      </c>
      <c r="C51" s="9">
        <v>12</v>
      </c>
      <c r="D51" s="20"/>
      <c r="E51" s="20"/>
      <c r="F51" s="11">
        <f>D51/C51</f>
        <v>0</v>
      </c>
      <c r="G51" s="15">
        <v>0.82499999999999996</v>
      </c>
      <c r="H51" s="11">
        <f>G51*D51</f>
        <v>0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0</v>
      </c>
      <c r="I52" s="11"/>
    </row>
  </sheetData>
  <autoFilter ref="A3:I5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workbookViewId="0">
      <pane ySplit="3" topLeftCell="A4" activePane="bottomLeft" state="frozen"/>
      <selection pane="bottomLeft" activeCell="A5" sqref="A5:A9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/>
      <c r="E4" s="20"/>
      <c r="F4" s="11">
        <f>D4/C4</f>
        <v>0</v>
      </c>
      <c r="G4" s="15">
        <v>0.18</v>
      </c>
      <c r="H4" s="11">
        <f>G4*D4</f>
        <v>0</v>
      </c>
      <c r="I4" s="11"/>
    </row>
    <row r="5" spans="1:9">
      <c r="A5" s="24">
        <v>8785204</v>
      </c>
      <c r="B5" s="15" t="s">
        <v>14</v>
      </c>
      <c r="C5" s="9">
        <v>5</v>
      </c>
      <c r="D5" s="20"/>
      <c r="E5" s="20"/>
      <c r="F5" s="11">
        <f>E5/16.5</f>
        <v>0</v>
      </c>
      <c r="G5" s="15">
        <v>3.2</v>
      </c>
      <c r="H5" s="11">
        <f>E5</f>
        <v>0</v>
      </c>
      <c r="I5" s="11"/>
    </row>
    <row r="6" spans="1:9" ht="25.5" customHeight="1">
      <c r="A6" s="24">
        <v>5038459</v>
      </c>
      <c r="B6" s="16" t="s">
        <v>15</v>
      </c>
      <c r="C6" s="9">
        <v>10</v>
      </c>
      <c r="D6" s="20"/>
      <c r="E6" s="20"/>
      <c r="F6" s="11">
        <f>D6/C6</f>
        <v>0</v>
      </c>
      <c r="G6" s="15">
        <v>0.18</v>
      </c>
      <c r="H6" s="11">
        <f>G6*D6</f>
        <v>0</v>
      </c>
      <c r="I6" s="11"/>
    </row>
    <row r="7" spans="1:9" ht="25.5" customHeight="1">
      <c r="A7" s="24">
        <v>5038411</v>
      </c>
      <c r="B7" s="16" t="s">
        <v>16</v>
      </c>
      <c r="C7" s="9">
        <v>10</v>
      </c>
      <c r="D7" s="20"/>
      <c r="E7" s="20"/>
      <c r="F7" s="11">
        <f>D7/C7</f>
        <v>0</v>
      </c>
      <c r="G7" s="15">
        <v>0.18</v>
      </c>
      <c r="H7" s="11">
        <f>G7*D7</f>
        <v>0</v>
      </c>
      <c r="I7" s="11"/>
    </row>
    <row r="8" spans="1:9" ht="25.5" customHeight="1">
      <c r="A8" s="25">
        <v>8785242</v>
      </c>
      <c r="B8" s="16" t="s">
        <v>17</v>
      </c>
      <c r="C8" s="9">
        <v>5</v>
      </c>
      <c r="D8" s="20"/>
      <c r="E8" s="20"/>
      <c r="F8" s="11">
        <f>E8/16.5</f>
        <v>0</v>
      </c>
      <c r="G8" s="11">
        <v>3.5</v>
      </c>
      <c r="H8" s="11">
        <f>E8</f>
        <v>0</v>
      </c>
      <c r="I8" s="11" t="s">
        <v>18</v>
      </c>
    </row>
    <row r="9" spans="1:9" ht="25.5" customHeight="1">
      <c r="A9" s="24">
        <v>5038398</v>
      </c>
      <c r="B9" s="16" t="s">
        <v>19</v>
      </c>
      <c r="C9" s="9">
        <v>10</v>
      </c>
      <c r="D9" s="20"/>
      <c r="E9" s="20"/>
      <c r="F9" s="11">
        <f>D9/C9</f>
        <v>0</v>
      </c>
      <c r="G9" s="15">
        <v>0.18</v>
      </c>
      <c r="H9" s="11">
        <f>G9*D9</f>
        <v>0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/>
      <c r="E12" s="20"/>
      <c r="F12" s="11">
        <f t="shared" ref="F12:F18" si="0">D12/C12</f>
        <v>0</v>
      </c>
      <c r="G12" s="15">
        <v>0.2</v>
      </c>
      <c r="H12" s="11">
        <f t="shared" ref="H12:H18" si="1">G12*D12</f>
        <v>0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/>
      <c r="E14" s="20"/>
      <c r="F14" s="11">
        <f t="shared" si="0"/>
        <v>0</v>
      </c>
      <c r="G14" s="15">
        <v>0.18</v>
      </c>
      <c r="H14" s="11">
        <f t="shared" si="1"/>
        <v>0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0.2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/>
      <c r="F19" s="11">
        <f>E19/15</f>
        <v>0</v>
      </c>
      <c r="G19" s="15">
        <v>3.5</v>
      </c>
      <c r="H19" s="11">
        <f>E19</f>
        <v>0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/>
      <c r="E20" s="20"/>
      <c r="F20" s="11">
        <f>D20/C20</f>
        <v>0</v>
      </c>
      <c r="G20" s="15">
        <v>0.2</v>
      </c>
      <c r="H20" s="11">
        <f>G20*D20</f>
        <v>0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/>
      <c r="F21" s="11">
        <f>E21/15</f>
        <v>0</v>
      </c>
      <c r="G21" s="15">
        <v>3.5</v>
      </c>
      <c r="H21" s="11">
        <f>E21</f>
        <v>0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/>
      <c r="E22" s="20"/>
      <c r="F22" s="11">
        <f t="shared" ref="F22:F28" si="2">D22/C22</f>
        <v>0</v>
      </c>
      <c r="G22" s="15">
        <v>0.1</v>
      </c>
      <c r="H22" s="11">
        <f t="shared" ref="H22:H28" si="3">G22*D22</f>
        <v>0</v>
      </c>
      <c r="I22" s="11"/>
    </row>
    <row r="23" spans="1:9">
      <c r="A23" s="2">
        <v>8444187</v>
      </c>
      <c r="B23" s="3" t="s">
        <v>38</v>
      </c>
      <c r="C23" s="9">
        <v>6</v>
      </c>
      <c r="D23" s="20"/>
      <c r="E23" s="20"/>
      <c r="F23" s="11">
        <f t="shared" si="2"/>
        <v>0</v>
      </c>
      <c r="G23" s="15">
        <v>0.1</v>
      </c>
      <c r="H23" s="11">
        <f t="shared" si="3"/>
        <v>0</v>
      </c>
      <c r="I23" s="11"/>
    </row>
    <row r="24" spans="1:9">
      <c r="A24" s="2">
        <v>8444163</v>
      </c>
      <c r="B24" s="3" t="s">
        <v>39</v>
      </c>
      <c r="C24" s="9">
        <v>8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/>
      <c r="E26" s="20"/>
      <c r="F26" s="11">
        <f t="shared" si="2"/>
        <v>0</v>
      </c>
      <c r="G26" s="15">
        <v>0.14000000000000001</v>
      </c>
      <c r="H26" s="11">
        <f t="shared" si="3"/>
        <v>0</v>
      </c>
      <c r="I26" s="11"/>
    </row>
    <row r="27" spans="1:9">
      <c r="A27" s="2">
        <v>9988391</v>
      </c>
      <c r="B27" s="3" t="s">
        <v>42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5034819</v>
      </c>
      <c r="B28" s="3" t="s">
        <v>43</v>
      </c>
      <c r="C28" s="9">
        <v>6</v>
      </c>
      <c r="D28" s="20"/>
      <c r="E28" s="20"/>
      <c r="F28" s="11">
        <f t="shared" si="2"/>
        <v>0</v>
      </c>
      <c r="G28" s="15">
        <v>0.18</v>
      </c>
      <c r="H28" s="11">
        <f t="shared" si="3"/>
        <v>0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/>
      <c r="F30" s="11">
        <f>E30/16.5</f>
        <v>0</v>
      </c>
      <c r="G30" s="15">
        <v>3.2</v>
      </c>
      <c r="H30" s="11">
        <f>E30</f>
        <v>0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/>
      <c r="E32" s="20"/>
      <c r="F32" s="11">
        <f t="shared" si="4"/>
        <v>0</v>
      </c>
      <c r="G32" s="15">
        <v>0.4</v>
      </c>
      <c r="H32" s="11">
        <f t="shared" si="5"/>
        <v>0</v>
      </c>
      <c r="I32" s="11"/>
    </row>
    <row r="33" spans="1:9">
      <c r="A33" s="2">
        <v>9988681</v>
      </c>
      <c r="B33" s="3" t="s">
        <v>49</v>
      </c>
      <c r="C33" s="9">
        <v>16</v>
      </c>
      <c r="D33" s="20"/>
      <c r="E33" s="20"/>
      <c r="F33" s="11">
        <f t="shared" si="4"/>
        <v>0</v>
      </c>
      <c r="G33" s="15">
        <v>0.18</v>
      </c>
      <c r="H33" s="11">
        <f t="shared" si="5"/>
        <v>0</v>
      </c>
      <c r="I33" s="11"/>
    </row>
    <row r="34" spans="1:9">
      <c r="A34" s="2">
        <v>9988438</v>
      </c>
      <c r="B34" s="3" t="s">
        <v>50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9988445</v>
      </c>
      <c r="B35" s="3" t="s">
        <v>51</v>
      </c>
      <c r="C35" s="9">
        <v>16</v>
      </c>
      <c r="D35" s="20"/>
      <c r="E35" s="20"/>
      <c r="F35" s="11">
        <f t="shared" si="4"/>
        <v>0</v>
      </c>
      <c r="G35" s="15">
        <v>0.18</v>
      </c>
      <c r="H35" s="11">
        <f t="shared" si="5"/>
        <v>0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/>
      <c r="E47" s="20"/>
      <c r="F47" s="11">
        <f>D47/C47</f>
        <v>0</v>
      </c>
      <c r="G47" s="15">
        <v>0.372</v>
      </c>
      <c r="H47" s="11">
        <f>G47*D47</f>
        <v>0</v>
      </c>
      <c r="I47" s="11"/>
    </row>
    <row r="48" spans="1:9">
      <c r="A48" s="18">
        <v>6948287</v>
      </c>
      <c r="B48" s="19" t="s">
        <v>65</v>
      </c>
      <c r="C48" s="9">
        <v>12</v>
      </c>
      <c r="D48" s="20"/>
      <c r="E48" s="20"/>
      <c r="F48" s="11">
        <f>D48/C48</f>
        <v>0</v>
      </c>
      <c r="G48" s="15">
        <v>0.74399999999999999</v>
      </c>
      <c r="H48" s="11">
        <f>G48*D48</f>
        <v>0</v>
      </c>
      <c r="I48" s="11"/>
    </row>
    <row r="49" spans="1:9">
      <c r="A49" s="18">
        <v>6948256</v>
      </c>
      <c r="B49" s="19" t="s">
        <v>66</v>
      </c>
      <c r="C49" s="9">
        <v>12</v>
      </c>
      <c r="D49" s="20"/>
      <c r="E49" s="20"/>
      <c r="F49" s="11">
        <f>D49/C49</f>
        <v>0</v>
      </c>
      <c r="G49" s="15">
        <v>0.372</v>
      </c>
      <c r="H49" s="11">
        <f>G49*D49</f>
        <v>0</v>
      </c>
      <c r="I49" s="11"/>
    </row>
    <row r="50" spans="1:9">
      <c r="A50" s="18">
        <v>6948263</v>
      </c>
      <c r="B50" s="19" t="s">
        <v>67</v>
      </c>
      <c r="C50" s="9">
        <v>12</v>
      </c>
      <c r="D50" s="20"/>
      <c r="E50" s="20"/>
      <c r="F50" s="11">
        <f>D50/C50</f>
        <v>0</v>
      </c>
      <c r="G50" s="15">
        <v>0.74399999999999999</v>
      </c>
      <c r="H50" s="11">
        <f>G50*D50</f>
        <v>0</v>
      </c>
      <c r="I50" s="11"/>
    </row>
    <row r="51" spans="1:9">
      <c r="A51" s="18">
        <v>6948249</v>
      </c>
      <c r="B51" s="19" t="s">
        <v>68</v>
      </c>
      <c r="C51" s="9">
        <v>12</v>
      </c>
      <c r="D51" s="20"/>
      <c r="E51" s="20"/>
      <c r="F51" s="11">
        <f>D51/C51</f>
        <v>0</v>
      </c>
      <c r="G51" s="15">
        <v>0.82499999999999996</v>
      </c>
      <c r="H51" s="11">
        <f>G51*D51</f>
        <v>0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0</v>
      </c>
      <c r="I52" s="11"/>
    </row>
  </sheetData>
  <autoFilter ref="A3:I52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Мелитополь</vt:lpstr>
      <vt:lpstr>Бердянск</vt:lpstr>
      <vt:lpstr>Донецк</vt:lpstr>
      <vt:lpstr>Луганск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2026-06-22T10:38:26Z</dcterms:modified>
</cp:coreProperties>
</file>