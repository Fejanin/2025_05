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2116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заказа'!$B$186:$B$186</definedName>
    <definedName name="ProductId67">'Бланк заказа'!$B$187:$B$187</definedName>
    <definedName name="ProductId68">'Бланк заказа'!$B$188:$B$188</definedName>
    <definedName name="ProductId69">'Бланк заказа'!$B$193:$B$193</definedName>
    <definedName name="ProductId7">'Бланк заказа'!$B$28:$B$28</definedName>
    <definedName name="ProductId70">'Бланк заказа'!$B$194:$B$194</definedName>
    <definedName name="ProductId71">'Бланк заказа'!$B$199:$B$199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заказа'!$B$214:$B$214</definedName>
    <definedName name="ProductId77">'Бланк заказа'!$B$218:$B$218</definedName>
    <definedName name="ProductId78">'Бланк заказа'!$B$219:$B$219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заказа'!$B$226:$B$226</definedName>
    <definedName name="ProductId82">'Бланк заказа'!$B$231:$B$231</definedName>
    <definedName name="ProductId83">'Бланк заказа'!$B$237:$B$237</definedName>
    <definedName name="ProductId84">'Бланк заказа'!$B$243:$B$243</definedName>
    <definedName name="ProductId85">'Бланк заказа'!$B$247:$B$247</definedName>
    <definedName name="ProductId86">'Бланк заказа'!$B$253:$B$253</definedName>
    <definedName name="ProductId87">'Бланк заказа'!$B$257:$B$257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заказа'!$X$186:$X$186</definedName>
    <definedName name="SalesQty67">'Бланк заказа'!$X$187:$X$187</definedName>
    <definedName name="SalesQty68">'Бланк заказа'!$X$188:$X$188</definedName>
    <definedName name="SalesQty69">'Бланк заказа'!$X$193:$X$193</definedName>
    <definedName name="SalesQty7">'Бланк заказа'!$X$28:$X$28</definedName>
    <definedName name="SalesQty70">'Бланк заказа'!$X$194:$X$194</definedName>
    <definedName name="SalesQty71">'Бланк заказа'!$X$199:$X$199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заказа'!$X$214:$X$214</definedName>
    <definedName name="SalesQty77">'Бланк заказа'!$X$218:$X$218</definedName>
    <definedName name="SalesQty78">'Бланк заказа'!$X$219:$X$219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заказа'!$X$226:$X$226</definedName>
    <definedName name="SalesQty82">'Бланк заказа'!$X$231:$X$231</definedName>
    <definedName name="SalesQty83">'Бланк заказа'!$X$237:$X$237</definedName>
    <definedName name="SalesQty84">'Бланк заказа'!$X$243:$X$243</definedName>
    <definedName name="SalesQty85">'Бланк заказа'!$X$247:$X$247</definedName>
    <definedName name="SalesQty86">'Бланк заказа'!$X$253:$X$253</definedName>
    <definedName name="SalesQty87">'Бланк заказа'!$X$257:$X$257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заказа'!$Y$186:$Y$186</definedName>
    <definedName name="SalesRoundBox67">'Бланк заказа'!$Y$187:$Y$187</definedName>
    <definedName name="SalesRoundBox68">'Бланк заказа'!$Y$188:$Y$188</definedName>
    <definedName name="SalesRoundBox69">'Бланк заказа'!$Y$193:$Y$193</definedName>
    <definedName name="SalesRoundBox7">'Бланк заказа'!$Y$28:$Y$28</definedName>
    <definedName name="SalesRoundBox70">'Бланк заказа'!$Y$194:$Y$194</definedName>
    <definedName name="SalesRoundBox71">'Бланк заказа'!$Y$199:$Y$199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заказа'!$Y$214:$Y$214</definedName>
    <definedName name="SalesRoundBox77">'Бланк заказа'!$Y$218:$Y$218</definedName>
    <definedName name="SalesRoundBox78">'Бланк заказа'!$Y$219:$Y$219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заказа'!$Y$226:$Y$226</definedName>
    <definedName name="SalesRoundBox82">'Бланк заказа'!$Y$231:$Y$231</definedName>
    <definedName name="SalesRoundBox83">'Бланк заказа'!$Y$237:$Y$237</definedName>
    <definedName name="SalesRoundBox84">'Бланк заказа'!$Y$243:$Y$243</definedName>
    <definedName name="SalesRoundBox85">'Бланк заказа'!$Y$247:$Y$247</definedName>
    <definedName name="SalesRoundBox86">'Бланк заказа'!$Y$253:$Y$253</definedName>
    <definedName name="SalesRoundBox87">'Бланк заказа'!$Y$257:$Y$257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заказа'!$W$186:$W$186</definedName>
    <definedName name="UnitOfMeasure67">'Бланк заказа'!$W$187:$W$187</definedName>
    <definedName name="UnitOfMeasure68">'Бланк заказа'!$W$188:$W$188</definedName>
    <definedName name="UnitOfMeasure69">'Бланк заказа'!$W$193:$W$193</definedName>
    <definedName name="UnitOfMeasure7">'Бланк заказа'!$W$28:$W$28</definedName>
    <definedName name="UnitOfMeasure70">'Бланк заказа'!$W$194:$W$194</definedName>
    <definedName name="UnitOfMeasure71">'Бланк заказа'!$W$199:$W$199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заказа'!$W$214:$W$214</definedName>
    <definedName name="UnitOfMeasure77">'Бланк заказа'!$W$218:$W$218</definedName>
    <definedName name="UnitOfMeasure78">'Бланк заказа'!$W$219:$W$219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заказа'!$W$226:$W$226</definedName>
    <definedName name="UnitOfMeasure82">'Бланк заказа'!$W$231:$W$231</definedName>
    <definedName name="UnitOfMeasure83">'Бланк заказа'!$W$237:$W$237</definedName>
    <definedName name="UnitOfMeasure84">'Бланк заказа'!$W$243:$W$243</definedName>
    <definedName name="UnitOfMeasure85">'Бланк заказа'!$W$247:$W$247</definedName>
    <definedName name="UnitOfMeasure86">'Бланк заказа'!$W$253:$W$253</definedName>
    <definedName name="UnitOfMeasure87">'Бланк заказа'!$W$257:$W$257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P282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N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N278" i="2"/>
  <c r="BM278" i="2"/>
  <c r="Z278" i="2"/>
  <c r="Y278" i="2"/>
  <c r="BP278" i="2" s="1"/>
  <c r="P278" i="2"/>
  <c r="BP277" i="2"/>
  <c r="BO277" i="2"/>
  <c r="BN277" i="2"/>
  <c r="BM277" i="2"/>
  <c r="Z277" i="2"/>
  <c r="Y277" i="2"/>
  <c r="BO276" i="2"/>
  <c r="BM276" i="2"/>
  <c r="Z276" i="2"/>
  <c r="Y276" i="2"/>
  <c r="BP276" i="2" s="1"/>
  <c r="BO275" i="2"/>
  <c r="BM275" i="2"/>
  <c r="Z275" i="2"/>
  <c r="Y275" i="2"/>
  <c r="BP275" i="2" s="1"/>
  <c r="BP274" i="2"/>
  <c r="BO274" i="2"/>
  <c r="BN274" i="2"/>
  <c r="BM274" i="2"/>
  <c r="Z274" i="2"/>
  <c r="Z284" i="2" s="1"/>
  <c r="Y274" i="2"/>
  <c r="Y285" i="2" s="1"/>
  <c r="X272" i="2"/>
  <c r="X271" i="2"/>
  <c r="BP270" i="2"/>
  <c r="BO270" i="2"/>
  <c r="BN270" i="2"/>
  <c r="BM270" i="2"/>
  <c r="Z270" i="2"/>
  <c r="Y270" i="2"/>
  <c r="BP269" i="2"/>
  <c r="BO269" i="2"/>
  <c r="BN269" i="2"/>
  <c r="BM269" i="2"/>
  <c r="Z269" i="2"/>
  <c r="Y269" i="2"/>
  <c r="BO268" i="2"/>
  <c r="BM268" i="2"/>
  <c r="Z268" i="2"/>
  <c r="Z271" i="2" s="1"/>
  <c r="Y268" i="2"/>
  <c r="BP268" i="2" s="1"/>
  <c r="X266" i="2"/>
  <c r="Z265" i="2"/>
  <c r="X265" i="2"/>
  <c r="BO264" i="2"/>
  <c r="BN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X259" i="2"/>
  <c r="Z258" i="2"/>
  <c r="X258" i="2"/>
  <c r="BP257" i="2"/>
  <c r="BO257" i="2"/>
  <c r="BN257" i="2"/>
  <c r="BM257" i="2"/>
  <c r="Z257" i="2"/>
  <c r="Y257" i="2"/>
  <c r="Y259" i="2" s="1"/>
  <c r="P257" i="2"/>
  <c r="Y255" i="2"/>
  <c r="X255" i="2"/>
  <c r="Y254" i="2"/>
  <c r="X254" i="2"/>
  <c r="BP253" i="2"/>
  <c r="BO253" i="2"/>
  <c r="BN253" i="2"/>
  <c r="BM253" i="2"/>
  <c r="Z253" i="2"/>
  <c r="Z254" i="2" s="1"/>
  <c r="Y253" i="2"/>
  <c r="P253" i="2"/>
  <c r="Y249" i="2"/>
  <c r="X249" i="2"/>
  <c r="X248" i="2"/>
  <c r="BO247" i="2"/>
  <c r="BM247" i="2"/>
  <c r="Z247" i="2"/>
  <c r="Z248" i="2" s="1"/>
  <c r="Y247" i="2"/>
  <c r="Y248" i="2" s="1"/>
  <c r="P247" i="2"/>
  <c r="X245" i="2"/>
  <c r="Z244" i="2"/>
  <c r="X244" i="2"/>
  <c r="BP243" i="2"/>
  <c r="BO243" i="2"/>
  <c r="BN243" i="2"/>
  <c r="BM243" i="2"/>
  <c r="Z243" i="2"/>
  <c r="Y243" i="2"/>
  <c r="Y245" i="2" s="1"/>
  <c r="P243" i="2"/>
  <c r="Y239" i="2"/>
  <c r="X239" i="2"/>
  <c r="Y238" i="2"/>
  <c r="X238" i="2"/>
  <c r="BP237" i="2"/>
  <c r="BO237" i="2"/>
  <c r="BN237" i="2"/>
  <c r="BM237" i="2"/>
  <c r="Z237" i="2"/>
  <c r="Z238" i="2" s="1"/>
  <c r="Y237" i="2"/>
  <c r="P237" i="2"/>
  <c r="Y233" i="2"/>
  <c r="X233" i="2"/>
  <c r="X232" i="2"/>
  <c r="BO231" i="2"/>
  <c r="BM231" i="2"/>
  <c r="Z231" i="2"/>
  <c r="Z232" i="2" s="1"/>
  <c r="Y231" i="2"/>
  <c r="Y232" i="2" s="1"/>
  <c r="P231" i="2"/>
  <c r="X228" i="2"/>
  <c r="X227" i="2"/>
  <c r="BP226" i="2"/>
  <c r="BO226" i="2"/>
  <c r="BN226" i="2"/>
  <c r="BM226" i="2"/>
  <c r="Z226" i="2"/>
  <c r="Y226" i="2"/>
  <c r="P226" i="2"/>
  <c r="BO225" i="2"/>
  <c r="BM225" i="2"/>
  <c r="Z225" i="2"/>
  <c r="Z227" i="2" s="1"/>
  <c r="Y225" i="2"/>
  <c r="BP225" i="2" s="1"/>
  <c r="P225" i="2"/>
  <c r="X222" i="2"/>
  <c r="X221" i="2"/>
  <c r="BP220" i="2"/>
  <c r="BO220" i="2"/>
  <c r="BM220" i="2"/>
  <c r="Z220" i="2"/>
  <c r="Y220" i="2"/>
  <c r="BN220" i="2" s="1"/>
  <c r="P220" i="2"/>
  <c r="BO219" i="2"/>
  <c r="BM219" i="2"/>
  <c r="Z219" i="2"/>
  <c r="Y219" i="2"/>
  <c r="BP219" i="2" s="1"/>
  <c r="P219" i="2"/>
  <c r="BO218" i="2"/>
  <c r="BM218" i="2"/>
  <c r="Z218" i="2"/>
  <c r="Z221" i="2" s="1"/>
  <c r="Y218" i="2"/>
  <c r="Y222" i="2" s="1"/>
  <c r="P218" i="2"/>
  <c r="X216" i="2"/>
  <c r="X215" i="2"/>
  <c r="BO214" i="2"/>
  <c r="BN214" i="2"/>
  <c r="BM214" i="2"/>
  <c r="Z214" i="2"/>
  <c r="Z215" i="2" s="1"/>
  <c r="Y214" i="2"/>
  <c r="Y216" i="2" s="1"/>
  <c r="P214" i="2"/>
  <c r="X210" i="2"/>
  <c r="Z209" i="2"/>
  <c r="Y209" i="2"/>
  <c r="X209" i="2"/>
  <c r="BO208" i="2"/>
  <c r="BN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N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Y201" i="2"/>
  <c r="X201" i="2"/>
  <c r="Z200" i="2"/>
  <c r="X200" i="2"/>
  <c r="BP199" i="2"/>
  <c r="BO199" i="2"/>
  <c r="BN199" i="2"/>
  <c r="BM199" i="2"/>
  <c r="Z199" i="2"/>
  <c r="Y199" i="2"/>
  <c r="Y200" i="2" s="1"/>
  <c r="P199" i="2"/>
  <c r="X196" i="2"/>
  <c r="X195" i="2"/>
  <c r="BP194" i="2"/>
  <c r="BO194" i="2"/>
  <c r="BN194" i="2"/>
  <c r="BM194" i="2"/>
  <c r="Z194" i="2"/>
  <c r="Y194" i="2"/>
  <c r="P194" i="2"/>
  <c r="BP193" i="2"/>
  <c r="BO193" i="2"/>
  <c r="BM193" i="2"/>
  <c r="Z193" i="2"/>
  <c r="Z195" i="2" s="1"/>
  <c r="Y193" i="2"/>
  <c r="BN193" i="2" s="1"/>
  <c r="P193" i="2"/>
  <c r="X190" i="2"/>
  <c r="X189" i="2"/>
  <c r="BP188" i="2"/>
  <c r="BO188" i="2"/>
  <c r="BM188" i="2"/>
  <c r="Z188" i="2"/>
  <c r="Y188" i="2"/>
  <c r="Y189" i="2" s="1"/>
  <c r="P188" i="2"/>
  <c r="BP187" i="2"/>
  <c r="BO187" i="2"/>
  <c r="BN187" i="2"/>
  <c r="BM187" i="2"/>
  <c r="Z187" i="2"/>
  <c r="Y187" i="2"/>
  <c r="P187" i="2"/>
  <c r="BO186" i="2"/>
  <c r="BN186" i="2"/>
  <c r="BM186" i="2"/>
  <c r="Z186" i="2"/>
  <c r="Z189" i="2" s="1"/>
  <c r="Y186" i="2"/>
  <c r="Y190" i="2" s="1"/>
  <c r="P186" i="2"/>
  <c r="Y184" i="2"/>
  <c r="X184" i="2"/>
  <c r="Z183" i="2"/>
  <c r="Y183" i="2"/>
  <c r="X183" i="2"/>
  <c r="BO182" i="2"/>
  <c r="BN182" i="2"/>
  <c r="BM182" i="2"/>
  <c r="Z182" i="2"/>
  <c r="Y182" i="2"/>
  <c r="BP182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N172" i="2"/>
  <c r="BM172" i="2"/>
  <c r="Z172" i="2"/>
  <c r="Z173" i="2" s="1"/>
  <c r="Y172" i="2"/>
  <c r="Y174" i="2" s="1"/>
  <c r="P172" i="2"/>
  <c r="Y169" i="2"/>
  <c r="X169" i="2"/>
  <c r="Z168" i="2"/>
  <c r="Y168" i="2"/>
  <c r="X168" i="2"/>
  <c r="BO167" i="2"/>
  <c r="BN167" i="2"/>
  <c r="BM167" i="2"/>
  <c r="Z167" i="2"/>
  <c r="Y167" i="2"/>
  <c r="BP167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N157" i="2"/>
  <c r="BM157" i="2"/>
  <c r="Z157" i="2"/>
  <c r="Y157" i="2"/>
  <c r="BP157" i="2" s="1"/>
  <c r="P157" i="2"/>
  <c r="BP156" i="2"/>
  <c r="BO156" i="2"/>
  <c r="BN156" i="2"/>
  <c r="BM156" i="2"/>
  <c r="Z156" i="2"/>
  <c r="Z158" i="2" s="1"/>
  <c r="Y156" i="2"/>
  <c r="P156" i="2"/>
  <c r="BO155" i="2"/>
  <c r="BM155" i="2"/>
  <c r="Z155" i="2"/>
  <c r="Y155" i="2"/>
  <c r="Y159" i="2" s="1"/>
  <c r="P155" i="2"/>
  <c r="X152" i="2"/>
  <c r="Z151" i="2"/>
  <c r="X151" i="2"/>
  <c r="BO150" i="2"/>
  <c r="BM150" i="2"/>
  <c r="Z150" i="2"/>
  <c r="Y150" i="2"/>
  <c r="BN150" i="2" s="1"/>
  <c r="P150" i="2"/>
  <c r="BO149" i="2"/>
  <c r="BM149" i="2"/>
  <c r="Z149" i="2"/>
  <c r="Y149" i="2"/>
  <c r="BP149" i="2" s="1"/>
  <c r="P149" i="2"/>
  <c r="Y146" i="2"/>
  <c r="X146" i="2"/>
  <c r="X145" i="2"/>
  <c r="BP144" i="2"/>
  <c r="BO144" i="2"/>
  <c r="BN144" i="2"/>
  <c r="BM144" i="2"/>
  <c r="Z144" i="2"/>
  <c r="Y144" i="2"/>
  <c r="P144" i="2"/>
  <c r="BO143" i="2"/>
  <c r="BM143" i="2"/>
  <c r="Z143" i="2"/>
  <c r="Z145" i="2" s="1"/>
  <c r="Y143" i="2"/>
  <c r="BP143" i="2" s="1"/>
  <c r="P143" i="2"/>
  <c r="X140" i="2"/>
  <c r="X139" i="2"/>
  <c r="BP138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Z139" i="2" s="1"/>
  <c r="Y136" i="2"/>
  <c r="Y140" i="2" s="1"/>
  <c r="P136" i="2"/>
  <c r="Y134" i="2"/>
  <c r="X134" i="2"/>
  <c r="X133" i="2"/>
  <c r="BO132" i="2"/>
  <c r="BN132" i="2"/>
  <c r="BM132" i="2"/>
  <c r="Z132" i="2"/>
  <c r="Y132" i="2"/>
  <c r="BP132" i="2" s="1"/>
  <c r="P132" i="2"/>
  <c r="BP131" i="2"/>
  <c r="BO131" i="2"/>
  <c r="BN131" i="2"/>
  <c r="BM131" i="2"/>
  <c r="Z131" i="2"/>
  <c r="Z133" i="2" s="1"/>
  <c r="Y131" i="2"/>
  <c r="P131" i="2"/>
  <c r="BP130" i="2"/>
  <c r="BO130" i="2"/>
  <c r="BM130" i="2"/>
  <c r="Z130" i="2"/>
  <c r="Y130" i="2"/>
  <c r="BN130" i="2" s="1"/>
  <c r="P130" i="2"/>
  <c r="BP129" i="2"/>
  <c r="BO129" i="2"/>
  <c r="BN129" i="2"/>
  <c r="BM129" i="2"/>
  <c r="Z129" i="2"/>
  <c r="Y129" i="2"/>
  <c r="Y133" i="2" s="1"/>
  <c r="P129" i="2"/>
  <c r="Y126" i="2"/>
  <c r="X126" i="2"/>
  <c r="Y125" i="2"/>
  <c r="X125" i="2"/>
  <c r="BO124" i="2"/>
  <c r="BM124" i="2"/>
  <c r="Z124" i="2"/>
  <c r="Z125" i="2" s="1"/>
  <c r="Y124" i="2"/>
  <c r="BP124" i="2" s="1"/>
  <c r="P124" i="2"/>
  <c r="Y122" i="2"/>
  <c r="X122" i="2"/>
  <c r="X121" i="2"/>
  <c r="BP120" i="2"/>
  <c r="BO120" i="2"/>
  <c r="BN120" i="2"/>
  <c r="BM120" i="2"/>
  <c r="Z120" i="2"/>
  <c r="Z121" i="2" s="1"/>
  <c r="Y120" i="2"/>
  <c r="Y121" i="2" s="1"/>
  <c r="P120" i="2"/>
  <c r="X118" i="2"/>
  <c r="X117" i="2"/>
  <c r="BP116" i="2"/>
  <c r="BO116" i="2"/>
  <c r="BN116" i="2"/>
  <c r="BM116" i="2"/>
  <c r="Z116" i="2"/>
  <c r="Y116" i="2"/>
  <c r="P116" i="2"/>
  <c r="BP115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P112" i="2"/>
  <c r="BO112" i="2"/>
  <c r="BN112" i="2"/>
  <c r="BM112" i="2"/>
  <c r="Z112" i="2"/>
  <c r="Y112" i="2"/>
  <c r="P112" i="2"/>
  <c r="BP111" i="2"/>
  <c r="BO111" i="2"/>
  <c r="BN111" i="2"/>
  <c r="BM111" i="2"/>
  <c r="Z111" i="2"/>
  <c r="Y111" i="2"/>
  <c r="P111" i="2"/>
  <c r="BP110" i="2"/>
  <c r="BO110" i="2"/>
  <c r="BN110" i="2"/>
  <c r="BM110" i="2"/>
  <c r="Z110" i="2"/>
  <c r="Y110" i="2"/>
  <c r="P110" i="2"/>
  <c r="BO109" i="2"/>
  <c r="BM109" i="2"/>
  <c r="Z109" i="2"/>
  <c r="Z117" i="2" s="1"/>
  <c r="Y109" i="2"/>
  <c r="Y118" i="2" s="1"/>
  <c r="P109" i="2"/>
  <c r="X106" i="2"/>
  <c r="X105" i="2"/>
  <c r="BP104" i="2"/>
  <c r="BO104" i="2"/>
  <c r="BM104" i="2"/>
  <c r="Z104" i="2"/>
  <c r="Y104" i="2"/>
  <c r="BN104" i="2" s="1"/>
  <c r="P104" i="2"/>
  <c r="BO103" i="2"/>
  <c r="BM103" i="2"/>
  <c r="Z103" i="2"/>
  <c r="Z105" i="2" s="1"/>
  <c r="Y103" i="2"/>
  <c r="BN103" i="2" s="1"/>
  <c r="P103" i="2"/>
  <c r="X100" i="2"/>
  <c r="Y99" i="2"/>
  <c r="X99" i="2"/>
  <c r="BP98" i="2"/>
  <c r="BO98" i="2"/>
  <c r="BN98" i="2"/>
  <c r="BM98" i="2"/>
  <c r="Z98" i="2"/>
  <c r="Y98" i="2"/>
  <c r="P98" i="2"/>
  <c r="BO97" i="2"/>
  <c r="BN97" i="2"/>
  <c r="BM97" i="2"/>
  <c r="Z97" i="2"/>
  <c r="Y97" i="2"/>
  <c r="BP97" i="2" s="1"/>
  <c r="P97" i="2"/>
  <c r="BP96" i="2"/>
  <c r="BO96" i="2"/>
  <c r="BN96" i="2"/>
  <c r="BM96" i="2"/>
  <c r="Z96" i="2"/>
  <c r="Z99" i="2" s="1"/>
  <c r="Y96" i="2"/>
  <c r="P96" i="2"/>
  <c r="BO95" i="2"/>
  <c r="BM95" i="2"/>
  <c r="Z95" i="2"/>
  <c r="Y95" i="2"/>
  <c r="BP95" i="2" s="1"/>
  <c r="P95" i="2"/>
  <c r="BP94" i="2"/>
  <c r="BO94" i="2"/>
  <c r="BM94" i="2"/>
  <c r="Z94" i="2"/>
  <c r="Y94" i="2"/>
  <c r="BN94" i="2" s="1"/>
  <c r="P94" i="2"/>
  <c r="BP93" i="2"/>
  <c r="BO93" i="2"/>
  <c r="BM93" i="2"/>
  <c r="Z93" i="2"/>
  <c r="Y93" i="2"/>
  <c r="BN93" i="2" s="1"/>
  <c r="P93" i="2"/>
  <c r="X90" i="2"/>
  <c r="Y89" i="2"/>
  <c r="X89" i="2"/>
  <c r="BP88" i="2"/>
  <c r="BO88" i="2"/>
  <c r="BM88" i="2"/>
  <c r="Z88" i="2"/>
  <c r="Z89" i="2" s="1"/>
  <c r="Y88" i="2"/>
  <c r="BN88" i="2" s="1"/>
  <c r="P88" i="2"/>
  <c r="BP87" i="2"/>
  <c r="BO87" i="2"/>
  <c r="BN87" i="2"/>
  <c r="BM87" i="2"/>
  <c r="Z87" i="2"/>
  <c r="Y87" i="2"/>
  <c r="Y90" i="2" s="1"/>
  <c r="P87" i="2"/>
  <c r="X84" i="2"/>
  <c r="Z83" i="2"/>
  <c r="Y83" i="2"/>
  <c r="X83" i="2"/>
  <c r="BO82" i="2"/>
  <c r="BM82" i="2"/>
  <c r="Z82" i="2"/>
  <c r="Y82" i="2"/>
  <c r="Y84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Z78" i="2" s="1"/>
  <c r="Y76" i="2"/>
  <c r="Y79" i="2" s="1"/>
  <c r="P76" i="2"/>
  <c r="Y73" i="2"/>
  <c r="X73" i="2"/>
  <c r="X72" i="2"/>
  <c r="BO71" i="2"/>
  <c r="BN71" i="2"/>
  <c r="BM71" i="2"/>
  <c r="Z71" i="2"/>
  <c r="Y71" i="2"/>
  <c r="BP71" i="2" s="1"/>
  <c r="P71" i="2"/>
  <c r="BP70" i="2"/>
  <c r="BO70" i="2"/>
  <c r="BN70" i="2"/>
  <c r="BM70" i="2"/>
  <c r="Z70" i="2"/>
  <c r="Z72" i="2" s="1"/>
  <c r="Y70" i="2"/>
  <c r="P70" i="2"/>
  <c r="BO69" i="2"/>
  <c r="BM69" i="2"/>
  <c r="Z69" i="2"/>
  <c r="Y69" i="2"/>
  <c r="BP69" i="2" s="1"/>
  <c r="P69" i="2"/>
  <c r="X67" i="2"/>
  <c r="Z66" i="2"/>
  <c r="X66" i="2"/>
  <c r="BO65" i="2"/>
  <c r="BM65" i="2"/>
  <c r="Z65" i="2"/>
  <c r="Y65" i="2"/>
  <c r="Y67" i="2" s="1"/>
  <c r="P65" i="2"/>
  <c r="Y63" i="2"/>
  <c r="X63" i="2"/>
  <c r="Z62" i="2"/>
  <c r="X62" i="2"/>
  <c r="BP61" i="2"/>
  <c r="BO61" i="2"/>
  <c r="BN61" i="2"/>
  <c r="BM61" i="2"/>
  <c r="Z61" i="2"/>
  <c r="Y61" i="2"/>
  <c r="Y62" i="2" s="1"/>
  <c r="P61" i="2"/>
  <c r="X58" i="2"/>
  <c r="Z57" i="2"/>
  <c r="X57" i="2"/>
  <c r="BO56" i="2"/>
  <c r="BM56" i="2"/>
  <c r="Z56" i="2"/>
  <c r="Y56" i="2"/>
  <c r="BP56" i="2" s="1"/>
  <c r="P56" i="2"/>
  <c r="BP55" i="2"/>
  <c r="BO55" i="2"/>
  <c r="BM55" i="2"/>
  <c r="Z55" i="2"/>
  <c r="Y55" i="2"/>
  <c r="BN55" i="2" s="1"/>
  <c r="P55" i="2"/>
  <c r="BP54" i="2"/>
  <c r="BO54" i="2"/>
  <c r="BM54" i="2"/>
  <c r="Z54" i="2"/>
  <c r="Y54" i="2"/>
  <c r="BN54" i="2" s="1"/>
  <c r="P54" i="2"/>
  <c r="BO53" i="2"/>
  <c r="BM53" i="2"/>
  <c r="Z53" i="2"/>
  <c r="Y53" i="2"/>
  <c r="Y57" i="2" s="1"/>
  <c r="P53" i="2"/>
  <c r="X50" i="2"/>
  <c r="Y49" i="2"/>
  <c r="X49" i="2"/>
  <c r="BP48" i="2"/>
  <c r="BO48" i="2"/>
  <c r="BN48" i="2"/>
  <c r="BM48" i="2"/>
  <c r="Z48" i="2"/>
  <c r="Y48" i="2"/>
  <c r="P48" i="2"/>
  <c r="BO47" i="2"/>
  <c r="BN47" i="2"/>
  <c r="BM47" i="2"/>
  <c r="Z47" i="2"/>
  <c r="Z49" i="2" s="1"/>
  <c r="Y47" i="2"/>
  <c r="BP47" i="2" s="1"/>
  <c r="P47" i="2"/>
  <c r="X44" i="2"/>
  <c r="Z43" i="2"/>
  <c r="Y43" i="2"/>
  <c r="X43" i="2"/>
  <c r="BO42" i="2"/>
  <c r="BM42" i="2"/>
  <c r="Z42" i="2"/>
  <c r="Y42" i="2"/>
  <c r="BP42" i="2" s="1"/>
  <c r="P42" i="2"/>
  <c r="BP41" i="2"/>
  <c r="BO41" i="2"/>
  <c r="BN41" i="2"/>
  <c r="BM41" i="2"/>
  <c r="Z41" i="2"/>
  <c r="Y41" i="2"/>
  <c r="Y44" i="2" s="1"/>
  <c r="P41" i="2"/>
  <c r="Y37" i="2"/>
  <c r="X37" i="2"/>
  <c r="Z36" i="2"/>
  <c r="Y36" i="2"/>
  <c r="X36" i="2"/>
  <c r="BP35" i="2"/>
  <c r="BO35" i="2"/>
  <c r="BN35" i="2"/>
  <c r="BM35" i="2"/>
  <c r="Z35" i="2"/>
  <c r="Y35" i="2"/>
  <c r="P35" i="2"/>
  <c r="BP34" i="2"/>
  <c r="BO34" i="2"/>
  <c r="BN34" i="2"/>
  <c r="BM34" i="2"/>
  <c r="Z34" i="2"/>
  <c r="Y34" i="2"/>
  <c r="P34" i="2"/>
  <c r="X31" i="2"/>
  <c r="X286" i="2" s="1"/>
  <c r="X30" i="2"/>
  <c r="X290" i="2" s="1"/>
  <c r="BO29" i="2"/>
  <c r="BM29" i="2"/>
  <c r="Z29" i="2"/>
  <c r="Y29" i="2"/>
  <c r="BP29" i="2" s="1"/>
  <c r="P29" i="2"/>
  <c r="BP28" i="2"/>
  <c r="BO28" i="2"/>
  <c r="BM28" i="2"/>
  <c r="Z28" i="2"/>
  <c r="Y28" i="2"/>
  <c r="BN28" i="2" s="1"/>
  <c r="P28" i="2"/>
  <c r="BP27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P24" i="2"/>
  <c r="BO24" i="2"/>
  <c r="BN24" i="2"/>
  <c r="BM24" i="2"/>
  <c r="Z24" i="2"/>
  <c r="Y24" i="2"/>
  <c r="P24" i="2"/>
  <c r="BP23" i="2"/>
  <c r="BO23" i="2"/>
  <c r="BN23" i="2"/>
  <c r="BM23" i="2"/>
  <c r="Z23" i="2"/>
  <c r="Y23" i="2"/>
  <c r="P23" i="2"/>
  <c r="BP22" i="2"/>
  <c r="BO22" i="2"/>
  <c r="X288" i="2" s="1"/>
  <c r="BN22" i="2"/>
  <c r="BM22" i="2"/>
  <c r="X287" i="2" s="1"/>
  <c r="Z22" i="2"/>
  <c r="Z30" i="2" s="1"/>
  <c r="Y22" i="2"/>
  <c r="Y30" i="2" s="1"/>
  <c r="P22" i="2"/>
  <c r="H10" i="2"/>
  <c r="A9" i="2"/>
  <c r="F10" i="2" s="1"/>
  <c r="D7" i="2"/>
  <c r="Q6" i="2"/>
  <c r="P2" i="2"/>
  <c r="Z291" i="2" l="1"/>
  <c r="X289" i="2"/>
  <c r="BN113" i="2"/>
  <c r="BN136" i="2"/>
  <c r="Y139" i="2"/>
  <c r="BP150" i="2"/>
  <c r="BN162" i="2"/>
  <c r="BN178" i="2"/>
  <c r="BN218" i="2"/>
  <c r="Y221" i="2"/>
  <c r="Y31" i="2"/>
  <c r="Y58" i="2"/>
  <c r="BN82" i="2"/>
  <c r="Y145" i="2"/>
  <c r="Y210" i="2"/>
  <c r="Y227" i="2"/>
  <c r="Y244" i="2"/>
  <c r="Y258" i="2"/>
  <c r="BN25" i="2"/>
  <c r="Y287" i="2" s="1"/>
  <c r="BP65" i="2"/>
  <c r="BN76" i="2"/>
  <c r="Y105" i="2"/>
  <c r="Y50" i="2"/>
  <c r="Y66" i="2"/>
  <c r="Y290" i="2" s="1"/>
  <c r="BP76" i="2"/>
  <c r="Y100" i="2"/>
  <c r="BP136" i="2"/>
  <c r="Y151" i="2"/>
  <c r="BP162" i="2"/>
  <c r="BP178" i="2"/>
  <c r="BN188" i="2"/>
  <c r="BP218" i="2"/>
  <c r="Y265" i="2"/>
  <c r="BN275" i="2"/>
  <c r="BN283" i="2"/>
  <c r="BN65" i="2"/>
  <c r="BP82" i="2"/>
  <c r="Y106" i="2"/>
  <c r="Y228" i="2"/>
  <c r="Y152" i="2"/>
  <c r="BN207" i="2"/>
  <c r="Y266" i="2"/>
  <c r="BN281" i="2"/>
  <c r="Y284" i="2"/>
  <c r="BN114" i="2"/>
  <c r="Y117" i="2"/>
  <c r="BN137" i="2"/>
  <c r="Y164" i="2"/>
  <c r="Y180" i="2"/>
  <c r="Y195" i="2"/>
  <c r="BN219" i="2"/>
  <c r="Y271" i="2"/>
  <c r="A10" i="2"/>
  <c r="BN109" i="2"/>
  <c r="BN143" i="2"/>
  <c r="BP172" i="2"/>
  <c r="BP186" i="2"/>
  <c r="BP214" i="2"/>
  <c r="BN225" i="2"/>
  <c r="BN276" i="2"/>
  <c r="BP103" i="2"/>
  <c r="BN124" i="2"/>
  <c r="BN149" i="2"/>
  <c r="BN205" i="2"/>
  <c r="BN231" i="2"/>
  <c r="BN247" i="2"/>
  <c r="BN263" i="2"/>
  <c r="BN268" i="2"/>
  <c r="F9" i="2"/>
  <c r="H9" i="2"/>
  <c r="BN29" i="2"/>
  <c r="BN56" i="2"/>
  <c r="BN69" i="2"/>
  <c r="Y72" i="2"/>
  <c r="BN95" i="2"/>
  <c r="BP109" i="2"/>
  <c r="BN155" i="2"/>
  <c r="Y158" i="2"/>
  <c r="Y173" i="2"/>
  <c r="Y196" i="2"/>
  <c r="Y215" i="2"/>
  <c r="Y272" i="2"/>
  <c r="BN279" i="2"/>
  <c r="BP231" i="2"/>
  <c r="BP247" i="2"/>
  <c r="J9" i="2"/>
  <c r="BN26" i="2"/>
  <c r="BN53" i="2"/>
  <c r="BN77" i="2"/>
  <c r="BP53" i="2"/>
  <c r="Y288" i="2" s="1"/>
  <c r="Y78" i="2"/>
  <c r="BN42" i="2"/>
  <c r="BP155" i="2"/>
  <c r="Y289" i="2" l="1"/>
  <c r="Y286" i="2"/>
  <c r="C299" i="2"/>
  <c r="B299" i="2"/>
  <c r="A299" i="2"/>
</calcChain>
</file>

<file path=xl/sharedStrings.xml><?xml version="1.0" encoding="utf-8"?>
<sst xmlns="http://schemas.openxmlformats.org/spreadsheetml/2006/main" count="1786" uniqueCount="419">
  <si>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</si>
  <si>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</si>
  <si>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</si>
  <si>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</si>
  <si>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</si>
  <si>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</si>
  <si>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</si>
  <si>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</si>
  <si>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</si>
  <si>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</si>
  <si>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</si>
  <si>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</si>
  <si>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</si>
  <si>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</si>
  <si>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</si>
  <si>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</si>
  <si>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</si>
  <si>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</si>
  <si>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</si>
  <si>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</si>
  <si>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</si>
  <si>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</si>
  <si>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</si>
  <si>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</si>
  <si>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</si>
  <si>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</si>
  <si>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</si>
  <si>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</si>
  <si>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</si>
  <si>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</si>
  <si>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</si>
  <si>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</si>
  <si>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</si>
  <si>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</si>
  <si>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</si>
  <si>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</si>
  <si>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</si>
  <si>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</si>
  <si>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</si>
  <si>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</si>
  <si>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</si>
  <si>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</si>
  <si>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</si>
  <si>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</si>
  <si>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</si>
  <si>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</si>
  <si>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</si>
  <si>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</si>
  <si>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</si>
  <si>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</si>
  <si>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</si>
  <si>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</si>
  <si>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</si>
  <si>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</si>
  <si>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</si>
  <si>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</si>
  <si>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</si>
  <si>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</si>
  <si>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</si>
  <si>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</si>
  <si>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</si>
  <si>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</si>
  <si>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</si>
  <si>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</si>
  <si>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</si>
  <si>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</si>
  <si>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</si>
  <si>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</si>
  <si>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</si>
  <si>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</si>
  <si>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</si>
  <si>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21.09.2026</t>
  </si>
  <si>
    <t>19.09.2026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</si>
  <si>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</si>
  <si>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</si>
  <si>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</si>
  <si>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</si>
  <si>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</si>
  <si>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</si>
  <si>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</si>
  <si>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</si>
  <si>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</si>
  <si>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</si>
  <si>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</si>
  <si>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</si>
  <si>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</si>
  <si>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</si>
  <si>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</si>
  <si>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</si>
  <si>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</si>
  <si>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</si>
  <si>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</si>
  <si>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</si>
  <si>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</si>
  <si>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</si>
  <si>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</si>
  <si>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</si>
  <si>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</si>
  <si>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</si>
  <si>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</si>
  <si>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</si>
  <si>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</si>
  <si>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</si>
  <si>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</si>
  <si>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</si>
  <si>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</si>
  <si>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</si>
  <si>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</si>
  <si>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</si>
  <si>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</si>
  <si>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</si>
  <si>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</si>
  <si>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</si>
  <si>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</si>
  <si>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</si>
  <si>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</si>
  <si>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</si>
  <si>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</si>
  <si>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</si>
  <si>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</si>
  <si>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</si>
  <si>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</si>
  <si>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</si>
  <si>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</si>
  <si>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</si>
  <si>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</si>
  <si>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</si>
  <si>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</si>
  <si>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</si>
  <si>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</si>
  <si>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</si>
  <si>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</si>
  <si>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</si>
  <si>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</si>
  <si>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</si>
  <si>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</si>
  <si>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</si>
  <si>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</si>
  <si>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</si>
  <si>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</si>
  <si>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</si>
  <si>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</si>
  <si>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</si>
  <si>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</si>
  <si>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</si>
  <si>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</si>
  <si>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</si>
  <si>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</si>
  <si>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</si>
  <si>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</si>
  <si>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</si>
  <si>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</si>
  <si>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</si>
  <si>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</si>
  <si>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</si>
  <si>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</si>
  <si>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</si>
  <si>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</si>
  <si>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</si>
  <si>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</si>
  <si>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</si>
  <si>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</si>
  <si>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</si>
  <si>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</si>
  <si>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</si>
  <si>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</si>
  <si>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</si>
  <si>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</si>
  <si>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</si>
  <si>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</si>
  <si>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</si>
  <si>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</si>
  <si>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</si>
  <si>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</si>
  <si>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</si>
  <si>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</si>
  <si>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</si>
  <si>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</si>
  <si>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</si>
  <si>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</si>
  <si>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</si>
  <si>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</si>
  <si>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</si>
  <si>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</si>
  <si>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</si>
  <si>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</si>
  <si>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</si>
  <si>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</si>
  <si>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</si>
  <si>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</si>
  <si>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</si>
  <si>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</si>
  <si>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</si>
  <si>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</si>
  <si>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</si>
  <si>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</si>
  <si>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</si>
  <si>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</si>
  <si>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</si>
  <si>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</si>
  <si>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</si>
  <si>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</si>
  <si>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</si>
  <si>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</si>
  <si>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</si>
  <si>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</si>
  <si>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</si>
  <si>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</si>
  <si>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</si>
  <si>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</si>
  <si>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</si>
  <si>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</si>
  <si>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</si>
  <si>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</si>
  <si>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</si>
  <si>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</si>
  <si>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</si>
  <si>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</si>
  <si>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</si>
  <si>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</si>
  <si>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</si>
  <si>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</si>
  <si>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</si>
  <si>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</si>
  <si>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</si>
  <si>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</si>
  <si>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</si>
  <si>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</si>
  <si>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</si>
  <si>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</si>
  <si>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</si>
  <si>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</si>
  <si>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</si>
  <si>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</si>
  <si>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</si>
  <si>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</si>
  <si>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</si>
  <si>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</si>
  <si>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</si>
  <si>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</si>
  <si>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</si>
  <si>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</si>
  <si>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</si>
  <si>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</si>
  <si>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</si>
  <si>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</si>
  <si>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</si>
  <si>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</si>
  <si>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</si>
  <si>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</si>
  <si>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</si>
  <si>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</si>
  <si>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</si>
  <si>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</si>
  <si>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</si>
  <si>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</si>
  <si>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</si>
  <si>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</si>
  <si>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</si>
  <si>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</si>
  <si>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</si>
  <si>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</si>
  <si>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</si>
  <si>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</si>
  <si>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</si>
  <si>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</si>
  <si>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</si>
  <si>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</si>
  <si>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</si>
  <si>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</si>
  <si>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</si>
  <si>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</si>
  <si>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</si>
  <si>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</si>
  <si>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</si>
  <si>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</si>
  <si>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</si>
  <si>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</si>
  <si>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</si>
  <si>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</si>
  <si>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</si>
  <si>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</si>
  <si>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</si>
  <si>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</si>
  <si>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</si>
  <si>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</si>
  <si>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SU003191</t>
  </si>
  <si>
    <t>P003804</t>
  </si>
  <si>
    <t>ЕАЭС N RU Д-RU.РА08.В.03895/23, ЕАЭС N RU Д-RU.РА08.В.0395/23</t>
  </si>
  <si>
    <t>SU004301</t>
  </si>
  <si>
    <t>P005602</t>
  </si>
  <si>
    <t>ЕАЭС N RU Д-RU.РА04.В.53375/26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</si>
  <si>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</si>
  <si>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</si>
  <si>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</si>
  <si>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</si>
  <si>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</si>
  <si>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</si>
  <si>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</si>
  <si>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</si>
  <si>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</si>
  <si>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</si>
  <si>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</si>
  <si>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</si>
  <si>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</si>
  <si>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</si>
  <si>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</si>
  <si>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</si>
  <si>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</si>
  <si>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</si>
  <si>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</si>
  <si>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</si>
  <si>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</si>
  <si>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</si>
  <si>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</si>
  <si>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</si>
  <si>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</si>
  <si>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</si>
  <si>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</si>
  <si>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</si>
  <si>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</si>
  <si>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</si>
  <si>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</si>
  <si>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</si>
  <si>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</si>
  <si>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</si>
  <si>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</si>
  <si>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</si>
  <si>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</si>
  <si>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</si>
  <si>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</si>
  <si>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</si>
  <si>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</si>
  <si>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</si>
  <si>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</si>
  <si>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</si>
  <si>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</si>
  <si>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</si>
  <si>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</si>
  <si>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</si>
  <si>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</si>
  <si>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</si>
  <si>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</si>
  <si>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</si>
  <si>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</si>
  <si>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</si>
  <si>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</si>
  <si>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</si>
  <si>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</si>
  <si>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</si>
  <si>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</si>
  <si>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</si>
  <si>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</si>
  <si>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</si>
  <si>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</si>
  <si>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</si>
  <si>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</si>
  <si>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</si>
  <si>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</si>
  <si>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</si>
  <si>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</si>
  <si>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</si>
  <si>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</si>
  <si>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</si>
  <si>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</si>
  <si>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</si>
  <si>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</si>
  <si>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</si>
  <si>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</si>
  <si>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</si>
  <si>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</si>
  <si>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</si>
  <si>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</si>
  <si>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</si>
  <si>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</si>
  <si>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</si>
  <si>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</si>
  <si>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</si>
  <si>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</si>
  <si>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</si>
  <si>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</si>
  <si>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</si>
  <si>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</si>
  <si>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SU003434</t>
  </si>
  <si>
    <t>P005736</t>
  </si>
  <si>
    <t>Снеки «Мини-чебуречки с мясом» Весовой ТМ «Зареченские продукты» 5,5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</si>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</sst>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99"/>
  <sheetViews>
    <sheetView showGridLines="0" tabSelected="1" topLeftCell="F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471" t="s">
        <v>26</v>
      </c>
      <c r="E1" s="471"/>
      <c r="F1" s="471"/>
      <c r="G1" s="14" t="s">
        <v>70</v>
      </c>
      <c r="H1" s="471" t="s">
        <v>47</v>
      </c>
      <c r="I1" s="471"/>
      <c r="J1" s="471"/>
      <c r="K1" s="471"/>
      <c r="L1" s="471"/>
      <c r="M1" s="471"/>
      <c r="N1" s="471"/>
      <c r="O1" s="471"/>
      <c r="P1" s="471"/>
      <c r="Q1" s="471"/>
      <c r="R1" s="472" t="s">
        <v>71</v>
      </c>
      <c r="S1" s="473"/>
      <c r="T1" s="4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4"/>
      <c r="R2" s="474"/>
      <c r="S2" s="474"/>
      <c r="T2" s="474"/>
      <c r="U2" s="474"/>
      <c r="V2" s="474"/>
      <c r="W2" s="4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4"/>
      <c r="Q3" s="474"/>
      <c r="R3" s="474"/>
      <c r="S3" s="474"/>
      <c r="T3" s="474"/>
      <c r="U3" s="474"/>
      <c r="V3" s="474"/>
      <c r="W3" s="4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453" t="s">
        <v>8</v>
      </c>
      <c r="B5" s="453"/>
      <c r="C5" s="453"/>
      <c r="D5" s="475"/>
      <c r="E5" s="475"/>
      <c r="F5" s="476" t="s">
        <v>14</v>
      </c>
      <c r="G5" s="476"/>
      <c r="H5" s="475"/>
      <c r="I5" s="475"/>
      <c r="J5" s="475"/>
      <c r="K5" s="475"/>
      <c r="L5" s="475"/>
      <c r="M5" s="475"/>
      <c r="N5" s="75"/>
      <c r="P5" s="27" t="s">
        <v>4</v>
      </c>
      <c r="Q5" s="477">
        <v>46290</v>
      </c>
      <c r="R5" s="477"/>
      <c r="T5" s="478" t="s">
        <v>3</v>
      </c>
      <c r="U5" s="479"/>
      <c r="V5" s="480" t="s">
        <v>405</v>
      </c>
      <c r="W5" s="481"/>
      <c r="AB5" s="59"/>
      <c r="AC5" s="59"/>
      <c r="AD5" s="59"/>
      <c r="AE5" s="59"/>
    </row>
    <row r="6" spans="1:32" s="17" customFormat="1" ht="24" customHeight="1" x14ac:dyDescent="0.25">
      <c r="A6" s="453" t="s">
        <v>1</v>
      </c>
      <c r="B6" s="453"/>
      <c r="C6" s="453"/>
      <c r="D6" s="454" t="s">
        <v>79</v>
      </c>
      <c r="E6" s="454"/>
      <c r="F6" s="454"/>
      <c r="G6" s="454"/>
      <c r="H6" s="454"/>
      <c r="I6" s="454"/>
      <c r="J6" s="454"/>
      <c r="K6" s="454"/>
      <c r="L6" s="454"/>
      <c r="M6" s="454"/>
      <c r="N6" s="76"/>
      <c r="P6" s="27" t="s">
        <v>27</v>
      </c>
      <c r="Q6" s="455" t="str">
        <f>IF(Q5=0," ",CHOOSE(WEEKDAY(Q5,2),"Понедельник","Вторник","Среда","Четверг","Пятница","Суббота","Воскресенье"))</f>
        <v>Пятница</v>
      </c>
      <c r="R6" s="455"/>
      <c r="T6" s="456" t="s">
        <v>5</v>
      </c>
      <c r="U6" s="457"/>
      <c r="V6" s="458" t="s">
        <v>73</v>
      </c>
      <c r="W6" s="459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464" t="str">
        <f>IFERROR(VLOOKUP(DeliveryAddress,Table,3,0),1)</f>
        <v>1</v>
      </c>
      <c r="E7" s="465"/>
      <c r="F7" s="465"/>
      <c r="G7" s="465"/>
      <c r="H7" s="465"/>
      <c r="I7" s="465"/>
      <c r="J7" s="465"/>
      <c r="K7" s="465"/>
      <c r="L7" s="465"/>
      <c r="M7" s="466"/>
      <c r="N7" s="77"/>
      <c r="P7" s="29"/>
      <c r="Q7" s="48"/>
      <c r="R7" s="48"/>
      <c r="T7" s="456"/>
      <c r="U7" s="457"/>
      <c r="V7" s="460"/>
      <c r="W7" s="461"/>
      <c r="AB7" s="59"/>
      <c r="AC7" s="59"/>
      <c r="AD7" s="59"/>
      <c r="AE7" s="59"/>
    </row>
    <row r="8" spans="1:32" s="17" customFormat="1" ht="25.5" customHeight="1" x14ac:dyDescent="0.25">
      <c r="A8" s="467" t="s">
        <v>58</v>
      </c>
      <c r="B8" s="467"/>
      <c r="C8" s="467"/>
      <c r="D8" s="468" t="s">
        <v>80</v>
      </c>
      <c r="E8" s="468"/>
      <c r="F8" s="468"/>
      <c r="G8" s="468"/>
      <c r="H8" s="468"/>
      <c r="I8" s="468"/>
      <c r="J8" s="468"/>
      <c r="K8" s="468"/>
      <c r="L8" s="468"/>
      <c r="M8" s="468"/>
      <c r="N8" s="78"/>
      <c r="P8" s="27" t="s">
        <v>11</v>
      </c>
      <c r="Q8" s="451">
        <v>4.1666666666666664E-2</v>
      </c>
      <c r="R8" s="451"/>
      <c r="T8" s="456"/>
      <c r="U8" s="457"/>
      <c r="V8" s="460"/>
      <c r="W8" s="461"/>
      <c r="AB8" s="59"/>
      <c r="AC8" s="59"/>
      <c r="AD8" s="59"/>
      <c r="AE8" s="59"/>
    </row>
    <row r="9" spans="1:32" s="17" customFormat="1" ht="39.9" customHeight="1" x14ac:dyDescent="0.25">
      <c r="A9" s="44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3"/>
      <c r="C9" s="443"/>
      <c r="D9" s="444" t="s">
        <v>46</v>
      </c>
      <c r="E9" s="445"/>
      <c r="F9" s="44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3"/>
      <c r="H9" s="469" t="str">
        <f>IF(AND($A$9="Тип доверенности/получателя при получении в адресе перегруза:",$D$9="Разовая доверенность"),"Введите ФИО","")</f>
        <v/>
      </c>
      <c r="I9" s="469"/>
      <c r="J9" s="4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9"/>
      <c r="L9" s="469"/>
      <c r="M9" s="469"/>
      <c r="N9" s="73"/>
      <c r="P9" s="31" t="s">
        <v>15</v>
      </c>
      <c r="Q9" s="470"/>
      <c r="R9" s="470"/>
      <c r="T9" s="456"/>
      <c r="U9" s="457"/>
      <c r="V9" s="462"/>
      <c r="W9" s="4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44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3"/>
      <c r="C10" s="443"/>
      <c r="D10" s="444"/>
      <c r="E10" s="445"/>
      <c r="F10" s="44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3"/>
      <c r="H10" s="446" t="str">
        <f>IFERROR(VLOOKUP($D$10,Proxy,2,FALSE),"")</f>
        <v/>
      </c>
      <c r="I10" s="446"/>
      <c r="J10" s="446"/>
      <c r="K10" s="446"/>
      <c r="L10" s="446"/>
      <c r="M10" s="446"/>
      <c r="N10" s="74"/>
      <c r="P10" s="31" t="s">
        <v>32</v>
      </c>
      <c r="Q10" s="447"/>
      <c r="R10" s="447"/>
      <c r="U10" s="29" t="s">
        <v>12</v>
      </c>
      <c r="V10" s="448" t="s">
        <v>74</v>
      </c>
      <c r="W10" s="44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50"/>
      <c r="R11" s="450"/>
      <c r="U11" s="29" t="s">
        <v>28</v>
      </c>
      <c r="V11" s="429" t="s">
        <v>55</v>
      </c>
      <c r="W11" s="4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428" t="s">
        <v>75</v>
      </c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79"/>
      <c r="P12" s="27" t="s">
        <v>30</v>
      </c>
      <c r="Q12" s="451"/>
      <c r="R12" s="451"/>
      <c r="S12" s="28"/>
      <c r="T12"/>
      <c r="U12" s="29" t="s">
        <v>46</v>
      </c>
      <c r="V12" s="452"/>
      <c r="W12" s="452"/>
      <c r="X12"/>
      <c r="AB12" s="59"/>
      <c r="AC12" s="59"/>
      <c r="AD12" s="59"/>
      <c r="AE12" s="59"/>
    </row>
    <row r="13" spans="1:32" s="17" customFormat="1" ht="23.25" customHeight="1" x14ac:dyDescent="0.25">
      <c r="A13" s="428" t="s">
        <v>76</v>
      </c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79"/>
      <c r="O13" s="31"/>
      <c r="P13" s="31" t="s">
        <v>31</v>
      </c>
      <c r="Q13" s="429"/>
      <c r="R13" s="4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428" t="s">
        <v>77</v>
      </c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430" t="s">
        <v>78</v>
      </c>
      <c r="B15" s="430"/>
      <c r="C15" s="430"/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80"/>
      <c r="O15"/>
      <c r="P15" s="431" t="s">
        <v>61</v>
      </c>
      <c r="Q15" s="431"/>
      <c r="R15" s="431"/>
      <c r="S15" s="431"/>
      <c r="T15" s="4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32"/>
      <c r="Q16" s="432"/>
      <c r="R16" s="432"/>
      <c r="S16" s="432"/>
      <c r="T16" s="4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414" t="s">
        <v>59</v>
      </c>
      <c r="B17" s="414" t="s">
        <v>49</v>
      </c>
      <c r="C17" s="435" t="s">
        <v>48</v>
      </c>
      <c r="D17" s="437" t="s">
        <v>50</v>
      </c>
      <c r="E17" s="438"/>
      <c r="F17" s="414" t="s">
        <v>21</v>
      </c>
      <c r="G17" s="414" t="s">
        <v>24</v>
      </c>
      <c r="H17" s="414" t="s">
        <v>22</v>
      </c>
      <c r="I17" s="414" t="s">
        <v>23</v>
      </c>
      <c r="J17" s="414" t="s">
        <v>16</v>
      </c>
      <c r="K17" s="414" t="s">
        <v>69</v>
      </c>
      <c r="L17" s="414" t="s">
        <v>67</v>
      </c>
      <c r="M17" s="414" t="s">
        <v>2</v>
      </c>
      <c r="N17" s="414" t="s">
        <v>66</v>
      </c>
      <c r="O17" s="414" t="s">
        <v>25</v>
      </c>
      <c r="P17" s="437" t="s">
        <v>17</v>
      </c>
      <c r="Q17" s="441"/>
      <c r="R17" s="441"/>
      <c r="S17" s="441"/>
      <c r="T17" s="438"/>
      <c r="U17" s="433" t="s">
        <v>56</v>
      </c>
      <c r="V17" s="434"/>
      <c r="W17" s="414" t="s">
        <v>6</v>
      </c>
      <c r="X17" s="414" t="s">
        <v>41</v>
      </c>
      <c r="Y17" s="416" t="s">
        <v>54</v>
      </c>
      <c r="Z17" s="418" t="s">
        <v>18</v>
      </c>
      <c r="AA17" s="420" t="s">
        <v>60</v>
      </c>
      <c r="AB17" s="420" t="s">
        <v>19</v>
      </c>
      <c r="AC17" s="420" t="s">
        <v>68</v>
      </c>
      <c r="AD17" s="422" t="s">
        <v>57</v>
      </c>
      <c r="AE17" s="423"/>
      <c r="AF17" s="424"/>
      <c r="AG17" s="85"/>
      <c r="BD17" s="84" t="s">
        <v>64</v>
      </c>
    </row>
    <row r="18" spans="1:68" ht="14.25" customHeight="1" x14ac:dyDescent="0.25">
      <c r="A18" s="415"/>
      <c r="B18" s="415"/>
      <c r="C18" s="436"/>
      <c r="D18" s="439"/>
      <c r="E18" s="440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39"/>
      <c r="Q18" s="442"/>
      <c r="R18" s="442"/>
      <c r="S18" s="442"/>
      <c r="T18" s="440"/>
      <c r="U18" s="86" t="s">
        <v>44</v>
      </c>
      <c r="V18" s="86" t="s">
        <v>43</v>
      </c>
      <c r="W18" s="415"/>
      <c r="X18" s="415"/>
      <c r="Y18" s="417"/>
      <c r="Z18" s="419"/>
      <c r="AA18" s="421"/>
      <c r="AB18" s="421"/>
      <c r="AC18" s="421"/>
      <c r="AD18" s="425"/>
      <c r="AE18" s="426"/>
      <c r="AF18" s="427"/>
      <c r="AG18" s="85"/>
      <c r="BD18" s="84"/>
    </row>
    <row r="19" spans="1:68" ht="27.75" customHeight="1" x14ac:dyDescent="0.25">
      <c r="A19" s="325" t="s">
        <v>81</v>
      </c>
      <c r="B19" s="325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54"/>
      <c r="AB19" s="54"/>
      <c r="AC19" s="54"/>
    </row>
    <row r="20" spans="1:68" ht="16.5" customHeight="1" x14ac:dyDescent="0.25">
      <c r="A20" s="326" t="s">
        <v>81</v>
      </c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65"/>
      <c r="AB20" s="65"/>
      <c r="AC20" s="82"/>
    </row>
    <row r="21" spans="1:68" ht="14.25" customHeight="1" x14ac:dyDescent="0.25">
      <c r="A21" s="318" t="s">
        <v>82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02">
        <v>4620207491508</v>
      </c>
      <c r="E22" s="30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4"/>
      <c r="R22" s="304"/>
      <c r="S22" s="304"/>
      <c r="T22" s="30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02">
        <v>4620207491256</v>
      </c>
      <c r="E23" s="30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1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4"/>
      <c r="R23" s="304"/>
      <c r="S23" s="304"/>
      <c r="T23" s="30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02">
        <v>4620207491713</v>
      </c>
      <c r="E24" s="30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1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4"/>
      <c r="R24" s="304"/>
      <c r="S24" s="304"/>
      <c r="T24" s="30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02">
        <v>4620207491720</v>
      </c>
      <c r="E25" s="30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4"/>
      <c r="R25" s="304"/>
      <c r="S25" s="304"/>
      <c r="T25" s="30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02">
        <v>4607111035912</v>
      </c>
      <c r="E26" s="30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4"/>
      <c r="R26" s="304"/>
      <c r="S26" s="304"/>
      <c r="T26" s="30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02">
        <v>4607111035929</v>
      </c>
      <c r="E27" s="30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4"/>
      <c r="R27" s="304"/>
      <c r="S27" s="304"/>
      <c r="T27" s="30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02">
        <v>4607111035882</v>
      </c>
      <c r="E28" s="30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4"/>
      <c r="R28" s="304"/>
      <c r="S28" s="304"/>
      <c r="T28" s="30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02">
        <v>4607111035905</v>
      </c>
      <c r="E29" s="30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4"/>
      <c r="R29" s="304"/>
      <c r="S29" s="304"/>
      <c r="T29" s="30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5">
      <c r="A30" s="299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311"/>
      <c r="P30" s="308" t="s">
        <v>40</v>
      </c>
      <c r="Q30" s="309"/>
      <c r="R30" s="309"/>
      <c r="S30" s="309"/>
      <c r="T30" s="309"/>
      <c r="U30" s="309"/>
      <c r="V30" s="310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5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311"/>
      <c r="P31" s="308" t="s">
        <v>40</v>
      </c>
      <c r="Q31" s="309"/>
      <c r="R31" s="309"/>
      <c r="S31" s="309"/>
      <c r="T31" s="309"/>
      <c r="U31" s="309"/>
      <c r="V31" s="310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6" t="s">
        <v>106</v>
      </c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65"/>
      <c r="AB32" s="65"/>
      <c r="AC32" s="82"/>
    </row>
    <row r="33" spans="1:68" ht="14.25" customHeight="1" x14ac:dyDescent="0.25">
      <c r="A33" s="318" t="s">
        <v>82</v>
      </c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02">
        <v>4607111039019</v>
      </c>
      <c r="E34" s="30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4"/>
      <c r="R34" s="304"/>
      <c r="S34" s="304"/>
      <c r="T34" s="30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02">
        <v>4607111038708</v>
      </c>
      <c r="E35" s="30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4"/>
      <c r="R35" s="304"/>
      <c r="S35" s="304"/>
      <c r="T35" s="30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5">
      <c r="A36" s="299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11"/>
      <c r="P36" s="308" t="s">
        <v>40</v>
      </c>
      <c r="Q36" s="309"/>
      <c r="R36" s="309"/>
      <c r="S36" s="309"/>
      <c r="T36" s="309"/>
      <c r="U36" s="309"/>
      <c r="V36" s="310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5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11"/>
      <c r="P37" s="308" t="s">
        <v>40</v>
      </c>
      <c r="Q37" s="309"/>
      <c r="R37" s="309"/>
      <c r="S37" s="309"/>
      <c r="T37" s="309"/>
      <c r="U37" s="309"/>
      <c r="V37" s="310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5">
      <c r="A38" s="325" t="s">
        <v>45</v>
      </c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  <c r="AA38" s="54"/>
      <c r="AB38" s="54"/>
      <c r="AC38" s="54"/>
    </row>
    <row r="39" spans="1:68" ht="16.5" customHeight="1" x14ac:dyDescent="0.25">
      <c r="A39" s="326" t="s">
        <v>112</v>
      </c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65"/>
      <c r="AB39" s="65"/>
      <c r="AC39" s="82"/>
    </row>
    <row r="40" spans="1:68" ht="14.25" customHeight="1" x14ac:dyDescent="0.25">
      <c r="A40" s="318" t="s">
        <v>113</v>
      </c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02">
        <v>4607111036537</v>
      </c>
      <c r="E41" s="30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4"/>
      <c r="R41" s="304"/>
      <c r="S41" s="304"/>
      <c r="T41" s="305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02">
        <v>4607111036605</v>
      </c>
      <c r="E42" s="30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4"/>
      <c r="R42" s="304"/>
      <c r="S42" s="304"/>
      <c r="T42" s="30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5">
      <c r="A43" s="299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311"/>
      <c r="P43" s="308" t="s">
        <v>40</v>
      </c>
      <c r="Q43" s="309"/>
      <c r="R43" s="309"/>
      <c r="S43" s="309"/>
      <c r="T43" s="309"/>
      <c r="U43" s="309"/>
      <c r="V43" s="310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5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311"/>
      <c r="P44" s="308" t="s">
        <v>40</v>
      </c>
      <c r="Q44" s="309"/>
      <c r="R44" s="309"/>
      <c r="S44" s="309"/>
      <c r="T44" s="309"/>
      <c r="U44" s="309"/>
      <c r="V44" s="310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6" t="s">
        <v>123</v>
      </c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65"/>
      <c r="AB45" s="65"/>
      <c r="AC45" s="82"/>
    </row>
    <row r="46" spans="1:68" ht="14.25" customHeight="1" x14ac:dyDescent="0.25">
      <c r="A46" s="318" t="s">
        <v>82</v>
      </c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02">
        <v>4620207490075</v>
      </c>
      <c r="E47" s="30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4"/>
      <c r="R47" s="304"/>
      <c r="S47" s="304"/>
      <c r="T47" s="30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02">
        <v>4620207490174</v>
      </c>
      <c r="E48" s="30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40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4"/>
      <c r="R48" s="304"/>
      <c r="S48" s="304"/>
      <c r="T48" s="30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5">
      <c r="A49" s="299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311"/>
      <c r="P49" s="308" t="s">
        <v>40</v>
      </c>
      <c r="Q49" s="309"/>
      <c r="R49" s="309"/>
      <c r="S49" s="309"/>
      <c r="T49" s="309"/>
      <c r="U49" s="309"/>
      <c r="V49" s="310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5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311"/>
      <c r="P50" s="308" t="s">
        <v>40</v>
      </c>
      <c r="Q50" s="309"/>
      <c r="R50" s="309"/>
      <c r="S50" s="309"/>
      <c r="T50" s="309"/>
      <c r="U50" s="309"/>
      <c r="V50" s="310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6" t="s">
        <v>130</v>
      </c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65"/>
      <c r="AB51" s="65"/>
      <c r="AC51" s="82"/>
    </row>
    <row r="52" spans="1:68" ht="14.25" customHeight="1" x14ac:dyDescent="0.25">
      <c r="A52" s="318" t="s">
        <v>82</v>
      </c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02">
        <v>4607111039385</v>
      </c>
      <c r="E53" s="30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4"/>
      <c r="R53" s="304"/>
      <c r="S53" s="304"/>
      <c r="T53" s="30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02">
        <v>4607111038982</v>
      </c>
      <c r="E54" s="30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4"/>
      <c r="R54" s="304"/>
      <c r="S54" s="304"/>
      <c r="T54" s="30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02">
        <v>4607111039354</v>
      </c>
      <c r="E55" s="30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4"/>
      <c r="R55" s="304"/>
      <c r="S55" s="304"/>
      <c r="T55" s="30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02">
        <v>4607111039330</v>
      </c>
      <c r="E56" s="30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4"/>
      <c r="R56" s="304"/>
      <c r="S56" s="304"/>
      <c r="T56" s="30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5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311"/>
      <c r="P57" s="308" t="s">
        <v>40</v>
      </c>
      <c r="Q57" s="309"/>
      <c r="R57" s="309"/>
      <c r="S57" s="309"/>
      <c r="T57" s="309"/>
      <c r="U57" s="309"/>
      <c r="V57" s="310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5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311"/>
      <c r="P58" s="308" t="s">
        <v>40</v>
      </c>
      <c r="Q58" s="309"/>
      <c r="R58" s="309"/>
      <c r="S58" s="309"/>
      <c r="T58" s="309"/>
      <c r="U58" s="309"/>
      <c r="V58" s="310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6" t="s">
        <v>141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65"/>
      <c r="AB59" s="65"/>
      <c r="AC59" s="82"/>
    </row>
    <row r="60" spans="1:68" ht="14.25" customHeight="1" x14ac:dyDescent="0.25">
      <c r="A60" s="318" t="s">
        <v>113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02">
        <v>4607111039712</v>
      </c>
      <c r="E61" s="30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4"/>
      <c r="R61" s="304"/>
      <c r="S61" s="304"/>
      <c r="T61" s="30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5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311"/>
      <c r="P62" s="308" t="s">
        <v>40</v>
      </c>
      <c r="Q62" s="309"/>
      <c r="R62" s="309"/>
      <c r="S62" s="309"/>
      <c r="T62" s="309"/>
      <c r="U62" s="309"/>
      <c r="V62" s="310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5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311"/>
      <c r="P63" s="308" t="s">
        <v>40</v>
      </c>
      <c r="Q63" s="309"/>
      <c r="R63" s="309"/>
      <c r="S63" s="309"/>
      <c r="T63" s="309"/>
      <c r="U63" s="309"/>
      <c r="V63" s="310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8" t="s">
        <v>145</v>
      </c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4301136015</v>
      </c>
      <c r="D65" s="302">
        <v>4607111037398</v>
      </c>
      <c r="E65" s="302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4"/>
      <c r="R65" s="304"/>
      <c r="S65" s="304"/>
      <c r="T65" s="30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5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311"/>
      <c r="P66" s="308" t="s">
        <v>40</v>
      </c>
      <c r="Q66" s="309"/>
      <c r="R66" s="309"/>
      <c r="S66" s="309"/>
      <c r="T66" s="309"/>
      <c r="U66" s="309"/>
      <c r="V66" s="310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5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311"/>
      <c r="P67" s="308" t="s">
        <v>40</v>
      </c>
      <c r="Q67" s="309"/>
      <c r="R67" s="309"/>
      <c r="S67" s="309"/>
      <c r="T67" s="309"/>
      <c r="U67" s="309"/>
      <c r="V67" s="310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18" t="s">
        <v>149</v>
      </c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66"/>
      <c r="AB68" s="66"/>
      <c r="AC68" s="83"/>
    </row>
    <row r="69" spans="1:68" ht="27" customHeight="1" x14ac:dyDescent="0.25">
      <c r="A69" s="63" t="s">
        <v>150</v>
      </c>
      <c r="B69" s="63" t="s">
        <v>151</v>
      </c>
      <c r="C69" s="36">
        <v>4301135664</v>
      </c>
      <c r="D69" s="302">
        <v>4607111039705</v>
      </c>
      <c r="E69" s="302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9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4"/>
      <c r="R69" s="304"/>
      <c r="S69" s="304"/>
      <c r="T69" s="30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02">
        <v>4607111039729</v>
      </c>
      <c r="E70" s="30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4"/>
      <c r="R70" s="304"/>
      <c r="S70" s="304"/>
      <c r="T70" s="30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02">
        <v>4620207490228</v>
      </c>
      <c r="E71" s="30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4"/>
      <c r="R71" s="304"/>
      <c r="S71" s="304"/>
      <c r="T71" s="30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5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311"/>
      <c r="P72" s="308" t="s">
        <v>40</v>
      </c>
      <c r="Q72" s="309"/>
      <c r="R72" s="309"/>
      <c r="S72" s="309"/>
      <c r="T72" s="309"/>
      <c r="U72" s="309"/>
      <c r="V72" s="310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5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311"/>
      <c r="P73" s="308" t="s">
        <v>40</v>
      </c>
      <c r="Q73" s="309"/>
      <c r="R73" s="309"/>
      <c r="S73" s="309"/>
      <c r="T73" s="309"/>
      <c r="U73" s="309"/>
      <c r="V73" s="310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26" t="s">
        <v>157</v>
      </c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65"/>
      <c r="AB74" s="65"/>
      <c r="AC74" s="82"/>
    </row>
    <row r="75" spans="1:68" ht="14.25" customHeight="1" x14ac:dyDescent="0.25">
      <c r="A75" s="318" t="s">
        <v>82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66"/>
      <c r="AB75" s="66"/>
      <c r="AC75" s="83"/>
    </row>
    <row r="76" spans="1:68" ht="27" customHeight="1" x14ac:dyDescent="0.25">
      <c r="A76" s="63" t="s">
        <v>158</v>
      </c>
      <c r="B76" s="63" t="s">
        <v>159</v>
      </c>
      <c r="C76" s="36">
        <v>4301070977</v>
      </c>
      <c r="D76" s="302">
        <v>4607111037411</v>
      </c>
      <c r="E76" s="302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4"/>
      <c r="R76" s="304"/>
      <c r="S76" s="304"/>
      <c r="T76" s="305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02">
        <v>4607111036728</v>
      </c>
      <c r="E77" s="302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4"/>
      <c r="R77" s="304"/>
      <c r="S77" s="304"/>
      <c r="T77" s="30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5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11"/>
      <c r="P78" s="308" t="s">
        <v>40</v>
      </c>
      <c r="Q78" s="309"/>
      <c r="R78" s="309"/>
      <c r="S78" s="309"/>
      <c r="T78" s="309"/>
      <c r="U78" s="309"/>
      <c r="V78" s="310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5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11"/>
      <c r="P79" s="308" t="s">
        <v>40</v>
      </c>
      <c r="Q79" s="309"/>
      <c r="R79" s="309"/>
      <c r="S79" s="309"/>
      <c r="T79" s="309"/>
      <c r="U79" s="309"/>
      <c r="V79" s="310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26" t="s">
        <v>164</v>
      </c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65"/>
      <c r="AB80" s="65"/>
      <c r="AC80" s="82"/>
    </row>
    <row r="81" spans="1:68" ht="14.25" customHeight="1" x14ac:dyDescent="0.25">
      <c r="A81" s="318" t="s">
        <v>149</v>
      </c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02">
        <v>4620207491638</v>
      </c>
      <c r="E82" s="302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87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4"/>
      <c r="R82" s="304"/>
      <c r="S82" s="304"/>
      <c r="T82" s="305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5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11"/>
      <c r="P83" s="308" t="s">
        <v>40</v>
      </c>
      <c r="Q83" s="309"/>
      <c r="R83" s="309"/>
      <c r="S83" s="309"/>
      <c r="T83" s="309"/>
      <c r="U83" s="309"/>
      <c r="V83" s="310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5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11"/>
      <c r="P84" s="308" t="s">
        <v>40</v>
      </c>
      <c r="Q84" s="309"/>
      <c r="R84" s="309"/>
      <c r="S84" s="309"/>
      <c r="T84" s="309"/>
      <c r="U84" s="309"/>
      <c r="V84" s="310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26" t="s">
        <v>168</v>
      </c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65"/>
      <c r="AB85" s="65"/>
      <c r="AC85" s="82"/>
    </row>
    <row r="86" spans="1:68" ht="14.25" customHeight="1" x14ac:dyDescent="0.25">
      <c r="A86" s="318" t="s">
        <v>169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02">
        <v>4607111034120</v>
      </c>
      <c r="E87" s="302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4"/>
      <c r="R87" s="304"/>
      <c r="S87" s="304"/>
      <c r="T87" s="305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02">
        <v>4607111034137</v>
      </c>
      <c r="E88" s="30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4"/>
      <c r="R88" s="304"/>
      <c r="S88" s="304"/>
      <c r="T88" s="305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5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11"/>
      <c r="P89" s="308" t="s">
        <v>40</v>
      </c>
      <c r="Q89" s="309"/>
      <c r="R89" s="309"/>
      <c r="S89" s="309"/>
      <c r="T89" s="309"/>
      <c r="U89" s="309"/>
      <c r="V89" s="310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5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11"/>
      <c r="P90" s="308" t="s">
        <v>40</v>
      </c>
      <c r="Q90" s="309"/>
      <c r="R90" s="309"/>
      <c r="S90" s="309"/>
      <c r="T90" s="309"/>
      <c r="U90" s="309"/>
      <c r="V90" s="310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26" t="s">
        <v>176</v>
      </c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65"/>
      <c r="AB91" s="65"/>
      <c r="AC91" s="82"/>
    </row>
    <row r="92" spans="1:68" ht="14.25" customHeight="1" x14ac:dyDescent="0.25">
      <c r="A92" s="318" t="s">
        <v>149</v>
      </c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02">
        <v>4620207491027</v>
      </c>
      <c r="E93" s="30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4"/>
      <c r="R93" s="304"/>
      <c r="S93" s="304"/>
      <c r="T93" s="305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02">
        <v>4620207491621</v>
      </c>
      <c r="E94" s="30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8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4"/>
      <c r="R94" s="304"/>
      <c r="S94" s="304"/>
      <c r="T94" s="30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183</v>
      </c>
      <c r="B95" s="63" t="s">
        <v>184</v>
      </c>
      <c r="C95" s="36">
        <v>4301135990</v>
      </c>
      <c r="D95" s="302">
        <v>4620207491881</v>
      </c>
      <c r="E95" s="30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8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4"/>
      <c r="R95" s="304"/>
      <c r="S95" s="304"/>
      <c r="T95" s="30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182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185</v>
      </c>
      <c r="B96" s="63" t="s">
        <v>186</v>
      </c>
      <c r="C96" s="36">
        <v>4301135920</v>
      </c>
      <c r="D96" s="302">
        <v>4620207491577</v>
      </c>
      <c r="E96" s="30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8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4"/>
      <c r="R96" s="304"/>
      <c r="S96" s="304"/>
      <c r="T96" s="305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187</v>
      </c>
      <c r="B97" s="63" t="s">
        <v>188</v>
      </c>
      <c r="C97" s="36">
        <v>4301135984</v>
      </c>
      <c r="D97" s="302">
        <v>4620207491874</v>
      </c>
      <c r="E97" s="302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4"/>
      <c r="R97" s="304"/>
      <c r="S97" s="304"/>
      <c r="T97" s="30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189</v>
      </c>
      <c r="B98" s="63" t="s">
        <v>190</v>
      </c>
      <c r="C98" s="36">
        <v>4301135285</v>
      </c>
      <c r="D98" s="302">
        <v>4607111036407</v>
      </c>
      <c r="E98" s="302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04"/>
      <c r="R98" s="304"/>
      <c r="S98" s="304"/>
      <c r="T98" s="30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191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5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11"/>
      <c r="P99" s="308" t="s">
        <v>40</v>
      </c>
      <c r="Q99" s="309"/>
      <c r="R99" s="309"/>
      <c r="S99" s="309"/>
      <c r="T99" s="309"/>
      <c r="U99" s="309"/>
      <c r="V99" s="310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5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11"/>
      <c r="P100" s="308" t="s">
        <v>40</v>
      </c>
      <c r="Q100" s="309"/>
      <c r="R100" s="309"/>
      <c r="S100" s="309"/>
      <c r="T100" s="309"/>
      <c r="U100" s="309"/>
      <c r="V100" s="310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26" t="s">
        <v>192</v>
      </c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65"/>
      <c r="AB101" s="65"/>
      <c r="AC101" s="82"/>
    </row>
    <row r="102" spans="1:68" ht="14.25" customHeight="1" x14ac:dyDescent="0.25">
      <c r="A102" s="318" t="s">
        <v>145</v>
      </c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66"/>
      <c r="AB102" s="66"/>
      <c r="AC102" s="83"/>
    </row>
    <row r="103" spans="1:68" ht="27" customHeight="1" x14ac:dyDescent="0.25">
      <c r="A103" s="63" t="s">
        <v>193</v>
      </c>
      <c r="B103" s="63" t="s">
        <v>194</v>
      </c>
      <c r="C103" s="36">
        <v>4301136101</v>
      </c>
      <c r="D103" s="302">
        <v>4620207491652</v>
      </c>
      <c r="E103" s="302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37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4"/>
      <c r="R103" s="304"/>
      <c r="S103" s="304"/>
      <c r="T103" s="305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195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4301136103</v>
      </c>
      <c r="D104" s="302">
        <v>4620207491645</v>
      </c>
      <c r="E104" s="302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37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4"/>
      <c r="R104" s="304"/>
      <c r="S104" s="304"/>
      <c r="T104" s="30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5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11"/>
      <c r="P105" s="308" t="s">
        <v>40</v>
      </c>
      <c r="Q105" s="309"/>
      <c r="R105" s="309"/>
      <c r="S105" s="309"/>
      <c r="T105" s="309"/>
      <c r="U105" s="309"/>
      <c r="V105" s="310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5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11"/>
      <c r="P106" s="308" t="s">
        <v>40</v>
      </c>
      <c r="Q106" s="309"/>
      <c r="R106" s="309"/>
      <c r="S106" s="309"/>
      <c r="T106" s="309"/>
      <c r="U106" s="309"/>
      <c r="V106" s="310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26" t="s">
        <v>198</v>
      </c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65"/>
      <c r="AB107" s="65"/>
      <c r="AC107" s="82"/>
    </row>
    <row r="108" spans="1:68" ht="14.25" customHeight="1" x14ac:dyDescent="0.25">
      <c r="A108" s="318" t="s">
        <v>82</v>
      </c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4301071074</v>
      </c>
      <c r="D109" s="302">
        <v>4620207491157</v>
      </c>
      <c r="E109" s="302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37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4"/>
      <c r="R109" s="304"/>
      <c r="S109" s="304"/>
      <c r="T109" s="305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6" si="12">IFERROR(IF(X109="","",X109),"")</f>
        <v>0</v>
      </c>
      <c r="Z109" s="41">
        <f t="shared" ref="Z109:Z116" si="13">IFERROR(IF(X109="","",X109*0.0155),"")</f>
        <v>0</v>
      </c>
      <c r="AA109" s="68" t="s">
        <v>46</v>
      </c>
      <c r="AB109" s="69" t="s">
        <v>46</v>
      </c>
      <c r="AC109" s="161" t="s">
        <v>201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0</v>
      </c>
      <c r="BN109" s="81">
        <f t="shared" ref="BN109:BN116" si="15">IFERROR(Y109*I109,"0")</f>
        <v>0</v>
      </c>
      <c r="BO109" s="81">
        <f t="shared" ref="BO109:BO116" si="16">IFERROR(X109/J109,"0")</f>
        <v>0</v>
      </c>
      <c r="BP109" s="81">
        <f t="shared" ref="BP109:BP116" si="17"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4301071121</v>
      </c>
      <c r="D110" s="302">
        <v>4620207491393</v>
      </c>
      <c r="E110" s="302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37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4"/>
      <c r="R110" s="304"/>
      <c r="S110" s="304"/>
      <c r="T110" s="30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204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205</v>
      </c>
      <c r="B111" s="63" t="s">
        <v>206</v>
      </c>
      <c r="C111" s="36">
        <v>4301071051</v>
      </c>
      <c r="D111" s="302">
        <v>4607111039262</v>
      </c>
      <c r="E111" s="302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37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4"/>
      <c r="R111" s="304"/>
      <c r="S111" s="304"/>
      <c r="T111" s="30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4301071038</v>
      </c>
      <c r="D112" s="302">
        <v>4607111039248</v>
      </c>
      <c r="E112" s="302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37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4"/>
      <c r="R112" s="304"/>
      <c r="S112" s="304"/>
      <c r="T112" s="30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4301070979</v>
      </c>
      <c r="D113" s="302">
        <v>4607111037145</v>
      </c>
      <c r="E113" s="302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7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4"/>
      <c r="R113" s="304"/>
      <c r="S113" s="304"/>
      <c r="T113" s="30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211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212</v>
      </c>
      <c r="B114" s="63" t="s">
        <v>213</v>
      </c>
      <c r="C114" s="36">
        <v>4301071075</v>
      </c>
      <c r="D114" s="302">
        <v>4620207491102</v>
      </c>
      <c r="E114" s="302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7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04"/>
      <c r="R114" s="304"/>
      <c r="S114" s="304"/>
      <c r="T114" s="30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214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215</v>
      </c>
      <c r="B115" s="63" t="s">
        <v>216</v>
      </c>
      <c r="C115" s="36">
        <v>4301071049</v>
      </c>
      <c r="D115" s="302">
        <v>4607111039293</v>
      </c>
      <c r="E115" s="302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37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04"/>
      <c r="R115" s="304"/>
      <c r="S115" s="304"/>
      <c r="T115" s="30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4301071039</v>
      </c>
      <c r="D116" s="302">
        <v>4607111039279</v>
      </c>
      <c r="E116" s="302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36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04"/>
      <c r="R116" s="304"/>
      <c r="S116" s="304"/>
      <c r="T116" s="30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5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311"/>
      <c r="P117" s="308" t="s">
        <v>40</v>
      </c>
      <c r="Q117" s="309"/>
      <c r="R117" s="309"/>
      <c r="S117" s="309"/>
      <c r="T117" s="309"/>
      <c r="U117" s="309"/>
      <c r="V117" s="310"/>
      <c r="W117" s="42" t="s">
        <v>39</v>
      </c>
      <c r="X117" s="43">
        <f>IFERROR(SUM(X109:X116),"0")</f>
        <v>0</v>
      </c>
      <c r="Y117" s="43">
        <f>IFERROR(SUM(Y109:Y116),"0")</f>
        <v>0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5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311"/>
      <c r="P118" s="308" t="s">
        <v>40</v>
      </c>
      <c r="Q118" s="309"/>
      <c r="R118" s="309"/>
      <c r="S118" s="309"/>
      <c r="T118" s="309"/>
      <c r="U118" s="309"/>
      <c r="V118" s="310"/>
      <c r="W118" s="42" t="s">
        <v>0</v>
      </c>
      <c r="X118" s="43">
        <f>IFERROR(SUMPRODUCT(X109:X116*H109:H116),"0")</f>
        <v>0</v>
      </c>
      <c r="Y118" s="43">
        <f>IFERROR(SUMPRODUCT(Y109:Y116*H109:H116),"0")</f>
        <v>0</v>
      </c>
      <c r="Z118" s="42"/>
      <c r="AA118" s="67"/>
      <c r="AB118" s="67"/>
      <c r="AC118" s="67"/>
    </row>
    <row r="119" spans="1:68" ht="14.25" customHeight="1" x14ac:dyDescent="0.25">
      <c r="A119" s="318" t="s">
        <v>149</v>
      </c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66"/>
      <c r="AB119" s="66"/>
      <c r="AC119" s="83"/>
    </row>
    <row r="120" spans="1:68" ht="27" customHeight="1" x14ac:dyDescent="0.25">
      <c r="A120" s="63" t="s">
        <v>219</v>
      </c>
      <c r="B120" s="63" t="s">
        <v>220</v>
      </c>
      <c r="C120" s="36">
        <v>4301135826</v>
      </c>
      <c r="D120" s="302">
        <v>4620207490983</v>
      </c>
      <c r="E120" s="302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37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04"/>
      <c r="R120" s="304"/>
      <c r="S120" s="304"/>
      <c r="T120" s="305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x14ac:dyDescent="0.25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311"/>
      <c r="P121" s="308" t="s">
        <v>40</v>
      </c>
      <c r="Q121" s="309"/>
      <c r="R121" s="309"/>
      <c r="S121" s="309"/>
      <c r="T121" s="309"/>
      <c r="U121" s="309"/>
      <c r="V121" s="310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5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311"/>
      <c r="P122" s="308" t="s">
        <v>40</v>
      </c>
      <c r="Q122" s="309"/>
      <c r="R122" s="309"/>
      <c r="S122" s="309"/>
      <c r="T122" s="309"/>
      <c r="U122" s="309"/>
      <c r="V122" s="310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customHeight="1" x14ac:dyDescent="0.25">
      <c r="A123" s="318" t="s">
        <v>222</v>
      </c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66"/>
      <c r="AB123" s="66"/>
      <c r="AC123" s="83"/>
    </row>
    <row r="124" spans="1:68" ht="27" customHeight="1" x14ac:dyDescent="0.25">
      <c r="A124" s="63" t="s">
        <v>223</v>
      </c>
      <c r="B124" s="63" t="s">
        <v>224</v>
      </c>
      <c r="C124" s="36">
        <v>4301071094</v>
      </c>
      <c r="D124" s="302">
        <v>4620207491140</v>
      </c>
      <c r="E124" s="302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3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04"/>
      <c r="R124" s="304"/>
      <c r="S124" s="304"/>
      <c r="T124" s="305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225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5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311"/>
      <c r="P125" s="308" t="s">
        <v>40</v>
      </c>
      <c r="Q125" s="309"/>
      <c r="R125" s="309"/>
      <c r="S125" s="309"/>
      <c r="T125" s="309"/>
      <c r="U125" s="309"/>
      <c r="V125" s="310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5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311"/>
      <c r="P126" s="308" t="s">
        <v>40</v>
      </c>
      <c r="Q126" s="309"/>
      <c r="R126" s="309"/>
      <c r="S126" s="309"/>
      <c r="T126" s="309"/>
      <c r="U126" s="309"/>
      <c r="V126" s="310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customHeight="1" x14ac:dyDescent="0.25">
      <c r="A127" s="326" t="s">
        <v>226</v>
      </c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65"/>
      <c r="AB127" s="65"/>
      <c r="AC127" s="82"/>
    </row>
    <row r="128" spans="1:68" ht="14.25" customHeight="1" x14ac:dyDescent="0.25">
      <c r="A128" s="318" t="s">
        <v>149</v>
      </c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66"/>
      <c r="AB128" s="66"/>
      <c r="AC128" s="83"/>
    </row>
    <row r="129" spans="1:68" ht="27" customHeight="1" x14ac:dyDescent="0.25">
      <c r="A129" s="63" t="s">
        <v>227</v>
      </c>
      <c r="B129" s="63" t="s">
        <v>228</v>
      </c>
      <c r="C129" s="36">
        <v>4301135848</v>
      </c>
      <c r="D129" s="302">
        <v>4620207491799</v>
      </c>
      <c r="E129" s="302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36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04"/>
      <c r="R129" s="304"/>
      <c r="S129" s="304"/>
      <c r="T129" s="305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229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230</v>
      </c>
      <c r="B130" s="63" t="s">
        <v>231</v>
      </c>
      <c r="C130" s="36">
        <v>4301135850</v>
      </c>
      <c r="D130" s="302">
        <v>4620207491492</v>
      </c>
      <c r="E130" s="302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36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04"/>
      <c r="R130" s="304"/>
      <c r="S130" s="304"/>
      <c r="T130" s="305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232</v>
      </c>
      <c r="B131" s="63" t="s">
        <v>233</v>
      </c>
      <c r="C131" s="36">
        <v>4301190118</v>
      </c>
      <c r="D131" s="302">
        <v>4620207491461</v>
      </c>
      <c r="E131" s="302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04"/>
      <c r="R131" s="304"/>
      <c r="S131" s="304"/>
      <c r="T131" s="305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4301135865</v>
      </c>
      <c r="D132" s="302">
        <v>4620207491485</v>
      </c>
      <c r="E132" s="30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04"/>
      <c r="R132" s="304"/>
      <c r="S132" s="304"/>
      <c r="T132" s="30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5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311"/>
      <c r="P133" s="308" t="s">
        <v>40</v>
      </c>
      <c r="Q133" s="309"/>
      <c r="R133" s="309"/>
      <c r="S133" s="309"/>
      <c r="T133" s="309"/>
      <c r="U133" s="309"/>
      <c r="V133" s="310"/>
      <c r="W133" s="42" t="s">
        <v>39</v>
      </c>
      <c r="X133" s="43">
        <f>IFERROR(SUM(X129:X132),"0")</f>
        <v>0</v>
      </c>
      <c r="Y133" s="43">
        <f>IFERROR(SUM(Y129:Y132),"0")</f>
        <v>0</v>
      </c>
      <c r="Z133" s="43">
        <f>IFERROR(IF(Z129="",0,Z129),"0")+IFERROR(IF(Z130="",0,Z130),"0")+IFERROR(IF(Z131="",0,Z131),"0")+IFERROR(IF(Z132="",0,Z132),"0")</f>
        <v>0</v>
      </c>
      <c r="AA133" s="67"/>
      <c r="AB133" s="67"/>
      <c r="AC133" s="67"/>
    </row>
    <row r="134" spans="1:68" x14ac:dyDescent="0.25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311"/>
      <c r="P134" s="308" t="s">
        <v>40</v>
      </c>
      <c r="Q134" s="309"/>
      <c r="R134" s="309"/>
      <c r="S134" s="309"/>
      <c r="T134" s="309"/>
      <c r="U134" s="309"/>
      <c r="V134" s="310"/>
      <c r="W134" s="42" t="s">
        <v>0</v>
      </c>
      <c r="X134" s="43">
        <f>IFERROR(SUMPRODUCT(X129:X132*H129:H132),"0")</f>
        <v>0</v>
      </c>
      <c r="Y134" s="43">
        <f>IFERROR(SUMPRODUCT(Y129:Y132*H129:H132),"0")</f>
        <v>0</v>
      </c>
      <c r="Z134" s="42"/>
      <c r="AA134" s="67"/>
      <c r="AB134" s="67"/>
      <c r="AC134" s="67"/>
    </row>
    <row r="135" spans="1:68" ht="14.25" customHeight="1" x14ac:dyDescent="0.25">
      <c r="A135" s="318" t="s">
        <v>236</v>
      </c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66"/>
      <c r="AB135" s="66"/>
      <c r="AC135" s="83"/>
    </row>
    <row r="136" spans="1:68" ht="27" customHeight="1" x14ac:dyDescent="0.25">
      <c r="A136" s="63" t="s">
        <v>237</v>
      </c>
      <c r="B136" s="63" t="s">
        <v>238</v>
      </c>
      <c r="C136" s="36">
        <v>4301190117</v>
      </c>
      <c r="D136" s="302">
        <v>4620207491386</v>
      </c>
      <c r="E136" s="302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6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04"/>
      <c r="R136" s="304"/>
      <c r="S136" s="304"/>
      <c r="T136" s="305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239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240</v>
      </c>
      <c r="B137" s="63" t="s">
        <v>241</v>
      </c>
      <c r="C137" s="36">
        <v>4301190115</v>
      </c>
      <c r="D137" s="302">
        <v>4620207491362</v>
      </c>
      <c r="E137" s="302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6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04"/>
      <c r="R137" s="304"/>
      <c r="S137" s="304"/>
      <c r="T137" s="305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242</v>
      </c>
      <c r="B138" s="63" t="s">
        <v>243</v>
      </c>
      <c r="C138" s="36">
        <v>4301190116</v>
      </c>
      <c r="D138" s="302">
        <v>4620207491379</v>
      </c>
      <c r="E138" s="30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04"/>
      <c r="R138" s="304"/>
      <c r="S138" s="304"/>
      <c r="T138" s="30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5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311"/>
      <c r="P139" s="308" t="s">
        <v>40</v>
      </c>
      <c r="Q139" s="309"/>
      <c r="R139" s="309"/>
      <c r="S139" s="309"/>
      <c r="T139" s="309"/>
      <c r="U139" s="309"/>
      <c r="V139" s="310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x14ac:dyDescent="0.25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311"/>
      <c r="P140" s="308" t="s">
        <v>40</v>
      </c>
      <c r="Q140" s="309"/>
      <c r="R140" s="309"/>
      <c r="S140" s="309"/>
      <c r="T140" s="309"/>
      <c r="U140" s="309"/>
      <c r="V140" s="310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customHeight="1" x14ac:dyDescent="0.25">
      <c r="A141" s="326" t="s">
        <v>244</v>
      </c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65"/>
      <c r="AB141" s="65"/>
      <c r="AC141" s="82"/>
    </row>
    <row r="142" spans="1:68" ht="14.25" customHeight="1" x14ac:dyDescent="0.25">
      <c r="A142" s="318" t="s">
        <v>149</v>
      </c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66"/>
      <c r="AB142" s="66"/>
      <c r="AC142" s="83"/>
    </row>
    <row r="143" spans="1:68" ht="27" customHeight="1" x14ac:dyDescent="0.25">
      <c r="A143" s="63" t="s">
        <v>245</v>
      </c>
      <c r="B143" s="63" t="s">
        <v>246</v>
      </c>
      <c r="C143" s="36">
        <v>4301135555</v>
      </c>
      <c r="D143" s="302">
        <v>4607111034014</v>
      </c>
      <c r="E143" s="302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35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04"/>
      <c r="R143" s="304"/>
      <c r="S143" s="304"/>
      <c r="T143" s="30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247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248</v>
      </c>
      <c r="B144" s="63" t="s">
        <v>249</v>
      </c>
      <c r="C144" s="36">
        <v>4301135962</v>
      </c>
      <c r="D144" s="302">
        <v>4620207491584</v>
      </c>
      <c r="E144" s="302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36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04"/>
      <c r="R144" s="304"/>
      <c r="S144" s="304"/>
      <c r="T144" s="305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250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5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311"/>
      <c r="P145" s="308" t="s">
        <v>40</v>
      </c>
      <c r="Q145" s="309"/>
      <c r="R145" s="309"/>
      <c r="S145" s="309"/>
      <c r="T145" s="309"/>
      <c r="U145" s="309"/>
      <c r="V145" s="310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5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311"/>
      <c r="P146" s="308" t="s">
        <v>40</v>
      </c>
      <c r="Q146" s="309"/>
      <c r="R146" s="309"/>
      <c r="S146" s="309"/>
      <c r="T146" s="309"/>
      <c r="U146" s="309"/>
      <c r="V146" s="310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26" t="s">
        <v>251</v>
      </c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65"/>
      <c r="AB147" s="65"/>
      <c r="AC147" s="82"/>
    </row>
    <row r="148" spans="1:68" ht="14.25" customHeight="1" x14ac:dyDescent="0.25">
      <c r="A148" s="318" t="s">
        <v>149</v>
      </c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4301135954</v>
      </c>
      <c r="D149" s="302">
        <v>4620207491768</v>
      </c>
      <c r="E149" s="302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35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04"/>
      <c r="R149" s="304"/>
      <c r="S149" s="304"/>
      <c r="T149" s="305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254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255</v>
      </c>
      <c r="B150" s="63" t="s">
        <v>256</v>
      </c>
      <c r="C150" s="36">
        <v>4301135946</v>
      </c>
      <c r="D150" s="302">
        <v>4620207491553</v>
      </c>
      <c r="E150" s="302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35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04"/>
      <c r="R150" s="304"/>
      <c r="S150" s="304"/>
      <c r="T150" s="305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254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5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311"/>
      <c r="P151" s="308" t="s">
        <v>40</v>
      </c>
      <c r="Q151" s="309"/>
      <c r="R151" s="309"/>
      <c r="S151" s="309"/>
      <c r="T151" s="309"/>
      <c r="U151" s="309"/>
      <c r="V151" s="310"/>
      <c r="W151" s="42" t="s">
        <v>39</v>
      </c>
      <c r="X151" s="43">
        <f>IFERROR(SUM(X149:X150),"0")</f>
        <v>0</v>
      </c>
      <c r="Y151" s="43">
        <f>IFERROR(SUM(Y149:Y150),"0")</f>
        <v>0</v>
      </c>
      <c r="Z151" s="43">
        <f>IFERROR(IF(Z149="",0,Z149),"0")+IFERROR(IF(Z150="",0,Z150),"0")</f>
        <v>0</v>
      </c>
      <c r="AA151" s="67"/>
      <c r="AB151" s="67"/>
      <c r="AC151" s="67"/>
    </row>
    <row r="152" spans="1:68" x14ac:dyDescent="0.25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311"/>
      <c r="P152" s="308" t="s">
        <v>40</v>
      </c>
      <c r="Q152" s="309"/>
      <c r="R152" s="309"/>
      <c r="S152" s="309"/>
      <c r="T152" s="309"/>
      <c r="U152" s="309"/>
      <c r="V152" s="310"/>
      <c r="W152" s="42" t="s">
        <v>0</v>
      </c>
      <c r="X152" s="43">
        <f>IFERROR(SUMPRODUCT(X149:X150*H149:H150),"0")</f>
        <v>0</v>
      </c>
      <c r="Y152" s="43">
        <f>IFERROR(SUMPRODUCT(Y149:Y150*H149:H150),"0")</f>
        <v>0</v>
      </c>
      <c r="Z152" s="42"/>
      <c r="AA152" s="67"/>
      <c r="AB152" s="67"/>
      <c r="AC152" s="67"/>
    </row>
    <row r="153" spans="1:68" ht="16.5" customHeight="1" x14ac:dyDescent="0.25">
      <c r="A153" s="326" t="s">
        <v>257</v>
      </c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65"/>
      <c r="AB153" s="65"/>
      <c r="AC153" s="82"/>
    </row>
    <row r="154" spans="1:68" ht="14.25" customHeight="1" x14ac:dyDescent="0.25">
      <c r="A154" s="318" t="s">
        <v>149</v>
      </c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4301135779</v>
      </c>
      <c r="D155" s="302">
        <v>4620207490914</v>
      </c>
      <c r="E155" s="302"/>
      <c r="F155" s="62">
        <v>0.2</v>
      </c>
      <c r="G155" s="37">
        <v>6</v>
      </c>
      <c r="H155" s="62">
        <v>1.2</v>
      </c>
      <c r="I155" s="62">
        <v>1.41</v>
      </c>
      <c r="J155" s="37">
        <v>140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54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04"/>
      <c r="R155" s="304"/>
      <c r="S155" s="304"/>
      <c r="T155" s="305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203" t="s">
        <v>247</v>
      </c>
      <c r="AG155" s="81"/>
      <c r="AJ155" s="87" t="s">
        <v>89</v>
      </c>
      <c r="AK155" s="87">
        <v>1</v>
      </c>
      <c r="BB155" s="204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02">
        <v>4620207490914</v>
      </c>
      <c r="E156" s="302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35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04"/>
      <c r="R156" s="304"/>
      <c r="S156" s="304"/>
      <c r="T156" s="305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262</v>
      </c>
      <c r="B157" s="63" t="s">
        <v>263</v>
      </c>
      <c r="C157" s="36">
        <v>4301135932</v>
      </c>
      <c r="D157" s="302">
        <v>4620207491676</v>
      </c>
      <c r="E157" s="30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5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04"/>
      <c r="R157" s="304"/>
      <c r="S157" s="304"/>
      <c r="T157" s="30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5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311"/>
      <c r="P158" s="308" t="s">
        <v>40</v>
      </c>
      <c r="Q158" s="309"/>
      <c r="R158" s="309"/>
      <c r="S158" s="309"/>
      <c r="T158" s="309"/>
      <c r="U158" s="309"/>
      <c r="V158" s="310"/>
      <c r="W158" s="42" t="s">
        <v>39</v>
      </c>
      <c r="X158" s="43">
        <f>IFERROR(SUM(X155:X157),"0")</f>
        <v>0</v>
      </c>
      <c r="Y158" s="43">
        <f>IFERROR(SUM(Y155:Y157),"0")</f>
        <v>0</v>
      </c>
      <c r="Z158" s="43">
        <f>IFERROR(IF(Z155="",0,Z155),"0")+IFERROR(IF(Z156="",0,Z156),"0")+IFERROR(IF(Z157="",0,Z157),"0")</f>
        <v>0</v>
      </c>
      <c r="AA158" s="67"/>
      <c r="AB158" s="67"/>
      <c r="AC158" s="67"/>
    </row>
    <row r="159" spans="1:68" x14ac:dyDescent="0.25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311"/>
      <c r="P159" s="308" t="s">
        <v>40</v>
      </c>
      <c r="Q159" s="309"/>
      <c r="R159" s="309"/>
      <c r="S159" s="309"/>
      <c r="T159" s="309"/>
      <c r="U159" s="309"/>
      <c r="V159" s="310"/>
      <c r="W159" s="42" t="s">
        <v>0</v>
      </c>
      <c r="X159" s="43">
        <f>IFERROR(SUMPRODUCT(X155:X157*H155:H157),"0")</f>
        <v>0</v>
      </c>
      <c r="Y159" s="43">
        <f>IFERROR(SUMPRODUCT(Y155:Y157*H155:H157),"0")</f>
        <v>0</v>
      </c>
      <c r="Z159" s="42"/>
      <c r="AA159" s="67"/>
      <c r="AB159" s="67"/>
      <c r="AC159" s="67"/>
    </row>
    <row r="160" spans="1:68" ht="16.5" customHeight="1" x14ac:dyDescent="0.25">
      <c r="A160" s="326" t="s">
        <v>265</v>
      </c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65"/>
      <c r="AB160" s="65"/>
      <c r="AC160" s="82"/>
    </row>
    <row r="161" spans="1:68" ht="14.25" customHeight="1" x14ac:dyDescent="0.25">
      <c r="A161" s="318" t="s">
        <v>149</v>
      </c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02">
        <v>4620207491614</v>
      </c>
      <c r="E162" s="302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35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04"/>
      <c r="R162" s="304"/>
      <c r="S162" s="304"/>
      <c r="T162" s="305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167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5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311"/>
      <c r="P163" s="308" t="s">
        <v>40</v>
      </c>
      <c r="Q163" s="309"/>
      <c r="R163" s="309"/>
      <c r="S163" s="309"/>
      <c r="T163" s="309"/>
      <c r="U163" s="309"/>
      <c r="V163" s="310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5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311"/>
      <c r="P164" s="308" t="s">
        <v>40</v>
      </c>
      <c r="Q164" s="309"/>
      <c r="R164" s="309"/>
      <c r="S164" s="309"/>
      <c r="T164" s="309"/>
      <c r="U164" s="309"/>
      <c r="V164" s="310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26" t="s">
        <v>268</v>
      </c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65"/>
      <c r="AB165" s="65"/>
      <c r="AC165" s="82"/>
    </row>
    <row r="166" spans="1:68" ht="14.25" customHeight="1" x14ac:dyDescent="0.25">
      <c r="A166" s="318" t="s">
        <v>149</v>
      </c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66"/>
      <c r="AB166" s="66"/>
      <c r="AC166" s="83"/>
    </row>
    <row r="167" spans="1:68" ht="16.5" customHeight="1" x14ac:dyDescent="0.25">
      <c r="A167" s="63" t="s">
        <v>269</v>
      </c>
      <c r="B167" s="63" t="s">
        <v>270</v>
      </c>
      <c r="C167" s="36">
        <v>4301135607</v>
      </c>
      <c r="D167" s="302">
        <v>4607111039613</v>
      </c>
      <c r="E167" s="302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04"/>
      <c r="R167" s="304"/>
      <c r="S167" s="304"/>
      <c r="T167" s="305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271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5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311"/>
      <c r="P168" s="308" t="s">
        <v>40</v>
      </c>
      <c r="Q168" s="309"/>
      <c r="R168" s="309"/>
      <c r="S168" s="309"/>
      <c r="T168" s="309"/>
      <c r="U168" s="309"/>
      <c r="V168" s="310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5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311"/>
      <c r="P169" s="308" t="s">
        <v>40</v>
      </c>
      <c r="Q169" s="309"/>
      <c r="R169" s="309"/>
      <c r="S169" s="309"/>
      <c r="T169" s="309"/>
      <c r="U169" s="309"/>
      <c r="V169" s="310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26" t="s">
        <v>272</v>
      </c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65"/>
      <c r="AB170" s="65"/>
      <c r="AC170" s="82"/>
    </row>
    <row r="171" spans="1:68" ht="14.25" customHeight="1" x14ac:dyDescent="0.25">
      <c r="A171" s="318" t="s">
        <v>149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4301135912</v>
      </c>
      <c r="D172" s="302">
        <v>4620207491751</v>
      </c>
      <c r="E172" s="302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35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04"/>
      <c r="R172" s="304"/>
      <c r="S172" s="304"/>
      <c r="T172" s="305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167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5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311"/>
      <c r="P173" s="308" t="s">
        <v>40</v>
      </c>
      <c r="Q173" s="309"/>
      <c r="R173" s="309"/>
      <c r="S173" s="309"/>
      <c r="T173" s="309"/>
      <c r="U173" s="309"/>
      <c r="V173" s="310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5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311"/>
      <c r="P174" s="308" t="s">
        <v>40</v>
      </c>
      <c r="Q174" s="309"/>
      <c r="R174" s="309"/>
      <c r="S174" s="309"/>
      <c r="T174" s="309"/>
      <c r="U174" s="309"/>
      <c r="V174" s="310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5">
      <c r="A175" s="325" t="s">
        <v>275</v>
      </c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54"/>
      <c r="AB175" s="54"/>
      <c r="AC175" s="54"/>
    </row>
    <row r="176" spans="1:68" ht="16.5" customHeight="1" x14ac:dyDescent="0.25">
      <c r="A176" s="326" t="s">
        <v>276</v>
      </c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65"/>
      <c r="AB176" s="65"/>
      <c r="AC176" s="82"/>
    </row>
    <row r="177" spans="1:68" ht="14.25" customHeight="1" x14ac:dyDescent="0.25">
      <c r="A177" s="318" t="s">
        <v>113</v>
      </c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66"/>
      <c r="AB177" s="66"/>
      <c r="AC177" s="83"/>
    </row>
    <row r="178" spans="1:68" ht="27" customHeight="1" x14ac:dyDescent="0.25">
      <c r="A178" s="63" t="s">
        <v>277</v>
      </c>
      <c r="B178" s="63" t="s">
        <v>278</v>
      </c>
      <c r="C178" s="36">
        <v>4301132226</v>
      </c>
      <c r="D178" s="302">
        <v>4620207490631</v>
      </c>
      <c r="E178" s="302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87</v>
      </c>
      <c r="L178" s="37" t="s">
        <v>88</v>
      </c>
      <c r="M178" s="38" t="s">
        <v>86</v>
      </c>
      <c r="N178" s="38"/>
      <c r="O178" s="37">
        <v>180</v>
      </c>
      <c r="P178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04"/>
      <c r="R178" s="304"/>
      <c r="S178" s="304"/>
      <c r="T178" s="305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279</v>
      </c>
      <c r="AG178" s="81"/>
      <c r="AJ178" s="87" t="s">
        <v>89</v>
      </c>
      <c r="AK178" s="87">
        <v>1</v>
      </c>
      <c r="BB178" s="216" t="s">
        <v>117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5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311"/>
      <c r="P179" s="308" t="s">
        <v>40</v>
      </c>
      <c r="Q179" s="309"/>
      <c r="R179" s="309"/>
      <c r="S179" s="309"/>
      <c r="T179" s="309"/>
      <c r="U179" s="309"/>
      <c r="V179" s="310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5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311"/>
      <c r="P180" s="308" t="s">
        <v>40</v>
      </c>
      <c r="Q180" s="309"/>
      <c r="R180" s="309"/>
      <c r="S180" s="309"/>
      <c r="T180" s="309"/>
      <c r="U180" s="309"/>
      <c r="V180" s="310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customHeight="1" x14ac:dyDescent="0.25">
      <c r="A181" s="318" t="s">
        <v>145</v>
      </c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66"/>
      <c r="AB181" s="66"/>
      <c r="AC181" s="83"/>
    </row>
    <row r="182" spans="1:68" ht="27" customHeight="1" x14ac:dyDescent="0.25">
      <c r="A182" s="63" t="s">
        <v>280</v>
      </c>
      <c r="B182" s="63" t="s">
        <v>281</v>
      </c>
      <c r="C182" s="36">
        <v>4301136001</v>
      </c>
      <c r="D182" s="302">
        <v>4607111035714</v>
      </c>
      <c r="E182" s="302"/>
      <c r="F182" s="62">
        <v>5</v>
      </c>
      <c r="G182" s="37">
        <v>1</v>
      </c>
      <c r="H182" s="62">
        <v>5</v>
      </c>
      <c r="I182" s="62">
        <v>5.2350000000000003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348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2" s="304"/>
      <c r="R182" s="304"/>
      <c r="S182" s="304"/>
      <c r="T182" s="30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IFERROR(IF(X182="","",X182*0.0155),"")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89</v>
      </c>
      <c r="AK182" s="87">
        <v>1</v>
      </c>
      <c r="BB182" s="218" t="s">
        <v>117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5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311"/>
      <c r="P183" s="308" t="s">
        <v>40</v>
      </c>
      <c r="Q183" s="309"/>
      <c r="R183" s="309"/>
      <c r="S183" s="309"/>
      <c r="T183" s="309"/>
      <c r="U183" s="309"/>
      <c r="V183" s="310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x14ac:dyDescent="0.25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311"/>
      <c r="P184" s="308" t="s">
        <v>40</v>
      </c>
      <c r="Q184" s="309"/>
      <c r="R184" s="309"/>
      <c r="S184" s="309"/>
      <c r="T184" s="309"/>
      <c r="U184" s="309"/>
      <c r="V184" s="310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4.25" customHeight="1" x14ac:dyDescent="0.25">
      <c r="A185" s="318" t="s">
        <v>149</v>
      </c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66"/>
      <c r="AB185" s="66"/>
      <c r="AC185" s="83"/>
    </row>
    <row r="186" spans="1:68" ht="16.5" customHeight="1" x14ac:dyDescent="0.25">
      <c r="A186" s="63" t="s">
        <v>283</v>
      </c>
      <c r="B186" s="63" t="s">
        <v>284</v>
      </c>
      <c r="C186" s="36">
        <v>4301137080</v>
      </c>
      <c r="D186" s="302">
        <v>4620207492062</v>
      </c>
      <c r="E186" s="302"/>
      <c r="F186" s="62">
        <v>5.5</v>
      </c>
      <c r="G186" s="37">
        <v>1</v>
      </c>
      <c r="H186" s="62">
        <v>5.5</v>
      </c>
      <c r="I186" s="62">
        <v>5.7350000000000003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34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6" s="304"/>
      <c r="R186" s="304"/>
      <c r="S186" s="304"/>
      <c r="T186" s="305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19" t="s">
        <v>285</v>
      </c>
      <c r="AG186" s="81"/>
      <c r="AJ186" s="87" t="s">
        <v>89</v>
      </c>
      <c r="AK186" s="87">
        <v>1</v>
      </c>
      <c r="BB186" s="220" t="s">
        <v>117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286</v>
      </c>
      <c r="B187" s="63" t="s">
        <v>287</v>
      </c>
      <c r="C187" s="36">
        <v>4301135324</v>
      </c>
      <c r="D187" s="302">
        <v>4607111038456</v>
      </c>
      <c r="E187" s="302"/>
      <c r="F187" s="62">
        <v>3.7</v>
      </c>
      <c r="G187" s="37">
        <v>1</v>
      </c>
      <c r="H187" s="62">
        <v>3.7</v>
      </c>
      <c r="I187" s="62">
        <v>3.8919999999999999</v>
      </c>
      <c r="J187" s="37">
        <v>126</v>
      </c>
      <c r="K187" s="37" t="s">
        <v>118</v>
      </c>
      <c r="L187" s="37" t="s">
        <v>88</v>
      </c>
      <c r="M187" s="38" t="s">
        <v>86</v>
      </c>
      <c r="N187" s="38"/>
      <c r="O187" s="37">
        <v>180</v>
      </c>
      <c r="P187" s="346" t="str">
        <f>HYPERLINK("https://abi.ru/products/Замороженные/No Name/Зареченские продукты/Снеки/P003804/","Снеки «Мини-сосиски в тесте» Весовой ТМ «No Name» 3,7 кг")</f>
        <v>Снеки «Мини-сосиски в тесте» Весовой ТМ «No Name» 3,7 кг</v>
      </c>
      <c r="Q187" s="304"/>
      <c r="R187" s="304"/>
      <c r="S187" s="304"/>
      <c r="T187" s="30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IFERROR(IF(X187="","",X187*0.00936),"")</f>
        <v>0</v>
      </c>
      <c r="AA187" s="68" t="s">
        <v>46</v>
      </c>
      <c r="AB187" s="69" t="s">
        <v>46</v>
      </c>
      <c r="AC187" s="221" t="s">
        <v>288</v>
      </c>
      <c r="AG187" s="81"/>
      <c r="AJ187" s="87" t="s">
        <v>89</v>
      </c>
      <c r="AK187" s="87">
        <v>1</v>
      </c>
      <c r="BB187" s="222" t="s">
        <v>117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289</v>
      </c>
      <c r="B188" s="63" t="s">
        <v>290</v>
      </c>
      <c r="C188" s="36">
        <v>4301135995</v>
      </c>
      <c r="D188" s="302">
        <v>4620207491928</v>
      </c>
      <c r="E188" s="302"/>
      <c r="F188" s="62">
        <v>3.7</v>
      </c>
      <c r="G188" s="37">
        <v>1</v>
      </c>
      <c r="H188" s="62">
        <v>3.7</v>
      </c>
      <c r="I188" s="62">
        <v>3.8919999999999999</v>
      </c>
      <c r="J188" s="37">
        <v>126</v>
      </c>
      <c r="K188" s="37" t="s">
        <v>118</v>
      </c>
      <c r="L188" s="37" t="s">
        <v>88</v>
      </c>
      <c r="M188" s="38" t="s">
        <v>86</v>
      </c>
      <c r="N188" s="38"/>
      <c r="O188" s="37">
        <v>180</v>
      </c>
      <c r="P188" s="347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88" s="304"/>
      <c r="R188" s="304"/>
      <c r="S188" s="304"/>
      <c r="T188" s="30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IFERROR(IF(X188="","",X188*0.00936),"")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5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311"/>
      <c r="P189" s="308" t="s">
        <v>40</v>
      </c>
      <c r="Q189" s="309"/>
      <c r="R189" s="309"/>
      <c r="S189" s="309"/>
      <c r="T189" s="309"/>
      <c r="U189" s="309"/>
      <c r="V189" s="310"/>
      <c r="W189" s="42" t="s">
        <v>39</v>
      </c>
      <c r="X189" s="43">
        <f>IFERROR(SUM(X186:X188),"0")</f>
        <v>0</v>
      </c>
      <c r="Y189" s="43">
        <f>IFERROR(SUM(Y186:Y188),"0")</f>
        <v>0</v>
      </c>
      <c r="Z189" s="43">
        <f>IFERROR(IF(Z186="",0,Z186),"0")+IFERROR(IF(Z187="",0,Z187),"0")+IFERROR(IF(Z188="",0,Z188),"0")</f>
        <v>0</v>
      </c>
      <c r="AA189" s="67"/>
      <c r="AB189" s="67"/>
      <c r="AC189" s="67"/>
    </row>
    <row r="190" spans="1:68" x14ac:dyDescent="0.25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311"/>
      <c r="P190" s="308" t="s">
        <v>40</v>
      </c>
      <c r="Q190" s="309"/>
      <c r="R190" s="309"/>
      <c r="S190" s="309"/>
      <c r="T190" s="309"/>
      <c r="U190" s="309"/>
      <c r="V190" s="310"/>
      <c r="W190" s="42" t="s">
        <v>0</v>
      </c>
      <c r="X190" s="43">
        <f>IFERROR(SUMPRODUCT(X186:X188*H186:H188),"0")</f>
        <v>0</v>
      </c>
      <c r="Y190" s="43">
        <f>IFERROR(SUMPRODUCT(Y186:Y188*H186:H188),"0")</f>
        <v>0</v>
      </c>
      <c r="Z190" s="42"/>
      <c r="AA190" s="67"/>
      <c r="AB190" s="67"/>
      <c r="AC190" s="67"/>
    </row>
    <row r="191" spans="1:68" ht="16.5" customHeight="1" x14ac:dyDescent="0.25">
      <c r="A191" s="326" t="s">
        <v>292</v>
      </c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65"/>
      <c r="AB191" s="65"/>
      <c r="AC191" s="82"/>
    </row>
    <row r="192" spans="1:68" ht="14.25" customHeight="1" x14ac:dyDescent="0.25">
      <c r="A192" s="318" t="s">
        <v>82</v>
      </c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66"/>
      <c r="AB192" s="66"/>
      <c r="AC192" s="83"/>
    </row>
    <row r="193" spans="1:68" ht="16.5" customHeight="1" x14ac:dyDescent="0.25">
      <c r="A193" s="63" t="s">
        <v>293</v>
      </c>
      <c r="B193" s="63" t="s">
        <v>294</v>
      </c>
      <c r="C193" s="36">
        <v>4301071062</v>
      </c>
      <c r="D193" s="302">
        <v>4607111036384</v>
      </c>
      <c r="E193" s="302"/>
      <c r="F193" s="62">
        <v>5</v>
      </c>
      <c r="G193" s="37">
        <v>1</v>
      </c>
      <c r="H193" s="62">
        <v>5</v>
      </c>
      <c r="I193" s="62">
        <v>5.2106000000000003</v>
      </c>
      <c r="J193" s="37">
        <v>144</v>
      </c>
      <c r="K193" s="37" t="s">
        <v>87</v>
      </c>
      <c r="L193" s="37" t="s">
        <v>119</v>
      </c>
      <c r="M193" s="38" t="s">
        <v>86</v>
      </c>
      <c r="N193" s="38"/>
      <c r="O193" s="37">
        <v>180</v>
      </c>
      <c r="P193" s="34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3" s="304"/>
      <c r="R193" s="304"/>
      <c r="S193" s="304"/>
      <c r="T193" s="30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IFERROR(IF(X193="","",X193*0.00866),"")</f>
        <v>0</v>
      </c>
      <c r="AA193" s="68" t="s">
        <v>46</v>
      </c>
      <c r="AB193" s="69" t="s">
        <v>46</v>
      </c>
      <c r="AC193" s="225" t="s">
        <v>295</v>
      </c>
      <c r="AG193" s="81"/>
      <c r="AJ193" s="87" t="s">
        <v>120</v>
      </c>
      <c r="AK193" s="87">
        <v>12</v>
      </c>
      <c r="BB193" s="226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4301071050</v>
      </c>
      <c r="D194" s="302">
        <v>4607111036216</v>
      </c>
      <c r="E194" s="302"/>
      <c r="F194" s="62">
        <v>5</v>
      </c>
      <c r="G194" s="37">
        <v>1</v>
      </c>
      <c r="H194" s="62">
        <v>5</v>
      </c>
      <c r="I194" s="62">
        <v>5.2131999999999996</v>
      </c>
      <c r="J194" s="37">
        <v>144</v>
      </c>
      <c r="K194" s="37" t="s">
        <v>87</v>
      </c>
      <c r="L194" s="37" t="s">
        <v>119</v>
      </c>
      <c r="M194" s="38" t="s">
        <v>86</v>
      </c>
      <c r="N194" s="38"/>
      <c r="O194" s="37">
        <v>180</v>
      </c>
      <c r="P194" s="34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4" s="304"/>
      <c r="R194" s="304"/>
      <c r="S194" s="304"/>
      <c r="T194" s="30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IFERROR(IF(X194="","",X194*0.00866),"")</f>
        <v>0</v>
      </c>
      <c r="AA194" s="68" t="s">
        <v>46</v>
      </c>
      <c r="AB194" s="69" t="s">
        <v>46</v>
      </c>
      <c r="AC194" s="227" t="s">
        <v>298</v>
      </c>
      <c r="AG194" s="81"/>
      <c r="AJ194" s="87" t="s">
        <v>120</v>
      </c>
      <c r="AK194" s="87">
        <v>12</v>
      </c>
      <c r="BB194" s="228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5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311"/>
      <c r="P195" s="308" t="s">
        <v>40</v>
      </c>
      <c r="Q195" s="309"/>
      <c r="R195" s="309"/>
      <c r="S195" s="309"/>
      <c r="T195" s="309"/>
      <c r="U195" s="309"/>
      <c r="V195" s="310"/>
      <c r="W195" s="42" t="s">
        <v>39</v>
      </c>
      <c r="X195" s="43">
        <f>IFERROR(SUM(X193:X194),"0")</f>
        <v>0</v>
      </c>
      <c r="Y195" s="43">
        <f>IFERROR(SUM(Y193:Y194),"0")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5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311"/>
      <c r="P196" s="308" t="s">
        <v>40</v>
      </c>
      <c r="Q196" s="309"/>
      <c r="R196" s="309"/>
      <c r="S196" s="309"/>
      <c r="T196" s="309"/>
      <c r="U196" s="309"/>
      <c r="V196" s="310"/>
      <c r="W196" s="42" t="s">
        <v>0</v>
      </c>
      <c r="X196" s="43">
        <f>IFERROR(SUMPRODUCT(X193:X194*H193:H194),"0")</f>
        <v>0</v>
      </c>
      <c r="Y196" s="43">
        <f>IFERROR(SUMPRODUCT(Y193:Y194*H193:H194),"0")</f>
        <v>0</v>
      </c>
      <c r="Z196" s="42"/>
      <c r="AA196" s="67"/>
      <c r="AB196" s="67"/>
      <c r="AC196" s="67"/>
    </row>
    <row r="197" spans="1:68" ht="16.5" customHeight="1" x14ac:dyDescent="0.25">
      <c r="A197" s="326" t="s">
        <v>299</v>
      </c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65"/>
      <c r="AB197" s="65"/>
      <c r="AC197" s="82"/>
    </row>
    <row r="198" spans="1:68" ht="14.25" customHeight="1" x14ac:dyDescent="0.25">
      <c r="A198" s="318" t="s">
        <v>82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4301071117</v>
      </c>
      <c r="D199" s="302">
        <v>4620207491737</v>
      </c>
      <c r="E199" s="302"/>
      <c r="F199" s="62">
        <v>1</v>
      </c>
      <c r="G199" s="37">
        <v>5</v>
      </c>
      <c r="H199" s="62">
        <v>5</v>
      </c>
      <c r="I199" s="62">
        <v>5.2619999999999996</v>
      </c>
      <c r="J199" s="37">
        <v>84</v>
      </c>
      <c r="K199" s="37" t="s">
        <v>87</v>
      </c>
      <c r="L199" s="37" t="s">
        <v>88</v>
      </c>
      <c r="M199" s="38" t="s">
        <v>86</v>
      </c>
      <c r="N199" s="38"/>
      <c r="O199" s="37">
        <v>180</v>
      </c>
      <c r="P199" s="34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9" s="304"/>
      <c r="R199" s="304"/>
      <c r="S199" s="304"/>
      <c r="T199" s="305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IFERROR(IF(X199="","",X199*0.0155),"")</f>
        <v>0</v>
      </c>
      <c r="AA199" s="68" t="s">
        <v>46</v>
      </c>
      <c r="AB199" s="69" t="s">
        <v>46</v>
      </c>
      <c r="AC199" s="229" t="s">
        <v>298</v>
      </c>
      <c r="AG199" s="81"/>
      <c r="AJ199" s="87" t="s">
        <v>89</v>
      </c>
      <c r="AK199" s="87">
        <v>1</v>
      </c>
      <c r="BB199" s="230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5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311"/>
      <c r="P200" s="308" t="s">
        <v>40</v>
      </c>
      <c r="Q200" s="309"/>
      <c r="R200" s="309"/>
      <c r="S200" s="309"/>
      <c r="T200" s="309"/>
      <c r="U200" s="309"/>
      <c r="V200" s="310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5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311"/>
      <c r="P201" s="308" t="s">
        <v>40</v>
      </c>
      <c r="Q201" s="309"/>
      <c r="R201" s="309"/>
      <c r="S201" s="309"/>
      <c r="T201" s="309"/>
      <c r="U201" s="309"/>
      <c r="V201" s="310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27.75" customHeight="1" x14ac:dyDescent="0.25">
      <c r="A202" s="325" t="s">
        <v>302</v>
      </c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54"/>
      <c r="AB202" s="54"/>
      <c r="AC202" s="54"/>
    </row>
    <row r="203" spans="1:68" ht="16.5" customHeight="1" x14ac:dyDescent="0.25">
      <c r="A203" s="326" t="s">
        <v>303</v>
      </c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65"/>
      <c r="AB203" s="65"/>
      <c r="AC203" s="82"/>
    </row>
    <row r="204" spans="1:68" ht="14.25" customHeight="1" x14ac:dyDescent="0.25">
      <c r="A204" s="318" t="s">
        <v>113</v>
      </c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66"/>
      <c r="AB204" s="66"/>
      <c r="AC204" s="83"/>
    </row>
    <row r="205" spans="1:68" ht="16.5" customHeight="1" x14ac:dyDescent="0.25">
      <c r="A205" s="63" t="s">
        <v>304</v>
      </c>
      <c r="B205" s="63" t="s">
        <v>305</v>
      </c>
      <c r="C205" s="36">
        <v>4301132179</v>
      </c>
      <c r="D205" s="302">
        <v>4607111035691</v>
      </c>
      <c r="E205" s="302"/>
      <c r="F205" s="62">
        <v>0.25</v>
      </c>
      <c r="G205" s="37">
        <v>12</v>
      </c>
      <c r="H205" s="62">
        <v>3</v>
      </c>
      <c r="I205" s="62">
        <v>3.3879999999999999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365</v>
      </c>
      <c r="P205" s="3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5" s="304"/>
      <c r="R205" s="304"/>
      <c r="S205" s="304"/>
      <c r="T205" s="30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306</v>
      </c>
      <c r="AG205" s="81"/>
      <c r="AJ205" s="87" t="s">
        <v>120</v>
      </c>
      <c r="AK205" s="87">
        <v>14</v>
      </c>
      <c r="BB205" s="232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307</v>
      </c>
      <c r="B206" s="63" t="s">
        <v>308</v>
      </c>
      <c r="C206" s="36">
        <v>4301132182</v>
      </c>
      <c r="D206" s="302">
        <v>4607111035721</v>
      </c>
      <c r="E206" s="302"/>
      <c r="F206" s="62">
        <v>0.25</v>
      </c>
      <c r="G206" s="37">
        <v>12</v>
      </c>
      <c r="H206" s="62">
        <v>3</v>
      </c>
      <c r="I206" s="62">
        <v>3.3879999999999999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365</v>
      </c>
      <c r="P206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6" s="304"/>
      <c r="R206" s="304"/>
      <c r="S206" s="304"/>
      <c r="T206" s="30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309</v>
      </c>
      <c r="AG206" s="81"/>
      <c r="AJ206" s="87" t="s">
        <v>120</v>
      </c>
      <c r="AK206" s="87">
        <v>14</v>
      </c>
      <c r="BB206" s="234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310</v>
      </c>
      <c r="B207" s="63" t="s">
        <v>311</v>
      </c>
      <c r="C207" s="36">
        <v>4301132170</v>
      </c>
      <c r="D207" s="302">
        <v>4607111038487</v>
      </c>
      <c r="E207" s="302"/>
      <c r="F207" s="62">
        <v>0.25</v>
      </c>
      <c r="G207" s="37">
        <v>12</v>
      </c>
      <c r="H207" s="62">
        <v>3</v>
      </c>
      <c r="I207" s="62">
        <v>3.7360000000000002</v>
      </c>
      <c r="J207" s="37">
        <v>70</v>
      </c>
      <c r="K207" s="37" t="s">
        <v>118</v>
      </c>
      <c r="L207" s="37" t="s">
        <v>119</v>
      </c>
      <c r="M207" s="38" t="s">
        <v>86</v>
      </c>
      <c r="N207" s="38"/>
      <c r="O207" s="37">
        <v>180</v>
      </c>
      <c r="P207" s="3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7" s="304"/>
      <c r="R207" s="304"/>
      <c r="S207" s="304"/>
      <c r="T207" s="305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5" t="s">
        <v>312</v>
      </c>
      <c r="AG207" s="81"/>
      <c r="AJ207" s="87" t="s">
        <v>120</v>
      </c>
      <c r="AK207" s="87">
        <v>14</v>
      </c>
      <c r="BB207" s="236" t="s">
        <v>117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313</v>
      </c>
      <c r="B208" s="63" t="s">
        <v>314</v>
      </c>
      <c r="C208" s="36">
        <v>4301132243</v>
      </c>
      <c r="D208" s="302">
        <v>4620207491195</v>
      </c>
      <c r="E208" s="302"/>
      <c r="F208" s="62">
        <v>0.23</v>
      </c>
      <c r="G208" s="37">
        <v>12</v>
      </c>
      <c r="H208" s="62">
        <v>2.76</v>
      </c>
      <c r="I208" s="62">
        <v>3.1480000000000001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8" s="304"/>
      <c r="R208" s="304"/>
      <c r="S208" s="304"/>
      <c r="T208" s="305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315</v>
      </c>
      <c r="AG208" s="81"/>
      <c r="AJ208" s="87" t="s">
        <v>89</v>
      </c>
      <c r="AK208" s="87">
        <v>1</v>
      </c>
      <c r="BB208" s="238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5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311"/>
      <c r="P209" s="308" t="s">
        <v>40</v>
      </c>
      <c r="Q209" s="309"/>
      <c r="R209" s="309"/>
      <c r="S209" s="309"/>
      <c r="T209" s="309"/>
      <c r="U209" s="309"/>
      <c r="V209" s="310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5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311"/>
      <c r="P210" s="308" t="s">
        <v>40</v>
      </c>
      <c r="Q210" s="309"/>
      <c r="R210" s="309"/>
      <c r="S210" s="309"/>
      <c r="T210" s="309"/>
      <c r="U210" s="309"/>
      <c r="V210" s="310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27.75" customHeight="1" x14ac:dyDescent="0.25">
      <c r="A211" s="325" t="s">
        <v>316</v>
      </c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54"/>
      <c r="AB211" s="54"/>
      <c r="AC211" s="54"/>
    </row>
    <row r="212" spans="1:68" ht="16.5" customHeight="1" x14ac:dyDescent="0.25">
      <c r="A212" s="326" t="s">
        <v>317</v>
      </c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65"/>
      <c r="AB212" s="65"/>
      <c r="AC212" s="82"/>
    </row>
    <row r="213" spans="1:68" ht="14.25" customHeight="1" x14ac:dyDescent="0.25">
      <c r="A213" s="318" t="s">
        <v>113</v>
      </c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66"/>
      <c r="AB213" s="66"/>
      <c r="AC213" s="83"/>
    </row>
    <row r="214" spans="1:68" ht="27" customHeight="1" x14ac:dyDescent="0.25">
      <c r="A214" s="63" t="s">
        <v>318</v>
      </c>
      <c r="B214" s="63" t="s">
        <v>319</v>
      </c>
      <c r="C214" s="36">
        <v>4301132227</v>
      </c>
      <c r="D214" s="302">
        <v>4620207491133</v>
      </c>
      <c r="E214" s="302"/>
      <c r="F214" s="62">
        <v>0.23</v>
      </c>
      <c r="G214" s="37">
        <v>12</v>
      </c>
      <c r="H214" s="62">
        <v>2.76</v>
      </c>
      <c r="I214" s="62">
        <v>2.98</v>
      </c>
      <c r="J214" s="37">
        <v>70</v>
      </c>
      <c r="K214" s="37" t="s">
        <v>118</v>
      </c>
      <c r="L214" s="37" t="s">
        <v>119</v>
      </c>
      <c r="M214" s="38" t="s">
        <v>86</v>
      </c>
      <c r="N214" s="38"/>
      <c r="O214" s="37">
        <v>180</v>
      </c>
      <c r="P214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4" s="304"/>
      <c r="R214" s="304"/>
      <c r="S214" s="304"/>
      <c r="T214" s="305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320</v>
      </c>
      <c r="AG214" s="81"/>
      <c r="AJ214" s="87" t="s">
        <v>120</v>
      </c>
      <c r="AK214" s="87">
        <v>14</v>
      </c>
      <c r="BB214" s="240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5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311"/>
      <c r="P215" s="308" t="s">
        <v>40</v>
      </c>
      <c r="Q215" s="309"/>
      <c r="R215" s="309"/>
      <c r="S215" s="309"/>
      <c r="T215" s="309"/>
      <c r="U215" s="309"/>
      <c r="V215" s="310"/>
      <c r="W215" s="42" t="s">
        <v>39</v>
      </c>
      <c r="X215" s="43">
        <f>IFERROR(SUM(X214:X214),"0")</f>
        <v>0</v>
      </c>
      <c r="Y215" s="43">
        <f>IFERROR(SUM(Y214:Y214),"0")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5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311"/>
      <c r="P216" s="308" t="s">
        <v>40</v>
      </c>
      <c r="Q216" s="309"/>
      <c r="R216" s="309"/>
      <c r="S216" s="309"/>
      <c r="T216" s="309"/>
      <c r="U216" s="309"/>
      <c r="V216" s="310"/>
      <c r="W216" s="42" t="s">
        <v>0</v>
      </c>
      <c r="X216" s="43">
        <f>IFERROR(SUMPRODUCT(X214:X214*H214:H214),"0")</f>
        <v>0</v>
      </c>
      <c r="Y216" s="43">
        <f>IFERROR(SUMPRODUCT(Y214:Y214*H214:H214),"0")</f>
        <v>0</v>
      </c>
      <c r="Z216" s="42"/>
      <c r="AA216" s="67"/>
      <c r="AB216" s="67"/>
      <c r="AC216" s="67"/>
    </row>
    <row r="217" spans="1:68" ht="14.25" customHeight="1" x14ac:dyDescent="0.25">
      <c r="A217" s="318" t="s">
        <v>149</v>
      </c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66"/>
      <c r="AB217" s="66"/>
      <c r="AC217" s="83"/>
    </row>
    <row r="218" spans="1:68" ht="27" customHeight="1" x14ac:dyDescent="0.25">
      <c r="A218" s="63" t="s">
        <v>321</v>
      </c>
      <c r="B218" s="63" t="s">
        <v>322</v>
      </c>
      <c r="C218" s="36">
        <v>4301135834</v>
      </c>
      <c r="D218" s="302">
        <v>4620207491188</v>
      </c>
      <c r="E218" s="302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118</v>
      </c>
      <c r="L218" s="37" t="s">
        <v>88</v>
      </c>
      <c r="M218" s="38" t="s">
        <v>86</v>
      </c>
      <c r="N218" s="38"/>
      <c r="O218" s="37">
        <v>180</v>
      </c>
      <c r="P218" s="3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8" s="304"/>
      <c r="R218" s="304"/>
      <c r="S218" s="304"/>
      <c r="T218" s="305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323</v>
      </c>
      <c r="AG218" s="81"/>
      <c r="AJ218" s="87" t="s">
        <v>89</v>
      </c>
      <c r="AK218" s="87">
        <v>1</v>
      </c>
      <c r="BB218" s="242" t="s">
        <v>117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324</v>
      </c>
      <c r="B219" s="63" t="s">
        <v>325</v>
      </c>
      <c r="C219" s="36">
        <v>4301135696</v>
      </c>
      <c r="D219" s="302">
        <v>4620207490235</v>
      </c>
      <c r="E219" s="302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118</v>
      </c>
      <c r="L219" s="37" t="s">
        <v>119</v>
      </c>
      <c r="M219" s="38" t="s">
        <v>86</v>
      </c>
      <c r="N219" s="38"/>
      <c r="O219" s="37">
        <v>180</v>
      </c>
      <c r="P219" s="3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9" s="304"/>
      <c r="R219" s="304"/>
      <c r="S219" s="304"/>
      <c r="T219" s="305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3" t="s">
        <v>326</v>
      </c>
      <c r="AG219" s="81"/>
      <c r="AJ219" s="87" t="s">
        <v>120</v>
      </c>
      <c r="AK219" s="87">
        <v>14</v>
      </c>
      <c r="BB219" s="244" t="s">
        <v>117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customHeight="1" x14ac:dyDescent="0.25">
      <c r="A220" s="63" t="s">
        <v>327</v>
      </c>
      <c r="B220" s="63" t="s">
        <v>328</v>
      </c>
      <c r="C220" s="36">
        <v>4301135697</v>
      </c>
      <c r="D220" s="302">
        <v>4620207490259</v>
      </c>
      <c r="E220" s="302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3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0" s="304"/>
      <c r="R220" s="304"/>
      <c r="S220" s="304"/>
      <c r="T220" s="305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5" t="s">
        <v>329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5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311"/>
      <c r="P221" s="308" t="s">
        <v>40</v>
      </c>
      <c r="Q221" s="309"/>
      <c r="R221" s="309"/>
      <c r="S221" s="309"/>
      <c r="T221" s="309"/>
      <c r="U221" s="309"/>
      <c r="V221" s="310"/>
      <c r="W221" s="42" t="s">
        <v>39</v>
      </c>
      <c r="X221" s="43">
        <f>IFERROR(SUM(X218:X220),"0")</f>
        <v>0</v>
      </c>
      <c r="Y221" s="43">
        <f>IFERROR(SUM(Y218:Y220),"0")</f>
        <v>0</v>
      </c>
      <c r="Z221" s="43">
        <f>IFERROR(IF(Z218="",0,Z218),"0")+IFERROR(IF(Z219="",0,Z219),"0")+IFERROR(IF(Z220="",0,Z220),"0")</f>
        <v>0</v>
      </c>
      <c r="AA221" s="67"/>
      <c r="AB221" s="67"/>
      <c r="AC221" s="67"/>
    </row>
    <row r="222" spans="1:68" x14ac:dyDescent="0.25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311"/>
      <c r="P222" s="308" t="s">
        <v>40</v>
      </c>
      <c r="Q222" s="309"/>
      <c r="R222" s="309"/>
      <c r="S222" s="309"/>
      <c r="T222" s="309"/>
      <c r="U222" s="309"/>
      <c r="V222" s="310"/>
      <c r="W222" s="42" t="s">
        <v>0</v>
      </c>
      <c r="X222" s="43">
        <f>IFERROR(SUMPRODUCT(X218:X220*H218:H220),"0")</f>
        <v>0</v>
      </c>
      <c r="Y222" s="43">
        <f>IFERROR(SUMPRODUCT(Y218:Y220*H218:H220),"0")</f>
        <v>0</v>
      </c>
      <c r="Z222" s="42"/>
      <c r="AA222" s="67"/>
      <c r="AB222" s="67"/>
      <c r="AC222" s="67"/>
    </row>
    <row r="223" spans="1:68" ht="16.5" customHeight="1" x14ac:dyDescent="0.25">
      <c r="A223" s="326" t="s">
        <v>330</v>
      </c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65"/>
      <c r="AB223" s="65"/>
      <c r="AC223" s="82"/>
    </row>
    <row r="224" spans="1:68" ht="14.25" customHeight="1" x14ac:dyDescent="0.25">
      <c r="A224" s="318" t="s">
        <v>149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66"/>
      <c r="AB224" s="66"/>
      <c r="AC224" s="83"/>
    </row>
    <row r="225" spans="1:68" ht="27" customHeight="1" x14ac:dyDescent="0.25">
      <c r="A225" s="63" t="s">
        <v>331</v>
      </c>
      <c r="B225" s="63" t="s">
        <v>332</v>
      </c>
      <c r="C225" s="36">
        <v>4301135854</v>
      </c>
      <c r="D225" s="302">
        <v>4620207491706</v>
      </c>
      <c r="E225" s="302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88</v>
      </c>
      <c r="M225" s="38" t="s">
        <v>86</v>
      </c>
      <c r="N225" s="38"/>
      <c r="O225" s="37">
        <v>180</v>
      </c>
      <c r="P225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5" s="304"/>
      <c r="R225" s="304"/>
      <c r="S225" s="304"/>
      <c r="T225" s="305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333</v>
      </c>
      <c r="AG225" s="81"/>
      <c r="AJ225" s="87" t="s">
        <v>89</v>
      </c>
      <c r="AK225" s="87">
        <v>1</v>
      </c>
      <c r="BB225" s="248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customHeight="1" x14ac:dyDescent="0.25">
      <c r="A226" s="63" t="s">
        <v>334</v>
      </c>
      <c r="B226" s="63" t="s">
        <v>335</v>
      </c>
      <c r="C226" s="36">
        <v>4301135895</v>
      </c>
      <c r="D226" s="302">
        <v>4620207491522</v>
      </c>
      <c r="E226" s="302"/>
      <c r="F226" s="62">
        <v>0.28000000000000003</v>
      </c>
      <c r="G226" s="37">
        <v>12</v>
      </c>
      <c r="H226" s="62">
        <v>3.36</v>
      </c>
      <c r="I226" s="62">
        <v>4.0636000000000001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33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6" s="304"/>
      <c r="R226" s="304"/>
      <c r="S226" s="304"/>
      <c r="T226" s="305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9" t="s">
        <v>336</v>
      </c>
      <c r="AG226" s="81"/>
      <c r="AJ226" s="87" t="s">
        <v>89</v>
      </c>
      <c r="AK226" s="87">
        <v>1</v>
      </c>
      <c r="BB226" s="250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5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311"/>
      <c r="P227" s="308" t="s">
        <v>40</v>
      </c>
      <c r="Q227" s="309"/>
      <c r="R227" s="309"/>
      <c r="S227" s="309"/>
      <c r="T227" s="309"/>
      <c r="U227" s="309"/>
      <c r="V227" s="310"/>
      <c r="W227" s="42" t="s">
        <v>39</v>
      </c>
      <c r="X227" s="43">
        <f>IFERROR(SUM(X225:X226),"0")</f>
        <v>0</v>
      </c>
      <c r="Y227" s="43">
        <f>IFERROR(SUM(Y225:Y226),"0")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5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311"/>
      <c r="P228" s="308" t="s">
        <v>40</v>
      </c>
      <c r="Q228" s="309"/>
      <c r="R228" s="309"/>
      <c r="S228" s="309"/>
      <c r="T228" s="309"/>
      <c r="U228" s="309"/>
      <c r="V228" s="310"/>
      <c r="W228" s="42" t="s">
        <v>0</v>
      </c>
      <c r="X228" s="43">
        <f>IFERROR(SUMPRODUCT(X225:X226*H225:H226),"0")</f>
        <v>0</v>
      </c>
      <c r="Y228" s="43">
        <f>IFERROR(SUMPRODUCT(Y225:Y226*H225:H226),"0")</f>
        <v>0</v>
      </c>
      <c r="Z228" s="42"/>
      <c r="AA228" s="67"/>
      <c r="AB228" s="67"/>
      <c r="AC228" s="67"/>
    </row>
    <row r="229" spans="1:68" ht="16.5" customHeight="1" x14ac:dyDescent="0.25">
      <c r="A229" s="326" t="s">
        <v>337</v>
      </c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65"/>
      <c r="AB229" s="65"/>
      <c r="AC229" s="82"/>
    </row>
    <row r="230" spans="1:68" ht="14.25" customHeight="1" x14ac:dyDescent="0.25">
      <c r="A230" s="318" t="s">
        <v>82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66"/>
      <c r="AB230" s="66"/>
      <c r="AC230" s="83"/>
    </row>
    <row r="231" spans="1:68" ht="27" customHeight="1" x14ac:dyDescent="0.25">
      <c r="A231" s="63" t="s">
        <v>338</v>
      </c>
      <c r="B231" s="63" t="s">
        <v>339</v>
      </c>
      <c r="C231" s="36">
        <v>4301071097</v>
      </c>
      <c r="D231" s="302">
        <v>4620207491096</v>
      </c>
      <c r="E231" s="302"/>
      <c r="F231" s="62">
        <v>1</v>
      </c>
      <c r="G231" s="37">
        <v>5</v>
      </c>
      <c r="H231" s="62">
        <v>5</v>
      </c>
      <c r="I231" s="62">
        <v>5.23</v>
      </c>
      <c r="J231" s="37">
        <v>84</v>
      </c>
      <c r="K231" s="37" t="s">
        <v>87</v>
      </c>
      <c r="L231" s="37" t="s">
        <v>119</v>
      </c>
      <c r="M231" s="38" t="s">
        <v>86</v>
      </c>
      <c r="N231" s="38"/>
      <c r="O231" s="37">
        <v>180</v>
      </c>
      <c r="P231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1" s="304"/>
      <c r="R231" s="304"/>
      <c r="S231" s="304"/>
      <c r="T231" s="305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51" t="s">
        <v>340</v>
      </c>
      <c r="AG231" s="81"/>
      <c r="AJ231" s="87" t="s">
        <v>120</v>
      </c>
      <c r="AK231" s="87">
        <v>12</v>
      </c>
      <c r="BB231" s="252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5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311"/>
      <c r="P232" s="308" t="s">
        <v>40</v>
      </c>
      <c r="Q232" s="309"/>
      <c r="R232" s="309"/>
      <c r="S232" s="309"/>
      <c r="T232" s="309"/>
      <c r="U232" s="309"/>
      <c r="V232" s="310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5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311"/>
      <c r="P233" s="308" t="s">
        <v>40</v>
      </c>
      <c r="Q233" s="309"/>
      <c r="R233" s="309"/>
      <c r="S233" s="309"/>
      <c r="T233" s="309"/>
      <c r="U233" s="309"/>
      <c r="V233" s="310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5">
      <c r="A234" s="325" t="s">
        <v>341</v>
      </c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54"/>
      <c r="AB234" s="54"/>
      <c r="AC234" s="54"/>
    </row>
    <row r="235" spans="1:68" ht="16.5" customHeight="1" x14ac:dyDescent="0.25">
      <c r="A235" s="326" t="s">
        <v>342</v>
      </c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65"/>
      <c r="AB235" s="65"/>
      <c r="AC235" s="82"/>
    </row>
    <row r="236" spans="1:68" ht="14.25" customHeight="1" x14ac:dyDescent="0.25">
      <c r="A236" s="318" t="s">
        <v>82</v>
      </c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66"/>
      <c r="AB236" s="66"/>
      <c r="AC236" s="83"/>
    </row>
    <row r="237" spans="1:68" ht="27" customHeight="1" x14ac:dyDescent="0.25">
      <c r="A237" s="63" t="s">
        <v>343</v>
      </c>
      <c r="B237" s="63" t="s">
        <v>344</v>
      </c>
      <c r="C237" s="36">
        <v>4301071036</v>
      </c>
      <c r="D237" s="302">
        <v>4607111036162</v>
      </c>
      <c r="E237" s="302"/>
      <c r="F237" s="62">
        <v>0.8</v>
      </c>
      <c r="G237" s="37">
        <v>8</v>
      </c>
      <c r="H237" s="62">
        <v>6.4</v>
      </c>
      <c r="I237" s="62">
        <v>6.6811999999999996</v>
      </c>
      <c r="J237" s="37">
        <v>84</v>
      </c>
      <c r="K237" s="37" t="s">
        <v>87</v>
      </c>
      <c r="L237" s="37" t="s">
        <v>88</v>
      </c>
      <c r="M237" s="38" t="s">
        <v>86</v>
      </c>
      <c r="N237" s="38"/>
      <c r="O237" s="37">
        <v>90</v>
      </c>
      <c r="P237" s="33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7" s="304"/>
      <c r="R237" s="304"/>
      <c r="S237" s="304"/>
      <c r="T237" s="305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3" t="s">
        <v>345</v>
      </c>
      <c r="AG237" s="81"/>
      <c r="AJ237" s="87" t="s">
        <v>89</v>
      </c>
      <c r="AK237" s="87">
        <v>1</v>
      </c>
      <c r="BB237" s="254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5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311"/>
      <c r="P238" s="308" t="s">
        <v>40</v>
      </c>
      <c r="Q238" s="309"/>
      <c r="R238" s="309"/>
      <c r="S238" s="309"/>
      <c r="T238" s="309"/>
      <c r="U238" s="309"/>
      <c r="V238" s="310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5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311"/>
      <c r="P239" s="308" t="s">
        <v>40</v>
      </c>
      <c r="Q239" s="309"/>
      <c r="R239" s="309"/>
      <c r="S239" s="309"/>
      <c r="T239" s="309"/>
      <c r="U239" s="309"/>
      <c r="V239" s="310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5">
      <c r="A240" s="325" t="s">
        <v>346</v>
      </c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54"/>
      <c r="AB240" s="54"/>
      <c r="AC240" s="54"/>
    </row>
    <row r="241" spans="1:68" ht="16.5" customHeight="1" x14ac:dyDescent="0.25">
      <c r="A241" s="326" t="s">
        <v>347</v>
      </c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65"/>
      <c r="AB241" s="65"/>
      <c r="AC241" s="82"/>
    </row>
    <row r="242" spans="1:68" ht="14.25" customHeight="1" x14ac:dyDescent="0.25">
      <c r="A242" s="318" t="s">
        <v>348</v>
      </c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66"/>
      <c r="AB242" s="66"/>
      <c r="AC242" s="83"/>
    </row>
    <row r="243" spans="1:68" ht="27" customHeight="1" x14ac:dyDescent="0.25">
      <c r="A243" s="63" t="s">
        <v>349</v>
      </c>
      <c r="B243" s="63" t="s">
        <v>350</v>
      </c>
      <c r="C243" s="36">
        <v>4301133004</v>
      </c>
      <c r="D243" s="302">
        <v>4607111039774</v>
      </c>
      <c r="E243" s="302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180</v>
      </c>
      <c r="P243" s="3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04"/>
      <c r="R243" s="304"/>
      <c r="S243" s="304"/>
      <c r="T243" s="305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5" t="s">
        <v>351</v>
      </c>
      <c r="AG243" s="81"/>
      <c r="AJ243" s="87" t="s">
        <v>89</v>
      </c>
      <c r="AK243" s="87">
        <v>1</v>
      </c>
      <c r="BB243" s="256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5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311"/>
      <c r="P244" s="308" t="s">
        <v>40</v>
      </c>
      <c r="Q244" s="309"/>
      <c r="R244" s="309"/>
      <c r="S244" s="309"/>
      <c r="T244" s="309"/>
      <c r="U244" s="309"/>
      <c r="V244" s="310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311"/>
      <c r="P245" s="308" t="s">
        <v>40</v>
      </c>
      <c r="Q245" s="309"/>
      <c r="R245" s="309"/>
      <c r="S245" s="309"/>
      <c r="T245" s="309"/>
      <c r="U245" s="309"/>
      <c r="V245" s="310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8" t="s">
        <v>149</v>
      </c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66"/>
      <c r="AB246" s="66"/>
      <c r="AC246" s="83"/>
    </row>
    <row r="247" spans="1:68" ht="37.5" customHeight="1" x14ac:dyDescent="0.25">
      <c r="A247" s="63" t="s">
        <v>352</v>
      </c>
      <c r="B247" s="63" t="s">
        <v>353</v>
      </c>
      <c r="C247" s="36">
        <v>4301135400</v>
      </c>
      <c r="D247" s="302">
        <v>4607111039361</v>
      </c>
      <c r="E247" s="302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3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04"/>
      <c r="R247" s="304"/>
      <c r="S247" s="304"/>
      <c r="T247" s="305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7" t="s">
        <v>351</v>
      </c>
      <c r="AG247" s="81"/>
      <c r="AJ247" s="87" t="s">
        <v>89</v>
      </c>
      <c r="AK247" s="87">
        <v>1</v>
      </c>
      <c r="BB247" s="258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5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311"/>
      <c r="P248" s="308" t="s">
        <v>40</v>
      </c>
      <c r="Q248" s="309"/>
      <c r="R248" s="309"/>
      <c r="S248" s="309"/>
      <c r="T248" s="309"/>
      <c r="U248" s="309"/>
      <c r="V248" s="310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5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311"/>
      <c r="P249" s="308" t="s">
        <v>40</v>
      </c>
      <c r="Q249" s="309"/>
      <c r="R249" s="309"/>
      <c r="S249" s="309"/>
      <c r="T249" s="309"/>
      <c r="U249" s="309"/>
      <c r="V249" s="310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5">
      <c r="A250" s="325" t="s">
        <v>354</v>
      </c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54"/>
      <c r="AB250" s="54"/>
      <c r="AC250" s="54"/>
    </row>
    <row r="251" spans="1:68" ht="16.5" customHeight="1" x14ac:dyDescent="0.25">
      <c r="A251" s="326" t="s">
        <v>354</v>
      </c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65"/>
      <c r="AB251" s="65"/>
      <c r="AC251" s="82"/>
    </row>
    <row r="252" spans="1:68" ht="14.25" customHeight="1" x14ac:dyDescent="0.25">
      <c r="A252" s="318" t="s">
        <v>113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6"/>
      <c r="AB252" s="66"/>
      <c r="AC252" s="83"/>
    </row>
    <row r="253" spans="1:68" ht="27" customHeight="1" x14ac:dyDescent="0.25">
      <c r="A253" s="63" t="s">
        <v>355</v>
      </c>
      <c r="B253" s="63" t="s">
        <v>356</v>
      </c>
      <c r="C253" s="36">
        <v>4301132228</v>
      </c>
      <c r="D253" s="302">
        <v>4640242181950</v>
      </c>
      <c r="E253" s="302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365</v>
      </c>
      <c r="P253" s="32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04"/>
      <c r="R253" s="304"/>
      <c r="S253" s="304"/>
      <c r="T253" s="30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9" t="s">
        <v>357</v>
      </c>
      <c r="AG253" s="81"/>
      <c r="AJ253" s="87" t="s">
        <v>89</v>
      </c>
      <c r="AK253" s="87">
        <v>1</v>
      </c>
      <c r="BB253" s="260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5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311"/>
      <c r="P254" s="308" t="s">
        <v>40</v>
      </c>
      <c r="Q254" s="309"/>
      <c r="R254" s="309"/>
      <c r="S254" s="309"/>
      <c r="T254" s="309"/>
      <c r="U254" s="309"/>
      <c r="V254" s="310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311"/>
      <c r="P255" s="308" t="s">
        <v>40</v>
      </c>
      <c r="Q255" s="309"/>
      <c r="R255" s="309"/>
      <c r="S255" s="309"/>
      <c r="T255" s="309"/>
      <c r="U255" s="309"/>
      <c r="V255" s="310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14.25" customHeight="1" x14ac:dyDescent="0.25">
      <c r="A256" s="318" t="s">
        <v>145</v>
      </c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66"/>
      <c r="AB256" s="66"/>
      <c r="AC256" s="83"/>
    </row>
    <row r="257" spans="1:68" ht="27" customHeight="1" x14ac:dyDescent="0.25">
      <c r="A257" s="63" t="s">
        <v>358</v>
      </c>
      <c r="B257" s="63" t="s">
        <v>359</v>
      </c>
      <c r="C257" s="36">
        <v>4301136098</v>
      </c>
      <c r="D257" s="302">
        <v>4640242181943</v>
      </c>
      <c r="E257" s="302"/>
      <c r="F257" s="62">
        <v>0.09</v>
      </c>
      <c r="G257" s="37">
        <v>24</v>
      </c>
      <c r="H257" s="62">
        <v>2.16</v>
      </c>
      <c r="I257" s="62">
        <v>2.34</v>
      </c>
      <c r="J257" s="37">
        <v>126</v>
      </c>
      <c r="K257" s="37" t="s">
        <v>118</v>
      </c>
      <c r="L257" s="37" t="s">
        <v>88</v>
      </c>
      <c r="M257" s="38" t="s">
        <v>86</v>
      </c>
      <c r="N257" s="38"/>
      <c r="O257" s="37">
        <v>180</v>
      </c>
      <c r="P257" s="3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7" s="304"/>
      <c r="R257" s="304"/>
      <c r="S257" s="304"/>
      <c r="T257" s="305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89</v>
      </c>
      <c r="AK257" s="87">
        <v>1</v>
      </c>
      <c r="BB257" s="262" t="s">
        <v>117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5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311"/>
      <c r="P258" s="308" t="s">
        <v>40</v>
      </c>
      <c r="Q258" s="309"/>
      <c r="R258" s="309"/>
      <c r="S258" s="309"/>
      <c r="T258" s="309"/>
      <c r="U258" s="309"/>
      <c r="V258" s="310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5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311"/>
      <c r="P259" s="308" t="s">
        <v>40</v>
      </c>
      <c r="Q259" s="309"/>
      <c r="R259" s="309"/>
      <c r="S259" s="309"/>
      <c r="T259" s="309"/>
      <c r="U259" s="309"/>
      <c r="V259" s="310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27.75" customHeight="1" x14ac:dyDescent="0.25">
      <c r="A260" s="325" t="s">
        <v>276</v>
      </c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54"/>
      <c r="AB260" s="54"/>
      <c r="AC260" s="54"/>
    </row>
    <row r="261" spans="1:68" ht="16.5" customHeight="1" x14ac:dyDescent="0.25">
      <c r="A261" s="326" t="s">
        <v>276</v>
      </c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65"/>
      <c r="AB261" s="65"/>
      <c r="AC261" s="82"/>
    </row>
    <row r="262" spans="1:68" ht="14.25" customHeight="1" x14ac:dyDescent="0.25">
      <c r="A262" s="318" t="s">
        <v>82</v>
      </c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66"/>
      <c r="AB262" s="66"/>
      <c r="AC262" s="83"/>
    </row>
    <row r="263" spans="1:68" ht="27" customHeight="1" x14ac:dyDescent="0.25">
      <c r="A263" s="63" t="s">
        <v>361</v>
      </c>
      <c r="B263" s="63" t="s">
        <v>362</v>
      </c>
      <c r="C263" s="36">
        <v>4301071014</v>
      </c>
      <c r="D263" s="302">
        <v>4640242181264</v>
      </c>
      <c r="E263" s="302"/>
      <c r="F263" s="62">
        <v>0.7</v>
      </c>
      <c r="G263" s="37">
        <v>10</v>
      </c>
      <c r="H263" s="62">
        <v>7</v>
      </c>
      <c r="I263" s="62">
        <v>7.28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2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3" s="304"/>
      <c r="R263" s="304"/>
      <c r="S263" s="304"/>
      <c r="T263" s="305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89</v>
      </c>
      <c r="AK263" s="87">
        <v>1</v>
      </c>
      <c r="BB263" s="264" t="s">
        <v>70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4301071141</v>
      </c>
      <c r="D264" s="302">
        <v>4620207491980</v>
      </c>
      <c r="E264" s="302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4" s="304"/>
      <c r="R264" s="304"/>
      <c r="S264" s="304"/>
      <c r="T264" s="30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366</v>
      </c>
      <c r="AG264" s="81"/>
      <c r="AJ264" s="87" t="s">
        <v>89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311"/>
      <c r="P265" s="308" t="s">
        <v>40</v>
      </c>
      <c r="Q265" s="309"/>
      <c r="R265" s="309"/>
      <c r="S265" s="309"/>
      <c r="T265" s="309"/>
      <c r="U265" s="309"/>
      <c r="V265" s="310"/>
      <c r="W265" s="42" t="s">
        <v>39</v>
      </c>
      <c r="X265" s="43">
        <f>IFERROR(SUM(X263:X264),"0")</f>
        <v>0</v>
      </c>
      <c r="Y265" s="43">
        <f>IFERROR(SUM(Y263:Y264),"0")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x14ac:dyDescent="0.25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311"/>
      <c r="P266" s="308" t="s">
        <v>40</v>
      </c>
      <c r="Q266" s="309"/>
      <c r="R266" s="309"/>
      <c r="S266" s="309"/>
      <c r="T266" s="309"/>
      <c r="U266" s="309"/>
      <c r="V266" s="310"/>
      <c r="W266" s="42" t="s">
        <v>0</v>
      </c>
      <c r="X266" s="43">
        <f>IFERROR(SUMPRODUCT(X263:X264*H263:H264),"0")</f>
        <v>0</v>
      </c>
      <c r="Y266" s="43">
        <f>IFERROR(SUMPRODUCT(Y263:Y264*H263:H264),"0")</f>
        <v>0</v>
      </c>
      <c r="Z266" s="42"/>
      <c r="AA266" s="67"/>
      <c r="AB266" s="67"/>
      <c r="AC266" s="67"/>
    </row>
    <row r="267" spans="1:68" ht="14.25" customHeight="1" x14ac:dyDescent="0.25">
      <c r="A267" s="318" t="s">
        <v>145</v>
      </c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66"/>
      <c r="AB267" s="66"/>
      <c r="AC267" s="83"/>
    </row>
    <row r="268" spans="1:68" ht="27" customHeight="1" x14ac:dyDescent="0.25">
      <c r="A268" s="63" t="s">
        <v>367</v>
      </c>
      <c r="B268" s="63" t="s">
        <v>368</v>
      </c>
      <c r="C268" s="36">
        <v>4301136116</v>
      </c>
      <c r="D268" s="302">
        <v>4620207492147</v>
      </c>
      <c r="E268" s="302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322" t="s">
        <v>369</v>
      </c>
      <c r="Q268" s="304"/>
      <c r="R268" s="304"/>
      <c r="S268" s="304"/>
      <c r="T268" s="305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195</v>
      </c>
      <c r="AG268" s="81"/>
      <c r="AJ268" s="87" t="s">
        <v>89</v>
      </c>
      <c r="AK268" s="87">
        <v>1</v>
      </c>
      <c r="BB268" s="268" t="s">
        <v>117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4301136112</v>
      </c>
      <c r="D269" s="302">
        <v>4620207492154</v>
      </c>
      <c r="E269" s="302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323" t="s">
        <v>372</v>
      </c>
      <c r="Q269" s="304"/>
      <c r="R269" s="304"/>
      <c r="S269" s="304"/>
      <c r="T269" s="30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195</v>
      </c>
      <c r="AG269" s="81"/>
      <c r="AJ269" s="87" t="s">
        <v>89</v>
      </c>
      <c r="AK269" s="87">
        <v>1</v>
      </c>
      <c r="BB269" s="270" t="s">
        <v>117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373</v>
      </c>
      <c r="B270" s="63" t="s">
        <v>374</v>
      </c>
      <c r="C270" s="36">
        <v>4301136114</v>
      </c>
      <c r="D270" s="302">
        <v>4620207492086</v>
      </c>
      <c r="E270" s="302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7" t="s">
        <v>375</v>
      </c>
      <c r="Q270" s="304"/>
      <c r="R270" s="304"/>
      <c r="S270" s="304"/>
      <c r="T270" s="305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195</v>
      </c>
      <c r="AG270" s="81"/>
      <c r="AJ270" s="87" t="s">
        <v>89</v>
      </c>
      <c r="AK270" s="87">
        <v>1</v>
      </c>
      <c r="BB270" s="272" t="s">
        <v>117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x14ac:dyDescent="0.25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311"/>
      <c r="P271" s="308" t="s">
        <v>40</v>
      </c>
      <c r="Q271" s="309"/>
      <c r="R271" s="309"/>
      <c r="S271" s="309"/>
      <c r="T271" s="309"/>
      <c r="U271" s="309"/>
      <c r="V271" s="310"/>
      <c r="W271" s="42" t="s">
        <v>39</v>
      </c>
      <c r="X271" s="43">
        <f>IFERROR(SUM(X268:X270),"0")</f>
        <v>0</v>
      </c>
      <c r="Y271" s="43">
        <f>IFERROR(SUM(Y268:Y270),"0")</f>
        <v>0</v>
      </c>
      <c r="Z271" s="43">
        <f>IFERROR(IF(Z268="",0,Z268),"0")+IFERROR(IF(Z269="",0,Z269),"0")+IFERROR(IF(Z270="",0,Z270),"0")</f>
        <v>0</v>
      </c>
      <c r="AA271" s="67"/>
      <c r="AB271" s="67"/>
      <c r="AC271" s="67"/>
    </row>
    <row r="272" spans="1:68" x14ac:dyDescent="0.25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311"/>
      <c r="P272" s="308" t="s">
        <v>40</v>
      </c>
      <c r="Q272" s="309"/>
      <c r="R272" s="309"/>
      <c r="S272" s="309"/>
      <c r="T272" s="309"/>
      <c r="U272" s="309"/>
      <c r="V272" s="310"/>
      <c r="W272" s="42" t="s">
        <v>0</v>
      </c>
      <c r="X272" s="43">
        <f>IFERROR(SUMPRODUCT(X268:X270*H268:H270),"0")</f>
        <v>0</v>
      </c>
      <c r="Y272" s="43">
        <f>IFERROR(SUMPRODUCT(Y268:Y270*H268:H270),"0")</f>
        <v>0</v>
      </c>
      <c r="Z272" s="42"/>
      <c r="AA272" s="67"/>
      <c r="AB272" s="67"/>
      <c r="AC272" s="67"/>
    </row>
    <row r="273" spans="1:68" ht="14.25" customHeight="1" x14ac:dyDescent="0.25">
      <c r="A273" s="318" t="s">
        <v>149</v>
      </c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66"/>
      <c r="AB273" s="66"/>
      <c r="AC273" s="83"/>
    </row>
    <row r="274" spans="1:68" ht="37.5" customHeight="1" x14ac:dyDescent="0.25">
      <c r="A274" s="63" t="s">
        <v>376</v>
      </c>
      <c r="B274" s="63" t="s">
        <v>377</v>
      </c>
      <c r="C274" s="36">
        <v>4301137068</v>
      </c>
      <c r="D274" s="302">
        <v>4620207492161</v>
      </c>
      <c r="E274" s="302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9" t="s">
        <v>378</v>
      </c>
      <c r="Q274" s="304"/>
      <c r="R274" s="304"/>
      <c r="S274" s="304"/>
      <c r="T274" s="30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379</v>
      </c>
      <c r="AG274" s="81"/>
      <c r="AJ274" s="87" t="s">
        <v>89</v>
      </c>
      <c r="AK274" s="87">
        <v>1</v>
      </c>
      <c r="BB274" s="274" t="s">
        <v>117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4301137046</v>
      </c>
      <c r="D275" s="302">
        <v>4620207492093</v>
      </c>
      <c r="E275" s="30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320" t="s">
        <v>382</v>
      </c>
      <c r="Q275" s="304"/>
      <c r="R275" s="304"/>
      <c r="S275" s="304"/>
      <c r="T275" s="30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5" t="s">
        <v>291</v>
      </c>
      <c r="AG275" s="81"/>
      <c r="AJ275" s="87" t="s">
        <v>89</v>
      </c>
      <c r="AK275" s="87">
        <v>1</v>
      </c>
      <c r="BB275" s="276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4301137066</v>
      </c>
      <c r="D276" s="302">
        <v>4620207492109</v>
      </c>
      <c r="E276" s="302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87</v>
      </c>
      <c r="L276" s="37" t="s">
        <v>88</v>
      </c>
      <c r="M276" s="38" t="s">
        <v>86</v>
      </c>
      <c r="N276" s="38"/>
      <c r="O276" s="37">
        <v>180</v>
      </c>
      <c r="P276" s="312" t="s">
        <v>385</v>
      </c>
      <c r="Q276" s="304"/>
      <c r="R276" s="304"/>
      <c r="S276" s="304"/>
      <c r="T276" s="30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IFERROR(IF(X276="","",X276*0.0155),"")</f>
        <v>0</v>
      </c>
      <c r="AA276" s="68" t="s">
        <v>46</v>
      </c>
      <c r="AB276" s="69" t="s">
        <v>46</v>
      </c>
      <c r="AC276" s="277" t="s">
        <v>285</v>
      </c>
      <c r="AG276" s="81"/>
      <c r="AJ276" s="87" t="s">
        <v>89</v>
      </c>
      <c r="AK276" s="87">
        <v>1</v>
      </c>
      <c r="BB276" s="278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386</v>
      </c>
      <c r="B277" s="63" t="s">
        <v>387</v>
      </c>
      <c r="C277" s="36">
        <v>4301137074</v>
      </c>
      <c r="D277" s="302">
        <v>4620207492116</v>
      </c>
      <c r="E277" s="302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3" t="s">
        <v>388</v>
      </c>
      <c r="Q277" s="304"/>
      <c r="R277" s="304"/>
      <c r="S277" s="304"/>
      <c r="T277" s="30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ref="Z277:Z283" si="23">IFERROR(IF(X277="","",X277*0.00936),"")</f>
        <v>0</v>
      </c>
      <c r="AA277" s="68" t="s">
        <v>46</v>
      </c>
      <c r="AB277" s="69" t="s">
        <v>46</v>
      </c>
      <c r="AC277" s="279" t="s">
        <v>285</v>
      </c>
      <c r="AG277" s="81"/>
      <c r="AJ277" s="87" t="s">
        <v>89</v>
      </c>
      <c r="AK277" s="87">
        <v>1</v>
      </c>
      <c r="BB277" s="280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389</v>
      </c>
      <c r="B278" s="63" t="s">
        <v>390</v>
      </c>
      <c r="C278" s="36">
        <v>4301135375</v>
      </c>
      <c r="D278" s="302">
        <v>4640242181486</v>
      </c>
      <c r="E278" s="302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31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04"/>
      <c r="R278" s="304"/>
      <c r="S278" s="304"/>
      <c r="T278" s="30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391</v>
      </c>
      <c r="AG278" s="81"/>
      <c r="AJ278" s="87" t="s">
        <v>120</v>
      </c>
      <c r="AK278" s="87">
        <v>14</v>
      </c>
      <c r="BB278" s="282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392</v>
      </c>
      <c r="B279" s="63" t="s">
        <v>393</v>
      </c>
      <c r="C279" s="36">
        <v>4301135402</v>
      </c>
      <c r="D279" s="302">
        <v>4640242181493</v>
      </c>
      <c r="E279" s="302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118</v>
      </c>
      <c r="L279" s="37" t="s">
        <v>88</v>
      </c>
      <c r="M279" s="38" t="s">
        <v>86</v>
      </c>
      <c r="N279" s="38"/>
      <c r="O279" s="37">
        <v>180</v>
      </c>
      <c r="P279" s="31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04"/>
      <c r="R279" s="304"/>
      <c r="S279" s="304"/>
      <c r="T279" s="30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391</v>
      </c>
      <c r="AG279" s="81"/>
      <c r="AJ279" s="87" t="s">
        <v>89</v>
      </c>
      <c r="AK279" s="87">
        <v>1</v>
      </c>
      <c r="BB279" s="284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customHeight="1" x14ac:dyDescent="0.25">
      <c r="A280" s="63" t="s">
        <v>394</v>
      </c>
      <c r="B280" s="63" t="s">
        <v>395</v>
      </c>
      <c r="C280" s="36">
        <v>4301135403</v>
      </c>
      <c r="D280" s="302">
        <v>4640242181509</v>
      </c>
      <c r="E280" s="30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118</v>
      </c>
      <c r="L280" s="37" t="s">
        <v>88</v>
      </c>
      <c r="M280" s="38" t="s">
        <v>86</v>
      </c>
      <c r="N280" s="38"/>
      <c r="O280" s="37">
        <v>180</v>
      </c>
      <c r="P280" s="31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04"/>
      <c r="R280" s="304"/>
      <c r="S280" s="304"/>
      <c r="T280" s="30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391</v>
      </c>
      <c r="AG280" s="81"/>
      <c r="AJ280" s="87" t="s">
        <v>89</v>
      </c>
      <c r="AK280" s="87">
        <v>1</v>
      </c>
      <c r="BB280" s="286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396</v>
      </c>
      <c r="B281" s="63" t="s">
        <v>397</v>
      </c>
      <c r="C281" s="36">
        <v>4301135304</v>
      </c>
      <c r="D281" s="302">
        <v>4640242181240</v>
      </c>
      <c r="E281" s="302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04"/>
      <c r="R281" s="304"/>
      <c r="S281" s="304"/>
      <c r="T281" s="30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7" t="s">
        <v>391</v>
      </c>
      <c r="AG281" s="81"/>
      <c r="AJ281" s="87" t="s">
        <v>89</v>
      </c>
      <c r="AK281" s="87">
        <v>1</v>
      </c>
      <c r="BB281" s="288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398</v>
      </c>
      <c r="B282" s="63" t="s">
        <v>399</v>
      </c>
      <c r="C282" s="36">
        <v>4301135610</v>
      </c>
      <c r="D282" s="302">
        <v>4640242181318</v>
      </c>
      <c r="E282" s="302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04"/>
      <c r="R282" s="304"/>
      <c r="S282" s="304"/>
      <c r="T282" s="30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9" t="s">
        <v>400</v>
      </c>
      <c r="AG282" s="81"/>
      <c r="AJ282" s="87" t="s">
        <v>89</v>
      </c>
      <c r="AK282" s="87">
        <v>1</v>
      </c>
      <c r="BB282" s="290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401</v>
      </c>
      <c r="B283" s="63" t="s">
        <v>402</v>
      </c>
      <c r="C283" s="36">
        <v>4301137012</v>
      </c>
      <c r="D283" s="302">
        <v>4620207491935</v>
      </c>
      <c r="E283" s="302"/>
      <c r="F283" s="62">
        <v>0.3</v>
      </c>
      <c r="G283" s="37">
        <v>9</v>
      </c>
      <c r="H283" s="62">
        <v>2.7</v>
      </c>
      <c r="I283" s="62">
        <v>2.9249999999999998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30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3" s="304"/>
      <c r="R283" s="304"/>
      <c r="S283" s="304"/>
      <c r="T283" s="30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285</v>
      </c>
      <c r="AG283" s="81"/>
      <c r="AJ283" s="87" t="s">
        <v>89</v>
      </c>
      <c r="AK283" s="87">
        <v>1</v>
      </c>
      <c r="BB283" s="292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5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311"/>
      <c r="P284" s="308" t="s">
        <v>40</v>
      </c>
      <c r="Q284" s="309"/>
      <c r="R284" s="309"/>
      <c r="S284" s="309"/>
      <c r="T284" s="309"/>
      <c r="U284" s="309"/>
      <c r="V284" s="310"/>
      <c r="W284" s="42" t="s">
        <v>39</v>
      </c>
      <c r="X284" s="43">
        <f>IFERROR(SUM(X274:X283),"0")</f>
        <v>0</v>
      </c>
      <c r="Y284" s="43">
        <f>IFERROR(SUM(Y274:Y283),"0")</f>
        <v>0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311"/>
      <c r="P285" s="308" t="s">
        <v>40</v>
      </c>
      <c r="Q285" s="309"/>
      <c r="R285" s="309"/>
      <c r="S285" s="309"/>
      <c r="T285" s="309"/>
      <c r="U285" s="309"/>
      <c r="V285" s="310"/>
      <c r="W285" s="42" t="s">
        <v>0</v>
      </c>
      <c r="X285" s="43">
        <f>IFERROR(SUMPRODUCT(X274:X283*H274:H283),"0")</f>
        <v>0</v>
      </c>
      <c r="Y285" s="43">
        <f>IFERROR(SUMPRODUCT(Y274:Y283*H274:H283),"0")</f>
        <v>0</v>
      </c>
      <c r="Z285" s="42"/>
      <c r="AA285" s="67"/>
      <c r="AB285" s="67"/>
      <c r="AC285" s="67"/>
    </row>
    <row r="286" spans="1:68" ht="15" customHeight="1" x14ac:dyDescent="0.25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300"/>
      <c r="P286" s="296" t="s">
        <v>33</v>
      </c>
      <c r="Q286" s="297"/>
      <c r="R286" s="297"/>
      <c r="S286" s="297"/>
      <c r="T286" s="297"/>
      <c r="U286" s="297"/>
      <c r="V286" s="298"/>
      <c r="W286" s="42" t="s">
        <v>0</v>
      </c>
      <c r="X286" s="43">
        <f>IFERROR(X31+X37+X44+X50+X58+X63+X67+X73+X79+X84+X90+X100+X106+X118+X122+X126+X134+X140+X146+X152+X159+X164+X169+X174+X180+X184+X190+X196+X201+X210+X216+X222+X228+X233+X239+X245+X249+X255+X259+X266+X272+X285,"0")</f>
        <v>0</v>
      </c>
      <c r="Y286" s="43">
        <f>IFERROR(Y31+Y37+Y44+Y50+Y58+Y63+Y67+Y73+Y79+Y84+Y90+Y100+Y106+Y118+Y122+Y126+Y134+Y140+Y146+Y152+Y159+Y164+Y169+Y174+Y180+Y184+Y190+Y196+Y201+Y210+Y216+Y222+Y228+Y233+Y239+Y245+Y249+Y255+Y259+Y266+Y272+Y285,"0")</f>
        <v>0</v>
      </c>
      <c r="Z286" s="42"/>
      <c r="AA286" s="67"/>
      <c r="AB286" s="67"/>
      <c r="AC286" s="67"/>
    </row>
    <row r="287" spans="1:68" x14ac:dyDescent="0.25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300"/>
      <c r="P287" s="296" t="s">
        <v>34</v>
      </c>
      <c r="Q287" s="297"/>
      <c r="R287" s="297"/>
      <c r="S287" s="297"/>
      <c r="T287" s="297"/>
      <c r="U287" s="297"/>
      <c r="V287" s="298"/>
      <c r="W287" s="42" t="s">
        <v>0</v>
      </c>
      <c r="X287" s="43">
        <f>IFERROR(SUM(BM22:BM283),"0")</f>
        <v>0</v>
      </c>
      <c r="Y287" s="43">
        <f>IFERROR(SUM(BN22:BN283),"0")</f>
        <v>0</v>
      </c>
      <c r="Z287" s="42"/>
      <c r="AA287" s="67"/>
      <c r="AB287" s="67"/>
      <c r="AC287" s="67"/>
    </row>
    <row r="288" spans="1:68" x14ac:dyDescent="0.25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300"/>
      <c r="P288" s="296" t="s">
        <v>35</v>
      </c>
      <c r="Q288" s="297"/>
      <c r="R288" s="297"/>
      <c r="S288" s="297"/>
      <c r="T288" s="297"/>
      <c r="U288" s="297"/>
      <c r="V288" s="298"/>
      <c r="W288" s="42" t="s">
        <v>20</v>
      </c>
      <c r="X288" s="44">
        <f>ROUNDUP(SUM(BO22:BO283),0)</f>
        <v>0</v>
      </c>
      <c r="Y288" s="44">
        <f>ROUNDUP(SUM(BP22:BP283),0)</f>
        <v>0</v>
      </c>
      <c r="Z288" s="42"/>
      <c r="AA288" s="67"/>
      <c r="AB288" s="67"/>
      <c r="AC288" s="67"/>
    </row>
    <row r="289" spans="1:32" x14ac:dyDescent="0.25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300"/>
      <c r="P289" s="296" t="s">
        <v>36</v>
      </c>
      <c r="Q289" s="297"/>
      <c r="R289" s="297"/>
      <c r="S289" s="297"/>
      <c r="T289" s="297"/>
      <c r="U289" s="297"/>
      <c r="V289" s="298"/>
      <c r="W289" s="42" t="s">
        <v>0</v>
      </c>
      <c r="X289" s="43">
        <f>GrossWeightTotal+PalletQtyTotal*25</f>
        <v>0</v>
      </c>
      <c r="Y289" s="43">
        <f>GrossWeightTotalR+PalletQtyTotalR*25</f>
        <v>0</v>
      </c>
      <c r="Z289" s="42"/>
      <c r="AA289" s="67"/>
      <c r="AB289" s="67"/>
      <c r="AC289" s="67"/>
    </row>
    <row r="290" spans="1:32" x14ac:dyDescent="0.25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300"/>
      <c r="P290" s="296" t="s">
        <v>37</v>
      </c>
      <c r="Q290" s="297"/>
      <c r="R290" s="297"/>
      <c r="S290" s="297"/>
      <c r="T290" s="297"/>
      <c r="U290" s="297"/>
      <c r="V290" s="298"/>
      <c r="W290" s="42" t="s">
        <v>20</v>
      </c>
      <c r="X290" s="43">
        <f>IFERROR(X30+X36+X43+X49+X57+X62+X66+X72+X78+X83+X89+X99+X105+X117+X121+X125+X133+X139+X145+X151+X158+X163+X168+X173+X179+X183+X189+X195+X200+X209+X215+X221+X227+X232+X238+X244+X248+X254+X258+X265+X271+X284,"0")</f>
        <v>0</v>
      </c>
      <c r="Y290" s="43">
        <f>IFERROR(Y30+Y36+Y43+Y49+Y57+Y62+Y66+Y72+Y78+Y83+Y89+Y99+Y105+Y117+Y121+Y125+Y133+Y139+Y145+Y151+Y158+Y163+Y168+Y173+Y179+Y183+Y189+Y195+Y200+Y209+Y215+Y221+Y227+Y232+Y238+Y244+Y248+Y254+Y258+Y265+Y271+Y284,"0")</f>
        <v>0</v>
      </c>
      <c r="Z290" s="42"/>
      <c r="AA290" s="67"/>
      <c r="AB290" s="67"/>
      <c r="AC290" s="67"/>
    </row>
    <row r="291" spans="1:32" ht="15.6" x14ac:dyDescent="0.25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300"/>
      <c r="P291" s="296" t="s">
        <v>38</v>
      </c>
      <c r="Q291" s="297"/>
      <c r="R291" s="297"/>
      <c r="S291" s="297"/>
      <c r="T291" s="297"/>
      <c r="U291" s="297"/>
      <c r="V291" s="298"/>
      <c r="W291" s="45" t="s">
        <v>52</v>
      </c>
      <c r="X291" s="42"/>
      <c r="Y291" s="42"/>
      <c r="Z291" s="42">
        <f>IFERROR(Z30+Z36+Z43+Z49+Z57+Z62+Z66+Z72+Z78+Z83+Z89+Z99+Z105+Z117+Z121+Z125+Z133+Z139+Z145+Z151+Z158+Z163+Z168+Z173+Z179+Z183+Z189+Z195+Z200+Z209+Z215+Z221+Z227+Z232+Z238+Z244+Z248+Z254+Z258+Z265+Z271+Z284,"0")</f>
        <v>0</v>
      </c>
      <c r="AA291" s="67"/>
      <c r="AB291" s="67"/>
      <c r="AC291" s="67"/>
    </row>
    <row r="292" spans="1:32" ht="13.8" thickBot="1" x14ac:dyDescent="0.3"/>
    <row r="293" spans="1:32" ht="28.8" thickTop="1" thickBot="1" x14ac:dyDescent="0.3">
      <c r="A293" s="46" t="s">
        <v>9</v>
      </c>
      <c r="B293" s="293" t="s">
        <v>81</v>
      </c>
      <c r="C293" s="293" t="s">
        <v>81</v>
      </c>
      <c r="D293" s="293" t="s">
        <v>45</v>
      </c>
      <c r="E293" s="293" t="s">
        <v>45</v>
      </c>
      <c r="F293" s="293" t="s">
        <v>45</v>
      </c>
      <c r="G293" s="293" t="s">
        <v>45</v>
      </c>
      <c r="H293" s="293" t="s">
        <v>45</v>
      </c>
      <c r="I293" s="293" t="s">
        <v>45</v>
      </c>
      <c r="J293" s="293" t="s">
        <v>45</v>
      </c>
      <c r="K293" s="293" t="s">
        <v>45</v>
      </c>
      <c r="L293" s="293" t="s">
        <v>45</v>
      </c>
      <c r="M293" s="293" t="s">
        <v>45</v>
      </c>
      <c r="N293" s="301"/>
      <c r="O293" s="293" t="s">
        <v>45</v>
      </c>
      <c r="P293" s="293" t="s">
        <v>45</v>
      </c>
      <c r="Q293" s="293" t="s">
        <v>45</v>
      </c>
      <c r="R293" s="293" t="s">
        <v>45</v>
      </c>
      <c r="S293" s="293" t="s">
        <v>45</v>
      </c>
      <c r="T293" s="293" t="s">
        <v>45</v>
      </c>
      <c r="U293" s="293" t="s">
        <v>45</v>
      </c>
      <c r="V293" s="293" t="s">
        <v>275</v>
      </c>
      <c r="W293" s="293" t="s">
        <v>275</v>
      </c>
      <c r="X293" s="293" t="s">
        <v>275</v>
      </c>
      <c r="Y293" s="88" t="s">
        <v>302</v>
      </c>
      <c r="Z293" s="293" t="s">
        <v>316</v>
      </c>
      <c r="AA293" s="293" t="s">
        <v>316</v>
      </c>
      <c r="AB293" s="293" t="s">
        <v>316</v>
      </c>
      <c r="AC293" s="88" t="s">
        <v>341</v>
      </c>
      <c r="AD293" s="88" t="s">
        <v>346</v>
      </c>
      <c r="AE293" s="88" t="s">
        <v>354</v>
      </c>
      <c r="AF293" s="88" t="s">
        <v>276</v>
      </c>
    </row>
    <row r="294" spans="1:32" ht="14.25" customHeight="1" thickTop="1" x14ac:dyDescent="0.25">
      <c r="A294" s="294" t="s">
        <v>10</v>
      </c>
      <c r="B294" s="293" t="s">
        <v>81</v>
      </c>
      <c r="C294" s="293" t="s">
        <v>106</v>
      </c>
      <c r="D294" s="293" t="s">
        <v>112</v>
      </c>
      <c r="E294" s="293" t="s">
        <v>123</v>
      </c>
      <c r="F294" s="293" t="s">
        <v>130</v>
      </c>
      <c r="G294" s="293" t="s">
        <v>141</v>
      </c>
      <c r="H294" s="293" t="s">
        <v>157</v>
      </c>
      <c r="I294" s="293" t="s">
        <v>164</v>
      </c>
      <c r="J294" s="293" t="s">
        <v>168</v>
      </c>
      <c r="K294" s="293" t="s">
        <v>176</v>
      </c>
      <c r="L294" s="293" t="s">
        <v>192</v>
      </c>
      <c r="M294" s="293" t="s">
        <v>198</v>
      </c>
      <c r="N294" s="1"/>
      <c r="O294" s="293" t="s">
        <v>226</v>
      </c>
      <c r="P294" s="293" t="s">
        <v>244</v>
      </c>
      <c r="Q294" s="293" t="s">
        <v>251</v>
      </c>
      <c r="R294" s="293" t="s">
        <v>257</v>
      </c>
      <c r="S294" s="293" t="s">
        <v>265</v>
      </c>
      <c r="T294" s="293" t="s">
        <v>268</v>
      </c>
      <c r="U294" s="293" t="s">
        <v>272</v>
      </c>
      <c r="V294" s="293" t="s">
        <v>276</v>
      </c>
      <c r="W294" s="293" t="s">
        <v>292</v>
      </c>
      <c r="X294" s="293" t="s">
        <v>299</v>
      </c>
      <c r="Y294" s="293" t="s">
        <v>303</v>
      </c>
      <c r="Z294" s="293" t="s">
        <v>317</v>
      </c>
      <c r="AA294" s="293" t="s">
        <v>330</v>
      </c>
      <c r="AB294" s="293" t="s">
        <v>337</v>
      </c>
      <c r="AC294" s="293" t="s">
        <v>342</v>
      </c>
      <c r="AD294" s="293" t="s">
        <v>347</v>
      </c>
      <c r="AE294" s="293" t="s">
        <v>354</v>
      </c>
      <c r="AF294" s="293" t="s">
        <v>276</v>
      </c>
    </row>
    <row r="295" spans="1:32" ht="13.8" thickBot="1" x14ac:dyDescent="0.3">
      <c r="A295" s="295"/>
      <c r="B295" s="293"/>
      <c r="C295" s="293"/>
      <c r="D295" s="293"/>
      <c r="E295" s="293"/>
      <c r="F295" s="293"/>
      <c r="G295" s="293"/>
      <c r="H295" s="293"/>
      <c r="I295" s="293"/>
      <c r="J295" s="293"/>
      <c r="K295" s="293"/>
      <c r="L295" s="293"/>
      <c r="M295" s="293"/>
      <c r="N295" s="1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  <c r="AA295" s="293"/>
      <c r="AB295" s="293"/>
      <c r="AC295" s="293"/>
      <c r="AD295" s="293"/>
      <c r="AE295" s="293"/>
      <c r="AF295" s="293"/>
    </row>
    <row r="296" spans="1:32" ht="15" thickTop="1" thickBot="1" x14ac:dyDescent="0.3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0</v>
      </c>
      <c r="C296" s="52">
        <f>IFERROR(X34*H34,"0")+IFERROR(X35*H35,"0")</f>
        <v>0</v>
      </c>
      <c r="D296" s="52">
        <f>IFERROR(X41*H41,"0")+IFERROR(X42*H42,"0")</f>
        <v>0</v>
      </c>
      <c r="E296" s="52">
        <f>IFERROR(X47*H47,"0")+IFERROR(X48*H48,"0")</f>
        <v>0</v>
      </c>
      <c r="F296" s="52">
        <f>IFERROR(X53*H53,"0")+IFERROR(X54*H54,"0")+IFERROR(X55*H55,"0")+IFERROR(X56*H56,"0")</f>
        <v>0</v>
      </c>
      <c r="G296" s="52">
        <f>IFERROR(X61*H61,"0")+IFERROR(X65*H65,"0")+IFERROR(X69*H69,"0")+IFERROR(X70*H70,"0")+IFERROR(X71*H71,"0")</f>
        <v>0</v>
      </c>
      <c r="H296" s="52">
        <f>IFERROR(X76*H76,"0")+IFERROR(X77*H77,"0")</f>
        <v>0</v>
      </c>
      <c r="I296" s="52">
        <f>IFERROR(X82*H82,"0")</f>
        <v>0</v>
      </c>
      <c r="J296" s="52">
        <f>IFERROR(X87*H87,"0")+IFERROR(X88*H88,"0")</f>
        <v>0</v>
      </c>
      <c r="K296" s="52">
        <f>IFERROR(X93*H93,"0")+IFERROR(X94*H94,"0")+IFERROR(X95*H95,"0")+IFERROR(X96*H96,"0")+IFERROR(X97*H97,"0")+IFERROR(X98*H98,"0")</f>
        <v>0</v>
      </c>
      <c r="L296" s="52">
        <f>IFERROR(X103*H103,"0")+IFERROR(X104*H104,"0")</f>
        <v>0</v>
      </c>
      <c r="M296" s="52">
        <f>IFERROR(X109*H109,"0")+IFERROR(X110*H110,"0")+IFERROR(X111*H111,"0")+IFERROR(X112*H112,"0")+IFERROR(X113*H113,"0")+IFERROR(X114*H114,"0")+IFERROR(X115*H115,"0")+IFERROR(X116*H116,"0")+IFERROR(X120*H120,"0")+IFERROR(X124*H124,"0")</f>
        <v>0</v>
      </c>
      <c r="N296" s="1"/>
      <c r="O296" s="52">
        <f>IFERROR(X129*H129,"0")+IFERROR(X130*H130,"0")+IFERROR(X131*H131,"0")+IFERROR(X132*H132,"0")+IFERROR(X136*H136,"0")+IFERROR(X137*H137,"0")+IFERROR(X138*H138,"0")</f>
        <v>0</v>
      </c>
      <c r="P296" s="52">
        <f>IFERROR(X143*H143,"0")+IFERROR(X144*H144,"0")</f>
        <v>0</v>
      </c>
      <c r="Q296" s="52">
        <f>IFERROR(X149*H149,"0")+IFERROR(X150*H150,"0")</f>
        <v>0</v>
      </c>
      <c r="R296" s="52">
        <f>IFERROR(X155*H155,"0")+IFERROR(X156*H156,"0")+IFERROR(X157*H157,"0")</f>
        <v>0</v>
      </c>
      <c r="S296" s="52">
        <f>IFERROR(X162*H162,"0")</f>
        <v>0</v>
      </c>
      <c r="T296" s="52">
        <f>IFERROR(X167*H167,"0")</f>
        <v>0</v>
      </c>
      <c r="U296" s="52">
        <f>IFERROR(X172*H172,"0")</f>
        <v>0</v>
      </c>
      <c r="V296" s="52">
        <f>IFERROR(X178*H178,"0")+IFERROR(X182*H182,"0")+IFERROR(X186*H186,"0")+IFERROR(X187*H187,"0")+IFERROR(X188*H188,"0")</f>
        <v>0</v>
      </c>
      <c r="W296" s="52">
        <f>IFERROR(X193*H193,"0")+IFERROR(X194*H194,"0")</f>
        <v>0</v>
      </c>
      <c r="X296" s="52">
        <f>IFERROR(X199*H199,"0")</f>
        <v>0</v>
      </c>
      <c r="Y296" s="52">
        <f>IFERROR(X205*H205,"0")+IFERROR(X206*H206,"0")+IFERROR(X207*H207,"0")+IFERROR(X208*H208,"0")</f>
        <v>0</v>
      </c>
      <c r="Z296" s="52">
        <f>IFERROR(X214*H214,"0")+IFERROR(X218*H218,"0")+IFERROR(X219*H219,"0")+IFERROR(X220*H220,"0")</f>
        <v>0</v>
      </c>
      <c r="AA296" s="52">
        <f>IFERROR(X225*H225,"0")+IFERROR(X226*H226,"0")</f>
        <v>0</v>
      </c>
      <c r="AB296" s="52">
        <f>IFERROR(X231*H231,"0")</f>
        <v>0</v>
      </c>
      <c r="AC296" s="52">
        <f>IFERROR(X237*H237,"0")</f>
        <v>0</v>
      </c>
      <c r="AD296" s="52">
        <f>IFERROR(X243*H243,"0")+IFERROR(X247*H247,"0")</f>
        <v>0</v>
      </c>
      <c r="AE296" s="52">
        <f>IFERROR(X253*H253,"0")+IFERROR(X257*H257,"0")</f>
        <v>0</v>
      </c>
      <c r="AF296" s="52">
        <f>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0</v>
      </c>
    </row>
    <row r="297" spans="1:32" ht="13.8" thickTop="1" x14ac:dyDescent="0.25">
      <c r="C297" s="1"/>
    </row>
    <row r="298" spans="1:32" ht="19.5" customHeight="1" x14ac:dyDescent="0.25">
      <c r="A298" s="70" t="s">
        <v>62</v>
      </c>
      <c r="B298" s="70" t="s">
        <v>63</v>
      </c>
      <c r="C298" s="70" t="s">
        <v>65</v>
      </c>
    </row>
    <row r="299" spans="1:32" x14ac:dyDescent="0.25">
      <c r="A299" s="71">
        <f>SUMPRODUCT(--(BB:BB="ЗПФ"),--(W:W="кор"),H:H,Y:Y)+SUMPRODUCT(--(BB:BB="ЗПФ"),--(W:W="кг"),Y:Y)</f>
        <v>0</v>
      </c>
      <c r="B299" s="72">
        <f>SUMPRODUCT(--(BB:BB="ПГП"),--(W:W="кор"),H:H,Y:Y)+SUMPRODUCT(--(BB:BB="ПГП"),--(W:W="кг"),Y:Y)</f>
        <v>0</v>
      </c>
      <c r="C299" s="72">
        <f>SUMPRODUCT(--(BB:BB="КИЗ"),--(W:W="кор"),H:H,Y:Y)+SUMPRODUCT(--(BB:BB="КИЗ"),--(W:W="кг"),Y:Y)</f>
        <v>0</v>
      </c>
    </row>
  </sheetData>
  <sheetProtection algorithmName="SHA-512" hashValue="ofFKSS2ywIOBzf/QutpP4bXbA+os7UwYc3MX3NRMkfgFR64BiNtCi5MQNoqJmbShk13cVrnAoELhBxCOkjnZSQ==" saltValue="ckRqYRwYCnKA7x9xkd9I+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T294:T295"/>
    <mergeCell ref="U294:U295"/>
    <mergeCell ref="V294:V295"/>
    <mergeCell ref="W294:W295"/>
    <mergeCell ref="X294:X29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V293:X293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Z293:AB29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19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">
      <formula1>IF(AK23&gt;0,OR(X23=0,AND(IF(X23-AK23&gt;=0,TRUE,FALSE),X23&gt;0)),FALSE)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">
      <formula1>IF(AK24&gt;0,OR(X24=0,AND(IF(X24-AK24&gt;=0,TRUE,FALSE),X24&gt;0)),FALSE)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">
      <formula1>IF(AK25&gt;0,OR(X25=0,AND(IF(X25-AK25&gt;=0,TRUE,FALSE),X25&gt;0)),FALSE)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">
      <formula1>IF(AK26&gt;0,OR(X26=0,AND(IF(X26-AK26&gt;=0,TRUE,FALSE),X26&gt;0)),FALSE)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">
      <formula1>IF(AK27&gt;0,OR(X27=0,AND(IF(X27-AK27&gt;=0,TRUE,FALSE),X27&gt;0)),FALSE)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">
      <formula1>IF(AK28&gt;0,OR(X28=0,AND(IF(X28-AK28&gt;=0,TRUE,FALSE),X28&gt;0)),FALSE)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9">
      <formula1>IF(AK29&gt;0,OR(X29=0,AND(IF(X29-AK29&gt;=0,TRUE,FALSE),X29&gt;0)),FALSE)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4">
      <formula1>IF(AK34&gt;0,OR(X34=0,AND(IF(X34-AK34&gt;=0,TRUE,FALSE),X34&gt;0)),FALSE)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5">
      <formula1>IF(AK35&gt;0,OR(X35=0,AND(IF(X35-AK35&gt;=0,TRUE,FALSE),X35&gt;0)),FALSE)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">
      <formula1>IF(AK41&gt;0,OR(X41=0,AND(IF(X41-AK41&gt;=0,TRUE,FALSE),X41&gt;0,IF(X41/K41=ROUND(X41/K41,0),TRUE,FALSE))),FALSE)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2">
      <formula1>IF(AK42&gt;0,OR(X42=0,AND(IF(X42-AK42&gt;=0,TRUE,FALSE),X42&gt;0)),FALSE)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47">
      <formula1>IF(AK47&gt;0,OR(X47=0,AND(IF(X47-AK47&gt;=0,TRUE,FALSE),X47&gt;0)),FALSE)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8">
      <formula1>IF(AK48&gt;0,OR(X48=0,AND(IF(X48-AK48&gt;=0,TRUE,FALSE),X48&gt;0,IF(X48/K48=ROUND(X48/K48,0),TRUE,FALSE))),FALSE)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3">
      <formula1>IF(AK53&gt;0,OR(X53=0,AND(IF(X53-AK53&gt;=0,TRUE,FALSE),X53&gt;0,IF(X53/K53=ROUND(X53/K53,0),TRUE,FALSE))),FALSE)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4">
      <formula1>IF(AK54&gt;0,OR(X54=0,AND(IF(X54-AK54&gt;=0,TRUE,FALSE),X54&gt;0,IF(X54/K54=ROUND(X54/K54,0),TRUE,FALSE))),FALSE)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5">
      <formula1>IF(AK55&gt;0,OR(X55=0,AND(IF(X55-AK55&gt;=0,TRUE,FALSE),X55&gt;0,IF(X55/K55=ROUND(X55/K55,0),TRUE,FALSE))),FALSE)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6">
      <formula1>IF(AK56&gt;0,OR(X56=0,AND(IF(X56-AK56&gt;=0,TRUE,FALSE),X56&gt;0,IF(X56/K56=ROUND(X56/K56,0),TRUE,FALSE))),FALSE)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1">
      <formula1>IF(AK61&gt;0,OR(X61=0,AND(IF(X61-AK61&gt;=0,TRUE,FALSE),X61&gt;0)),FALSE)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5">
      <formula1>IF(AK65&gt;0,OR(X65=0,AND(IF(X65-AK65&gt;=0,TRUE,FALSE),X65&gt;0)),FALSE)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9">
      <formula1>IF(AK69&gt;0,OR(X69=0,AND(IF(X69-AK69&gt;=0,TRUE,FALSE),X69&gt;0)),FALSE)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0">
      <formula1>IF(AK70&gt;0,OR(X70=0,AND(IF(X70-AK70&gt;=0,TRUE,FALSE),X70&gt;0,IF(X70/K70=ROUND(X70/K70,0),TRUE,FALSE))),FALSE)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1">
      <formula1>IF(AK71&gt;0,OR(X71=0,AND(IF(X71-AK71&gt;=0,TRUE,FALSE),X71&gt;0,IF(X71/K71=ROUND(X71/K71,0),TRUE,FALSE))),FALSE)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6">
      <formula1>IF(AK76&gt;0,OR(X76=0,AND(IF(X76-AK76&gt;=0,TRUE,FALSE),X76&gt;0,IF(X76/K76=ROUND(X76/K76,0),TRUE,FALSE))),FALSE)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7">
      <formula1>IF(AK77&gt;0,OR(X77=0,AND(IF(X77-AK77&gt;=0,TRUE,FALSE),X77&gt;0,IF(X77/K77=ROUND(X77/K77,0),TRUE,FALSE))),FALSE)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2">
      <formula1>IF(AK82&gt;0,OR(X82=0,AND(IF(X82-AK82&gt;=0,TRUE,FALSE),X82&gt;0)),FALSE)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7">
      <formula1>IF(AK87&gt;0,OR(X87=0,AND(IF(X87-AK87&gt;=0,TRUE,FALSE),X87&gt;0,IF(X87/K87=ROUND(X87/K87,0),TRUE,FALSE))),FALSE)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8">
      <formula1>IF(AK88&gt;0,OR(X88=0,AND(IF(X88-AK88&gt;=0,TRUE,FALSE),X88&gt;0,IF(X88/K88=ROUND(X88/K88,0),TRUE,FALSE))),FALSE)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3">
      <formula1>IF(AK93&gt;0,OR(X93=0,AND(IF(X93-AK93&gt;=0,TRUE,FALSE),X93&gt;0,IF(X93/K93=ROUND(X93/K93,0),TRUE,FALSE))),FALSE)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4">
      <formula1>IF(AK94&gt;0,OR(X94=0,AND(IF(X94-AK94&gt;=0,TRUE,FALSE),X94&gt;0)),FALSE)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5">
      <formula1>IF(AK95&gt;0,OR(X95=0,AND(IF(X95-AK95&gt;=0,TRUE,FALSE),X95&gt;0)),FALSE)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6">
      <formula1>IF(AK96&gt;0,OR(X96=0,AND(IF(X96-AK96&gt;=0,TRUE,FALSE),X96&gt;0)),FALSE)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97">
      <formula1>IF(AK97&gt;0,OR(X97=0,AND(IF(X97-AK97&gt;=0,TRUE,FALSE),X97&gt;0)),FALSE)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8">
      <formula1>IF(AK98&gt;0,OR(X98=0,AND(IF(X98-AK98&gt;=0,TRUE,FALSE),X98&gt;0,IF(X98/K98=ROUND(X98/K98,0),TRUE,FALSE))),FALSE)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3">
      <formula1>IF(AK103&gt;0,OR(X103=0,AND(IF(X103-AK103&gt;=0,TRUE,FALSE),X103&gt;0)),FALSE)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4">
      <formula1>IF(AK104&gt;0,OR(X104=0,AND(IF(X104-AK104&gt;=0,TRUE,FALSE),X104&gt;0)),FALSE)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9">
      <formula1>IF(AK109&gt;0,OR(X109=0,AND(IF(X109-AK109&gt;=0,TRUE,FALSE),X109&gt;0,IF(X109/K109=ROUND(X109/K109,0),TRUE,FALSE))),FALSE)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0">
      <formula1>IF(AK110&gt;0,OR(X110=0,AND(IF(X110-AK110&gt;=0,TRUE,FALSE),X110&gt;0)),FALSE)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1">
      <formula1>IF(AK111&gt;0,OR(X111=0,AND(IF(X111-AK111&gt;=0,TRUE,FALSE),X111&gt;0,IF(X111/K111=ROUND(X111/K111,0),TRUE,FALSE))),FALSE)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2">
      <formula1>IF(AK112&gt;0,OR(X112=0,AND(IF(X112-AK112&gt;=0,TRUE,FALSE),X112&gt;0,IF(X112/K112=ROUND(X112/K112,0),TRUE,FALSE))),FALSE)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3">
      <formula1>IF(AK113&gt;0,OR(X113=0,AND(IF(X113-AK113&gt;=0,TRUE,FALSE),X113&gt;0)),FALSE)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4">
      <formula1>IF(AK114&gt;0,OR(X114=0,AND(IF(X114-AK114&gt;=0,TRUE,FALSE),X114&gt;0)),FALSE)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5">
      <formula1>IF(AK115&gt;0,OR(X115=0,AND(IF(X115-AK115&gt;=0,TRUE,FALSE),X115&gt;0,IF(X115/K115=ROUND(X115/K115,0),TRUE,FALSE))),FALSE)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6">
      <formula1>IF(AK116&gt;0,OR(X116=0,AND(IF(X116-AK116&gt;=0,TRUE,FALSE),X116&gt;0,IF(X116/K116=ROUND(X116/K116,0),TRUE,FALSE))),FALSE)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0">
      <formula1>IF(AK120&gt;0,OR(X120=0,AND(IF(X120-AK120&gt;=0,TRUE,FALSE),X120&gt;0)),FALSE)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4">
      <formula1>IF(AK124&gt;0,OR(X124=0,AND(IF(X124-AK124&gt;=0,TRUE,FALSE),X124&gt;0)),FALSE)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9">
      <formula1>IF(AK129&gt;0,OR(X129=0,AND(IF(X129-AK129&gt;=0,TRUE,FALSE),X129&gt;0)),FALSE)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0">
      <formula1>IF(AK130&gt;0,OR(X130=0,AND(IF(X130-AK130&gt;=0,TRUE,FALSE),X130&gt;0)),FALSE)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1">
      <formula1>IF(AK131&gt;0,OR(X131=0,AND(IF(X131-AK131&gt;=0,TRUE,FALSE),X131&gt;0)),FALSE)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2">
      <formula1>IF(AK132&gt;0,OR(X132=0,AND(IF(X132-AK132&gt;=0,TRUE,FALSE),X132&gt;0)),FALSE)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6">
      <formula1>IF(AK136&gt;0,OR(X136=0,AND(IF(X136-AK136&gt;=0,TRUE,FALSE),X136&gt;0)),FALSE)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7">
      <formula1>IF(AK137&gt;0,OR(X137=0,AND(IF(X137-AK137&gt;=0,TRUE,FALSE),X137&gt;0)),FALSE)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8">
      <formula1>IF(AK138&gt;0,OR(X138=0,AND(IF(X138-AK138&gt;=0,TRUE,FALSE),X138&gt;0)),FALSE)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3">
      <formula1>IF(AK143&gt;0,OR(X143=0,AND(IF(X143-AK143&gt;=0,TRUE,FALSE),X143&gt;0,IF(X143/K143=ROUND(X143/K143,0),TRUE,FALSE))),FALSE)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4">
      <formula1>IF(AK144&gt;0,OR(X144=0,AND(IF(X144-AK144&gt;=0,TRUE,FALSE),X144&gt;0)),FALSE)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9">
      <formula1>IF(AK149&gt;0,OR(X149=0,AND(IF(X149-AK149&gt;=0,TRUE,FALSE),X149&gt;0)),FALSE)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0">
      <formula1>IF(AK150&gt;0,OR(X150=0,AND(IF(X150-AK150&gt;=0,TRUE,FALSE),X150&gt;0)),FALSE)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5">
      <formula1>IF(AK155&gt;0,OR(X155=0,AND(IF(X155-AK155&gt;=0,TRUE,FALSE),X155&gt;0)),FALSE)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6">
      <formula1>IF(AK156&gt;0,OR(X156=0,AND(IF(X156-AK156&gt;=0,TRUE,FALSE),X156&gt;0)),FALSE)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7">
      <formula1>IF(AK157&gt;0,OR(X157=0,AND(IF(X157-AK157&gt;=0,TRUE,FALSE),X157&gt;0)),FALSE)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62">
      <formula1>IF(AK162&gt;0,OR(X162=0,AND(IF(X162-AK162&gt;=0,TRUE,FALSE),X162&gt;0)),FALSE)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7">
      <formula1>IF(AK167&gt;0,OR(X167=0,AND(IF(X167-AK167&gt;=0,TRUE,FALSE),X167&gt;0,IF(X167/K167=ROUND(X167/K167,0),TRUE,FALSE))),FALSE)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2">
      <formula1>IF(AK172&gt;0,OR(X172=0,AND(IF(X172-AK172&gt;=0,TRUE,FALSE),X172&gt;0)),FALSE)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78">
      <formula1>IF(AK178&gt;0,OR(X178=0,AND(IF(X178-AK178&gt;=0,TRUE,FALSE),X178&gt;0)),FALSE)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2">
      <formula1>IF(AK182&gt;0,OR(X182=0,AND(IF(X182-AK182&gt;=0,TRUE,FALSE),X182&gt;0)),FALSE)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6">
      <formula1>IF(AK186&gt;0,OR(X186=0,AND(IF(X186-AK186&gt;=0,TRUE,FALSE),X186&gt;0)),FALSE)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7">
      <formula1>IF(AK187&gt;0,OR(X187=0,AND(IF(X187-AK187&gt;=0,TRUE,FALSE),X187&gt;0)),FALSE)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8">
      <formula1>IF(AK188&gt;0,OR(X188=0,AND(IF(X188-AK188&gt;=0,TRUE,FALSE),X188&gt;0)),FALSE)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3">
      <formula1>IF(AK193&gt;0,OR(X193=0,AND(IF(X193-AK193&gt;=0,TRUE,FALSE),X193&gt;0,IF(X193/K193=ROUND(X193/K193,0),TRUE,FALSE))),FALSE)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4">
      <formula1>IF(AK194&gt;0,OR(X194=0,AND(IF(X194-AK194&gt;=0,TRUE,FALSE),X194&gt;0,IF(X194/K194=ROUND(X194/K194,0),TRUE,FALSE))),FALSE)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99">
      <formula1>IF(AK199&gt;0,OR(X199=0,AND(IF(X199-AK199&gt;=0,TRUE,FALSE),X199&gt;0)),FALSE)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5">
      <formula1>IF(AK205&gt;0,OR(X205=0,AND(IF(X205-AK205&gt;=0,TRUE,FALSE),X205&gt;0,IF(X205/K205=ROUND(X205/K205,0),TRUE,FALSE))),FALSE)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6">
      <formula1>IF(AK206&gt;0,OR(X206=0,AND(IF(X206-AK206&gt;=0,TRUE,FALSE),X206&gt;0,IF(X206/K206=ROUND(X206/K206,0),TRUE,FALSE))),FALSE)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7">
      <formula1>IF(AK207&gt;0,OR(X207=0,AND(IF(X207-AK207&gt;=0,TRUE,FALSE),X207&gt;0,IF(X207/K207=ROUND(X207/K207,0),TRUE,FALSE))),FALSE)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8">
      <formula1>IF(AK208&gt;0,OR(X208=0,AND(IF(X208-AK208&gt;=0,TRUE,FALSE),X208&gt;0)),FALSE)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4">
      <formula1>IF(AK214&gt;0,OR(X214=0,AND(IF(X214-AK214&gt;=0,TRUE,FALSE),X214&gt;0,IF(X214/K214=ROUND(X214/K214,0),TRUE,FALSE))),FALSE)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8">
      <formula1>IF(AK218&gt;0,OR(X218=0,AND(IF(X218-AK218&gt;=0,TRUE,FALSE),X218&gt;0)),FALSE)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9">
      <formula1>IF(AK219&gt;0,OR(X219=0,AND(IF(X219-AK219&gt;=0,TRUE,FALSE),X219&gt;0,IF(X219/K219=ROUND(X219/K219,0),TRUE,FALSE))),FALSE)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0">
      <formula1>IF(AK220&gt;0,OR(X220=0,AND(IF(X220-AK220&gt;=0,TRUE,FALSE),X220&gt;0,IF(X220/K220=ROUND(X220/K220,0),TRUE,FALSE))),FALSE)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5">
      <formula1>IF(AK225&gt;0,OR(X225=0,AND(IF(X225-AK225&gt;=0,TRUE,FALSE),X225&gt;0)),FALSE)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6">
      <formula1>IF(AK226&gt;0,OR(X226=0,AND(IF(X226-AK226&gt;=0,TRUE,FALSE),X226&gt;0)),FALSE)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31">
      <formula1>IF(AK231&gt;0,OR(X231=0,AND(IF(X231-AK231&gt;=0,TRUE,FALSE),X231&gt;0,IF(X231/K231=ROUND(X231/K231,0),TRUE,FALSE))),FALSE)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7">
      <formula1>IF(AK237&gt;0,OR(X237=0,AND(IF(X237-AK237&gt;=0,TRUE,FALSE),X237&gt;0)),FALSE)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3">
      <formula1>IF(AK243&gt;0,OR(X243=0,AND(IF(X243-AK243&gt;=0,TRUE,FALSE),X243&gt;0)),FALSE)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7">
      <formula1>IF(AK247&gt;0,OR(X247=0,AND(IF(X247-AK247&gt;=0,TRUE,FALSE),X247&gt;0)),FALSE)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3">
      <formula1>IF(AK253&gt;0,OR(X253=0,AND(IF(X253-AK253&gt;=0,TRUE,FALSE),X253&gt;0)),FALSE)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7">
      <formula1>IF(AK257&gt;0,OR(X257=0,AND(IF(X257-AK257&gt;=0,TRUE,FALSE),X257&gt;0)),FALSE)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3">
      <formula1>IF(AK263&gt;0,OR(X263=0,AND(IF(X263-AK263&gt;=0,TRUE,FALSE),X263&gt;0)),FALSE)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">
      <formula1>IF(AK264&gt;0,OR(X264=0,AND(IF(X264-AK264&gt;=0,TRUE,FALSE),X264&gt;0)),FALSE)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">
      <formula1>IF(AK268&gt;0,OR(X268=0,AND(IF(X268-AK268&gt;=0,TRUE,FALSE),X268&gt;0)),FALSE)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9">
      <formula1>IF(AK269&gt;0,OR(X269=0,AND(IF(X269-AK269&gt;=0,TRUE,FALSE),X269&gt;0)),FALSE)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">
      <formula1>IF(AK270&gt;0,OR(X270=0,AND(IF(X270-AK270&gt;=0,TRUE,FALSE),X270&gt;0)),FALSE)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">
      <formula1>IF(AK274&gt;0,OR(X274=0,AND(IF(X274-AK274&gt;=0,TRUE,FALSE),X274&gt;0)),FALSE)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">
      <formula1>IF(AK275&gt;0,OR(X275=0,AND(IF(X275-AK275&gt;=0,TRUE,FALSE),X275&gt;0)),FALSE)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">
      <formula1>IF(AK276&gt;0,OR(X276=0,AND(IF(X276-AK276&gt;=0,TRUE,FALSE),X276&gt;0)),FALSE)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">
      <formula1>IF(AK277&gt;0,OR(X277=0,AND(IF(X277-AK277&gt;=0,TRUE,FALSE),X277&gt;0)),FALSE)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">
      <formula1>IF(AK278&gt;0,OR(X278=0,AND(IF(X278-AK278&gt;=0,TRUE,FALSE),X278&gt;0,IF(X278/K278=ROUND(X278/K278,0),TRUE,FALSE))),FALSE)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">
      <formula1>IF(AK279&gt;0,OR(X279=0,AND(IF(X279-AK279&gt;=0,TRUE,FALSE),X279&gt;0)),FALSE)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0">
      <formula1>IF(AK280&gt;0,OR(X280=0,AND(IF(X280-AK280&gt;=0,TRUE,FALSE),X280&gt;0)),FALSE)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1">
      <formula1>IF(AK281&gt;0,OR(X281=0,AND(IF(X281-AK281&gt;=0,TRUE,FALSE),X281&gt;0)),FALSE)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2">
      <formula1>IF(AK282&gt;0,OR(X282=0,AND(IF(X282-AK282&gt;=0,TRUE,FALSE),X282&gt;0)),FALSE)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3">
      <formula1>IF(AK283&gt;0,OR(X283=0,AND(IF(X283-AK283&gt;=0,TRUE,FALSE),X283&gt;0)),FALSE)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403</v>
      </c>
      <c r="H1" s="9"/>
    </row>
    <row r="3" spans="2:8" x14ac:dyDescent="0.25">
      <c r="B3" s="53" t="s">
        <v>404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405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79</v>
      </c>
      <c r="C6" s="53" t="s">
        <v>406</v>
      </c>
      <c r="D6" s="53" t="s">
        <v>407</v>
      </c>
      <c r="E6" s="53" t="s">
        <v>46</v>
      </c>
    </row>
    <row r="8" spans="2:8" x14ac:dyDescent="0.25">
      <c r="B8" s="53" t="s">
        <v>80</v>
      </c>
      <c r="C8" s="53" t="s">
        <v>406</v>
      </c>
      <c r="D8" s="53" t="s">
        <v>46</v>
      </c>
      <c r="E8" s="53" t="s">
        <v>46</v>
      </c>
    </row>
    <row r="10" spans="2:8" x14ac:dyDescent="0.25">
      <c r="B10" s="53" t="s">
        <v>408</v>
      </c>
      <c r="C10" s="53" t="s">
        <v>46</v>
      </c>
      <c r="D10" s="53" t="s">
        <v>46</v>
      </c>
      <c r="E10" s="53" t="s">
        <v>46</v>
      </c>
    </row>
    <row r="11" spans="2:8" x14ac:dyDescent="0.25">
      <c r="B11" s="53" t="s">
        <v>409</v>
      </c>
      <c r="C11" s="53" t="s">
        <v>46</v>
      </c>
      <c r="D11" s="53" t="s">
        <v>46</v>
      </c>
      <c r="E11" s="53" t="s">
        <v>46</v>
      </c>
    </row>
    <row r="12" spans="2:8" x14ac:dyDescent="0.25">
      <c r="B12" s="53" t="s">
        <v>410</v>
      </c>
      <c r="C12" s="53" t="s">
        <v>46</v>
      </c>
      <c r="D12" s="53" t="s">
        <v>46</v>
      </c>
      <c r="E12" s="53" t="s">
        <v>46</v>
      </c>
    </row>
    <row r="13" spans="2:8" x14ac:dyDescent="0.25">
      <c r="B13" s="53" t="s">
        <v>411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412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413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414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415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416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417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418</v>
      </c>
      <c r="C20" s="53" t="s">
        <v>46</v>
      </c>
      <c r="D20" s="53" t="s">
        <v>46</v>
      </c>
      <c r="E20" s="53" t="s">
        <v>46</v>
      </c>
    </row>
  </sheetData>
  <sheetProtection algorithmName="SHA-512" hashValue="F2MugdeEC/y0UIiem93k/2umnhLZT8ihqJ4EuOTdDC05XeaktxRBQ/OaYj091XWMPfiawx8NxG7CUQM59aF4Vw==" saltValue="pzeRxKSh3LGc+R/cJvC1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450</vt:i4>
      </vt:variant>
    </vt:vector>
  </HeadingPairs>
  <TitlesOfParts>
    <vt:vector size="45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2026-09-19T14:26:54Z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