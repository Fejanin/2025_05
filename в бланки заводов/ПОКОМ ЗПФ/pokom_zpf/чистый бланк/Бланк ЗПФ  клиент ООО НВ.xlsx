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E5753BA9-4DBC-49E4-BC77-49D47CCCBD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2" l="1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82" i="2"/>
  <c r="X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P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X263" i="2"/>
  <c r="X262" i="2"/>
  <c r="BO261" i="2"/>
  <c r="BM261" i="2"/>
  <c r="Z261" i="2"/>
  <c r="Z262" i="2" s="1"/>
  <c r="Y261" i="2"/>
  <c r="Y262" i="2" s="1"/>
  <c r="P261" i="2"/>
  <c r="X259" i="2"/>
  <c r="X258" i="2"/>
  <c r="BO257" i="2"/>
  <c r="BM257" i="2"/>
  <c r="Z257" i="2"/>
  <c r="Y257" i="2"/>
  <c r="P257" i="2"/>
  <c r="BO256" i="2"/>
  <c r="BM256" i="2"/>
  <c r="Z256" i="2"/>
  <c r="Y256" i="2"/>
  <c r="BN256" i="2" s="1"/>
  <c r="P256" i="2"/>
  <c r="X252" i="2"/>
  <c r="X251" i="2"/>
  <c r="BO250" i="2"/>
  <c r="BM250" i="2"/>
  <c r="Z250" i="2"/>
  <c r="Z251" i="2" s="1"/>
  <c r="Y250" i="2"/>
  <c r="Y252" i="2" s="1"/>
  <c r="P250" i="2"/>
  <c r="X246" i="2"/>
  <c r="X245" i="2"/>
  <c r="BO244" i="2"/>
  <c r="BM244" i="2"/>
  <c r="Z244" i="2"/>
  <c r="Z245" i="2" s="1"/>
  <c r="Y244" i="2"/>
  <c r="BN244" i="2" s="1"/>
  <c r="P244" i="2"/>
  <c r="X242" i="2"/>
  <c r="X241" i="2"/>
  <c r="BO240" i="2"/>
  <c r="BM240" i="2"/>
  <c r="Z240" i="2"/>
  <c r="Z241" i="2" s="1"/>
  <c r="Y240" i="2"/>
  <c r="Y242" i="2" s="1"/>
  <c r="P240" i="2"/>
  <c r="X236" i="2"/>
  <c r="X235" i="2"/>
  <c r="BO234" i="2"/>
  <c r="BM234" i="2"/>
  <c r="Z234" i="2"/>
  <c r="Z235" i="2" s="1"/>
  <c r="Y234" i="2"/>
  <c r="BN234" i="2" s="1"/>
  <c r="P234" i="2"/>
  <c r="X230" i="2"/>
  <c r="X229" i="2"/>
  <c r="BO228" i="2"/>
  <c r="BM228" i="2"/>
  <c r="Z228" i="2"/>
  <c r="Z229" i="2" s="1"/>
  <c r="Y228" i="2"/>
  <c r="Y230" i="2" s="1"/>
  <c r="P228" i="2"/>
  <c r="X224" i="2"/>
  <c r="X223" i="2"/>
  <c r="BO222" i="2"/>
  <c r="BM222" i="2"/>
  <c r="Z222" i="2"/>
  <c r="Z223" i="2" s="1"/>
  <c r="Y222" i="2"/>
  <c r="BN222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N211" i="2" s="1"/>
  <c r="P211" i="2"/>
  <c r="X208" i="2"/>
  <c r="X207" i="2"/>
  <c r="BO206" i="2"/>
  <c r="BM206" i="2"/>
  <c r="Z206" i="2"/>
  <c r="Y206" i="2"/>
  <c r="P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X202" i="2"/>
  <c r="X201" i="2"/>
  <c r="BO200" i="2"/>
  <c r="BN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N191" i="2" s="1"/>
  <c r="P191" i="2"/>
  <c r="X187" i="2"/>
  <c r="X186" i="2"/>
  <c r="BO185" i="2"/>
  <c r="BM185" i="2"/>
  <c r="Z185" i="2"/>
  <c r="Y185" i="2"/>
  <c r="P185" i="2"/>
  <c r="BO184" i="2"/>
  <c r="BM184" i="2"/>
  <c r="Z184" i="2"/>
  <c r="Y184" i="2"/>
  <c r="BN184" i="2" s="1"/>
  <c r="P184" i="2"/>
  <c r="X182" i="2"/>
  <c r="X181" i="2"/>
  <c r="BO180" i="2"/>
  <c r="BM180" i="2"/>
  <c r="Z180" i="2"/>
  <c r="Y180" i="2"/>
  <c r="BN180" i="2" s="1"/>
  <c r="P180" i="2"/>
  <c r="BO179" i="2"/>
  <c r="BM179" i="2"/>
  <c r="Z179" i="2"/>
  <c r="Y179" i="2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5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Y148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P133" i="2"/>
  <c r="BO132" i="2"/>
  <c r="BM132" i="2"/>
  <c r="Z132" i="2"/>
  <c r="Y132" i="2"/>
  <c r="BP132" i="2" s="1"/>
  <c r="P132" i="2"/>
  <c r="X129" i="2"/>
  <c r="X128" i="2"/>
  <c r="BO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Y125" i="2" s="1"/>
  <c r="P123" i="2"/>
  <c r="X121" i="2"/>
  <c r="X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N108" i="2" s="1"/>
  <c r="P108" i="2"/>
  <c r="BO107" i="2"/>
  <c r="BM107" i="2"/>
  <c r="Z107" i="2"/>
  <c r="Y107" i="2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Z82" i="2" s="1"/>
  <c r="Y81" i="2"/>
  <c r="P81" i="2"/>
  <c r="BO80" i="2"/>
  <c r="BM80" i="2"/>
  <c r="Z80" i="2"/>
  <c r="Y80" i="2"/>
  <c r="BN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BO73" i="2"/>
  <c r="BM73" i="2"/>
  <c r="Z73" i="2"/>
  <c r="Y73" i="2"/>
  <c r="BN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BN46" i="2" s="1"/>
  <c r="P46" i="2"/>
  <c r="BO45" i="2"/>
  <c r="BM45" i="2"/>
  <c r="Z45" i="2"/>
  <c r="Y45" i="2"/>
  <c r="BN45" i="2" s="1"/>
  <c r="P45" i="2"/>
  <c r="X42" i="2"/>
  <c r="X41" i="2"/>
  <c r="BO40" i="2"/>
  <c r="BM40" i="2"/>
  <c r="Z40" i="2"/>
  <c r="Y40" i="2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P33" i="2"/>
  <c r="BO32" i="2"/>
  <c r="BM32" i="2"/>
  <c r="Z32" i="2"/>
  <c r="Y32" i="2"/>
  <c r="BN32" i="2" s="1"/>
  <c r="P32" i="2"/>
  <c r="X29" i="2"/>
  <c r="X28" i="2"/>
  <c r="BP27" i="2"/>
  <c r="BO27" i="2"/>
  <c r="BN27" i="2"/>
  <c r="BM27" i="2"/>
  <c r="Z27" i="2"/>
  <c r="Y27" i="2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P23" i="2"/>
  <c r="BO23" i="2"/>
  <c r="BN23" i="2"/>
  <c r="BM23" i="2"/>
  <c r="Z23" i="2"/>
  <c r="Y23" i="2"/>
  <c r="P23" i="2"/>
  <c r="BO22" i="2"/>
  <c r="BM22" i="2"/>
  <c r="Z22" i="2"/>
  <c r="Y22" i="2"/>
  <c r="Y29" i="2" s="1"/>
  <c r="P22" i="2"/>
  <c r="H10" i="2"/>
  <c r="A9" i="2"/>
  <c r="F10" i="2" s="1"/>
  <c r="D7" i="2"/>
  <c r="Q6" i="2"/>
  <c r="P2" i="2"/>
  <c r="BN132" i="2" l="1"/>
  <c r="BN101" i="2"/>
  <c r="BN25" i="2"/>
  <c r="Y94" i="2"/>
  <c r="Z153" i="2"/>
  <c r="BN151" i="2"/>
  <c r="Z186" i="2"/>
  <c r="Z213" i="2"/>
  <c r="BN265" i="2"/>
  <c r="BN266" i="2"/>
  <c r="Y88" i="2"/>
  <c r="BN127" i="2"/>
  <c r="BN146" i="2"/>
  <c r="BN276" i="2"/>
  <c r="Y71" i="2"/>
  <c r="BN69" i="2"/>
  <c r="BN75" i="2"/>
  <c r="BN97" i="2"/>
  <c r="BN119" i="2"/>
  <c r="BN123" i="2"/>
  <c r="BP123" i="2"/>
  <c r="Y124" i="2"/>
  <c r="Y135" i="2"/>
  <c r="Y201" i="2"/>
  <c r="Z207" i="2"/>
  <c r="Y223" i="2"/>
  <c r="Y258" i="2"/>
  <c r="Y268" i="2"/>
  <c r="Z56" i="2"/>
  <c r="Z109" i="2"/>
  <c r="Y229" i="2"/>
  <c r="Y241" i="2"/>
  <c r="Z258" i="2"/>
  <c r="Z268" i="2"/>
  <c r="Z93" i="2"/>
  <c r="BN117" i="2"/>
  <c r="Z135" i="2"/>
  <c r="Z147" i="2"/>
  <c r="Y154" i="2"/>
  <c r="BN192" i="2"/>
  <c r="BN205" i="2"/>
  <c r="Y224" i="2"/>
  <c r="BN277" i="2"/>
  <c r="BN92" i="2"/>
  <c r="Y153" i="2"/>
  <c r="Z181" i="2"/>
  <c r="BN115" i="2"/>
  <c r="Z195" i="2"/>
  <c r="BN39" i="2"/>
  <c r="Y42" i="2"/>
  <c r="BN272" i="2"/>
  <c r="Y109" i="2"/>
  <c r="BN107" i="2"/>
  <c r="Y104" i="2"/>
  <c r="X284" i="2"/>
  <c r="BN173" i="2"/>
  <c r="X285" i="2"/>
  <c r="X287" i="2"/>
  <c r="Z34" i="2"/>
  <c r="BP32" i="2"/>
  <c r="Z48" i="2"/>
  <c r="BP46" i="2"/>
  <c r="BP53" i="2"/>
  <c r="Z76" i="2"/>
  <c r="BP80" i="2"/>
  <c r="BP108" i="2"/>
  <c r="Y160" i="2"/>
  <c r="BP180" i="2"/>
  <c r="BP184" i="2"/>
  <c r="BP194" i="2"/>
  <c r="BP217" i="2"/>
  <c r="Y236" i="2"/>
  <c r="BP244" i="2"/>
  <c r="BP73" i="2"/>
  <c r="Y207" i="2"/>
  <c r="BP212" i="2"/>
  <c r="BP234" i="2"/>
  <c r="X283" i="2"/>
  <c r="Z41" i="2"/>
  <c r="Y76" i="2"/>
  <c r="Y110" i="2"/>
  <c r="Z120" i="2"/>
  <c r="Y141" i="2"/>
  <c r="BP152" i="2"/>
  <c r="Z159" i="2"/>
  <c r="BP200" i="2"/>
  <c r="BP228" i="2"/>
  <c r="Y235" i="2"/>
  <c r="Y246" i="2"/>
  <c r="Y251" i="2"/>
  <c r="BP256" i="2"/>
  <c r="BP267" i="2"/>
  <c r="Y34" i="2"/>
  <c r="Y48" i="2"/>
  <c r="BP204" i="2"/>
  <c r="BP250" i="2"/>
  <c r="Z28" i="2"/>
  <c r="Y35" i="2"/>
  <c r="Y57" i="2"/>
  <c r="BP54" i="2"/>
  <c r="Z70" i="2"/>
  <c r="Y83" i="2"/>
  <c r="Z103" i="2"/>
  <c r="BP100" i="2"/>
  <c r="BP107" i="2"/>
  <c r="BP127" i="2"/>
  <c r="Y136" i="2"/>
  <c r="Z141" i="2"/>
  <c r="BP139" i="2"/>
  <c r="BN145" i="2"/>
  <c r="BN163" i="2"/>
  <c r="Y182" i="2"/>
  <c r="Y187" i="2"/>
  <c r="Y196" i="2"/>
  <c r="Y218" i="2"/>
  <c r="BP222" i="2"/>
  <c r="BP240" i="2"/>
  <c r="Y245" i="2"/>
  <c r="BN257" i="2"/>
  <c r="Y259" i="2"/>
  <c r="Y263" i="2"/>
  <c r="BP273" i="2"/>
  <c r="Z281" i="2"/>
  <c r="BP280" i="2"/>
  <c r="BN22" i="2"/>
  <c r="BN60" i="2"/>
  <c r="BN68" i="2"/>
  <c r="BN114" i="2"/>
  <c r="BN158" i="2"/>
  <c r="BN168" i="2"/>
  <c r="BN179" i="2"/>
  <c r="Y213" i="2"/>
  <c r="Y269" i="2"/>
  <c r="Y281" i="2"/>
  <c r="BN40" i="2"/>
  <c r="BN138" i="2"/>
  <c r="BN206" i="2"/>
  <c r="BP60" i="2"/>
  <c r="BP68" i="2"/>
  <c r="BN74" i="2"/>
  <c r="BP158" i="2"/>
  <c r="BP168" i="2"/>
  <c r="BP179" i="2"/>
  <c r="BN185" i="2"/>
  <c r="BN274" i="2"/>
  <c r="BP138" i="2"/>
  <c r="BP206" i="2"/>
  <c r="Y214" i="2"/>
  <c r="Y282" i="2"/>
  <c r="BN26" i="2"/>
  <c r="Y61" i="2"/>
  <c r="BP74" i="2"/>
  <c r="BN81" i="2"/>
  <c r="BN91" i="2"/>
  <c r="BN118" i="2"/>
  <c r="Y159" i="2"/>
  <c r="Y169" i="2"/>
  <c r="BP185" i="2"/>
  <c r="BN193" i="2"/>
  <c r="BN47" i="2"/>
  <c r="Y41" i="2"/>
  <c r="BP145" i="2"/>
  <c r="BN152" i="2"/>
  <c r="BP257" i="2"/>
  <c r="BN271" i="2"/>
  <c r="Y142" i="2"/>
  <c r="BP22" i="2"/>
  <c r="BP40" i="2"/>
  <c r="BN33" i="2"/>
  <c r="BP81" i="2"/>
  <c r="BP91" i="2"/>
  <c r="BN98" i="2"/>
  <c r="BN133" i="2"/>
  <c r="Y186" i="2"/>
  <c r="BN278" i="2"/>
  <c r="BP33" i="2"/>
  <c r="Y82" i="2"/>
  <c r="BP98" i="2"/>
  <c r="BP133" i="2"/>
  <c r="Y208" i="2"/>
  <c r="BN217" i="2"/>
  <c r="BN228" i="2"/>
  <c r="BN240" i="2"/>
  <c r="BN250" i="2"/>
  <c r="BN275" i="2"/>
  <c r="Y49" i="2"/>
  <c r="BN102" i="2"/>
  <c r="Y70" i="2"/>
  <c r="Y181" i="2"/>
  <c r="BN279" i="2"/>
  <c r="BP64" i="2"/>
  <c r="Y103" i="2"/>
  <c r="BN116" i="2"/>
  <c r="Y147" i="2"/>
  <c r="BP163" i="2"/>
  <c r="BN134" i="2"/>
  <c r="F9" i="2"/>
  <c r="BP55" i="2"/>
  <c r="BP173" i="2"/>
  <c r="H9" i="2"/>
  <c r="Y28" i="2"/>
  <c r="BP45" i="2"/>
  <c r="BN52" i="2"/>
  <c r="Y93" i="2"/>
  <c r="BP99" i="2"/>
  <c r="Y120" i="2"/>
  <c r="Y128" i="2"/>
  <c r="BN140" i="2"/>
  <c r="Y195" i="2"/>
  <c r="BP211" i="2"/>
  <c r="BN261" i="2"/>
  <c r="BN24" i="2"/>
  <c r="J9" i="2"/>
  <c r="Y56" i="2"/>
  <c r="Y65" i="2"/>
  <c r="Y77" i="2"/>
  <c r="BN86" i="2"/>
  <c r="Y164" i="2"/>
  <c r="Y174" i="2"/>
  <c r="BP191" i="2"/>
  <c r="BN113" i="2"/>
  <c r="BN157" i="2"/>
  <c r="BP261" i="2"/>
  <c r="A10" i="2"/>
  <c r="Y121" i="2"/>
  <c r="BN64" i="2"/>
  <c r="BP52" i="2"/>
  <c r="BP86" i="2"/>
  <c r="X286" i="2" l="1"/>
  <c r="Y285" i="2"/>
  <c r="Y283" i="2"/>
  <c r="Z288" i="2"/>
  <c r="Y287" i="2"/>
  <c r="Y284" i="2"/>
  <c r="Y286" i="2" l="1"/>
  <c r="A296" i="2" s="1"/>
  <c r="C296" i="2"/>
  <c r="B296" i="2"/>
</calcChain>
</file>

<file path=xl/sharedStrings.xml><?xml version="1.0" encoding="utf-8"?>
<sst xmlns="http://schemas.openxmlformats.org/spreadsheetml/2006/main" count="1760" uniqueCount="418">
  <si>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</si>
  <si>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</si>
  <si>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</si>
  <si>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</si>
  <si>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</si>
  <si>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</si>
  <si>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</si>
  <si>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</si>
  <si>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</si>
  <si>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</si>
  <si>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</si>
  <si>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</si>
  <si>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</si>
  <si>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</si>
  <si>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</si>
  <si>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</si>
  <si>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</si>
  <si>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</si>
  <si>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</si>
  <si>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</si>
  <si>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</si>
  <si>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</si>
  <si>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</si>
  <si>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</si>
  <si>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</si>
  <si>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</si>
  <si>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</si>
  <si>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</si>
  <si>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</si>
  <si>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</si>
  <si>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</si>
  <si>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</si>
  <si>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</si>
  <si>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</si>
  <si>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</si>
  <si>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</si>
  <si>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</si>
  <si>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</si>
  <si>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</si>
  <si>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</si>
  <si>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</si>
  <si>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</si>
  <si>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</si>
  <si>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</si>
  <si>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</si>
  <si>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</si>
  <si>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</si>
  <si>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</si>
  <si>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</si>
  <si>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</si>
  <si>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</si>
  <si>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</si>
  <si>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</si>
  <si>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</si>
  <si>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</si>
  <si>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</si>
  <si>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</si>
  <si>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</si>
  <si>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</si>
  <si>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</si>
  <si>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</si>
  <si>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</si>
  <si>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</si>
  <si>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</si>
  <si>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</si>
  <si>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</si>
  <si>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</si>
  <si>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</si>
  <si>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</si>
  <si>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</si>
  <si>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</si>
  <si>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10.06.2026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</si>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</sst>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 t="s">
        <v>417</v>
      </c>
      <c r="I5" s="290"/>
      <c r="J5" s="290"/>
      <c r="K5" s="290"/>
      <c r="L5" s="290"/>
      <c r="M5" s="290"/>
      <c r="N5" s="75"/>
      <c r="P5" s="27" t="s">
        <v>4</v>
      </c>
      <c r="Q5" s="292">
        <v>46195</v>
      </c>
      <c r="R5" s="292"/>
      <c r="T5" s="293" t="s">
        <v>3</v>
      </c>
      <c r="U5" s="294"/>
      <c r="V5" s="295" t="s">
        <v>385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 t="s">
        <v>392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72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 t="str">
        <f>IFERROR(VLOOKUP(DeliveryAddress,Table,3,0),1)</f>
        <v>3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0.58333333333333337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73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74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75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76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77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customHeight="1" x14ac:dyDescent="0.2">
      <c r="A19" s="353" t="s">
        <v>78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customHeight="1" x14ac:dyDescent="0.25">
      <c r="A20" s="354" t="s">
        <v>78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customHeight="1" x14ac:dyDescent="0.25">
      <c r="A21" s="355" t="s">
        <v>79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customHeight="1" x14ac:dyDescent="0.25">
      <c r="A22" s="63" t="s">
        <v>80</v>
      </c>
      <c r="B22" s="63" t="s">
        <v>81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84</v>
      </c>
      <c r="L22" s="37" t="s">
        <v>85</v>
      </c>
      <c r="M22" s="38" t="s">
        <v>83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82</v>
      </c>
      <c r="AG22" s="81"/>
      <c r="AJ22" s="87" t="s">
        <v>86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87</v>
      </c>
      <c r="B23" s="63" t="s">
        <v>88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84</v>
      </c>
      <c r="L23" s="37" t="s">
        <v>85</v>
      </c>
      <c r="M23" s="38" t="s">
        <v>83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82</v>
      </c>
      <c r="AG23" s="81"/>
      <c r="AJ23" s="87" t="s">
        <v>86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89</v>
      </c>
      <c r="B24" s="63" t="s">
        <v>90</v>
      </c>
      <c r="C24" s="36">
        <v>4301071108</v>
      </c>
      <c r="D24" s="356">
        <v>4607111035912</v>
      </c>
      <c r="E24" s="356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84</v>
      </c>
      <c r="L24" s="37" t="s">
        <v>85</v>
      </c>
      <c r="M24" s="38" t="s">
        <v>83</v>
      </c>
      <c r="N24" s="38"/>
      <c r="O24" s="37">
        <v>180</v>
      </c>
      <c r="P24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91</v>
      </c>
      <c r="AG24" s="81"/>
      <c r="AJ24" s="87" t="s">
        <v>86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92</v>
      </c>
      <c r="B25" s="63" t="s">
        <v>93</v>
      </c>
      <c r="C25" s="36">
        <v>4301071109</v>
      </c>
      <c r="D25" s="356">
        <v>4607111035929</v>
      </c>
      <c r="E25" s="356"/>
      <c r="F25" s="62">
        <v>0.9</v>
      </c>
      <c r="G25" s="37">
        <v>8</v>
      </c>
      <c r="H25" s="62">
        <v>7.2</v>
      </c>
      <c r="I25" s="62">
        <v>7.47</v>
      </c>
      <c r="J25" s="37">
        <v>84</v>
      </c>
      <c r="K25" s="37" t="s">
        <v>84</v>
      </c>
      <c r="L25" s="37" t="s">
        <v>85</v>
      </c>
      <c r="M25" s="38" t="s">
        <v>83</v>
      </c>
      <c r="N25" s="38"/>
      <c r="O25" s="37">
        <v>180</v>
      </c>
      <c r="P25" s="3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91</v>
      </c>
      <c r="AG25" s="81"/>
      <c r="AJ25" s="87" t="s">
        <v>86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94</v>
      </c>
      <c r="B26" s="63" t="s">
        <v>95</v>
      </c>
      <c r="C26" s="36">
        <v>4301071106</v>
      </c>
      <c r="D26" s="356">
        <v>4607111035882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84</v>
      </c>
      <c r="L26" s="37" t="s">
        <v>85</v>
      </c>
      <c r="M26" s="38" t="s">
        <v>83</v>
      </c>
      <c r="N26" s="38"/>
      <c r="O26" s="37">
        <v>180</v>
      </c>
      <c r="P26" s="36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91</v>
      </c>
      <c r="AG26" s="81"/>
      <c r="AJ26" s="87" t="s">
        <v>86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96</v>
      </c>
      <c r="B27" s="63" t="s">
        <v>97</v>
      </c>
      <c r="C27" s="36">
        <v>4301071107</v>
      </c>
      <c r="D27" s="356">
        <v>4607111035905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84</v>
      </c>
      <c r="L27" s="37" t="s">
        <v>85</v>
      </c>
      <c r="M27" s="38" t="s">
        <v>83</v>
      </c>
      <c r="N27" s="38"/>
      <c r="O27" s="37">
        <v>180</v>
      </c>
      <c r="P27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91</v>
      </c>
      <c r="AG27" s="81"/>
      <c r="AJ27" s="87" t="s">
        <v>86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8"/>
      <c r="B28" s="368"/>
      <c r="C28" s="368"/>
      <c r="D28" s="368"/>
      <c r="E28" s="368"/>
      <c r="F28" s="368"/>
      <c r="G28" s="368"/>
      <c r="H28" s="368"/>
      <c r="I28" s="368"/>
      <c r="J28" s="368"/>
      <c r="K28" s="368"/>
      <c r="L28" s="368"/>
      <c r="M28" s="368"/>
      <c r="N28" s="368"/>
      <c r="O28" s="369"/>
      <c r="P28" s="365" t="s">
        <v>40</v>
      </c>
      <c r="Q28" s="366"/>
      <c r="R28" s="366"/>
      <c r="S28" s="366"/>
      <c r="T28" s="366"/>
      <c r="U28" s="366"/>
      <c r="V28" s="36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8"/>
      <c r="B29" s="368"/>
      <c r="C29" s="368"/>
      <c r="D29" s="368"/>
      <c r="E29" s="368"/>
      <c r="F29" s="368"/>
      <c r="G29" s="368"/>
      <c r="H29" s="368"/>
      <c r="I29" s="368"/>
      <c r="J29" s="368"/>
      <c r="K29" s="368"/>
      <c r="L29" s="368"/>
      <c r="M29" s="368"/>
      <c r="N29" s="368"/>
      <c r="O29" s="369"/>
      <c r="P29" s="365" t="s">
        <v>40</v>
      </c>
      <c r="Q29" s="366"/>
      <c r="R29" s="366"/>
      <c r="S29" s="366"/>
      <c r="T29" s="366"/>
      <c r="U29" s="366"/>
      <c r="V29" s="36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54" t="s">
        <v>98</v>
      </c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65"/>
      <c r="AB30" s="65"/>
      <c r="AC30" s="82"/>
    </row>
    <row r="31" spans="1:68" ht="14.25" customHeight="1" x14ac:dyDescent="0.25">
      <c r="A31" s="355" t="s">
        <v>79</v>
      </c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355"/>
      <c r="Z31" s="355"/>
      <c r="AA31" s="66"/>
      <c r="AB31" s="66"/>
      <c r="AC31" s="83"/>
    </row>
    <row r="32" spans="1:68" ht="16.5" customHeight="1" x14ac:dyDescent="0.25">
      <c r="A32" s="63" t="s">
        <v>99</v>
      </c>
      <c r="B32" s="63" t="s">
        <v>100</v>
      </c>
      <c r="C32" s="36">
        <v>4301071099</v>
      </c>
      <c r="D32" s="356">
        <v>4607111039019</v>
      </c>
      <c r="E32" s="35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84</v>
      </c>
      <c r="L32" s="37" t="s">
        <v>85</v>
      </c>
      <c r="M32" s="38" t="s">
        <v>83</v>
      </c>
      <c r="N32" s="38"/>
      <c r="O32" s="37">
        <v>180</v>
      </c>
      <c r="P32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8"/>
      <c r="R32" s="358"/>
      <c r="S32" s="358"/>
      <c r="T32" s="35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101</v>
      </c>
      <c r="AG32" s="81"/>
      <c r="AJ32" s="87" t="s">
        <v>86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102</v>
      </c>
      <c r="B33" s="63" t="s">
        <v>103</v>
      </c>
      <c r="C33" s="36">
        <v>4301071100</v>
      </c>
      <c r="D33" s="356">
        <v>4607111038708</v>
      </c>
      <c r="E33" s="35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84</v>
      </c>
      <c r="L33" s="37" t="s">
        <v>85</v>
      </c>
      <c r="M33" s="38" t="s">
        <v>83</v>
      </c>
      <c r="N33" s="38"/>
      <c r="O33" s="37">
        <v>180</v>
      </c>
      <c r="P33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8"/>
      <c r="R33" s="358"/>
      <c r="S33" s="358"/>
      <c r="T33" s="35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101</v>
      </c>
      <c r="AG33" s="81"/>
      <c r="AJ33" s="87" t="s">
        <v>86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8"/>
      <c r="B34" s="368"/>
      <c r="C34" s="368"/>
      <c r="D34" s="368"/>
      <c r="E34" s="368"/>
      <c r="F34" s="368"/>
      <c r="G34" s="368"/>
      <c r="H34" s="368"/>
      <c r="I34" s="368"/>
      <c r="J34" s="368"/>
      <c r="K34" s="368"/>
      <c r="L34" s="368"/>
      <c r="M34" s="368"/>
      <c r="N34" s="368"/>
      <c r="O34" s="369"/>
      <c r="P34" s="365" t="s">
        <v>40</v>
      </c>
      <c r="Q34" s="366"/>
      <c r="R34" s="366"/>
      <c r="S34" s="366"/>
      <c r="T34" s="366"/>
      <c r="U34" s="366"/>
      <c r="V34" s="36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8"/>
      <c r="B35" s="368"/>
      <c r="C35" s="368"/>
      <c r="D35" s="368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9"/>
      <c r="P35" s="365" t="s">
        <v>40</v>
      </c>
      <c r="Q35" s="366"/>
      <c r="R35" s="366"/>
      <c r="S35" s="366"/>
      <c r="T35" s="366"/>
      <c r="U35" s="366"/>
      <c r="V35" s="36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53" t="s">
        <v>45</v>
      </c>
      <c r="B36" s="353"/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353"/>
      <c r="O36" s="353"/>
      <c r="P36" s="353"/>
      <c r="Q36" s="353"/>
      <c r="R36" s="353"/>
      <c r="S36" s="353"/>
      <c r="T36" s="353"/>
      <c r="U36" s="353"/>
      <c r="V36" s="353"/>
      <c r="W36" s="353"/>
      <c r="X36" s="353"/>
      <c r="Y36" s="353"/>
      <c r="Z36" s="353"/>
      <c r="AA36" s="54"/>
      <c r="AB36" s="54"/>
      <c r="AC36" s="54"/>
    </row>
    <row r="37" spans="1:68" ht="16.5" customHeight="1" x14ac:dyDescent="0.25">
      <c r="A37" s="354" t="s">
        <v>104</v>
      </c>
      <c r="B37" s="354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65"/>
      <c r="AB37" s="65"/>
      <c r="AC37" s="82"/>
    </row>
    <row r="38" spans="1:68" ht="14.25" customHeight="1" x14ac:dyDescent="0.25">
      <c r="A38" s="355" t="s">
        <v>105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66"/>
      <c r="AB38" s="66"/>
      <c r="AC38" s="83"/>
    </row>
    <row r="39" spans="1:68" ht="27" customHeight="1" x14ac:dyDescent="0.25">
      <c r="A39" s="63" t="s">
        <v>106</v>
      </c>
      <c r="B39" s="63" t="s">
        <v>107</v>
      </c>
      <c r="C39" s="36">
        <v>4301132190</v>
      </c>
      <c r="D39" s="356">
        <v>4607111036537</v>
      </c>
      <c r="E39" s="35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110</v>
      </c>
      <c r="L39" s="37" t="s">
        <v>111</v>
      </c>
      <c r="M39" s="38" t="s">
        <v>83</v>
      </c>
      <c r="N39" s="38"/>
      <c r="O39" s="37">
        <v>365</v>
      </c>
      <c r="P39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8"/>
      <c r="R39" s="358"/>
      <c r="S39" s="358"/>
      <c r="T39" s="35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108</v>
      </c>
      <c r="AG39" s="81"/>
      <c r="AJ39" s="87" t="s">
        <v>112</v>
      </c>
      <c r="AK39" s="87">
        <v>14</v>
      </c>
      <c r="BB39" s="106" t="s">
        <v>109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4301132188</v>
      </c>
      <c r="D40" s="356">
        <v>4607111036605</v>
      </c>
      <c r="E40" s="35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110</v>
      </c>
      <c r="L40" s="37" t="s">
        <v>111</v>
      </c>
      <c r="M40" s="38" t="s">
        <v>83</v>
      </c>
      <c r="N40" s="38"/>
      <c r="O40" s="37">
        <v>365</v>
      </c>
      <c r="P40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8"/>
      <c r="R40" s="358"/>
      <c r="S40" s="358"/>
      <c r="T40" s="35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108</v>
      </c>
      <c r="AG40" s="81"/>
      <c r="AJ40" s="87" t="s">
        <v>112</v>
      </c>
      <c r="AK40" s="87">
        <v>14</v>
      </c>
      <c r="BB40" s="108" t="s">
        <v>109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8"/>
      <c r="B41" s="368"/>
      <c r="C41" s="368"/>
      <c r="D41" s="368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9"/>
      <c r="P41" s="365" t="s">
        <v>40</v>
      </c>
      <c r="Q41" s="366"/>
      <c r="R41" s="366"/>
      <c r="S41" s="366"/>
      <c r="T41" s="366"/>
      <c r="U41" s="366"/>
      <c r="V41" s="36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8"/>
      <c r="B42" s="368"/>
      <c r="C42" s="368"/>
      <c r="D42" s="368"/>
      <c r="E42" s="368"/>
      <c r="F42" s="368"/>
      <c r="G42" s="368"/>
      <c r="H42" s="368"/>
      <c r="I42" s="368"/>
      <c r="J42" s="368"/>
      <c r="K42" s="368"/>
      <c r="L42" s="368"/>
      <c r="M42" s="368"/>
      <c r="N42" s="368"/>
      <c r="O42" s="369"/>
      <c r="P42" s="365" t="s">
        <v>40</v>
      </c>
      <c r="Q42" s="366"/>
      <c r="R42" s="366"/>
      <c r="S42" s="366"/>
      <c r="T42" s="366"/>
      <c r="U42" s="366"/>
      <c r="V42" s="36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54" t="s">
        <v>115</v>
      </c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65"/>
      <c r="AB43" s="65"/>
      <c r="AC43" s="82"/>
    </row>
    <row r="44" spans="1:68" ht="14.25" customHeight="1" x14ac:dyDescent="0.25">
      <c r="A44" s="355" t="s">
        <v>79</v>
      </c>
      <c r="B44" s="355"/>
      <c r="C44" s="355"/>
      <c r="D44" s="355"/>
      <c r="E44" s="355"/>
      <c r="F44" s="355"/>
      <c r="G44" s="355"/>
      <c r="H44" s="355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  <c r="Z44" s="355"/>
      <c r="AA44" s="66"/>
      <c r="AB44" s="66"/>
      <c r="AC44" s="83"/>
    </row>
    <row r="45" spans="1:68" ht="27" customHeight="1" x14ac:dyDescent="0.25">
      <c r="A45" s="63" t="s">
        <v>116</v>
      </c>
      <c r="B45" s="63" t="s">
        <v>117</v>
      </c>
      <c r="C45" s="36">
        <v>4301071090</v>
      </c>
      <c r="D45" s="356">
        <v>4620207490075</v>
      </c>
      <c r="E45" s="35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84</v>
      </c>
      <c r="L45" s="37" t="s">
        <v>111</v>
      </c>
      <c r="M45" s="38" t="s">
        <v>83</v>
      </c>
      <c r="N45" s="38"/>
      <c r="O45" s="37">
        <v>180</v>
      </c>
      <c r="P45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8"/>
      <c r="R45" s="358"/>
      <c r="S45" s="358"/>
      <c r="T45" s="35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118</v>
      </c>
      <c r="AG45" s="81"/>
      <c r="AJ45" s="87" t="s">
        <v>112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119</v>
      </c>
      <c r="B46" s="63" t="s">
        <v>120</v>
      </c>
      <c r="C46" s="36">
        <v>4301071092</v>
      </c>
      <c r="D46" s="356">
        <v>4620207490174</v>
      </c>
      <c r="E46" s="35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84</v>
      </c>
      <c r="L46" s="37" t="s">
        <v>111</v>
      </c>
      <c r="M46" s="38" t="s">
        <v>83</v>
      </c>
      <c r="N46" s="38"/>
      <c r="O46" s="37">
        <v>180</v>
      </c>
      <c r="P46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8"/>
      <c r="R46" s="358"/>
      <c r="S46" s="358"/>
      <c r="T46" s="35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121</v>
      </c>
      <c r="AG46" s="81"/>
      <c r="AJ46" s="87" t="s">
        <v>112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122</v>
      </c>
      <c r="B47" s="63" t="s">
        <v>123</v>
      </c>
      <c r="C47" s="36">
        <v>4301071091</v>
      </c>
      <c r="D47" s="356">
        <v>4620207490044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84</v>
      </c>
      <c r="L47" s="37" t="s">
        <v>111</v>
      </c>
      <c r="M47" s="38" t="s">
        <v>83</v>
      </c>
      <c r="N47" s="38"/>
      <c r="O47" s="37">
        <v>180</v>
      </c>
      <c r="P47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112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8"/>
      <c r="B48" s="368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8"/>
      <c r="N48" s="368"/>
      <c r="O48" s="369"/>
      <c r="P48" s="365" t="s">
        <v>40</v>
      </c>
      <c r="Q48" s="366"/>
      <c r="R48" s="366"/>
      <c r="S48" s="366"/>
      <c r="T48" s="366"/>
      <c r="U48" s="366"/>
      <c r="V48" s="36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8"/>
      <c r="B49" s="368"/>
      <c r="C49" s="368"/>
      <c r="D49" s="368"/>
      <c r="E49" s="368"/>
      <c r="F49" s="368"/>
      <c r="G49" s="368"/>
      <c r="H49" s="368"/>
      <c r="I49" s="368"/>
      <c r="J49" s="368"/>
      <c r="K49" s="368"/>
      <c r="L49" s="368"/>
      <c r="M49" s="368"/>
      <c r="N49" s="368"/>
      <c r="O49" s="369"/>
      <c r="P49" s="365" t="s">
        <v>40</v>
      </c>
      <c r="Q49" s="366"/>
      <c r="R49" s="366"/>
      <c r="S49" s="366"/>
      <c r="T49" s="366"/>
      <c r="U49" s="366"/>
      <c r="V49" s="36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54" t="s">
        <v>125</v>
      </c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65"/>
      <c r="AB50" s="65"/>
      <c r="AC50" s="82"/>
    </row>
    <row r="51" spans="1:68" ht="14.25" customHeight="1" x14ac:dyDescent="0.25">
      <c r="A51" s="355" t="s">
        <v>79</v>
      </c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66"/>
      <c r="AB51" s="66"/>
      <c r="AC51" s="83"/>
    </row>
    <row r="52" spans="1:68" ht="27" customHeight="1" x14ac:dyDescent="0.25">
      <c r="A52" s="63" t="s">
        <v>126</v>
      </c>
      <c r="B52" s="63" t="s">
        <v>127</v>
      </c>
      <c r="C52" s="36">
        <v>4301071044</v>
      </c>
      <c r="D52" s="356">
        <v>4607111039385</v>
      </c>
      <c r="E52" s="35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84</v>
      </c>
      <c r="L52" s="37" t="s">
        <v>111</v>
      </c>
      <c r="M52" s="38" t="s">
        <v>83</v>
      </c>
      <c r="N52" s="38"/>
      <c r="O52" s="37">
        <v>180</v>
      </c>
      <c r="P52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8"/>
      <c r="R52" s="358"/>
      <c r="S52" s="358"/>
      <c r="T52" s="35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128</v>
      </c>
      <c r="AG52" s="81"/>
      <c r="AJ52" s="87" t="s">
        <v>112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4301071031</v>
      </c>
      <c r="D53" s="356">
        <v>4607111038982</v>
      </c>
      <c r="E53" s="35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84</v>
      </c>
      <c r="L53" s="37" t="s">
        <v>111</v>
      </c>
      <c r="M53" s="38" t="s">
        <v>83</v>
      </c>
      <c r="N53" s="38"/>
      <c r="O53" s="37">
        <v>180</v>
      </c>
      <c r="P53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112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132</v>
      </c>
      <c r="B54" s="63" t="s">
        <v>133</v>
      </c>
      <c r="C54" s="36">
        <v>4301071046</v>
      </c>
      <c r="D54" s="356">
        <v>4607111039354</v>
      </c>
      <c r="E54" s="35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84</v>
      </c>
      <c r="L54" s="37" t="s">
        <v>111</v>
      </c>
      <c r="M54" s="38" t="s">
        <v>83</v>
      </c>
      <c r="N54" s="38"/>
      <c r="O54" s="37">
        <v>180</v>
      </c>
      <c r="P54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131</v>
      </c>
      <c r="AG54" s="81"/>
      <c r="AJ54" s="87" t="s">
        <v>112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134</v>
      </c>
      <c r="B55" s="63" t="s">
        <v>135</v>
      </c>
      <c r="C55" s="36">
        <v>4301071047</v>
      </c>
      <c r="D55" s="356">
        <v>4607111039330</v>
      </c>
      <c r="E55" s="35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84</v>
      </c>
      <c r="L55" s="37" t="s">
        <v>111</v>
      </c>
      <c r="M55" s="38" t="s">
        <v>83</v>
      </c>
      <c r="N55" s="38"/>
      <c r="O55" s="37">
        <v>180</v>
      </c>
      <c r="P55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131</v>
      </c>
      <c r="AG55" s="81"/>
      <c r="AJ55" s="87" t="s">
        <v>112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8"/>
      <c r="B56" s="368"/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8"/>
      <c r="N56" s="368"/>
      <c r="O56" s="369"/>
      <c r="P56" s="365" t="s">
        <v>40</v>
      </c>
      <c r="Q56" s="366"/>
      <c r="R56" s="366"/>
      <c r="S56" s="366"/>
      <c r="T56" s="366"/>
      <c r="U56" s="366"/>
      <c r="V56" s="36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8"/>
      <c r="B57" s="368"/>
      <c r="C57" s="368"/>
      <c r="D57" s="368"/>
      <c r="E57" s="368"/>
      <c r="F57" s="368"/>
      <c r="G57" s="368"/>
      <c r="H57" s="368"/>
      <c r="I57" s="368"/>
      <c r="J57" s="368"/>
      <c r="K57" s="368"/>
      <c r="L57" s="368"/>
      <c r="M57" s="368"/>
      <c r="N57" s="368"/>
      <c r="O57" s="369"/>
      <c r="P57" s="365" t="s">
        <v>40</v>
      </c>
      <c r="Q57" s="366"/>
      <c r="R57" s="366"/>
      <c r="S57" s="366"/>
      <c r="T57" s="366"/>
      <c r="U57" s="366"/>
      <c r="V57" s="36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54" t="s">
        <v>136</v>
      </c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65"/>
      <c r="AB58" s="65"/>
      <c r="AC58" s="82"/>
    </row>
    <row r="59" spans="1:68" ht="14.25" customHeight="1" x14ac:dyDescent="0.25">
      <c r="A59" s="355" t="s">
        <v>79</v>
      </c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66"/>
      <c r="AB59" s="66"/>
      <c r="AC59" s="83"/>
    </row>
    <row r="60" spans="1:68" ht="16.5" customHeight="1" x14ac:dyDescent="0.25">
      <c r="A60" s="63" t="s">
        <v>137</v>
      </c>
      <c r="B60" s="63" t="s">
        <v>138</v>
      </c>
      <c r="C60" s="36">
        <v>4301071073</v>
      </c>
      <c r="D60" s="356">
        <v>4620207490822</v>
      </c>
      <c r="E60" s="35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84</v>
      </c>
      <c r="L60" s="37" t="s">
        <v>85</v>
      </c>
      <c r="M60" s="38" t="s">
        <v>83</v>
      </c>
      <c r="N60" s="38"/>
      <c r="O60" s="37">
        <v>365</v>
      </c>
      <c r="P60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8"/>
      <c r="R60" s="358"/>
      <c r="S60" s="358"/>
      <c r="T60" s="35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139</v>
      </c>
      <c r="AG60" s="81"/>
      <c r="AJ60" s="87" t="s">
        <v>86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8"/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9"/>
      <c r="P61" s="365" t="s">
        <v>40</v>
      </c>
      <c r="Q61" s="366"/>
      <c r="R61" s="366"/>
      <c r="S61" s="366"/>
      <c r="T61" s="366"/>
      <c r="U61" s="366"/>
      <c r="V61" s="36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8"/>
      <c r="B62" s="368"/>
      <c r="C62" s="368"/>
      <c r="D62" s="368"/>
      <c r="E62" s="368"/>
      <c r="F62" s="368"/>
      <c r="G62" s="368"/>
      <c r="H62" s="368"/>
      <c r="I62" s="368"/>
      <c r="J62" s="368"/>
      <c r="K62" s="368"/>
      <c r="L62" s="368"/>
      <c r="M62" s="368"/>
      <c r="N62" s="368"/>
      <c r="O62" s="369"/>
      <c r="P62" s="365" t="s">
        <v>40</v>
      </c>
      <c r="Q62" s="366"/>
      <c r="R62" s="366"/>
      <c r="S62" s="366"/>
      <c r="T62" s="366"/>
      <c r="U62" s="366"/>
      <c r="V62" s="36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5" t="s">
        <v>105</v>
      </c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  <c r="Z63" s="355"/>
      <c r="AA63" s="66"/>
      <c r="AB63" s="66"/>
      <c r="AC63" s="83"/>
    </row>
    <row r="64" spans="1:68" ht="27" customHeight="1" x14ac:dyDescent="0.25">
      <c r="A64" s="63" t="s">
        <v>140</v>
      </c>
      <c r="B64" s="63" t="s">
        <v>141</v>
      </c>
      <c r="C64" s="36">
        <v>4301132194</v>
      </c>
      <c r="D64" s="356">
        <v>4607111039712</v>
      </c>
      <c r="E64" s="35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110</v>
      </c>
      <c r="L64" s="37" t="s">
        <v>85</v>
      </c>
      <c r="M64" s="38" t="s">
        <v>83</v>
      </c>
      <c r="N64" s="38"/>
      <c r="O64" s="37">
        <v>365</v>
      </c>
      <c r="P64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8"/>
      <c r="R64" s="358"/>
      <c r="S64" s="358"/>
      <c r="T64" s="35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142</v>
      </c>
      <c r="AG64" s="81"/>
      <c r="AJ64" s="87" t="s">
        <v>86</v>
      </c>
      <c r="AK64" s="87">
        <v>1</v>
      </c>
      <c r="BB64" s="126" t="s">
        <v>109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8"/>
      <c r="B65" s="368"/>
      <c r="C65" s="368"/>
      <c r="D65" s="368"/>
      <c r="E65" s="368"/>
      <c r="F65" s="368"/>
      <c r="G65" s="368"/>
      <c r="H65" s="368"/>
      <c r="I65" s="368"/>
      <c r="J65" s="368"/>
      <c r="K65" s="368"/>
      <c r="L65" s="368"/>
      <c r="M65" s="368"/>
      <c r="N65" s="368"/>
      <c r="O65" s="369"/>
      <c r="P65" s="365" t="s">
        <v>40</v>
      </c>
      <c r="Q65" s="366"/>
      <c r="R65" s="366"/>
      <c r="S65" s="366"/>
      <c r="T65" s="366"/>
      <c r="U65" s="366"/>
      <c r="V65" s="36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8"/>
      <c r="B66" s="368"/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8"/>
      <c r="N66" s="368"/>
      <c r="O66" s="369"/>
      <c r="P66" s="365" t="s">
        <v>40</v>
      </c>
      <c r="Q66" s="366"/>
      <c r="R66" s="366"/>
      <c r="S66" s="366"/>
      <c r="T66" s="366"/>
      <c r="U66" s="366"/>
      <c r="V66" s="36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5" t="s">
        <v>143</v>
      </c>
      <c r="B67" s="355"/>
      <c r="C67" s="355"/>
      <c r="D67" s="355"/>
      <c r="E67" s="355"/>
      <c r="F67" s="355"/>
      <c r="G67" s="355"/>
      <c r="H67" s="355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  <c r="Z67" s="355"/>
      <c r="AA67" s="66"/>
      <c r="AB67" s="66"/>
      <c r="AC67" s="83"/>
    </row>
    <row r="68" spans="1:68" ht="16.5" customHeight="1" x14ac:dyDescent="0.25">
      <c r="A68" s="63" t="s">
        <v>144</v>
      </c>
      <c r="B68" s="63" t="s">
        <v>145</v>
      </c>
      <c r="C68" s="36">
        <v>4301136018</v>
      </c>
      <c r="D68" s="356">
        <v>4607111037008</v>
      </c>
      <c r="E68" s="35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110</v>
      </c>
      <c r="L68" s="37" t="s">
        <v>85</v>
      </c>
      <c r="M68" s="38" t="s">
        <v>83</v>
      </c>
      <c r="N68" s="38"/>
      <c r="O68" s="37">
        <v>365</v>
      </c>
      <c r="P68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8"/>
      <c r="R68" s="358"/>
      <c r="S68" s="358"/>
      <c r="T68" s="35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146</v>
      </c>
      <c r="AG68" s="81"/>
      <c r="AJ68" s="87" t="s">
        <v>86</v>
      </c>
      <c r="AK68" s="87">
        <v>1</v>
      </c>
      <c r="BB68" s="128" t="s">
        <v>109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147</v>
      </c>
      <c r="B69" s="63" t="s">
        <v>148</v>
      </c>
      <c r="C69" s="36">
        <v>4301136015</v>
      </c>
      <c r="D69" s="356">
        <v>4607111037398</v>
      </c>
      <c r="E69" s="35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110</v>
      </c>
      <c r="L69" s="37" t="s">
        <v>85</v>
      </c>
      <c r="M69" s="38" t="s">
        <v>83</v>
      </c>
      <c r="N69" s="38"/>
      <c r="O69" s="37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86</v>
      </c>
      <c r="AK69" s="87">
        <v>1</v>
      </c>
      <c r="BB69" s="130" t="s">
        <v>109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8"/>
      <c r="B70" s="368"/>
      <c r="C70" s="368"/>
      <c r="D70" s="368"/>
      <c r="E70" s="368"/>
      <c r="F70" s="368"/>
      <c r="G70" s="368"/>
      <c r="H70" s="368"/>
      <c r="I70" s="368"/>
      <c r="J70" s="368"/>
      <c r="K70" s="368"/>
      <c r="L70" s="368"/>
      <c r="M70" s="368"/>
      <c r="N70" s="368"/>
      <c r="O70" s="369"/>
      <c r="P70" s="365" t="s">
        <v>40</v>
      </c>
      <c r="Q70" s="366"/>
      <c r="R70" s="366"/>
      <c r="S70" s="366"/>
      <c r="T70" s="366"/>
      <c r="U70" s="366"/>
      <c r="V70" s="36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8"/>
      <c r="B71" s="368"/>
      <c r="C71" s="368"/>
      <c r="D71" s="368"/>
      <c r="E71" s="368"/>
      <c r="F71" s="368"/>
      <c r="G71" s="368"/>
      <c r="H71" s="368"/>
      <c r="I71" s="368"/>
      <c r="J71" s="368"/>
      <c r="K71" s="368"/>
      <c r="L71" s="368"/>
      <c r="M71" s="368"/>
      <c r="N71" s="368"/>
      <c r="O71" s="369"/>
      <c r="P71" s="365" t="s">
        <v>40</v>
      </c>
      <c r="Q71" s="366"/>
      <c r="R71" s="366"/>
      <c r="S71" s="366"/>
      <c r="T71" s="366"/>
      <c r="U71" s="366"/>
      <c r="V71" s="36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5" t="s">
        <v>149</v>
      </c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5"/>
      <c r="Z72" s="355"/>
      <c r="AA72" s="66"/>
      <c r="AB72" s="66"/>
      <c r="AC72" s="83"/>
    </row>
    <row r="73" spans="1:68" ht="27" customHeight="1" x14ac:dyDescent="0.25">
      <c r="A73" s="63" t="s">
        <v>150</v>
      </c>
      <c r="B73" s="63" t="s">
        <v>151</v>
      </c>
      <c r="C73" s="36">
        <v>4301135664</v>
      </c>
      <c r="D73" s="356">
        <v>4607111039705</v>
      </c>
      <c r="E73" s="35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110</v>
      </c>
      <c r="L73" s="37" t="s">
        <v>85</v>
      </c>
      <c r="M73" s="38" t="s">
        <v>83</v>
      </c>
      <c r="N73" s="38"/>
      <c r="O73" s="37">
        <v>365</v>
      </c>
      <c r="P73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8"/>
      <c r="R73" s="358"/>
      <c r="S73" s="358"/>
      <c r="T73" s="35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146</v>
      </c>
      <c r="AG73" s="81"/>
      <c r="AJ73" s="87" t="s">
        <v>86</v>
      </c>
      <c r="AK73" s="87">
        <v>1</v>
      </c>
      <c r="BB73" s="132" t="s">
        <v>109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152</v>
      </c>
      <c r="B74" s="63" t="s">
        <v>153</v>
      </c>
      <c r="C74" s="36">
        <v>4301135665</v>
      </c>
      <c r="D74" s="356">
        <v>4607111039729</v>
      </c>
      <c r="E74" s="35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110</v>
      </c>
      <c r="L74" s="37" t="s">
        <v>85</v>
      </c>
      <c r="M74" s="38" t="s">
        <v>83</v>
      </c>
      <c r="N74" s="38"/>
      <c r="O74" s="37">
        <v>365</v>
      </c>
      <c r="P74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8"/>
      <c r="R74" s="358"/>
      <c r="S74" s="358"/>
      <c r="T74" s="35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154</v>
      </c>
      <c r="AG74" s="81"/>
      <c r="AJ74" s="87" t="s">
        <v>86</v>
      </c>
      <c r="AK74" s="87">
        <v>1</v>
      </c>
      <c r="BB74" s="134" t="s">
        <v>109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155</v>
      </c>
      <c r="B75" s="63" t="s">
        <v>156</v>
      </c>
      <c r="C75" s="36">
        <v>4301135702</v>
      </c>
      <c r="D75" s="356">
        <v>4620207490228</v>
      </c>
      <c r="E75" s="35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110</v>
      </c>
      <c r="L75" s="37" t="s">
        <v>85</v>
      </c>
      <c r="M75" s="38" t="s">
        <v>83</v>
      </c>
      <c r="N75" s="38"/>
      <c r="O75" s="37">
        <v>365</v>
      </c>
      <c r="P75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154</v>
      </c>
      <c r="AG75" s="81"/>
      <c r="AJ75" s="87" t="s">
        <v>86</v>
      </c>
      <c r="AK75" s="87">
        <v>1</v>
      </c>
      <c r="BB75" s="136" t="s">
        <v>109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8"/>
      <c r="B76" s="368"/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8"/>
      <c r="N76" s="368"/>
      <c r="O76" s="369"/>
      <c r="P76" s="365" t="s">
        <v>40</v>
      </c>
      <c r="Q76" s="366"/>
      <c r="R76" s="366"/>
      <c r="S76" s="366"/>
      <c r="T76" s="366"/>
      <c r="U76" s="366"/>
      <c r="V76" s="36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8"/>
      <c r="B77" s="368"/>
      <c r="C77" s="368"/>
      <c r="D77" s="368"/>
      <c r="E77" s="368"/>
      <c r="F77" s="368"/>
      <c r="G77" s="368"/>
      <c r="H77" s="368"/>
      <c r="I77" s="368"/>
      <c r="J77" s="368"/>
      <c r="K77" s="368"/>
      <c r="L77" s="368"/>
      <c r="M77" s="368"/>
      <c r="N77" s="368"/>
      <c r="O77" s="369"/>
      <c r="P77" s="365" t="s">
        <v>40</v>
      </c>
      <c r="Q77" s="366"/>
      <c r="R77" s="366"/>
      <c r="S77" s="366"/>
      <c r="T77" s="366"/>
      <c r="U77" s="366"/>
      <c r="V77" s="36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54" t="s">
        <v>157</v>
      </c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65"/>
      <c r="AB78" s="65"/>
      <c r="AC78" s="82"/>
    </row>
    <row r="79" spans="1:68" ht="14.25" customHeight="1" x14ac:dyDescent="0.25">
      <c r="A79" s="355" t="s">
        <v>79</v>
      </c>
      <c r="B79" s="355"/>
      <c r="C79" s="355"/>
      <c r="D79" s="355"/>
      <c r="E79" s="355"/>
      <c r="F79" s="355"/>
      <c r="G79" s="355"/>
      <c r="H79" s="355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  <c r="Z79" s="355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4301070977</v>
      </c>
      <c r="D80" s="356">
        <v>4607111037411</v>
      </c>
      <c r="E80" s="35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161</v>
      </c>
      <c r="L80" s="37" t="s">
        <v>85</v>
      </c>
      <c r="M80" s="38" t="s">
        <v>83</v>
      </c>
      <c r="N80" s="38"/>
      <c r="O80" s="37">
        <v>180</v>
      </c>
      <c r="P80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8"/>
      <c r="R80" s="358"/>
      <c r="S80" s="358"/>
      <c r="T80" s="35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160</v>
      </c>
      <c r="AG80" s="81"/>
      <c r="AJ80" s="87" t="s">
        <v>86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162</v>
      </c>
      <c r="B81" s="63" t="s">
        <v>163</v>
      </c>
      <c r="C81" s="36">
        <v>4301070981</v>
      </c>
      <c r="D81" s="356">
        <v>4607111036728</v>
      </c>
      <c r="E81" s="35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84</v>
      </c>
      <c r="L81" s="37" t="s">
        <v>111</v>
      </c>
      <c r="M81" s="38" t="s">
        <v>83</v>
      </c>
      <c r="N81" s="38"/>
      <c r="O81" s="37">
        <v>180</v>
      </c>
      <c r="P81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8"/>
      <c r="R81" s="358"/>
      <c r="S81" s="358"/>
      <c r="T81" s="35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160</v>
      </c>
      <c r="AG81" s="81"/>
      <c r="AJ81" s="87" t="s">
        <v>112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8"/>
      <c r="B82" s="368"/>
      <c r="C82" s="368"/>
      <c r="D82" s="368"/>
      <c r="E82" s="368"/>
      <c r="F82" s="368"/>
      <c r="G82" s="368"/>
      <c r="H82" s="368"/>
      <c r="I82" s="368"/>
      <c r="J82" s="368"/>
      <c r="K82" s="368"/>
      <c r="L82" s="368"/>
      <c r="M82" s="368"/>
      <c r="N82" s="368"/>
      <c r="O82" s="369"/>
      <c r="P82" s="365" t="s">
        <v>40</v>
      </c>
      <c r="Q82" s="366"/>
      <c r="R82" s="366"/>
      <c r="S82" s="366"/>
      <c r="T82" s="366"/>
      <c r="U82" s="366"/>
      <c r="V82" s="36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8"/>
      <c r="B83" s="368"/>
      <c r="C83" s="368"/>
      <c r="D83" s="368"/>
      <c r="E83" s="368"/>
      <c r="F83" s="368"/>
      <c r="G83" s="368"/>
      <c r="H83" s="368"/>
      <c r="I83" s="368"/>
      <c r="J83" s="368"/>
      <c r="K83" s="368"/>
      <c r="L83" s="368"/>
      <c r="M83" s="368"/>
      <c r="N83" s="368"/>
      <c r="O83" s="369"/>
      <c r="P83" s="365" t="s">
        <v>40</v>
      </c>
      <c r="Q83" s="366"/>
      <c r="R83" s="366"/>
      <c r="S83" s="366"/>
      <c r="T83" s="366"/>
      <c r="U83" s="366"/>
      <c r="V83" s="36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54" t="s">
        <v>164</v>
      </c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65"/>
      <c r="AB84" s="65"/>
      <c r="AC84" s="82"/>
    </row>
    <row r="85" spans="1:68" ht="14.25" customHeight="1" x14ac:dyDescent="0.25">
      <c r="A85" s="355" t="s">
        <v>149</v>
      </c>
      <c r="B85" s="355"/>
      <c r="C85" s="355"/>
      <c r="D85" s="355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  <c r="Z85" s="355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4301135574</v>
      </c>
      <c r="D86" s="356">
        <v>4607111033659</v>
      </c>
      <c r="E86" s="35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110</v>
      </c>
      <c r="L86" s="37" t="s">
        <v>111</v>
      </c>
      <c r="M86" s="38" t="s">
        <v>83</v>
      </c>
      <c r="N86" s="38"/>
      <c r="O86" s="37">
        <v>180</v>
      </c>
      <c r="P86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8"/>
      <c r="R86" s="358"/>
      <c r="S86" s="358"/>
      <c r="T86" s="35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167</v>
      </c>
      <c r="AG86" s="81"/>
      <c r="AJ86" s="87" t="s">
        <v>112</v>
      </c>
      <c r="AK86" s="87">
        <v>14</v>
      </c>
      <c r="BB86" s="142" t="s">
        <v>109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8"/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9"/>
      <c r="P87" s="365" t="s">
        <v>40</v>
      </c>
      <c r="Q87" s="366"/>
      <c r="R87" s="366"/>
      <c r="S87" s="366"/>
      <c r="T87" s="366"/>
      <c r="U87" s="366"/>
      <c r="V87" s="36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8"/>
      <c r="B88" s="368"/>
      <c r="C88" s="368"/>
      <c r="D88" s="368"/>
      <c r="E88" s="368"/>
      <c r="F88" s="368"/>
      <c r="G88" s="368"/>
      <c r="H88" s="368"/>
      <c r="I88" s="368"/>
      <c r="J88" s="368"/>
      <c r="K88" s="368"/>
      <c r="L88" s="368"/>
      <c r="M88" s="368"/>
      <c r="N88" s="368"/>
      <c r="O88" s="369"/>
      <c r="P88" s="365" t="s">
        <v>40</v>
      </c>
      <c r="Q88" s="366"/>
      <c r="R88" s="366"/>
      <c r="S88" s="366"/>
      <c r="T88" s="366"/>
      <c r="U88" s="366"/>
      <c r="V88" s="36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54" t="s">
        <v>168</v>
      </c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65"/>
      <c r="AB89" s="65"/>
      <c r="AC89" s="82"/>
    </row>
    <row r="90" spans="1:68" ht="14.25" customHeight="1" x14ac:dyDescent="0.25">
      <c r="A90" s="355" t="s">
        <v>169</v>
      </c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  <c r="Z90" s="355"/>
      <c r="AA90" s="66"/>
      <c r="AB90" s="66"/>
      <c r="AC90" s="83"/>
    </row>
    <row r="91" spans="1:68" ht="27" customHeight="1" x14ac:dyDescent="0.25">
      <c r="A91" s="63" t="s">
        <v>170</v>
      </c>
      <c r="B91" s="63" t="s">
        <v>171</v>
      </c>
      <c r="C91" s="36">
        <v>4301131047</v>
      </c>
      <c r="D91" s="356">
        <v>4607111034120</v>
      </c>
      <c r="E91" s="35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110</v>
      </c>
      <c r="L91" s="37" t="s">
        <v>111</v>
      </c>
      <c r="M91" s="38" t="s">
        <v>83</v>
      </c>
      <c r="N91" s="38"/>
      <c r="O91" s="37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8"/>
      <c r="R91" s="358"/>
      <c r="S91" s="358"/>
      <c r="T91" s="35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172</v>
      </c>
      <c r="AG91" s="81"/>
      <c r="AJ91" s="87" t="s">
        <v>112</v>
      </c>
      <c r="AK91" s="87">
        <v>14</v>
      </c>
      <c r="BB91" s="144" t="s">
        <v>109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173</v>
      </c>
      <c r="B92" s="63" t="s">
        <v>174</v>
      </c>
      <c r="C92" s="36">
        <v>4301131046</v>
      </c>
      <c r="D92" s="356">
        <v>4607111034137</v>
      </c>
      <c r="E92" s="35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110</v>
      </c>
      <c r="L92" s="37" t="s">
        <v>111</v>
      </c>
      <c r="M92" s="38" t="s">
        <v>83</v>
      </c>
      <c r="N92" s="38"/>
      <c r="O92" s="37">
        <v>180</v>
      </c>
      <c r="P92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8"/>
      <c r="R92" s="358"/>
      <c r="S92" s="358"/>
      <c r="T92" s="35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175</v>
      </c>
      <c r="AG92" s="81"/>
      <c r="AJ92" s="87" t="s">
        <v>112</v>
      </c>
      <c r="AK92" s="87">
        <v>14</v>
      </c>
      <c r="BB92" s="146" t="s">
        <v>109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8"/>
      <c r="B93" s="368"/>
      <c r="C93" s="368"/>
      <c r="D93" s="368"/>
      <c r="E93" s="368"/>
      <c r="F93" s="368"/>
      <c r="G93" s="368"/>
      <c r="H93" s="368"/>
      <c r="I93" s="368"/>
      <c r="J93" s="368"/>
      <c r="K93" s="368"/>
      <c r="L93" s="368"/>
      <c r="M93" s="368"/>
      <c r="N93" s="368"/>
      <c r="O93" s="369"/>
      <c r="P93" s="365" t="s">
        <v>40</v>
      </c>
      <c r="Q93" s="366"/>
      <c r="R93" s="366"/>
      <c r="S93" s="366"/>
      <c r="T93" s="366"/>
      <c r="U93" s="366"/>
      <c r="V93" s="367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8"/>
      <c r="B94" s="368"/>
      <c r="C94" s="368"/>
      <c r="D94" s="368"/>
      <c r="E94" s="368"/>
      <c r="F94" s="368"/>
      <c r="G94" s="368"/>
      <c r="H94" s="368"/>
      <c r="I94" s="368"/>
      <c r="J94" s="368"/>
      <c r="K94" s="368"/>
      <c r="L94" s="368"/>
      <c r="M94" s="368"/>
      <c r="N94" s="368"/>
      <c r="O94" s="369"/>
      <c r="P94" s="365" t="s">
        <v>40</v>
      </c>
      <c r="Q94" s="366"/>
      <c r="R94" s="366"/>
      <c r="S94" s="366"/>
      <c r="T94" s="366"/>
      <c r="U94" s="366"/>
      <c r="V94" s="367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54" t="s">
        <v>176</v>
      </c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65"/>
      <c r="AB95" s="65"/>
      <c r="AC95" s="82"/>
    </row>
    <row r="96" spans="1:68" ht="14.25" customHeight="1" x14ac:dyDescent="0.25">
      <c r="A96" s="355" t="s">
        <v>149</v>
      </c>
      <c r="B96" s="355"/>
      <c r="C96" s="355"/>
      <c r="D96" s="355"/>
      <c r="E96" s="355"/>
      <c r="F96" s="355"/>
      <c r="G96" s="355"/>
      <c r="H96" s="355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355"/>
      <c r="Z96" s="355"/>
      <c r="AA96" s="66"/>
      <c r="AB96" s="66"/>
      <c r="AC96" s="83"/>
    </row>
    <row r="97" spans="1:68" ht="27" customHeight="1" x14ac:dyDescent="0.25">
      <c r="A97" s="63" t="s">
        <v>177</v>
      </c>
      <c r="B97" s="63" t="s">
        <v>178</v>
      </c>
      <c r="C97" s="36">
        <v>4301135763</v>
      </c>
      <c r="D97" s="356">
        <v>4620207491027</v>
      </c>
      <c r="E97" s="35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110</v>
      </c>
      <c r="L97" s="37" t="s">
        <v>111</v>
      </c>
      <c r="M97" s="38" t="s">
        <v>83</v>
      </c>
      <c r="N97" s="38"/>
      <c r="O97" s="37">
        <v>180</v>
      </c>
      <c r="P97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167</v>
      </c>
      <c r="AG97" s="81"/>
      <c r="AJ97" s="87" t="s">
        <v>112</v>
      </c>
      <c r="AK97" s="87">
        <v>14</v>
      </c>
      <c r="BB97" s="148" t="s">
        <v>109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179</v>
      </c>
      <c r="B98" s="63" t="s">
        <v>180</v>
      </c>
      <c r="C98" s="36">
        <v>4301135793</v>
      </c>
      <c r="D98" s="356">
        <v>4620207491003</v>
      </c>
      <c r="E98" s="35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110</v>
      </c>
      <c r="L98" s="37" t="s">
        <v>111</v>
      </c>
      <c r="M98" s="38" t="s">
        <v>83</v>
      </c>
      <c r="N98" s="38"/>
      <c r="O98" s="37">
        <v>180</v>
      </c>
      <c r="P98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167</v>
      </c>
      <c r="AG98" s="81"/>
      <c r="AJ98" s="87" t="s">
        <v>112</v>
      </c>
      <c r="AK98" s="87">
        <v>14</v>
      </c>
      <c r="BB98" s="150" t="s">
        <v>109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181</v>
      </c>
      <c r="B99" s="63" t="s">
        <v>182</v>
      </c>
      <c r="C99" s="36">
        <v>4301135768</v>
      </c>
      <c r="D99" s="356">
        <v>4620207491034</v>
      </c>
      <c r="E99" s="35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110</v>
      </c>
      <c r="L99" s="37" t="s">
        <v>111</v>
      </c>
      <c r="M99" s="38" t="s">
        <v>83</v>
      </c>
      <c r="N99" s="38"/>
      <c r="O99" s="37">
        <v>180</v>
      </c>
      <c r="P99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183</v>
      </c>
      <c r="AG99" s="81"/>
      <c r="AJ99" s="87" t="s">
        <v>112</v>
      </c>
      <c r="AK99" s="87">
        <v>14</v>
      </c>
      <c r="BB99" s="152" t="s">
        <v>109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184</v>
      </c>
      <c r="B100" s="63" t="s">
        <v>185</v>
      </c>
      <c r="C100" s="36">
        <v>4301135760</v>
      </c>
      <c r="D100" s="356">
        <v>4620207491010</v>
      </c>
      <c r="E100" s="35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110</v>
      </c>
      <c r="L100" s="37" t="s">
        <v>111</v>
      </c>
      <c r="M100" s="38" t="s">
        <v>83</v>
      </c>
      <c r="N100" s="38"/>
      <c r="O100" s="37">
        <v>180</v>
      </c>
      <c r="P100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8"/>
      <c r="R100" s="358"/>
      <c r="S100" s="358"/>
      <c r="T100" s="35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167</v>
      </c>
      <c r="AG100" s="81"/>
      <c r="AJ100" s="87" t="s">
        <v>112</v>
      </c>
      <c r="AK100" s="87">
        <v>14</v>
      </c>
      <c r="BB100" s="154" t="s">
        <v>109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186</v>
      </c>
      <c r="B101" s="63" t="s">
        <v>187</v>
      </c>
      <c r="C101" s="36">
        <v>4301135571</v>
      </c>
      <c r="D101" s="356">
        <v>4607111035028</v>
      </c>
      <c r="E101" s="35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110</v>
      </c>
      <c r="L101" s="37" t="s">
        <v>111</v>
      </c>
      <c r="M101" s="38" t="s">
        <v>83</v>
      </c>
      <c r="N101" s="38"/>
      <c r="O101" s="37">
        <v>180</v>
      </c>
      <c r="P101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167</v>
      </c>
      <c r="AG101" s="81"/>
      <c r="AJ101" s="87" t="s">
        <v>112</v>
      </c>
      <c r="AK101" s="87">
        <v>14</v>
      </c>
      <c r="BB101" s="156" t="s">
        <v>109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188</v>
      </c>
      <c r="B102" s="63" t="s">
        <v>189</v>
      </c>
      <c r="C102" s="36">
        <v>4301135285</v>
      </c>
      <c r="D102" s="356">
        <v>4607111036407</v>
      </c>
      <c r="E102" s="35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110</v>
      </c>
      <c r="L102" s="37" t="s">
        <v>85</v>
      </c>
      <c r="M102" s="38" t="s">
        <v>83</v>
      </c>
      <c r="N102" s="38"/>
      <c r="O102" s="37">
        <v>180</v>
      </c>
      <c r="P102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190</v>
      </c>
      <c r="AG102" s="81"/>
      <c r="AJ102" s="87" t="s">
        <v>86</v>
      </c>
      <c r="AK102" s="87">
        <v>1</v>
      </c>
      <c r="BB102" s="158" t="s">
        <v>109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8"/>
      <c r="B103" s="368"/>
      <c r="C103" s="368"/>
      <c r="D103" s="368"/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9"/>
      <c r="P103" s="365" t="s">
        <v>40</v>
      </c>
      <c r="Q103" s="366"/>
      <c r="R103" s="366"/>
      <c r="S103" s="366"/>
      <c r="T103" s="366"/>
      <c r="U103" s="366"/>
      <c r="V103" s="367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8"/>
      <c r="B104" s="368"/>
      <c r="C104" s="368"/>
      <c r="D104" s="368"/>
      <c r="E104" s="368"/>
      <c r="F104" s="368"/>
      <c r="G104" s="368"/>
      <c r="H104" s="368"/>
      <c r="I104" s="368"/>
      <c r="J104" s="368"/>
      <c r="K104" s="368"/>
      <c r="L104" s="368"/>
      <c r="M104" s="368"/>
      <c r="N104" s="368"/>
      <c r="O104" s="369"/>
      <c r="P104" s="365" t="s">
        <v>40</v>
      </c>
      <c r="Q104" s="366"/>
      <c r="R104" s="366"/>
      <c r="S104" s="366"/>
      <c r="T104" s="366"/>
      <c r="U104" s="366"/>
      <c r="V104" s="367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54" t="s">
        <v>191</v>
      </c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65"/>
      <c r="AB105" s="65"/>
      <c r="AC105" s="82"/>
    </row>
    <row r="106" spans="1:68" ht="14.25" customHeight="1" x14ac:dyDescent="0.25">
      <c r="A106" s="355" t="s">
        <v>143</v>
      </c>
      <c r="B106" s="355"/>
      <c r="C106" s="355"/>
      <c r="D106" s="355"/>
      <c r="E106" s="355"/>
      <c r="F106" s="355"/>
      <c r="G106" s="355"/>
      <c r="H106" s="355"/>
      <c r="I106" s="355"/>
      <c r="J106" s="355"/>
      <c r="K106" s="355"/>
      <c r="L106" s="355"/>
      <c r="M106" s="355"/>
      <c r="N106" s="355"/>
      <c r="O106" s="355"/>
      <c r="P106" s="355"/>
      <c r="Q106" s="355"/>
      <c r="R106" s="355"/>
      <c r="S106" s="355"/>
      <c r="T106" s="355"/>
      <c r="U106" s="355"/>
      <c r="V106" s="355"/>
      <c r="W106" s="355"/>
      <c r="X106" s="355"/>
      <c r="Y106" s="355"/>
      <c r="Z106" s="355"/>
      <c r="AA106" s="66"/>
      <c r="AB106" s="66"/>
      <c r="AC106" s="83"/>
    </row>
    <row r="107" spans="1:68" ht="27" customHeight="1" x14ac:dyDescent="0.25">
      <c r="A107" s="63" t="s">
        <v>192</v>
      </c>
      <c r="B107" s="63" t="s">
        <v>193</v>
      </c>
      <c r="C107" s="36">
        <v>4301136070</v>
      </c>
      <c r="D107" s="356">
        <v>4607025784012</v>
      </c>
      <c r="E107" s="35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110</v>
      </c>
      <c r="L107" s="37" t="s">
        <v>111</v>
      </c>
      <c r="M107" s="38" t="s">
        <v>83</v>
      </c>
      <c r="N107" s="38"/>
      <c r="O107" s="37">
        <v>180</v>
      </c>
      <c r="P107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8"/>
      <c r="R107" s="358"/>
      <c r="S107" s="358"/>
      <c r="T107" s="35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194</v>
      </c>
      <c r="AG107" s="81"/>
      <c r="AJ107" s="87" t="s">
        <v>112</v>
      </c>
      <c r="AK107" s="87">
        <v>14</v>
      </c>
      <c r="BB107" s="160" t="s">
        <v>109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195</v>
      </c>
      <c r="B108" s="63" t="s">
        <v>196</v>
      </c>
      <c r="C108" s="36">
        <v>4301136079</v>
      </c>
      <c r="D108" s="356">
        <v>4607025784319</v>
      </c>
      <c r="E108" s="35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110</v>
      </c>
      <c r="L108" s="37" t="s">
        <v>111</v>
      </c>
      <c r="M108" s="38" t="s">
        <v>83</v>
      </c>
      <c r="N108" s="38"/>
      <c r="O108" s="37">
        <v>180</v>
      </c>
      <c r="P108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8"/>
      <c r="R108" s="358"/>
      <c r="S108" s="358"/>
      <c r="T108" s="35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167</v>
      </c>
      <c r="AG108" s="81"/>
      <c r="AJ108" s="87" t="s">
        <v>112</v>
      </c>
      <c r="AK108" s="87">
        <v>14</v>
      </c>
      <c r="BB108" s="162" t="s">
        <v>109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8"/>
      <c r="B109" s="368"/>
      <c r="C109" s="368"/>
      <c r="D109" s="368"/>
      <c r="E109" s="368"/>
      <c r="F109" s="368"/>
      <c r="G109" s="368"/>
      <c r="H109" s="368"/>
      <c r="I109" s="368"/>
      <c r="J109" s="368"/>
      <c r="K109" s="368"/>
      <c r="L109" s="368"/>
      <c r="M109" s="368"/>
      <c r="N109" s="368"/>
      <c r="O109" s="369"/>
      <c r="P109" s="365" t="s">
        <v>40</v>
      </c>
      <c r="Q109" s="366"/>
      <c r="R109" s="366"/>
      <c r="S109" s="366"/>
      <c r="T109" s="366"/>
      <c r="U109" s="366"/>
      <c r="V109" s="36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8"/>
      <c r="B110" s="368"/>
      <c r="C110" s="368"/>
      <c r="D110" s="368"/>
      <c r="E110" s="368"/>
      <c r="F110" s="368"/>
      <c r="G110" s="368"/>
      <c r="H110" s="368"/>
      <c r="I110" s="368"/>
      <c r="J110" s="368"/>
      <c r="K110" s="368"/>
      <c r="L110" s="368"/>
      <c r="M110" s="368"/>
      <c r="N110" s="368"/>
      <c r="O110" s="369"/>
      <c r="P110" s="365" t="s">
        <v>40</v>
      </c>
      <c r="Q110" s="366"/>
      <c r="R110" s="366"/>
      <c r="S110" s="366"/>
      <c r="T110" s="366"/>
      <c r="U110" s="366"/>
      <c r="V110" s="36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54" t="s">
        <v>197</v>
      </c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65"/>
      <c r="AB111" s="65"/>
      <c r="AC111" s="82"/>
    </row>
    <row r="112" spans="1:68" ht="14.25" customHeight="1" x14ac:dyDescent="0.25">
      <c r="A112" s="355" t="s">
        <v>79</v>
      </c>
      <c r="B112" s="355"/>
      <c r="C112" s="355"/>
      <c r="D112" s="355"/>
      <c r="E112" s="355"/>
      <c r="F112" s="355"/>
      <c r="G112" s="355"/>
      <c r="H112" s="355"/>
      <c r="I112" s="355"/>
      <c r="J112" s="355"/>
      <c r="K112" s="355"/>
      <c r="L112" s="355"/>
      <c r="M112" s="355"/>
      <c r="N112" s="355"/>
      <c r="O112" s="355"/>
      <c r="P112" s="355"/>
      <c r="Q112" s="355"/>
      <c r="R112" s="355"/>
      <c r="S112" s="355"/>
      <c r="T112" s="355"/>
      <c r="U112" s="355"/>
      <c r="V112" s="355"/>
      <c r="W112" s="355"/>
      <c r="X112" s="355"/>
      <c r="Y112" s="355"/>
      <c r="Z112" s="355"/>
      <c r="AA112" s="66"/>
      <c r="AB112" s="66"/>
      <c r="AC112" s="83"/>
    </row>
    <row r="113" spans="1:68" ht="27" customHeight="1" x14ac:dyDescent="0.25">
      <c r="A113" s="63" t="s">
        <v>198</v>
      </c>
      <c r="B113" s="63" t="s">
        <v>199</v>
      </c>
      <c r="C113" s="36">
        <v>4301071074</v>
      </c>
      <c r="D113" s="356">
        <v>4620207491157</v>
      </c>
      <c r="E113" s="35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84</v>
      </c>
      <c r="L113" s="37" t="s">
        <v>111</v>
      </c>
      <c r="M113" s="38" t="s">
        <v>83</v>
      </c>
      <c r="N113" s="38"/>
      <c r="O113" s="37">
        <v>180</v>
      </c>
      <c r="P113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200</v>
      </c>
      <c r="AG113" s="81"/>
      <c r="AJ113" s="87" t="s">
        <v>112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201</v>
      </c>
      <c r="B114" s="63" t="s">
        <v>202</v>
      </c>
      <c r="C114" s="36">
        <v>4301071121</v>
      </c>
      <c r="D114" s="356">
        <v>4620207491393</v>
      </c>
      <c r="E114" s="35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84</v>
      </c>
      <c r="L114" s="37" t="s">
        <v>85</v>
      </c>
      <c r="M114" s="38" t="s">
        <v>83</v>
      </c>
      <c r="N114" s="38"/>
      <c r="O114" s="37">
        <v>180</v>
      </c>
      <c r="P114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203</v>
      </c>
      <c r="AG114" s="81"/>
      <c r="AJ114" s="87" t="s">
        <v>86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204</v>
      </c>
      <c r="B115" s="63" t="s">
        <v>205</v>
      </c>
      <c r="C115" s="36">
        <v>4301071051</v>
      </c>
      <c r="D115" s="356">
        <v>4607111039262</v>
      </c>
      <c r="E115" s="35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84</v>
      </c>
      <c r="L115" s="37" t="s">
        <v>111</v>
      </c>
      <c r="M115" s="38" t="s">
        <v>83</v>
      </c>
      <c r="N115" s="38"/>
      <c r="O115" s="37">
        <v>180</v>
      </c>
      <c r="P115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160</v>
      </c>
      <c r="AG115" s="81"/>
      <c r="AJ115" s="87" t="s">
        <v>112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206</v>
      </c>
      <c r="B116" s="63" t="s">
        <v>207</v>
      </c>
      <c r="C116" s="36">
        <v>4301071038</v>
      </c>
      <c r="D116" s="356">
        <v>4607111039248</v>
      </c>
      <c r="E116" s="35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84</v>
      </c>
      <c r="L116" s="37" t="s">
        <v>111</v>
      </c>
      <c r="M116" s="38" t="s">
        <v>83</v>
      </c>
      <c r="N116" s="38"/>
      <c r="O116" s="37">
        <v>180</v>
      </c>
      <c r="P116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160</v>
      </c>
      <c r="AG116" s="81"/>
      <c r="AJ116" s="87" t="s">
        <v>112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208</v>
      </c>
      <c r="B117" s="63" t="s">
        <v>209</v>
      </c>
      <c r="C117" s="36">
        <v>4301070979</v>
      </c>
      <c r="D117" s="356">
        <v>4607111037145</v>
      </c>
      <c r="E117" s="35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84</v>
      </c>
      <c r="L117" s="37" t="s">
        <v>85</v>
      </c>
      <c r="M117" s="38" t="s">
        <v>83</v>
      </c>
      <c r="N117" s="38"/>
      <c r="O117" s="37">
        <v>180</v>
      </c>
      <c r="P117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210</v>
      </c>
      <c r="AG117" s="81"/>
      <c r="AJ117" s="87" t="s">
        <v>86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211</v>
      </c>
      <c r="B118" s="63" t="s">
        <v>212</v>
      </c>
      <c r="C118" s="36">
        <v>4301071049</v>
      </c>
      <c r="D118" s="356">
        <v>4607111039293</v>
      </c>
      <c r="E118" s="35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84</v>
      </c>
      <c r="L118" s="37" t="s">
        <v>111</v>
      </c>
      <c r="M118" s="38" t="s">
        <v>83</v>
      </c>
      <c r="N118" s="38"/>
      <c r="O118" s="37">
        <v>180</v>
      </c>
      <c r="P118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8"/>
      <c r="R118" s="358"/>
      <c r="S118" s="358"/>
      <c r="T118" s="35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160</v>
      </c>
      <c r="AG118" s="81"/>
      <c r="AJ118" s="87" t="s">
        <v>112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213</v>
      </c>
      <c r="B119" s="63" t="s">
        <v>214</v>
      </c>
      <c r="C119" s="36">
        <v>4301071039</v>
      </c>
      <c r="D119" s="356">
        <v>4607111039279</v>
      </c>
      <c r="E119" s="35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84</v>
      </c>
      <c r="L119" s="37" t="s">
        <v>111</v>
      </c>
      <c r="M119" s="38" t="s">
        <v>83</v>
      </c>
      <c r="N119" s="38"/>
      <c r="O119" s="37">
        <v>180</v>
      </c>
      <c r="P119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160</v>
      </c>
      <c r="AG119" s="81"/>
      <c r="AJ119" s="87" t="s">
        <v>112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68"/>
      <c r="B120" s="368"/>
      <c r="C120" s="368"/>
      <c r="D120" s="368"/>
      <c r="E120" s="368"/>
      <c r="F120" s="368"/>
      <c r="G120" s="368"/>
      <c r="H120" s="368"/>
      <c r="I120" s="368"/>
      <c r="J120" s="368"/>
      <c r="K120" s="368"/>
      <c r="L120" s="368"/>
      <c r="M120" s="368"/>
      <c r="N120" s="368"/>
      <c r="O120" s="369"/>
      <c r="P120" s="365" t="s">
        <v>40</v>
      </c>
      <c r="Q120" s="366"/>
      <c r="R120" s="366"/>
      <c r="S120" s="366"/>
      <c r="T120" s="366"/>
      <c r="U120" s="366"/>
      <c r="V120" s="36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68"/>
      <c r="B121" s="368"/>
      <c r="C121" s="368"/>
      <c r="D121" s="368"/>
      <c r="E121" s="368"/>
      <c r="F121" s="368"/>
      <c r="G121" s="368"/>
      <c r="H121" s="368"/>
      <c r="I121" s="368"/>
      <c r="J121" s="368"/>
      <c r="K121" s="368"/>
      <c r="L121" s="368"/>
      <c r="M121" s="368"/>
      <c r="N121" s="368"/>
      <c r="O121" s="369"/>
      <c r="P121" s="365" t="s">
        <v>40</v>
      </c>
      <c r="Q121" s="366"/>
      <c r="R121" s="366"/>
      <c r="S121" s="366"/>
      <c r="T121" s="366"/>
      <c r="U121" s="366"/>
      <c r="V121" s="36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55" t="s">
        <v>149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customHeight="1" x14ac:dyDescent="0.25">
      <c r="A123" s="63" t="s">
        <v>215</v>
      </c>
      <c r="B123" s="63" t="s">
        <v>216</v>
      </c>
      <c r="C123" s="36">
        <v>4301135826</v>
      </c>
      <c r="D123" s="356">
        <v>4620207490983</v>
      </c>
      <c r="E123" s="35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110</v>
      </c>
      <c r="L123" s="37" t="s">
        <v>85</v>
      </c>
      <c r="M123" s="38" t="s">
        <v>83</v>
      </c>
      <c r="N123" s="38"/>
      <c r="O123" s="37">
        <v>180</v>
      </c>
      <c r="P123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217</v>
      </c>
      <c r="AG123" s="81"/>
      <c r="AJ123" s="87" t="s">
        <v>86</v>
      </c>
      <c r="AK123" s="87">
        <v>1</v>
      </c>
      <c r="BB123" s="178" t="s">
        <v>109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68"/>
      <c r="B124" s="368"/>
      <c r="C124" s="368"/>
      <c r="D124" s="368"/>
      <c r="E124" s="368"/>
      <c r="F124" s="368"/>
      <c r="G124" s="368"/>
      <c r="H124" s="368"/>
      <c r="I124" s="368"/>
      <c r="J124" s="368"/>
      <c r="K124" s="368"/>
      <c r="L124" s="368"/>
      <c r="M124" s="368"/>
      <c r="N124" s="368"/>
      <c r="O124" s="369"/>
      <c r="P124" s="365" t="s">
        <v>40</v>
      </c>
      <c r="Q124" s="366"/>
      <c r="R124" s="366"/>
      <c r="S124" s="366"/>
      <c r="T124" s="366"/>
      <c r="U124" s="366"/>
      <c r="V124" s="367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68"/>
      <c r="B125" s="368"/>
      <c r="C125" s="368"/>
      <c r="D125" s="368"/>
      <c r="E125" s="368"/>
      <c r="F125" s="368"/>
      <c r="G125" s="368"/>
      <c r="H125" s="368"/>
      <c r="I125" s="368"/>
      <c r="J125" s="368"/>
      <c r="K125" s="368"/>
      <c r="L125" s="368"/>
      <c r="M125" s="368"/>
      <c r="N125" s="368"/>
      <c r="O125" s="369"/>
      <c r="P125" s="365" t="s">
        <v>40</v>
      </c>
      <c r="Q125" s="366"/>
      <c r="R125" s="366"/>
      <c r="S125" s="366"/>
      <c r="T125" s="366"/>
      <c r="U125" s="366"/>
      <c r="V125" s="367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55" t="s">
        <v>218</v>
      </c>
      <c r="B126" s="355"/>
      <c r="C126" s="355"/>
      <c r="D126" s="355"/>
      <c r="E126" s="355"/>
      <c r="F126" s="355"/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  <c r="U126" s="355"/>
      <c r="V126" s="355"/>
      <c r="W126" s="355"/>
      <c r="X126" s="355"/>
      <c r="Y126" s="355"/>
      <c r="Z126" s="355"/>
      <c r="AA126" s="66"/>
      <c r="AB126" s="66"/>
      <c r="AC126" s="83"/>
    </row>
    <row r="127" spans="1:68" ht="27" customHeight="1" x14ac:dyDescent="0.25">
      <c r="A127" s="63" t="s">
        <v>219</v>
      </c>
      <c r="B127" s="63" t="s">
        <v>220</v>
      </c>
      <c r="C127" s="36">
        <v>4301071094</v>
      </c>
      <c r="D127" s="356">
        <v>4620207491140</v>
      </c>
      <c r="E127" s="356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84</v>
      </c>
      <c r="L127" s="37" t="s">
        <v>85</v>
      </c>
      <c r="M127" s="38" t="s">
        <v>83</v>
      </c>
      <c r="N127" s="38"/>
      <c r="O127" s="37">
        <v>180</v>
      </c>
      <c r="P127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8"/>
      <c r="R127" s="358"/>
      <c r="S127" s="358"/>
      <c r="T127" s="359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221</v>
      </c>
      <c r="AG127" s="81"/>
      <c r="AJ127" s="87" t="s">
        <v>86</v>
      </c>
      <c r="AK127" s="87">
        <v>1</v>
      </c>
      <c r="BB127" s="180" t="s">
        <v>109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68"/>
      <c r="B128" s="368"/>
      <c r="C128" s="368"/>
      <c r="D128" s="368"/>
      <c r="E128" s="368"/>
      <c r="F128" s="368"/>
      <c r="G128" s="368"/>
      <c r="H128" s="368"/>
      <c r="I128" s="368"/>
      <c r="J128" s="368"/>
      <c r="K128" s="368"/>
      <c r="L128" s="368"/>
      <c r="M128" s="368"/>
      <c r="N128" s="368"/>
      <c r="O128" s="369"/>
      <c r="P128" s="365" t="s">
        <v>40</v>
      </c>
      <c r="Q128" s="366"/>
      <c r="R128" s="366"/>
      <c r="S128" s="366"/>
      <c r="T128" s="366"/>
      <c r="U128" s="366"/>
      <c r="V128" s="367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68"/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9"/>
      <c r="P129" s="365" t="s">
        <v>40</v>
      </c>
      <c r="Q129" s="366"/>
      <c r="R129" s="366"/>
      <c r="S129" s="366"/>
      <c r="T129" s="366"/>
      <c r="U129" s="366"/>
      <c r="V129" s="367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54" t="s">
        <v>222</v>
      </c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65"/>
      <c r="AB130" s="65"/>
      <c r="AC130" s="82"/>
    </row>
    <row r="131" spans="1:68" ht="14.25" customHeight="1" x14ac:dyDescent="0.25">
      <c r="A131" s="355" t="s">
        <v>149</v>
      </c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355"/>
      <c r="Z131" s="355"/>
      <c r="AA131" s="66"/>
      <c r="AB131" s="66"/>
      <c r="AC131" s="83"/>
    </row>
    <row r="132" spans="1:68" ht="27" customHeight="1" x14ac:dyDescent="0.25">
      <c r="A132" s="63" t="s">
        <v>223</v>
      </c>
      <c r="B132" s="63" t="s">
        <v>224</v>
      </c>
      <c r="C132" s="36">
        <v>4301135850</v>
      </c>
      <c r="D132" s="356">
        <v>4620207491492</v>
      </c>
      <c r="E132" s="356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110</v>
      </c>
      <c r="L132" s="37" t="s">
        <v>85</v>
      </c>
      <c r="M132" s="38" t="s">
        <v>83</v>
      </c>
      <c r="N132" s="38"/>
      <c r="O132" s="37">
        <v>180</v>
      </c>
      <c r="P132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1" t="s">
        <v>225</v>
      </c>
      <c r="AG132" s="81"/>
      <c r="AJ132" s="87" t="s">
        <v>86</v>
      </c>
      <c r="AK132" s="87">
        <v>1</v>
      </c>
      <c r="BB132" s="182" t="s">
        <v>109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226</v>
      </c>
      <c r="B133" s="63" t="s">
        <v>227</v>
      </c>
      <c r="C133" s="36">
        <v>4301190118</v>
      </c>
      <c r="D133" s="356">
        <v>4620207491461</v>
      </c>
      <c r="E133" s="356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110</v>
      </c>
      <c r="L133" s="37" t="s">
        <v>85</v>
      </c>
      <c r="M133" s="38" t="s">
        <v>83</v>
      </c>
      <c r="N133" s="38"/>
      <c r="O133" s="37">
        <v>180</v>
      </c>
      <c r="P133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3" t="s">
        <v>225</v>
      </c>
      <c r="AG133" s="81"/>
      <c r="AJ133" s="87" t="s">
        <v>86</v>
      </c>
      <c r="AK133" s="87">
        <v>1</v>
      </c>
      <c r="BB133" s="184" t="s">
        <v>109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228</v>
      </c>
      <c r="B134" s="63" t="s">
        <v>229</v>
      </c>
      <c r="C134" s="36">
        <v>4301135865</v>
      </c>
      <c r="D134" s="356">
        <v>4620207491485</v>
      </c>
      <c r="E134" s="356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110</v>
      </c>
      <c r="L134" s="37" t="s">
        <v>85</v>
      </c>
      <c r="M134" s="38" t="s">
        <v>83</v>
      </c>
      <c r="N134" s="38"/>
      <c r="O134" s="37">
        <v>180</v>
      </c>
      <c r="P134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58"/>
      <c r="R134" s="358"/>
      <c r="S134" s="358"/>
      <c r="T134" s="35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225</v>
      </c>
      <c r="AG134" s="81"/>
      <c r="AJ134" s="87" t="s">
        <v>86</v>
      </c>
      <c r="AK134" s="87">
        <v>1</v>
      </c>
      <c r="BB134" s="186" t="s">
        <v>109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IFERROR(SUM(X132:X134),"0")</f>
        <v>0</v>
      </c>
      <c r="Y135" s="43">
        <f>IFERROR(SUM(Y132:Y134),"0")</f>
        <v>0</v>
      </c>
      <c r="Z135" s="43">
        <f>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IFERROR(SUMPRODUCT(X132:X134*H132:H134),"0")</f>
        <v>0</v>
      </c>
      <c r="Y136" s="43">
        <f>IFERROR(SUMPRODUCT(Y132:Y134*H132:H134),"0")</f>
        <v>0</v>
      </c>
      <c r="Z136" s="42"/>
      <c r="AA136" s="67"/>
      <c r="AB136" s="67"/>
      <c r="AC136" s="67"/>
    </row>
    <row r="137" spans="1:68" ht="14.25" customHeight="1" x14ac:dyDescent="0.25">
      <c r="A137" s="355" t="s">
        <v>230</v>
      </c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5"/>
      <c r="P137" s="355"/>
      <c r="Q137" s="355"/>
      <c r="R137" s="355"/>
      <c r="S137" s="355"/>
      <c r="T137" s="355"/>
      <c r="U137" s="355"/>
      <c r="V137" s="355"/>
      <c r="W137" s="355"/>
      <c r="X137" s="355"/>
      <c r="Y137" s="355"/>
      <c r="Z137" s="355"/>
      <c r="AA137" s="66"/>
      <c r="AB137" s="66"/>
      <c r="AC137" s="83"/>
    </row>
    <row r="138" spans="1:68" ht="27" customHeight="1" x14ac:dyDescent="0.25">
      <c r="A138" s="63" t="s">
        <v>231</v>
      </c>
      <c r="B138" s="63" t="s">
        <v>232</v>
      </c>
      <c r="C138" s="36">
        <v>4301190117</v>
      </c>
      <c r="D138" s="356">
        <v>4620207491386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110</v>
      </c>
      <c r="L138" s="37" t="s">
        <v>85</v>
      </c>
      <c r="M138" s="38" t="s">
        <v>83</v>
      </c>
      <c r="N138" s="38"/>
      <c r="O138" s="37">
        <v>180</v>
      </c>
      <c r="P138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87" t="s">
        <v>233</v>
      </c>
      <c r="AG138" s="81"/>
      <c r="AJ138" s="87" t="s">
        <v>86</v>
      </c>
      <c r="AK138" s="87">
        <v>1</v>
      </c>
      <c r="BB138" s="188" t="s">
        <v>109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234</v>
      </c>
      <c r="B139" s="63" t="s">
        <v>235</v>
      </c>
      <c r="C139" s="36">
        <v>4301190115</v>
      </c>
      <c r="D139" s="356">
        <v>4620207491362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110</v>
      </c>
      <c r="L139" s="37" t="s">
        <v>85</v>
      </c>
      <c r="M139" s="38" t="s">
        <v>83</v>
      </c>
      <c r="N139" s="38"/>
      <c r="O139" s="37">
        <v>180</v>
      </c>
      <c r="P139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9" t="s">
        <v>233</v>
      </c>
      <c r="AG139" s="81"/>
      <c r="AJ139" s="87" t="s">
        <v>86</v>
      </c>
      <c r="AK139" s="87">
        <v>1</v>
      </c>
      <c r="BB139" s="190" t="s">
        <v>109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236</v>
      </c>
      <c r="B140" s="63" t="s">
        <v>237</v>
      </c>
      <c r="C140" s="36">
        <v>4301190116</v>
      </c>
      <c r="D140" s="356">
        <v>4620207491379</v>
      </c>
      <c r="E140" s="356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110</v>
      </c>
      <c r="L140" s="37" t="s">
        <v>85</v>
      </c>
      <c r="M140" s="38" t="s">
        <v>83</v>
      </c>
      <c r="N140" s="38"/>
      <c r="O140" s="37">
        <v>180</v>
      </c>
      <c r="P140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58"/>
      <c r="R140" s="358"/>
      <c r="S140" s="358"/>
      <c r="T140" s="35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233</v>
      </c>
      <c r="AG140" s="81"/>
      <c r="AJ140" s="87" t="s">
        <v>86</v>
      </c>
      <c r="AK140" s="87">
        <v>1</v>
      </c>
      <c r="BB140" s="192" t="s">
        <v>109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8"/>
      <c r="B141" s="368"/>
      <c r="C141" s="368"/>
      <c r="D141" s="368"/>
      <c r="E141" s="368"/>
      <c r="F141" s="368"/>
      <c r="G141" s="368"/>
      <c r="H141" s="368"/>
      <c r="I141" s="368"/>
      <c r="J141" s="368"/>
      <c r="K141" s="368"/>
      <c r="L141" s="368"/>
      <c r="M141" s="368"/>
      <c r="N141" s="368"/>
      <c r="O141" s="369"/>
      <c r="P141" s="365" t="s">
        <v>40</v>
      </c>
      <c r="Q141" s="366"/>
      <c r="R141" s="366"/>
      <c r="S141" s="366"/>
      <c r="T141" s="366"/>
      <c r="U141" s="366"/>
      <c r="V141" s="367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54" t="s">
        <v>238</v>
      </c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65"/>
      <c r="AB143" s="65"/>
      <c r="AC143" s="82"/>
    </row>
    <row r="144" spans="1:68" ht="14.25" customHeight="1" x14ac:dyDescent="0.25">
      <c r="A144" s="355" t="s">
        <v>149</v>
      </c>
      <c r="B144" s="355"/>
      <c r="C144" s="355"/>
      <c r="D144" s="355"/>
      <c r="E144" s="355"/>
      <c r="F144" s="355"/>
      <c r="G144" s="355"/>
      <c r="H144" s="355"/>
      <c r="I144" s="355"/>
      <c r="J144" s="355"/>
      <c r="K144" s="355"/>
      <c r="L144" s="355"/>
      <c r="M144" s="355"/>
      <c r="N144" s="355"/>
      <c r="O144" s="355"/>
      <c r="P144" s="355"/>
      <c r="Q144" s="355"/>
      <c r="R144" s="355"/>
      <c r="S144" s="355"/>
      <c r="T144" s="355"/>
      <c r="U144" s="355"/>
      <c r="V144" s="355"/>
      <c r="W144" s="355"/>
      <c r="X144" s="355"/>
      <c r="Y144" s="355"/>
      <c r="Z144" s="355"/>
      <c r="AA144" s="66"/>
      <c r="AB144" s="66"/>
      <c r="AC144" s="83"/>
    </row>
    <row r="145" spans="1:68" ht="27" customHeight="1" x14ac:dyDescent="0.25">
      <c r="A145" s="63" t="s">
        <v>239</v>
      </c>
      <c r="B145" s="63" t="s">
        <v>240</v>
      </c>
      <c r="C145" s="36">
        <v>4301135555</v>
      </c>
      <c r="D145" s="356">
        <v>4607111034014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110</v>
      </c>
      <c r="L145" s="37" t="s">
        <v>111</v>
      </c>
      <c r="M145" s="38" t="s">
        <v>83</v>
      </c>
      <c r="N145" s="38"/>
      <c r="O145" s="37">
        <v>180</v>
      </c>
      <c r="P145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3" t="s">
        <v>241</v>
      </c>
      <c r="AG145" s="81"/>
      <c r="AJ145" s="87" t="s">
        <v>112</v>
      </c>
      <c r="AK145" s="87">
        <v>14</v>
      </c>
      <c r="BB145" s="194" t="s">
        <v>109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242</v>
      </c>
      <c r="B146" s="63" t="s">
        <v>243</v>
      </c>
      <c r="C146" s="36">
        <v>4301135532</v>
      </c>
      <c r="D146" s="356">
        <v>4607111033994</v>
      </c>
      <c r="E146" s="356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110</v>
      </c>
      <c r="L146" s="37" t="s">
        <v>111</v>
      </c>
      <c r="M146" s="38" t="s">
        <v>83</v>
      </c>
      <c r="N146" s="38"/>
      <c r="O146" s="37">
        <v>180</v>
      </c>
      <c r="P146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58"/>
      <c r="R146" s="358"/>
      <c r="S146" s="358"/>
      <c r="T146" s="35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5" t="s">
        <v>167</v>
      </c>
      <c r="AG146" s="81"/>
      <c r="AJ146" s="87" t="s">
        <v>112</v>
      </c>
      <c r="AK146" s="87">
        <v>14</v>
      </c>
      <c r="BB146" s="196" t="s">
        <v>109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8"/>
      <c r="B147" s="368"/>
      <c r="C147" s="368"/>
      <c r="D147" s="368"/>
      <c r="E147" s="368"/>
      <c r="F147" s="368"/>
      <c r="G147" s="368"/>
      <c r="H147" s="368"/>
      <c r="I147" s="368"/>
      <c r="J147" s="368"/>
      <c r="K147" s="368"/>
      <c r="L147" s="368"/>
      <c r="M147" s="368"/>
      <c r="N147" s="368"/>
      <c r="O147" s="369"/>
      <c r="P147" s="365" t="s">
        <v>40</v>
      </c>
      <c r="Q147" s="366"/>
      <c r="R147" s="366"/>
      <c r="S147" s="366"/>
      <c r="T147" s="366"/>
      <c r="U147" s="366"/>
      <c r="V147" s="36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8"/>
      <c r="B148" s="368"/>
      <c r="C148" s="368"/>
      <c r="D148" s="368"/>
      <c r="E148" s="368"/>
      <c r="F148" s="368"/>
      <c r="G148" s="368"/>
      <c r="H148" s="368"/>
      <c r="I148" s="368"/>
      <c r="J148" s="368"/>
      <c r="K148" s="368"/>
      <c r="L148" s="368"/>
      <c r="M148" s="368"/>
      <c r="N148" s="368"/>
      <c r="O148" s="369"/>
      <c r="P148" s="365" t="s">
        <v>40</v>
      </c>
      <c r="Q148" s="366"/>
      <c r="R148" s="366"/>
      <c r="S148" s="366"/>
      <c r="T148" s="366"/>
      <c r="U148" s="366"/>
      <c r="V148" s="36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54" t="s">
        <v>244</v>
      </c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65"/>
      <c r="AB149" s="65"/>
      <c r="AC149" s="82"/>
    </row>
    <row r="150" spans="1:68" ht="14.25" customHeight="1" x14ac:dyDescent="0.25">
      <c r="A150" s="355" t="s">
        <v>149</v>
      </c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5"/>
      <c r="P150" s="355"/>
      <c r="Q150" s="355"/>
      <c r="R150" s="355"/>
      <c r="S150" s="355"/>
      <c r="T150" s="355"/>
      <c r="U150" s="355"/>
      <c r="V150" s="355"/>
      <c r="W150" s="355"/>
      <c r="X150" s="355"/>
      <c r="Y150" s="355"/>
      <c r="Z150" s="355"/>
      <c r="AA150" s="66"/>
      <c r="AB150" s="66"/>
      <c r="AC150" s="83"/>
    </row>
    <row r="151" spans="1:68" ht="27" customHeight="1" x14ac:dyDescent="0.25">
      <c r="A151" s="63" t="s">
        <v>245</v>
      </c>
      <c r="B151" s="63" t="s">
        <v>246</v>
      </c>
      <c r="C151" s="36">
        <v>4301135824</v>
      </c>
      <c r="D151" s="356">
        <v>4607111039095</v>
      </c>
      <c r="E151" s="356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110</v>
      </c>
      <c r="L151" s="37" t="s">
        <v>85</v>
      </c>
      <c r="M151" s="38" t="s">
        <v>83</v>
      </c>
      <c r="N151" s="38"/>
      <c r="O151" s="37">
        <v>180</v>
      </c>
      <c r="P151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7" t="s">
        <v>247</v>
      </c>
      <c r="AG151" s="81"/>
      <c r="AJ151" s="87" t="s">
        <v>86</v>
      </c>
      <c r="AK151" s="87">
        <v>1</v>
      </c>
      <c r="BB151" s="198" t="s">
        <v>109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248</v>
      </c>
      <c r="B152" s="63" t="s">
        <v>249</v>
      </c>
      <c r="C152" s="36">
        <v>4301135550</v>
      </c>
      <c r="D152" s="356">
        <v>4607111034199</v>
      </c>
      <c r="E152" s="356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110</v>
      </c>
      <c r="L152" s="37" t="s">
        <v>111</v>
      </c>
      <c r="M152" s="38" t="s">
        <v>83</v>
      </c>
      <c r="N152" s="38"/>
      <c r="O152" s="37">
        <v>180</v>
      </c>
      <c r="P152" s="41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58"/>
      <c r="R152" s="358"/>
      <c r="S152" s="358"/>
      <c r="T152" s="359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9" t="s">
        <v>250</v>
      </c>
      <c r="AG152" s="81"/>
      <c r="AJ152" s="87" t="s">
        <v>112</v>
      </c>
      <c r="AK152" s="87">
        <v>14</v>
      </c>
      <c r="BB152" s="200" t="s">
        <v>109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8"/>
      <c r="B153" s="368"/>
      <c r="C153" s="368"/>
      <c r="D153" s="368"/>
      <c r="E153" s="368"/>
      <c r="F153" s="368"/>
      <c r="G153" s="368"/>
      <c r="H153" s="368"/>
      <c r="I153" s="368"/>
      <c r="J153" s="368"/>
      <c r="K153" s="368"/>
      <c r="L153" s="368"/>
      <c r="M153" s="368"/>
      <c r="N153" s="368"/>
      <c r="O153" s="369"/>
      <c r="P153" s="365" t="s">
        <v>40</v>
      </c>
      <c r="Q153" s="366"/>
      <c r="R153" s="366"/>
      <c r="S153" s="366"/>
      <c r="T153" s="366"/>
      <c r="U153" s="366"/>
      <c r="V153" s="367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">
      <c r="A154" s="368"/>
      <c r="B154" s="368"/>
      <c r="C154" s="368"/>
      <c r="D154" s="368"/>
      <c r="E154" s="368"/>
      <c r="F154" s="368"/>
      <c r="G154" s="368"/>
      <c r="H154" s="368"/>
      <c r="I154" s="368"/>
      <c r="J154" s="368"/>
      <c r="K154" s="368"/>
      <c r="L154" s="368"/>
      <c r="M154" s="368"/>
      <c r="N154" s="368"/>
      <c r="O154" s="369"/>
      <c r="P154" s="365" t="s">
        <v>40</v>
      </c>
      <c r="Q154" s="366"/>
      <c r="R154" s="366"/>
      <c r="S154" s="366"/>
      <c r="T154" s="366"/>
      <c r="U154" s="366"/>
      <c r="V154" s="367"/>
      <c r="W154" s="42" t="s">
        <v>0</v>
      </c>
      <c r="X154" s="43">
        <f>IFERROR(SUMPRODUCT(X151:X152*H151:H152),"0")</f>
        <v>0</v>
      </c>
      <c r="Y154" s="43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54" t="s">
        <v>251</v>
      </c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65"/>
      <c r="AB155" s="65"/>
      <c r="AC155" s="82"/>
    </row>
    <row r="156" spans="1:68" ht="14.25" customHeight="1" x14ac:dyDescent="0.25">
      <c r="A156" s="355" t="s">
        <v>149</v>
      </c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5"/>
      <c r="P156" s="355"/>
      <c r="Q156" s="355"/>
      <c r="R156" s="355"/>
      <c r="S156" s="355"/>
      <c r="T156" s="355"/>
      <c r="U156" s="355"/>
      <c r="V156" s="355"/>
      <c r="W156" s="355"/>
      <c r="X156" s="355"/>
      <c r="Y156" s="355"/>
      <c r="Z156" s="355"/>
      <c r="AA156" s="66"/>
      <c r="AB156" s="66"/>
      <c r="AC156" s="83"/>
    </row>
    <row r="157" spans="1:68" ht="27" customHeight="1" x14ac:dyDescent="0.25">
      <c r="A157" s="63" t="s">
        <v>252</v>
      </c>
      <c r="B157" s="63" t="s">
        <v>253</v>
      </c>
      <c r="C157" s="36">
        <v>4301135753</v>
      </c>
      <c r="D157" s="356">
        <v>4620207490914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110</v>
      </c>
      <c r="L157" s="37" t="s">
        <v>85</v>
      </c>
      <c r="M157" s="38" t="s">
        <v>83</v>
      </c>
      <c r="N157" s="38"/>
      <c r="O157" s="37">
        <v>180</v>
      </c>
      <c r="P157" s="42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1" t="s">
        <v>241</v>
      </c>
      <c r="AG157" s="81"/>
      <c r="AJ157" s="87" t="s">
        <v>86</v>
      </c>
      <c r="AK157" s="87">
        <v>1</v>
      </c>
      <c r="BB157" s="202" t="s">
        <v>109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254</v>
      </c>
      <c r="B158" s="63" t="s">
        <v>255</v>
      </c>
      <c r="C158" s="36">
        <v>4301135778</v>
      </c>
      <c r="D158" s="356">
        <v>4620207490853</v>
      </c>
      <c r="E158" s="356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110</v>
      </c>
      <c r="L158" s="37" t="s">
        <v>111</v>
      </c>
      <c r="M158" s="38" t="s">
        <v>83</v>
      </c>
      <c r="N158" s="38"/>
      <c r="O158" s="37">
        <v>180</v>
      </c>
      <c r="P158" s="42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58"/>
      <c r="R158" s="358"/>
      <c r="S158" s="358"/>
      <c r="T158" s="359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3" t="s">
        <v>241</v>
      </c>
      <c r="AG158" s="81"/>
      <c r="AJ158" s="87" t="s">
        <v>112</v>
      </c>
      <c r="AK158" s="87">
        <v>14</v>
      </c>
      <c r="BB158" s="204" t="s">
        <v>109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x14ac:dyDescent="0.2">
      <c r="A159" s="368"/>
      <c r="B159" s="368"/>
      <c r="C159" s="368"/>
      <c r="D159" s="368"/>
      <c r="E159" s="368"/>
      <c r="F159" s="368"/>
      <c r="G159" s="368"/>
      <c r="H159" s="368"/>
      <c r="I159" s="368"/>
      <c r="J159" s="368"/>
      <c r="K159" s="368"/>
      <c r="L159" s="368"/>
      <c r="M159" s="368"/>
      <c r="N159" s="368"/>
      <c r="O159" s="369"/>
      <c r="P159" s="365" t="s">
        <v>40</v>
      </c>
      <c r="Q159" s="366"/>
      <c r="R159" s="366"/>
      <c r="S159" s="366"/>
      <c r="T159" s="366"/>
      <c r="U159" s="366"/>
      <c r="V159" s="367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54" t="s">
        <v>256</v>
      </c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65"/>
      <c r="AB161" s="65"/>
      <c r="AC161" s="82"/>
    </row>
    <row r="162" spans="1:68" ht="14.25" customHeight="1" x14ac:dyDescent="0.25">
      <c r="A162" s="355" t="s">
        <v>149</v>
      </c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5"/>
      <c r="P162" s="355"/>
      <c r="Q162" s="355"/>
      <c r="R162" s="355"/>
      <c r="S162" s="355"/>
      <c r="T162" s="355"/>
      <c r="U162" s="355"/>
      <c r="V162" s="355"/>
      <c r="W162" s="355"/>
      <c r="X162" s="355"/>
      <c r="Y162" s="355"/>
      <c r="Z162" s="355"/>
      <c r="AA162" s="66"/>
      <c r="AB162" s="66"/>
      <c r="AC162" s="83"/>
    </row>
    <row r="163" spans="1:68" ht="27" customHeight="1" x14ac:dyDescent="0.25">
      <c r="A163" s="63" t="s">
        <v>257</v>
      </c>
      <c r="B163" s="63" t="s">
        <v>258</v>
      </c>
      <c r="C163" s="36">
        <v>4301135570</v>
      </c>
      <c r="D163" s="356">
        <v>4607111035806</v>
      </c>
      <c r="E163" s="356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110</v>
      </c>
      <c r="L163" s="37" t="s">
        <v>111</v>
      </c>
      <c r="M163" s="38" t="s">
        <v>83</v>
      </c>
      <c r="N163" s="38"/>
      <c r="O163" s="37">
        <v>180</v>
      </c>
      <c r="P163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358"/>
      <c r="R163" s="358"/>
      <c r="S163" s="358"/>
      <c r="T163" s="359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05" t="s">
        <v>259</v>
      </c>
      <c r="AG163" s="81"/>
      <c r="AJ163" s="87" t="s">
        <v>112</v>
      </c>
      <c r="AK163" s="87">
        <v>14</v>
      </c>
      <c r="BB163" s="206" t="s">
        <v>109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x14ac:dyDescent="0.2">
      <c r="A164" s="368"/>
      <c r="B164" s="368"/>
      <c r="C164" s="368"/>
      <c r="D164" s="368"/>
      <c r="E164" s="368"/>
      <c r="F164" s="368"/>
      <c r="G164" s="368"/>
      <c r="H164" s="368"/>
      <c r="I164" s="368"/>
      <c r="J164" s="368"/>
      <c r="K164" s="368"/>
      <c r="L164" s="368"/>
      <c r="M164" s="368"/>
      <c r="N164" s="368"/>
      <c r="O164" s="369"/>
      <c r="P164" s="365" t="s">
        <v>40</v>
      </c>
      <c r="Q164" s="366"/>
      <c r="R164" s="366"/>
      <c r="S164" s="366"/>
      <c r="T164" s="366"/>
      <c r="U164" s="366"/>
      <c r="V164" s="367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54" t="s">
        <v>260</v>
      </c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65"/>
      <c r="AB166" s="65"/>
      <c r="AC166" s="82"/>
    </row>
    <row r="167" spans="1:68" ht="14.25" customHeight="1" x14ac:dyDescent="0.25">
      <c r="A167" s="355" t="s">
        <v>149</v>
      </c>
      <c r="B167" s="355"/>
      <c r="C167" s="355"/>
      <c r="D167" s="355"/>
      <c r="E167" s="355"/>
      <c r="F167" s="355"/>
      <c r="G167" s="355"/>
      <c r="H167" s="355"/>
      <c r="I167" s="355"/>
      <c r="J167" s="355"/>
      <c r="K167" s="355"/>
      <c r="L167" s="355"/>
      <c r="M167" s="355"/>
      <c r="N167" s="355"/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355"/>
      <c r="Z167" s="355"/>
      <c r="AA167" s="66"/>
      <c r="AB167" s="66"/>
      <c r="AC167" s="83"/>
    </row>
    <row r="168" spans="1:68" ht="16.5" customHeight="1" x14ac:dyDescent="0.25">
      <c r="A168" s="63" t="s">
        <v>261</v>
      </c>
      <c r="B168" s="63" t="s">
        <v>262</v>
      </c>
      <c r="C168" s="36">
        <v>4301135607</v>
      </c>
      <c r="D168" s="356">
        <v>4607111039613</v>
      </c>
      <c r="E168" s="356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110</v>
      </c>
      <c r="L168" s="37" t="s">
        <v>111</v>
      </c>
      <c r="M168" s="38" t="s">
        <v>83</v>
      </c>
      <c r="N168" s="38"/>
      <c r="O168" s="37">
        <v>180</v>
      </c>
      <c r="P168" s="42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58"/>
      <c r="R168" s="358"/>
      <c r="S168" s="358"/>
      <c r="T168" s="359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07" t="s">
        <v>247</v>
      </c>
      <c r="AG168" s="81"/>
      <c r="AJ168" s="87" t="s">
        <v>112</v>
      </c>
      <c r="AK168" s="87">
        <v>14</v>
      </c>
      <c r="BB168" s="208" t="s">
        <v>109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68"/>
      <c r="B169" s="368"/>
      <c r="C169" s="368"/>
      <c r="D169" s="368"/>
      <c r="E169" s="368"/>
      <c r="F169" s="368"/>
      <c r="G169" s="368"/>
      <c r="H169" s="368"/>
      <c r="I169" s="368"/>
      <c r="J169" s="368"/>
      <c r="K169" s="368"/>
      <c r="L169" s="368"/>
      <c r="M169" s="368"/>
      <c r="N169" s="368"/>
      <c r="O169" s="369"/>
      <c r="P169" s="365" t="s">
        <v>40</v>
      </c>
      <c r="Q169" s="366"/>
      <c r="R169" s="366"/>
      <c r="S169" s="366"/>
      <c r="T169" s="366"/>
      <c r="U169" s="366"/>
      <c r="V169" s="367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54" t="s">
        <v>263</v>
      </c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65"/>
      <c r="AB171" s="65"/>
      <c r="AC171" s="82"/>
    </row>
    <row r="172" spans="1:68" ht="14.25" customHeight="1" x14ac:dyDescent="0.25">
      <c r="A172" s="355" t="s">
        <v>149</v>
      </c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5"/>
      <c r="P172" s="355"/>
      <c r="Q172" s="355"/>
      <c r="R172" s="355"/>
      <c r="S172" s="355"/>
      <c r="T172" s="355"/>
      <c r="U172" s="355"/>
      <c r="V172" s="355"/>
      <c r="W172" s="355"/>
      <c r="X172" s="355"/>
      <c r="Y172" s="355"/>
      <c r="Z172" s="355"/>
      <c r="AA172" s="66"/>
      <c r="AB172" s="66"/>
      <c r="AC172" s="83"/>
    </row>
    <row r="173" spans="1:68" ht="27" customHeight="1" x14ac:dyDescent="0.25">
      <c r="A173" s="63" t="s">
        <v>264</v>
      </c>
      <c r="B173" s="63" t="s">
        <v>265</v>
      </c>
      <c r="C173" s="36">
        <v>4301135591</v>
      </c>
      <c r="D173" s="356">
        <v>4607111036568</v>
      </c>
      <c r="E173" s="356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110</v>
      </c>
      <c r="L173" s="37" t="s">
        <v>111</v>
      </c>
      <c r="M173" s="38" t="s">
        <v>83</v>
      </c>
      <c r="N173" s="38"/>
      <c r="O173" s="37">
        <v>180</v>
      </c>
      <c r="P173" s="4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58"/>
      <c r="R173" s="358"/>
      <c r="S173" s="358"/>
      <c r="T173" s="35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09" t="s">
        <v>266</v>
      </c>
      <c r="AG173" s="81"/>
      <c r="AJ173" s="87" t="s">
        <v>112</v>
      </c>
      <c r="AK173" s="87">
        <v>14</v>
      </c>
      <c r="BB173" s="210" t="s">
        <v>109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8"/>
      <c r="B174" s="368"/>
      <c r="C174" s="368"/>
      <c r="D174" s="368"/>
      <c r="E174" s="368"/>
      <c r="F174" s="368"/>
      <c r="G174" s="368"/>
      <c r="H174" s="368"/>
      <c r="I174" s="368"/>
      <c r="J174" s="368"/>
      <c r="K174" s="368"/>
      <c r="L174" s="368"/>
      <c r="M174" s="368"/>
      <c r="N174" s="368"/>
      <c r="O174" s="369"/>
      <c r="P174" s="365" t="s">
        <v>40</v>
      </c>
      <c r="Q174" s="366"/>
      <c r="R174" s="366"/>
      <c r="S174" s="366"/>
      <c r="T174" s="366"/>
      <c r="U174" s="366"/>
      <c r="V174" s="367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53" t="s">
        <v>267</v>
      </c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54"/>
      <c r="AB176" s="54"/>
      <c r="AC176" s="54"/>
    </row>
    <row r="177" spans="1:68" ht="16.5" customHeight="1" x14ac:dyDescent="0.25">
      <c r="A177" s="354" t="s">
        <v>268</v>
      </c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65"/>
      <c r="AB177" s="65"/>
      <c r="AC177" s="82"/>
    </row>
    <row r="178" spans="1:68" ht="14.25" customHeight="1" x14ac:dyDescent="0.25">
      <c r="A178" s="355" t="s">
        <v>79</v>
      </c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  <c r="U178" s="355"/>
      <c r="V178" s="355"/>
      <c r="W178" s="355"/>
      <c r="X178" s="355"/>
      <c r="Y178" s="355"/>
      <c r="Z178" s="355"/>
      <c r="AA178" s="66"/>
      <c r="AB178" s="66"/>
      <c r="AC178" s="83"/>
    </row>
    <row r="179" spans="1:68" ht="16.5" customHeight="1" x14ac:dyDescent="0.25">
      <c r="A179" s="63" t="s">
        <v>269</v>
      </c>
      <c r="B179" s="63" t="s">
        <v>270</v>
      </c>
      <c r="C179" s="36">
        <v>4301071062</v>
      </c>
      <c r="D179" s="356">
        <v>4607111036384</v>
      </c>
      <c r="E179" s="356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84</v>
      </c>
      <c r="L179" s="37" t="s">
        <v>85</v>
      </c>
      <c r="M179" s="38" t="s">
        <v>83</v>
      </c>
      <c r="N179" s="38"/>
      <c r="O179" s="37">
        <v>180</v>
      </c>
      <c r="P179" s="42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58"/>
      <c r="R179" s="358"/>
      <c r="S179" s="358"/>
      <c r="T179" s="35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1" t="s">
        <v>271</v>
      </c>
      <c r="AG179" s="81"/>
      <c r="AJ179" s="87" t="s">
        <v>86</v>
      </c>
      <c r="AK179" s="87">
        <v>1</v>
      </c>
      <c r="BB179" s="212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272</v>
      </c>
      <c r="B180" s="63" t="s">
        <v>273</v>
      </c>
      <c r="C180" s="36">
        <v>4301071050</v>
      </c>
      <c r="D180" s="356">
        <v>4607111036216</v>
      </c>
      <c r="E180" s="356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84</v>
      </c>
      <c r="L180" s="37" t="s">
        <v>111</v>
      </c>
      <c r="M180" s="38" t="s">
        <v>83</v>
      </c>
      <c r="N180" s="38"/>
      <c r="O180" s="37">
        <v>180</v>
      </c>
      <c r="P180" s="4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58"/>
      <c r="R180" s="358"/>
      <c r="S180" s="358"/>
      <c r="T180" s="35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3" t="s">
        <v>274</v>
      </c>
      <c r="AG180" s="81"/>
      <c r="AJ180" s="87" t="s">
        <v>112</v>
      </c>
      <c r="AK180" s="87">
        <v>12</v>
      </c>
      <c r="BB180" s="214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68"/>
      <c r="B181" s="368"/>
      <c r="C181" s="368"/>
      <c r="D181" s="368"/>
      <c r="E181" s="368"/>
      <c r="F181" s="368"/>
      <c r="G181" s="368"/>
      <c r="H181" s="368"/>
      <c r="I181" s="368"/>
      <c r="J181" s="368"/>
      <c r="K181" s="368"/>
      <c r="L181" s="368"/>
      <c r="M181" s="368"/>
      <c r="N181" s="368"/>
      <c r="O181" s="369"/>
      <c r="P181" s="365" t="s">
        <v>40</v>
      </c>
      <c r="Q181" s="366"/>
      <c r="R181" s="366"/>
      <c r="S181" s="366"/>
      <c r="T181" s="366"/>
      <c r="U181" s="366"/>
      <c r="V181" s="367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4.25" customHeight="1" x14ac:dyDescent="0.25">
      <c r="A183" s="355" t="s">
        <v>275</v>
      </c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66"/>
      <c r="AB183" s="66"/>
      <c r="AC183" s="83"/>
    </row>
    <row r="184" spans="1:68" ht="27" customHeight="1" x14ac:dyDescent="0.25">
      <c r="A184" s="63" t="s">
        <v>276</v>
      </c>
      <c r="B184" s="63" t="s">
        <v>277</v>
      </c>
      <c r="C184" s="36">
        <v>4301080153</v>
      </c>
      <c r="D184" s="356">
        <v>4607111036827</v>
      </c>
      <c r="E184" s="356"/>
      <c r="F184" s="62">
        <v>1</v>
      </c>
      <c r="G184" s="37">
        <v>5</v>
      </c>
      <c r="H184" s="62">
        <v>5</v>
      </c>
      <c r="I184" s="62">
        <v>5.2</v>
      </c>
      <c r="J184" s="37">
        <v>144</v>
      </c>
      <c r="K184" s="37" t="s">
        <v>84</v>
      </c>
      <c r="L184" s="37" t="s">
        <v>85</v>
      </c>
      <c r="M184" s="38" t="s">
        <v>83</v>
      </c>
      <c r="N184" s="38"/>
      <c r="O184" s="37">
        <v>90</v>
      </c>
      <c r="P184" s="42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IFERROR(IF(X184="","",X184*0.00866),"")</f>
        <v>0</v>
      </c>
      <c r="AA184" s="68" t="s">
        <v>46</v>
      </c>
      <c r="AB184" s="69" t="s">
        <v>46</v>
      </c>
      <c r="AC184" s="215" t="s">
        <v>278</v>
      </c>
      <c r="AG184" s="81"/>
      <c r="AJ184" s="87" t="s">
        <v>86</v>
      </c>
      <c r="AK184" s="87">
        <v>1</v>
      </c>
      <c r="BB184" s="216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279</v>
      </c>
      <c r="B185" s="63" t="s">
        <v>280</v>
      </c>
      <c r="C185" s="36">
        <v>4301080154</v>
      </c>
      <c r="D185" s="356">
        <v>4607111036834</v>
      </c>
      <c r="E185" s="356"/>
      <c r="F185" s="62">
        <v>1</v>
      </c>
      <c r="G185" s="37">
        <v>5</v>
      </c>
      <c r="H185" s="62">
        <v>5</v>
      </c>
      <c r="I185" s="62">
        <v>5.2530000000000001</v>
      </c>
      <c r="J185" s="37">
        <v>144</v>
      </c>
      <c r="K185" s="37" t="s">
        <v>84</v>
      </c>
      <c r="L185" s="37" t="s">
        <v>85</v>
      </c>
      <c r="M185" s="38" t="s">
        <v>83</v>
      </c>
      <c r="N185" s="38"/>
      <c r="O185" s="37">
        <v>90</v>
      </c>
      <c r="P185" s="42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358"/>
      <c r="R185" s="358"/>
      <c r="S185" s="358"/>
      <c r="T185" s="359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7" t="s">
        <v>278</v>
      </c>
      <c r="AG185" s="81"/>
      <c r="AJ185" s="87" t="s">
        <v>86</v>
      </c>
      <c r="AK185" s="87">
        <v>1</v>
      </c>
      <c r="BB185" s="218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68"/>
      <c r="B186" s="368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9"/>
      <c r="P186" s="365" t="s">
        <v>40</v>
      </c>
      <c r="Q186" s="366"/>
      <c r="R186" s="366"/>
      <c r="S186" s="366"/>
      <c r="T186" s="366"/>
      <c r="U186" s="366"/>
      <c r="V186" s="367"/>
      <c r="W186" s="42" t="s">
        <v>39</v>
      </c>
      <c r="X186" s="43">
        <f>IFERROR(SUM(X184:X185),"0")</f>
        <v>0</v>
      </c>
      <c r="Y186" s="43">
        <f>IFERROR(SUM(Y184:Y185),"0")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0</v>
      </c>
      <c r="X187" s="43">
        <f>IFERROR(SUMPRODUCT(X184:X185*H184:H185),"0")</f>
        <v>0</v>
      </c>
      <c r="Y187" s="43">
        <f>IFERROR(SUMPRODUCT(Y184:Y185*H184:H185),"0")</f>
        <v>0</v>
      </c>
      <c r="Z187" s="42"/>
      <c r="AA187" s="67"/>
      <c r="AB187" s="67"/>
      <c r="AC187" s="67"/>
    </row>
    <row r="188" spans="1:68" ht="27.75" customHeight="1" x14ac:dyDescent="0.2">
      <c r="A188" s="353" t="s">
        <v>281</v>
      </c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54"/>
      <c r="AB188" s="54"/>
      <c r="AC188" s="54"/>
    </row>
    <row r="189" spans="1:68" ht="16.5" customHeight="1" x14ac:dyDescent="0.25">
      <c r="A189" s="354" t="s">
        <v>282</v>
      </c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65"/>
      <c r="AB189" s="65"/>
      <c r="AC189" s="82"/>
    </row>
    <row r="190" spans="1:68" ht="14.25" customHeight="1" x14ac:dyDescent="0.25">
      <c r="A190" s="355" t="s">
        <v>105</v>
      </c>
      <c r="B190" s="355"/>
      <c r="C190" s="355"/>
      <c r="D190" s="355"/>
      <c r="E190" s="355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  <c r="T190" s="355"/>
      <c r="U190" s="355"/>
      <c r="V190" s="355"/>
      <c r="W190" s="355"/>
      <c r="X190" s="355"/>
      <c r="Y190" s="355"/>
      <c r="Z190" s="355"/>
      <c r="AA190" s="66"/>
      <c r="AB190" s="66"/>
      <c r="AC190" s="83"/>
    </row>
    <row r="191" spans="1:68" ht="16.5" customHeight="1" x14ac:dyDescent="0.25">
      <c r="A191" s="63" t="s">
        <v>283</v>
      </c>
      <c r="B191" s="63" t="s">
        <v>284</v>
      </c>
      <c r="C191" s="36">
        <v>4301132179</v>
      </c>
      <c r="D191" s="356">
        <v>4607111035691</v>
      </c>
      <c r="E191" s="35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110</v>
      </c>
      <c r="L191" s="37" t="s">
        <v>111</v>
      </c>
      <c r="M191" s="38" t="s">
        <v>83</v>
      </c>
      <c r="N191" s="38"/>
      <c r="O191" s="37">
        <v>365</v>
      </c>
      <c r="P191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9" t="s">
        <v>285</v>
      </c>
      <c r="AG191" s="81"/>
      <c r="AJ191" s="87" t="s">
        <v>112</v>
      </c>
      <c r="AK191" s="87">
        <v>14</v>
      </c>
      <c r="BB191" s="220" t="s">
        <v>109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286</v>
      </c>
      <c r="B192" s="63" t="s">
        <v>287</v>
      </c>
      <c r="C192" s="36">
        <v>4301132182</v>
      </c>
      <c r="D192" s="356">
        <v>4607111035721</v>
      </c>
      <c r="E192" s="356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110</v>
      </c>
      <c r="L192" s="37" t="s">
        <v>111</v>
      </c>
      <c r="M192" s="38" t="s">
        <v>83</v>
      </c>
      <c r="N192" s="38"/>
      <c r="O192" s="37">
        <v>365</v>
      </c>
      <c r="P192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1" t="s">
        <v>288</v>
      </c>
      <c r="AG192" s="81"/>
      <c r="AJ192" s="87" t="s">
        <v>112</v>
      </c>
      <c r="AK192" s="87">
        <v>14</v>
      </c>
      <c r="BB192" s="222" t="s">
        <v>109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289</v>
      </c>
      <c r="B193" s="63" t="s">
        <v>290</v>
      </c>
      <c r="C193" s="36">
        <v>4301132170</v>
      </c>
      <c r="D193" s="356">
        <v>4607111038487</v>
      </c>
      <c r="E193" s="356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110</v>
      </c>
      <c r="L193" s="37" t="s">
        <v>111</v>
      </c>
      <c r="M193" s="38" t="s">
        <v>83</v>
      </c>
      <c r="N193" s="38"/>
      <c r="O193" s="37">
        <v>180</v>
      </c>
      <c r="P193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3" t="s">
        <v>291</v>
      </c>
      <c r="AG193" s="81"/>
      <c r="AJ193" s="87" t="s">
        <v>112</v>
      </c>
      <c r="AK193" s="87">
        <v>14</v>
      </c>
      <c r="BB193" s="224" t="s">
        <v>109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292</v>
      </c>
      <c r="B194" s="63" t="s">
        <v>293</v>
      </c>
      <c r="C194" s="36">
        <v>4301132243</v>
      </c>
      <c r="D194" s="356">
        <v>4620207491195</v>
      </c>
      <c r="E194" s="356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110</v>
      </c>
      <c r="L194" s="37" t="s">
        <v>85</v>
      </c>
      <c r="M194" s="38" t="s">
        <v>83</v>
      </c>
      <c r="N194" s="38"/>
      <c r="O194" s="37">
        <v>180</v>
      </c>
      <c r="P194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58"/>
      <c r="R194" s="358"/>
      <c r="S194" s="358"/>
      <c r="T194" s="359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5" t="s">
        <v>294</v>
      </c>
      <c r="AG194" s="81"/>
      <c r="AJ194" s="87" t="s">
        <v>86</v>
      </c>
      <c r="AK194" s="87">
        <v>1</v>
      </c>
      <c r="BB194" s="226" t="s">
        <v>109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68"/>
      <c r="B195" s="368"/>
      <c r="C195" s="368"/>
      <c r="D195" s="368"/>
      <c r="E195" s="368"/>
      <c r="F195" s="368"/>
      <c r="G195" s="368"/>
      <c r="H195" s="368"/>
      <c r="I195" s="368"/>
      <c r="J195" s="368"/>
      <c r="K195" s="368"/>
      <c r="L195" s="368"/>
      <c r="M195" s="368"/>
      <c r="N195" s="368"/>
      <c r="O195" s="369"/>
      <c r="P195" s="365" t="s">
        <v>40</v>
      </c>
      <c r="Q195" s="366"/>
      <c r="R195" s="366"/>
      <c r="S195" s="366"/>
      <c r="T195" s="366"/>
      <c r="U195" s="366"/>
      <c r="V195" s="367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0</v>
      </c>
      <c r="X196" s="43">
        <f>IFERROR(SUMPRODUCT(X191:X194*H191:H194),"0")</f>
        <v>0</v>
      </c>
      <c r="Y196" s="43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53" t="s">
        <v>295</v>
      </c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54"/>
      <c r="AB197" s="54"/>
      <c r="AC197" s="54"/>
    </row>
    <row r="198" spans="1:68" ht="16.5" customHeight="1" x14ac:dyDescent="0.25">
      <c r="A198" s="354" t="s">
        <v>296</v>
      </c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65"/>
      <c r="AB198" s="65"/>
      <c r="AC198" s="82"/>
    </row>
    <row r="199" spans="1:68" ht="14.25" customHeight="1" x14ac:dyDescent="0.25">
      <c r="A199" s="355" t="s">
        <v>105</v>
      </c>
      <c r="B199" s="355"/>
      <c r="C199" s="355"/>
      <c r="D199" s="355"/>
      <c r="E199" s="355"/>
      <c r="F199" s="355"/>
      <c r="G199" s="355"/>
      <c r="H199" s="355"/>
      <c r="I199" s="355"/>
      <c r="J199" s="355"/>
      <c r="K199" s="355"/>
      <c r="L199" s="355"/>
      <c r="M199" s="355"/>
      <c r="N199" s="355"/>
      <c r="O199" s="355"/>
      <c r="P199" s="355"/>
      <c r="Q199" s="355"/>
      <c r="R199" s="355"/>
      <c r="S199" s="355"/>
      <c r="T199" s="355"/>
      <c r="U199" s="355"/>
      <c r="V199" s="355"/>
      <c r="W199" s="355"/>
      <c r="X199" s="355"/>
      <c r="Y199" s="355"/>
      <c r="Z199" s="355"/>
      <c r="AA199" s="66"/>
      <c r="AB199" s="66"/>
      <c r="AC199" s="83"/>
    </row>
    <row r="200" spans="1:68" ht="27" customHeight="1" x14ac:dyDescent="0.25">
      <c r="A200" s="63" t="s">
        <v>297</v>
      </c>
      <c r="B200" s="63" t="s">
        <v>298</v>
      </c>
      <c r="C200" s="36">
        <v>4301132227</v>
      </c>
      <c r="D200" s="356">
        <v>4620207491133</v>
      </c>
      <c r="E200" s="356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110</v>
      </c>
      <c r="L200" s="37" t="s">
        <v>111</v>
      </c>
      <c r="M200" s="38" t="s">
        <v>83</v>
      </c>
      <c r="N200" s="38"/>
      <c r="O200" s="37">
        <v>180</v>
      </c>
      <c r="P200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58"/>
      <c r="R200" s="358"/>
      <c r="S200" s="358"/>
      <c r="T200" s="35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299</v>
      </c>
      <c r="AG200" s="81"/>
      <c r="AJ200" s="87" t="s">
        <v>112</v>
      </c>
      <c r="AK200" s="87">
        <v>14</v>
      </c>
      <c r="BB200" s="228" t="s">
        <v>109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8"/>
      <c r="B201" s="368"/>
      <c r="C201" s="368"/>
      <c r="D201" s="368"/>
      <c r="E201" s="368"/>
      <c r="F201" s="368"/>
      <c r="G201" s="368"/>
      <c r="H201" s="368"/>
      <c r="I201" s="368"/>
      <c r="J201" s="368"/>
      <c r="K201" s="368"/>
      <c r="L201" s="368"/>
      <c r="M201" s="368"/>
      <c r="N201" s="368"/>
      <c r="O201" s="369"/>
      <c r="P201" s="365" t="s">
        <v>40</v>
      </c>
      <c r="Q201" s="366"/>
      <c r="R201" s="366"/>
      <c r="S201" s="366"/>
      <c r="T201" s="366"/>
      <c r="U201" s="366"/>
      <c r="V201" s="367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55" t="s">
        <v>149</v>
      </c>
      <c r="B203" s="355"/>
      <c r="C203" s="355"/>
      <c r="D203" s="355"/>
      <c r="E203" s="355"/>
      <c r="F203" s="355"/>
      <c r="G203" s="355"/>
      <c r="H203" s="355"/>
      <c r="I203" s="355"/>
      <c r="J203" s="355"/>
      <c r="K203" s="355"/>
      <c r="L203" s="355"/>
      <c r="M203" s="355"/>
      <c r="N203" s="355"/>
      <c r="O203" s="355"/>
      <c r="P203" s="355"/>
      <c r="Q203" s="355"/>
      <c r="R203" s="355"/>
      <c r="S203" s="355"/>
      <c r="T203" s="355"/>
      <c r="U203" s="355"/>
      <c r="V203" s="355"/>
      <c r="W203" s="355"/>
      <c r="X203" s="355"/>
      <c r="Y203" s="355"/>
      <c r="Z203" s="355"/>
      <c r="AA203" s="66"/>
      <c r="AB203" s="66"/>
      <c r="AC203" s="83"/>
    </row>
    <row r="204" spans="1:68" ht="27" customHeight="1" x14ac:dyDescent="0.25">
      <c r="A204" s="63" t="s">
        <v>300</v>
      </c>
      <c r="B204" s="63" t="s">
        <v>301</v>
      </c>
      <c r="C204" s="36">
        <v>4301135834</v>
      </c>
      <c r="D204" s="356">
        <v>4620207491188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110</v>
      </c>
      <c r="L204" s="37" t="s">
        <v>85</v>
      </c>
      <c r="M204" s="38" t="s">
        <v>83</v>
      </c>
      <c r="N204" s="38"/>
      <c r="O204" s="37">
        <v>180</v>
      </c>
      <c r="P20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302</v>
      </c>
      <c r="AG204" s="81"/>
      <c r="AJ204" s="87" t="s">
        <v>86</v>
      </c>
      <c r="AK204" s="87">
        <v>1</v>
      </c>
      <c r="BB204" s="230" t="s">
        <v>109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303</v>
      </c>
      <c r="B205" s="63" t="s">
        <v>304</v>
      </c>
      <c r="C205" s="36">
        <v>4301135829</v>
      </c>
      <c r="D205" s="356">
        <v>4620207490235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110</v>
      </c>
      <c r="L205" s="37" t="s">
        <v>85</v>
      </c>
      <c r="M205" s="38" t="s">
        <v>83</v>
      </c>
      <c r="N205" s="38"/>
      <c r="O205" s="37">
        <v>180</v>
      </c>
      <c r="P205" s="43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305</v>
      </c>
      <c r="AG205" s="81"/>
      <c r="AJ205" s="87" t="s">
        <v>86</v>
      </c>
      <c r="AK205" s="87">
        <v>1</v>
      </c>
      <c r="BB205" s="232" t="s">
        <v>109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306</v>
      </c>
      <c r="B206" s="63" t="s">
        <v>307</v>
      </c>
      <c r="C206" s="36">
        <v>4301135697</v>
      </c>
      <c r="D206" s="356">
        <v>4620207490259</v>
      </c>
      <c r="E206" s="356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110</v>
      </c>
      <c r="L206" s="37" t="s">
        <v>111</v>
      </c>
      <c r="M206" s="38" t="s">
        <v>83</v>
      </c>
      <c r="N206" s="38"/>
      <c r="O206" s="37">
        <v>180</v>
      </c>
      <c r="P206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8"/>
      <c r="R206" s="358"/>
      <c r="S206" s="358"/>
      <c r="T206" s="359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308</v>
      </c>
      <c r="AG206" s="81"/>
      <c r="AJ206" s="87" t="s">
        <v>112</v>
      </c>
      <c r="AK206" s="87">
        <v>14</v>
      </c>
      <c r="BB206" s="234" t="s">
        <v>109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68"/>
      <c r="B207" s="368"/>
      <c r="C207" s="368"/>
      <c r="D207" s="368"/>
      <c r="E207" s="368"/>
      <c r="F207" s="368"/>
      <c r="G207" s="368"/>
      <c r="H207" s="368"/>
      <c r="I207" s="368"/>
      <c r="J207" s="368"/>
      <c r="K207" s="368"/>
      <c r="L207" s="368"/>
      <c r="M207" s="368"/>
      <c r="N207" s="368"/>
      <c r="O207" s="369"/>
      <c r="P207" s="365" t="s">
        <v>40</v>
      </c>
      <c r="Q207" s="366"/>
      <c r="R207" s="366"/>
      <c r="S207" s="366"/>
      <c r="T207" s="366"/>
      <c r="U207" s="366"/>
      <c r="V207" s="367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68"/>
      <c r="B208" s="368"/>
      <c r="C208" s="368"/>
      <c r="D208" s="368"/>
      <c r="E208" s="368"/>
      <c r="F208" s="368"/>
      <c r="G208" s="368"/>
      <c r="H208" s="368"/>
      <c r="I208" s="368"/>
      <c r="J208" s="368"/>
      <c r="K208" s="368"/>
      <c r="L208" s="368"/>
      <c r="M208" s="368"/>
      <c r="N208" s="368"/>
      <c r="O208" s="369"/>
      <c r="P208" s="365" t="s">
        <v>40</v>
      </c>
      <c r="Q208" s="366"/>
      <c r="R208" s="366"/>
      <c r="S208" s="366"/>
      <c r="T208" s="366"/>
      <c r="U208" s="366"/>
      <c r="V208" s="367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54" t="s">
        <v>309</v>
      </c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65"/>
      <c r="AB209" s="65"/>
      <c r="AC209" s="82"/>
    </row>
    <row r="210" spans="1:68" ht="14.25" customHeight="1" x14ac:dyDescent="0.25">
      <c r="A210" s="355" t="s">
        <v>149</v>
      </c>
      <c r="B210" s="355"/>
      <c r="C210" s="355"/>
      <c r="D210" s="355"/>
      <c r="E210" s="355"/>
      <c r="F210" s="355"/>
      <c r="G210" s="355"/>
      <c r="H210" s="355"/>
      <c r="I210" s="355"/>
      <c r="J210" s="355"/>
      <c r="K210" s="355"/>
      <c r="L210" s="355"/>
      <c r="M210" s="355"/>
      <c r="N210" s="355"/>
      <c r="O210" s="355"/>
      <c r="P210" s="355"/>
      <c r="Q210" s="355"/>
      <c r="R210" s="355"/>
      <c r="S210" s="355"/>
      <c r="T210" s="355"/>
      <c r="U210" s="355"/>
      <c r="V210" s="355"/>
      <c r="W210" s="355"/>
      <c r="X210" s="355"/>
      <c r="Y210" s="355"/>
      <c r="Z210" s="355"/>
      <c r="AA210" s="66"/>
      <c r="AB210" s="66"/>
      <c r="AC210" s="83"/>
    </row>
    <row r="211" spans="1:68" ht="27" customHeight="1" x14ac:dyDescent="0.25">
      <c r="A211" s="63" t="s">
        <v>310</v>
      </c>
      <c r="B211" s="63" t="s">
        <v>311</v>
      </c>
      <c r="C211" s="36">
        <v>4301135854</v>
      </c>
      <c r="D211" s="356">
        <v>4620207491706</v>
      </c>
      <c r="E211" s="35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110</v>
      </c>
      <c r="L211" s="37" t="s">
        <v>85</v>
      </c>
      <c r="M211" s="38" t="s">
        <v>83</v>
      </c>
      <c r="N211" s="38"/>
      <c r="O211" s="37">
        <v>180</v>
      </c>
      <c r="P211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5" t="s">
        <v>312</v>
      </c>
      <c r="AG211" s="81"/>
      <c r="AJ211" s="87" t="s">
        <v>86</v>
      </c>
      <c r="AK211" s="87">
        <v>1</v>
      </c>
      <c r="BB211" s="236" t="s">
        <v>109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313</v>
      </c>
      <c r="B212" s="63" t="s">
        <v>314</v>
      </c>
      <c r="C212" s="36">
        <v>4301135895</v>
      </c>
      <c r="D212" s="356">
        <v>4620207491522</v>
      </c>
      <c r="E212" s="356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110</v>
      </c>
      <c r="L212" s="37" t="s">
        <v>85</v>
      </c>
      <c r="M212" s="38" t="s">
        <v>83</v>
      </c>
      <c r="N212" s="38"/>
      <c r="O212" s="37">
        <v>180</v>
      </c>
      <c r="P212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58"/>
      <c r="R212" s="358"/>
      <c r="S212" s="358"/>
      <c r="T212" s="359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7" t="s">
        <v>315</v>
      </c>
      <c r="AG212" s="81"/>
      <c r="AJ212" s="87" t="s">
        <v>86</v>
      </c>
      <c r="AK212" s="87">
        <v>1</v>
      </c>
      <c r="BB212" s="238" t="s">
        <v>109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68"/>
      <c r="B213" s="368"/>
      <c r="C213" s="368"/>
      <c r="D213" s="368"/>
      <c r="E213" s="368"/>
      <c r="F213" s="368"/>
      <c r="G213" s="368"/>
      <c r="H213" s="368"/>
      <c r="I213" s="368"/>
      <c r="J213" s="368"/>
      <c r="K213" s="368"/>
      <c r="L213" s="368"/>
      <c r="M213" s="368"/>
      <c r="N213" s="368"/>
      <c r="O213" s="369"/>
      <c r="P213" s="365" t="s">
        <v>40</v>
      </c>
      <c r="Q213" s="366"/>
      <c r="R213" s="366"/>
      <c r="S213" s="366"/>
      <c r="T213" s="366"/>
      <c r="U213" s="366"/>
      <c r="V213" s="367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54" t="s">
        <v>316</v>
      </c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65"/>
      <c r="AB215" s="65"/>
      <c r="AC215" s="82"/>
    </row>
    <row r="216" spans="1:68" ht="14.25" customHeight="1" x14ac:dyDescent="0.25">
      <c r="A216" s="355" t="s">
        <v>79</v>
      </c>
      <c r="B216" s="355"/>
      <c r="C216" s="355"/>
      <c r="D216" s="355"/>
      <c r="E216" s="355"/>
      <c r="F216" s="355"/>
      <c r="G216" s="355"/>
      <c r="H216" s="355"/>
      <c r="I216" s="355"/>
      <c r="J216" s="355"/>
      <c r="K216" s="355"/>
      <c r="L216" s="355"/>
      <c r="M216" s="355"/>
      <c r="N216" s="355"/>
      <c r="O216" s="355"/>
      <c r="P216" s="355"/>
      <c r="Q216" s="355"/>
      <c r="R216" s="355"/>
      <c r="S216" s="355"/>
      <c r="T216" s="355"/>
      <c r="U216" s="355"/>
      <c r="V216" s="355"/>
      <c r="W216" s="355"/>
      <c r="X216" s="355"/>
      <c r="Y216" s="355"/>
      <c r="Z216" s="355"/>
      <c r="AA216" s="66"/>
      <c r="AB216" s="66"/>
      <c r="AC216" s="83"/>
    </row>
    <row r="217" spans="1:68" ht="27" customHeight="1" x14ac:dyDescent="0.25">
      <c r="A217" s="63" t="s">
        <v>317</v>
      </c>
      <c r="B217" s="63" t="s">
        <v>318</v>
      </c>
      <c r="C217" s="36">
        <v>4301071097</v>
      </c>
      <c r="D217" s="356">
        <v>4620207491096</v>
      </c>
      <c r="E217" s="356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84</v>
      </c>
      <c r="L217" s="37" t="s">
        <v>111</v>
      </c>
      <c r="M217" s="38" t="s">
        <v>83</v>
      </c>
      <c r="N217" s="38"/>
      <c r="O217" s="37">
        <v>180</v>
      </c>
      <c r="P217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58"/>
      <c r="R217" s="358"/>
      <c r="S217" s="358"/>
      <c r="T217" s="359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9" t="s">
        <v>319</v>
      </c>
      <c r="AG217" s="81"/>
      <c r="AJ217" s="87" t="s">
        <v>112</v>
      </c>
      <c r="AK217" s="87">
        <v>12</v>
      </c>
      <c r="BB217" s="240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68"/>
      <c r="B218" s="368"/>
      <c r="C218" s="368"/>
      <c r="D218" s="368"/>
      <c r="E218" s="368"/>
      <c r="F218" s="368"/>
      <c r="G218" s="368"/>
      <c r="H218" s="368"/>
      <c r="I218" s="368"/>
      <c r="J218" s="368"/>
      <c r="K218" s="368"/>
      <c r="L218" s="368"/>
      <c r="M218" s="368"/>
      <c r="N218" s="368"/>
      <c r="O218" s="369"/>
      <c r="P218" s="365" t="s">
        <v>40</v>
      </c>
      <c r="Q218" s="366"/>
      <c r="R218" s="366"/>
      <c r="S218" s="366"/>
      <c r="T218" s="366"/>
      <c r="U218" s="366"/>
      <c r="V218" s="36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68"/>
      <c r="B219" s="368"/>
      <c r="C219" s="368"/>
      <c r="D219" s="368"/>
      <c r="E219" s="368"/>
      <c r="F219" s="368"/>
      <c r="G219" s="368"/>
      <c r="H219" s="368"/>
      <c r="I219" s="368"/>
      <c r="J219" s="368"/>
      <c r="K219" s="368"/>
      <c r="L219" s="368"/>
      <c r="M219" s="368"/>
      <c r="N219" s="368"/>
      <c r="O219" s="369"/>
      <c r="P219" s="365" t="s">
        <v>40</v>
      </c>
      <c r="Q219" s="366"/>
      <c r="R219" s="366"/>
      <c r="S219" s="366"/>
      <c r="T219" s="366"/>
      <c r="U219" s="366"/>
      <c r="V219" s="36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54" t="s">
        <v>320</v>
      </c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65"/>
      <c r="AB220" s="65"/>
      <c r="AC220" s="82"/>
    </row>
    <row r="221" spans="1:68" ht="14.25" customHeight="1" x14ac:dyDescent="0.25">
      <c r="A221" s="355" t="s">
        <v>149</v>
      </c>
      <c r="B221" s="355"/>
      <c r="C221" s="355"/>
      <c r="D221" s="355"/>
      <c r="E221" s="355"/>
      <c r="F221" s="355"/>
      <c r="G221" s="355"/>
      <c r="H221" s="355"/>
      <c r="I221" s="355"/>
      <c r="J221" s="355"/>
      <c r="K221" s="355"/>
      <c r="L221" s="355"/>
      <c r="M221" s="355"/>
      <c r="N221" s="355"/>
      <c r="O221" s="355"/>
      <c r="P221" s="355"/>
      <c r="Q221" s="355"/>
      <c r="R221" s="355"/>
      <c r="S221" s="355"/>
      <c r="T221" s="355"/>
      <c r="U221" s="355"/>
      <c r="V221" s="355"/>
      <c r="W221" s="355"/>
      <c r="X221" s="355"/>
      <c r="Y221" s="355"/>
      <c r="Z221" s="355"/>
      <c r="AA221" s="66"/>
      <c r="AB221" s="66"/>
      <c r="AC221" s="83"/>
    </row>
    <row r="222" spans="1:68" ht="27" customHeight="1" x14ac:dyDescent="0.25">
      <c r="A222" s="63" t="s">
        <v>321</v>
      </c>
      <c r="B222" s="63" t="s">
        <v>322</v>
      </c>
      <c r="C222" s="36">
        <v>4301135694</v>
      </c>
      <c r="D222" s="356">
        <v>4620207490501</v>
      </c>
      <c r="E222" s="356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110</v>
      </c>
      <c r="L222" s="37" t="s">
        <v>85</v>
      </c>
      <c r="M222" s="38" t="s">
        <v>83</v>
      </c>
      <c r="N222" s="38"/>
      <c r="O222" s="37">
        <v>180</v>
      </c>
      <c r="P222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58"/>
      <c r="R222" s="358"/>
      <c r="S222" s="358"/>
      <c r="T222" s="359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1" t="s">
        <v>323</v>
      </c>
      <c r="AG222" s="81"/>
      <c r="AJ222" s="87" t="s">
        <v>86</v>
      </c>
      <c r="AK222" s="87">
        <v>1</v>
      </c>
      <c r="BB222" s="242" t="s">
        <v>109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8"/>
      <c r="B223" s="368"/>
      <c r="C223" s="368"/>
      <c r="D223" s="368"/>
      <c r="E223" s="368"/>
      <c r="F223" s="368"/>
      <c r="G223" s="368"/>
      <c r="H223" s="368"/>
      <c r="I223" s="368"/>
      <c r="J223" s="368"/>
      <c r="K223" s="368"/>
      <c r="L223" s="368"/>
      <c r="M223" s="368"/>
      <c r="N223" s="368"/>
      <c r="O223" s="369"/>
      <c r="P223" s="365" t="s">
        <v>40</v>
      </c>
      <c r="Q223" s="366"/>
      <c r="R223" s="366"/>
      <c r="S223" s="366"/>
      <c r="T223" s="366"/>
      <c r="U223" s="366"/>
      <c r="V223" s="367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8"/>
      <c r="B224" s="368"/>
      <c r="C224" s="368"/>
      <c r="D224" s="368"/>
      <c r="E224" s="368"/>
      <c r="F224" s="368"/>
      <c r="G224" s="368"/>
      <c r="H224" s="368"/>
      <c r="I224" s="368"/>
      <c r="J224" s="368"/>
      <c r="K224" s="368"/>
      <c r="L224" s="368"/>
      <c r="M224" s="368"/>
      <c r="N224" s="368"/>
      <c r="O224" s="369"/>
      <c r="P224" s="365" t="s">
        <v>40</v>
      </c>
      <c r="Q224" s="366"/>
      <c r="R224" s="366"/>
      <c r="S224" s="366"/>
      <c r="T224" s="366"/>
      <c r="U224" s="366"/>
      <c r="V224" s="367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53" t="s">
        <v>324</v>
      </c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54"/>
      <c r="AB225" s="54"/>
      <c r="AC225" s="54"/>
    </row>
    <row r="226" spans="1:68" ht="16.5" customHeight="1" x14ac:dyDescent="0.25">
      <c r="A226" s="354" t="s">
        <v>325</v>
      </c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65"/>
      <c r="AB226" s="65"/>
      <c r="AC226" s="82"/>
    </row>
    <row r="227" spans="1:68" ht="14.25" customHeight="1" x14ac:dyDescent="0.25">
      <c r="A227" s="355" t="s">
        <v>79</v>
      </c>
      <c r="B227" s="355"/>
      <c r="C227" s="355"/>
      <c r="D227" s="355"/>
      <c r="E227" s="355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55"/>
      <c r="U227" s="355"/>
      <c r="V227" s="355"/>
      <c r="W227" s="355"/>
      <c r="X227" s="355"/>
      <c r="Y227" s="355"/>
      <c r="Z227" s="355"/>
      <c r="AA227" s="66"/>
      <c r="AB227" s="66"/>
      <c r="AC227" s="83"/>
    </row>
    <row r="228" spans="1:68" ht="27" customHeight="1" x14ac:dyDescent="0.25">
      <c r="A228" s="63" t="s">
        <v>326</v>
      </c>
      <c r="B228" s="63" t="s">
        <v>327</v>
      </c>
      <c r="C228" s="36">
        <v>4301071036</v>
      </c>
      <c r="D228" s="356">
        <v>4607111036162</v>
      </c>
      <c r="E228" s="356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84</v>
      </c>
      <c r="L228" s="37" t="s">
        <v>85</v>
      </c>
      <c r="M228" s="38" t="s">
        <v>83</v>
      </c>
      <c r="N228" s="38"/>
      <c r="O228" s="37">
        <v>90</v>
      </c>
      <c r="P228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58"/>
      <c r="R228" s="358"/>
      <c r="S228" s="358"/>
      <c r="T228" s="359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3" t="s">
        <v>328</v>
      </c>
      <c r="AG228" s="81"/>
      <c r="AJ228" s="87" t="s">
        <v>86</v>
      </c>
      <c r="AK228" s="87">
        <v>1</v>
      </c>
      <c r="BB228" s="244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8"/>
      <c r="B229" s="368"/>
      <c r="C229" s="368"/>
      <c r="D229" s="368"/>
      <c r="E229" s="368"/>
      <c r="F229" s="368"/>
      <c r="G229" s="368"/>
      <c r="H229" s="368"/>
      <c r="I229" s="368"/>
      <c r="J229" s="368"/>
      <c r="K229" s="368"/>
      <c r="L229" s="368"/>
      <c r="M229" s="368"/>
      <c r="N229" s="368"/>
      <c r="O229" s="369"/>
      <c r="P229" s="365" t="s">
        <v>40</v>
      </c>
      <c r="Q229" s="366"/>
      <c r="R229" s="366"/>
      <c r="S229" s="366"/>
      <c r="T229" s="366"/>
      <c r="U229" s="366"/>
      <c r="V229" s="367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8"/>
      <c r="B230" s="368"/>
      <c r="C230" s="368"/>
      <c r="D230" s="368"/>
      <c r="E230" s="368"/>
      <c r="F230" s="368"/>
      <c r="G230" s="368"/>
      <c r="H230" s="368"/>
      <c r="I230" s="368"/>
      <c r="J230" s="368"/>
      <c r="K230" s="368"/>
      <c r="L230" s="368"/>
      <c r="M230" s="368"/>
      <c r="N230" s="368"/>
      <c r="O230" s="369"/>
      <c r="P230" s="365" t="s">
        <v>40</v>
      </c>
      <c r="Q230" s="366"/>
      <c r="R230" s="366"/>
      <c r="S230" s="366"/>
      <c r="T230" s="366"/>
      <c r="U230" s="366"/>
      <c r="V230" s="367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53" t="s">
        <v>329</v>
      </c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54"/>
      <c r="AB231" s="54"/>
      <c r="AC231" s="54"/>
    </row>
    <row r="232" spans="1:68" ht="16.5" customHeight="1" x14ac:dyDescent="0.25">
      <c r="A232" s="354" t="s">
        <v>330</v>
      </c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65"/>
      <c r="AB232" s="65"/>
      <c r="AC232" s="82"/>
    </row>
    <row r="233" spans="1:68" ht="14.25" customHeight="1" x14ac:dyDescent="0.25">
      <c r="A233" s="355" t="s">
        <v>79</v>
      </c>
      <c r="B233" s="355"/>
      <c r="C233" s="355"/>
      <c r="D233" s="355"/>
      <c r="E233" s="355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55"/>
      <c r="U233" s="355"/>
      <c r="V233" s="355"/>
      <c r="W233" s="355"/>
      <c r="X233" s="355"/>
      <c r="Y233" s="355"/>
      <c r="Z233" s="355"/>
      <c r="AA233" s="66"/>
      <c r="AB233" s="66"/>
      <c r="AC233" s="83"/>
    </row>
    <row r="234" spans="1:68" ht="27" customHeight="1" x14ac:dyDescent="0.25">
      <c r="A234" s="63" t="s">
        <v>331</v>
      </c>
      <c r="B234" s="63" t="s">
        <v>332</v>
      </c>
      <c r="C234" s="36">
        <v>4301071029</v>
      </c>
      <c r="D234" s="356">
        <v>4607111035899</v>
      </c>
      <c r="E234" s="356"/>
      <c r="F234" s="62">
        <v>1</v>
      </c>
      <c r="G234" s="37">
        <v>5</v>
      </c>
      <c r="H234" s="62">
        <v>5</v>
      </c>
      <c r="I234" s="62">
        <v>5.2619999999999996</v>
      </c>
      <c r="J234" s="37">
        <v>84</v>
      </c>
      <c r="K234" s="37" t="s">
        <v>84</v>
      </c>
      <c r="L234" s="37" t="s">
        <v>111</v>
      </c>
      <c r="M234" s="38" t="s">
        <v>83</v>
      </c>
      <c r="N234" s="38"/>
      <c r="O234" s="37">
        <v>180</v>
      </c>
      <c r="P234" s="44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358"/>
      <c r="R234" s="358"/>
      <c r="S234" s="358"/>
      <c r="T234" s="359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IFERROR(IF(X234="","",X234*0.0155),"")</f>
        <v>0</v>
      </c>
      <c r="AA234" s="68" t="s">
        <v>46</v>
      </c>
      <c r="AB234" s="69" t="s">
        <v>46</v>
      </c>
      <c r="AC234" s="245" t="s">
        <v>274</v>
      </c>
      <c r="AG234" s="81"/>
      <c r="AJ234" s="87" t="s">
        <v>112</v>
      </c>
      <c r="AK234" s="87">
        <v>12</v>
      </c>
      <c r="BB234" s="246" t="s">
        <v>70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8"/>
      <c r="B235" s="368"/>
      <c r="C235" s="368"/>
      <c r="D235" s="368"/>
      <c r="E235" s="368"/>
      <c r="F235" s="368"/>
      <c r="G235" s="368"/>
      <c r="H235" s="368"/>
      <c r="I235" s="368"/>
      <c r="J235" s="368"/>
      <c r="K235" s="368"/>
      <c r="L235" s="368"/>
      <c r="M235" s="368"/>
      <c r="N235" s="368"/>
      <c r="O235" s="369"/>
      <c r="P235" s="365" t="s">
        <v>40</v>
      </c>
      <c r="Q235" s="366"/>
      <c r="R235" s="366"/>
      <c r="S235" s="366"/>
      <c r="T235" s="366"/>
      <c r="U235" s="366"/>
      <c r="V235" s="367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8"/>
      <c r="B236" s="368"/>
      <c r="C236" s="368"/>
      <c r="D236" s="368"/>
      <c r="E236" s="368"/>
      <c r="F236" s="368"/>
      <c r="G236" s="368"/>
      <c r="H236" s="368"/>
      <c r="I236" s="368"/>
      <c r="J236" s="368"/>
      <c r="K236" s="368"/>
      <c r="L236" s="368"/>
      <c r="M236" s="368"/>
      <c r="N236" s="368"/>
      <c r="O236" s="369"/>
      <c r="P236" s="365" t="s">
        <v>40</v>
      </c>
      <c r="Q236" s="366"/>
      <c r="R236" s="366"/>
      <c r="S236" s="366"/>
      <c r="T236" s="366"/>
      <c r="U236" s="366"/>
      <c r="V236" s="367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27.75" customHeight="1" x14ac:dyDescent="0.2">
      <c r="A237" s="353" t="s">
        <v>333</v>
      </c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  <c r="AA237" s="54"/>
      <c r="AB237" s="54"/>
      <c r="AC237" s="54"/>
    </row>
    <row r="238" spans="1:68" ht="16.5" customHeight="1" x14ac:dyDescent="0.25">
      <c r="A238" s="354" t="s">
        <v>334</v>
      </c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65"/>
      <c r="AB238" s="65"/>
      <c r="AC238" s="82"/>
    </row>
    <row r="239" spans="1:68" ht="14.25" customHeight="1" x14ac:dyDescent="0.25">
      <c r="A239" s="355" t="s">
        <v>335</v>
      </c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66"/>
      <c r="AB239" s="66"/>
      <c r="AC239" s="83"/>
    </row>
    <row r="240" spans="1:68" ht="27" customHeight="1" x14ac:dyDescent="0.25">
      <c r="A240" s="63" t="s">
        <v>336</v>
      </c>
      <c r="B240" s="63" t="s">
        <v>337</v>
      </c>
      <c r="C240" s="36">
        <v>4301133004</v>
      </c>
      <c r="D240" s="356">
        <v>4607111039774</v>
      </c>
      <c r="E240" s="356"/>
      <c r="F240" s="62">
        <v>0.25</v>
      </c>
      <c r="G240" s="37">
        <v>12</v>
      </c>
      <c r="H240" s="62">
        <v>3</v>
      </c>
      <c r="I240" s="62">
        <v>3.22</v>
      </c>
      <c r="J240" s="37">
        <v>70</v>
      </c>
      <c r="K240" s="37" t="s">
        <v>110</v>
      </c>
      <c r="L240" s="37" t="s">
        <v>85</v>
      </c>
      <c r="M240" s="38" t="s">
        <v>83</v>
      </c>
      <c r="N240" s="38"/>
      <c r="O240" s="37">
        <v>180</v>
      </c>
      <c r="P240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358"/>
      <c r="R240" s="358"/>
      <c r="S240" s="358"/>
      <c r="T240" s="35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7" t="s">
        <v>338</v>
      </c>
      <c r="AG240" s="81"/>
      <c r="AJ240" s="87" t="s">
        <v>86</v>
      </c>
      <c r="AK240" s="87">
        <v>1</v>
      </c>
      <c r="BB240" s="248" t="s">
        <v>109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68"/>
      <c r="B241" s="368"/>
      <c r="C241" s="368"/>
      <c r="D241" s="368"/>
      <c r="E241" s="368"/>
      <c r="F241" s="368"/>
      <c r="G241" s="368"/>
      <c r="H241" s="368"/>
      <c r="I241" s="368"/>
      <c r="J241" s="368"/>
      <c r="K241" s="368"/>
      <c r="L241" s="368"/>
      <c r="M241" s="368"/>
      <c r="N241" s="368"/>
      <c r="O241" s="369"/>
      <c r="P241" s="365" t="s">
        <v>40</v>
      </c>
      <c r="Q241" s="366"/>
      <c r="R241" s="366"/>
      <c r="S241" s="366"/>
      <c r="T241" s="366"/>
      <c r="U241" s="366"/>
      <c r="V241" s="367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14.25" customHeight="1" x14ac:dyDescent="0.25">
      <c r="A243" s="355" t="s">
        <v>149</v>
      </c>
      <c r="B243" s="355"/>
      <c r="C243" s="355"/>
      <c r="D243" s="355"/>
      <c r="E243" s="355"/>
      <c r="F243" s="355"/>
      <c r="G243" s="355"/>
      <c r="H243" s="355"/>
      <c r="I243" s="355"/>
      <c r="J243" s="355"/>
      <c r="K243" s="355"/>
      <c r="L243" s="355"/>
      <c r="M243" s="355"/>
      <c r="N243" s="355"/>
      <c r="O243" s="355"/>
      <c r="P243" s="355"/>
      <c r="Q243" s="355"/>
      <c r="R243" s="355"/>
      <c r="S243" s="355"/>
      <c r="T243" s="355"/>
      <c r="U243" s="355"/>
      <c r="V243" s="355"/>
      <c r="W243" s="355"/>
      <c r="X243" s="355"/>
      <c r="Y243" s="355"/>
      <c r="Z243" s="355"/>
      <c r="AA243" s="66"/>
      <c r="AB243" s="66"/>
      <c r="AC243" s="83"/>
    </row>
    <row r="244" spans="1:68" ht="37.5" customHeight="1" x14ac:dyDescent="0.25">
      <c r="A244" s="63" t="s">
        <v>339</v>
      </c>
      <c r="B244" s="63" t="s">
        <v>340</v>
      </c>
      <c r="C244" s="36">
        <v>4301135400</v>
      </c>
      <c r="D244" s="356">
        <v>4607111039361</v>
      </c>
      <c r="E244" s="356"/>
      <c r="F244" s="62">
        <v>0.25</v>
      </c>
      <c r="G244" s="37">
        <v>12</v>
      </c>
      <c r="H244" s="62">
        <v>3</v>
      </c>
      <c r="I244" s="62">
        <v>3.7035999999999998</v>
      </c>
      <c r="J244" s="37">
        <v>70</v>
      </c>
      <c r="K244" s="37" t="s">
        <v>110</v>
      </c>
      <c r="L244" s="37" t="s">
        <v>85</v>
      </c>
      <c r="M244" s="38" t="s">
        <v>83</v>
      </c>
      <c r="N244" s="38"/>
      <c r="O244" s="37">
        <v>180</v>
      </c>
      <c r="P244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358"/>
      <c r="R244" s="358"/>
      <c r="S244" s="358"/>
      <c r="T244" s="35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49" t="s">
        <v>338</v>
      </c>
      <c r="AG244" s="81"/>
      <c r="AJ244" s="87" t="s">
        <v>86</v>
      </c>
      <c r="AK244" s="87">
        <v>1</v>
      </c>
      <c r="BB244" s="250" t="s">
        <v>109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8"/>
      <c r="B245" s="368"/>
      <c r="C245" s="368"/>
      <c r="D245" s="368"/>
      <c r="E245" s="368"/>
      <c r="F245" s="368"/>
      <c r="G245" s="368"/>
      <c r="H245" s="368"/>
      <c r="I245" s="368"/>
      <c r="J245" s="368"/>
      <c r="K245" s="368"/>
      <c r="L245" s="368"/>
      <c r="M245" s="368"/>
      <c r="N245" s="368"/>
      <c r="O245" s="369"/>
      <c r="P245" s="365" t="s">
        <v>40</v>
      </c>
      <c r="Q245" s="366"/>
      <c r="R245" s="366"/>
      <c r="S245" s="366"/>
      <c r="T245" s="366"/>
      <c r="U245" s="366"/>
      <c r="V245" s="36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68"/>
      <c r="B246" s="368"/>
      <c r="C246" s="368"/>
      <c r="D246" s="368"/>
      <c r="E246" s="368"/>
      <c r="F246" s="368"/>
      <c r="G246" s="368"/>
      <c r="H246" s="368"/>
      <c r="I246" s="368"/>
      <c r="J246" s="368"/>
      <c r="K246" s="368"/>
      <c r="L246" s="368"/>
      <c r="M246" s="368"/>
      <c r="N246" s="368"/>
      <c r="O246" s="369"/>
      <c r="P246" s="365" t="s">
        <v>40</v>
      </c>
      <c r="Q246" s="366"/>
      <c r="R246" s="366"/>
      <c r="S246" s="366"/>
      <c r="T246" s="366"/>
      <c r="U246" s="366"/>
      <c r="V246" s="36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27.75" customHeight="1" x14ac:dyDescent="0.2">
      <c r="A247" s="353" t="s">
        <v>341</v>
      </c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  <c r="AA247" s="54"/>
      <c r="AB247" s="54"/>
      <c r="AC247" s="54"/>
    </row>
    <row r="248" spans="1:68" ht="16.5" customHeight="1" x14ac:dyDescent="0.25">
      <c r="A248" s="354" t="s">
        <v>341</v>
      </c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65"/>
      <c r="AB248" s="65"/>
      <c r="AC248" s="82"/>
    </row>
    <row r="249" spans="1:68" ht="14.25" customHeight="1" x14ac:dyDescent="0.25">
      <c r="A249" s="355" t="s">
        <v>105</v>
      </c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66"/>
      <c r="AB249" s="66"/>
      <c r="AC249" s="83"/>
    </row>
    <row r="250" spans="1:68" ht="27" customHeight="1" x14ac:dyDescent="0.25">
      <c r="A250" s="63" t="s">
        <v>342</v>
      </c>
      <c r="B250" s="63" t="s">
        <v>343</v>
      </c>
      <c r="C250" s="36">
        <v>4301132228</v>
      </c>
      <c r="D250" s="356">
        <v>4640242181950</v>
      </c>
      <c r="E250" s="356"/>
      <c r="F250" s="62">
        <v>0.23</v>
      </c>
      <c r="G250" s="37">
        <v>12</v>
      </c>
      <c r="H250" s="62">
        <v>2.76</v>
      </c>
      <c r="I250" s="62">
        <v>3.22</v>
      </c>
      <c r="J250" s="37">
        <v>70</v>
      </c>
      <c r="K250" s="37" t="s">
        <v>110</v>
      </c>
      <c r="L250" s="37" t="s">
        <v>85</v>
      </c>
      <c r="M250" s="38" t="s">
        <v>83</v>
      </c>
      <c r="N250" s="38"/>
      <c r="O250" s="37">
        <v>365</v>
      </c>
      <c r="P250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IFERROR(IF(X250="","",X250*0.01788),"")</f>
        <v>0</v>
      </c>
      <c r="AA250" s="68" t="s">
        <v>46</v>
      </c>
      <c r="AB250" s="69" t="s">
        <v>46</v>
      </c>
      <c r="AC250" s="251" t="s">
        <v>344</v>
      </c>
      <c r="AG250" s="81"/>
      <c r="AJ250" s="87" t="s">
        <v>86</v>
      </c>
      <c r="AK250" s="87">
        <v>1</v>
      </c>
      <c r="BB250" s="252" t="s">
        <v>109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68"/>
      <c r="B251" s="368"/>
      <c r="C251" s="368"/>
      <c r="D251" s="368"/>
      <c r="E251" s="368"/>
      <c r="F251" s="368"/>
      <c r="G251" s="368"/>
      <c r="H251" s="368"/>
      <c r="I251" s="368"/>
      <c r="J251" s="368"/>
      <c r="K251" s="368"/>
      <c r="L251" s="368"/>
      <c r="M251" s="368"/>
      <c r="N251" s="368"/>
      <c r="O251" s="369"/>
      <c r="P251" s="365" t="s">
        <v>40</v>
      </c>
      <c r="Q251" s="366"/>
      <c r="R251" s="366"/>
      <c r="S251" s="366"/>
      <c r="T251" s="366"/>
      <c r="U251" s="366"/>
      <c r="V251" s="367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368"/>
      <c r="B252" s="368"/>
      <c r="C252" s="368"/>
      <c r="D252" s="368"/>
      <c r="E252" s="368"/>
      <c r="F252" s="368"/>
      <c r="G252" s="368"/>
      <c r="H252" s="368"/>
      <c r="I252" s="368"/>
      <c r="J252" s="368"/>
      <c r="K252" s="368"/>
      <c r="L252" s="368"/>
      <c r="M252" s="368"/>
      <c r="N252" s="368"/>
      <c r="O252" s="369"/>
      <c r="P252" s="365" t="s">
        <v>40</v>
      </c>
      <c r="Q252" s="366"/>
      <c r="R252" s="366"/>
      <c r="S252" s="366"/>
      <c r="T252" s="366"/>
      <c r="U252" s="366"/>
      <c r="V252" s="367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customHeight="1" x14ac:dyDescent="0.2">
      <c r="A253" s="353" t="s">
        <v>345</v>
      </c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  <c r="AA253" s="54"/>
      <c r="AB253" s="54"/>
      <c r="AC253" s="54"/>
    </row>
    <row r="254" spans="1:68" ht="16.5" customHeight="1" x14ac:dyDescent="0.25">
      <c r="A254" s="354" t="s">
        <v>345</v>
      </c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65"/>
      <c r="AB254" s="65"/>
      <c r="AC254" s="82"/>
    </row>
    <row r="255" spans="1:68" ht="14.25" customHeight="1" x14ac:dyDescent="0.25">
      <c r="A255" s="355" t="s">
        <v>79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66"/>
      <c r="AB255" s="66"/>
      <c r="AC255" s="83"/>
    </row>
    <row r="256" spans="1:68" ht="27" customHeight="1" x14ac:dyDescent="0.25">
      <c r="A256" s="63" t="s">
        <v>346</v>
      </c>
      <c r="B256" s="63" t="s">
        <v>347</v>
      </c>
      <c r="C256" s="36">
        <v>4301071014</v>
      </c>
      <c r="D256" s="356">
        <v>4640242181264</v>
      </c>
      <c r="E256" s="356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84</v>
      </c>
      <c r="L256" s="37" t="s">
        <v>85</v>
      </c>
      <c r="M256" s="38" t="s">
        <v>83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58"/>
      <c r="R256" s="358"/>
      <c r="S256" s="358"/>
      <c r="T256" s="359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3" t="s">
        <v>348</v>
      </c>
      <c r="AG256" s="81"/>
      <c r="AJ256" s="87" t="s">
        <v>86</v>
      </c>
      <c r="AK256" s="87">
        <v>1</v>
      </c>
      <c r="BB256" s="254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349</v>
      </c>
      <c r="B257" s="63" t="s">
        <v>350</v>
      </c>
      <c r="C257" s="36">
        <v>4301071021</v>
      </c>
      <c r="D257" s="356">
        <v>4640242181325</v>
      </c>
      <c r="E257" s="356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84</v>
      </c>
      <c r="L257" s="37" t="s">
        <v>111</v>
      </c>
      <c r="M257" s="38" t="s">
        <v>83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5" t="s">
        <v>348</v>
      </c>
      <c r="AG257" s="81"/>
      <c r="AJ257" s="87" t="s">
        <v>112</v>
      </c>
      <c r="AK257" s="87">
        <v>12</v>
      </c>
      <c r="BB257" s="256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x14ac:dyDescent="0.2">
      <c r="A258" s="3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9"/>
      <c r="P258" s="365" t="s">
        <v>40</v>
      </c>
      <c r="Q258" s="366"/>
      <c r="R258" s="366"/>
      <c r="S258" s="366"/>
      <c r="T258" s="366"/>
      <c r="U258" s="366"/>
      <c r="V258" s="367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customHeight="1" x14ac:dyDescent="0.25">
      <c r="A260" s="355" t="s">
        <v>105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customHeight="1" x14ac:dyDescent="0.25">
      <c r="A261" s="63" t="s">
        <v>351</v>
      </c>
      <c r="B261" s="63" t="s">
        <v>352</v>
      </c>
      <c r="C261" s="36">
        <v>4301132080</v>
      </c>
      <c r="D261" s="356">
        <v>4640242180397</v>
      </c>
      <c r="E261" s="356"/>
      <c r="F261" s="62">
        <v>1</v>
      </c>
      <c r="G261" s="37">
        <v>6</v>
      </c>
      <c r="H261" s="62">
        <v>6</v>
      </c>
      <c r="I261" s="62">
        <v>6.26</v>
      </c>
      <c r="J261" s="37">
        <v>84</v>
      </c>
      <c r="K261" s="37" t="s">
        <v>84</v>
      </c>
      <c r="L261" s="37" t="s">
        <v>111</v>
      </c>
      <c r="M261" s="38" t="s">
        <v>83</v>
      </c>
      <c r="N261" s="38"/>
      <c r="O261" s="37">
        <v>180</v>
      </c>
      <c r="P261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57" t="s">
        <v>353</v>
      </c>
      <c r="AG261" s="81"/>
      <c r="AJ261" s="87" t="s">
        <v>112</v>
      </c>
      <c r="AK261" s="87">
        <v>12</v>
      </c>
      <c r="BB261" s="258" t="s">
        <v>109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x14ac:dyDescent="0.2">
      <c r="A262" s="368"/>
      <c r="B262" s="368"/>
      <c r="C262" s="368"/>
      <c r="D262" s="368"/>
      <c r="E262" s="368"/>
      <c r="F262" s="368"/>
      <c r="G262" s="368"/>
      <c r="H262" s="368"/>
      <c r="I262" s="368"/>
      <c r="J262" s="368"/>
      <c r="K262" s="368"/>
      <c r="L262" s="368"/>
      <c r="M262" s="368"/>
      <c r="N262" s="368"/>
      <c r="O262" s="369"/>
      <c r="P262" s="365" t="s">
        <v>40</v>
      </c>
      <c r="Q262" s="366"/>
      <c r="R262" s="366"/>
      <c r="S262" s="366"/>
      <c r="T262" s="366"/>
      <c r="U262" s="366"/>
      <c r="V262" s="367"/>
      <c r="W262" s="42" t="s">
        <v>39</v>
      </c>
      <c r="X262" s="43">
        <f>IFERROR(SUM(X261:X261),"0")</f>
        <v>0</v>
      </c>
      <c r="Y262" s="43">
        <f>IFERROR(SUM(Y261:Y261),"0")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368"/>
      <c r="B263" s="368"/>
      <c r="C263" s="368"/>
      <c r="D263" s="368"/>
      <c r="E263" s="368"/>
      <c r="F263" s="368"/>
      <c r="G263" s="368"/>
      <c r="H263" s="368"/>
      <c r="I263" s="368"/>
      <c r="J263" s="368"/>
      <c r="K263" s="368"/>
      <c r="L263" s="368"/>
      <c r="M263" s="368"/>
      <c r="N263" s="368"/>
      <c r="O263" s="369"/>
      <c r="P263" s="365" t="s">
        <v>40</v>
      </c>
      <c r="Q263" s="366"/>
      <c r="R263" s="366"/>
      <c r="S263" s="366"/>
      <c r="T263" s="366"/>
      <c r="U263" s="366"/>
      <c r="V263" s="367"/>
      <c r="W263" s="42" t="s">
        <v>0</v>
      </c>
      <c r="X263" s="43">
        <f>IFERROR(SUMPRODUCT(X261:X261*H261:H261),"0")</f>
        <v>0</v>
      </c>
      <c r="Y263" s="43">
        <f>IFERROR(SUMPRODUCT(Y261:Y261*H261:H261),"0")</f>
        <v>0</v>
      </c>
      <c r="Z263" s="42"/>
      <c r="AA263" s="67"/>
      <c r="AB263" s="67"/>
      <c r="AC263" s="67"/>
    </row>
    <row r="264" spans="1:68" ht="14.25" customHeight="1" x14ac:dyDescent="0.25">
      <c r="A264" s="355" t="s">
        <v>143</v>
      </c>
      <c r="B264" s="355"/>
      <c r="C264" s="355"/>
      <c r="D264" s="355"/>
      <c r="E264" s="355"/>
      <c r="F264" s="355"/>
      <c r="G264" s="355"/>
      <c r="H264" s="355"/>
      <c r="I264" s="355"/>
      <c r="J264" s="355"/>
      <c r="K264" s="355"/>
      <c r="L264" s="355"/>
      <c r="M264" s="355"/>
      <c r="N264" s="355"/>
      <c r="O264" s="355"/>
      <c r="P264" s="355"/>
      <c r="Q264" s="355"/>
      <c r="R264" s="355"/>
      <c r="S264" s="355"/>
      <c r="T264" s="355"/>
      <c r="U264" s="355"/>
      <c r="V264" s="355"/>
      <c r="W264" s="355"/>
      <c r="X264" s="355"/>
      <c r="Y264" s="355"/>
      <c r="Z264" s="355"/>
      <c r="AA264" s="66"/>
      <c r="AB264" s="66"/>
      <c r="AC264" s="83"/>
    </row>
    <row r="265" spans="1:68" ht="27" customHeight="1" x14ac:dyDescent="0.25">
      <c r="A265" s="63" t="s">
        <v>354</v>
      </c>
      <c r="B265" s="63" t="s">
        <v>355</v>
      </c>
      <c r="C265" s="36">
        <v>4301136051</v>
      </c>
      <c r="D265" s="356">
        <v>4640242180304</v>
      </c>
      <c r="E265" s="356"/>
      <c r="F265" s="62">
        <v>2.7</v>
      </c>
      <c r="G265" s="37">
        <v>1</v>
      </c>
      <c r="H265" s="62">
        <v>2.7</v>
      </c>
      <c r="I265" s="62">
        <v>2.8906000000000001</v>
      </c>
      <c r="J265" s="37">
        <v>126</v>
      </c>
      <c r="K265" s="37" t="s">
        <v>110</v>
      </c>
      <c r="L265" s="37" t="s">
        <v>111</v>
      </c>
      <c r="M265" s="38" t="s">
        <v>83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59" t="s">
        <v>356</v>
      </c>
      <c r="AG265" s="81"/>
      <c r="AJ265" s="87" t="s">
        <v>112</v>
      </c>
      <c r="AK265" s="87">
        <v>14</v>
      </c>
      <c r="BB265" s="260" t="s">
        <v>109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357</v>
      </c>
      <c r="B266" s="63" t="s">
        <v>358</v>
      </c>
      <c r="C266" s="36">
        <v>4301136053</v>
      </c>
      <c r="D266" s="356">
        <v>4640242180236</v>
      </c>
      <c r="E266" s="356"/>
      <c r="F266" s="62">
        <v>5</v>
      </c>
      <c r="G266" s="37">
        <v>1</v>
      </c>
      <c r="H266" s="62">
        <v>5</v>
      </c>
      <c r="I266" s="62">
        <v>5.2350000000000003</v>
      </c>
      <c r="J266" s="37">
        <v>84</v>
      </c>
      <c r="K266" s="37" t="s">
        <v>84</v>
      </c>
      <c r="L266" s="37" t="s">
        <v>111</v>
      </c>
      <c r="M266" s="38" t="s">
        <v>83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IFERROR(IF(X266="","",X266*0.0155),"")</f>
        <v>0</v>
      </c>
      <c r="AA266" s="68" t="s">
        <v>46</v>
      </c>
      <c r="AB266" s="69" t="s">
        <v>46</v>
      </c>
      <c r="AC266" s="261" t="s">
        <v>356</v>
      </c>
      <c r="AG266" s="81"/>
      <c r="AJ266" s="87" t="s">
        <v>112</v>
      </c>
      <c r="AK266" s="87">
        <v>12</v>
      </c>
      <c r="BB266" s="262" t="s">
        <v>109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t="27" customHeight="1" x14ac:dyDescent="0.25">
      <c r="A267" s="63" t="s">
        <v>359</v>
      </c>
      <c r="B267" s="63" t="s">
        <v>360</v>
      </c>
      <c r="C267" s="36">
        <v>4301136052</v>
      </c>
      <c r="D267" s="356">
        <v>4640242180410</v>
      </c>
      <c r="E267" s="356"/>
      <c r="F267" s="62">
        <v>2.2400000000000002</v>
      </c>
      <c r="G267" s="37">
        <v>1</v>
      </c>
      <c r="H267" s="62">
        <v>2.2400000000000002</v>
      </c>
      <c r="I267" s="62">
        <v>2.4319999999999999</v>
      </c>
      <c r="J267" s="37">
        <v>126</v>
      </c>
      <c r="K267" s="37" t="s">
        <v>110</v>
      </c>
      <c r="L267" s="37" t="s">
        <v>85</v>
      </c>
      <c r="M267" s="38" t="s">
        <v>83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3" t="s">
        <v>356</v>
      </c>
      <c r="AG267" s="81"/>
      <c r="AJ267" s="87" t="s">
        <v>86</v>
      </c>
      <c r="AK267" s="87">
        <v>1</v>
      </c>
      <c r="BB267" s="264" t="s">
        <v>109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x14ac:dyDescent="0.2">
      <c r="A268" s="368"/>
      <c r="B268" s="368"/>
      <c r="C268" s="368"/>
      <c r="D268" s="368"/>
      <c r="E268" s="368"/>
      <c r="F268" s="368"/>
      <c r="G268" s="368"/>
      <c r="H268" s="368"/>
      <c r="I268" s="368"/>
      <c r="J268" s="368"/>
      <c r="K268" s="368"/>
      <c r="L268" s="368"/>
      <c r="M268" s="368"/>
      <c r="N268" s="368"/>
      <c r="O268" s="369"/>
      <c r="P268" s="365" t="s">
        <v>40</v>
      </c>
      <c r="Q268" s="366"/>
      <c r="R268" s="366"/>
      <c r="S268" s="366"/>
      <c r="T268" s="366"/>
      <c r="U268" s="366"/>
      <c r="V268" s="367"/>
      <c r="W268" s="42" t="s">
        <v>39</v>
      </c>
      <c r="X268" s="43">
        <f>IFERROR(SUM(X265:X267),"0")</f>
        <v>0</v>
      </c>
      <c r="Y268" s="43">
        <f>IFERROR(SUM(Y265:Y267),"0")</f>
        <v>0</v>
      </c>
      <c r="Z268" s="43">
        <f>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8"/>
      <c r="B269" s="368"/>
      <c r="C269" s="368"/>
      <c r="D269" s="368"/>
      <c r="E269" s="368"/>
      <c r="F269" s="368"/>
      <c r="G269" s="368"/>
      <c r="H269" s="368"/>
      <c r="I269" s="368"/>
      <c r="J269" s="368"/>
      <c r="K269" s="368"/>
      <c r="L269" s="368"/>
      <c r="M269" s="368"/>
      <c r="N269" s="368"/>
      <c r="O269" s="369"/>
      <c r="P269" s="365" t="s">
        <v>40</v>
      </c>
      <c r="Q269" s="366"/>
      <c r="R269" s="366"/>
      <c r="S269" s="366"/>
      <c r="T269" s="366"/>
      <c r="U269" s="366"/>
      <c r="V269" s="367"/>
      <c r="W269" s="42" t="s">
        <v>0</v>
      </c>
      <c r="X269" s="43">
        <f>IFERROR(SUMPRODUCT(X265:X267*H265:H267),"0")</f>
        <v>0</v>
      </c>
      <c r="Y269" s="43">
        <f>IFERROR(SUMPRODUCT(Y265:Y267*H265:H267),"0")</f>
        <v>0</v>
      </c>
      <c r="Z269" s="42"/>
      <c r="AA269" s="67"/>
      <c r="AB269" s="67"/>
      <c r="AC269" s="67"/>
    </row>
    <row r="270" spans="1:68" ht="14.25" customHeight="1" x14ac:dyDescent="0.25">
      <c r="A270" s="355" t="s">
        <v>149</v>
      </c>
      <c r="B270" s="355"/>
      <c r="C270" s="355"/>
      <c r="D270" s="355"/>
      <c r="E270" s="355"/>
      <c r="F270" s="355"/>
      <c r="G270" s="355"/>
      <c r="H270" s="355"/>
      <c r="I270" s="355"/>
      <c r="J270" s="355"/>
      <c r="K270" s="355"/>
      <c r="L270" s="355"/>
      <c r="M270" s="355"/>
      <c r="N270" s="355"/>
      <c r="O270" s="355"/>
      <c r="P270" s="355"/>
      <c r="Q270" s="355"/>
      <c r="R270" s="355"/>
      <c r="S270" s="355"/>
      <c r="T270" s="355"/>
      <c r="U270" s="355"/>
      <c r="V270" s="355"/>
      <c r="W270" s="355"/>
      <c r="X270" s="355"/>
      <c r="Y270" s="355"/>
      <c r="Z270" s="355"/>
      <c r="AA270" s="66"/>
      <c r="AB270" s="66"/>
      <c r="AC270" s="83"/>
    </row>
    <row r="271" spans="1:68" ht="37.5" customHeight="1" x14ac:dyDescent="0.25">
      <c r="A271" s="63" t="s">
        <v>361</v>
      </c>
      <c r="B271" s="63" t="s">
        <v>362</v>
      </c>
      <c r="C271" s="36">
        <v>4301135504</v>
      </c>
      <c r="D271" s="356">
        <v>4640242181554</v>
      </c>
      <c r="E271" s="35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110</v>
      </c>
      <c r="L271" s="37" t="s">
        <v>111</v>
      </c>
      <c r="M271" s="38" t="s">
        <v>83</v>
      </c>
      <c r="N271" s="38"/>
      <c r="O271" s="37">
        <v>180</v>
      </c>
      <c r="P271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ref="Y271:Y280" si="18">IFERROR(IF(X271="","",X271),"")</f>
        <v>0</v>
      </c>
      <c r="Z271" s="41">
        <f>IFERROR(IF(X271="","",X271*0.00936),"")</f>
        <v>0</v>
      </c>
      <c r="AA271" s="68" t="s">
        <v>46</v>
      </c>
      <c r="AB271" s="69" t="s">
        <v>46</v>
      </c>
      <c r="AC271" s="265" t="s">
        <v>363</v>
      </c>
      <c r="AG271" s="81"/>
      <c r="AJ271" s="87" t="s">
        <v>112</v>
      </c>
      <c r="AK271" s="87">
        <v>14</v>
      </c>
      <c r="BB271" s="266" t="s">
        <v>109</v>
      </c>
      <c r="BM271" s="81">
        <f t="shared" ref="BM271:BM280" si="19">IFERROR(X271*I271,"0")</f>
        <v>0</v>
      </c>
      <c r="BN271" s="81">
        <f t="shared" ref="BN271:BN280" si="20">IFERROR(Y271*I271,"0")</f>
        <v>0</v>
      </c>
      <c r="BO271" s="81">
        <f t="shared" ref="BO271:BO280" si="21">IFERROR(X271/J271,"0")</f>
        <v>0</v>
      </c>
      <c r="BP271" s="81">
        <f t="shared" ref="BP271:BP280" si="22">IFERROR(Y271/J271,"0")</f>
        <v>0</v>
      </c>
    </row>
    <row r="272" spans="1:68" ht="27" customHeight="1" x14ac:dyDescent="0.25">
      <c r="A272" s="63" t="s">
        <v>364</v>
      </c>
      <c r="B272" s="63" t="s">
        <v>365</v>
      </c>
      <c r="C272" s="36">
        <v>4301135873</v>
      </c>
      <c r="D272" s="356">
        <v>4640242182087</v>
      </c>
      <c r="E272" s="356"/>
      <c r="F272" s="62">
        <v>5</v>
      </c>
      <c r="G272" s="37">
        <v>1</v>
      </c>
      <c r="H272" s="62">
        <v>5</v>
      </c>
      <c r="I272" s="62">
        <v>5.23</v>
      </c>
      <c r="J272" s="37">
        <v>84</v>
      </c>
      <c r="K272" s="37" t="s">
        <v>84</v>
      </c>
      <c r="L272" s="37" t="s">
        <v>85</v>
      </c>
      <c r="M272" s="38" t="s">
        <v>83</v>
      </c>
      <c r="N272" s="38"/>
      <c r="O272" s="37">
        <v>180</v>
      </c>
      <c r="P272" s="45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67" t="s">
        <v>366</v>
      </c>
      <c r="AG272" s="81"/>
      <c r="AJ272" s="87" t="s">
        <v>86</v>
      </c>
      <c r="AK272" s="87">
        <v>1</v>
      </c>
      <c r="BB272" s="268" t="s">
        <v>109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367</v>
      </c>
      <c r="B273" s="63" t="s">
        <v>368</v>
      </c>
      <c r="C273" s="36">
        <v>4301135374</v>
      </c>
      <c r="D273" s="356">
        <v>4640242181424</v>
      </c>
      <c r="E273" s="356"/>
      <c r="F273" s="62">
        <v>5.5</v>
      </c>
      <c r="G273" s="37">
        <v>1</v>
      </c>
      <c r="H273" s="62">
        <v>5.5</v>
      </c>
      <c r="I273" s="62">
        <v>5.7350000000000003</v>
      </c>
      <c r="J273" s="37">
        <v>84</v>
      </c>
      <c r="K273" s="37" t="s">
        <v>84</v>
      </c>
      <c r="L273" s="37" t="s">
        <v>111</v>
      </c>
      <c r="M273" s="38" t="s">
        <v>83</v>
      </c>
      <c r="N273" s="38"/>
      <c r="O273" s="37">
        <v>180</v>
      </c>
      <c r="P273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IFERROR(IF(X273="","",X273*0.0155),"")</f>
        <v>0</v>
      </c>
      <c r="AA273" s="68" t="s">
        <v>46</v>
      </c>
      <c r="AB273" s="69" t="s">
        <v>46</v>
      </c>
      <c r="AC273" s="269" t="s">
        <v>363</v>
      </c>
      <c r="AG273" s="81"/>
      <c r="AJ273" s="87" t="s">
        <v>112</v>
      </c>
      <c r="AK273" s="87">
        <v>12</v>
      </c>
      <c r="BB273" s="270" t="s">
        <v>109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customHeight="1" x14ac:dyDescent="0.25">
      <c r="A274" s="63" t="s">
        <v>369</v>
      </c>
      <c r="B274" s="63" t="s">
        <v>370</v>
      </c>
      <c r="C274" s="36">
        <v>4301135405</v>
      </c>
      <c r="D274" s="356">
        <v>4640242181523</v>
      </c>
      <c r="E274" s="356"/>
      <c r="F274" s="62">
        <v>3</v>
      </c>
      <c r="G274" s="37">
        <v>1</v>
      </c>
      <c r="H274" s="62">
        <v>3</v>
      </c>
      <c r="I274" s="62">
        <v>3.1920000000000002</v>
      </c>
      <c r="J274" s="37">
        <v>126</v>
      </c>
      <c r="K274" s="37" t="s">
        <v>110</v>
      </c>
      <c r="L274" s="37" t="s">
        <v>111</v>
      </c>
      <c r="M274" s="38" t="s">
        <v>83</v>
      </c>
      <c r="N274" s="38"/>
      <c r="O274" s="37">
        <v>180</v>
      </c>
      <c r="P274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ref="Z274:Z279" si="23">IFERROR(IF(X274="","",X274*0.00936),"")</f>
        <v>0</v>
      </c>
      <c r="AA274" s="68" t="s">
        <v>46</v>
      </c>
      <c r="AB274" s="69" t="s">
        <v>46</v>
      </c>
      <c r="AC274" s="271" t="s">
        <v>366</v>
      </c>
      <c r="AG274" s="81"/>
      <c r="AJ274" s="87" t="s">
        <v>112</v>
      </c>
      <c r="AK274" s="87">
        <v>14</v>
      </c>
      <c r="BB274" s="272" t="s">
        <v>109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371</v>
      </c>
      <c r="B275" s="63" t="s">
        <v>372</v>
      </c>
      <c r="C275" s="36">
        <v>4301135375</v>
      </c>
      <c r="D275" s="356">
        <v>4640242181486</v>
      </c>
      <c r="E275" s="356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110</v>
      </c>
      <c r="L275" s="37" t="s">
        <v>111</v>
      </c>
      <c r="M275" s="38" t="s">
        <v>83</v>
      </c>
      <c r="N275" s="38"/>
      <c r="O275" s="37">
        <v>180</v>
      </c>
      <c r="P275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73" t="s">
        <v>363</v>
      </c>
      <c r="AG275" s="81"/>
      <c r="AJ275" s="87" t="s">
        <v>112</v>
      </c>
      <c r="AK275" s="87">
        <v>14</v>
      </c>
      <c r="BB275" s="274" t="s">
        <v>109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37.5" customHeight="1" x14ac:dyDescent="0.25">
      <c r="A276" s="63" t="s">
        <v>373</v>
      </c>
      <c r="B276" s="63" t="s">
        <v>374</v>
      </c>
      <c r="C276" s="36">
        <v>4301135402</v>
      </c>
      <c r="D276" s="356">
        <v>4640242181493</v>
      </c>
      <c r="E276" s="356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110</v>
      </c>
      <c r="L276" s="37" t="s">
        <v>111</v>
      </c>
      <c r="M276" s="38" t="s">
        <v>83</v>
      </c>
      <c r="N276" s="38"/>
      <c r="O276" s="37">
        <v>180</v>
      </c>
      <c r="P276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75" t="s">
        <v>363</v>
      </c>
      <c r="AG276" s="81"/>
      <c r="AJ276" s="87" t="s">
        <v>112</v>
      </c>
      <c r="AK276" s="87">
        <v>14</v>
      </c>
      <c r="BB276" s="276" t="s">
        <v>109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37.5" customHeight="1" x14ac:dyDescent="0.25">
      <c r="A277" s="63" t="s">
        <v>375</v>
      </c>
      <c r="B277" s="63" t="s">
        <v>376</v>
      </c>
      <c r="C277" s="36">
        <v>4301135403</v>
      </c>
      <c r="D277" s="356">
        <v>4640242181509</v>
      </c>
      <c r="E277" s="356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110</v>
      </c>
      <c r="L277" s="37" t="s">
        <v>85</v>
      </c>
      <c r="M277" s="38" t="s">
        <v>83</v>
      </c>
      <c r="N277" s="38"/>
      <c r="O277" s="37">
        <v>180</v>
      </c>
      <c r="P277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358"/>
      <c r="R277" s="358"/>
      <c r="S277" s="358"/>
      <c r="T277" s="35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7" t="s">
        <v>363</v>
      </c>
      <c r="AG277" s="81"/>
      <c r="AJ277" s="87" t="s">
        <v>86</v>
      </c>
      <c r="AK277" s="87">
        <v>1</v>
      </c>
      <c r="BB277" s="278" t="s">
        <v>109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377</v>
      </c>
      <c r="B278" s="63" t="s">
        <v>378</v>
      </c>
      <c r="C278" s="36">
        <v>4301135304</v>
      </c>
      <c r="D278" s="356">
        <v>4640242181240</v>
      </c>
      <c r="E278" s="356"/>
      <c r="F278" s="62">
        <v>0.3</v>
      </c>
      <c r="G278" s="37">
        <v>9</v>
      </c>
      <c r="H278" s="62">
        <v>2.7</v>
      </c>
      <c r="I278" s="62">
        <v>2.88</v>
      </c>
      <c r="J278" s="37">
        <v>126</v>
      </c>
      <c r="K278" s="37" t="s">
        <v>110</v>
      </c>
      <c r="L278" s="37" t="s">
        <v>111</v>
      </c>
      <c r="M278" s="38" t="s">
        <v>83</v>
      </c>
      <c r="N278" s="38"/>
      <c r="O278" s="37">
        <v>180</v>
      </c>
      <c r="P278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358"/>
      <c r="R278" s="358"/>
      <c r="S278" s="358"/>
      <c r="T278" s="359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9" t="s">
        <v>363</v>
      </c>
      <c r="AG278" s="81"/>
      <c r="AJ278" s="87" t="s">
        <v>112</v>
      </c>
      <c r="AK278" s="87">
        <v>14</v>
      </c>
      <c r="BB278" s="280" t="s">
        <v>109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379</v>
      </c>
      <c r="B279" s="63" t="s">
        <v>380</v>
      </c>
      <c r="C279" s="36">
        <v>4301135610</v>
      </c>
      <c r="D279" s="356">
        <v>4640242181318</v>
      </c>
      <c r="E279" s="356"/>
      <c r="F279" s="62">
        <v>0.3</v>
      </c>
      <c r="G279" s="37">
        <v>9</v>
      </c>
      <c r="H279" s="62">
        <v>2.7</v>
      </c>
      <c r="I279" s="62">
        <v>2.988</v>
      </c>
      <c r="J279" s="37">
        <v>126</v>
      </c>
      <c r="K279" s="37" t="s">
        <v>110</v>
      </c>
      <c r="L279" s="37" t="s">
        <v>111</v>
      </c>
      <c r="M279" s="38" t="s">
        <v>83</v>
      </c>
      <c r="N279" s="38"/>
      <c r="O279" s="37">
        <v>180</v>
      </c>
      <c r="P279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358"/>
      <c r="R279" s="358"/>
      <c r="S279" s="358"/>
      <c r="T279" s="359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81" t="s">
        <v>366</v>
      </c>
      <c r="AG279" s="81"/>
      <c r="AJ279" s="87" t="s">
        <v>112</v>
      </c>
      <c r="AK279" s="87">
        <v>14</v>
      </c>
      <c r="BB279" s="282" t="s">
        <v>109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381</v>
      </c>
      <c r="B280" s="63" t="s">
        <v>382</v>
      </c>
      <c r="C280" s="36">
        <v>4301135306</v>
      </c>
      <c r="D280" s="356">
        <v>4640242181387</v>
      </c>
      <c r="E280" s="356"/>
      <c r="F280" s="62">
        <v>0.3</v>
      </c>
      <c r="G280" s="37">
        <v>9</v>
      </c>
      <c r="H280" s="62">
        <v>2.7</v>
      </c>
      <c r="I280" s="62">
        <v>2.8450000000000002</v>
      </c>
      <c r="J280" s="37">
        <v>234</v>
      </c>
      <c r="K280" s="37" t="s">
        <v>161</v>
      </c>
      <c r="L280" s="37" t="s">
        <v>111</v>
      </c>
      <c r="M280" s="38" t="s">
        <v>83</v>
      </c>
      <c r="N280" s="38"/>
      <c r="O280" s="37">
        <v>180</v>
      </c>
      <c r="P280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358"/>
      <c r="R280" s="358"/>
      <c r="S280" s="358"/>
      <c r="T280" s="359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>IFERROR(IF(X280="","",X280*0.00502),"")</f>
        <v>0</v>
      </c>
      <c r="AA280" s="68" t="s">
        <v>46</v>
      </c>
      <c r="AB280" s="69" t="s">
        <v>46</v>
      </c>
      <c r="AC280" s="283" t="s">
        <v>363</v>
      </c>
      <c r="AG280" s="81"/>
      <c r="AJ280" s="87" t="s">
        <v>112</v>
      </c>
      <c r="AK280" s="87">
        <v>18</v>
      </c>
      <c r="BB280" s="284" t="s">
        <v>109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x14ac:dyDescent="0.2">
      <c r="A281" s="368"/>
      <c r="B281" s="368"/>
      <c r="C281" s="368"/>
      <c r="D281" s="368"/>
      <c r="E281" s="368"/>
      <c r="F281" s="368"/>
      <c r="G281" s="368"/>
      <c r="H281" s="368"/>
      <c r="I281" s="368"/>
      <c r="J281" s="368"/>
      <c r="K281" s="368"/>
      <c r="L281" s="368"/>
      <c r="M281" s="368"/>
      <c r="N281" s="368"/>
      <c r="O281" s="369"/>
      <c r="P281" s="365" t="s">
        <v>40</v>
      </c>
      <c r="Q281" s="366"/>
      <c r="R281" s="366"/>
      <c r="S281" s="366"/>
      <c r="T281" s="366"/>
      <c r="U281" s="366"/>
      <c r="V281" s="367"/>
      <c r="W281" s="42" t="s">
        <v>39</v>
      </c>
      <c r="X281" s="43">
        <f>IFERROR(SUM(X271:X280),"0")</f>
        <v>0</v>
      </c>
      <c r="Y281" s="43">
        <f>IFERROR(SUM(Y271:Y280),"0")</f>
        <v>0</v>
      </c>
      <c r="Z281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368"/>
      <c r="B282" s="368"/>
      <c r="C282" s="368"/>
      <c r="D282" s="368"/>
      <c r="E282" s="368"/>
      <c r="F282" s="368"/>
      <c r="G282" s="368"/>
      <c r="H282" s="368"/>
      <c r="I282" s="368"/>
      <c r="J282" s="368"/>
      <c r="K282" s="368"/>
      <c r="L282" s="368"/>
      <c r="M282" s="368"/>
      <c r="N282" s="368"/>
      <c r="O282" s="369"/>
      <c r="P282" s="365" t="s">
        <v>40</v>
      </c>
      <c r="Q282" s="366"/>
      <c r="R282" s="366"/>
      <c r="S282" s="366"/>
      <c r="T282" s="366"/>
      <c r="U282" s="366"/>
      <c r="V282" s="367"/>
      <c r="W282" s="42" t="s">
        <v>0</v>
      </c>
      <c r="X282" s="43">
        <f>IFERROR(SUMPRODUCT(X271:X280*H271:H280),"0")</f>
        <v>0</v>
      </c>
      <c r="Y282" s="43">
        <f>IFERROR(SUMPRODUCT(Y271:Y280*H271:H280),"0")</f>
        <v>0</v>
      </c>
      <c r="Z282" s="42"/>
      <c r="AA282" s="67"/>
      <c r="AB282" s="67"/>
      <c r="AC282" s="67"/>
    </row>
    <row r="283" spans="1:68" ht="15" customHeight="1" x14ac:dyDescent="0.2">
      <c r="A283" s="368"/>
      <c r="B283" s="368"/>
      <c r="C283" s="368"/>
      <c r="D283" s="368"/>
      <c r="E283" s="368"/>
      <c r="F283" s="368"/>
      <c r="G283" s="368"/>
      <c r="H283" s="368"/>
      <c r="I283" s="368"/>
      <c r="J283" s="368"/>
      <c r="K283" s="368"/>
      <c r="L283" s="368"/>
      <c r="M283" s="368"/>
      <c r="N283" s="368"/>
      <c r="O283" s="465"/>
      <c r="P283" s="462" t="s">
        <v>33</v>
      </c>
      <c r="Q283" s="463"/>
      <c r="R283" s="463"/>
      <c r="S283" s="463"/>
      <c r="T283" s="463"/>
      <c r="U283" s="463"/>
      <c r="V283" s="464"/>
      <c r="W283" s="42" t="s">
        <v>0</v>
      </c>
      <c r="X283" s="43">
        <f>IFERROR(X29+X35+X42+X49+X57+X62+X66+X71+X77+X83+X88+X94+X104+X110+X121+X125+X129+X136+X142+X148+X154+X160+X165+X170+X175+X182+X187+X196+X202+X208+X214+X219+X224+X230+X236+X242+X246+X252+X259+X263+X269+X282,"0")</f>
        <v>0</v>
      </c>
      <c r="Y283" s="43">
        <f>IFERROR(Y29+Y35+Y42+Y49+Y57+Y62+Y66+Y71+Y77+Y83+Y88+Y94+Y104+Y110+Y121+Y125+Y129+Y136+Y142+Y148+Y154+Y160+Y165+Y170+Y175+Y182+Y187+Y196+Y202+Y208+Y214+Y219+Y224+Y230+Y236+Y242+Y246+Y252+Y259+Y263+Y269+Y282,"0")</f>
        <v>0</v>
      </c>
      <c r="Z283" s="42"/>
      <c r="AA283" s="67"/>
      <c r="AB283" s="67"/>
      <c r="AC283" s="67"/>
    </row>
    <row r="284" spans="1:68" x14ac:dyDescent="0.2">
      <c r="A284" s="368"/>
      <c r="B284" s="368"/>
      <c r="C284" s="368"/>
      <c r="D284" s="368"/>
      <c r="E284" s="368"/>
      <c r="F284" s="368"/>
      <c r="G284" s="368"/>
      <c r="H284" s="368"/>
      <c r="I284" s="368"/>
      <c r="J284" s="368"/>
      <c r="K284" s="368"/>
      <c r="L284" s="368"/>
      <c r="M284" s="368"/>
      <c r="N284" s="368"/>
      <c r="O284" s="465"/>
      <c r="P284" s="462" t="s">
        <v>34</v>
      </c>
      <c r="Q284" s="463"/>
      <c r="R284" s="463"/>
      <c r="S284" s="463"/>
      <c r="T284" s="463"/>
      <c r="U284" s="463"/>
      <c r="V284" s="464"/>
      <c r="W284" s="42" t="s">
        <v>0</v>
      </c>
      <c r="X284" s="43">
        <f>IFERROR(SUM(BM22:BM280),"0")</f>
        <v>0</v>
      </c>
      <c r="Y284" s="43">
        <f>IFERROR(SUM(BN22:BN280),"0")</f>
        <v>0</v>
      </c>
      <c r="Z284" s="42"/>
      <c r="AA284" s="67"/>
      <c r="AB284" s="67"/>
      <c r="AC284" s="67"/>
    </row>
    <row r="285" spans="1:68" x14ac:dyDescent="0.2">
      <c r="A285" s="368"/>
      <c r="B285" s="368"/>
      <c r="C285" s="368"/>
      <c r="D285" s="368"/>
      <c r="E285" s="368"/>
      <c r="F285" s="368"/>
      <c r="G285" s="368"/>
      <c r="H285" s="368"/>
      <c r="I285" s="368"/>
      <c r="J285" s="368"/>
      <c r="K285" s="368"/>
      <c r="L285" s="368"/>
      <c r="M285" s="368"/>
      <c r="N285" s="368"/>
      <c r="O285" s="465"/>
      <c r="P285" s="462" t="s">
        <v>35</v>
      </c>
      <c r="Q285" s="463"/>
      <c r="R285" s="463"/>
      <c r="S285" s="463"/>
      <c r="T285" s="463"/>
      <c r="U285" s="463"/>
      <c r="V285" s="464"/>
      <c r="W285" s="42" t="s">
        <v>20</v>
      </c>
      <c r="X285" s="44">
        <f>ROUNDUP(SUM(BO22:BO280),0)</f>
        <v>0</v>
      </c>
      <c r="Y285" s="44">
        <f>ROUNDUP(SUM(BP22:BP280),0)</f>
        <v>0</v>
      </c>
      <c r="Z285" s="42"/>
      <c r="AA285" s="67"/>
      <c r="AB285" s="67"/>
      <c r="AC285" s="67"/>
    </row>
    <row r="286" spans="1:68" x14ac:dyDescent="0.2">
      <c r="A286" s="368"/>
      <c r="B286" s="368"/>
      <c r="C286" s="368"/>
      <c r="D286" s="368"/>
      <c r="E286" s="368"/>
      <c r="F286" s="368"/>
      <c r="G286" s="368"/>
      <c r="H286" s="368"/>
      <c r="I286" s="368"/>
      <c r="J286" s="368"/>
      <c r="K286" s="368"/>
      <c r="L286" s="368"/>
      <c r="M286" s="368"/>
      <c r="N286" s="368"/>
      <c r="O286" s="465"/>
      <c r="P286" s="462" t="s">
        <v>36</v>
      </c>
      <c r="Q286" s="463"/>
      <c r="R286" s="463"/>
      <c r="S286" s="463"/>
      <c r="T286" s="463"/>
      <c r="U286" s="463"/>
      <c r="V286" s="464"/>
      <c r="W286" s="42" t="s">
        <v>0</v>
      </c>
      <c r="X286" s="43">
        <f>GrossWeightTotal+PalletQtyTotal*25</f>
        <v>0</v>
      </c>
      <c r="Y286" s="43">
        <f>GrossWeightTotalR+PalletQtyTotalR*25</f>
        <v>0</v>
      </c>
      <c r="Z286" s="42"/>
      <c r="AA286" s="67"/>
      <c r="AB286" s="67"/>
      <c r="AC286" s="67"/>
    </row>
    <row r="287" spans="1:68" x14ac:dyDescent="0.2">
      <c r="A287" s="368"/>
      <c r="B287" s="368"/>
      <c r="C287" s="368"/>
      <c r="D287" s="368"/>
      <c r="E287" s="368"/>
      <c r="F287" s="368"/>
      <c r="G287" s="368"/>
      <c r="H287" s="368"/>
      <c r="I287" s="368"/>
      <c r="J287" s="368"/>
      <c r="K287" s="368"/>
      <c r="L287" s="368"/>
      <c r="M287" s="368"/>
      <c r="N287" s="368"/>
      <c r="O287" s="465"/>
      <c r="P287" s="462" t="s">
        <v>37</v>
      </c>
      <c r="Q287" s="463"/>
      <c r="R287" s="463"/>
      <c r="S287" s="463"/>
      <c r="T287" s="463"/>
      <c r="U287" s="463"/>
      <c r="V287" s="464"/>
      <c r="W287" s="42" t="s">
        <v>20</v>
      </c>
      <c r="X287" s="43">
        <f>IFERROR(X28+X34+X41+X48+X56+X61+X65+X70+X76+X82+X87+X93+X103+X109+X120+X124+X128+X135+X141+X147+X153+X159+X164+X169+X174+X181+X186+X195+X201+X207+X213+X218+X223+X229+X235+X241+X245+X251+X258+X262+X268+X281,"0")</f>
        <v>0</v>
      </c>
      <c r="Y287" s="43">
        <f>IFERROR(Y28+Y34+Y41+Y48+Y56+Y61+Y65+Y70+Y76+Y82+Y87+Y93+Y103+Y109+Y120+Y124+Y128+Y135+Y141+Y147+Y153+Y159+Y164+Y169+Y174+Y181+Y186+Y195+Y201+Y207+Y213+Y218+Y223+Y229+Y235+Y241+Y245+Y251+Y258+Y262+Y268+Y281,"0")</f>
        <v>0</v>
      </c>
      <c r="Z287" s="42"/>
      <c r="AA287" s="67"/>
      <c r="AB287" s="67"/>
      <c r="AC287" s="67"/>
    </row>
    <row r="288" spans="1:68" ht="14.25" x14ac:dyDescent="0.2">
      <c r="A288" s="368"/>
      <c r="B288" s="368"/>
      <c r="C288" s="368"/>
      <c r="D288" s="368"/>
      <c r="E288" s="368"/>
      <c r="F288" s="368"/>
      <c r="G288" s="368"/>
      <c r="H288" s="368"/>
      <c r="I288" s="368"/>
      <c r="J288" s="368"/>
      <c r="K288" s="368"/>
      <c r="L288" s="368"/>
      <c r="M288" s="368"/>
      <c r="N288" s="368"/>
      <c r="O288" s="465"/>
      <c r="P288" s="462" t="s">
        <v>38</v>
      </c>
      <c r="Q288" s="463"/>
      <c r="R288" s="463"/>
      <c r="S288" s="463"/>
      <c r="T288" s="463"/>
      <c r="U288" s="463"/>
      <c r="V288" s="464"/>
      <c r="W288" s="45" t="s">
        <v>52</v>
      </c>
      <c r="X288" s="42"/>
      <c r="Y288" s="42"/>
      <c r="Z288" s="42">
        <f>IFERROR(Z28+Z34+Z41+Z48+Z56+Z61+Z65+Z70+Z76+Z82+Z87+Z93+Z103+Z109+Z120+Z124+Z128+Z135+Z141+Z147+Z153+Z159+Z164+Z169+Z174+Z181+Z186+Z195+Z201+Z207+Z213+Z218+Z223+Z229+Z235+Z241+Z245+Z251+Z258+Z262+Z268+Z281,"0")</f>
        <v>0</v>
      </c>
      <c r="AA288" s="67"/>
      <c r="AB288" s="67"/>
      <c r="AC288" s="67"/>
    </row>
    <row r="289" spans="1:32" ht="13.5" thickBot="1" x14ac:dyDescent="0.25"/>
    <row r="290" spans="1:32" ht="27" thickTop="1" thickBot="1" x14ac:dyDescent="0.25">
      <c r="A290" s="46" t="s">
        <v>9</v>
      </c>
      <c r="B290" s="466" t="s">
        <v>78</v>
      </c>
      <c r="C290" s="466" t="s">
        <v>78</v>
      </c>
      <c r="D290" s="466" t="s">
        <v>45</v>
      </c>
      <c r="E290" s="466" t="s">
        <v>45</v>
      </c>
      <c r="F290" s="466" t="s">
        <v>45</v>
      </c>
      <c r="G290" s="466" t="s">
        <v>45</v>
      </c>
      <c r="H290" s="466" t="s">
        <v>45</v>
      </c>
      <c r="I290" s="466" t="s">
        <v>45</v>
      </c>
      <c r="J290" s="466" t="s">
        <v>45</v>
      </c>
      <c r="K290" s="466" t="s">
        <v>45</v>
      </c>
      <c r="L290" s="466" t="s">
        <v>45</v>
      </c>
      <c r="M290" s="466" t="s">
        <v>45</v>
      </c>
      <c r="N290" s="467"/>
      <c r="O290" s="466" t="s">
        <v>45</v>
      </c>
      <c r="P290" s="466" t="s">
        <v>45</v>
      </c>
      <c r="Q290" s="466" t="s">
        <v>45</v>
      </c>
      <c r="R290" s="466" t="s">
        <v>45</v>
      </c>
      <c r="S290" s="466" t="s">
        <v>45</v>
      </c>
      <c r="T290" s="466" t="s">
        <v>45</v>
      </c>
      <c r="U290" s="466" t="s">
        <v>45</v>
      </c>
      <c r="V290" s="88" t="s">
        <v>267</v>
      </c>
      <c r="W290" s="88" t="s">
        <v>281</v>
      </c>
      <c r="X290" s="466" t="s">
        <v>295</v>
      </c>
      <c r="Y290" s="466" t="s">
        <v>295</v>
      </c>
      <c r="Z290" s="466" t="s">
        <v>295</v>
      </c>
      <c r="AA290" s="466" t="s">
        <v>295</v>
      </c>
      <c r="AB290" s="88" t="s">
        <v>324</v>
      </c>
      <c r="AC290" s="88" t="s">
        <v>329</v>
      </c>
      <c r="AD290" s="88" t="s">
        <v>333</v>
      </c>
      <c r="AE290" s="88" t="s">
        <v>341</v>
      </c>
      <c r="AF290" s="88" t="s">
        <v>345</v>
      </c>
    </row>
    <row r="291" spans="1:32" ht="14.25" customHeight="1" thickTop="1" x14ac:dyDescent="0.2">
      <c r="A291" s="468" t="s">
        <v>10</v>
      </c>
      <c r="B291" s="466" t="s">
        <v>78</v>
      </c>
      <c r="C291" s="466" t="s">
        <v>98</v>
      </c>
      <c r="D291" s="466" t="s">
        <v>104</v>
      </c>
      <c r="E291" s="466" t="s">
        <v>115</v>
      </c>
      <c r="F291" s="466" t="s">
        <v>125</v>
      </c>
      <c r="G291" s="466" t="s">
        <v>136</v>
      </c>
      <c r="H291" s="466" t="s">
        <v>157</v>
      </c>
      <c r="I291" s="466" t="s">
        <v>164</v>
      </c>
      <c r="J291" s="466" t="s">
        <v>168</v>
      </c>
      <c r="K291" s="466" t="s">
        <v>176</v>
      </c>
      <c r="L291" s="466" t="s">
        <v>191</v>
      </c>
      <c r="M291" s="466" t="s">
        <v>197</v>
      </c>
      <c r="N291" s="1"/>
      <c r="O291" s="466" t="s">
        <v>222</v>
      </c>
      <c r="P291" s="466" t="s">
        <v>238</v>
      </c>
      <c r="Q291" s="466" t="s">
        <v>244</v>
      </c>
      <c r="R291" s="466" t="s">
        <v>251</v>
      </c>
      <c r="S291" s="466" t="s">
        <v>256</v>
      </c>
      <c r="T291" s="466" t="s">
        <v>260</v>
      </c>
      <c r="U291" s="466" t="s">
        <v>263</v>
      </c>
      <c r="V291" s="466" t="s">
        <v>268</v>
      </c>
      <c r="W291" s="466" t="s">
        <v>282</v>
      </c>
      <c r="X291" s="466" t="s">
        <v>296</v>
      </c>
      <c r="Y291" s="466" t="s">
        <v>309</v>
      </c>
      <c r="Z291" s="466" t="s">
        <v>316</v>
      </c>
      <c r="AA291" s="466" t="s">
        <v>320</v>
      </c>
      <c r="AB291" s="466" t="s">
        <v>325</v>
      </c>
      <c r="AC291" s="466" t="s">
        <v>330</v>
      </c>
      <c r="AD291" s="466" t="s">
        <v>334</v>
      </c>
      <c r="AE291" s="466" t="s">
        <v>341</v>
      </c>
      <c r="AF291" s="466" t="s">
        <v>345</v>
      </c>
    </row>
    <row r="292" spans="1:32" ht="13.5" thickBot="1" x14ac:dyDescent="0.25">
      <c r="A292" s="469"/>
      <c r="B292" s="466"/>
      <c r="C292" s="466"/>
      <c r="D292" s="466"/>
      <c r="E292" s="466"/>
      <c r="F292" s="466"/>
      <c r="G292" s="466"/>
      <c r="H292" s="466"/>
      <c r="I292" s="466"/>
      <c r="J292" s="466"/>
      <c r="K292" s="466"/>
      <c r="L292" s="466"/>
      <c r="M292" s="466"/>
      <c r="N292" s="1"/>
      <c r="O292" s="466"/>
      <c r="P292" s="466"/>
      <c r="Q292" s="466"/>
      <c r="R292" s="466"/>
      <c r="S292" s="466"/>
      <c r="T292" s="466"/>
      <c r="U292" s="466"/>
      <c r="V292" s="466"/>
      <c r="W292" s="466"/>
      <c r="X292" s="466"/>
      <c r="Y292" s="466"/>
      <c r="Z292" s="466"/>
      <c r="AA292" s="466"/>
      <c r="AB292" s="466"/>
      <c r="AC292" s="466"/>
      <c r="AD292" s="466"/>
      <c r="AE292" s="466"/>
      <c r="AF292" s="466"/>
    </row>
    <row r="293" spans="1:32" ht="18" thickTop="1" thickBot="1" x14ac:dyDescent="0.25">
      <c r="A293" s="46" t="s">
        <v>13</v>
      </c>
      <c r="B293" s="52">
        <f>IFERROR(X22*H22,"0")+IFERROR(X23*H23,"0")+IFERROR(X24*H24,"0")+IFERROR(X25*H25,"0")+IFERROR(X26*H26,"0")+IFERROR(X27*H27,"0")</f>
        <v>0</v>
      </c>
      <c r="C293" s="52">
        <f>IFERROR(X32*H32,"0")+IFERROR(X33*H33,"0")</f>
        <v>0</v>
      </c>
      <c r="D293" s="52">
        <f>IFERROR(X39*H39,"0")+IFERROR(X40*H40,"0")</f>
        <v>0</v>
      </c>
      <c r="E293" s="52">
        <f>IFERROR(X45*H45,"0")+IFERROR(X46*H46,"0")+IFERROR(X47*H47,"0")</f>
        <v>0</v>
      </c>
      <c r="F293" s="52">
        <f>IFERROR(X52*H52,"0")+IFERROR(X53*H53,"0")+IFERROR(X54*H54,"0")+IFERROR(X55*H55,"0")</f>
        <v>0</v>
      </c>
      <c r="G293" s="52">
        <f>IFERROR(X60*H60,"0")+IFERROR(X64*H64,"0")+IFERROR(X68*H68,"0")+IFERROR(X69*H69,"0")+IFERROR(X73*H73,"0")+IFERROR(X74*H74,"0")+IFERROR(X75*H75,"0")</f>
        <v>0</v>
      </c>
      <c r="H293" s="52">
        <f>IFERROR(X80*H80,"0")+IFERROR(X81*H81,"0")</f>
        <v>0</v>
      </c>
      <c r="I293" s="52">
        <f>IFERROR(X86*H86,"0")</f>
        <v>0</v>
      </c>
      <c r="J293" s="52">
        <f>IFERROR(X91*H91,"0")+IFERROR(X92*H92,"0")</f>
        <v>0</v>
      </c>
      <c r="K293" s="52">
        <f>IFERROR(X97*H97,"0")+IFERROR(X98*H98,"0")+IFERROR(X99*H99,"0")+IFERROR(X100*H100,"0")+IFERROR(X101*H101,"0")+IFERROR(X102*H102,"0")</f>
        <v>0</v>
      </c>
      <c r="L293" s="52">
        <f>IFERROR(X107*H107,"0")+IFERROR(X108*H108,"0")</f>
        <v>0</v>
      </c>
      <c r="M293" s="52">
        <f>IFERROR(X113*H113,"0")+IFERROR(X114*H114,"0")+IFERROR(X115*H115,"0")+IFERROR(X116*H116,"0")+IFERROR(X117*H117,"0")+IFERROR(X118*H118,"0")+IFERROR(X119*H119,"0")+IFERROR(X123*H123,"0")+IFERROR(X127*H127,"0")</f>
        <v>0</v>
      </c>
      <c r="N293" s="1"/>
      <c r="O293" s="52">
        <f>IFERROR(X132*H132,"0")+IFERROR(X133*H133,"0")+IFERROR(X134*H134,"0")+IFERROR(X138*H138,"0")+IFERROR(X139*H139,"0")+IFERROR(X140*H140,"0")</f>
        <v>0</v>
      </c>
      <c r="P293" s="52">
        <f>IFERROR(X145*H145,"0")+IFERROR(X146*H146,"0")</f>
        <v>0</v>
      </c>
      <c r="Q293" s="52">
        <f>IFERROR(X151*H151,"0")+IFERROR(X152*H152,"0")</f>
        <v>0</v>
      </c>
      <c r="R293" s="52">
        <f>IFERROR(X157*H157,"0")+IFERROR(X158*H158,"0")</f>
        <v>0</v>
      </c>
      <c r="S293" s="52">
        <f>IFERROR(X163*H163,"0")</f>
        <v>0</v>
      </c>
      <c r="T293" s="52">
        <f>IFERROR(X168*H168,"0")</f>
        <v>0</v>
      </c>
      <c r="U293" s="52">
        <f>IFERROR(X173*H173,"0")</f>
        <v>0</v>
      </c>
      <c r="V293" s="52">
        <f>IFERROR(X179*H179,"0")+IFERROR(X180*H180,"0")+IFERROR(X184*H184,"0")+IFERROR(X185*H185,"0")</f>
        <v>0</v>
      </c>
      <c r="W293" s="52">
        <f>IFERROR(X191*H191,"0")+IFERROR(X192*H192,"0")+IFERROR(X193*H193,"0")+IFERROR(X194*H194,"0")</f>
        <v>0</v>
      </c>
      <c r="X293" s="52">
        <f>IFERROR(X200*H200,"0")+IFERROR(X204*H204,"0")+IFERROR(X205*H205,"0")+IFERROR(X206*H206,"0")</f>
        <v>0</v>
      </c>
      <c r="Y293" s="52">
        <f>IFERROR(X211*H211,"0")+IFERROR(X212*H212,"0")</f>
        <v>0</v>
      </c>
      <c r="Z293" s="52">
        <f>IFERROR(X217*H217,"0")</f>
        <v>0</v>
      </c>
      <c r="AA293" s="52">
        <f>IFERROR(X222*H222,"0")</f>
        <v>0</v>
      </c>
      <c r="AB293" s="52">
        <f>IFERROR(X228*H228,"0")</f>
        <v>0</v>
      </c>
      <c r="AC293" s="52">
        <f>IFERROR(X234*H234,"0")</f>
        <v>0</v>
      </c>
      <c r="AD293" s="52">
        <f>IFERROR(X240*H240,"0")+IFERROR(X244*H244,"0")</f>
        <v>0</v>
      </c>
      <c r="AE293" s="52">
        <f>IFERROR(X250*H250,"0")</f>
        <v>0</v>
      </c>
      <c r="AF293" s="52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0</v>
      </c>
    </row>
    <row r="294" spans="1:32" ht="13.5" thickTop="1" x14ac:dyDescent="0.2">
      <c r="C294" s="1"/>
    </row>
    <row r="295" spans="1:32" ht="19.5" customHeight="1" x14ac:dyDescent="0.2">
      <c r="A295" s="70" t="s">
        <v>62</v>
      </c>
      <c r="B295" s="70" t="s">
        <v>63</v>
      </c>
      <c r="C295" s="70" t="s">
        <v>65</v>
      </c>
    </row>
    <row r="296" spans="1:32" x14ac:dyDescent="0.2">
      <c r="A296" s="71">
        <f>SUMPRODUCT(--(BB:BB="ЗПФ"),--(W:W="кор"),H:H,Y:Y)+SUMPRODUCT(--(BB:BB="ЗПФ"),--(W:W="кг"),Y:Y)</f>
        <v>0</v>
      </c>
      <c r="B296" s="72">
        <f>SUMPRODUCT(--(BB:BB="ПГП"),--(W:W="кор"),H:H,Y:Y)+SUMPRODUCT(--(BB:BB="ПГП"),--(W:W="кг"),Y:Y)</f>
        <v>0</v>
      </c>
      <c r="C296" s="72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1">
    <mergeCell ref="AF291:AF292"/>
    <mergeCell ref="W291:W292"/>
    <mergeCell ref="X291:X292"/>
    <mergeCell ref="Y291:Y292"/>
    <mergeCell ref="Z291:Z292"/>
    <mergeCell ref="AA291:AA292"/>
    <mergeCell ref="AB291:AB292"/>
    <mergeCell ref="AC291:AC292"/>
    <mergeCell ref="AD291:AD292"/>
    <mergeCell ref="AE291:AE292"/>
    <mergeCell ref="B290:C290"/>
    <mergeCell ref="D290:U290"/>
    <mergeCell ref="X290:AA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K291:K292"/>
    <mergeCell ref="L291:L292"/>
    <mergeCell ref="M291:M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D280:E280"/>
    <mergeCell ref="P280:T280"/>
    <mergeCell ref="P281:V281"/>
    <mergeCell ref="A281:O282"/>
    <mergeCell ref="P282:V282"/>
    <mergeCell ref="P283:V283"/>
    <mergeCell ref="A283:O288"/>
    <mergeCell ref="P284:V284"/>
    <mergeCell ref="P285:V285"/>
    <mergeCell ref="P286:V286"/>
    <mergeCell ref="P287:V287"/>
    <mergeCell ref="P288:V288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4:Z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D244:E244"/>
    <mergeCell ref="P244:T244"/>
    <mergeCell ref="P245:V245"/>
    <mergeCell ref="A245:O246"/>
    <mergeCell ref="P246:V246"/>
    <mergeCell ref="A247:Z247"/>
    <mergeCell ref="A248:Z248"/>
    <mergeCell ref="A249:Z249"/>
    <mergeCell ref="D250:E250"/>
    <mergeCell ref="P250:T250"/>
    <mergeCell ref="A237:Z237"/>
    <mergeCell ref="A238:Z238"/>
    <mergeCell ref="A239:Z239"/>
    <mergeCell ref="D240:E240"/>
    <mergeCell ref="P240:T240"/>
    <mergeCell ref="P241:V241"/>
    <mergeCell ref="A241:O242"/>
    <mergeCell ref="P242:V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A189:Z189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28 X222 X211:X212 X204:X205 X194 X184:X185 X179 X157 X151 X138:X140 X132:X134 X127 X123 X117 X114 X102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34 X217 X206 X200 X191:X193 X180 X173 X168 X163 X158 X152 X145:X146 X118:X119 X115:X116 X113 X107:X108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386</v>
      </c>
      <c r="C6" s="53" t="s">
        <v>387</v>
      </c>
      <c r="D6" s="53" t="s">
        <v>388</v>
      </c>
      <c r="E6" s="53" t="s">
        <v>46</v>
      </c>
    </row>
    <row r="7" spans="2:8" x14ac:dyDescent="0.2">
      <c r="B7" s="53" t="s">
        <v>389</v>
      </c>
      <c r="C7" s="53" t="s">
        <v>390</v>
      </c>
      <c r="D7" s="53" t="s">
        <v>391</v>
      </c>
      <c r="E7" s="53" t="s">
        <v>46</v>
      </c>
    </row>
    <row r="8" spans="2:8" x14ac:dyDescent="0.2">
      <c r="B8" s="53" t="s">
        <v>392</v>
      </c>
      <c r="C8" s="53" t="s">
        <v>393</v>
      </c>
      <c r="D8" s="53" t="s">
        <v>394</v>
      </c>
      <c r="E8" s="53" t="s">
        <v>46</v>
      </c>
    </row>
    <row r="9" spans="2:8" x14ac:dyDescent="0.2">
      <c r="B9" s="53" t="s">
        <v>395</v>
      </c>
      <c r="C9" s="53" t="s">
        <v>396</v>
      </c>
      <c r="D9" s="53" t="s">
        <v>397</v>
      </c>
      <c r="E9" s="53" t="s">
        <v>46</v>
      </c>
    </row>
    <row r="10" spans="2:8" x14ac:dyDescent="0.2">
      <c r="B10" s="53" t="s">
        <v>398</v>
      </c>
      <c r="C10" s="53" t="s">
        <v>399</v>
      </c>
      <c r="D10" s="53" t="s">
        <v>400</v>
      </c>
      <c r="E10" s="53" t="s">
        <v>46</v>
      </c>
    </row>
    <row r="12" spans="2:8" x14ac:dyDescent="0.2">
      <c r="B12" s="53" t="s">
        <v>401</v>
      </c>
      <c r="C12" s="53" t="s">
        <v>387</v>
      </c>
      <c r="D12" s="53" t="s">
        <v>46</v>
      </c>
      <c r="E12" s="53" t="s">
        <v>46</v>
      </c>
    </row>
    <row r="14" spans="2:8" x14ac:dyDescent="0.2">
      <c r="B14" s="53" t="s">
        <v>402</v>
      </c>
      <c r="C14" s="53" t="s">
        <v>390</v>
      </c>
      <c r="D14" s="53" t="s">
        <v>46</v>
      </c>
      <c r="E14" s="53" t="s">
        <v>46</v>
      </c>
    </row>
    <row r="16" spans="2:8" x14ac:dyDescent="0.2">
      <c r="B16" s="53" t="s">
        <v>403</v>
      </c>
      <c r="C16" s="53" t="s">
        <v>393</v>
      </c>
      <c r="D16" s="53" t="s">
        <v>46</v>
      </c>
      <c r="E16" s="53" t="s">
        <v>46</v>
      </c>
    </row>
    <row r="18" spans="2:5" x14ac:dyDescent="0.2">
      <c r="B18" s="53" t="s">
        <v>404</v>
      </c>
      <c r="C18" s="53" t="s">
        <v>396</v>
      </c>
      <c r="D18" s="53" t="s">
        <v>46</v>
      </c>
      <c r="E18" s="53" t="s">
        <v>46</v>
      </c>
    </row>
    <row r="20" spans="2:5" x14ac:dyDescent="0.2">
      <c r="B20" s="53" t="s">
        <v>405</v>
      </c>
      <c r="C20" s="53" t="s">
        <v>399</v>
      </c>
      <c r="D20" s="53" t="s">
        <v>46</v>
      </c>
      <c r="E20" s="53" t="s">
        <v>46</v>
      </c>
    </row>
    <row r="22" spans="2:5" x14ac:dyDescent="0.2">
      <c r="B22" s="53" t="s">
        <v>406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410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411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416</v>
      </c>
      <c r="C32" s="53" t="s">
        <v>46</v>
      </c>
      <c r="D32" s="53" t="s">
        <v>46</v>
      </c>
      <c r="E32" s="53" t="s">
        <v>46</v>
      </c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2026-06-26T07:21:31Z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