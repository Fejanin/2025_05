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F6A7A7-D212-4EA0-822D-879C0749EE63}" xr6:coauthVersionLast="47" xr6:coauthVersionMax="47" xr10:uidLastSave="{00000000-0000-0000-0000-000000000000}"/>
  <bookViews>
    <workbookView xWindow="1665" yWindow="45" windowWidth="2230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заказа'!$X$288:$X$288</definedName>
    <definedName name="GrossWeightTotalR">'Бланк заказа'!$Y$288:$Y$288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заказа'!$X$289:$X$289</definedName>
    <definedName name="PalletQtyTotalR">'Бланк заказа'!$Y$289:$Y$289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заказа'!$B$278:$B$278</definedName>
    <definedName name="ProductId101">'Бланк заказа'!$B$279:$B$279</definedName>
    <definedName name="ProductId102">'Бланк заказа'!$B$280:$B$280</definedName>
    <definedName name="ProductId103">'Бланк заказа'!$B$281:$B$281</definedName>
    <definedName name="ProductId104">'Бланк заказа'!$B$282:$B$282</definedName>
    <definedName name="ProductId105">'Бланк заказа'!$B$283:$B$283</definedName>
    <definedName name="ProductId106">'Бланк заказа'!$B$284:$B$284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заказа'!$B$117:$B$117</definedName>
    <definedName name="ProductId49">'Бланк заказа'!$B$121:$B$121</definedName>
    <definedName name="ProductId5">'Бланк заказа'!$B$26:$B$26</definedName>
    <definedName name="ProductId50">'Бланк заказа'!$B$125:$B$125</definedName>
    <definedName name="ProductId51">'Бланк заказа'!$B$130:$B$130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заказа'!$B$137:$B$137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заказа'!$B$27:$B$27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заказа'!$B$161:$B$161</definedName>
    <definedName name="ProductId65">'Бланк заказа'!$B$162:$B$162</definedName>
    <definedName name="ProductId66">'Бланк заказа'!$B$167:$B$167</definedName>
    <definedName name="ProductId67">'Бланк заказа'!$B$168:$B$168</definedName>
    <definedName name="ProductId68">'Бланк заказа'!$B$173:$B$173</definedName>
    <definedName name="ProductId69">'Бланк заказа'!$B$178:$B$178</definedName>
    <definedName name="ProductId7">'Бланк заказа'!$B$28:$B$28</definedName>
    <definedName name="ProductId70">'Бланк заказа'!$B$184:$B$184</definedName>
    <definedName name="ProductId71">'Бланк заказа'!$B$188:$B$188</definedName>
    <definedName name="ProductId72">'Бланк заказа'!$B$189:$B$189</definedName>
    <definedName name="ProductId73">'Бланк заказа'!$B$190:$B$190</definedName>
    <definedName name="ProductId74">'Бланк заказа'!$B$195:$B$195</definedName>
    <definedName name="ProductId75">'Бланк заказа'!$B$196:$B$196</definedName>
    <definedName name="ProductId76">'Бланк заказа'!$B$201:$B$201</definedName>
    <definedName name="ProductId77">'Бланк заказа'!$B$207:$B$207</definedName>
    <definedName name="ProductId78">'Бланк заказа'!$B$208:$B$208</definedName>
    <definedName name="ProductId79">'Бланк заказа'!$B$209:$B$209</definedName>
    <definedName name="ProductId8">'Бланк заказа'!$B$29:$B$29</definedName>
    <definedName name="ProductId80">'Бланк заказа'!$B$210:$B$210</definedName>
    <definedName name="ProductId81">'Бланк заказа'!$B$216:$B$216</definedName>
    <definedName name="ProductId82">'Бланк заказа'!$B$220:$B$220</definedName>
    <definedName name="ProductId83">'Бланк заказа'!$B$221:$B$221</definedName>
    <definedName name="ProductId84">'Бланк заказа'!$B$226:$B$226</definedName>
    <definedName name="ProductId85">'Бланк заказа'!$B$227:$B$227</definedName>
    <definedName name="ProductId86">'Бланк заказа'!$B$232:$B$232</definedName>
    <definedName name="ProductId87">'Бланк заказа'!$B$238:$B$238</definedName>
    <definedName name="ProductId88">'Бланк заказа'!$B$244:$B$244</definedName>
    <definedName name="ProductId89">'Бланк заказа'!$B$248:$B$248</definedName>
    <definedName name="ProductId9">'Бланк заказа'!$B$33:$B$33</definedName>
    <definedName name="ProductId90">'Бланк заказа'!$B$254:$B$254</definedName>
    <definedName name="ProductId91">'Бланк заказа'!$B$258:$B$258</definedName>
    <definedName name="ProductId92">'Бланк заказа'!$B$264:$B$264</definedName>
    <definedName name="ProductId93">'Бланк заказа'!$B$265:$B$265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заказа'!$X$278:$X$278</definedName>
    <definedName name="SalesQty101">'Бланк заказа'!$X$279:$X$279</definedName>
    <definedName name="SalesQty102">'Бланк заказа'!$X$280:$X$280</definedName>
    <definedName name="SalesQty103">'Бланк заказа'!$X$281:$X$281</definedName>
    <definedName name="SalesQty104">'Бланк заказа'!$X$282:$X$282</definedName>
    <definedName name="SalesQty105">'Бланк заказа'!$X$283:$X$283</definedName>
    <definedName name="SalesQty106">'Бланк заказа'!$X$284:$X$284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заказа'!$X$117:$X$117</definedName>
    <definedName name="SalesQty49">'Бланк заказа'!$X$121:$X$121</definedName>
    <definedName name="SalesQty5">'Бланк заказа'!$X$26:$X$26</definedName>
    <definedName name="SalesQty50">'Бланк заказа'!$X$125:$X$125</definedName>
    <definedName name="SalesQty51">'Бланк заказа'!$X$130:$X$130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заказа'!$X$137:$X$137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заказа'!$X$27:$X$27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заказа'!$X$161:$X$161</definedName>
    <definedName name="SalesQty65">'Бланк заказа'!$X$162:$X$162</definedName>
    <definedName name="SalesQty66">'Бланк заказа'!$X$167:$X$167</definedName>
    <definedName name="SalesQty67">'Бланк заказа'!$X$168:$X$168</definedName>
    <definedName name="SalesQty68">'Бланк заказа'!$X$173:$X$173</definedName>
    <definedName name="SalesQty69">'Бланк заказа'!$X$178:$X$178</definedName>
    <definedName name="SalesQty7">'Бланк заказа'!$X$28:$X$28</definedName>
    <definedName name="SalesQty70">'Бланк заказа'!$X$184:$X$184</definedName>
    <definedName name="SalesQty71">'Бланк заказа'!$X$188:$X$188</definedName>
    <definedName name="SalesQty72">'Бланк заказа'!$X$189:$X$189</definedName>
    <definedName name="SalesQty73">'Бланк заказа'!$X$190:$X$190</definedName>
    <definedName name="SalesQty74">'Бланк заказа'!$X$195:$X$195</definedName>
    <definedName name="SalesQty75">'Бланк заказа'!$X$196:$X$196</definedName>
    <definedName name="SalesQty76">'Бланк заказа'!$X$201:$X$201</definedName>
    <definedName name="SalesQty77">'Бланк заказа'!$X$207:$X$207</definedName>
    <definedName name="SalesQty78">'Бланк заказа'!$X$208:$X$208</definedName>
    <definedName name="SalesQty79">'Бланк заказа'!$X$209:$X$209</definedName>
    <definedName name="SalesQty8">'Бланк заказа'!$X$29:$X$29</definedName>
    <definedName name="SalesQty80">'Бланк заказа'!$X$210:$X$210</definedName>
    <definedName name="SalesQty81">'Бланк заказа'!$X$216:$X$216</definedName>
    <definedName name="SalesQty82">'Бланк заказа'!$X$220:$X$220</definedName>
    <definedName name="SalesQty83">'Бланк заказа'!$X$221:$X$221</definedName>
    <definedName name="SalesQty84">'Бланк заказа'!$X$226:$X$226</definedName>
    <definedName name="SalesQty85">'Бланк заказа'!$X$227:$X$227</definedName>
    <definedName name="SalesQty86">'Бланк заказа'!$X$232:$X$232</definedName>
    <definedName name="SalesQty87">'Бланк заказа'!$X$238:$X$238</definedName>
    <definedName name="SalesQty88">'Бланк заказа'!$X$244:$X$244</definedName>
    <definedName name="SalesQty89">'Бланк заказа'!$X$248:$X$248</definedName>
    <definedName name="SalesQty9">'Бланк заказа'!$X$33:$X$33</definedName>
    <definedName name="SalesQty90">'Бланк заказа'!$X$254:$X$254</definedName>
    <definedName name="SalesQty91">'Бланк заказа'!$X$258:$X$258</definedName>
    <definedName name="SalesQty92">'Бланк заказа'!$X$264:$X$264</definedName>
    <definedName name="SalesQty93">'Бланк заказа'!$X$265:$X$265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заказа'!$Y$278:$Y$278</definedName>
    <definedName name="SalesRoundBox101">'Бланк заказа'!$Y$279:$Y$279</definedName>
    <definedName name="SalesRoundBox102">'Бланк заказа'!$Y$280:$Y$280</definedName>
    <definedName name="SalesRoundBox103">'Бланк заказа'!$Y$281:$Y$281</definedName>
    <definedName name="SalesRoundBox104">'Бланк заказа'!$Y$282:$Y$282</definedName>
    <definedName name="SalesRoundBox105">'Бланк заказа'!$Y$283:$Y$283</definedName>
    <definedName name="SalesRoundBox106">'Бланк заказа'!$Y$284:$Y$284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заказа'!$Y$117:$Y$117</definedName>
    <definedName name="SalesRoundBox49">'Бланк заказа'!$Y$121:$Y$121</definedName>
    <definedName name="SalesRoundBox5">'Бланк заказа'!$Y$26:$Y$26</definedName>
    <definedName name="SalesRoundBox50">'Бланк заказа'!$Y$125:$Y$125</definedName>
    <definedName name="SalesRoundBox51">'Бланк заказа'!$Y$130:$Y$130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заказа'!$Y$137:$Y$137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заказа'!$Y$27:$Y$27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заказа'!$Y$161:$Y$161</definedName>
    <definedName name="SalesRoundBox65">'Бланк заказа'!$Y$162:$Y$162</definedName>
    <definedName name="SalesRoundBox66">'Бланк заказа'!$Y$167:$Y$167</definedName>
    <definedName name="SalesRoundBox67">'Бланк заказа'!$Y$168:$Y$168</definedName>
    <definedName name="SalesRoundBox68">'Бланк заказа'!$Y$173:$Y$173</definedName>
    <definedName name="SalesRoundBox69">'Бланк заказа'!$Y$178:$Y$178</definedName>
    <definedName name="SalesRoundBox7">'Бланк заказа'!$Y$28:$Y$28</definedName>
    <definedName name="SalesRoundBox70">'Бланк заказа'!$Y$184:$Y$184</definedName>
    <definedName name="SalesRoundBox71">'Бланк заказа'!$Y$188:$Y$188</definedName>
    <definedName name="SalesRoundBox72">'Бланк заказа'!$Y$189:$Y$189</definedName>
    <definedName name="SalesRoundBox73">'Бланк заказа'!$Y$190:$Y$190</definedName>
    <definedName name="SalesRoundBox74">'Бланк заказа'!$Y$195:$Y$195</definedName>
    <definedName name="SalesRoundBox75">'Бланк заказа'!$Y$196:$Y$196</definedName>
    <definedName name="SalesRoundBox76">'Бланк заказа'!$Y$201:$Y$201</definedName>
    <definedName name="SalesRoundBox77">'Бланк заказа'!$Y$207:$Y$207</definedName>
    <definedName name="SalesRoundBox78">'Бланк заказа'!$Y$208:$Y$208</definedName>
    <definedName name="SalesRoundBox79">'Бланк заказа'!$Y$209:$Y$209</definedName>
    <definedName name="SalesRoundBox8">'Бланк заказа'!$Y$29:$Y$29</definedName>
    <definedName name="SalesRoundBox80">'Бланк заказа'!$Y$210:$Y$210</definedName>
    <definedName name="SalesRoundBox81">'Бланк заказа'!$Y$216:$Y$216</definedName>
    <definedName name="SalesRoundBox82">'Бланк заказа'!$Y$220:$Y$220</definedName>
    <definedName name="SalesRoundBox83">'Бланк заказа'!$Y$221:$Y$221</definedName>
    <definedName name="SalesRoundBox84">'Бланк заказа'!$Y$226:$Y$226</definedName>
    <definedName name="SalesRoundBox85">'Бланк заказа'!$Y$227:$Y$227</definedName>
    <definedName name="SalesRoundBox86">'Бланк заказа'!$Y$232:$Y$232</definedName>
    <definedName name="SalesRoundBox87">'Бланк заказа'!$Y$238:$Y$238</definedName>
    <definedName name="SalesRoundBox88">'Бланк заказа'!$Y$244:$Y$244</definedName>
    <definedName name="SalesRoundBox89">'Бланк заказа'!$Y$248:$Y$248</definedName>
    <definedName name="SalesRoundBox9">'Бланк заказа'!$Y$33:$Y$33</definedName>
    <definedName name="SalesRoundBox90">'Бланк заказа'!$Y$254:$Y$254</definedName>
    <definedName name="SalesRoundBox91">'Бланк заказа'!$Y$258:$Y$258</definedName>
    <definedName name="SalesRoundBox92">'Бланк заказа'!$Y$264:$Y$264</definedName>
    <definedName name="SalesRoundBox93">'Бланк заказа'!$Y$265:$Y$265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заказа'!$W$278:$W$278</definedName>
    <definedName name="UnitOfMeasure101">'Бланк заказа'!$W$279:$W$279</definedName>
    <definedName name="UnitOfMeasure102">'Бланк заказа'!$W$280:$W$280</definedName>
    <definedName name="UnitOfMeasure103">'Бланк заказа'!$W$281:$W$281</definedName>
    <definedName name="UnitOfMeasure104">'Бланк заказа'!$W$282:$W$282</definedName>
    <definedName name="UnitOfMeasure105">'Бланк заказа'!$W$283:$W$283</definedName>
    <definedName name="UnitOfMeasure106">'Бланк заказа'!$W$284:$W$284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заказа'!$W$117:$W$117</definedName>
    <definedName name="UnitOfMeasure49">'Бланк заказа'!$W$121:$W$121</definedName>
    <definedName name="UnitOfMeasure5">'Бланк заказа'!$W$26:$W$26</definedName>
    <definedName name="UnitOfMeasure50">'Бланк заказа'!$W$125:$W$125</definedName>
    <definedName name="UnitOfMeasure51">'Бланк заказа'!$W$130:$W$130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заказа'!$W$137:$W$137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заказа'!$W$27:$W$27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заказа'!$W$161:$W$161</definedName>
    <definedName name="UnitOfMeasure65">'Бланк заказа'!$W$162:$W$162</definedName>
    <definedName name="UnitOfMeasure66">'Бланк заказа'!$W$167:$W$167</definedName>
    <definedName name="UnitOfMeasure67">'Бланк заказа'!$W$168:$W$168</definedName>
    <definedName name="UnitOfMeasure68">'Бланк заказа'!$W$173:$W$173</definedName>
    <definedName name="UnitOfMeasure69">'Бланк заказа'!$W$178:$W$178</definedName>
    <definedName name="UnitOfMeasure7">'Бланк заказа'!$W$28:$W$28</definedName>
    <definedName name="UnitOfMeasure70">'Бланк заказа'!$W$184:$W$184</definedName>
    <definedName name="UnitOfMeasure71">'Бланк заказа'!$W$188:$W$188</definedName>
    <definedName name="UnitOfMeasure72">'Бланк заказа'!$W$189:$W$189</definedName>
    <definedName name="UnitOfMeasure73">'Бланк заказа'!$W$190:$W$190</definedName>
    <definedName name="UnitOfMeasure74">'Бланк заказа'!$W$195:$W$195</definedName>
    <definedName name="UnitOfMeasure75">'Бланк заказа'!$W$196:$W$196</definedName>
    <definedName name="UnitOfMeasure76">'Бланк заказа'!$W$201:$W$201</definedName>
    <definedName name="UnitOfMeasure77">'Бланк заказа'!$W$207:$W$207</definedName>
    <definedName name="UnitOfMeasure78">'Бланк заказа'!$W$208:$W$208</definedName>
    <definedName name="UnitOfMeasure79">'Бланк заказа'!$W$209:$W$209</definedName>
    <definedName name="UnitOfMeasure8">'Бланк заказа'!$W$29:$W$29</definedName>
    <definedName name="UnitOfMeasure80">'Бланк заказа'!$W$210:$W$210</definedName>
    <definedName name="UnitOfMeasure81">'Бланк заказа'!$W$216:$W$216</definedName>
    <definedName name="UnitOfMeasure82">'Бланк заказа'!$W$220:$W$220</definedName>
    <definedName name="UnitOfMeasure83">'Бланк заказа'!$W$221:$W$221</definedName>
    <definedName name="UnitOfMeasure84">'Бланк заказа'!$W$226:$W$226</definedName>
    <definedName name="UnitOfMeasure85">'Бланк заказа'!$W$227:$W$227</definedName>
    <definedName name="UnitOfMeasure86">'Бланк заказа'!$W$232:$W$232</definedName>
    <definedName name="UnitOfMeasure87">'Бланк заказа'!$W$238:$W$238</definedName>
    <definedName name="UnitOfMeasure88">'Бланк заказа'!$W$244:$W$244</definedName>
    <definedName name="UnitOfMeasure89">'Бланк заказа'!$W$248:$W$248</definedName>
    <definedName name="UnitOfMeasure9">'Бланк заказа'!$W$33:$W$33</definedName>
    <definedName name="UnitOfMeasure90">'Бланк заказа'!$W$254:$W$254</definedName>
    <definedName name="UnitOfMeasure91">'Бланк заказа'!$W$258:$W$258</definedName>
    <definedName name="UnitOfMeasure92">'Бланк заказа'!$W$264:$W$264</definedName>
    <definedName name="UnitOfMeasure93">'Бланк заказа'!$W$265:$W$265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7" i="2" l="1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X286" i="2"/>
  <c r="X285" i="2"/>
  <c r="BO284" i="2"/>
  <c r="BM284" i="2"/>
  <c r="Z284" i="2"/>
  <c r="Y284" i="2"/>
  <c r="BP284" i="2" s="1"/>
  <c r="P284" i="2"/>
  <c r="BP283" i="2"/>
  <c r="BO283" i="2"/>
  <c r="BN283" i="2"/>
  <c r="BM283" i="2"/>
  <c r="Z283" i="2"/>
  <c r="Y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BO277" i="2"/>
  <c r="BM277" i="2"/>
  <c r="Z277" i="2"/>
  <c r="Y277" i="2"/>
  <c r="BP277" i="2" s="1"/>
  <c r="BO276" i="2"/>
  <c r="BM276" i="2"/>
  <c r="Z276" i="2"/>
  <c r="Y276" i="2"/>
  <c r="BP276" i="2" s="1"/>
  <c r="BO275" i="2"/>
  <c r="BM275" i="2"/>
  <c r="Z275" i="2"/>
  <c r="Y275" i="2"/>
  <c r="X273" i="2"/>
  <c r="X272" i="2"/>
  <c r="BO271" i="2"/>
  <c r="BM271" i="2"/>
  <c r="Z271" i="2"/>
  <c r="Y271" i="2"/>
  <c r="BN271" i="2" s="1"/>
  <c r="BO270" i="2"/>
  <c r="BM270" i="2"/>
  <c r="Z270" i="2"/>
  <c r="Z272" i="2" s="1"/>
  <c r="Y270" i="2"/>
  <c r="BO269" i="2"/>
  <c r="BM269" i="2"/>
  <c r="Z269" i="2"/>
  <c r="Y269" i="2"/>
  <c r="Y272" i="2" s="1"/>
  <c r="X267" i="2"/>
  <c r="X266" i="2"/>
  <c r="BO265" i="2"/>
  <c r="BM265" i="2"/>
  <c r="Z265" i="2"/>
  <c r="Y265" i="2"/>
  <c r="Y267" i="2" s="1"/>
  <c r="P265" i="2"/>
  <c r="BP264" i="2"/>
  <c r="BO264" i="2"/>
  <c r="BN264" i="2"/>
  <c r="BM264" i="2"/>
  <c r="Z264" i="2"/>
  <c r="Z266" i="2" s="1"/>
  <c r="Y264" i="2"/>
  <c r="P264" i="2"/>
  <c r="X260" i="2"/>
  <c r="X259" i="2"/>
  <c r="BO258" i="2"/>
  <c r="BM258" i="2"/>
  <c r="Z258" i="2"/>
  <c r="Z259" i="2" s="1"/>
  <c r="Y258" i="2"/>
  <c r="Y260" i="2" s="1"/>
  <c r="P258" i="2"/>
  <c r="X256" i="2"/>
  <c r="X255" i="2"/>
  <c r="BO254" i="2"/>
  <c r="BM254" i="2"/>
  <c r="Z254" i="2"/>
  <c r="Z255" i="2" s="1"/>
  <c r="Y254" i="2"/>
  <c r="Y256" i="2" s="1"/>
  <c r="P254" i="2"/>
  <c r="X250" i="2"/>
  <c r="Z249" i="2"/>
  <c r="X249" i="2"/>
  <c r="BO248" i="2"/>
  <c r="BM248" i="2"/>
  <c r="Z248" i="2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Z239" i="2"/>
  <c r="X239" i="2"/>
  <c r="BO238" i="2"/>
  <c r="BM238" i="2"/>
  <c r="Z238" i="2"/>
  <c r="Y238" i="2"/>
  <c r="Y240" i="2" s="1"/>
  <c r="P238" i="2"/>
  <c r="X234" i="2"/>
  <c r="Y233" i="2"/>
  <c r="X233" i="2"/>
  <c r="BP232" i="2"/>
  <c r="BO232" i="2"/>
  <c r="BN232" i="2"/>
  <c r="BM232" i="2"/>
  <c r="Z232" i="2"/>
  <c r="Z233" i="2" s="1"/>
  <c r="Y232" i="2"/>
  <c r="Y234" i="2" s="1"/>
  <c r="P232" i="2"/>
  <c r="X229" i="2"/>
  <c r="X228" i="2"/>
  <c r="BO227" i="2"/>
  <c r="BM227" i="2"/>
  <c r="Z227" i="2"/>
  <c r="Y227" i="2"/>
  <c r="BP227" i="2" s="1"/>
  <c r="P227" i="2"/>
  <c r="BO226" i="2"/>
  <c r="BM226" i="2"/>
  <c r="Z226" i="2"/>
  <c r="Z228" i="2" s="1"/>
  <c r="Y226" i="2"/>
  <c r="BP226" i="2" s="1"/>
  <c r="P226" i="2"/>
  <c r="X223" i="2"/>
  <c r="X222" i="2"/>
  <c r="BO221" i="2"/>
  <c r="BM221" i="2"/>
  <c r="Z221" i="2"/>
  <c r="Y221" i="2"/>
  <c r="P221" i="2"/>
  <c r="BO220" i="2"/>
  <c r="BM220" i="2"/>
  <c r="Z220" i="2"/>
  <c r="Y220" i="2"/>
  <c r="BN220" i="2" s="1"/>
  <c r="P220" i="2"/>
  <c r="X218" i="2"/>
  <c r="X217" i="2"/>
  <c r="BO216" i="2"/>
  <c r="BN216" i="2"/>
  <c r="BM216" i="2"/>
  <c r="Z216" i="2"/>
  <c r="Z217" i="2" s="1"/>
  <c r="Y216" i="2"/>
  <c r="Y218" i="2" s="1"/>
  <c r="P216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Z207" i="2"/>
  <c r="Y207" i="2"/>
  <c r="Y212" i="2" s="1"/>
  <c r="P207" i="2"/>
  <c r="X203" i="2"/>
  <c r="Z202" i="2"/>
  <c r="X202" i="2"/>
  <c r="BO201" i="2"/>
  <c r="BM201" i="2"/>
  <c r="Z201" i="2"/>
  <c r="Y201" i="2"/>
  <c r="BP201" i="2" s="1"/>
  <c r="P201" i="2"/>
  <c r="X198" i="2"/>
  <c r="X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2" i="2"/>
  <c r="X191" i="2"/>
  <c r="BO190" i="2"/>
  <c r="BM190" i="2"/>
  <c r="Z190" i="2"/>
  <c r="Y190" i="2"/>
  <c r="BN190" i="2" s="1"/>
  <c r="P190" i="2"/>
  <c r="BO189" i="2"/>
  <c r="BM189" i="2"/>
  <c r="Z189" i="2"/>
  <c r="Y189" i="2"/>
  <c r="BP189" i="2" s="1"/>
  <c r="P189" i="2"/>
  <c r="BO188" i="2"/>
  <c r="BN188" i="2"/>
  <c r="BM188" i="2"/>
  <c r="Z188" i="2"/>
  <c r="Z191" i="2" s="1"/>
  <c r="Y188" i="2"/>
  <c r="P188" i="2"/>
  <c r="X186" i="2"/>
  <c r="Y185" i="2"/>
  <c r="X185" i="2"/>
  <c r="BO184" i="2"/>
  <c r="BM184" i="2"/>
  <c r="Z184" i="2"/>
  <c r="Z185" i="2" s="1"/>
  <c r="Y184" i="2"/>
  <c r="BN184" i="2" s="1"/>
  <c r="P184" i="2"/>
  <c r="X180" i="2"/>
  <c r="Y179" i="2"/>
  <c r="X179" i="2"/>
  <c r="BO178" i="2"/>
  <c r="BM178" i="2"/>
  <c r="Z178" i="2"/>
  <c r="Z179" i="2" s="1"/>
  <c r="Y178" i="2"/>
  <c r="BN178" i="2" s="1"/>
  <c r="P178" i="2"/>
  <c r="X175" i="2"/>
  <c r="Y174" i="2"/>
  <c r="X174" i="2"/>
  <c r="BO173" i="2"/>
  <c r="BN173" i="2"/>
  <c r="BM173" i="2"/>
  <c r="Z173" i="2"/>
  <c r="Z174" i="2" s="1"/>
  <c r="Y173" i="2"/>
  <c r="Y175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Z169" i="2" s="1"/>
  <c r="Y167" i="2"/>
  <c r="P167" i="2"/>
  <c r="X164" i="2"/>
  <c r="X163" i="2"/>
  <c r="BO162" i="2"/>
  <c r="BN162" i="2"/>
  <c r="BM162" i="2"/>
  <c r="Z162" i="2"/>
  <c r="Y162" i="2"/>
  <c r="BP162" i="2" s="1"/>
  <c r="P162" i="2"/>
  <c r="BO161" i="2"/>
  <c r="BM161" i="2"/>
  <c r="Z161" i="2"/>
  <c r="Y161" i="2"/>
  <c r="BN161" i="2" s="1"/>
  <c r="P161" i="2"/>
  <c r="BP160" i="2"/>
  <c r="BO160" i="2"/>
  <c r="BN160" i="2"/>
  <c r="BM160" i="2"/>
  <c r="Z160" i="2"/>
  <c r="Z163" i="2" s="1"/>
  <c r="Y160" i="2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Z154" i="2"/>
  <c r="Z156" i="2" s="1"/>
  <c r="Y154" i="2"/>
  <c r="BN154" i="2" s="1"/>
  <c r="P154" i="2"/>
  <c r="X151" i="2"/>
  <c r="X150" i="2"/>
  <c r="BP149" i="2"/>
  <c r="BO149" i="2"/>
  <c r="BN149" i="2"/>
  <c r="BM149" i="2"/>
  <c r="Z149" i="2"/>
  <c r="Y149" i="2"/>
  <c r="P149" i="2"/>
  <c r="BO148" i="2"/>
  <c r="BM148" i="2"/>
  <c r="Z148" i="2"/>
  <c r="Y148" i="2"/>
  <c r="BP148" i="2" s="1"/>
  <c r="P148" i="2"/>
  <c r="X145" i="2"/>
  <c r="Y144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N141" i="2"/>
  <c r="BM141" i="2"/>
  <c r="Z141" i="2"/>
  <c r="Z144" i="2" s="1"/>
  <c r="Y141" i="2"/>
  <c r="Y145" i="2" s="1"/>
  <c r="P141" i="2"/>
  <c r="X139" i="2"/>
  <c r="X138" i="2"/>
  <c r="BO137" i="2"/>
  <c r="BN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P134" i="2"/>
  <c r="X132" i="2"/>
  <c r="Z131" i="2"/>
  <c r="X131" i="2"/>
  <c r="BO130" i="2"/>
  <c r="BM130" i="2"/>
  <c r="Z130" i="2"/>
  <c r="Y130" i="2"/>
  <c r="Y132" i="2" s="1"/>
  <c r="P130" i="2"/>
  <c r="X127" i="2"/>
  <c r="Y126" i="2"/>
  <c r="X126" i="2"/>
  <c r="BP125" i="2"/>
  <c r="BO125" i="2"/>
  <c r="BN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N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P112" i="2"/>
  <c r="BO112" i="2"/>
  <c r="BN112" i="2"/>
  <c r="BM112" i="2"/>
  <c r="Z112" i="2"/>
  <c r="Y112" i="2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BO109" i="2"/>
  <c r="BM109" i="2"/>
  <c r="Z109" i="2"/>
  <c r="Z118" i="2" s="1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BP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P96" i="2"/>
  <c r="BO96" i="2"/>
  <c r="BN96" i="2"/>
  <c r="BM96" i="2"/>
  <c r="Z96" i="2"/>
  <c r="Y96" i="2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P91" i="2"/>
  <c r="BO91" i="2"/>
  <c r="BN91" i="2"/>
  <c r="BM91" i="2"/>
  <c r="Z91" i="2"/>
  <c r="Z99" i="2" s="1"/>
  <c r="Y91" i="2"/>
  <c r="P91" i="2"/>
  <c r="X88" i="2"/>
  <c r="X87" i="2"/>
  <c r="BO86" i="2"/>
  <c r="BN86" i="2"/>
  <c r="BM86" i="2"/>
  <c r="Z86" i="2"/>
  <c r="Y86" i="2"/>
  <c r="P86" i="2"/>
  <c r="BO85" i="2"/>
  <c r="BM85" i="2"/>
  <c r="Z85" i="2"/>
  <c r="Y85" i="2"/>
  <c r="BN85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Y76" i="2" s="1"/>
  <c r="P74" i="2"/>
  <c r="X71" i="2"/>
  <c r="X70" i="2"/>
  <c r="BO69" i="2"/>
  <c r="BM69" i="2"/>
  <c r="Z69" i="2"/>
  <c r="Y69" i="2"/>
  <c r="BN69" i="2" s="1"/>
  <c r="P69" i="2"/>
  <c r="BO68" i="2"/>
  <c r="BM68" i="2"/>
  <c r="Z68" i="2"/>
  <c r="Y68" i="2"/>
  <c r="BP68" i="2" s="1"/>
  <c r="P68" i="2"/>
  <c r="BO67" i="2"/>
  <c r="BM67" i="2"/>
  <c r="Z67" i="2"/>
  <c r="Y67" i="2"/>
  <c r="BP67" i="2" s="1"/>
  <c r="P67" i="2"/>
  <c r="BO66" i="2"/>
  <c r="BM66" i="2"/>
  <c r="Z66" i="2"/>
  <c r="Y66" i="2"/>
  <c r="BP66" i="2" s="1"/>
  <c r="P66" i="2"/>
  <c r="BP65" i="2"/>
  <c r="BO65" i="2"/>
  <c r="BN65" i="2"/>
  <c r="BM65" i="2"/>
  <c r="Z65" i="2"/>
  <c r="Z70" i="2" s="1"/>
  <c r="Y65" i="2"/>
  <c r="P65" i="2"/>
  <c r="X62" i="2"/>
  <c r="X61" i="2"/>
  <c r="BO60" i="2"/>
  <c r="BN60" i="2"/>
  <c r="BM60" i="2"/>
  <c r="Z60" i="2"/>
  <c r="Y60" i="2"/>
  <c r="BP60" i="2" s="1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P57" i="2"/>
  <c r="X54" i="2"/>
  <c r="X53" i="2"/>
  <c r="BO52" i="2"/>
  <c r="BM52" i="2"/>
  <c r="Z52" i="2"/>
  <c r="Y52" i="2"/>
  <c r="P52" i="2"/>
  <c r="BO51" i="2"/>
  <c r="BM51" i="2"/>
  <c r="Z51" i="2"/>
  <c r="Z53" i="2" s="1"/>
  <c r="Y51" i="2"/>
  <c r="Y53" i="2" s="1"/>
  <c r="P51" i="2"/>
  <c r="X48" i="2"/>
  <c r="X47" i="2"/>
  <c r="BO46" i="2"/>
  <c r="BM46" i="2"/>
  <c r="Z46" i="2"/>
  <c r="Y46" i="2"/>
  <c r="BP46" i="2" s="1"/>
  <c r="P46" i="2"/>
  <c r="BO45" i="2"/>
  <c r="BN45" i="2"/>
  <c r="BM45" i="2"/>
  <c r="Z45" i="2"/>
  <c r="Z47" i="2" s="1"/>
  <c r="Y45" i="2"/>
  <c r="P45" i="2"/>
  <c r="X41" i="2"/>
  <c r="X40" i="2"/>
  <c r="BO39" i="2"/>
  <c r="BN39" i="2"/>
  <c r="BM39" i="2"/>
  <c r="Z39" i="2"/>
  <c r="Y39" i="2"/>
  <c r="BP39" i="2" s="1"/>
  <c r="P39" i="2"/>
  <c r="BO38" i="2"/>
  <c r="BM38" i="2"/>
  <c r="Z38" i="2"/>
  <c r="Y38" i="2"/>
  <c r="Y41" i="2" s="1"/>
  <c r="P38" i="2"/>
  <c r="X35" i="2"/>
  <c r="X34" i="2"/>
  <c r="BO33" i="2"/>
  <c r="BM33" i="2"/>
  <c r="Z33" i="2"/>
  <c r="Z34" i="2" s="1"/>
  <c r="Y33" i="2"/>
  <c r="Y35" i="2" s="1"/>
  <c r="P33" i="2"/>
  <c r="X31" i="2"/>
  <c r="X30" i="2"/>
  <c r="X291" i="2" s="1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P22" i="2"/>
  <c r="BO22" i="2"/>
  <c r="BN22" i="2"/>
  <c r="BM22" i="2"/>
  <c r="Z22" i="2"/>
  <c r="Z30" i="2" s="1"/>
  <c r="Y22" i="2"/>
  <c r="P22" i="2"/>
  <c r="H10" i="2"/>
  <c r="A9" i="2"/>
  <c r="F10" i="2" s="1"/>
  <c r="D7" i="2"/>
  <c r="Q6" i="2"/>
  <c r="P2" i="2"/>
  <c r="Y31" i="2" l="1"/>
  <c r="Y54" i="2"/>
  <c r="Z61" i="2"/>
  <c r="BP58" i="2"/>
  <c r="BP93" i="2"/>
  <c r="Y105" i="2"/>
  <c r="BP117" i="2"/>
  <c r="Z138" i="2"/>
  <c r="BP135" i="2"/>
  <c r="Y170" i="2"/>
  <c r="Y169" i="2"/>
  <c r="BP178" i="2"/>
  <c r="Y198" i="2"/>
  <c r="Y203" i="2"/>
  <c r="Y222" i="2"/>
  <c r="Y273" i="2"/>
  <c r="BP271" i="2"/>
  <c r="Z285" i="2"/>
  <c r="BP282" i="2"/>
  <c r="BP104" i="2"/>
  <c r="BP130" i="2"/>
  <c r="Y150" i="2"/>
  <c r="BP168" i="2"/>
  <c r="BP195" i="2"/>
  <c r="BP220" i="2"/>
  <c r="BP238" i="2"/>
  <c r="X289" i="2"/>
  <c r="BN24" i="2"/>
  <c r="BP27" i="2"/>
  <c r="BP29" i="2"/>
  <c r="BN33" i="2"/>
  <c r="BN38" i="2"/>
  <c r="Y48" i="2"/>
  <c r="BN51" i="2"/>
  <c r="BN59" i="2"/>
  <c r="Y71" i="2"/>
  <c r="BN67" i="2"/>
  <c r="Z87" i="2"/>
  <c r="BP85" i="2"/>
  <c r="BN92" i="2"/>
  <c r="BN98" i="2"/>
  <c r="Y118" i="2"/>
  <c r="BP109" i="2"/>
  <c r="BP113" i="2"/>
  <c r="BP115" i="2"/>
  <c r="BN136" i="2"/>
  <c r="BP154" i="2"/>
  <c r="Y164" i="2"/>
  <c r="BP161" i="2"/>
  <c r="Y180" i="2"/>
  <c r="Y192" i="2"/>
  <c r="BP190" i="2"/>
  <c r="BP196" i="2"/>
  <c r="BN201" i="2"/>
  <c r="Y202" i="2"/>
  <c r="BN209" i="2"/>
  <c r="BP210" i="2"/>
  <c r="BN248" i="2"/>
  <c r="Y249" i="2"/>
  <c r="BP254" i="2"/>
  <c r="Y266" i="2"/>
  <c r="BN269" i="2"/>
  <c r="BP69" i="2"/>
  <c r="X288" i="2"/>
  <c r="BN23" i="2"/>
  <c r="Y30" i="2"/>
  <c r="X287" i="2"/>
  <c r="Z40" i="2"/>
  <c r="Z292" i="2" s="1"/>
  <c r="BP38" i="2"/>
  <c r="Y62" i="2"/>
  <c r="BN66" i="2"/>
  <c r="Z76" i="2"/>
  <c r="Y77" i="2"/>
  <c r="Y88" i="2"/>
  <c r="Y99" i="2"/>
  <c r="BP95" i="2"/>
  <c r="BN97" i="2"/>
  <c r="BN103" i="2"/>
  <c r="Y106" i="2"/>
  <c r="Y119" i="2"/>
  <c r="Y139" i="2"/>
  <c r="BP142" i="2"/>
  <c r="Z150" i="2"/>
  <c r="Y157" i="2"/>
  <c r="BN167" i="2"/>
  <c r="BP184" i="2"/>
  <c r="Y186" i="2"/>
  <c r="Y191" i="2"/>
  <c r="Z197" i="2"/>
  <c r="Z211" i="2"/>
  <c r="Y217" i="2"/>
  <c r="Z222" i="2"/>
  <c r="BP248" i="2"/>
  <c r="BP269" i="2"/>
  <c r="Y286" i="2"/>
  <c r="X290" i="2"/>
  <c r="BP45" i="2"/>
  <c r="BN57" i="2"/>
  <c r="BN68" i="2"/>
  <c r="BN116" i="2"/>
  <c r="BP141" i="2"/>
  <c r="Y156" i="2"/>
  <c r="BP167" i="2"/>
  <c r="Y197" i="2"/>
  <c r="BN221" i="2"/>
  <c r="BN275" i="2"/>
  <c r="BN278" i="2"/>
  <c r="BN281" i="2"/>
  <c r="Y100" i="2"/>
  <c r="BN94" i="2"/>
  <c r="BP51" i="2"/>
  <c r="BN74" i="2"/>
  <c r="BN111" i="2"/>
  <c r="BN121" i="2"/>
  <c r="BN134" i="2"/>
  <c r="BP173" i="2"/>
  <c r="BP188" i="2"/>
  <c r="BP216" i="2"/>
  <c r="BN227" i="2"/>
  <c r="BN244" i="2"/>
  <c r="BN258" i="2"/>
  <c r="BN270" i="2"/>
  <c r="BN28" i="2"/>
  <c r="BP57" i="2"/>
  <c r="BN80" i="2"/>
  <c r="Y151" i="2"/>
  <c r="BN207" i="2"/>
  <c r="BP221" i="2"/>
  <c r="BN265" i="2"/>
  <c r="BP275" i="2"/>
  <c r="BN284" i="2"/>
  <c r="BP258" i="2"/>
  <c r="F9" i="2"/>
  <c r="BP207" i="2"/>
  <c r="BP265" i="2"/>
  <c r="BP80" i="2"/>
  <c r="BP33" i="2"/>
  <c r="BN109" i="2"/>
  <c r="Y122" i="2"/>
  <c r="Y228" i="2"/>
  <c r="Y245" i="2"/>
  <c r="Y259" i="2"/>
  <c r="BP74" i="2"/>
  <c r="H9" i="2"/>
  <c r="BN46" i="2"/>
  <c r="BP86" i="2"/>
  <c r="J9" i="2"/>
  <c r="BN26" i="2"/>
  <c r="BN52" i="2"/>
  <c r="Y81" i="2"/>
  <c r="BN148" i="2"/>
  <c r="BN189" i="2"/>
  <c r="BN276" i="2"/>
  <c r="BN279" i="2"/>
  <c r="Y285" i="2"/>
  <c r="BP121" i="2"/>
  <c r="Y61" i="2"/>
  <c r="Y87" i="2"/>
  <c r="BN130" i="2"/>
  <c r="Y223" i="2"/>
  <c r="BN238" i="2"/>
  <c r="BN254" i="2"/>
  <c r="BP134" i="2"/>
  <c r="BP244" i="2"/>
  <c r="BP270" i="2"/>
  <c r="A10" i="2"/>
  <c r="Y34" i="2"/>
  <c r="Y291" i="2" s="1"/>
  <c r="BP26" i="2"/>
  <c r="Y40" i="2"/>
  <c r="BP52" i="2"/>
  <c r="Y138" i="2"/>
  <c r="Y163" i="2"/>
  <c r="Y229" i="2"/>
  <c r="Y47" i="2"/>
  <c r="Y211" i="2"/>
  <c r="Y70" i="2"/>
  <c r="Y131" i="2"/>
  <c r="Y239" i="2"/>
  <c r="Y255" i="2"/>
  <c r="BN110" i="2"/>
  <c r="BN143" i="2"/>
  <c r="BN226" i="2"/>
  <c r="BN277" i="2"/>
  <c r="BN280" i="2"/>
  <c r="BP110" i="2"/>
  <c r="Y287" i="2" l="1"/>
  <c r="Y289" i="2"/>
  <c r="Y288" i="2"/>
  <c r="Y290" i="2" s="1"/>
  <c r="C300" i="2"/>
  <c r="B300" i="2"/>
  <c r="A300" i="2"/>
</calcChain>
</file>

<file path=xl/sharedStrings.xml><?xml version="1.0" encoding="utf-8"?>
<sst xmlns="http://schemas.openxmlformats.org/spreadsheetml/2006/main" count="1837" uniqueCount="433">
  <si>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</si>
  <si>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</si>
  <si>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</si>
  <si>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</si>
  <si>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</si>
  <si>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</si>
  <si>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</si>
  <si>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</si>
  <si>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</si>
  <si>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</si>
  <si>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</si>
  <si>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</si>
  <si>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</si>
  <si>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</si>
  <si>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</si>
  <si>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</si>
  <si>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</si>
  <si>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</si>
  <si>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</si>
  <si>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</si>
  <si>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</si>
  <si>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</si>
  <si>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</si>
  <si>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</si>
  <si>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</si>
  <si>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</si>
  <si>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</si>
  <si>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</si>
  <si>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</si>
  <si>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</si>
  <si>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</si>
  <si>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</si>
  <si>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</si>
  <si>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</si>
  <si>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</si>
  <si>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</si>
  <si>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</si>
  <si>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</si>
  <si>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</si>
  <si>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</si>
  <si>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</si>
  <si>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</si>
  <si>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</si>
  <si>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</si>
  <si>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</si>
  <si>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</si>
  <si>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</si>
  <si>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</si>
  <si>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</si>
  <si>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</si>
  <si>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</si>
  <si>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</si>
  <si>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</si>
  <si>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</si>
  <si>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</si>
  <si>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</si>
  <si>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</si>
  <si>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</si>
  <si>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</si>
  <si>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</si>
  <si>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</si>
  <si>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</si>
  <si>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</si>
  <si>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</si>
  <si>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</si>
  <si>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</si>
  <si>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</si>
  <si>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</si>
  <si>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</si>
  <si>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</si>
  <si>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</si>
  <si>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</si>
  <si>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</si>
  <si>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</si>
  <si>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</si>
  <si>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</si>
  <si>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</si>
  <si>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</si>
  <si>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</si>
  <si>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</si>
  <si>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</si>
  <si>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</si>
  <si>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</si>
  <si>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</si>
  <si>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</si>
  <si>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</si>
  <si>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</si>
  <si>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</si>
  <si>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</si>
  <si>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</si>
  <si>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</si>
  <si>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</si>
  <si>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</si>
  <si>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</si>
  <si>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</si>
  <si>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</si>
  <si>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</si>
  <si>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</si>
  <si>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</si>
  <si>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</si>
  <si>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</si>
  <si>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</si>
  <si>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</si>
  <si>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</si>
  <si>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</si>
  <si>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</si>
  <si>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</si>
  <si>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</si>
  <si>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</si>
  <si>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</si>
  <si>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</si>
  <si>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</si>
  <si>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</si>
  <si>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</si>
  <si>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</si>
  <si>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</si>
  <si>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</si>
  <si>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</si>
  <si>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</si>
  <si>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</si>
  <si>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</si>
  <si>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</si>
  <si>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</si>
  <si>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</si>
  <si>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</si>
  <si>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</si>
  <si>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</si>
  <si>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</si>
  <si>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</si>
  <si>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</si>
  <si>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</si>
  <si>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</si>
  <si>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</si>
  <si>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</si>
  <si>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</si>
  <si>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</si>
  <si>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</si>
  <si>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</si>
  <si>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</si>
  <si>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</si>
  <si>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</si>
  <si>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</si>
  <si>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</si>
  <si>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</si>
  <si>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</si>
  <si>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</si>
  <si>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</si>
  <si>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</si>
  <si>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</si>
  <si>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</si>
  <si>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</si>
  <si>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</si>
  <si>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</si>
  <si>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</si>
  <si>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</si>
  <si>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</si>
  <si>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</si>
  <si>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</si>
  <si>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</si>
  <si>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</si>
  <si>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</si>
  <si>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</si>
  <si>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</si>
  <si>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</si>
  <si>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</si>
  <si>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</si>
  <si>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</si>
  <si>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</si>
  <si>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</si>
  <si>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</si>
  <si>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</si>
  <si>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</si>
  <si>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</si>
  <si>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</si>
  <si>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</si>
  <si>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</si>
  <si>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</si>
  <si>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</si>
  <si>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</si>
  <si>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</si>
  <si>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</si>
  <si>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</si>
  <si>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</si>
  <si>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</si>
  <si>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</si>
  <si>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</si>
  <si>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</si>
  <si>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</si>
  <si>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</si>
  <si>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</si>
  <si>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</si>
  <si>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</si>
  <si>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</si>
  <si>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</si>
  <si>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</si>
  <si>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</si>
  <si>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</si>
  <si>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</si>
  <si>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</si>
  <si>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</si>
  <si>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</si>
  <si>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</si>
  <si>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</si>
  <si>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</si>
  <si>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</si>
  <si>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</si>
  <si>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</si>
  <si>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</si>
  <si>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</si>
  <si>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</si>
  <si>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</si>
  <si>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</si>
  <si>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</si>
  <si>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</si>
  <si>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</si>
  <si>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</si>
  <si>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</si>
  <si>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</si>
  <si>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</si>
  <si>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</si>
  <si>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</si>
  <si>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</si>
  <si>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</si>
  <si>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</si>
  <si>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</si>
  <si>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</si>
  <si>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</si>
  <si>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</si>
  <si>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</si>
  <si>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</si>
  <si>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</si>
  <si>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</si>
  <si>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</si>
  <si>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</si>
  <si>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</si>
  <si>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</si>
  <si>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</si>
  <si>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</si>
  <si>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</si>
  <si>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</si>
  <si>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</si>
  <si>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</si>
  <si>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</si>
  <si>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</si>
  <si>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</si>
  <si>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</si>
  <si>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</si>
  <si>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</si>
  <si>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</si>
  <si>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</si>
  <si>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</si>
  <si>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</si>
  <si>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</si>
  <si>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</si>
  <si>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</si>
  <si>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</si>
  <si>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</si>
  <si>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</si>
  <si>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</si>
  <si>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</si>
  <si>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</si>
  <si>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</si>
  <si>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</si>
  <si>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</si>
  <si>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</si>
  <si>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</si>
  <si>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</si>
  <si>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</si>
  <si>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</si>
  <si>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</si>
  <si>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</si>
  <si>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</si>
  <si>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</si>
  <si>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</si>
  <si>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</si>
  <si>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SU004217</t>
  </si>
  <si>
    <t>P005483</t>
  </si>
  <si>
    <t>SU004219</t>
  </si>
  <si>
    <t>P005485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</si>
  <si>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</si>
  <si>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</si>
  <si>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</si>
  <si>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</si>
  <si>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</si>
  <si>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</si>
  <si>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</si>
  <si>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</si>
  <si>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</si>
  <si>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</si>
  <si>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</si>
  <si>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</si>
  <si>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</si>
  <si>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</si>
  <si>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</si>
  <si>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</si>
  <si>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</si>
  <si>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</si>
  <si>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SU003784</t>
  </si>
  <si>
    <t>P004783</t>
  </si>
  <si>
    <t>ЕАЭС N RU Д-RU.РА07.В.37014/24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</si>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</sst>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7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0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46320</v>
      </c>
      <c r="R5" s="489"/>
      <c r="T5" s="490" t="s">
        <v>3</v>
      </c>
      <c r="U5" s="491"/>
      <c r="V5" s="492" t="s">
        <v>419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Воскресенье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customHeight="1" x14ac:dyDescent="0.2">
      <c r="A19" s="333" t="s">
        <v>81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54"/>
      <c r="AB19" s="54"/>
      <c r="AC19" s="54"/>
    </row>
    <row r="20" spans="1:68" ht="16.5" customHeight="1" x14ac:dyDescent="0.25">
      <c r="A20" s="334" t="s">
        <v>81</v>
      </c>
      <c r="B20" s="334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65"/>
      <c r="AB20" s="65"/>
      <c r="AC20" s="82"/>
    </row>
    <row r="21" spans="1:68" ht="14.25" customHeight="1" x14ac:dyDescent="0.25">
      <c r="A21" s="326" t="s">
        <v>82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19"/>
      <c r="P30" s="316" t="s">
        <v>40</v>
      </c>
      <c r="Q30" s="317"/>
      <c r="R30" s="317"/>
      <c r="S30" s="317"/>
      <c r="T30" s="317"/>
      <c r="U30" s="317"/>
      <c r="V30" s="318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19"/>
      <c r="P31" s="316" t="s">
        <v>40</v>
      </c>
      <c r="Q31" s="317"/>
      <c r="R31" s="317"/>
      <c r="S31" s="317"/>
      <c r="T31" s="317"/>
      <c r="U31" s="317"/>
      <c r="V31" s="318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26" t="s">
        <v>106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310">
        <v>4620207492178</v>
      </c>
      <c r="E33" s="310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41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12"/>
      <c r="R33" s="312"/>
      <c r="S33" s="312"/>
      <c r="T33" s="31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19"/>
      <c r="P34" s="316" t="s">
        <v>40</v>
      </c>
      <c r="Q34" s="317"/>
      <c r="R34" s="317"/>
      <c r="S34" s="317"/>
      <c r="T34" s="317"/>
      <c r="U34" s="317"/>
      <c r="V34" s="318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19"/>
      <c r="P35" s="316" t="s">
        <v>40</v>
      </c>
      <c r="Q35" s="317"/>
      <c r="R35" s="317"/>
      <c r="S35" s="317"/>
      <c r="T35" s="317"/>
      <c r="U35" s="317"/>
      <c r="V35" s="318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34" t="s">
        <v>111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  <c r="Z36" s="334"/>
      <c r="AA36" s="65"/>
      <c r="AB36" s="65"/>
      <c r="AC36" s="82"/>
    </row>
    <row r="37" spans="1:68" ht="14.25" customHeight="1" x14ac:dyDescent="0.25">
      <c r="A37" s="326" t="s">
        <v>82</v>
      </c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66"/>
      <c r="AB37" s="66"/>
      <c r="AC37" s="83"/>
    </row>
    <row r="38" spans="1:68" ht="16.5" customHeight="1" x14ac:dyDescent="0.25">
      <c r="A38" s="63" t="s">
        <v>112</v>
      </c>
      <c r="B38" s="63" t="s">
        <v>113</v>
      </c>
      <c r="C38" s="36">
        <v>4301071099</v>
      </c>
      <c r="D38" s="310">
        <v>4607111039019</v>
      </c>
      <c r="E38" s="310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41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12"/>
      <c r="R38" s="312"/>
      <c r="S38" s="312"/>
      <c r="T38" s="313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115</v>
      </c>
      <c r="B39" s="63" t="s">
        <v>116</v>
      </c>
      <c r="C39" s="36">
        <v>4301071100</v>
      </c>
      <c r="D39" s="310">
        <v>4607111038708</v>
      </c>
      <c r="E39" s="310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12"/>
      <c r="R39" s="312"/>
      <c r="S39" s="312"/>
      <c r="T39" s="31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19"/>
      <c r="P40" s="316" t="s">
        <v>40</v>
      </c>
      <c r="Q40" s="317"/>
      <c r="R40" s="317"/>
      <c r="S40" s="317"/>
      <c r="T40" s="317"/>
      <c r="U40" s="317"/>
      <c r="V40" s="318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19"/>
      <c r="P41" s="316" t="s">
        <v>40</v>
      </c>
      <c r="Q41" s="317"/>
      <c r="R41" s="317"/>
      <c r="S41" s="317"/>
      <c r="T41" s="317"/>
      <c r="U41" s="317"/>
      <c r="V41" s="318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33" t="s">
        <v>45</v>
      </c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  <c r="AA42" s="54"/>
      <c r="AB42" s="54"/>
      <c r="AC42" s="54"/>
    </row>
    <row r="43" spans="1:68" ht="16.5" customHeight="1" x14ac:dyDescent="0.25">
      <c r="A43" s="334" t="s">
        <v>117</v>
      </c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  <c r="Z43" s="334"/>
      <c r="AA43" s="65"/>
      <c r="AB43" s="65"/>
      <c r="AC43" s="82"/>
    </row>
    <row r="44" spans="1:68" ht="14.25" customHeight="1" x14ac:dyDescent="0.25">
      <c r="A44" s="326" t="s">
        <v>118</v>
      </c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10">
        <v>4607111036537</v>
      </c>
      <c r="E45" s="310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12"/>
      <c r="R45" s="312"/>
      <c r="S45" s="312"/>
      <c r="T45" s="31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10">
        <v>4607111036605</v>
      </c>
      <c r="E46" s="310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4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12"/>
      <c r="R46" s="312"/>
      <c r="S46" s="312"/>
      <c r="T46" s="31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19"/>
      <c r="P47" s="316" t="s">
        <v>40</v>
      </c>
      <c r="Q47" s="317"/>
      <c r="R47" s="317"/>
      <c r="S47" s="317"/>
      <c r="T47" s="317"/>
      <c r="U47" s="317"/>
      <c r="V47" s="318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19"/>
      <c r="P48" s="316" t="s">
        <v>40</v>
      </c>
      <c r="Q48" s="317"/>
      <c r="R48" s="317"/>
      <c r="S48" s="317"/>
      <c r="T48" s="317"/>
      <c r="U48" s="317"/>
      <c r="V48" s="318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34" t="s">
        <v>128</v>
      </c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65"/>
      <c r="AB49" s="65"/>
      <c r="AC49" s="82"/>
    </row>
    <row r="50" spans="1:68" ht="14.25" customHeight="1" x14ac:dyDescent="0.25">
      <c r="A50" s="326" t="s">
        <v>82</v>
      </c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4301071090</v>
      </c>
      <c r="D51" s="310">
        <v>4620207490075</v>
      </c>
      <c r="E51" s="310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41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12"/>
      <c r="R51" s="312"/>
      <c r="S51" s="312"/>
      <c r="T51" s="313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310">
        <v>4620207490174</v>
      </c>
      <c r="E52" s="310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41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12"/>
      <c r="R52" s="312"/>
      <c r="S52" s="312"/>
      <c r="T52" s="31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x14ac:dyDescent="0.2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19"/>
      <c r="P53" s="316" t="s">
        <v>40</v>
      </c>
      <c r="Q53" s="317"/>
      <c r="R53" s="317"/>
      <c r="S53" s="317"/>
      <c r="T53" s="317"/>
      <c r="U53" s="317"/>
      <c r="V53" s="318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x14ac:dyDescent="0.2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19"/>
      <c r="P54" s="316" t="s">
        <v>40</v>
      </c>
      <c r="Q54" s="317"/>
      <c r="R54" s="317"/>
      <c r="S54" s="317"/>
      <c r="T54" s="317"/>
      <c r="U54" s="317"/>
      <c r="V54" s="318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customHeight="1" x14ac:dyDescent="0.25">
      <c r="A55" s="334" t="s">
        <v>135</v>
      </c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65"/>
      <c r="AB55" s="65"/>
      <c r="AC55" s="82"/>
    </row>
    <row r="56" spans="1:68" ht="14.25" customHeight="1" x14ac:dyDescent="0.25">
      <c r="A56" s="326" t="s">
        <v>82</v>
      </c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10">
        <v>4607111039385</v>
      </c>
      <c r="E57" s="31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41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12"/>
      <c r="R57" s="312"/>
      <c r="S57" s="312"/>
      <c r="T57" s="31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10">
        <v>4607111038982</v>
      </c>
      <c r="E58" s="310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40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12"/>
      <c r="R58" s="312"/>
      <c r="S58" s="312"/>
      <c r="T58" s="313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142</v>
      </c>
      <c r="B59" s="63" t="s">
        <v>143</v>
      </c>
      <c r="C59" s="36">
        <v>4301071046</v>
      </c>
      <c r="D59" s="310">
        <v>4607111039354</v>
      </c>
      <c r="E59" s="310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40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12"/>
      <c r="R59" s="312"/>
      <c r="S59" s="312"/>
      <c r="T59" s="313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10">
        <v>4607111039330</v>
      </c>
      <c r="E60" s="310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4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12"/>
      <c r="R60" s="312"/>
      <c r="S60" s="312"/>
      <c r="T60" s="31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19"/>
      <c r="P61" s="316" t="s">
        <v>40</v>
      </c>
      <c r="Q61" s="317"/>
      <c r="R61" s="317"/>
      <c r="S61" s="317"/>
      <c r="T61" s="317"/>
      <c r="U61" s="317"/>
      <c r="V61" s="318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19"/>
      <c r="P62" s="316" t="s">
        <v>40</v>
      </c>
      <c r="Q62" s="317"/>
      <c r="R62" s="317"/>
      <c r="S62" s="317"/>
      <c r="T62" s="317"/>
      <c r="U62" s="317"/>
      <c r="V62" s="318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customHeight="1" x14ac:dyDescent="0.25">
      <c r="A63" s="334" t="s">
        <v>146</v>
      </c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65"/>
      <c r="AB63" s="65"/>
      <c r="AC63" s="82"/>
    </row>
    <row r="64" spans="1:68" ht="14.25" customHeight="1" x14ac:dyDescent="0.25">
      <c r="A64" s="326" t="s">
        <v>147</v>
      </c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66"/>
      <c r="AB64" s="66"/>
      <c r="AC64" s="83"/>
    </row>
    <row r="65" spans="1:68" ht="27" customHeight="1" x14ac:dyDescent="0.25">
      <c r="A65" s="63" t="s">
        <v>148</v>
      </c>
      <c r="B65" s="63" t="s">
        <v>149</v>
      </c>
      <c r="C65" s="36">
        <v>4301132194</v>
      </c>
      <c r="D65" s="310">
        <v>4607111039712</v>
      </c>
      <c r="E65" s="310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40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151</v>
      </c>
      <c r="B66" s="63" t="s">
        <v>152</v>
      </c>
      <c r="C66" s="36">
        <v>4301135664</v>
      </c>
      <c r="D66" s="310">
        <v>4607111039705</v>
      </c>
      <c r="E66" s="31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4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2"/>
      <c r="R66" s="312"/>
      <c r="S66" s="312"/>
      <c r="T66" s="31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10">
        <v>4607111039729</v>
      </c>
      <c r="E67" s="310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5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2"/>
      <c r="R67" s="312"/>
      <c r="S67" s="312"/>
      <c r="T67" s="313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10">
        <v>4620207490228</v>
      </c>
      <c r="E68" s="310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2"/>
      <c r="R68" s="312"/>
      <c r="S68" s="312"/>
      <c r="T68" s="31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159</v>
      </c>
      <c r="B69" s="63" t="s">
        <v>160</v>
      </c>
      <c r="C69" s="36">
        <v>4301136015</v>
      </c>
      <c r="D69" s="310">
        <v>4607111037398</v>
      </c>
      <c r="E69" s="31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19"/>
      <c r="P70" s="316" t="s">
        <v>40</v>
      </c>
      <c r="Q70" s="317"/>
      <c r="R70" s="317"/>
      <c r="S70" s="317"/>
      <c r="T70" s="317"/>
      <c r="U70" s="317"/>
      <c r="V70" s="318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19"/>
      <c r="P71" s="316" t="s">
        <v>40</v>
      </c>
      <c r="Q71" s="317"/>
      <c r="R71" s="317"/>
      <c r="S71" s="317"/>
      <c r="T71" s="317"/>
      <c r="U71" s="317"/>
      <c r="V71" s="318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34" t="s">
        <v>161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65"/>
      <c r="AB72" s="65"/>
      <c r="AC72" s="82"/>
    </row>
    <row r="73" spans="1:68" ht="14.25" customHeight="1" x14ac:dyDescent="0.25">
      <c r="A73" s="326" t="s">
        <v>82</v>
      </c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66"/>
      <c r="AB73" s="66"/>
      <c r="AC73" s="83"/>
    </row>
    <row r="74" spans="1:68" ht="27" customHeight="1" x14ac:dyDescent="0.25">
      <c r="A74" s="63" t="s">
        <v>162</v>
      </c>
      <c r="B74" s="63" t="s">
        <v>163</v>
      </c>
      <c r="C74" s="36">
        <v>4301070977</v>
      </c>
      <c r="D74" s="310">
        <v>4607111037411</v>
      </c>
      <c r="E74" s="310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12"/>
      <c r="R74" s="312"/>
      <c r="S74" s="312"/>
      <c r="T74" s="31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10">
        <v>4607111036728</v>
      </c>
      <c r="E75" s="310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3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12"/>
      <c r="R75" s="312"/>
      <c r="S75" s="312"/>
      <c r="T75" s="31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19"/>
      <c r="P76" s="316" t="s">
        <v>40</v>
      </c>
      <c r="Q76" s="317"/>
      <c r="R76" s="317"/>
      <c r="S76" s="317"/>
      <c r="T76" s="317"/>
      <c r="U76" s="317"/>
      <c r="V76" s="318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19"/>
      <c r="P77" s="316" t="s">
        <v>40</v>
      </c>
      <c r="Q77" s="317"/>
      <c r="R77" s="317"/>
      <c r="S77" s="317"/>
      <c r="T77" s="317"/>
      <c r="U77" s="317"/>
      <c r="V77" s="318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34" t="s">
        <v>168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  <c r="Z78" s="334"/>
      <c r="AA78" s="65"/>
      <c r="AB78" s="65"/>
      <c r="AC78" s="82"/>
    </row>
    <row r="79" spans="1:68" ht="14.25" customHeight="1" x14ac:dyDescent="0.25">
      <c r="A79" s="326" t="s">
        <v>169</v>
      </c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10">
        <v>4620207491638</v>
      </c>
      <c r="E80" s="310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12"/>
      <c r="R80" s="312"/>
      <c r="S80" s="312"/>
      <c r="T80" s="31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x14ac:dyDescent="0.2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19"/>
      <c r="P81" s="316" t="s">
        <v>40</v>
      </c>
      <c r="Q81" s="317"/>
      <c r="R81" s="317"/>
      <c r="S81" s="317"/>
      <c r="T81" s="317"/>
      <c r="U81" s="317"/>
      <c r="V81" s="318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x14ac:dyDescent="0.2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19"/>
      <c r="P82" s="316" t="s">
        <v>40</v>
      </c>
      <c r="Q82" s="317"/>
      <c r="R82" s="317"/>
      <c r="S82" s="317"/>
      <c r="T82" s="317"/>
      <c r="U82" s="317"/>
      <c r="V82" s="318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customHeight="1" x14ac:dyDescent="0.25">
      <c r="A83" s="334" t="s">
        <v>173</v>
      </c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  <c r="Z83" s="334"/>
      <c r="AA83" s="65"/>
      <c r="AB83" s="65"/>
      <c r="AC83" s="82"/>
    </row>
    <row r="84" spans="1:68" ht="14.25" customHeight="1" x14ac:dyDescent="0.25">
      <c r="A84" s="326" t="s">
        <v>174</v>
      </c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310">
        <v>4607111034120</v>
      </c>
      <c r="E85" s="310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2"/>
      <c r="R85" s="312"/>
      <c r="S85" s="312"/>
      <c r="T85" s="313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178</v>
      </c>
      <c r="B86" s="63" t="s">
        <v>179</v>
      </c>
      <c r="C86" s="36">
        <v>4301131046</v>
      </c>
      <c r="D86" s="310">
        <v>4607111034137</v>
      </c>
      <c r="E86" s="31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2"/>
      <c r="R86" s="312"/>
      <c r="S86" s="312"/>
      <c r="T86" s="31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19"/>
      <c r="P87" s="316" t="s">
        <v>40</v>
      </c>
      <c r="Q87" s="317"/>
      <c r="R87" s="317"/>
      <c r="S87" s="317"/>
      <c r="T87" s="317"/>
      <c r="U87" s="317"/>
      <c r="V87" s="318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19"/>
      <c r="P88" s="316" t="s">
        <v>40</v>
      </c>
      <c r="Q88" s="317"/>
      <c r="R88" s="317"/>
      <c r="S88" s="317"/>
      <c r="T88" s="317"/>
      <c r="U88" s="317"/>
      <c r="V88" s="318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customHeight="1" x14ac:dyDescent="0.25">
      <c r="A89" s="334" t="s">
        <v>181</v>
      </c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  <c r="Z89" s="334"/>
      <c r="AA89" s="65"/>
      <c r="AB89" s="65"/>
      <c r="AC89" s="82"/>
    </row>
    <row r="90" spans="1:68" ht="14.25" customHeight="1" x14ac:dyDescent="0.25">
      <c r="A90" s="326" t="s">
        <v>169</v>
      </c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10">
        <v>4620207491027</v>
      </c>
      <c r="E91" s="310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12"/>
      <c r="R91" s="312"/>
      <c r="S91" s="312"/>
      <c r="T91" s="313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8" si="6">IFERROR(IF(X91="","",X91),"")</f>
        <v>0</v>
      </c>
      <c r="Z91" s="41">
        <f t="shared" ref="Z91:Z98" si="7">IFERROR(IF(X91="","",X91*0.01788),"")</f>
        <v>0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0</v>
      </c>
      <c r="BN91" s="81">
        <f t="shared" ref="BN91:BN98" si="9">IFERROR(Y91*I91,"0")</f>
        <v>0</v>
      </c>
      <c r="BO91" s="81">
        <f t="shared" ref="BO91:BO98" si="10">IFERROR(X91/J91,"0")</f>
        <v>0</v>
      </c>
      <c r="BP91" s="81">
        <f t="shared" ref="BP91:BP98" si="11">IFERROR(Y91/J91,"0")</f>
        <v>0</v>
      </c>
    </row>
    <row r="92" spans="1:68" ht="27" customHeight="1" x14ac:dyDescent="0.25">
      <c r="A92" s="63" t="s">
        <v>185</v>
      </c>
      <c r="B92" s="63" t="s">
        <v>186</v>
      </c>
      <c r="C92" s="36">
        <v>4301135758</v>
      </c>
      <c r="D92" s="310">
        <v>4620207491003</v>
      </c>
      <c r="E92" s="310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396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12"/>
      <c r="R92" s="312"/>
      <c r="S92" s="312"/>
      <c r="T92" s="313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187</v>
      </c>
      <c r="B93" s="63" t="s">
        <v>188</v>
      </c>
      <c r="C93" s="36">
        <v>4301135914</v>
      </c>
      <c r="D93" s="310">
        <v>4620207491621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39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customHeight="1" x14ac:dyDescent="0.25">
      <c r="A94" s="63" t="s">
        <v>190</v>
      </c>
      <c r="B94" s="63" t="s">
        <v>191</v>
      </c>
      <c r="C94" s="36">
        <v>4301135759</v>
      </c>
      <c r="D94" s="310">
        <v>4620207491034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391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193</v>
      </c>
      <c r="B95" s="63" t="s">
        <v>194</v>
      </c>
      <c r="C95" s="36">
        <v>4301135990</v>
      </c>
      <c r="D95" s="310">
        <v>4620207491881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39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10">
        <v>4620207491577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9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197</v>
      </c>
      <c r="B97" s="63" t="s">
        <v>198</v>
      </c>
      <c r="C97" s="36">
        <v>4301135984</v>
      </c>
      <c r="D97" s="310">
        <v>4620207491874</v>
      </c>
      <c r="E97" s="31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39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199</v>
      </c>
      <c r="B98" s="63" t="s">
        <v>200</v>
      </c>
      <c r="C98" s="36">
        <v>4301137008</v>
      </c>
      <c r="D98" s="310">
        <v>4620207491782</v>
      </c>
      <c r="E98" s="31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38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19"/>
      <c r="P99" s="316" t="s">
        <v>40</v>
      </c>
      <c r="Q99" s="317"/>
      <c r="R99" s="317"/>
      <c r="S99" s="317"/>
      <c r="T99" s="317"/>
      <c r="U99" s="317"/>
      <c r="V99" s="318"/>
      <c r="W99" s="42" t="s">
        <v>39</v>
      </c>
      <c r="X99" s="43">
        <f>IFERROR(SUM(X91:X98),"0")</f>
        <v>0</v>
      </c>
      <c r="Y99" s="43">
        <f>IFERROR(SUM(Y91:Y98),"0")</f>
        <v>0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19"/>
      <c r="P100" s="316" t="s">
        <v>40</v>
      </c>
      <c r="Q100" s="317"/>
      <c r="R100" s="317"/>
      <c r="S100" s="317"/>
      <c r="T100" s="317"/>
      <c r="U100" s="317"/>
      <c r="V100" s="318"/>
      <c r="W100" s="42" t="s">
        <v>0</v>
      </c>
      <c r="X100" s="43">
        <f>IFERROR(SUMPRODUCT(X91:X98*H91:H98),"0")</f>
        <v>0</v>
      </c>
      <c r="Y100" s="43">
        <f>IFERROR(SUMPRODUCT(Y91:Y98*H91:H98),"0")</f>
        <v>0</v>
      </c>
      <c r="Z100" s="42"/>
      <c r="AA100" s="67"/>
      <c r="AB100" s="67"/>
      <c r="AC100" s="67"/>
    </row>
    <row r="101" spans="1:68" ht="16.5" customHeight="1" x14ac:dyDescent="0.25">
      <c r="A101" s="334" t="s">
        <v>201</v>
      </c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  <c r="Z101" s="334"/>
      <c r="AA101" s="65"/>
      <c r="AB101" s="65"/>
      <c r="AC101" s="82"/>
    </row>
    <row r="102" spans="1:68" ht="14.25" customHeight="1" x14ac:dyDescent="0.25">
      <c r="A102" s="326" t="s">
        <v>202</v>
      </c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66"/>
      <c r="AB102" s="66"/>
      <c r="AC102" s="83"/>
    </row>
    <row r="103" spans="1:68" ht="27" customHeight="1" x14ac:dyDescent="0.25">
      <c r="A103" s="63" t="s">
        <v>203</v>
      </c>
      <c r="B103" s="63" t="s">
        <v>204</v>
      </c>
      <c r="C103" s="36">
        <v>4301136101</v>
      </c>
      <c r="D103" s="310">
        <v>4620207491652</v>
      </c>
      <c r="E103" s="31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38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12"/>
      <c r="R103" s="312"/>
      <c r="S103" s="312"/>
      <c r="T103" s="31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206</v>
      </c>
      <c r="B104" s="63" t="s">
        <v>207</v>
      </c>
      <c r="C104" s="36">
        <v>4301136103</v>
      </c>
      <c r="D104" s="310">
        <v>4620207491645</v>
      </c>
      <c r="E104" s="31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38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19"/>
      <c r="P105" s="316" t="s">
        <v>40</v>
      </c>
      <c r="Q105" s="317"/>
      <c r="R105" s="317"/>
      <c r="S105" s="317"/>
      <c r="T105" s="317"/>
      <c r="U105" s="317"/>
      <c r="V105" s="318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19"/>
      <c r="P106" s="316" t="s">
        <v>40</v>
      </c>
      <c r="Q106" s="317"/>
      <c r="R106" s="317"/>
      <c r="S106" s="317"/>
      <c r="T106" s="317"/>
      <c r="U106" s="317"/>
      <c r="V106" s="318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34" t="s">
        <v>208</v>
      </c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65"/>
      <c r="AB107" s="65"/>
      <c r="AC107" s="82"/>
    </row>
    <row r="108" spans="1:68" ht="14.25" customHeight="1" x14ac:dyDescent="0.25">
      <c r="A108" s="326" t="s">
        <v>82</v>
      </c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10">
        <v>4620207491157</v>
      </c>
      <c r="E109" s="31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12"/>
      <c r="R109" s="312"/>
      <c r="S109" s="312"/>
      <c r="T109" s="313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7" si="12">IFERROR(IF(X109="","",X109),"")</f>
        <v>0</v>
      </c>
      <c r="Z109" s="41">
        <f t="shared" ref="Z109:Z117" si="13">IFERROR(IF(X109="","",X109*0.0155),"")</f>
        <v>0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7" si="14">IFERROR(X109*I109,"0")</f>
        <v>0</v>
      </c>
      <c r="BN109" s="81">
        <f t="shared" ref="BN109:BN117" si="15">IFERROR(Y109*I109,"0")</f>
        <v>0</v>
      </c>
      <c r="BO109" s="81">
        <f t="shared" ref="BO109:BO117" si="16">IFERROR(X109/J109,"0")</f>
        <v>0</v>
      </c>
      <c r="BP109" s="81">
        <f t="shared" ref="BP109:BP117" si="17">IFERROR(Y109/J109,"0")</f>
        <v>0</v>
      </c>
    </row>
    <row r="110" spans="1:68" ht="27" customHeight="1" x14ac:dyDescent="0.25">
      <c r="A110" s="63" t="s">
        <v>212</v>
      </c>
      <c r="B110" s="63" t="s">
        <v>213</v>
      </c>
      <c r="C110" s="36">
        <v>4301071121</v>
      </c>
      <c r="D110" s="310">
        <v>4620207491393</v>
      </c>
      <c r="E110" s="31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38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10">
        <v>4607111039262</v>
      </c>
      <c r="E111" s="31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10">
        <v>4607111039248</v>
      </c>
      <c r="E112" s="31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38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4301070979</v>
      </c>
      <c r="D113" s="310">
        <v>4607111037145</v>
      </c>
      <c r="E113" s="31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4301071075</v>
      </c>
      <c r="D114" s="310">
        <v>4620207491102</v>
      </c>
      <c r="E114" s="310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10">
        <v>4607111039293</v>
      </c>
      <c r="E115" s="31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4301071039</v>
      </c>
      <c r="D116" s="310">
        <v>4607111039279</v>
      </c>
      <c r="E116" s="31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124</v>
      </c>
      <c r="M116" s="38" t="s">
        <v>86</v>
      </c>
      <c r="N116" s="38"/>
      <c r="O116" s="37">
        <v>180</v>
      </c>
      <c r="P116" s="37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81" t="s">
        <v>164</v>
      </c>
      <c r="AG116" s="81"/>
      <c r="AJ116" s="87" t="s">
        <v>125</v>
      </c>
      <c r="AK116" s="87">
        <v>12</v>
      </c>
      <c r="BB116" s="182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228</v>
      </c>
      <c r="B117" s="63" t="s">
        <v>230</v>
      </c>
      <c r="C117" s="36">
        <v>4301071138</v>
      </c>
      <c r="D117" s="310">
        <v>4607111039279</v>
      </c>
      <c r="E117" s="31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8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12"/>
      <c r="R117" s="312"/>
      <c r="S117" s="312"/>
      <c r="T117" s="31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83" t="s">
        <v>227</v>
      </c>
      <c r="AG117" s="81"/>
      <c r="AJ117" s="87" t="s">
        <v>89</v>
      </c>
      <c r="AK117" s="87">
        <v>1</v>
      </c>
      <c r="BB117" s="184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19"/>
      <c r="P118" s="316" t="s">
        <v>40</v>
      </c>
      <c r="Q118" s="317"/>
      <c r="R118" s="317"/>
      <c r="S118" s="317"/>
      <c r="T118" s="317"/>
      <c r="U118" s="317"/>
      <c r="V118" s="318"/>
      <c r="W118" s="42" t="s">
        <v>39</v>
      </c>
      <c r="X118" s="43">
        <f>IFERROR(SUM(X109:X117),"0")</f>
        <v>0</v>
      </c>
      <c r="Y118" s="43">
        <f>IFERROR(SUM(Y109:Y117),"0")</f>
        <v>0</v>
      </c>
      <c r="Z118" s="43">
        <f>IFERROR(IF(Z109="",0,Z109),"0")+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19"/>
      <c r="P119" s="316" t="s">
        <v>40</v>
      </c>
      <c r="Q119" s="317"/>
      <c r="R119" s="317"/>
      <c r="S119" s="317"/>
      <c r="T119" s="317"/>
      <c r="U119" s="317"/>
      <c r="V119" s="318"/>
      <c r="W119" s="42" t="s">
        <v>0</v>
      </c>
      <c r="X119" s="43">
        <f>IFERROR(SUMPRODUCT(X109:X117*H109:H117),"0")</f>
        <v>0</v>
      </c>
      <c r="Y119" s="43">
        <f>IFERROR(SUMPRODUCT(Y109:Y117*H109:H117),"0")</f>
        <v>0</v>
      </c>
      <c r="Z119" s="42"/>
      <c r="AA119" s="67"/>
      <c r="AB119" s="67"/>
      <c r="AC119" s="67"/>
    </row>
    <row r="120" spans="1:68" ht="14.25" customHeight="1" x14ac:dyDescent="0.25">
      <c r="A120" s="326" t="s">
        <v>169</v>
      </c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66"/>
      <c r="AB120" s="66"/>
      <c r="AC120" s="83"/>
    </row>
    <row r="121" spans="1:68" ht="27" customHeight="1" x14ac:dyDescent="0.25">
      <c r="A121" s="63" t="s">
        <v>231</v>
      </c>
      <c r="B121" s="63" t="s">
        <v>232</v>
      </c>
      <c r="C121" s="36">
        <v>4301135826</v>
      </c>
      <c r="D121" s="310">
        <v>4620207490983</v>
      </c>
      <c r="E121" s="310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123</v>
      </c>
      <c r="L121" s="37" t="s">
        <v>88</v>
      </c>
      <c r="M121" s="38" t="s">
        <v>86</v>
      </c>
      <c r="N121" s="38"/>
      <c r="O121" s="37">
        <v>180</v>
      </c>
      <c r="P121" s="37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12"/>
      <c r="R121" s="312"/>
      <c r="S121" s="312"/>
      <c r="T121" s="313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85" t="s">
        <v>233</v>
      </c>
      <c r="AG121" s="81"/>
      <c r="AJ121" s="87" t="s">
        <v>89</v>
      </c>
      <c r="AK121" s="87">
        <v>1</v>
      </c>
      <c r="BB121" s="186" t="s">
        <v>122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19"/>
      <c r="P122" s="316" t="s">
        <v>40</v>
      </c>
      <c r="Q122" s="317"/>
      <c r="R122" s="317"/>
      <c r="S122" s="317"/>
      <c r="T122" s="317"/>
      <c r="U122" s="317"/>
      <c r="V122" s="318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19"/>
      <c r="P123" s="316" t="s">
        <v>40</v>
      </c>
      <c r="Q123" s="317"/>
      <c r="R123" s="317"/>
      <c r="S123" s="317"/>
      <c r="T123" s="317"/>
      <c r="U123" s="317"/>
      <c r="V123" s="318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26" t="s">
        <v>234</v>
      </c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66"/>
      <c r="AB124" s="66"/>
      <c r="AC124" s="83"/>
    </row>
    <row r="125" spans="1:68" ht="27" customHeight="1" x14ac:dyDescent="0.25">
      <c r="A125" s="63" t="s">
        <v>235</v>
      </c>
      <c r="B125" s="63" t="s">
        <v>236</v>
      </c>
      <c r="C125" s="36">
        <v>4301071094</v>
      </c>
      <c r="D125" s="310">
        <v>4620207491140</v>
      </c>
      <c r="E125" s="310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37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12"/>
      <c r="R125" s="312"/>
      <c r="S125" s="312"/>
      <c r="T125" s="31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7" t="s">
        <v>237</v>
      </c>
      <c r="AG125" s="81"/>
      <c r="AJ125" s="87" t="s">
        <v>89</v>
      </c>
      <c r="AK125" s="87">
        <v>1</v>
      </c>
      <c r="BB125" s="188" t="s">
        <v>122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19"/>
      <c r="P126" s="316" t="s">
        <v>40</v>
      </c>
      <c r="Q126" s="317"/>
      <c r="R126" s="317"/>
      <c r="S126" s="317"/>
      <c r="T126" s="317"/>
      <c r="U126" s="317"/>
      <c r="V126" s="318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19"/>
      <c r="P127" s="316" t="s">
        <v>40</v>
      </c>
      <c r="Q127" s="317"/>
      <c r="R127" s="317"/>
      <c r="S127" s="317"/>
      <c r="T127" s="317"/>
      <c r="U127" s="317"/>
      <c r="V127" s="318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34" t="s">
        <v>238</v>
      </c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  <c r="Z128" s="334"/>
      <c r="AA128" s="65"/>
      <c r="AB128" s="65"/>
      <c r="AC128" s="82"/>
    </row>
    <row r="129" spans="1:68" ht="14.25" customHeight="1" x14ac:dyDescent="0.25">
      <c r="A129" s="326" t="s">
        <v>82</v>
      </c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66"/>
      <c r="AB129" s="66"/>
      <c r="AC129" s="83"/>
    </row>
    <row r="130" spans="1:68" ht="27" customHeight="1" x14ac:dyDescent="0.25">
      <c r="A130" s="63" t="s">
        <v>239</v>
      </c>
      <c r="B130" s="63" t="s">
        <v>240</v>
      </c>
      <c r="C130" s="36">
        <v>4301071142</v>
      </c>
      <c r="D130" s="310">
        <v>4620207491904</v>
      </c>
      <c r="E130" s="310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7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12"/>
      <c r="R130" s="312"/>
      <c r="S130" s="312"/>
      <c r="T130" s="31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110</v>
      </c>
      <c r="AC130" s="189" t="s">
        <v>241</v>
      </c>
      <c r="AG130" s="81"/>
      <c r="AJ130" s="87" t="s">
        <v>89</v>
      </c>
      <c r="AK130" s="87">
        <v>1</v>
      </c>
      <c r="BB130" s="190" t="s">
        <v>70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19"/>
      <c r="P131" s="316" t="s">
        <v>40</v>
      </c>
      <c r="Q131" s="317"/>
      <c r="R131" s="317"/>
      <c r="S131" s="317"/>
      <c r="T131" s="317"/>
      <c r="U131" s="317"/>
      <c r="V131" s="318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19"/>
      <c r="P132" s="316" t="s">
        <v>40</v>
      </c>
      <c r="Q132" s="317"/>
      <c r="R132" s="317"/>
      <c r="S132" s="317"/>
      <c r="T132" s="317"/>
      <c r="U132" s="317"/>
      <c r="V132" s="318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4.25" customHeight="1" x14ac:dyDescent="0.25">
      <c r="A133" s="326" t="s">
        <v>169</v>
      </c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66"/>
      <c r="AB133" s="66"/>
      <c r="AC133" s="83"/>
    </row>
    <row r="134" spans="1:68" ht="27" customHeight="1" x14ac:dyDescent="0.25">
      <c r="A134" s="63" t="s">
        <v>242</v>
      </c>
      <c r="B134" s="63" t="s">
        <v>243</v>
      </c>
      <c r="C134" s="36">
        <v>4301135850</v>
      </c>
      <c r="D134" s="310">
        <v>4620207491492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7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244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245</v>
      </c>
      <c r="B135" s="63" t="s">
        <v>246</v>
      </c>
      <c r="C135" s="36">
        <v>4301190118</v>
      </c>
      <c r="D135" s="310">
        <v>4620207491461</v>
      </c>
      <c r="E135" s="310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93" t="s">
        <v>244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247</v>
      </c>
      <c r="B136" s="63" t="s">
        <v>248</v>
      </c>
      <c r="C136" s="36">
        <v>4301135865</v>
      </c>
      <c r="D136" s="310">
        <v>4620207491485</v>
      </c>
      <c r="E136" s="31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37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95" t="s">
        <v>244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249</v>
      </c>
      <c r="B137" s="63" t="s">
        <v>250</v>
      </c>
      <c r="C137" s="36">
        <v>4301135848</v>
      </c>
      <c r="D137" s="310">
        <v>4620207491799</v>
      </c>
      <c r="E137" s="31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123</v>
      </c>
      <c r="L137" s="37" t="s">
        <v>88</v>
      </c>
      <c r="M137" s="38" t="s">
        <v>86</v>
      </c>
      <c r="N137" s="38"/>
      <c r="O137" s="37">
        <v>180</v>
      </c>
      <c r="P137" s="37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7" s="312"/>
      <c r="R137" s="312"/>
      <c r="S137" s="312"/>
      <c r="T137" s="31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7" t="s">
        <v>244</v>
      </c>
      <c r="AG137" s="81"/>
      <c r="AJ137" s="87" t="s">
        <v>89</v>
      </c>
      <c r="AK137" s="87">
        <v>1</v>
      </c>
      <c r="BB137" s="198" t="s">
        <v>122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19"/>
      <c r="P138" s="316" t="s">
        <v>40</v>
      </c>
      <c r="Q138" s="317"/>
      <c r="R138" s="317"/>
      <c r="S138" s="317"/>
      <c r="T138" s="317"/>
      <c r="U138" s="317"/>
      <c r="V138" s="318"/>
      <c r="W138" s="42" t="s">
        <v>39</v>
      </c>
      <c r="X138" s="43">
        <f>IFERROR(SUM(X134:X137),"0")</f>
        <v>0</v>
      </c>
      <c r="Y138" s="43">
        <f>IFERROR(SUM(Y134:Y137),"0")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19"/>
      <c r="P139" s="316" t="s">
        <v>40</v>
      </c>
      <c r="Q139" s="317"/>
      <c r="R139" s="317"/>
      <c r="S139" s="317"/>
      <c r="T139" s="317"/>
      <c r="U139" s="317"/>
      <c r="V139" s="318"/>
      <c r="W139" s="42" t="s">
        <v>0</v>
      </c>
      <c r="X139" s="43">
        <f>IFERROR(SUMPRODUCT(X134:X137*H134:H137),"0")</f>
        <v>0</v>
      </c>
      <c r="Y139" s="43">
        <f>IFERROR(SUMPRODUCT(Y134:Y137*H134:H137),"0")</f>
        <v>0</v>
      </c>
      <c r="Z139" s="42"/>
      <c r="AA139" s="67"/>
      <c r="AB139" s="67"/>
      <c r="AC139" s="67"/>
    </row>
    <row r="140" spans="1:68" ht="14.25" customHeight="1" x14ac:dyDescent="0.25">
      <c r="A140" s="326" t="s">
        <v>251</v>
      </c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66"/>
      <c r="AB140" s="66"/>
      <c r="AC140" s="83"/>
    </row>
    <row r="141" spans="1:68" ht="27" customHeight="1" x14ac:dyDescent="0.25">
      <c r="A141" s="63" t="s">
        <v>252</v>
      </c>
      <c r="B141" s="63" t="s">
        <v>253</v>
      </c>
      <c r="C141" s="36">
        <v>4301190117</v>
      </c>
      <c r="D141" s="310">
        <v>4620207491386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254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255</v>
      </c>
      <c r="B142" s="63" t="s">
        <v>256</v>
      </c>
      <c r="C142" s="36">
        <v>4301190115</v>
      </c>
      <c r="D142" s="310">
        <v>4620207491362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36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254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257</v>
      </c>
      <c r="B143" s="63" t="s">
        <v>258</v>
      </c>
      <c r="C143" s="36">
        <v>4301190116</v>
      </c>
      <c r="D143" s="310">
        <v>4620207491379</v>
      </c>
      <c r="E143" s="31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123</v>
      </c>
      <c r="L143" s="37" t="s">
        <v>88</v>
      </c>
      <c r="M143" s="38" t="s">
        <v>86</v>
      </c>
      <c r="N143" s="38"/>
      <c r="O143" s="37">
        <v>180</v>
      </c>
      <c r="P143" s="37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12"/>
      <c r="R143" s="312"/>
      <c r="S143" s="312"/>
      <c r="T143" s="31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203" t="s">
        <v>254</v>
      </c>
      <c r="AG143" s="81"/>
      <c r="AJ143" s="87" t="s">
        <v>89</v>
      </c>
      <c r="AK143" s="87">
        <v>1</v>
      </c>
      <c r="BB143" s="204" t="s">
        <v>122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19"/>
      <c r="P144" s="316" t="s">
        <v>40</v>
      </c>
      <c r="Q144" s="317"/>
      <c r="R144" s="317"/>
      <c r="S144" s="317"/>
      <c r="T144" s="317"/>
      <c r="U144" s="317"/>
      <c r="V144" s="318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19"/>
      <c r="P145" s="316" t="s">
        <v>40</v>
      </c>
      <c r="Q145" s="317"/>
      <c r="R145" s="317"/>
      <c r="S145" s="317"/>
      <c r="T145" s="317"/>
      <c r="U145" s="317"/>
      <c r="V145" s="318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34" t="s">
        <v>259</v>
      </c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  <c r="Z146" s="334"/>
      <c r="AA146" s="65"/>
      <c r="AB146" s="65"/>
      <c r="AC146" s="82"/>
    </row>
    <row r="147" spans="1:68" ht="14.25" customHeight="1" x14ac:dyDescent="0.25">
      <c r="A147" s="326" t="s">
        <v>169</v>
      </c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66"/>
      <c r="AB147" s="66"/>
      <c r="AC147" s="83"/>
    </row>
    <row r="148" spans="1:68" ht="27" customHeight="1" x14ac:dyDescent="0.25">
      <c r="A148" s="63" t="s">
        <v>260</v>
      </c>
      <c r="B148" s="63" t="s">
        <v>261</v>
      </c>
      <c r="C148" s="36">
        <v>4301135956</v>
      </c>
      <c r="D148" s="310">
        <v>4620207491560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36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205" t="s">
        <v>262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263</v>
      </c>
      <c r="B149" s="63" t="s">
        <v>264</v>
      </c>
      <c r="C149" s="36">
        <v>4301135962</v>
      </c>
      <c r="D149" s="310">
        <v>4620207491584</v>
      </c>
      <c r="E149" s="31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123</v>
      </c>
      <c r="L149" s="37" t="s">
        <v>88</v>
      </c>
      <c r="M149" s="38" t="s">
        <v>86</v>
      </c>
      <c r="N149" s="38"/>
      <c r="O149" s="37">
        <v>180</v>
      </c>
      <c r="P149" s="36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12"/>
      <c r="R149" s="312"/>
      <c r="S149" s="312"/>
      <c r="T149" s="31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7" t="s">
        <v>262</v>
      </c>
      <c r="AG149" s="81"/>
      <c r="AJ149" s="87" t="s">
        <v>89</v>
      </c>
      <c r="AK149" s="87">
        <v>1</v>
      </c>
      <c r="BB149" s="208" t="s">
        <v>122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19"/>
      <c r="P150" s="316" t="s">
        <v>40</v>
      </c>
      <c r="Q150" s="317"/>
      <c r="R150" s="317"/>
      <c r="S150" s="317"/>
      <c r="T150" s="317"/>
      <c r="U150" s="317"/>
      <c r="V150" s="318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19"/>
      <c r="P151" s="316" t="s">
        <v>40</v>
      </c>
      <c r="Q151" s="317"/>
      <c r="R151" s="317"/>
      <c r="S151" s="317"/>
      <c r="T151" s="317"/>
      <c r="U151" s="317"/>
      <c r="V151" s="318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34" t="s">
        <v>265</v>
      </c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  <c r="Z152" s="334"/>
      <c r="AA152" s="65"/>
      <c r="AB152" s="65"/>
      <c r="AC152" s="82"/>
    </row>
    <row r="153" spans="1:68" ht="14.25" customHeight="1" x14ac:dyDescent="0.25">
      <c r="A153" s="326" t="s">
        <v>169</v>
      </c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66"/>
      <c r="AB153" s="66"/>
      <c r="AC153" s="83"/>
    </row>
    <row r="154" spans="1:68" ht="27" customHeight="1" x14ac:dyDescent="0.25">
      <c r="A154" s="63" t="s">
        <v>266</v>
      </c>
      <c r="B154" s="63" t="s">
        <v>267</v>
      </c>
      <c r="C154" s="36">
        <v>4301135954</v>
      </c>
      <c r="D154" s="310">
        <v>4620207491768</v>
      </c>
      <c r="E154" s="31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36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9" t="s">
        <v>268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269</v>
      </c>
      <c r="B155" s="63" t="s">
        <v>270</v>
      </c>
      <c r="C155" s="36">
        <v>4301135946</v>
      </c>
      <c r="D155" s="310">
        <v>4620207491553</v>
      </c>
      <c r="E155" s="31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123</v>
      </c>
      <c r="L155" s="37" t="s">
        <v>88</v>
      </c>
      <c r="M155" s="38" t="s">
        <v>86</v>
      </c>
      <c r="N155" s="38"/>
      <c r="O155" s="37">
        <v>180</v>
      </c>
      <c r="P155" s="3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12"/>
      <c r="R155" s="312"/>
      <c r="S155" s="312"/>
      <c r="T155" s="313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11" t="s">
        <v>268</v>
      </c>
      <c r="AG155" s="81"/>
      <c r="AJ155" s="87" t="s">
        <v>89</v>
      </c>
      <c r="AK155" s="87">
        <v>1</v>
      </c>
      <c r="BB155" s="212" t="s">
        <v>122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19"/>
      <c r="P156" s="316" t="s">
        <v>40</v>
      </c>
      <c r="Q156" s="317"/>
      <c r="R156" s="317"/>
      <c r="S156" s="317"/>
      <c r="T156" s="317"/>
      <c r="U156" s="317"/>
      <c r="V156" s="318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19"/>
      <c r="P157" s="316" t="s">
        <v>40</v>
      </c>
      <c r="Q157" s="317"/>
      <c r="R157" s="317"/>
      <c r="S157" s="317"/>
      <c r="T157" s="317"/>
      <c r="U157" s="317"/>
      <c r="V157" s="318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34" t="s">
        <v>271</v>
      </c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  <c r="Z158" s="334"/>
      <c r="AA158" s="65"/>
      <c r="AB158" s="65"/>
      <c r="AC158" s="82"/>
    </row>
    <row r="159" spans="1:68" ht="14.25" customHeight="1" x14ac:dyDescent="0.25">
      <c r="A159" s="326" t="s">
        <v>169</v>
      </c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66"/>
      <c r="AB159" s="66"/>
      <c r="AC159" s="83"/>
    </row>
    <row r="160" spans="1:68" ht="27" customHeight="1" x14ac:dyDescent="0.25">
      <c r="A160" s="63" t="s">
        <v>272</v>
      </c>
      <c r="B160" s="63" t="s">
        <v>273</v>
      </c>
      <c r="C160" s="36">
        <v>4301135926</v>
      </c>
      <c r="D160" s="310">
        <v>4620207491669</v>
      </c>
      <c r="E160" s="31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88</v>
      </c>
      <c r="M160" s="38" t="s">
        <v>86</v>
      </c>
      <c r="N160" s="38"/>
      <c r="O160" s="37">
        <v>180</v>
      </c>
      <c r="P160" s="36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274</v>
      </c>
      <c r="AG160" s="81"/>
      <c r="AJ160" s="87" t="s">
        <v>89</v>
      </c>
      <c r="AK160" s="87">
        <v>1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275</v>
      </c>
      <c r="B161" s="63" t="s">
        <v>276</v>
      </c>
      <c r="C161" s="36">
        <v>4301135928</v>
      </c>
      <c r="D161" s="310">
        <v>4620207491669</v>
      </c>
      <c r="E161" s="310"/>
      <c r="F161" s="62">
        <v>0.2</v>
      </c>
      <c r="G161" s="37">
        <v>6</v>
      </c>
      <c r="H161" s="62">
        <v>1.2</v>
      </c>
      <c r="I161" s="62">
        <v>1.41</v>
      </c>
      <c r="J161" s="37">
        <v>140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363" t="str">
        <f>HYPERLINK("https://abi.ru/products/Замороженные/Горячая штучка/Круггетсы/Снеки/P005483/","Снеки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IFERROR(IF(X161="","",X161*0.00941),"")</f>
        <v>0</v>
      </c>
      <c r="AA161" s="68" t="s">
        <v>46</v>
      </c>
      <c r="AB161" s="69" t="s">
        <v>46</v>
      </c>
      <c r="AC161" s="215" t="s">
        <v>274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277</v>
      </c>
      <c r="B162" s="63" t="s">
        <v>278</v>
      </c>
      <c r="C162" s="36">
        <v>4301135932</v>
      </c>
      <c r="D162" s="310">
        <v>4620207491676</v>
      </c>
      <c r="E162" s="31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123</v>
      </c>
      <c r="L162" s="37" t="s">
        <v>88</v>
      </c>
      <c r="M162" s="38" t="s">
        <v>86</v>
      </c>
      <c r="N162" s="38"/>
      <c r="O162" s="37">
        <v>180</v>
      </c>
      <c r="P162" s="360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12"/>
      <c r="R162" s="312"/>
      <c r="S162" s="312"/>
      <c r="T162" s="31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17" t="s">
        <v>274</v>
      </c>
      <c r="AG162" s="81"/>
      <c r="AJ162" s="87" t="s">
        <v>89</v>
      </c>
      <c r="AK162" s="87">
        <v>1</v>
      </c>
      <c r="BB162" s="218" t="s">
        <v>122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19"/>
      <c r="P163" s="316" t="s">
        <v>40</v>
      </c>
      <c r="Q163" s="317"/>
      <c r="R163" s="317"/>
      <c r="S163" s="317"/>
      <c r="T163" s="317"/>
      <c r="U163" s="317"/>
      <c r="V163" s="318"/>
      <c r="W163" s="42" t="s">
        <v>39</v>
      </c>
      <c r="X163" s="43">
        <f>IFERROR(SUM(X160:X162),"0")</f>
        <v>0</v>
      </c>
      <c r="Y163" s="43">
        <f>IFERROR(SUM(Y160:Y162),"0")</f>
        <v>0</v>
      </c>
      <c r="Z163" s="43">
        <f>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19"/>
      <c r="P164" s="316" t="s">
        <v>40</v>
      </c>
      <c r="Q164" s="317"/>
      <c r="R164" s="317"/>
      <c r="S164" s="317"/>
      <c r="T164" s="317"/>
      <c r="U164" s="317"/>
      <c r="V164" s="318"/>
      <c r="W164" s="42" t="s">
        <v>0</v>
      </c>
      <c r="X164" s="43">
        <f>IFERROR(SUMPRODUCT(X160:X162*H160:H162),"0")</f>
        <v>0</v>
      </c>
      <c r="Y164" s="43">
        <f>IFERROR(SUMPRODUCT(Y160:Y162*H160:H162),"0")</f>
        <v>0</v>
      </c>
      <c r="Z164" s="42"/>
      <c r="AA164" s="67"/>
      <c r="AB164" s="67"/>
      <c r="AC164" s="67"/>
    </row>
    <row r="165" spans="1:68" ht="16.5" customHeight="1" x14ac:dyDescent="0.25">
      <c r="A165" s="334" t="s">
        <v>279</v>
      </c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  <c r="Z165" s="334"/>
      <c r="AA165" s="65"/>
      <c r="AB165" s="65"/>
      <c r="AC165" s="82"/>
    </row>
    <row r="166" spans="1:68" ht="14.25" customHeight="1" x14ac:dyDescent="0.25">
      <c r="A166" s="326" t="s">
        <v>169</v>
      </c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66"/>
      <c r="AB166" s="66"/>
      <c r="AC166" s="83"/>
    </row>
    <row r="167" spans="1:68" ht="27" customHeight="1" x14ac:dyDescent="0.25">
      <c r="A167" s="63" t="s">
        <v>280</v>
      </c>
      <c r="B167" s="63" t="s">
        <v>281</v>
      </c>
      <c r="C167" s="36">
        <v>4301135570</v>
      </c>
      <c r="D167" s="310">
        <v>4607111035806</v>
      </c>
      <c r="E167" s="31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123</v>
      </c>
      <c r="L167" s="37" t="s">
        <v>124</v>
      </c>
      <c r="M167" s="38" t="s">
        <v>86</v>
      </c>
      <c r="N167" s="38"/>
      <c r="O167" s="37">
        <v>180</v>
      </c>
      <c r="P167" s="36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12"/>
      <c r="R167" s="312"/>
      <c r="S167" s="312"/>
      <c r="T167" s="31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9" t="s">
        <v>282</v>
      </c>
      <c r="AG167" s="81"/>
      <c r="AJ167" s="87" t="s">
        <v>125</v>
      </c>
      <c r="AK167" s="87">
        <v>14</v>
      </c>
      <c r="BB167" s="220" t="s">
        <v>122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4301135940</v>
      </c>
      <c r="D168" s="310">
        <v>4620207491614</v>
      </c>
      <c r="E168" s="310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123</v>
      </c>
      <c r="L168" s="37" t="s">
        <v>88</v>
      </c>
      <c r="M168" s="38" t="s">
        <v>86</v>
      </c>
      <c r="N168" s="38"/>
      <c r="O168" s="37">
        <v>180</v>
      </c>
      <c r="P168" s="35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12"/>
      <c r="R168" s="312"/>
      <c r="S168" s="312"/>
      <c r="T168" s="313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221" t="s">
        <v>172</v>
      </c>
      <c r="AG168" s="81"/>
      <c r="AJ168" s="87" t="s">
        <v>89</v>
      </c>
      <c r="AK168" s="87">
        <v>1</v>
      </c>
      <c r="BB168" s="222" t="s">
        <v>122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19"/>
      <c r="P169" s="316" t="s">
        <v>40</v>
      </c>
      <c r="Q169" s="317"/>
      <c r="R169" s="317"/>
      <c r="S169" s="317"/>
      <c r="T169" s="317"/>
      <c r="U169" s="317"/>
      <c r="V169" s="318"/>
      <c r="W169" s="42" t="s">
        <v>39</v>
      </c>
      <c r="X169" s="43">
        <f>IFERROR(SUM(X167:X168),"0")</f>
        <v>0</v>
      </c>
      <c r="Y169" s="43">
        <f>IFERROR(SUM(Y167:Y168),"0")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19"/>
      <c r="P170" s="316" t="s">
        <v>40</v>
      </c>
      <c r="Q170" s="317"/>
      <c r="R170" s="317"/>
      <c r="S170" s="317"/>
      <c r="T170" s="317"/>
      <c r="U170" s="317"/>
      <c r="V170" s="318"/>
      <c r="W170" s="42" t="s">
        <v>0</v>
      </c>
      <c r="X170" s="43">
        <f>IFERROR(SUMPRODUCT(X167:X168*H167:H168),"0")</f>
        <v>0</v>
      </c>
      <c r="Y170" s="43">
        <f>IFERROR(SUMPRODUCT(Y167:Y168*H167:H168),"0")</f>
        <v>0</v>
      </c>
      <c r="Z170" s="42"/>
      <c r="AA170" s="67"/>
      <c r="AB170" s="67"/>
      <c r="AC170" s="67"/>
    </row>
    <row r="171" spans="1:68" ht="16.5" customHeight="1" x14ac:dyDescent="0.25">
      <c r="A171" s="334" t="s">
        <v>285</v>
      </c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  <c r="Z171" s="334"/>
      <c r="AA171" s="65"/>
      <c r="AB171" s="65"/>
      <c r="AC171" s="82"/>
    </row>
    <row r="172" spans="1:68" ht="14.25" customHeight="1" x14ac:dyDescent="0.25">
      <c r="A172" s="326" t="s">
        <v>169</v>
      </c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66"/>
      <c r="AB172" s="66"/>
      <c r="AC172" s="83"/>
    </row>
    <row r="173" spans="1:68" ht="16.5" customHeight="1" x14ac:dyDescent="0.25">
      <c r="A173" s="63" t="s">
        <v>286</v>
      </c>
      <c r="B173" s="63" t="s">
        <v>287</v>
      </c>
      <c r="C173" s="36">
        <v>4301135607</v>
      </c>
      <c r="D173" s="310">
        <v>4607111039613</v>
      </c>
      <c r="E173" s="310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123</v>
      </c>
      <c r="L173" s="37" t="s">
        <v>124</v>
      </c>
      <c r="M173" s="38" t="s">
        <v>86</v>
      </c>
      <c r="N173" s="38"/>
      <c r="O173" s="37">
        <v>180</v>
      </c>
      <c r="P173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12"/>
      <c r="R173" s="312"/>
      <c r="S173" s="312"/>
      <c r="T173" s="31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23" t="s">
        <v>288</v>
      </c>
      <c r="AG173" s="81"/>
      <c r="AJ173" s="87" t="s">
        <v>125</v>
      </c>
      <c r="AK173" s="87">
        <v>14</v>
      </c>
      <c r="BB173" s="224" t="s">
        <v>122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19"/>
      <c r="P174" s="316" t="s">
        <v>40</v>
      </c>
      <c r="Q174" s="317"/>
      <c r="R174" s="317"/>
      <c r="S174" s="317"/>
      <c r="T174" s="317"/>
      <c r="U174" s="317"/>
      <c r="V174" s="318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19"/>
      <c r="P175" s="316" t="s">
        <v>40</v>
      </c>
      <c r="Q175" s="317"/>
      <c r="R175" s="317"/>
      <c r="S175" s="317"/>
      <c r="T175" s="317"/>
      <c r="U175" s="317"/>
      <c r="V175" s="318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customHeight="1" x14ac:dyDescent="0.25">
      <c r="A176" s="334" t="s">
        <v>289</v>
      </c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  <c r="Z176" s="334"/>
      <c r="AA176" s="65"/>
      <c r="AB176" s="65"/>
      <c r="AC176" s="82"/>
    </row>
    <row r="177" spans="1:68" ht="14.25" customHeight="1" x14ac:dyDescent="0.25">
      <c r="A177" s="326" t="s">
        <v>169</v>
      </c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66"/>
      <c r="AB177" s="66"/>
      <c r="AC177" s="83"/>
    </row>
    <row r="178" spans="1:68" ht="27" customHeight="1" x14ac:dyDescent="0.25">
      <c r="A178" s="63" t="s">
        <v>290</v>
      </c>
      <c r="B178" s="63" t="s">
        <v>291</v>
      </c>
      <c r="C178" s="36">
        <v>4301135912</v>
      </c>
      <c r="D178" s="310">
        <v>4620207491751</v>
      </c>
      <c r="E178" s="310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123</v>
      </c>
      <c r="L178" s="37" t="s">
        <v>88</v>
      </c>
      <c r="M178" s="38" t="s">
        <v>86</v>
      </c>
      <c r="N178" s="38"/>
      <c r="O178" s="37">
        <v>180</v>
      </c>
      <c r="P178" s="357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12"/>
      <c r="R178" s="312"/>
      <c r="S178" s="312"/>
      <c r="T178" s="313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IFERROR(IF(X178="","",X178*0.00941),"")</f>
        <v>0</v>
      </c>
      <c r="AA178" s="68" t="s">
        <v>46</v>
      </c>
      <c r="AB178" s="69" t="s">
        <v>46</v>
      </c>
      <c r="AC178" s="225" t="s">
        <v>172</v>
      </c>
      <c r="AG178" s="81"/>
      <c r="AJ178" s="87" t="s">
        <v>89</v>
      </c>
      <c r="AK178" s="87">
        <v>1</v>
      </c>
      <c r="BB178" s="226" t="s">
        <v>122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19"/>
      <c r="P179" s="316" t="s">
        <v>40</v>
      </c>
      <c r="Q179" s="317"/>
      <c r="R179" s="317"/>
      <c r="S179" s="317"/>
      <c r="T179" s="317"/>
      <c r="U179" s="317"/>
      <c r="V179" s="318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19"/>
      <c r="P180" s="316" t="s">
        <v>40</v>
      </c>
      <c r="Q180" s="317"/>
      <c r="R180" s="317"/>
      <c r="S180" s="317"/>
      <c r="T180" s="317"/>
      <c r="U180" s="317"/>
      <c r="V180" s="318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27.75" customHeight="1" x14ac:dyDescent="0.2">
      <c r="A181" s="333" t="s">
        <v>292</v>
      </c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  <c r="AA181" s="54"/>
      <c r="AB181" s="54"/>
      <c r="AC181" s="54"/>
    </row>
    <row r="182" spans="1:68" ht="16.5" customHeight="1" x14ac:dyDescent="0.25">
      <c r="A182" s="334" t="s">
        <v>293</v>
      </c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  <c r="Z182" s="334"/>
      <c r="AA182" s="65"/>
      <c r="AB182" s="65"/>
      <c r="AC182" s="82"/>
    </row>
    <row r="183" spans="1:68" ht="14.25" customHeight="1" x14ac:dyDescent="0.25">
      <c r="A183" s="326" t="s">
        <v>118</v>
      </c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66"/>
      <c r="AB183" s="66"/>
      <c r="AC183" s="83"/>
    </row>
    <row r="184" spans="1:68" ht="27" customHeight="1" x14ac:dyDescent="0.25">
      <c r="A184" s="63" t="s">
        <v>294</v>
      </c>
      <c r="B184" s="63" t="s">
        <v>295</v>
      </c>
      <c r="C184" s="36">
        <v>4301132226</v>
      </c>
      <c r="D184" s="310">
        <v>4620207490631</v>
      </c>
      <c r="E184" s="310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356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12"/>
      <c r="R184" s="312"/>
      <c r="S184" s="312"/>
      <c r="T184" s="31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27" t="s">
        <v>296</v>
      </c>
      <c r="AG184" s="81"/>
      <c r="AJ184" s="87" t="s">
        <v>89</v>
      </c>
      <c r="AK184" s="87">
        <v>1</v>
      </c>
      <c r="BB184" s="228" t="s">
        <v>122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19"/>
      <c r="P185" s="316" t="s">
        <v>40</v>
      </c>
      <c r="Q185" s="317"/>
      <c r="R185" s="317"/>
      <c r="S185" s="317"/>
      <c r="T185" s="317"/>
      <c r="U185" s="317"/>
      <c r="V185" s="318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19"/>
      <c r="P186" s="316" t="s">
        <v>40</v>
      </c>
      <c r="Q186" s="317"/>
      <c r="R186" s="317"/>
      <c r="S186" s="317"/>
      <c r="T186" s="317"/>
      <c r="U186" s="317"/>
      <c r="V186" s="318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4.25" customHeight="1" x14ac:dyDescent="0.25">
      <c r="A187" s="326" t="s">
        <v>169</v>
      </c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66"/>
      <c r="AB187" s="66"/>
      <c r="AC187" s="83"/>
    </row>
    <row r="188" spans="1:68" ht="16.5" customHeight="1" x14ac:dyDescent="0.25">
      <c r="A188" s="63" t="s">
        <v>297</v>
      </c>
      <c r="B188" s="63" t="s">
        <v>298</v>
      </c>
      <c r="C188" s="36">
        <v>4301135679</v>
      </c>
      <c r="D188" s="310">
        <v>4620207490372</v>
      </c>
      <c r="E188" s="310"/>
      <c r="F188" s="62">
        <v>5.5</v>
      </c>
      <c r="G188" s="37">
        <v>1</v>
      </c>
      <c r="H188" s="62">
        <v>5.5</v>
      </c>
      <c r="I188" s="62">
        <v>5.7350000000000003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53" t="str">
        <f>HYPERLINK("https://abi.ru/products/Замороженные/No Name/Зареченские продукты/Снеки/P004783/","Снеки «Жар-мени с мясом» Весовой ТМ «No Name» 5,5 кг")</f>
        <v>Снеки «Жар-мени с мясом» Весовой ТМ «No Name» 5,5 кг</v>
      </c>
      <c r="Q188" s="312"/>
      <c r="R188" s="312"/>
      <c r="S188" s="312"/>
      <c r="T188" s="31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9" t="s">
        <v>299</v>
      </c>
      <c r="AG188" s="81"/>
      <c r="AJ188" s="87" t="s">
        <v>89</v>
      </c>
      <c r="AK188" s="87">
        <v>1</v>
      </c>
      <c r="BB188" s="230" t="s">
        <v>122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16.5" customHeight="1" x14ac:dyDescent="0.25">
      <c r="A189" s="63" t="s">
        <v>300</v>
      </c>
      <c r="B189" s="63" t="s">
        <v>301</v>
      </c>
      <c r="C189" s="36">
        <v>4301137080</v>
      </c>
      <c r="D189" s="310">
        <v>4620207492062</v>
      </c>
      <c r="E189" s="310"/>
      <c r="F189" s="62">
        <v>5.5</v>
      </c>
      <c r="G189" s="37">
        <v>1</v>
      </c>
      <c r="H189" s="62">
        <v>5.5</v>
      </c>
      <c r="I189" s="62">
        <v>5.7350000000000003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35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9" s="312"/>
      <c r="R189" s="312"/>
      <c r="S189" s="312"/>
      <c r="T189" s="31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31" t="s">
        <v>302</v>
      </c>
      <c r="AG189" s="81"/>
      <c r="AJ189" s="87" t="s">
        <v>89</v>
      </c>
      <c r="AK189" s="87">
        <v>1</v>
      </c>
      <c r="BB189" s="232" t="s">
        <v>122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303</v>
      </c>
      <c r="B190" s="63" t="s">
        <v>304</v>
      </c>
      <c r="C190" s="36">
        <v>4301135392</v>
      </c>
      <c r="D190" s="310">
        <v>4607111039132</v>
      </c>
      <c r="E190" s="310"/>
      <c r="F190" s="62">
        <v>3.7</v>
      </c>
      <c r="G190" s="37">
        <v>1</v>
      </c>
      <c r="H190" s="62">
        <v>3.7</v>
      </c>
      <c r="I190" s="62">
        <v>3.8919999999999999</v>
      </c>
      <c r="J190" s="37">
        <v>126</v>
      </c>
      <c r="K190" s="37" t="s">
        <v>123</v>
      </c>
      <c r="L190" s="37" t="s">
        <v>88</v>
      </c>
      <c r="M190" s="38" t="s">
        <v>86</v>
      </c>
      <c r="N190" s="38"/>
      <c r="O190" s="37">
        <v>180</v>
      </c>
      <c r="P190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0" s="312"/>
      <c r="R190" s="312"/>
      <c r="S190" s="312"/>
      <c r="T190" s="313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IFERROR(IF(X190="","",X190*0.00936),"")</f>
        <v>0</v>
      </c>
      <c r="AA190" s="68" t="s">
        <v>46</v>
      </c>
      <c r="AB190" s="69" t="s">
        <v>46</v>
      </c>
      <c r="AC190" s="233" t="s">
        <v>305</v>
      </c>
      <c r="AG190" s="81"/>
      <c r="AJ190" s="87" t="s">
        <v>89</v>
      </c>
      <c r="AK190" s="87">
        <v>1</v>
      </c>
      <c r="BB190" s="234" t="s">
        <v>122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19"/>
      <c r="P191" s="316" t="s">
        <v>40</v>
      </c>
      <c r="Q191" s="317"/>
      <c r="R191" s="317"/>
      <c r="S191" s="317"/>
      <c r="T191" s="317"/>
      <c r="U191" s="317"/>
      <c r="V191" s="318"/>
      <c r="W191" s="42" t="s">
        <v>39</v>
      </c>
      <c r="X191" s="43">
        <f>IFERROR(SUM(X188:X190),"0")</f>
        <v>0</v>
      </c>
      <c r="Y191" s="43">
        <f>IFERROR(SUM(Y188:Y190),"0")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19"/>
      <c r="P192" s="316" t="s">
        <v>40</v>
      </c>
      <c r="Q192" s="317"/>
      <c r="R192" s="317"/>
      <c r="S192" s="317"/>
      <c r="T192" s="317"/>
      <c r="U192" s="317"/>
      <c r="V192" s="318"/>
      <c r="W192" s="42" t="s">
        <v>0</v>
      </c>
      <c r="X192" s="43">
        <f>IFERROR(SUMPRODUCT(X188:X190*H188:H190),"0")</f>
        <v>0</v>
      </c>
      <c r="Y192" s="43">
        <f>IFERROR(SUMPRODUCT(Y188:Y190*H188:H190),"0")</f>
        <v>0</v>
      </c>
      <c r="Z192" s="42"/>
      <c r="AA192" s="67"/>
      <c r="AB192" s="67"/>
      <c r="AC192" s="67"/>
    </row>
    <row r="193" spans="1:68" ht="16.5" customHeight="1" x14ac:dyDescent="0.25">
      <c r="A193" s="334" t="s">
        <v>306</v>
      </c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  <c r="Z193" s="334"/>
      <c r="AA193" s="65"/>
      <c r="AB193" s="65"/>
      <c r="AC193" s="82"/>
    </row>
    <row r="194" spans="1:68" ht="14.25" customHeight="1" x14ac:dyDescent="0.25">
      <c r="A194" s="326" t="s">
        <v>82</v>
      </c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66"/>
      <c r="AB194" s="66"/>
      <c r="AC194" s="83"/>
    </row>
    <row r="195" spans="1:68" ht="16.5" customHeight="1" x14ac:dyDescent="0.25">
      <c r="A195" s="63" t="s">
        <v>307</v>
      </c>
      <c r="B195" s="63" t="s">
        <v>308</v>
      </c>
      <c r="C195" s="36">
        <v>4301071062</v>
      </c>
      <c r="D195" s="310">
        <v>4607111036384</v>
      </c>
      <c r="E195" s="310"/>
      <c r="F195" s="62">
        <v>5</v>
      </c>
      <c r="G195" s="37">
        <v>1</v>
      </c>
      <c r="H195" s="62">
        <v>5</v>
      </c>
      <c r="I195" s="62">
        <v>5.2106000000000003</v>
      </c>
      <c r="J195" s="37">
        <v>144</v>
      </c>
      <c r="K195" s="37" t="s">
        <v>87</v>
      </c>
      <c r="L195" s="37" t="s">
        <v>124</v>
      </c>
      <c r="M195" s="38" t="s">
        <v>86</v>
      </c>
      <c r="N195" s="38"/>
      <c r="O195" s="37">
        <v>180</v>
      </c>
      <c r="P195" s="3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5" s="312"/>
      <c r="R195" s="312"/>
      <c r="S195" s="312"/>
      <c r="T195" s="31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IFERROR(IF(X195="","",X195*0.00866),"")</f>
        <v>0</v>
      </c>
      <c r="AA195" s="68" t="s">
        <v>46</v>
      </c>
      <c r="AB195" s="69" t="s">
        <v>46</v>
      </c>
      <c r="AC195" s="235" t="s">
        <v>309</v>
      </c>
      <c r="AG195" s="81"/>
      <c r="AJ195" s="87" t="s">
        <v>125</v>
      </c>
      <c r="AK195" s="87">
        <v>12</v>
      </c>
      <c r="BB195" s="236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310</v>
      </c>
      <c r="B196" s="63" t="s">
        <v>311</v>
      </c>
      <c r="C196" s="36">
        <v>4301071050</v>
      </c>
      <c r="D196" s="310">
        <v>4607111036216</v>
      </c>
      <c r="E196" s="310"/>
      <c r="F196" s="62">
        <v>5</v>
      </c>
      <c r="G196" s="37">
        <v>1</v>
      </c>
      <c r="H196" s="62">
        <v>5</v>
      </c>
      <c r="I196" s="62">
        <v>5.2131999999999996</v>
      </c>
      <c r="J196" s="37">
        <v>144</v>
      </c>
      <c r="K196" s="37" t="s">
        <v>87</v>
      </c>
      <c r="L196" s="37" t="s">
        <v>124</v>
      </c>
      <c r="M196" s="38" t="s">
        <v>86</v>
      </c>
      <c r="N196" s="38"/>
      <c r="O196" s="37">
        <v>180</v>
      </c>
      <c r="P196" s="3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6" s="312"/>
      <c r="R196" s="312"/>
      <c r="S196" s="312"/>
      <c r="T196" s="31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IFERROR(IF(X196="","",X196*0.00866),"")</f>
        <v>0</v>
      </c>
      <c r="AA196" s="68" t="s">
        <v>46</v>
      </c>
      <c r="AB196" s="69" t="s">
        <v>46</v>
      </c>
      <c r="AC196" s="237" t="s">
        <v>312</v>
      </c>
      <c r="AG196" s="81"/>
      <c r="AJ196" s="87" t="s">
        <v>125</v>
      </c>
      <c r="AK196" s="87">
        <v>12</v>
      </c>
      <c r="BB196" s="238" t="s">
        <v>70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19"/>
      <c r="P197" s="316" t="s">
        <v>40</v>
      </c>
      <c r="Q197" s="317"/>
      <c r="R197" s="317"/>
      <c r="S197" s="317"/>
      <c r="T197" s="317"/>
      <c r="U197" s="317"/>
      <c r="V197" s="318"/>
      <c r="W197" s="42" t="s">
        <v>39</v>
      </c>
      <c r="X197" s="43">
        <f>IFERROR(SUM(X195:X196),"0")</f>
        <v>0</v>
      </c>
      <c r="Y197" s="43">
        <f>IFERROR(SUM(Y195:Y196),"0")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19"/>
      <c r="P198" s="316" t="s">
        <v>40</v>
      </c>
      <c r="Q198" s="317"/>
      <c r="R198" s="317"/>
      <c r="S198" s="317"/>
      <c r="T198" s="317"/>
      <c r="U198" s="317"/>
      <c r="V198" s="318"/>
      <c r="W198" s="42" t="s">
        <v>0</v>
      </c>
      <c r="X198" s="43">
        <f>IFERROR(SUMPRODUCT(X195:X196*H195:H196),"0")</f>
        <v>0</v>
      </c>
      <c r="Y198" s="43">
        <f>IFERROR(SUMPRODUCT(Y195:Y196*H195:H196),"0")</f>
        <v>0</v>
      </c>
      <c r="Z198" s="42"/>
      <c r="AA198" s="67"/>
      <c r="AB198" s="67"/>
      <c r="AC198" s="67"/>
    </row>
    <row r="199" spans="1:68" ht="16.5" customHeight="1" x14ac:dyDescent="0.25">
      <c r="A199" s="334" t="s">
        <v>313</v>
      </c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  <c r="Z199" s="334"/>
      <c r="AA199" s="65"/>
      <c r="AB199" s="65"/>
      <c r="AC199" s="82"/>
    </row>
    <row r="200" spans="1:68" ht="14.25" customHeight="1" x14ac:dyDescent="0.25">
      <c r="A200" s="326" t="s">
        <v>82</v>
      </c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66"/>
      <c r="AB200" s="66"/>
      <c r="AC200" s="83"/>
    </row>
    <row r="201" spans="1:68" ht="27" customHeight="1" x14ac:dyDescent="0.25">
      <c r="A201" s="63" t="s">
        <v>314</v>
      </c>
      <c r="B201" s="63" t="s">
        <v>315</v>
      </c>
      <c r="C201" s="36">
        <v>4301071117</v>
      </c>
      <c r="D201" s="310">
        <v>4620207491737</v>
      </c>
      <c r="E201" s="310"/>
      <c r="F201" s="62">
        <v>1</v>
      </c>
      <c r="G201" s="37">
        <v>5</v>
      </c>
      <c r="H201" s="62">
        <v>5</v>
      </c>
      <c r="I201" s="62">
        <v>5.2619999999999996</v>
      </c>
      <c r="J201" s="37">
        <v>84</v>
      </c>
      <c r="K201" s="37" t="s">
        <v>87</v>
      </c>
      <c r="L201" s="37" t="s">
        <v>88</v>
      </c>
      <c r="M201" s="38" t="s">
        <v>86</v>
      </c>
      <c r="N201" s="38"/>
      <c r="O201" s="37">
        <v>180</v>
      </c>
      <c r="P201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1" s="312"/>
      <c r="R201" s="312"/>
      <c r="S201" s="312"/>
      <c r="T201" s="313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IFERROR(IF(X201="","",X201*0.0155),"")</f>
        <v>0</v>
      </c>
      <c r="AA201" s="68" t="s">
        <v>46</v>
      </c>
      <c r="AB201" s="69" t="s">
        <v>46</v>
      </c>
      <c r="AC201" s="239" t="s">
        <v>312</v>
      </c>
      <c r="AG201" s="81"/>
      <c r="AJ201" s="87" t="s">
        <v>89</v>
      </c>
      <c r="AK201" s="87">
        <v>1</v>
      </c>
      <c r="BB201" s="240" t="s">
        <v>70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19"/>
      <c r="P202" s="316" t="s">
        <v>40</v>
      </c>
      <c r="Q202" s="317"/>
      <c r="R202" s="317"/>
      <c r="S202" s="317"/>
      <c r="T202" s="317"/>
      <c r="U202" s="317"/>
      <c r="V202" s="318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19"/>
      <c r="P203" s="316" t="s">
        <v>40</v>
      </c>
      <c r="Q203" s="317"/>
      <c r="R203" s="317"/>
      <c r="S203" s="317"/>
      <c r="T203" s="317"/>
      <c r="U203" s="317"/>
      <c r="V203" s="318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27.75" customHeight="1" x14ac:dyDescent="0.2">
      <c r="A204" s="333" t="s">
        <v>316</v>
      </c>
      <c r="B204" s="333"/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  <c r="AA204" s="54"/>
      <c r="AB204" s="54"/>
      <c r="AC204" s="54"/>
    </row>
    <row r="205" spans="1:68" ht="16.5" customHeight="1" x14ac:dyDescent="0.25">
      <c r="A205" s="334" t="s">
        <v>317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  <c r="Z205" s="334"/>
      <c r="AA205" s="65"/>
      <c r="AB205" s="65"/>
      <c r="AC205" s="82"/>
    </row>
    <row r="206" spans="1:68" ht="14.25" customHeight="1" x14ac:dyDescent="0.25">
      <c r="A206" s="326" t="s">
        <v>118</v>
      </c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66"/>
      <c r="AB206" s="66"/>
      <c r="AC206" s="83"/>
    </row>
    <row r="207" spans="1:68" ht="16.5" customHeight="1" x14ac:dyDescent="0.25">
      <c r="A207" s="63" t="s">
        <v>318</v>
      </c>
      <c r="B207" s="63" t="s">
        <v>319</v>
      </c>
      <c r="C207" s="36">
        <v>4301132179</v>
      </c>
      <c r="D207" s="310">
        <v>4607111035691</v>
      </c>
      <c r="E207" s="310"/>
      <c r="F207" s="62">
        <v>0.25</v>
      </c>
      <c r="G207" s="37">
        <v>12</v>
      </c>
      <c r="H207" s="62">
        <v>3</v>
      </c>
      <c r="I207" s="62">
        <v>3.3879999999999999</v>
      </c>
      <c r="J207" s="37">
        <v>70</v>
      </c>
      <c r="K207" s="37" t="s">
        <v>123</v>
      </c>
      <c r="L207" s="37" t="s">
        <v>124</v>
      </c>
      <c r="M207" s="38" t="s">
        <v>86</v>
      </c>
      <c r="N207" s="38"/>
      <c r="O207" s="37">
        <v>365</v>
      </c>
      <c r="P207" s="34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7" s="312"/>
      <c r="R207" s="312"/>
      <c r="S207" s="312"/>
      <c r="T207" s="31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41" t="s">
        <v>320</v>
      </c>
      <c r="AG207" s="81"/>
      <c r="AJ207" s="87" t="s">
        <v>125</v>
      </c>
      <c r="AK207" s="87">
        <v>14</v>
      </c>
      <c r="BB207" s="242" t="s">
        <v>122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321</v>
      </c>
      <c r="B208" s="63" t="s">
        <v>322</v>
      </c>
      <c r="C208" s="36">
        <v>4301132182</v>
      </c>
      <c r="D208" s="310">
        <v>4607111035721</v>
      </c>
      <c r="E208" s="310"/>
      <c r="F208" s="62">
        <v>0.25</v>
      </c>
      <c r="G208" s="37">
        <v>12</v>
      </c>
      <c r="H208" s="62">
        <v>3</v>
      </c>
      <c r="I208" s="62">
        <v>3.3879999999999999</v>
      </c>
      <c r="J208" s="37">
        <v>70</v>
      </c>
      <c r="K208" s="37" t="s">
        <v>123</v>
      </c>
      <c r="L208" s="37" t="s">
        <v>124</v>
      </c>
      <c r="M208" s="38" t="s">
        <v>86</v>
      </c>
      <c r="N208" s="38"/>
      <c r="O208" s="37">
        <v>365</v>
      </c>
      <c r="P208" s="3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8" s="312"/>
      <c r="R208" s="312"/>
      <c r="S208" s="312"/>
      <c r="T208" s="31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43" t="s">
        <v>323</v>
      </c>
      <c r="AG208" s="81"/>
      <c r="AJ208" s="87" t="s">
        <v>125</v>
      </c>
      <c r="AK208" s="87">
        <v>14</v>
      </c>
      <c r="BB208" s="244" t="s">
        <v>122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324</v>
      </c>
      <c r="B209" s="63" t="s">
        <v>325</v>
      </c>
      <c r="C209" s="36">
        <v>4301132170</v>
      </c>
      <c r="D209" s="310">
        <v>4607111038487</v>
      </c>
      <c r="E209" s="310"/>
      <c r="F209" s="62">
        <v>0.25</v>
      </c>
      <c r="G209" s="37">
        <v>12</v>
      </c>
      <c r="H209" s="62">
        <v>3</v>
      </c>
      <c r="I209" s="62">
        <v>3.7360000000000002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180</v>
      </c>
      <c r="P209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9" s="312"/>
      <c r="R209" s="312"/>
      <c r="S209" s="312"/>
      <c r="T209" s="31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45" t="s">
        <v>326</v>
      </c>
      <c r="AG209" s="81"/>
      <c r="AJ209" s="87" t="s">
        <v>125</v>
      </c>
      <c r="AK209" s="87">
        <v>14</v>
      </c>
      <c r="BB209" s="246" t="s">
        <v>122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327</v>
      </c>
      <c r="B210" s="63" t="s">
        <v>328</v>
      </c>
      <c r="C210" s="36">
        <v>4301132243</v>
      </c>
      <c r="D210" s="310">
        <v>4620207491195</v>
      </c>
      <c r="E210" s="310"/>
      <c r="F210" s="62">
        <v>0.23</v>
      </c>
      <c r="G210" s="37">
        <v>12</v>
      </c>
      <c r="H210" s="62">
        <v>2.76</v>
      </c>
      <c r="I210" s="62">
        <v>3.1480000000000001</v>
      </c>
      <c r="J210" s="37">
        <v>70</v>
      </c>
      <c r="K210" s="37" t="s">
        <v>123</v>
      </c>
      <c r="L210" s="37" t="s">
        <v>88</v>
      </c>
      <c r="M210" s="38" t="s">
        <v>86</v>
      </c>
      <c r="N210" s="38"/>
      <c r="O210" s="37">
        <v>180</v>
      </c>
      <c r="P210" s="34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0" s="312"/>
      <c r="R210" s="312"/>
      <c r="S210" s="312"/>
      <c r="T210" s="31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47" t="s">
        <v>329</v>
      </c>
      <c r="AG210" s="81"/>
      <c r="AJ210" s="87" t="s">
        <v>89</v>
      </c>
      <c r="AK210" s="87">
        <v>1</v>
      </c>
      <c r="BB210" s="248" t="s">
        <v>122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19"/>
      <c r="P211" s="316" t="s">
        <v>40</v>
      </c>
      <c r="Q211" s="317"/>
      <c r="R211" s="317"/>
      <c r="S211" s="317"/>
      <c r="T211" s="317"/>
      <c r="U211" s="317"/>
      <c r="V211" s="318"/>
      <c r="W211" s="42" t="s">
        <v>39</v>
      </c>
      <c r="X211" s="43">
        <f>IFERROR(SUM(X207:X210),"0")</f>
        <v>0</v>
      </c>
      <c r="Y211" s="43">
        <f>IFERROR(SUM(Y207:Y210),"0")</f>
        <v>0</v>
      </c>
      <c r="Z211" s="43">
        <f>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19"/>
      <c r="P212" s="316" t="s">
        <v>40</v>
      </c>
      <c r="Q212" s="317"/>
      <c r="R212" s="317"/>
      <c r="S212" s="317"/>
      <c r="T212" s="317"/>
      <c r="U212" s="317"/>
      <c r="V212" s="318"/>
      <c r="W212" s="42" t="s">
        <v>0</v>
      </c>
      <c r="X212" s="43">
        <f>IFERROR(SUMPRODUCT(X207:X210*H207:H210),"0")</f>
        <v>0</v>
      </c>
      <c r="Y212" s="43">
        <f>IFERROR(SUMPRODUCT(Y207:Y210*H207:H210),"0")</f>
        <v>0</v>
      </c>
      <c r="Z212" s="42"/>
      <c r="AA212" s="67"/>
      <c r="AB212" s="67"/>
      <c r="AC212" s="67"/>
    </row>
    <row r="213" spans="1:68" ht="27.75" customHeight="1" x14ac:dyDescent="0.2">
      <c r="A213" s="333" t="s">
        <v>330</v>
      </c>
      <c r="B213" s="333"/>
      <c r="C213" s="333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  <c r="AA213" s="54"/>
      <c r="AB213" s="54"/>
      <c r="AC213" s="54"/>
    </row>
    <row r="214" spans="1:68" ht="16.5" customHeight="1" x14ac:dyDescent="0.25">
      <c r="A214" s="334" t="s">
        <v>331</v>
      </c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  <c r="Z214" s="334"/>
      <c r="AA214" s="65"/>
      <c r="AB214" s="65"/>
      <c r="AC214" s="82"/>
    </row>
    <row r="215" spans="1:68" ht="14.25" customHeight="1" x14ac:dyDescent="0.25">
      <c r="A215" s="326" t="s">
        <v>118</v>
      </c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66"/>
      <c r="AB215" s="66"/>
      <c r="AC215" s="83"/>
    </row>
    <row r="216" spans="1:68" ht="27" customHeight="1" x14ac:dyDescent="0.25">
      <c r="A216" s="63" t="s">
        <v>332</v>
      </c>
      <c r="B216" s="63" t="s">
        <v>333</v>
      </c>
      <c r="C216" s="36">
        <v>4301132227</v>
      </c>
      <c r="D216" s="310">
        <v>4620207491133</v>
      </c>
      <c r="E216" s="310"/>
      <c r="F216" s="62">
        <v>0.23</v>
      </c>
      <c r="G216" s="37">
        <v>12</v>
      </c>
      <c r="H216" s="62">
        <v>2.76</v>
      </c>
      <c r="I216" s="62">
        <v>2.98</v>
      </c>
      <c r="J216" s="37">
        <v>70</v>
      </c>
      <c r="K216" s="37" t="s">
        <v>123</v>
      </c>
      <c r="L216" s="37" t="s">
        <v>124</v>
      </c>
      <c r="M216" s="38" t="s">
        <v>86</v>
      </c>
      <c r="N216" s="38"/>
      <c r="O216" s="37">
        <v>180</v>
      </c>
      <c r="P216" s="34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6" s="312"/>
      <c r="R216" s="312"/>
      <c r="S216" s="312"/>
      <c r="T216" s="31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9" t="s">
        <v>334</v>
      </c>
      <c r="AG216" s="81"/>
      <c r="AJ216" s="87" t="s">
        <v>125</v>
      </c>
      <c r="AK216" s="87">
        <v>14</v>
      </c>
      <c r="BB216" s="250" t="s">
        <v>122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19"/>
      <c r="P217" s="316" t="s">
        <v>40</v>
      </c>
      <c r="Q217" s="317"/>
      <c r="R217" s="317"/>
      <c r="S217" s="317"/>
      <c r="T217" s="317"/>
      <c r="U217" s="317"/>
      <c r="V217" s="318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19"/>
      <c r="P218" s="316" t="s">
        <v>40</v>
      </c>
      <c r="Q218" s="317"/>
      <c r="R218" s="317"/>
      <c r="S218" s="317"/>
      <c r="T218" s="317"/>
      <c r="U218" s="317"/>
      <c r="V218" s="318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4.25" customHeight="1" x14ac:dyDescent="0.25">
      <c r="A219" s="326" t="s">
        <v>169</v>
      </c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66"/>
      <c r="AB219" s="66"/>
      <c r="AC219" s="83"/>
    </row>
    <row r="220" spans="1:68" ht="27" customHeight="1" x14ac:dyDescent="0.25">
      <c r="A220" s="63" t="s">
        <v>335</v>
      </c>
      <c r="B220" s="63" t="s">
        <v>336</v>
      </c>
      <c r="C220" s="36">
        <v>4301135834</v>
      </c>
      <c r="D220" s="310">
        <v>4620207491188</v>
      </c>
      <c r="E220" s="310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123</v>
      </c>
      <c r="L220" s="37" t="s">
        <v>88</v>
      </c>
      <c r="M220" s="38" t="s">
        <v>86</v>
      </c>
      <c r="N220" s="38"/>
      <c r="O220" s="37">
        <v>180</v>
      </c>
      <c r="P220" s="34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0" s="312"/>
      <c r="R220" s="312"/>
      <c r="S220" s="312"/>
      <c r="T220" s="31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51" t="s">
        <v>337</v>
      </c>
      <c r="AG220" s="81"/>
      <c r="AJ220" s="87" t="s">
        <v>89</v>
      </c>
      <c r="AK220" s="87">
        <v>1</v>
      </c>
      <c r="BB220" s="252" t="s">
        <v>122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t="27" customHeight="1" x14ac:dyDescent="0.25">
      <c r="A221" s="63" t="s">
        <v>338</v>
      </c>
      <c r="B221" s="63" t="s">
        <v>339</v>
      </c>
      <c r="C221" s="36">
        <v>4301135697</v>
      </c>
      <c r="D221" s="310">
        <v>4620207490259</v>
      </c>
      <c r="E221" s="310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123</v>
      </c>
      <c r="L221" s="37" t="s">
        <v>124</v>
      </c>
      <c r="M221" s="38" t="s">
        <v>86</v>
      </c>
      <c r="N221" s="38"/>
      <c r="O221" s="37">
        <v>180</v>
      </c>
      <c r="P221" s="3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1" s="312"/>
      <c r="R221" s="312"/>
      <c r="S221" s="312"/>
      <c r="T221" s="31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53" t="s">
        <v>340</v>
      </c>
      <c r="AG221" s="81"/>
      <c r="AJ221" s="87" t="s">
        <v>125</v>
      </c>
      <c r="AK221" s="87">
        <v>14</v>
      </c>
      <c r="BB221" s="254" t="s">
        <v>122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19"/>
      <c r="P222" s="316" t="s">
        <v>40</v>
      </c>
      <c r="Q222" s="317"/>
      <c r="R222" s="317"/>
      <c r="S222" s="317"/>
      <c r="T222" s="317"/>
      <c r="U222" s="317"/>
      <c r="V222" s="318"/>
      <c r="W222" s="42" t="s">
        <v>39</v>
      </c>
      <c r="X222" s="43">
        <f>IFERROR(SUM(X220:X221),"0")</f>
        <v>0</v>
      </c>
      <c r="Y222" s="43">
        <f>IFERROR(SUM(Y220:Y221),"0")</f>
        <v>0</v>
      </c>
      <c r="Z222" s="43">
        <f>IFERROR(IF(Z220="",0,Z220),"0")+IFERROR(IF(Z221="",0,Z221),"0")</f>
        <v>0</v>
      </c>
      <c r="AA222" s="67"/>
      <c r="AB222" s="67"/>
      <c r="AC222" s="67"/>
    </row>
    <row r="223" spans="1:68" x14ac:dyDescent="0.2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19"/>
      <c r="P223" s="316" t="s">
        <v>40</v>
      </c>
      <c r="Q223" s="317"/>
      <c r="R223" s="317"/>
      <c r="S223" s="317"/>
      <c r="T223" s="317"/>
      <c r="U223" s="317"/>
      <c r="V223" s="318"/>
      <c r="W223" s="42" t="s">
        <v>0</v>
      </c>
      <c r="X223" s="43">
        <f>IFERROR(SUMPRODUCT(X220:X221*H220:H221),"0")</f>
        <v>0</v>
      </c>
      <c r="Y223" s="43">
        <f>IFERROR(SUMPRODUCT(Y220:Y221*H220:H221),"0")</f>
        <v>0</v>
      </c>
      <c r="Z223" s="42"/>
      <c r="AA223" s="67"/>
      <c r="AB223" s="67"/>
      <c r="AC223" s="67"/>
    </row>
    <row r="224" spans="1:68" ht="16.5" customHeight="1" x14ac:dyDescent="0.25">
      <c r="A224" s="334" t="s">
        <v>341</v>
      </c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  <c r="Z224" s="334"/>
      <c r="AA224" s="65"/>
      <c r="AB224" s="65"/>
      <c r="AC224" s="82"/>
    </row>
    <row r="225" spans="1:68" ht="14.25" customHeight="1" x14ac:dyDescent="0.25">
      <c r="A225" s="326" t="s">
        <v>169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66"/>
      <c r="AB225" s="66"/>
      <c r="AC225" s="83"/>
    </row>
    <row r="226" spans="1:68" ht="27" customHeight="1" x14ac:dyDescent="0.25">
      <c r="A226" s="63" t="s">
        <v>342</v>
      </c>
      <c r="B226" s="63" t="s">
        <v>343</v>
      </c>
      <c r="C226" s="36">
        <v>4301135854</v>
      </c>
      <c r="D226" s="310">
        <v>4620207491706</v>
      </c>
      <c r="E226" s="31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123</v>
      </c>
      <c r="L226" s="37" t="s">
        <v>88</v>
      </c>
      <c r="M226" s="38" t="s">
        <v>86</v>
      </c>
      <c r="N226" s="38"/>
      <c r="O226" s="37">
        <v>180</v>
      </c>
      <c r="P226" s="3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6" s="312"/>
      <c r="R226" s="312"/>
      <c r="S226" s="312"/>
      <c r="T226" s="31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5" t="s">
        <v>344</v>
      </c>
      <c r="AG226" s="81"/>
      <c r="AJ226" s="87" t="s">
        <v>89</v>
      </c>
      <c r="AK226" s="87">
        <v>1</v>
      </c>
      <c r="BB226" s="256" t="s">
        <v>122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t="27" customHeight="1" x14ac:dyDescent="0.25">
      <c r="A227" s="63" t="s">
        <v>345</v>
      </c>
      <c r="B227" s="63" t="s">
        <v>346</v>
      </c>
      <c r="C227" s="36">
        <v>4301135895</v>
      </c>
      <c r="D227" s="310">
        <v>4620207491522</v>
      </c>
      <c r="E227" s="310"/>
      <c r="F227" s="62">
        <v>0.28000000000000003</v>
      </c>
      <c r="G227" s="37">
        <v>12</v>
      </c>
      <c r="H227" s="62">
        <v>3.36</v>
      </c>
      <c r="I227" s="62">
        <v>4.0636000000000001</v>
      </c>
      <c r="J227" s="37">
        <v>70</v>
      </c>
      <c r="K227" s="37" t="s">
        <v>123</v>
      </c>
      <c r="L227" s="37" t="s">
        <v>88</v>
      </c>
      <c r="M227" s="38" t="s">
        <v>86</v>
      </c>
      <c r="N227" s="38"/>
      <c r="O227" s="37">
        <v>180</v>
      </c>
      <c r="P227" s="3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7" s="312"/>
      <c r="R227" s="312"/>
      <c r="S227" s="312"/>
      <c r="T227" s="31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IFERROR(IF(X227="","",X227*0.01788),"")</f>
        <v>0</v>
      </c>
      <c r="AA227" s="68" t="s">
        <v>46</v>
      </c>
      <c r="AB227" s="69" t="s">
        <v>46</v>
      </c>
      <c r="AC227" s="257" t="s">
        <v>347</v>
      </c>
      <c r="AG227" s="81"/>
      <c r="AJ227" s="87" t="s">
        <v>89</v>
      </c>
      <c r="AK227" s="87">
        <v>1</v>
      </c>
      <c r="BB227" s="258" t="s">
        <v>122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19"/>
      <c r="P228" s="316" t="s">
        <v>40</v>
      </c>
      <c r="Q228" s="317"/>
      <c r="R228" s="317"/>
      <c r="S228" s="317"/>
      <c r="T228" s="317"/>
      <c r="U228" s="317"/>
      <c r="V228" s="318"/>
      <c r="W228" s="42" t="s">
        <v>39</v>
      </c>
      <c r="X228" s="43">
        <f>IFERROR(SUM(X226:X227),"0")</f>
        <v>0</v>
      </c>
      <c r="Y228" s="43">
        <f>IFERROR(SUM(Y226:Y227),"0")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19"/>
      <c r="P229" s="316" t="s">
        <v>40</v>
      </c>
      <c r="Q229" s="317"/>
      <c r="R229" s="317"/>
      <c r="S229" s="317"/>
      <c r="T229" s="317"/>
      <c r="U229" s="317"/>
      <c r="V229" s="318"/>
      <c r="W229" s="42" t="s">
        <v>0</v>
      </c>
      <c r="X229" s="43">
        <f>IFERROR(SUMPRODUCT(X226:X227*H226:H227),"0")</f>
        <v>0</v>
      </c>
      <c r="Y229" s="43">
        <f>IFERROR(SUMPRODUCT(Y226:Y227*H226:H227),"0")</f>
        <v>0</v>
      </c>
      <c r="Z229" s="42"/>
      <c r="AA229" s="67"/>
      <c r="AB229" s="67"/>
      <c r="AC229" s="67"/>
    </row>
    <row r="230" spans="1:68" ht="16.5" customHeight="1" x14ac:dyDescent="0.25">
      <c r="A230" s="334" t="s">
        <v>348</v>
      </c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  <c r="Z230" s="334"/>
      <c r="AA230" s="65"/>
      <c r="AB230" s="65"/>
      <c r="AC230" s="82"/>
    </row>
    <row r="231" spans="1:68" ht="14.25" customHeight="1" x14ac:dyDescent="0.25">
      <c r="A231" s="326" t="s">
        <v>82</v>
      </c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66"/>
      <c r="AB231" s="66"/>
      <c r="AC231" s="83"/>
    </row>
    <row r="232" spans="1:68" ht="27" customHeight="1" x14ac:dyDescent="0.25">
      <c r="A232" s="63" t="s">
        <v>349</v>
      </c>
      <c r="B232" s="63" t="s">
        <v>350</v>
      </c>
      <c r="C232" s="36">
        <v>4301071097</v>
      </c>
      <c r="D232" s="310">
        <v>4620207491096</v>
      </c>
      <c r="E232" s="310"/>
      <c r="F232" s="62">
        <v>1</v>
      </c>
      <c r="G232" s="37">
        <v>5</v>
      </c>
      <c r="H232" s="62">
        <v>5</v>
      </c>
      <c r="I232" s="62">
        <v>5.23</v>
      </c>
      <c r="J232" s="37">
        <v>84</v>
      </c>
      <c r="K232" s="37" t="s">
        <v>87</v>
      </c>
      <c r="L232" s="37" t="s">
        <v>124</v>
      </c>
      <c r="M232" s="38" t="s">
        <v>86</v>
      </c>
      <c r="N232" s="38"/>
      <c r="O232" s="37">
        <v>180</v>
      </c>
      <c r="P232" s="3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2" s="312"/>
      <c r="R232" s="312"/>
      <c r="S232" s="312"/>
      <c r="T232" s="31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59" t="s">
        <v>351</v>
      </c>
      <c r="AG232" s="81"/>
      <c r="AJ232" s="87" t="s">
        <v>125</v>
      </c>
      <c r="AK232" s="87">
        <v>12</v>
      </c>
      <c r="BB232" s="26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19"/>
      <c r="P233" s="316" t="s">
        <v>40</v>
      </c>
      <c r="Q233" s="317"/>
      <c r="R233" s="317"/>
      <c r="S233" s="317"/>
      <c r="T233" s="317"/>
      <c r="U233" s="317"/>
      <c r="V233" s="318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19"/>
      <c r="P234" s="316" t="s">
        <v>40</v>
      </c>
      <c r="Q234" s="317"/>
      <c r="R234" s="317"/>
      <c r="S234" s="317"/>
      <c r="T234" s="317"/>
      <c r="U234" s="317"/>
      <c r="V234" s="318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customHeight="1" x14ac:dyDescent="0.2">
      <c r="A235" s="333" t="s">
        <v>352</v>
      </c>
      <c r="B235" s="333"/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  <c r="AA235" s="54"/>
      <c r="AB235" s="54"/>
      <c r="AC235" s="54"/>
    </row>
    <row r="236" spans="1:68" ht="16.5" customHeight="1" x14ac:dyDescent="0.25">
      <c r="A236" s="334" t="s">
        <v>353</v>
      </c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65"/>
      <c r="AB236" s="65"/>
      <c r="AC236" s="82"/>
    </row>
    <row r="237" spans="1:68" ht="14.25" customHeight="1" x14ac:dyDescent="0.25">
      <c r="A237" s="326" t="s">
        <v>82</v>
      </c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66"/>
      <c r="AB237" s="66"/>
      <c r="AC237" s="83"/>
    </row>
    <row r="238" spans="1:68" ht="27" customHeight="1" x14ac:dyDescent="0.25">
      <c r="A238" s="63" t="s">
        <v>354</v>
      </c>
      <c r="B238" s="63" t="s">
        <v>355</v>
      </c>
      <c r="C238" s="36">
        <v>4301071036</v>
      </c>
      <c r="D238" s="310">
        <v>4607111036162</v>
      </c>
      <c r="E238" s="310"/>
      <c r="F238" s="62">
        <v>0.8</v>
      </c>
      <c r="G238" s="37">
        <v>8</v>
      </c>
      <c r="H238" s="62">
        <v>6.4</v>
      </c>
      <c r="I238" s="62">
        <v>6.6811999999999996</v>
      </c>
      <c r="J238" s="37">
        <v>84</v>
      </c>
      <c r="K238" s="37" t="s">
        <v>87</v>
      </c>
      <c r="L238" s="37" t="s">
        <v>88</v>
      </c>
      <c r="M238" s="38" t="s">
        <v>86</v>
      </c>
      <c r="N238" s="38"/>
      <c r="O238" s="37">
        <v>90</v>
      </c>
      <c r="P238" s="33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8" s="312"/>
      <c r="R238" s="312"/>
      <c r="S238" s="312"/>
      <c r="T238" s="31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IFERROR(IF(X238="","",X238*0.0155),"")</f>
        <v>0</v>
      </c>
      <c r="AA238" s="68" t="s">
        <v>46</v>
      </c>
      <c r="AB238" s="69" t="s">
        <v>46</v>
      </c>
      <c r="AC238" s="261" t="s">
        <v>356</v>
      </c>
      <c r="AG238" s="81"/>
      <c r="AJ238" s="87" t="s">
        <v>89</v>
      </c>
      <c r="AK238" s="87">
        <v>1</v>
      </c>
      <c r="BB238" s="262" t="s">
        <v>70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19"/>
      <c r="P239" s="316" t="s">
        <v>40</v>
      </c>
      <c r="Q239" s="317"/>
      <c r="R239" s="317"/>
      <c r="S239" s="317"/>
      <c r="T239" s="317"/>
      <c r="U239" s="317"/>
      <c r="V239" s="318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19"/>
      <c r="P240" s="316" t="s">
        <v>40</v>
      </c>
      <c r="Q240" s="317"/>
      <c r="R240" s="317"/>
      <c r="S240" s="317"/>
      <c r="T240" s="317"/>
      <c r="U240" s="317"/>
      <c r="V240" s="318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33" t="s">
        <v>357</v>
      </c>
      <c r="B241" s="333"/>
      <c r="C241" s="333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  <c r="AA241" s="54"/>
      <c r="AB241" s="54"/>
      <c r="AC241" s="54"/>
    </row>
    <row r="242" spans="1:68" ht="16.5" customHeight="1" x14ac:dyDescent="0.25">
      <c r="A242" s="334" t="s">
        <v>358</v>
      </c>
      <c r="B242" s="334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  <c r="Z242" s="334"/>
      <c r="AA242" s="65"/>
      <c r="AB242" s="65"/>
      <c r="AC242" s="82"/>
    </row>
    <row r="243" spans="1:68" ht="14.25" customHeight="1" x14ac:dyDescent="0.25">
      <c r="A243" s="326" t="s">
        <v>359</v>
      </c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66"/>
      <c r="AB243" s="66"/>
      <c r="AC243" s="83"/>
    </row>
    <row r="244" spans="1:68" ht="27" customHeight="1" x14ac:dyDescent="0.25">
      <c r="A244" s="63" t="s">
        <v>360</v>
      </c>
      <c r="B244" s="63" t="s">
        <v>361</v>
      </c>
      <c r="C244" s="36">
        <v>4301133004</v>
      </c>
      <c r="D244" s="310">
        <v>4607111039774</v>
      </c>
      <c r="E244" s="310"/>
      <c r="F244" s="62">
        <v>0.25</v>
      </c>
      <c r="G244" s="37">
        <v>12</v>
      </c>
      <c r="H244" s="62">
        <v>3</v>
      </c>
      <c r="I244" s="62">
        <v>3.22</v>
      </c>
      <c r="J244" s="37">
        <v>70</v>
      </c>
      <c r="K244" s="37" t="s">
        <v>123</v>
      </c>
      <c r="L244" s="37" t="s">
        <v>88</v>
      </c>
      <c r="M244" s="38" t="s">
        <v>86</v>
      </c>
      <c r="N244" s="38"/>
      <c r="O244" s="37">
        <v>180</v>
      </c>
      <c r="P244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4" s="312"/>
      <c r="R244" s="312"/>
      <c r="S244" s="312"/>
      <c r="T244" s="31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63" t="s">
        <v>362</v>
      </c>
      <c r="AG244" s="81"/>
      <c r="AJ244" s="87" t="s">
        <v>89</v>
      </c>
      <c r="AK244" s="87">
        <v>1</v>
      </c>
      <c r="BB244" s="264" t="s">
        <v>122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19"/>
      <c r="P245" s="316" t="s">
        <v>40</v>
      </c>
      <c r="Q245" s="317"/>
      <c r="R245" s="317"/>
      <c r="S245" s="317"/>
      <c r="T245" s="317"/>
      <c r="U245" s="317"/>
      <c r="V245" s="318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19"/>
      <c r="P246" s="316" t="s">
        <v>40</v>
      </c>
      <c r="Q246" s="317"/>
      <c r="R246" s="317"/>
      <c r="S246" s="317"/>
      <c r="T246" s="317"/>
      <c r="U246" s="317"/>
      <c r="V246" s="318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26" t="s">
        <v>169</v>
      </c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66"/>
      <c r="AB247" s="66"/>
      <c r="AC247" s="83"/>
    </row>
    <row r="248" spans="1:68" ht="37.5" customHeight="1" x14ac:dyDescent="0.25">
      <c r="A248" s="63" t="s">
        <v>363</v>
      </c>
      <c r="B248" s="63" t="s">
        <v>364</v>
      </c>
      <c r="C248" s="36">
        <v>4301135400</v>
      </c>
      <c r="D248" s="310">
        <v>4607111039361</v>
      </c>
      <c r="E248" s="310"/>
      <c r="F248" s="62">
        <v>0.25</v>
      </c>
      <c r="G248" s="37">
        <v>12</v>
      </c>
      <c r="H248" s="62">
        <v>3</v>
      </c>
      <c r="I248" s="62">
        <v>3.7035999999999998</v>
      </c>
      <c r="J248" s="37">
        <v>70</v>
      </c>
      <c r="K248" s="37" t="s">
        <v>123</v>
      </c>
      <c r="L248" s="37" t="s">
        <v>88</v>
      </c>
      <c r="M248" s="38" t="s">
        <v>86</v>
      </c>
      <c r="N248" s="38"/>
      <c r="O248" s="37">
        <v>180</v>
      </c>
      <c r="P248" s="3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8" s="312"/>
      <c r="R248" s="312"/>
      <c r="S248" s="312"/>
      <c r="T248" s="31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65" t="s">
        <v>362</v>
      </c>
      <c r="AG248" s="81"/>
      <c r="AJ248" s="87" t="s">
        <v>89</v>
      </c>
      <c r="AK248" s="87">
        <v>1</v>
      </c>
      <c r="BB248" s="266" t="s">
        <v>122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19"/>
      <c r="P249" s="316" t="s">
        <v>40</v>
      </c>
      <c r="Q249" s="317"/>
      <c r="R249" s="317"/>
      <c r="S249" s="317"/>
      <c r="T249" s="317"/>
      <c r="U249" s="317"/>
      <c r="V249" s="318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19"/>
      <c r="P250" s="316" t="s">
        <v>40</v>
      </c>
      <c r="Q250" s="317"/>
      <c r="R250" s="317"/>
      <c r="S250" s="317"/>
      <c r="T250" s="317"/>
      <c r="U250" s="317"/>
      <c r="V250" s="318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33" t="s">
        <v>365</v>
      </c>
      <c r="B251" s="333"/>
      <c r="C251" s="333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  <c r="AA251" s="54"/>
      <c r="AB251" s="54"/>
      <c r="AC251" s="54"/>
    </row>
    <row r="252" spans="1:68" ht="16.5" customHeight="1" x14ac:dyDescent="0.25">
      <c r="A252" s="334" t="s">
        <v>365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  <c r="Z252" s="334"/>
      <c r="AA252" s="65"/>
      <c r="AB252" s="65"/>
      <c r="AC252" s="82"/>
    </row>
    <row r="253" spans="1:68" ht="14.25" customHeight="1" x14ac:dyDescent="0.25">
      <c r="A253" s="326" t="s">
        <v>118</v>
      </c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66"/>
      <c r="AB253" s="66"/>
      <c r="AC253" s="83"/>
    </row>
    <row r="254" spans="1:68" ht="27" customHeight="1" x14ac:dyDescent="0.25">
      <c r="A254" s="63" t="s">
        <v>366</v>
      </c>
      <c r="B254" s="63" t="s">
        <v>367</v>
      </c>
      <c r="C254" s="36">
        <v>4301132228</v>
      </c>
      <c r="D254" s="310">
        <v>4640242181950</v>
      </c>
      <c r="E254" s="310"/>
      <c r="F254" s="62">
        <v>0.23</v>
      </c>
      <c r="G254" s="37">
        <v>12</v>
      </c>
      <c r="H254" s="62">
        <v>2.76</v>
      </c>
      <c r="I254" s="62">
        <v>3.22</v>
      </c>
      <c r="J254" s="37">
        <v>70</v>
      </c>
      <c r="K254" s="37" t="s">
        <v>123</v>
      </c>
      <c r="L254" s="37" t="s">
        <v>88</v>
      </c>
      <c r="M254" s="38" t="s">
        <v>86</v>
      </c>
      <c r="N254" s="38"/>
      <c r="O254" s="37">
        <v>365</v>
      </c>
      <c r="P254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4" s="312"/>
      <c r="R254" s="312"/>
      <c r="S254" s="312"/>
      <c r="T254" s="31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IFERROR(IF(X254="","",X254*0.01788),"")</f>
        <v>0</v>
      </c>
      <c r="AA254" s="68" t="s">
        <v>46</v>
      </c>
      <c r="AB254" s="69" t="s">
        <v>46</v>
      </c>
      <c r="AC254" s="267" t="s">
        <v>368</v>
      </c>
      <c r="AG254" s="81"/>
      <c r="AJ254" s="87" t="s">
        <v>89</v>
      </c>
      <c r="AK254" s="87">
        <v>1</v>
      </c>
      <c r="BB254" s="268" t="s">
        <v>122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19"/>
      <c r="P255" s="316" t="s">
        <v>40</v>
      </c>
      <c r="Q255" s="317"/>
      <c r="R255" s="317"/>
      <c r="S255" s="317"/>
      <c r="T255" s="317"/>
      <c r="U255" s="317"/>
      <c r="V255" s="318"/>
      <c r="W255" s="42" t="s">
        <v>39</v>
      </c>
      <c r="X255" s="43">
        <f>IFERROR(SUM(X254:X254),"0")</f>
        <v>0</v>
      </c>
      <c r="Y255" s="43">
        <f>IFERROR(SUM(Y254:Y254),"0")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19"/>
      <c r="P256" s="316" t="s">
        <v>40</v>
      </c>
      <c r="Q256" s="317"/>
      <c r="R256" s="317"/>
      <c r="S256" s="317"/>
      <c r="T256" s="317"/>
      <c r="U256" s="317"/>
      <c r="V256" s="318"/>
      <c r="W256" s="42" t="s">
        <v>0</v>
      </c>
      <c r="X256" s="43">
        <f>IFERROR(SUMPRODUCT(X254:X254*H254:H254),"0")</f>
        <v>0</v>
      </c>
      <c r="Y256" s="43">
        <f>IFERROR(SUMPRODUCT(Y254:Y254*H254:H254),"0")</f>
        <v>0</v>
      </c>
      <c r="Z256" s="42"/>
      <c r="AA256" s="67"/>
      <c r="AB256" s="67"/>
      <c r="AC256" s="67"/>
    </row>
    <row r="257" spans="1:68" ht="14.25" customHeight="1" x14ac:dyDescent="0.25">
      <c r="A257" s="326" t="s">
        <v>202</v>
      </c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66"/>
      <c r="AB257" s="66"/>
      <c r="AC257" s="83"/>
    </row>
    <row r="258" spans="1:68" ht="27" customHeight="1" x14ac:dyDescent="0.25">
      <c r="A258" s="63" t="s">
        <v>369</v>
      </c>
      <c r="B258" s="63" t="s">
        <v>370</v>
      </c>
      <c r="C258" s="36">
        <v>4301136098</v>
      </c>
      <c r="D258" s="310">
        <v>4640242181943</v>
      </c>
      <c r="E258" s="310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123</v>
      </c>
      <c r="L258" s="37" t="s">
        <v>88</v>
      </c>
      <c r="M258" s="38" t="s">
        <v>86</v>
      </c>
      <c r="N258" s="38"/>
      <c r="O258" s="37">
        <v>180</v>
      </c>
      <c r="P258" s="33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12"/>
      <c r="R258" s="312"/>
      <c r="S258" s="312"/>
      <c r="T258" s="313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9" t="s">
        <v>371</v>
      </c>
      <c r="AG258" s="81"/>
      <c r="AJ258" s="87" t="s">
        <v>89</v>
      </c>
      <c r="AK258" s="87">
        <v>1</v>
      </c>
      <c r="BB258" s="270" t="s">
        <v>122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19"/>
      <c r="P259" s="316" t="s">
        <v>40</v>
      </c>
      <c r="Q259" s="317"/>
      <c r="R259" s="317"/>
      <c r="S259" s="317"/>
      <c r="T259" s="317"/>
      <c r="U259" s="317"/>
      <c r="V259" s="318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19"/>
      <c r="P260" s="316" t="s">
        <v>40</v>
      </c>
      <c r="Q260" s="317"/>
      <c r="R260" s="317"/>
      <c r="S260" s="317"/>
      <c r="T260" s="317"/>
      <c r="U260" s="317"/>
      <c r="V260" s="318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customHeight="1" x14ac:dyDescent="0.2">
      <c r="A261" s="333" t="s">
        <v>293</v>
      </c>
      <c r="B261" s="333"/>
      <c r="C261" s="333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  <c r="Z261" s="333"/>
      <c r="AA261" s="54"/>
      <c r="AB261" s="54"/>
      <c r="AC261" s="54"/>
    </row>
    <row r="262" spans="1:68" ht="16.5" customHeight="1" x14ac:dyDescent="0.25">
      <c r="A262" s="334" t="s">
        <v>293</v>
      </c>
      <c r="B262" s="334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  <c r="Z262" s="334"/>
      <c r="AA262" s="65"/>
      <c r="AB262" s="65"/>
      <c r="AC262" s="82"/>
    </row>
    <row r="263" spans="1:68" ht="14.25" customHeight="1" x14ac:dyDescent="0.25">
      <c r="A263" s="326" t="s">
        <v>82</v>
      </c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66"/>
      <c r="AB263" s="66"/>
      <c r="AC263" s="83"/>
    </row>
    <row r="264" spans="1:68" ht="27" customHeight="1" x14ac:dyDescent="0.25">
      <c r="A264" s="63" t="s">
        <v>372</v>
      </c>
      <c r="B264" s="63" t="s">
        <v>373</v>
      </c>
      <c r="C264" s="36">
        <v>4301071014</v>
      </c>
      <c r="D264" s="310">
        <v>4640242181264</v>
      </c>
      <c r="E264" s="310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33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12"/>
      <c r="R264" s="312"/>
      <c r="S264" s="312"/>
      <c r="T264" s="31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71" t="s">
        <v>374</v>
      </c>
      <c r="AG264" s="81"/>
      <c r="AJ264" s="87" t="s">
        <v>89</v>
      </c>
      <c r="AK264" s="87">
        <v>1</v>
      </c>
      <c r="BB264" s="272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375</v>
      </c>
      <c r="B265" s="63" t="s">
        <v>376</v>
      </c>
      <c r="C265" s="36">
        <v>4301071141</v>
      </c>
      <c r="D265" s="310">
        <v>4620207491980</v>
      </c>
      <c r="E265" s="310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87</v>
      </c>
      <c r="L265" s="37" t="s">
        <v>88</v>
      </c>
      <c r="M265" s="38" t="s">
        <v>86</v>
      </c>
      <c r="N265" s="38"/>
      <c r="O265" s="37">
        <v>180</v>
      </c>
      <c r="P265" s="32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5" s="312"/>
      <c r="R265" s="312"/>
      <c r="S265" s="312"/>
      <c r="T265" s="31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73" t="s">
        <v>377</v>
      </c>
      <c r="AG265" s="81"/>
      <c r="AJ265" s="87" t="s">
        <v>89</v>
      </c>
      <c r="AK265" s="87">
        <v>1</v>
      </c>
      <c r="BB265" s="274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19"/>
      <c r="P266" s="316" t="s">
        <v>40</v>
      </c>
      <c r="Q266" s="317"/>
      <c r="R266" s="317"/>
      <c r="S266" s="317"/>
      <c r="T266" s="317"/>
      <c r="U266" s="317"/>
      <c r="V266" s="318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19"/>
      <c r="P267" s="316" t="s">
        <v>40</v>
      </c>
      <c r="Q267" s="317"/>
      <c r="R267" s="317"/>
      <c r="S267" s="317"/>
      <c r="T267" s="317"/>
      <c r="U267" s="317"/>
      <c r="V267" s="318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customHeight="1" x14ac:dyDescent="0.25">
      <c r="A268" s="326" t="s">
        <v>202</v>
      </c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66"/>
      <c r="AB268" s="66"/>
      <c r="AC268" s="83"/>
    </row>
    <row r="269" spans="1:68" ht="27" customHeight="1" x14ac:dyDescent="0.25">
      <c r="A269" s="63" t="s">
        <v>378</v>
      </c>
      <c r="B269" s="63" t="s">
        <v>379</v>
      </c>
      <c r="C269" s="36">
        <v>4301136116</v>
      </c>
      <c r="D269" s="310">
        <v>4620207492147</v>
      </c>
      <c r="E269" s="310"/>
      <c r="F269" s="62">
        <v>2.7</v>
      </c>
      <c r="G269" s="37">
        <v>1</v>
      </c>
      <c r="H269" s="62">
        <v>2.7</v>
      </c>
      <c r="I269" s="62">
        <v>2.8906000000000001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330" t="s">
        <v>380</v>
      </c>
      <c r="Q269" s="312"/>
      <c r="R269" s="312"/>
      <c r="S269" s="312"/>
      <c r="T269" s="313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75" t="s">
        <v>205</v>
      </c>
      <c r="AG269" s="81"/>
      <c r="AJ269" s="87" t="s">
        <v>89</v>
      </c>
      <c r="AK269" s="87">
        <v>1</v>
      </c>
      <c r="BB269" s="276" t="s">
        <v>122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381</v>
      </c>
      <c r="B270" s="63" t="s">
        <v>382</v>
      </c>
      <c r="C270" s="36">
        <v>4301136112</v>
      </c>
      <c r="D270" s="310">
        <v>4620207492154</v>
      </c>
      <c r="E270" s="310"/>
      <c r="F270" s="62">
        <v>5</v>
      </c>
      <c r="G270" s="37">
        <v>1</v>
      </c>
      <c r="H270" s="62">
        <v>5</v>
      </c>
      <c r="I270" s="62">
        <v>5.2350000000000003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331" t="s">
        <v>383</v>
      </c>
      <c r="Q270" s="312"/>
      <c r="R270" s="312"/>
      <c r="S270" s="312"/>
      <c r="T270" s="313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7" t="s">
        <v>205</v>
      </c>
      <c r="AG270" s="81"/>
      <c r="AJ270" s="87" t="s">
        <v>89</v>
      </c>
      <c r="AK270" s="87">
        <v>1</v>
      </c>
      <c r="BB270" s="278" t="s">
        <v>122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ht="27" customHeight="1" x14ac:dyDescent="0.25">
      <c r="A271" s="63" t="s">
        <v>384</v>
      </c>
      <c r="B271" s="63" t="s">
        <v>385</v>
      </c>
      <c r="C271" s="36">
        <v>4301136114</v>
      </c>
      <c r="D271" s="310">
        <v>4620207492086</v>
      </c>
      <c r="E271" s="310"/>
      <c r="F271" s="62">
        <v>2.2400000000000002</v>
      </c>
      <c r="G271" s="37">
        <v>1</v>
      </c>
      <c r="H271" s="62">
        <v>2.2400000000000002</v>
      </c>
      <c r="I271" s="62">
        <v>2.4319999999999999</v>
      </c>
      <c r="J271" s="37">
        <v>126</v>
      </c>
      <c r="K271" s="37" t="s">
        <v>123</v>
      </c>
      <c r="L271" s="37" t="s">
        <v>88</v>
      </c>
      <c r="M271" s="38" t="s">
        <v>86</v>
      </c>
      <c r="N271" s="38"/>
      <c r="O271" s="37">
        <v>180</v>
      </c>
      <c r="P271" s="325" t="s">
        <v>386</v>
      </c>
      <c r="Q271" s="312"/>
      <c r="R271" s="312"/>
      <c r="S271" s="312"/>
      <c r="T271" s="313"/>
      <c r="U271" s="39" t="s">
        <v>46</v>
      </c>
      <c r="V271" s="39" t="s">
        <v>46</v>
      </c>
      <c r="W271" s="40" t="s">
        <v>39</v>
      </c>
      <c r="X271" s="58">
        <v>0</v>
      </c>
      <c r="Y271" s="55">
        <f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9" t="s">
        <v>205</v>
      </c>
      <c r="AG271" s="81"/>
      <c r="AJ271" s="87" t="s">
        <v>89</v>
      </c>
      <c r="AK271" s="87">
        <v>1</v>
      </c>
      <c r="BB271" s="280" t="s">
        <v>122</v>
      </c>
      <c r="BM271" s="81">
        <f>IFERROR(X271*I271,"0")</f>
        <v>0</v>
      </c>
      <c r="BN271" s="81">
        <f>IFERROR(Y271*I271,"0")</f>
        <v>0</v>
      </c>
      <c r="BO271" s="81">
        <f>IFERROR(X271/J271,"0")</f>
        <v>0</v>
      </c>
      <c r="BP271" s="81">
        <f>IFERROR(Y271/J271,"0")</f>
        <v>0</v>
      </c>
    </row>
    <row r="272" spans="1:68" x14ac:dyDescent="0.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19"/>
      <c r="P272" s="316" t="s">
        <v>40</v>
      </c>
      <c r="Q272" s="317"/>
      <c r="R272" s="317"/>
      <c r="S272" s="317"/>
      <c r="T272" s="317"/>
      <c r="U272" s="317"/>
      <c r="V272" s="318"/>
      <c r="W272" s="42" t="s">
        <v>39</v>
      </c>
      <c r="X272" s="43">
        <f>IFERROR(SUM(X269:X271),"0")</f>
        <v>0</v>
      </c>
      <c r="Y272" s="43">
        <f>IFERROR(SUM(Y269:Y271),"0")</f>
        <v>0</v>
      </c>
      <c r="Z272" s="43">
        <f>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19"/>
      <c r="P273" s="316" t="s">
        <v>40</v>
      </c>
      <c r="Q273" s="317"/>
      <c r="R273" s="317"/>
      <c r="S273" s="317"/>
      <c r="T273" s="317"/>
      <c r="U273" s="317"/>
      <c r="V273" s="318"/>
      <c r="W273" s="42" t="s">
        <v>0</v>
      </c>
      <c r="X273" s="43">
        <f>IFERROR(SUMPRODUCT(X269:X271*H269:H271),"0")</f>
        <v>0</v>
      </c>
      <c r="Y273" s="43">
        <f>IFERROR(SUMPRODUCT(Y269:Y271*H269:H271),"0")</f>
        <v>0</v>
      </c>
      <c r="Z273" s="42"/>
      <c r="AA273" s="67"/>
      <c r="AB273" s="67"/>
      <c r="AC273" s="67"/>
    </row>
    <row r="274" spans="1:68" ht="14.25" customHeight="1" x14ac:dyDescent="0.25">
      <c r="A274" s="326" t="s">
        <v>169</v>
      </c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66"/>
      <c r="AB274" s="66"/>
      <c r="AC274" s="83"/>
    </row>
    <row r="275" spans="1:68" ht="16.5" customHeight="1" x14ac:dyDescent="0.25">
      <c r="A275" s="63" t="s">
        <v>387</v>
      </c>
      <c r="B275" s="63" t="s">
        <v>388</v>
      </c>
      <c r="C275" s="36">
        <v>4301137066</v>
      </c>
      <c r="D275" s="310">
        <v>4620207492109</v>
      </c>
      <c r="E275" s="310"/>
      <c r="F275" s="62">
        <v>5.5</v>
      </c>
      <c r="G275" s="37">
        <v>1</v>
      </c>
      <c r="H275" s="62">
        <v>5.5</v>
      </c>
      <c r="I275" s="62">
        <v>5.7350000000000003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327" t="s">
        <v>389</v>
      </c>
      <c r="Q275" s="312"/>
      <c r="R275" s="312"/>
      <c r="S275" s="312"/>
      <c r="T275" s="31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ref="Y275:Y284" si="18">IFERROR(IF(X275="","",X275),"")</f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81" t="s">
        <v>302</v>
      </c>
      <c r="AG275" s="81"/>
      <c r="AJ275" s="87" t="s">
        <v>89</v>
      </c>
      <c r="AK275" s="87">
        <v>1</v>
      </c>
      <c r="BB275" s="282" t="s">
        <v>122</v>
      </c>
      <c r="BM275" s="81">
        <f t="shared" ref="BM275:BM284" si="19">IFERROR(X275*I275,"0")</f>
        <v>0</v>
      </c>
      <c r="BN275" s="81">
        <f t="shared" ref="BN275:BN284" si="20">IFERROR(Y275*I275,"0")</f>
        <v>0</v>
      </c>
      <c r="BO275" s="81">
        <f t="shared" ref="BO275:BO284" si="21">IFERROR(X275/J275,"0")</f>
        <v>0</v>
      </c>
      <c r="BP275" s="81">
        <f t="shared" ref="BP275:BP284" si="22">IFERROR(Y275/J275,"0")</f>
        <v>0</v>
      </c>
    </row>
    <row r="276" spans="1:68" ht="37.5" customHeight="1" x14ac:dyDescent="0.25">
      <c r="A276" s="63" t="s">
        <v>390</v>
      </c>
      <c r="B276" s="63" t="s">
        <v>391</v>
      </c>
      <c r="C276" s="36">
        <v>4301137068</v>
      </c>
      <c r="D276" s="310">
        <v>4620207492161</v>
      </c>
      <c r="E276" s="310"/>
      <c r="F276" s="62">
        <v>3</v>
      </c>
      <c r="G276" s="37">
        <v>1</v>
      </c>
      <c r="H276" s="62">
        <v>3</v>
      </c>
      <c r="I276" s="62">
        <v>3.1920000000000002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328" t="s">
        <v>392</v>
      </c>
      <c r="Q276" s="312"/>
      <c r="R276" s="312"/>
      <c r="S276" s="312"/>
      <c r="T276" s="31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IFERROR(IF(X276="","",X276*0.00936),"")</f>
        <v>0</v>
      </c>
      <c r="AA276" s="68" t="s">
        <v>46</v>
      </c>
      <c r="AB276" s="69" t="s">
        <v>46</v>
      </c>
      <c r="AC276" s="283" t="s">
        <v>393</v>
      </c>
      <c r="AG276" s="81"/>
      <c r="AJ276" s="87" t="s">
        <v>89</v>
      </c>
      <c r="AK276" s="87">
        <v>1</v>
      </c>
      <c r="BB276" s="284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394</v>
      </c>
      <c r="B277" s="63" t="s">
        <v>395</v>
      </c>
      <c r="C277" s="36">
        <v>4301137046</v>
      </c>
      <c r="D277" s="310">
        <v>4620207492093</v>
      </c>
      <c r="E277" s="310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123</v>
      </c>
      <c r="L277" s="37" t="s">
        <v>88</v>
      </c>
      <c r="M277" s="38" t="s">
        <v>86</v>
      </c>
      <c r="N277" s="38"/>
      <c r="O277" s="37">
        <v>180</v>
      </c>
      <c r="P277" s="320" t="s">
        <v>396</v>
      </c>
      <c r="Q277" s="312"/>
      <c r="R277" s="312"/>
      <c r="S277" s="312"/>
      <c r="T277" s="31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IFERROR(IF(X277="","",X277*0.00936),"")</f>
        <v>0</v>
      </c>
      <c r="AA277" s="68" t="s">
        <v>46</v>
      </c>
      <c r="AB277" s="69" t="s">
        <v>46</v>
      </c>
      <c r="AC277" s="285" t="s">
        <v>397</v>
      </c>
      <c r="AG277" s="81"/>
      <c r="AJ277" s="87" t="s">
        <v>89</v>
      </c>
      <c r="AK277" s="87">
        <v>1</v>
      </c>
      <c r="BB277" s="286" t="s">
        <v>122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398</v>
      </c>
      <c r="B278" s="63" t="s">
        <v>399</v>
      </c>
      <c r="C278" s="36">
        <v>4301137072</v>
      </c>
      <c r="D278" s="310">
        <v>4620207492222</v>
      </c>
      <c r="E278" s="310"/>
      <c r="F278" s="62">
        <v>5</v>
      </c>
      <c r="G278" s="37">
        <v>1</v>
      </c>
      <c r="H278" s="62">
        <v>5</v>
      </c>
      <c r="I278" s="62">
        <v>5.23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321" t="s">
        <v>400</v>
      </c>
      <c r="Q278" s="312"/>
      <c r="R278" s="312"/>
      <c r="S278" s="312"/>
      <c r="T278" s="31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IFERROR(IF(X278="","",X278*0.0155),"")</f>
        <v>0</v>
      </c>
      <c r="AA278" s="68" t="s">
        <v>46</v>
      </c>
      <c r="AB278" s="69" t="s">
        <v>46</v>
      </c>
      <c r="AC278" s="287" t="s">
        <v>397</v>
      </c>
      <c r="AG278" s="81"/>
      <c r="AJ278" s="87" t="s">
        <v>89</v>
      </c>
      <c r="AK278" s="87">
        <v>1</v>
      </c>
      <c r="BB278" s="288" t="s">
        <v>122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401</v>
      </c>
      <c r="B279" s="63" t="s">
        <v>402</v>
      </c>
      <c r="C279" s="36">
        <v>4301137074</v>
      </c>
      <c r="D279" s="310">
        <v>4620207492116</v>
      </c>
      <c r="E279" s="310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322" t="s">
        <v>403</v>
      </c>
      <c r="Q279" s="312"/>
      <c r="R279" s="312"/>
      <c r="S279" s="312"/>
      <c r="T279" s="31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ref="Z279:Z284" si="23">IFERROR(IF(X279="","",X279*0.00936),"")</f>
        <v>0</v>
      </c>
      <c r="AA279" s="68" t="s">
        <v>46</v>
      </c>
      <c r="AB279" s="69" t="s">
        <v>46</v>
      </c>
      <c r="AC279" s="289" t="s">
        <v>302</v>
      </c>
      <c r="AG279" s="81"/>
      <c r="AJ279" s="87" t="s">
        <v>89</v>
      </c>
      <c r="AK279" s="87">
        <v>1</v>
      </c>
      <c r="BB279" s="290" t="s">
        <v>122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404</v>
      </c>
      <c r="B280" s="63" t="s">
        <v>405</v>
      </c>
      <c r="C280" s="36">
        <v>4301137070</v>
      </c>
      <c r="D280" s="310">
        <v>4620207492123</v>
      </c>
      <c r="E280" s="310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323" t="s">
        <v>406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91" t="s">
        <v>393</v>
      </c>
      <c r="AG280" s="81"/>
      <c r="AJ280" s="87" t="s">
        <v>89</v>
      </c>
      <c r="AK280" s="87">
        <v>1</v>
      </c>
      <c r="BB280" s="292" t="s">
        <v>122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37.5" customHeight="1" x14ac:dyDescent="0.25">
      <c r="A281" s="63" t="s">
        <v>407</v>
      </c>
      <c r="B281" s="63" t="s">
        <v>408</v>
      </c>
      <c r="C281" s="36">
        <v>4301137078</v>
      </c>
      <c r="D281" s="310">
        <v>4620207492130</v>
      </c>
      <c r="E281" s="310"/>
      <c r="F281" s="62">
        <v>3.7</v>
      </c>
      <c r="G281" s="37">
        <v>1</v>
      </c>
      <c r="H281" s="62">
        <v>3.7</v>
      </c>
      <c r="I281" s="62">
        <v>3.8919999999999999</v>
      </c>
      <c r="J281" s="37">
        <v>126</v>
      </c>
      <c r="K281" s="37" t="s">
        <v>123</v>
      </c>
      <c r="L281" s="37" t="s">
        <v>88</v>
      </c>
      <c r="M281" s="38" t="s">
        <v>86</v>
      </c>
      <c r="N281" s="38"/>
      <c r="O281" s="37">
        <v>180</v>
      </c>
      <c r="P281" s="324" t="s">
        <v>409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93" t="s">
        <v>393</v>
      </c>
      <c r="AG281" s="81"/>
      <c r="AJ281" s="87" t="s">
        <v>89</v>
      </c>
      <c r="AK281" s="87">
        <v>1</v>
      </c>
      <c r="BB281" s="294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410</v>
      </c>
      <c r="B282" s="63" t="s">
        <v>411</v>
      </c>
      <c r="C282" s="36">
        <v>4301137092</v>
      </c>
      <c r="D282" s="310">
        <v>4620207491942</v>
      </c>
      <c r="E282" s="310"/>
      <c r="F282" s="62">
        <v>0.3</v>
      </c>
      <c r="G282" s="37">
        <v>9</v>
      </c>
      <c r="H282" s="62">
        <v>2.7</v>
      </c>
      <c r="I282" s="62">
        <v>2.88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31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95" t="s">
        <v>393</v>
      </c>
      <c r="AG282" s="81"/>
      <c r="AJ282" s="87" t="s">
        <v>89</v>
      </c>
      <c r="AK282" s="87">
        <v>1</v>
      </c>
      <c r="BB282" s="296" t="s">
        <v>122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412</v>
      </c>
      <c r="B283" s="63" t="s">
        <v>413</v>
      </c>
      <c r="C283" s="36">
        <v>4301137014</v>
      </c>
      <c r="D283" s="310">
        <v>4620207491911</v>
      </c>
      <c r="E283" s="310"/>
      <c r="F283" s="62">
        <v>0.3</v>
      </c>
      <c r="G283" s="37">
        <v>9</v>
      </c>
      <c r="H283" s="62">
        <v>2.7</v>
      </c>
      <c r="I283" s="62">
        <v>2.988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314" t="s">
        <v>414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7" t="s">
        <v>397</v>
      </c>
      <c r="AG283" s="81"/>
      <c r="AJ283" s="87" t="s">
        <v>89</v>
      </c>
      <c r="AK283" s="87">
        <v>1</v>
      </c>
      <c r="BB283" s="298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customHeight="1" x14ac:dyDescent="0.25">
      <c r="A284" s="63" t="s">
        <v>415</v>
      </c>
      <c r="B284" s="63" t="s">
        <v>416</v>
      </c>
      <c r="C284" s="36">
        <v>4301137012</v>
      </c>
      <c r="D284" s="310">
        <v>4620207491935</v>
      </c>
      <c r="E284" s="310"/>
      <c r="F284" s="62">
        <v>0.3</v>
      </c>
      <c r="G284" s="37">
        <v>9</v>
      </c>
      <c r="H284" s="62">
        <v>2.7</v>
      </c>
      <c r="I284" s="62">
        <v>2.9249999999999998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31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9" t="s">
        <v>302</v>
      </c>
      <c r="AG284" s="81"/>
      <c r="AJ284" s="87" t="s">
        <v>89</v>
      </c>
      <c r="AK284" s="87">
        <v>1</v>
      </c>
      <c r="BB284" s="300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x14ac:dyDescent="0.2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19"/>
      <c r="P285" s="316" t="s">
        <v>40</v>
      </c>
      <c r="Q285" s="317"/>
      <c r="R285" s="317"/>
      <c r="S285" s="317"/>
      <c r="T285" s="317"/>
      <c r="U285" s="317"/>
      <c r="V285" s="318"/>
      <c r="W285" s="42" t="s">
        <v>39</v>
      </c>
      <c r="X285" s="43">
        <f>IFERROR(SUM(X275:X284),"0")</f>
        <v>0</v>
      </c>
      <c r="Y285" s="43">
        <f>IFERROR(SUM(Y275:Y284),"0")</f>
        <v>0</v>
      </c>
      <c r="Z285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</f>
        <v>0</v>
      </c>
      <c r="AA285" s="67"/>
      <c r="AB285" s="67"/>
      <c r="AC285" s="67"/>
    </row>
    <row r="286" spans="1:68" x14ac:dyDescent="0.2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19"/>
      <c r="P286" s="316" t="s">
        <v>40</v>
      </c>
      <c r="Q286" s="317"/>
      <c r="R286" s="317"/>
      <c r="S286" s="317"/>
      <c r="T286" s="317"/>
      <c r="U286" s="317"/>
      <c r="V286" s="318"/>
      <c r="W286" s="42" t="s">
        <v>0</v>
      </c>
      <c r="X286" s="43">
        <f>IFERROR(SUMPRODUCT(X275:X284*H275:H284),"0")</f>
        <v>0</v>
      </c>
      <c r="Y286" s="43">
        <f>IFERROR(SUMPRODUCT(Y275:Y284*H275:H284),"0")</f>
        <v>0</v>
      </c>
      <c r="Z286" s="42"/>
      <c r="AA286" s="67"/>
      <c r="AB286" s="67"/>
      <c r="AC286" s="67"/>
    </row>
    <row r="287" spans="1:68" ht="15" customHeight="1" x14ac:dyDescent="0.2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8"/>
      <c r="P287" s="304" t="s">
        <v>33</v>
      </c>
      <c r="Q287" s="305"/>
      <c r="R287" s="305"/>
      <c r="S287" s="305"/>
      <c r="T287" s="305"/>
      <c r="U287" s="305"/>
      <c r="V287" s="306"/>
      <c r="W287" s="42" t="s">
        <v>0</v>
      </c>
      <c r="X287" s="43">
        <f>IFERROR(X31+X35+X41+X48+X54+X62+X71+X77+X82+X88+X100+X106+X119+X123+X127+X132+X139+X145+X151+X157+X164+X170+X175+X180+X186+X192+X198+X203+X212+X218+X223+X229+X234+X240+X246+X250+X256+X260+X267+X273+X286,"0")</f>
        <v>0</v>
      </c>
      <c r="Y287" s="43">
        <f>IFERROR(Y31+Y35+Y41+Y48+Y54+Y62+Y71+Y77+Y82+Y88+Y100+Y106+Y119+Y123+Y127+Y132+Y139+Y145+Y151+Y157+Y164+Y170+Y175+Y180+Y186+Y192+Y198+Y203+Y212+Y218+Y223+Y229+Y234+Y240+Y246+Y250+Y256+Y260+Y267+Y273+Y286,"0")</f>
        <v>0</v>
      </c>
      <c r="Z287" s="42"/>
      <c r="AA287" s="67"/>
      <c r="AB287" s="67"/>
      <c r="AC287" s="67"/>
    </row>
    <row r="288" spans="1:68" x14ac:dyDescent="0.2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8"/>
      <c r="P288" s="304" t="s">
        <v>34</v>
      </c>
      <c r="Q288" s="305"/>
      <c r="R288" s="305"/>
      <c r="S288" s="305"/>
      <c r="T288" s="305"/>
      <c r="U288" s="305"/>
      <c r="V288" s="306"/>
      <c r="W288" s="42" t="s">
        <v>0</v>
      </c>
      <c r="X288" s="43">
        <f>IFERROR(SUM(BM22:BM284),"0")</f>
        <v>0</v>
      </c>
      <c r="Y288" s="43">
        <f>IFERROR(SUM(BN22:BN284),"0")</f>
        <v>0</v>
      </c>
      <c r="Z288" s="42"/>
      <c r="AA288" s="67"/>
      <c r="AB288" s="67"/>
      <c r="AC288" s="67"/>
    </row>
    <row r="289" spans="1:32" x14ac:dyDescent="0.2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8"/>
      <c r="P289" s="304" t="s">
        <v>35</v>
      </c>
      <c r="Q289" s="305"/>
      <c r="R289" s="305"/>
      <c r="S289" s="305"/>
      <c r="T289" s="305"/>
      <c r="U289" s="305"/>
      <c r="V289" s="306"/>
      <c r="W289" s="42" t="s">
        <v>20</v>
      </c>
      <c r="X289" s="44">
        <f>ROUNDUP(SUM(BO22:BO284),0)</f>
        <v>0</v>
      </c>
      <c r="Y289" s="44">
        <f>ROUNDUP(SUM(BP22:BP284),0)</f>
        <v>0</v>
      </c>
      <c r="Z289" s="42"/>
      <c r="AA289" s="67"/>
      <c r="AB289" s="67"/>
      <c r="AC289" s="67"/>
    </row>
    <row r="290" spans="1:32" x14ac:dyDescent="0.2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8"/>
      <c r="P290" s="304" t="s">
        <v>36</v>
      </c>
      <c r="Q290" s="305"/>
      <c r="R290" s="305"/>
      <c r="S290" s="305"/>
      <c r="T290" s="305"/>
      <c r="U290" s="305"/>
      <c r="V290" s="306"/>
      <c r="W290" s="42" t="s">
        <v>0</v>
      </c>
      <c r="X290" s="43">
        <f>GrossWeightTotal+PalletQtyTotal*25</f>
        <v>0</v>
      </c>
      <c r="Y290" s="43">
        <f>GrossWeightTotalR+PalletQtyTotalR*25</f>
        <v>0</v>
      </c>
      <c r="Z290" s="42"/>
      <c r="AA290" s="67"/>
      <c r="AB290" s="67"/>
      <c r="AC290" s="67"/>
    </row>
    <row r="291" spans="1:32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8"/>
      <c r="P291" s="304" t="s">
        <v>37</v>
      </c>
      <c r="Q291" s="305"/>
      <c r="R291" s="305"/>
      <c r="S291" s="305"/>
      <c r="T291" s="305"/>
      <c r="U291" s="305"/>
      <c r="V291" s="306"/>
      <c r="W291" s="42" t="s">
        <v>20</v>
      </c>
      <c r="X291" s="43">
        <f>IFERROR(X30+X34+X40+X47+X53+X61+X70+X76+X81+X87+X99+X105+X118+X122+X126+X131+X138+X144+X150+X156+X163+X169+X174+X179+X185+X191+X197+X202+X211+X217+X222+X228+X233+X239+X245+X249+X255+X259+X266+X272+X285,"0")</f>
        <v>0</v>
      </c>
      <c r="Y291" s="43">
        <f>IFERROR(Y30+Y34+Y40+Y47+Y53+Y61+Y70+Y76+Y81+Y87+Y99+Y105+Y118+Y122+Y126+Y131+Y138+Y144+Y150+Y156+Y163+Y169+Y174+Y179+Y185+Y191+Y197+Y202+Y211+Y217+Y222+Y228+Y233+Y239+Y245+Y249+Y255+Y259+Y266+Y272+Y285,"0")</f>
        <v>0</v>
      </c>
      <c r="Z291" s="42"/>
      <c r="AA291" s="67"/>
      <c r="AB291" s="67"/>
      <c r="AC291" s="67"/>
    </row>
    <row r="292" spans="1:32" ht="14.25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8"/>
      <c r="P292" s="304" t="s">
        <v>38</v>
      </c>
      <c r="Q292" s="305"/>
      <c r="R292" s="305"/>
      <c r="S292" s="305"/>
      <c r="T292" s="305"/>
      <c r="U292" s="305"/>
      <c r="V292" s="306"/>
      <c r="W292" s="45" t="s">
        <v>52</v>
      </c>
      <c r="X292" s="42"/>
      <c r="Y292" s="42"/>
      <c r="Z292" s="42">
        <f>IFERROR(Z30+Z34+Z40+Z47+Z53+Z61+Z70+Z76+Z81+Z87+Z99+Z105+Z118+Z122+Z126+Z131+Z138+Z144+Z150+Z156+Z163+Z169+Z174+Z179+Z185+Z191+Z197+Z202+Z211+Z217+Z222+Z228+Z233+Z239+Z245+Z249+Z255+Z259+Z266+Z272+Z285,"0")</f>
        <v>0</v>
      </c>
      <c r="AA292" s="67"/>
      <c r="AB292" s="67"/>
      <c r="AC292" s="67"/>
    </row>
    <row r="293" spans="1:32" ht="13.5" thickBot="1" x14ac:dyDescent="0.25"/>
    <row r="294" spans="1:32" ht="27" thickTop="1" thickBot="1" x14ac:dyDescent="0.25">
      <c r="A294" s="46" t="s">
        <v>9</v>
      </c>
      <c r="B294" s="301" t="s">
        <v>81</v>
      </c>
      <c r="C294" s="301" t="s">
        <v>81</v>
      </c>
      <c r="D294" s="301" t="s">
        <v>45</v>
      </c>
      <c r="E294" s="301" t="s">
        <v>45</v>
      </c>
      <c r="F294" s="301" t="s">
        <v>45</v>
      </c>
      <c r="G294" s="301" t="s">
        <v>45</v>
      </c>
      <c r="H294" s="301" t="s">
        <v>45</v>
      </c>
      <c r="I294" s="301" t="s">
        <v>45</v>
      </c>
      <c r="J294" s="301" t="s">
        <v>45</v>
      </c>
      <c r="K294" s="301" t="s">
        <v>45</v>
      </c>
      <c r="L294" s="301" t="s">
        <v>45</v>
      </c>
      <c r="M294" s="301" t="s">
        <v>45</v>
      </c>
      <c r="N294" s="309"/>
      <c r="O294" s="301" t="s">
        <v>45</v>
      </c>
      <c r="P294" s="301" t="s">
        <v>45</v>
      </c>
      <c r="Q294" s="301" t="s">
        <v>45</v>
      </c>
      <c r="R294" s="301" t="s">
        <v>45</v>
      </c>
      <c r="S294" s="301" t="s">
        <v>45</v>
      </c>
      <c r="T294" s="301" t="s">
        <v>45</v>
      </c>
      <c r="U294" s="301" t="s">
        <v>45</v>
      </c>
      <c r="V294" s="301" t="s">
        <v>292</v>
      </c>
      <c r="W294" s="301" t="s">
        <v>292</v>
      </c>
      <c r="X294" s="301" t="s">
        <v>292</v>
      </c>
      <c r="Y294" s="88" t="s">
        <v>316</v>
      </c>
      <c r="Z294" s="301" t="s">
        <v>330</v>
      </c>
      <c r="AA294" s="301" t="s">
        <v>330</v>
      </c>
      <c r="AB294" s="301" t="s">
        <v>330</v>
      </c>
      <c r="AC294" s="88" t="s">
        <v>352</v>
      </c>
      <c r="AD294" s="88" t="s">
        <v>357</v>
      </c>
      <c r="AE294" s="88" t="s">
        <v>365</v>
      </c>
      <c r="AF294" s="88" t="s">
        <v>293</v>
      </c>
    </row>
    <row r="295" spans="1:32" ht="14.25" customHeight="1" thickTop="1" x14ac:dyDescent="0.2">
      <c r="A295" s="302" t="s">
        <v>10</v>
      </c>
      <c r="B295" s="301" t="s">
        <v>81</v>
      </c>
      <c r="C295" s="301" t="s">
        <v>111</v>
      </c>
      <c r="D295" s="301" t="s">
        <v>117</v>
      </c>
      <c r="E295" s="301" t="s">
        <v>128</v>
      </c>
      <c r="F295" s="301" t="s">
        <v>135</v>
      </c>
      <c r="G295" s="301" t="s">
        <v>146</v>
      </c>
      <c r="H295" s="301" t="s">
        <v>161</v>
      </c>
      <c r="I295" s="301" t="s">
        <v>168</v>
      </c>
      <c r="J295" s="301" t="s">
        <v>173</v>
      </c>
      <c r="K295" s="301" t="s">
        <v>181</v>
      </c>
      <c r="L295" s="301" t="s">
        <v>201</v>
      </c>
      <c r="M295" s="301" t="s">
        <v>208</v>
      </c>
      <c r="N295" s="1"/>
      <c r="O295" s="301" t="s">
        <v>238</v>
      </c>
      <c r="P295" s="301" t="s">
        <v>259</v>
      </c>
      <c r="Q295" s="301" t="s">
        <v>265</v>
      </c>
      <c r="R295" s="301" t="s">
        <v>271</v>
      </c>
      <c r="S295" s="301" t="s">
        <v>279</v>
      </c>
      <c r="T295" s="301" t="s">
        <v>285</v>
      </c>
      <c r="U295" s="301" t="s">
        <v>289</v>
      </c>
      <c r="V295" s="301" t="s">
        <v>293</v>
      </c>
      <c r="W295" s="301" t="s">
        <v>306</v>
      </c>
      <c r="X295" s="301" t="s">
        <v>313</v>
      </c>
      <c r="Y295" s="301" t="s">
        <v>317</v>
      </c>
      <c r="Z295" s="301" t="s">
        <v>331</v>
      </c>
      <c r="AA295" s="301" t="s">
        <v>341</v>
      </c>
      <c r="AB295" s="301" t="s">
        <v>348</v>
      </c>
      <c r="AC295" s="301" t="s">
        <v>353</v>
      </c>
      <c r="AD295" s="301" t="s">
        <v>358</v>
      </c>
      <c r="AE295" s="301" t="s">
        <v>365</v>
      </c>
      <c r="AF295" s="301" t="s">
        <v>293</v>
      </c>
    </row>
    <row r="296" spans="1:32" ht="13.5" thickBot="1" x14ac:dyDescent="0.25">
      <c r="A296" s="303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</row>
    <row r="297" spans="1:32" ht="18" thickTop="1" thickBot="1" x14ac:dyDescent="0.25">
      <c r="A297" s="46" t="s">
        <v>13</v>
      </c>
      <c r="B297" s="52">
        <f>IFERROR(X22*H22,"0")+IFERROR(X23*H23,"0")+IFERROR(X24*H24,"0")+IFERROR(X25*H25,"0")+IFERROR(X26*H26,"0")+IFERROR(X27*H27,"0")+IFERROR(X28*H28,"0")+IFERROR(X29*H29,"0")+IFERROR(X33*H33,"0")</f>
        <v>0</v>
      </c>
      <c r="C297" s="52">
        <f>IFERROR(X38*H38,"0")+IFERROR(X39*H39,"0")</f>
        <v>0</v>
      </c>
      <c r="D297" s="52">
        <f>IFERROR(X45*H45,"0")+IFERROR(X46*H46,"0")</f>
        <v>0</v>
      </c>
      <c r="E297" s="52">
        <f>IFERROR(X51*H51,"0")+IFERROR(X52*H52,"0")</f>
        <v>0</v>
      </c>
      <c r="F297" s="52">
        <f>IFERROR(X57*H57,"0")+IFERROR(X58*H58,"0")+IFERROR(X59*H59,"0")+IFERROR(X60*H60,"0")</f>
        <v>0</v>
      </c>
      <c r="G297" s="52">
        <f>IFERROR(X65*H65,"0")+IFERROR(X66*H66,"0")+IFERROR(X67*H67,"0")+IFERROR(X68*H68,"0")+IFERROR(X69*H69,"0")</f>
        <v>0</v>
      </c>
      <c r="H297" s="52">
        <f>IFERROR(X74*H74,"0")+IFERROR(X75*H75,"0")</f>
        <v>0</v>
      </c>
      <c r="I297" s="52">
        <f>IFERROR(X80*H80,"0")</f>
        <v>0</v>
      </c>
      <c r="J297" s="52">
        <f>IFERROR(X85*H85,"0")+IFERROR(X86*H86,"0")</f>
        <v>0</v>
      </c>
      <c r="K297" s="52">
        <f>IFERROR(X91*H91,"0")+IFERROR(X92*H92,"0")+IFERROR(X93*H93,"0")+IFERROR(X94*H94,"0")+IFERROR(X95*H95,"0")+IFERROR(X96*H96,"0")+IFERROR(X97*H97,"0")+IFERROR(X98*H98,"0")</f>
        <v>0</v>
      </c>
      <c r="L297" s="52">
        <f>IFERROR(X103*H103,"0")+IFERROR(X104*H104,"0")</f>
        <v>0</v>
      </c>
      <c r="M297" s="52">
        <f>IFERROR(X109*H109,"0")+IFERROR(X110*H110,"0")+IFERROR(X111*H111,"0")+IFERROR(X112*H112,"0")+IFERROR(X113*H113,"0")+IFERROR(X114*H114,"0")+IFERROR(X115*H115,"0")+IFERROR(X116*H116,"0")+IFERROR(X117*H117,"0")+IFERROR(X121*H121,"0")+IFERROR(X125*H125,"0")</f>
        <v>0</v>
      </c>
      <c r="N297" s="1"/>
      <c r="O297" s="52">
        <f>IFERROR(X130*H130,"0")+IFERROR(X134*H134,"0")+IFERROR(X135*H135,"0")+IFERROR(X136*H136,"0")+IFERROR(X137*H137,"0")+IFERROR(X141*H141,"0")+IFERROR(X142*H142,"0")+IFERROR(X143*H143,"0")</f>
        <v>0</v>
      </c>
      <c r="P297" s="52">
        <f>IFERROR(X148*H148,"0")+IFERROR(X149*H149,"0")</f>
        <v>0</v>
      </c>
      <c r="Q297" s="52">
        <f>IFERROR(X154*H154,"0")+IFERROR(X155*H155,"0")</f>
        <v>0</v>
      </c>
      <c r="R297" s="52">
        <f>IFERROR(X160*H160,"0")+IFERROR(X161*H161,"0")+IFERROR(X162*H162,"0")</f>
        <v>0</v>
      </c>
      <c r="S297" s="52">
        <f>IFERROR(X167*H167,"0")+IFERROR(X168*H168,"0")</f>
        <v>0</v>
      </c>
      <c r="T297" s="52">
        <f>IFERROR(X173*H173,"0")</f>
        <v>0</v>
      </c>
      <c r="U297" s="52">
        <f>IFERROR(X178*H178,"0")</f>
        <v>0</v>
      </c>
      <c r="V297" s="52">
        <f>IFERROR(X184*H184,"0")+IFERROR(X188*H188,"0")+IFERROR(X189*H189,"0")+IFERROR(X190*H190,"0")</f>
        <v>0</v>
      </c>
      <c r="W297" s="52">
        <f>IFERROR(X195*H195,"0")+IFERROR(X196*H196,"0")</f>
        <v>0</v>
      </c>
      <c r="X297" s="52">
        <f>IFERROR(X201*H201,"0")</f>
        <v>0</v>
      </c>
      <c r="Y297" s="52">
        <f>IFERROR(X207*H207,"0")+IFERROR(X208*H208,"0")+IFERROR(X209*H209,"0")+IFERROR(X210*H210,"0")</f>
        <v>0</v>
      </c>
      <c r="Z297" s="52">
        <f>IFERROR(X216*H216,"0")+IFERROR(X220*H220,"0")+IFERROR(X221*H221,"0")</f>
        <v>0</v>
      </c>
      <c r="AA297" s="52">
        <f>IFERROR(X226*H226,"0")+IFERROR(X227*H227,"0")</f>
        <v>0</v>
      </c>
      <c r="AB297" s="52">
        <f>IFERROR(X232*H232,"0")</f>
        <v>0</v>
      </c>
      <c r="AC297" s="52">
        <f>IFERROR(X238*H238,"0")</f>
        <v>0</v>
      </c>
      <c r="AD297" s="52">
        <f>IFERROR(X244*H244,"0")+IFERROR(X248*H248,"0")</f>
        <v>0</v>
      </c>
      <c r="AE297" s="52">
        <f>IFERROR(X254*H254,"0")+IFERROR(X258*H258,"0")</f>
        <v>0</v>
      </c>
      <c r="AF297" s="52">
        <f>IFERROR(X264*H264,"0")+IFERROR(X265*H265,"0")+IFERROR(X269*H269,"0")+IFERROR(X270*H270,"0")+IFERROR(X271*H271,"0")+IFERROR(X275*H275,"0")+IFERROR(X276*H276,"0")+IFERROR(X277*H277,"0")+IFERROR(X278*H278,"0")+IFERROR(X279*H279,"0")+IFERROR(X280*H280,"0")+IFERROR(X281*H281,"0")+IFERROR(X282*H282,"0")+IFERROR(X283*H283,"0")+IFERROR(X284*H284,"0")</f>
        <v>0</v>
      </c>
    </row>
    <row r="298" spans="1:32" ht="13.5" thickTop="1" x14ac:dyDescent="0.2">
      <c r="C298" s="1"/>
    </row>
    <row r="299" spans="1:32" ht="19.5" customHeight="1" x14ac:dyDescent="0.2">
      <c r="A299" s="70" t="s">
        <v>62</v>
      </c>
      <c r="B299" s="70" t="s">
        <v>63</v>
      </c>
      <c r="C299" s="70" t="s">
        <v>65</v>
      </c>
    </row>
    <row r="300" spans="1:32" x14ac:dyDescent="0.2">
      <c r="A300" s="71">
        <f>SUMPRODUCT(--(BB:BB="ЗПФ"),--(W:W="кор"),H:H,Y:Y)+SUMPRODUCT(--(BB:BB="ЗПФ"),--(W:W="кг"),Y:Y)</f>
        <v>0</v>
      </c>
      <c r="B300" s="72">
        <f>SUMPRODUCT(--(BB:BB="ПГП"),--(W:W="кор"),H:H,Y:Y)+SUMPRODUCT(--(BB:BB="ПГП"),--(W:W="кг"),Y:Y)</f>
        <v>0</v>
      </c>
      <c r="C300" s="72">
        <f>SUMPRODUCT(--(BB:BB="КИЗ"),--(W:W="кор"),H:H,Y:Y)+SUMPRODUCT(--(BB:BB="КИЗ"),--(W:W="кг"),Y:Y)</f>
        <v>0</v>
      </c>
    </row>
  </sheetData>
  <sheetProtection algorithmName="SHA-512" hashValue="YPsumzmEzbYZ9oSIOT4zdvZWmJYl33UeHIk7K2EM9aHfGFBu90WXVNc372L5hh2NCIE2s3Iz22p+EdMCoHTHiA==" saltValue="Id3hwqSPMNh5yWKxMGaBM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2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P285:V285"/>
    <mergeCell ref="A285:O286"/>
    <mergeCell ref="P286:V286"/>
    <mergeCell ref="T295:T296"/>
    <mergeCell ref="U295:U296"/>
    <mergeCell ref="V295:V296"/>
    <mergeCell ref="W295:W296"/>
    <mergeCell ref="X295:X296"/>
    <mergeCell ref="P287:V287"/>
    <mergeCell ref="A287:O292"/>
    <mergeCell ref="P288:V288"/>
    <mergeCell ref="P289:V289"/>
    <mergeCell ref="P290:V290"/>
    <mergeCell ref="P291:V291"/>
    <mergeCell ref="P292:V292"/>
    <mergeCell ref="B294:C294"/>
    <mergeCell ref="D294:U294"/>
    <mergeCell ref="V294:X294"/>
    <mergeCell ref="J295:J296"/>
    <mergeCell ref="K295:K296"/>
    <mergeCell ref="L295:L296"/>
    <mergeCell ref="M295:M296"/>
    <mergeCell ref="O295:O296"/>
    <mergeCell ref="P295:P296"/>
    <mergeCell ref="Q295:Q296"/>
    <mergeCell ref="R295:R296"/>
    <mergeCell ref="S295:S296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Z294:AB294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84 X269:X271 X264:X265 X258 X254 X248 X244 X238 X226:X227 X220 X210 X201 X188:X190 X184 X178 X168 X160:X162 X154:X155 X148:X149 X141:X143 X134:X137 X130 X125 X121 X117 X113:X115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2 X221 X216 X207:X209 X195:X196 X173 X167 X116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417</v>
      </c>
      <c r="H1" s="9"/>
    </row>
    <row r="3" spans="2:8" x14ac:dyDescent="0.2">
      <c r="B3" s="53" t="s">
        <v>418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420</v>
      </c>
      <c r="D6" s="53" t="s">
        <v>421</v>
      </c>
      <c r="E6" s="53" t="s">
        <v>46</v>
      </c>
    </row>
    <row r="8" spans="2:8" x14ac:dyDescent="0.2">
      <c r="B8" s="53" t="s">
        <v>80</v>
      </c>
      <c r="C8" s="53" t="s">
        <v>420</v>
      </c>
      <c r="D8" s="53" t="s">
        <v>46</v>
      </c>
      <c r="E8" s="53" t="s">
        <v>46</v>
      </c>
    </row>
    <row r="10" spans="2:8" x14ac:dyDescent="0.2">
      <c r="B10" s="53" t="s">
        <v>422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432</v>
      </c>
      <c r="C20" s="53" t="s">
        <v>46</v>
      </c>
      <c r="D20" s="53" t="s">
        <v>46</v>
      </c>
      <c r="E20" s="53" t="s">
        <v>46</v>
      </c>
    </row>
  </sheetData>
  <sheetProtection algorithmName="SHA-512" hashValue="YWJ15tjbKDr+J58F+DtcDVZ0LFTuM3Xs6J0y5KTmiQIT2sZUV4lTJYdqKDMi7eLo9Jxv8ClkpYSyUft1Jp6hnA==" saltValue="UaJ78R/8+JnKgqVhK21G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466</vt:i4>
      </vt:variant>
    </vt:vector>
  </HeadingPairs>
  <TitlesOfParts>
    <vt:vector size="4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2026-10-22T09:01:25Z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