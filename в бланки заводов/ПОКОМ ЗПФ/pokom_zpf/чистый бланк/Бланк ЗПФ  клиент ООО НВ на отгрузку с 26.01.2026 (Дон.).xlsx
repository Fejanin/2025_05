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45A90C0-4EC1-4358-861E-56E2BBC069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заказа'!$B$176:$B$176</definedName>
    <definedName name="ProductId6">'Бланк заказа'!$B$27:$B$27</definedName>
    <definedName name="ProductId60">'Бланк заказа'!$B$177:$B$177</definedName>
    <definedName name="ProductId61">'Бланк заказа'!$B$183:$B$183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заказа'!$B$200:$B$200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заказа'!$B$209:$B$209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заказа'!$X$176:$X$176</definedName>
    <definedName name="SalesQty6">'Бланк заказа'!$X$27:$X$27</definedName>
    <definedName name="SalesQty60">'Бланк заказа'!$X$177:$X$177</definedName>
    <definedName name="SalesQty61">'Бланк заказа'!$X$183:$X$183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заказа'!$X$200:$X$200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заказа'!$X$209:$X$209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заказа'!$Y$176:$Y$176</definedName>
    <definedName name="SalesRoundBox6">'Бланк заказа'!$Y$27:$Y$27</definedName>
    <definedName name="SalesRoundBox60">'Бланк заказа'!$Y$177:$Y$177</definedName>
    <definedName name="SalesRoundBox61">'Бланк заказа'!$Y$183:$Y$183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заказа'!$Y$200:$Y$200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заказа'!$Y$209:$Y$209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заказа'!$W$176:$W$176</definedName>
    <definedName name="UnitOfMeasure6">'Бланк заказа'!$W$27:$W$27</definedName>
    <definedName name="UnitOfMeasure60">'Бланк заказа'!$W$177:$W$177</definedName>
    <definedName name="UnitOfMeasure61">'Бланк заказа'!$W$183:$W$183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заказа'!$W$200:$W$200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заказа'!$W$209:$W$209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P266" i="2"/>
  <c r="BO266" i="2"/>
  <c r="BN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50" i="2"/>
  <c r="Z249" i="2"/>
  <c r="X249" i="2"/>
  <c r="BO248" i="2"/>
  <c r="BM248" i="2"/>
  <c r="Z248" i="2"/>
  <c r="Y248" i="2"/>
  <c r="BP248" i="2" s="1"/>
  <c r="P248" i="2"/>
  <c r="X246" i="2"/>
  <c r="X245" i="2"/>
  <c r="BO244" i="2"/>
  <c r="BM244" i="2"/>
  <c r="Z244" i="2"/>
  <c r="Y244" i="2"/>
  <c r="BP244" i="2" s="1"/>
  <c r="P244" i="2"/>
  <c r="BP243" i="2"/>
  <c r="BO243" i="2"/>
  <c r="BN243" i="2"/>
  <c r="BM243" i="2"/>
  <c r="Z243" i="2"/>
  <c r="Z245" i="2" s="1"/>
  <c r="Y243" i="2"/>
  <c r="P243" i="2"/>
  <c r="X239" i="2"/>
  <c r="Y238" i="2"/>
  <c r="X238" i="2"/>
  <c r="BP237" i="2"/>
  <c r="BO237" i="2"/>
  <c r="BN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5" i="2" s="1"/>
  <c r="P233" i="2"/>
  <c r="Y229" i="2"/>
  <c r="X229" i="2"/>
  <c r="X228" i="2"/>
  <c r="BP227" i="2"/>
  <c r="BO227" i="2"/>
  <c r="BN227" i="2"/>
  <c r="BM227" i="2"/>
  <c r="Z227" i="2"/>
  <c r="Z228" i="2" s="1"/>
  <c r="Y227" i="2"/>
  <c r="Y228" i="2" s="1"/>
  <c r="P227" i="2"/>
  <c r="X223" i="2"/>
  <c r="Y222" i="2"/>
  <c r="X222" i="2"/>
  <c r="BP221" i="2"/>
  <c r="BO221" i="2"/>
  <c r="BN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P214" i="2"/>
  <c r="BO214" i="2"/>
  <c r="BN214" i="2"/>
  <c r="BM214" i="2"/>
  <c r="Z214" i="2"/>
  <c r="Z216" i="2" s="1"/>
  <c r="Y214" i="2"/>
  <c r="P214" i="2"/>
  <c r="X211" i="2"/>
  <c r="X210" i="2"/>
  <c r="BO209" i="2"/>
  <c r="BM209" i="2"/>
  <c r="Z209" i="2"/>
  <c r="Z210" i="2" s="1"/>
  <c r="Y209" i="2"/>
  <c r="Y211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P203" i="2" s="1"/>
  <c r="P203" i="2"/>
  <c r="BO202" i="2"/>
  <c r="BM202" i="2"/>
  <c r="Z202" i="2"/>
  <c r="Y202" i="2"/>
  <c r="P202" i="2"/>
  <c r="BP201" i="2"/>
  <c r="BO201" i="2"/>
  <c r="BN201" i="2"/>
  <c r="BM201" i="2"/>
  <c r="Z201" i="2"/>
  <c r="Y201" i="2"/>
  <c r="P201" i="2"/>
  <c r="BO200" i="2"/>
  <c r="BM200" i="2"/>
  <c r="Z200" i="2"/>
  <c r="Y200" i="2"/>
  <c r="P200" i="2"/>
  <c r="X198" i="2"/>
  <c r="X197" i="2"/>
  <c r="BO196" i="2"/>
  <c r="BM196" i="2"/>
  <c r="Z196" i="2"/>
  <c r="Z197" i="2" s="1"/>
  <c r="Y196" i="2"/>
  <c r="Y198" i="2" s="1"/>
  <c r="P196" i="2"/>
  <c r="X192" i="2"/>
  <c r="Y191" i="2"/>
  <c r="X191" i="2"/>
  <c r="BO190" i="2"/>
  <c r="BM190" i="2"/>
  <c r="Z190" i="2"/>
  <c r="Z191" i="2" s="1"/>
  <c r="Y190" i="2"/>
  <c r="BP190" i="2" s="1"/>
  <c r="X188" i="2"/>
  <c r="X187" i="2"/>
  <c r="BO186" i="2"/>
  <c r="BM186" i="2"/>
  <c r="Z186" i="2"/>
  <c r="Y186" i="2"/>
  <c r="BP186" i="2" s="1"/>
  <c r="P186" i="2"/>
  <c r="BO185" i="2"/>
  <c r="BM185" i="2"/>
  <c r="Z185" i="2"/>
  <c r="Y185" i="2"/>
  <c r="BP185" i="2" s="1"/>
  <c r="P185" i="2"/>
  <c r="BO184" i="2"/>
  <c r="BM184" i="2"/>
  <c r="Z184" i="2"/>
  <c r="Y184" i="2"/>
  <c r="BN184" i="2" s="1"/>
  <c r="P184" i="2"/>
  <c r="BP183" i="2"/>
  <c r="BO183" i="2"/>
  <c r="BN183" i="2"/>
  <c r="BM183" i="2"/>
  <c r="Z183" i="2"/>
  <c r="Z187" i="2" s="1"/>
  <c r="Y183" i="2"/>
  <c r="P183" i="2"/>
  <c r="X179" i="2"/>
  <c r="X178" i="2"/>
  <c r="BO177" i="2"/>
  <c r="BM177" i="2"/>
  <c r="Z177" i="2"/>
  <c r="Z178" i="2" s="1"/>
  <c r="Y177" i="2"/>
  <c r="P177" i="2"/>
  <c r="BO176" i="2"/>
  <c r="BM176" i="2"/>
  <c r="Z176" i="2"/>
  <c r="Y176" i="2"/>
  <c r="BN176" i="2" s="1"/>
  <c r="P176" i="2"/>
  <c r="X174" i="2"/>
  <c r="X173" i="2"/>
  <c r="BO172" i="2"/>
  <c r="BM172" i="2"/>
  <c r="Z172" i="2"/>
  <c r="Y172" i="2"/>
  <c r="BP172" i="2" s="1"/>
  <c r="P172" i="2"/>
  <c r="BO171" i="2"/>
  <c r="BM171" i="2"/>
  <c r="Z171" i="2"/>
  <c r="Z173" i="2" s="1"/>
  <c r="Y171" i="2"/>
  <c r="BN171" i="2" s="1"/>
  <c r="P171" i="2"/>
  <c r="X167" i="2"/>
  <c r="X166" i="2"/>
  <c r="BO165" i="2"/>
  <c r="BM165" i="2"/>
  <c r="Z165" i="2"/>
  <c r="Z166" i="2" s="1"/>
  <c r="Y165" i="2"/>
  <c r="Y167" i="2" s="1"/>
  <c r="P165" i="2"/>
  <c r="X162" i="2"/>
  <c r="Y161" i="2"/>
  <c r="X161" i="2"/>
  <c r="BP160" i="2"/>
  <c r="BO160" i="2"/>
  <c r="BN160" i="2"/>
  <c r="BM160" i="2"/>
  <c r="Z160" i="2"/>
  <c r="Z161" i="2" s="1"/>
  <c r="Y160" i="2"/>
  <c r="Y162" i="2" s="1"/>
  <c r="P160" i="2"/>
  <c r="X157" i="2"/>
  <c r="X156" i="2"/>
  <c r="BO155" i="2"/>
  <c r="BM155" i="2"/>
  <c r="Z155" i="2"/>
  <c r="Z156" i="2" s="1"/>
  <c r="Y155" i="2"/>
  <c r="BN155" i="2" s="1"/>
  <c r="P155" i="2"/>
  <c r="X152" i="2"/>
  <c r="X151" i="2"/>
  <c r="BO150" i="2"/>
  <c r="BM150" i="2"/>
  <c r="Z150" i="2"/>
  <c r="Z151" i="2" s="1"/>
  <c r="Y150" i="2"/>
  <c r="Y152" i="2" s="1"/>
  <c r="P150" i="2"/>
  <c r="X147" i="2"/>
  <c r="X146" i="2"/>
  <c r="BP145" i="2"/>
  <c r="BO145" i="2"/>
  <c r="BN145" i="2"/>
  <c r="BM145" i="2"/>
  <c r="Z145" i="2"/>
  <c r="Y145" i="2"/>
  <c r="P145" i="2"/>
  <c r="BO144" i="2"/>
  <c r="BM144" i="2"/>
  <c r="Z144" i="2"/>
  <c r="Y144" i="2"/>
  <c r="Y147" i="2" s="1"/>
  <c r="P144" i="2"/>
  <c r="X141" i="2"/>
  <c r="X140" i="2"/>
  <c r="BP139" i="2"/>
  <c r="BO139" i="2"/>
  <c r="BN139" i="2"/>
  <c r="BM139" i="2"/>
  <c r="Z139" i="2"/>
  <c r="Y139" i="2"/>
  <c r="P139" i="2"/>
  <c r="BO138" i="2"/>
  <c r="BM138" i="2"/>
  <c r="Z138" i="2"/>
  <c r="Y138" i="2"/>
  <c r="P138" i="2"/>
  <c r="X135" i="2"/>
  <c r="X134" i="2"/>
  <c r="BO133" i="2"/>
  <c r="BM133" i="2"/>
  <c r="Z133" i="2"/>
  <c r="Z134" i="2" s="1"/>
  <c r="Y133" i="2"/>
  <c r="BP133" i="2" s="1"/>
  <c r="P133" i="2"/>
  <c r="BO132" i="2"/>
  <c r="BM132" i="2"/>
  <c r="Z132" i="2"/>
  <c r="Y132" i="2"/>
  <c r="P132" i="2"/>
  <c r="X129" i="2"/>
  <c r="X128" i="2"/>
  <c r="BO127" i="2"/>
  <c r="BM127" i="2"/>
  <c r="Z127" i="2"/>
  <c r="Z128" i="2" s="1"/>
  <c r="Y127" i="2"/>
  <c r="Y129" i="2" s="1"/>
  <c r="P127" i="2"/>
  <c r="X125" i="2"/>
  <c r="Y124" i="2"/>
  <c r="X124" i="2"/>
  <c r="BP123" i="2"/>
  <c r="BO123" i="2"/>
  <c r="BN123" i="2"/>
  <c r="BM123" i="2"/>
  <c r="Z123" i="2"/>
  <c r="Z124" i="2" s="1"/>
  <c r="Y123" i="2"/>
  <c r="Y125" i="2" s="1"/>
  <c r="P123" i="2"/>
  <c r="X121" i="2"/>
  <c r="X120" i="2"/>
  <c r="BO119" i="2"/>
  <c r="BM119" i="2"/>
  <c r="Z119" i="2"/>
  <c r="Y119" i="2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P115" i="2"/>
  <c r="BO115" i="2"/>
  <c r="BN115" i="2"/>
  <c r="BM115" i="2"/>
  <c r="Z115" i="2"/>
  <c r="Y115" i="2"/>
  <c r="P115" i="2"/>
  <c r="BO114" i="2"/>
  <c r="BM114" i="2"/>
  <c r="Z114" i="2"/>
  <c r="Y114" i="2"/>
  <c r="P114" i="2"/>
  <c r="BP113" i="2"/>
  <c r="BO113" i="2"/>
  <c r="BN113" i="2"/>
  <c r="BM113" i="2"/>
  <c r="Z113" i="2"/>
  <c r="Z120" i="2" s="1"/>
  <c r="Y113" i="2"/>
  <c r="P113" i="2"/>
  <c r="X110" i="2"/>
  <c r="X109" i="2"/>
  <c r="BO108" i="2"/>
  <c r="BM108" i="2"/>
  <c r="Z108" i="2"/>
  <c r="Y108" i="2"/>
  <c r="P108" i="2"/>
  <c r="BO107" i="2"/>
  <c r="BM107" i="2"/>
  <c r="Z107" i="2"/>
  <c r="Z109" i="2" s="1"/>
  <c r="Y107" i="2"/>
  <c r="BP107" i="2" s="1"/>
  <c r="P107" i="2"/>
  <c r="X104" i="2"/>
  <c r="X103" i="2"/>
  <c r="BO102" i="2"/>
  <c r="BM102" i="2"/>
  <c r="Z102" i="2"/>
  <c r="Y102" i="2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BN100" i="2" s="1"/>
  <c r="P100" i="2"/>
  <c r="BP99" i="2"/>
  <c r="BO99" i="2"/>
  <c r="BN99" i="2"/>
  <c r="BM99" i="2"/>
  <c r="Z99" i="2"/>
  <c r="Y99" i="2"/>
  <c r="P99" i="2"/>
  <c r="BO98" i="2"/>
  <c r="BM98" i="2"/>
  <c r="Z98" i="2"/>
  <c r="Y98" i="2"/>
  <c r="BP98" i="2" s="1"/>
  <c r="P98" i="2"/>
  <c r="BP97" i="2"/>
  <c r="BO97" i="2"/>
  <c r="BN97" i="2"/>
  <c r="BM97" i="2"/>
  <c r="Z97" i="2"/>
  <c r="Z103" i="2" s="1"/>
  <c r="Y97" i="2"/>
  <c r="P97" i="2"/>
  <c r="X94" i="2"/>
  <c r="X93" i="2"/>
  <c r="BO92" i="2"/>
  <c r="BM92" i="2"/>
  <c r="Z92" i="2"/>
  <c r="Y92" i="2"/>
  <c r="BN92" i="2" s="1"/>
  <c r="P92" i="2"/>
  <c r="BP91" i="2"/>
  <c r="BO91" i="2"/>
  <c r="BN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P75" i="2"/>
  <c r="BO75" i="2"/>
  <c r="BN75" i="2"/>
  <c r="BM75" i="2"/>
  <c r="Z75" i="2"/>
  <c r="Y75" i="2"/>
  <c r="P75" i="2"/>
  <c r="BO74" i="2"/>
  <c r="BM74" i="2"/>
  <c r="Z74" i="2"/>
  <c r="Y74" i="2"/>
  <c r="Y76" i="2" s="1"/>
  <c r="P74" i="2"/>
  <c r="BP73" i="2"/>
  <c r="BO73" i="2"/>
  <c r="BN73" i="2"/>
  <c r="BM73" i="2"/>
  <c r="Z73" i="2"/>
  <c r="Z76" i="2" s="1"/>
  <c r="Y73" i="2"/>
  <c r="Y77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X66" i="2"/>
  <c r="X65" i="2"/>
  <c r="BP64" i="2"/>
  <c r="BO64" i="2"/>
  <c r="BN64" i="2"/>
  <c r="BM64" i="2"/>
  <c r="Z64" i="2"/>
  <c r="Z65" i="2" s="1"/>
  <c r="Y64" i="2"/>
  <c r="Y65" i="2" s="1"/>
  <c r="P64" i="2"/>
  <c r="X62" i="2"/>
  <c r="X61" i="2"/>
  <c r="BO60" i="2"/>
  <c r="BM60" i="2"/>
  <c r="Z60" i="2"/>
  <c r="Z61" i="2" s="1"/>
  <c r="Y60" i="2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N54" i="2" s="1"/>
  <c r="P54" i="2"/>
  <c r="BO53" i="2"/>
  <c r="BM53" i="2"/>
  <c r="Z53" i="2"/>
  <c r="Y53" i="2"/>
  <c r="P53" i="2"/>
  <c r="BP52" i="2"/>
  <c r="BO52" i="2"/>
  <c r="BN52" i="2"/>
  <c r="BM52" i="2"/>
  <c r="Z52" i="2"/>
  <c r="Z56" i="2" s="1"/>
  <c r="Y52" i="2"/>
  <c r="P52" i="2"/>
  <c r="X49" i="2"/>
  <c r="X48" i="2"/>
  <c r="BO47" i="2"/>
  <c r="BM47" i="2"/>
  <c r="Z47" i="2"/>
  <c r="Y47" i="2"/>
  <c r="BN47" i="2" s="1"/>
  <c r="P47" i="2"/>
  <c r="BO46" i="2"/>
  <c r="BN46" i="2"/>
  <c r="BM46" i="2"/>
  <c r="Z46" i="2"/>
  <c r="Y46" i="2"/>
  <c r="BP46" i="2" s="1"/>
  <c r="P46" i="2"/>
  <c r="BO45" i="2"/>
  <c r="BM45" i="2"/>
  <c r="Z45" i="2"/>
  <c r="Y45" i="2"/>
  <c r="Y48" i="2" s="1"/>
  <c r="P45" i="2"/>
  <c r="X42" i="2"/>
  <c r="X41" i="2"/>
  <c r="BO40" i="2"/>
  <c r="BM40" i="2"/>
  <c r="Z40" i="2"/>
  <c r="Y40" i="2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Z34" i="2" s="1"/>
  <c r="Y32" i="2"/>
  <c r="P32" i="2"/>
  <c r="X29" i="2"/>
  <c r="X28" i="2"/>
  <c r="BO27" i="2"/>
  <c r="BM27" i="2"/>
  <c r="Z27" i="2"/>
  <c r="Y27" i="2"/>
  <c r="BN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P25" i="2"/>
  <c r="BO24" i="2"/>
  <c r="BM24" i="2"/>
  <c r="Z24" i="2"/>
  <c r="Y24" i="2"/>
  <c r="P24" i="2"/>
  <c r="BO23" i="2"/>
  <c r="BM23" i="2"/>
  <c r="Z23" i="2"/>
  <c r="Y23" i="2"/>
  <c r="P23" i="2"/>
  <c r="BO22" i="2"/>
  <c r="BM22" i="2"/>
  <c r="Z22" i="2"/>
  <c r="Y22" i="2"/>
  <c r="BN22" i="2" s="1"/>
  <c r="P22" i="2"/>
  <c r="H10" i="2"/>
  <c r="A9" i="2"/>
  <c r="H9" i="2" s="1"/>
  <c r="D7" i="2"/>
  <c r="Q6" i="2"/>
  <c r="P2" i="2"/>
  <c r="BP40" i="2" l="1"/>
  <c r="BN40" i="2"/>
  <c r="BP53" i="2"/>
  <c r="BN53" i="2"/>
  <c r="Y61" i="2"/>
  <c r="Y62" i="2"/>
  <c r="Y83" i="2"/>
  <c r="Y87" i="2"/>
  <c r="Y88" i="2"/>
  <c r="BP92" i="2"/>
  <c r="Y93" i="2"/>
  <c r="BP102" i="2"/>
  <c r="BN102" i="2"/>
  <c r="BP108" i="2"/>
  <c r="BN108" i="2"/>
  <c r="Y120" i="2"/>
  <c r="BP114" i="2"/>
  <c r="BN114" i="2"/>
  <c r="BP116" i="2"/>
  <c r="BP119" i="2"/>
  <c r="BN119" i="2"/>
  <c r="Y134" i="2"/>
  <c r="BP132" i="2"/>
  <c r="BN132" i="2"/>
  <c r="Y135" i="2"/>
  <c r="BP138" i="2"/>
  <c r="BN138" i="2"/>
  <c r="Y140" i="2"/>
  <c r="Y141" i="2"/>
  <c r="BP171" i="2"/>
  <c r="Y217" i="2"/>
  <c r="Y216" i="2"/>
  <c r="BP215" i="2"/>
  <c r="X271" i="2"/>
  <c r="BP22" i="2"/>
  <c r="BP23" i="2"/>
  <c r="BN23" i="2"/>
  <c r="BP25" i="2"/>
  <c r="BN25" i="2"/>
  <c r="BP27" i="2"/>
  <c r="X270" i="2"/>
  <c r="Y34" i="2"/>
  <c r="Y35" i="2"/>
  <c r="BP32" i="2"/>
  <c r="BN32" i="2"/>
  <c r="Y56" i="2"/>
  <c r="BP184" i="2"/>
  <c r="Y206" i="2"/>
  <c r="BP200" i="2"/>
  <c r="BN200" i="2"/>
  <c r="Y205" i="2"/>
  <c r="BP202" i="2"/>
  <c r="BP233" i="2"/>
  <c r="Y234" i="2"/>
  <c r="Y246" i="2"/>
  <c r="Z255" i="2"/>
  <c r="BP258" i="2"/>
  <c r="Z28" i="2"/>
  <c r="Y28" i="2"/>
  <c r="X272" i="2"/>
  <c r="X274" i="2"/>
  <c r="BP33" i="2"/>
  <c r="Y42" i="2"/>
  <c r="Y41" i="2"/>
  <c r="Z48" i="2"/>
  <c r="BP47" i="2"/>
  <c r="BP54" i="2"/>
  <c r="Y66" i="2"/>
  <c r="Z70" i="2"/>
  <c r="Y82" i="2"/>
  <c r="Y94" i="2"/>
  <c r="Y104" i="2"/>
  <c r="Y121" i="2"/>
  <c r="BP127" i="2"/>
  <c r="Y128" i="2"/>
  <c r="Z140" i="2"/>
  <c r="Z275" i="2" s="1"/>
  <c r="Z146" i="2"/>
  <c r="BP155" i="2"/>
  <c r="Y156" i="2"/>
  <c r="BP176" i="2"/>
  <c r="Y179" i="2"/>
  <c r="Y188" i="2"/>
  <c r="Z205" i="2"/>
  <c r="Y245" i="2"/>
  <c r="BN244" i="2"/>
  <c r="Y249" i="2"/>
  <c r="BN253" i="2"/>
  <c r="Y256" i="2"/>
  <c r="Z268" i="2"/>
  <c r="BN261" i="2"/>
  <c r="BN263" i="2"/>
  <c r="BP265" i="2"/>
  <c r="X273" i="2"/>
  <c r="A10" i="2"/>
  <c r="BN69" i="2"/>
  <c r="BN144" i="2"/>
  <c r="BN186" i="2"/>
  <c r="Y192" i="2"/>
  <c r="Y250" i="2"/>
  <c r="Y57" i="2"/>
  <c r="BN254" i="2"/>
  <c r="BN264" i="2"/>
  <c r="BP45" i="2"/>
  <c r="Y109" i="2"/>
  <c r="BP144" i="2"/>
  <c r="BN172" i="2"/>
  <c r="BN259" i="2"/>
  <c r="Y103" i="2"/>
  <c r="BN165" i="2"/>
  <c r="BN80" i="2"/>
  <c r="BN117" i="2"/>
  <c r="Y157" i="2"/>
  <c r="BN203" i="2"/>
  <c r="BP24" i="2"/>
  <c r="Y49" i="2"/>
  <c r="BP74" i="2"/>
  <c r="BN86" i="2"/>
  <c r="BP100" i="2"/>
  <c r="BP150" i="2"/>
  <c r="BP165" i="2"/>
  <c r="BN177" i="2"/>
  <c r="BN209" i="2"/>
  <c r="BP254" i="2"/>
  <c r="BN24" i="2"/>
  <c r="Y70" i="2"/>
  <c r="BP80" i="2"/>
  <c r="BN127" i="2"/>
  <c r="Y187" i="2"/>
  <c r="BN215" i="2"/>
  <c r="BN233" i="2"/>
  <c r="BN267" i="2"/>
  <c r="J9" i="2"/>
  <c r="F10" i="2"/>
  <c r="BN45" i="2"/>
  <c r="BN74" i="2"/>
  <c r="BN150" i="2"/>
  <c r="BN60" i="2"/>
  <c r="BP86" i="2"/>
  <c r="BN98" i="2"/>
  <c r="Y110" i="2"/>
  <c r="BN133" i="2"/>
  <c r="Y151" i="2"/>
  <c r="Y166" i="2"/>
  <c r="BP177" i="2"/>
  <c r="BN196" i="2"/>
  <c r="BP209" i="2"/>
  <c r="BN252" i="2"/>
  <c r="Y255" i="2"/>
  <c r="BN262" i="2"/>
  <c r="Y173" i="2"/>
  <c r="BP60" i="2"/>
  <c r="Y71" i="2"/>
  <c r="Y178" i="2"/>
  <c r="BP196" i="2"/>
  <c r="Y210" i="2"/>
  <c r="Y268" i="2"/>
  <c r="BN81" i="2"/>
  <c r="BN107" i="2"/>
  <c r="BN118" i="2"/>
  <c r="Y174" i="2"/>
  <c r="Y197" i="2"/>
  <c r="BN204" i="2"/>
  <c r="BN260" i="2"/>
  <c r="Y29" i="2"/>
  <c r="BN55" i="2"/>
  <c r="BN68" i="2"/>
  <c r="Y146" i="2"/>
  <c r="BN185" i="2"/>
  <c r="BN190" i="2"/>
  <c r="BN248" i="2"/>
  <c r="Y269" i="2"/>
  <c r="F9" i="2"/>
  <c r="BN202" i="2"/>
  <c r="Y274" i="2" l="1"/>
  <c r="Y271" i="2"/>
  <c r="Y272" i="2"/>
  <c r="Y270" i="2"/>
  <c r="Y273" i="2" l="1"/>
  <c r="C283" i="2"/>
  <c r="B283" i="2"/>
  <c r="A283" i="2"/>
</calcChain>
</file>

<file path=xl/sharedStrings.xml><?xml version="1.0" encoding="utf-8"?>
<sst xmlns="http://schemas.openxmlformats.org/spreadsheetml/2006/main" count="1660" uniqueCount="396">
  <si>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</si>
  <si>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</si>
  <si>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</si>
  <si>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</si>
  <si>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</si>
  <si>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</si>
  <si>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</si>
  <si>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</si>
  <si>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</si>
  <si>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</si>
  <si>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</si>
  <si>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</si>
  <si>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</si>
  <si>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</si>
  <si>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</si>
  <si>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</si>
  <si>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</si>
  <si>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</si>
  <si>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</si>
  <si>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</si>
  <si>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</si>
  <si>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</si>
  <si>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</si>
  <si>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</si>
  <si>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</si>
  <si>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</si>
  <si>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</si>
  <si>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</si>
  <si>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</si>
  <si>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</si>
  <si>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</si>
  <si>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</si>
  <si>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</si>
  <si>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</si>
  <si>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</si>
  <si>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</si>
  <si>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</si>
  <si>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</si>
  <si>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</si>
  <si>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</si>
  <si>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</si>
  <si>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</si>
  <si>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</si>
  <si>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</si>
  <si>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</si>
  <si>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</si>
  <si>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</si>
  <si>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</si>
  <si>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</si>
  <si>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</si>
  <si>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</si>
  <si>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</si>
  <si>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</si>
  <si>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</si>
  <si>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</si>
  <si>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</si>
  <si>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</si>
  <si>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</si>
  <si>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</si>
  <si>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</si>
  <si>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</si>
  <si>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</si>
  <si>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</si>
  <si>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</si>
  <si>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</si>
  <si>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</si>
  <si>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</si>
  <si>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</si>
  <si>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</si>
  <si>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</si>
  <si>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</si>
  <si>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26.01.2026</t>
  </si>
  <si>
    <t>23.01.2026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</si>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</sst>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46055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74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75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76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77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78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81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81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82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8">
        <v>4607111035912</v>
      </c>
      <c r="E22" s="348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8">
        <v>4607111035103</v>
      </c>
      <c r="E23" s="348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0"/>
      <c r="R23" s="350"/>
      <c r="S23" s="350"/>
      <c r="T23" s="35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8">
        <v>4607111035929</v>
      </c>
      <c r="E24" s="348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0"/>
      <c r="R24" s="350"/>
      <c r="S24" s="350"/>
      <c r="T24" s="35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8">
        <v>4607111035882</v>
      </c>
      <c r="E25" s="348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0"/>
      <c r="R25" s="350"/>
      <c r="S25" s="350"/>
      <c r="T25" s="35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8">
        <v>4607111035110</v>
      </c>
      <c r="E26" s="348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0"/>
      <c r="R26" s="350"/>
      <c r="S26" s="350"/>
      <c r="T26" s="35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8">
        <v>4607111035905</v>
      </c>
      <c r="E27" s="34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0"/>
      <c r="R27" s="350"/>
      <c r="S27" s="350"/>
      <c r="T27" s="35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1"/>
      <c r="P28" s="357" t="s">
        <v>40</v>
      </c>
      <c r="Q28" s="358"/>
      <c r="R28" s="358"/>
      <c r="S28" s="358"/>
      <c r="T28" s="358"/>
      <c r="U28" s="358"/>
      <c r="V28" s="35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1"/>
      <c r="P29" s="357" t="s">
        <v>40</v>
      </c>
      <c r="Q29" s="358"/>
      <c r="R29" s="358"/>
      <c r="S29" s="358"/>
      <c r="T29" s="358"/>
      <c r="U29" s="358"/>
      <c r="V29" s="35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6" t="s">
        <v>100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65"/>
      <c r="AB30" s="65"/>
      <c r="AC30" s="82"/>
    </row>
    <row r="31" spans="1:68" ht="14.25" customHeight="1" x14ac:dyDescent="0.25">
      <c r="A31" s="347" t="s">
        <v>82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8">
        <v>4607111039019</v>
      </c>
      <c r="E32" s="348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0"/>
      <c r="R32" s="350"/>
      <c r="S32" s="350"/>
      <c r="T32" s="351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8">
        <v>4607111038708</v>
      </c>
      <c r="E33" s="348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0"/>
      <c r="R33" s="350"/>
      <c r="S33" s="350"/>
      <c r="T33" s="351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1"/>
      <c r="P34" s="357" t="s">
        <v>40</v>
      </c>
      <c r="Q34" s="358"/>
      <c r="R34" s="358"/>
      <c r="S34" s="358"/>
      <c r="T34" s="358"/>
      <c r="U34" s="358"/>
      <c r="V34" s="35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1"/>
      <c r="P35" s="357" t="s">
        <v>40</v>
      </c>
      <c r="Q35" s="358"/>
      <c r="R35" s="358"/>
      <c r="S35" s="358"/>
      <c r="T35" s="358"/>
      <c r="U35" s="358"/>
      <c r="V35" s="35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5" t="s">
        <v>45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54"/>
      <c r="AB36" s="54"/>
      <c r="AC36" s="54"/>
    </row>
    <row r="37" spans="1:68" ht="16.5" customHeight="1" x14ac:dyDescent="0.25">
      <c r="A37" s="346" t="s">
        <v>106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65"/>
      <c r="AB37" s="65"/>
      <c r="AC37" s="82"/>
    </row>
    <row r="38" spans="1:68" ht="14.25" customHeight="1" x14ac:dyDescent="0.25">
      <c r="A38" s="347" t="s">
        <v>107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8">
        <v>4607111036537</v>
      </c>
      <c r="E39" s="348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0"/>
      <c r="R39" s="350"/>
      <c r="S39" s="350"/>
      <c r="T39" s="351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8">
        <v>4607111036605</v>
      </c>
      <c r="E40" s="348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0"/>
      <c r="R40" s="350"/>
      <c r="S40" s="350"/>
      <c r="T40" s="351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1"/>
      <c r="P41" s="357" t="s">
        <v>40</v>
      </c>
      <c r="Q41" s="358"/>
      <c r="R41" s="358"/>
      <c r="S41" s="358"/>
      <c r="T41" s="358"/>
      <c r="U41" s="358"/>
      <c r="V41" s="35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1"/>
      <c r="P42" s="357" t="s">
        <v>40</v>
      </c>
      <c r="Q42" s="358"/>
      <c r="R42" s="358"/>
      <c r="S42" s="358"/>
      <c r="T42" s="358"/>
      <c r="U42" s="358"/>
      <c r="V42" s="35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6" t="s">
        <v>117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65"/>
      <c r="AB43" s="65"/>
      <c r="AC43" s="82"/>
    </row>
    <row r="44" spans="1:68" ht="14.25" customHeight="1" x14ac:dyDescent="0.25">
      <c r="A44" s="347" t="s">
        <v>82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8">
        <v>4620207490075</v>
      </c>
      <c r="E45" s="348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0"/>
      <c r="R45" s="350"/>
      <c r="S45" s="350"/>
      <c r="T45" s="351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8">
        <v>4620207490174</v>
      </c>
      <c r="E46" s="348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0"/>
      <c r="R46" s="350"/>
      <c r="S46" s="350"/>
      <c r="T46" s="351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8">
        <v>4620207490044</v>
      </c>
      <c r="E47" s="34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0"/>
      <c r="R47" s="350"/>
      <c r="S47" s="350"/>
      <c r="T47" s="35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1"/>
      <c r="P48" s="357" t="s">
        <v>40</v>
      </c>
      <c r="Q48" s="358"/>
      <c r="R48" s="358"/>
      <c r="S48" s="358"/>
      <c r="T48" s="358"/>
      <c r="U48" s="358"/>
      <c r="V48" s="35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1"/>
      <c r="P49" s="357" t="s">
        <v>40</v>
      </c>
      <c r="Q49" s="358"/>
      <c r="R49" s="358"/>
      <c r="S49" s="358"/>
      <c r="T49" s="358"/>
      <c r="U49" s="358"/>
      <c r="V49" s="35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6" t="s">
        <v>127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65"/>
      <c r="AB50" s="65"/>
      <c r="AC50" s="82"/>
    </row>
    <row r="51" spans="1:68" ht="14.25" customHeight="1" x14ac:dyDescent="0.25">
      <c r="A51" s="347" t="s">
        <v>82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8">
        <v>4607111039385</v>
      </c>
      <c r="E52" s="348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0"/>
      <c r="R52" s="350"/>
      <c r="S52" s="350"/>
      <c r="T52" s="351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8">
        <v>4607111038982</v>
      </c>
      <c r="E53" s="348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8">
        <v>4607111039354</v>
      </c>
      <c r="E54" s="348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0"/>
      <c r="R54" s="350"/>
      <c r="S54" s="350"/>
      <c r="T54" s="35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8">
        <v>4607111039330</v>
      </c>
      <c r="E55" s="348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0"/>
      <c r="R55" s="350"/>
      <c r="S55" s="350"/>
      <c r="T55" s="35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1"/>
      <c r="P56" s="357" t="s">
        <v>40</v>
      </c>
      <c r="Q56" s="358"/>
      <c r="R56" s="358"/>
      <c r="S56" s="358"/>
      <c r="T56" s="358"/>
      <c r="U56" s="358"/>
      <c r="V56" s="35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1"/>
      <c r="P57" s="357" t="s">
        <v>40</v>
      </c>
      <c r="Q57" s="358"/>
      <c r="R57" s="358"/>
      <c r="S57" s="358"/>
      <c r="T57" s="358"/>
      <c r="U57" s="358"/>
      <c r="V57" s="35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6" t="s">
        <v>138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65"/>
      <c r="AB58" s="65"/>
      <c r="AC58" s="82"/>
    </row>
    <row r="59" spans="1:68" ht="14.25" customHeight="1" x14ac:dyDescent="0.25">
      <c r="A59" s="347" t="s">
        <v>82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8">
        <v>4620207490822</v>
      </c>
      <c r="E60" s="348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0"/>
      <c r="R60" s="350"/>
      <c r="S60" s="350"/>
      <c r="T60" s="351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1"/>
      <c r="P61" s="357" t="s">
        <v>40</v>
      </c>
      <c r="Q61" s="358"/>
      <c r="R61" s="358"/>
      <c r="S61" s="358"/>
      <c r="T61" s="358"/>
      <c r="U61" s="358"/>
      <c r="V61" s="35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1"/>
      <c r="P62" s="357" t="s">
        <v>40</v>
      </c>
      <c r="Q62" s="358"/>
      <c r="R62" s="358"/>
      <c r="S62" s="358"/>
      <c r="T62" s="358"/>
      <c r="U62" s="358"/>
      <c r="V62" s="35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7" t="s">
        <v>107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8">
        <v>4607111039712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357" t="s">
        <v>40</v>
      </c>
      <c r="Q65" s="358"/>
      <c r="R65" s="358"/>
      <c r="S65" s="358"/>
      <c r="T65" s="358"/>
      <c r="U65" s="358"/>
      <c r="V65" s="35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1"/>
      <c r="P66" s="357" t="s">
        <v>40</v>
      </c>
      <c r="Q66" s="358"/>
      <c r="R66" s="358"/>
      <c r="S66" s="358"/>
      <c r="T66" s="358"/>
      <c r="U66" s="358"/>
      <c r="V66" s="35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7" t="s">
        <v>145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8">
        <v>4607111037008</v>
      </c>
      <c r="E68" s="348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0"/>
      <c r="R68" s="350"/>
      <c r="S68" s="350"/>
      <c r="T68" s="351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8">
        <v>4607111037398</v>
      </c>
      <c r="E69" s="348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1"/>
      <c r="P70" s="357" t="s">
        <v>40</v>
      </c>
      <c r="Q70" s="358"/>
      <c r="R70" s="358"/>
      <c r="S70" s="358"/>
      <c r="T70" s="358"/>
      <c r="U70" s="358"/>
      <c r="V70" s="35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1"/>
      <c r="P71" s="357" t="s">
        <v>40</v>
      </c>
      <c r="Q71" s="358"/>
      <c r="R71" s="358"/>
      <c r="S71" s="358"/>
      <c r="T71" s="358"/>
      <c r="U71" s="358"/>
      <c r="V71" s="35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7" t="s">
        <v>151</v>
      </c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8">
        <v>4607111039705</v>
      </c>
      <c r="E73" s="348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0"/>
      <c r="R73" s="350"/>
      <c r="S73" s="350"/>
      <c r="T73" s="351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8">
        <v>4607111039729</v>
      </c>
      <c r="E74" s="348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0"/>
      <c r="R74" s="350"/>
      <c r="S74" s="350"/>
      <c r="T74" s="351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8">
        <v>4620207490228</v>
      </c>
      <c r="E75" s="34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1"/>
      <c r="P76" s="357" t="s">
        <v>40</v>
      </c>
      <c r="Q76" s="358"/>
      <c r="R76" s="358"/>
      <c r="S76" s="358"/>
      <c r="T76" s="358"/>
      <c r="U76" s="358"/>
      <c r="V76" s="35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1"/>
      <c r="P77" s="357" t="s">
        <v>40</v>
      </c>
      <c r="Q77" s="358"/>
      <c r="R77" s="358"/>
      <c r="S77" s="358"/>
      <c r="T77" s="358"/>
      <c r="U77" s="358"/>
      <c r="V77" s="35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159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82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8">
        <v>4607111037411</v>
      </c>
      <c r="E80" s="348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113</v>
      </c>
      <c r="M80" s="38" t="s">
        <v>86</v>
      </c>
      <c r="N80" s="38"/>
      <c r="O80" s="37">
        <v>180</v>
      </c>
      <c r="P80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8">
        <v>4607111036728</v>
      </c>
      <c r="E81" s="348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1"/>
      <c r="P82" s="357" t="s">
        <v>40</v>
      </c>
      <c r="Q82" s="358"/>
      <c r="R82" s="358"/>
      <c r="S82" s="358"/>
      <c r="T82" s="358"/>
      <c r="U82" s="358"/>
      <c r="V82" s="35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1"/>
      <c r="P83" s="357" t="s">
        <v>40</v>
      </c>
      <c r="Q83" s="358"/>
      <c r="R83" s="358"/>
      <c r="S83" s="358"/>
      <c r="T83" s="358"/>
      <c r="U83" s="358"/>
      <c r="V83" s="35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166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151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8">
        <v>4607111033659</v>
      </c>
      <c r="E86" s="348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1"/>
      <c r="P87" s="357" t="s">
        <v>40</v>
      </c>
      <c r="Q87" s="358"/>
      <c r="R87" s="358"/>
      <c r="S87" s="358"/>
      <c r="T87" s="358"/>
      <c r="U87" s="358"/>
      <c r="V87" s="35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1"/>
      <c r="P88" s="357" t="s">
        <v>40</v>
      </c>
      <c r="Q88" s="358"/>
      <c r="R88" s="358"/>
      <c r="S88" s="358"/>
      <c r="T88" s="358"/>
      <c r="U88" s="358"/>
      <c r="V88" s="35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6" t="s">
        <v>170</v>
      </c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65"/>
      <c r="AB89" s="65"/>
      <c r="AC89" s="82"/>
    </row>
    <row r="90" spans="1:68" ht="14.25" customHeight="1" x14ac:dyDescent="0.25">
      <c r="A90" s="347" t="s">
        <v>171</v>
      </c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8">
        <v>4607111034120</v>
      </c>
      <c r="E91" s="348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8">
        <v>4607111034137</v>
      </c>
      <c r="E92" s="348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0"/>
      <c r="R92" s="350"/>
      <c r="S92" s="350"/>
      <c r="T92" s="351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1"/>
      <c r="P93" s="357" t="s">
        <v>40</v>
      </c>
      <c r="Q93" s="358"/>
      <c r="R93" s="358"/>
      <c r="S93" s="358"/>
      <c r="T93" s="358"/>
      <c r="U93" s="358"/>
      <c r="V93" s="35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1"/>
      <c r="P94" s="357" t="s">
        <v>40</v>
      </c>
      <c r="Q94" s="358"/>
      <c r="R94" s="358"/>
      <c r="S94" s="358"/>
      <c r="T94" s="358"/>
      <c r="U94" s="358"/>
      <c r="V94" s="35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6" t="s">
        <v>178</v>
      </c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65"/>
      <c r="AB95" s="65"/>
      <c r="AC95" s="82"/>
    </row>
    <row r="96" spans="1:68" ht="14.25" customHeight="1" x14ac:dyDescent="0.25">
      <c r="A96" s="347" t="s">
        <v>151</v>
      </c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8">
        <v>4620207491027</v>
      </c>
      <c r="E97" s="34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8">
        <v>4620207491003</v>
      </c>
      <c r="E98" s="34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0"/>
      <c r="R98" s="350"/>
      <c r="S98" s="350"/>
      <c r="T98" s="35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8">
        <v>4620207491034</v>
      </c>
      <c r="E99" s="34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0"/>
      <c r="R99" s="350"/>
      <c r="S99" s="350"/>
      <c r="T99" s="35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8">
        <v>4620207491010</v>
      </c>
      <c r="E100" s="34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0"/>
      <c r="R100" s="350"/>
      <c r="S100" s="350"/>
      <c r="T100" s="35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8">
        <v>4607111035028</v>
      </c>
      <c r="E101" s="348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0"/>
      <c r="R101" s="350"/>
      <c r="S101" s="350"/>
      <c r="T101" s="35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8">
        <v>4607111036407</v>
      </c>
      <c r="E102" s="348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1"/>
      <c r="P103" s="357" t="s">
        <v>40</v>
      </c>
      <c r="Q103" s="358"/>
      <c r="R103" s="358"/>
      <c r="S103" s="358"/>
      <c r="T103" s="358"/>
      <c r="U103" s="358"/>
      <c r="V103" s="35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1"/>
      <c r="P104" s="357" t="s">
        <v>40</v>
      </c>
      <c r="Q104" s="358"/>
      <c r="R104" s="358"/>
      <c r="S104" s="358"/>
      <c r="T104" s="358"/>
      <c r="U104" s="358"/>
      <c r="V104" s="35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6" t="s">
        <v>193</v>
      </c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65"/>
      <c r="AB105" s="65"/>
      <c r="AC105" s="82"/>
    </row>
    <row r="106" spans="1:68" ht="14.25" customHeight="1" x14ac:dyDescent="0.25">
      <c r="A106" s="347" t="s">
        <v>145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8">
        <v>4607025784012</v>
      </c>
      <c r="E107" s="348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8">
        <v>4607025784319</v>
      </c>
      <c r="E108" s="348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1"/>
      <c r="P109" s="357" t="s">
        <v>40</v>
      </c>
      <c r="Q109" s="358"/>
      <c r="R109" s="358"/>
      <c r="S109" s="358"/>
      <c r="T109" s="358"/>
      <c r="U109" s="358"/>
      <c r="V109" s="35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1"/>
      <c r="P110" s="357" t="s">
        <v>40</v>
      </c>
      <c r="Q110" s="358"/>
      <c r="R110" s="358"/>
      <c r="S110" s="358"/>
      <c r="T110" s="358"/>
      <c r="U110" s="358"/>
      <c r="V110" s="35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6" t="s">
        <v>199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65"/>
      <c r="AB111" s="65"/>
      <c r="AC111" s="82"/>
    </row>
    <row r="112" spans="1:68" ht="14.25" customHeight="1" x14ac:dyDescent="0.25">
      <c r="A112" s="347" t="s">
        <v>82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8">
        <v>4620207491157</v>
      </c>
      <c r="E113" s="348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8">
        <v>4620207491393</v>
      </c>
      <c r="E114" s="348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0"/>
      <c r="R114" s="350"/>
      <c r="S114" s="350"/>
      <c r="T114" s="35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8">
        <v>4607111039262</v>
      </c>
      <c r="E115" s="348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0"/>
      <c r="R115" s="350"/>
      <c r="S115" s="350"/>
      <c r="T115" s="35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8">
        <v>4607111039248</v>
      </c>
      <c r="E116" s="348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8">
        <v>4607111037145</v>
      </c>
      <c r="E117" s="348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8">
        <v>4607111039293</v>
      </c>
      <c r="E118" s="348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0"/>
      <c r="R118" s="350"/>
      <c r="S118" s="350"/>
      <c r="T118" s="35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8">
        <v>4607111039279</v>
      </c>
      <c r="E119" s="348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0"/>
      <c r="R119" s="350"/>
      <c r="S119" s="350"/>
      <c r="T119" s="35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60"/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1"/>
      <c r="P120" s="357" t="s">
        <v>40</v>
      </c>
      <c r="Q120" s="358"/>
      <c r="R120" s="358"/>
      <c r="S120" s="358"/>
      <c r="T120" s="358"/>
      <c r="U120" s="358"/>
      <c r="V120" s="359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1"/>
      <c r="P121" s="357" t="s">
        <v>40</v>
      </c>
      <c r="Q121" s="358"/>
      <c r="R121" s="358"/>
      <c r="S121" s="358"/>
      <c r="T121" s="358"/>
      <c r="U121" s="358"/>
      <c r="V121" s="359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7" t="s">
        <v>151</v>
      </c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4301135826</v>
      </c>
      <c r="D123" s="348">
        <v>4620207490983</v>
      </c>
      <c r="E123" s="348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4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50"/>
      <c r="R123" s="350"/>
      <c r="S123" s="350"/>
      <c r="T123" s="351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60"/>
      <c r="B124" s="360"/>
      <c r="C124" s="360"/>
      <c r="D124" s="360"/>
      <c r="E124" s="360"/>
      <c r="F124" s="360"/>
      <c r="G124" s="360"/>
      <c r="H124" s="360"/>
      <c r="I124" s="360"/>
      <c r="J124" s="360"/>
      <c r="K124" s="360"/>
      <c r="L124" s="360"/>
      <c r="M124" s="360"/>
      <c r="N124" s="360"/>
      <c r="O124" s="361"/>
      <c r="P124" s="357" t="s">
        <v>40</v>
      </c>
      <c r="Q124" s="358"/>
      <c r="R124" s="358"/>
      <c r="S124" s="358"/>
      <c r="T124" s="358"/>
      <c r="U124" s="358"/>
      <c r="V124" s="35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1"/>
      <c r="P125" s="357" t="s">
        <v>40</v>
      </c>
      <c r="Q125" s="358"/>
      <c r="R125" s="358"/>
      <c r="S125" s="358"/>
      <c r="T125" s="358"/>
      <c r="U125" s="358"/>
      <c r="V125" s="35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7" t="s">
        <v>220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6"/>
      <c r="AB126" s="66"/>
      <c r="AC126" s="83"/>
    </row>
    <row r="127" spans="1:68" ht="27" customHeight="1" x14ac:dyDescent="0.25">
      <c r="A127" s="63" t="s">
        <v>221</v>
      </c>
      <c r="B127" s="63" t="s">
        <v>222</v>
      </c>
      <c r="C127" s="36">
        <v>4301071094</v>
      </c>
      <c r="D127" s="348">
        <v>4620207491140</v>
      </c>
      <c r="E127" s="348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40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50"/>
      <c r="R127" s="350"/>
      <c r="S127" s="350"/>
      <c r="T127" s="351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223</v>
      </c>
      <c r="AG127" s="81"/>
      <c r="AJ127" s="87" t="s">
        <v>89</v>
      </c>
      <c r="AK127" s="87">
        <v>1</v>
      </c>
      <c r="BB127" s="180" t="s">
        <v>111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60"/>
      <c r="B128" s="360"/>
      <c r="C128" s="360"/>
      <c r="D128" s="360"/>
      <c r="E128" s="360"/>
      <c r="F128" s="360"/>
      <c r="G128" s="360"/>
      <c r="H128" s="360"/>
      <c r="I128" s="360"/>
      <c r="J128" s="360"/>
      <c r="K128" s="360"/>
      <c r="L128" s="360"/>
      <c r="M128" s="360"/>
      <c r="N128" s="360"/>
      <c r="O128" s="361"/>
      <c r="P128" s="357" t="s">
        <v>40</v>
      </c>
      <c r="Q128" s="358"/>
      <c r="R128" s="358"/>
      <c r="S128" s="358"/>
      <c r="T128" s="358"/>
      <c r="U128" s="358"/>
      <c r="V128" s="359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57" t="s">
        <v>40</v>
      </c>
      <c r="Q129" s="358"/>
      <c r="R129" s="358"/>
      <c r="S129" s="358"/>
      <c r="T129" s="358"/>
      <c r="U129" s="358"/>
      <c r="V129" s="359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6" t="s">
        <v>224</v>
      </c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  <c r="AA130" s="65"/>
      <c r="AB130" s="65"/>
      <c r="AC130" s="82"/>
    </row>
    <row r="131" spans="1:68" ht="14.25" customHeight="1" x14ac:dyDescent="0.25">
      <c r="A131" s="347" t="s">
        <v>151</v>
      </c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66"/>
      <c r="AB131" s="66"/>
      <c r="AC131" s="83"/>
    </row>
    <row r="132" spans="1:68" ht="27" customHeight="1" x14ac:dyDescent="0.25">
      <c r="A132" s="63" t="s">
        <v>225</v>
      </c>
      <c r="B132" s="63" t="s">
        <v>226</v>
      </c>
      <c r="C132" s="36">
        <v>4301135555</v>
      </c>
      <c r="D132" s="348">
        <v>4607111034014</v>
      </c>
      <c r="E132" s="348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112</v>
      </c>
      <c r="L132" s="37" t="s">
        <v>113</v>
      </c>
      <c r="M132" s="38" t="s">
        <v>86</v>
      </c>
      <c r="N132" s="38"/>
      <c r="O132" s="37">
        <v>180</v>
      </c>
      <c r="P132" s="40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50"/>
      <c r="R132" s="350"/>
      <c r="S132" s="350"/>
      <c r="T132" s="351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227</v>
      </c>
      <c r="AG132" s="81"/>
      <c r="AJ132" s="87" t="s">
        <v>114</v>
      </c>
      <c r="AK132" s="87">
        <v>14</v>
      </c>
      <c r="BB132" s="182" t="s">
        <v>111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228</v>
      </c>
      <c r="B133" s="63" t="s">
        <v>229</v>
      </c>
      <c r="C133" s="36">
        <v>4301135532</v>
      </c>
      <c r="D133" s="348">
        <v>4607111033994</v>
      </c>
      <c r="E133" s="348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230</v>
      </c>
      <c r="M133" s="38" t="s">
        <v>86</v>
      </c>
      <c r="N133" s="38"/>
      <c r="O133" s="37">
        <v>180</v>
      </c>
      <c r="P133" s="40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169</v>
      </c>
      <c r="AG133" s="81"/>
      <c r="AJ133" s="87" t="s">
        <v>231</v>
      </c>
      <c r="AK133" s="87">
        <v>70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60"/>
      <c r="B134" s="360"/>
      <c r="C134" s="360"/>
      <c r="D134" s="360"/>
      <c r="E134" s="360"/>
      <c r="F134" s="360"/>
      <c r="G134" s="360"/>
      <c r="H134" s="360"/>
      <c r="I134" s="360"/>
      <c r="J134" s="360"/>
      <c r="K134" s="360"/>
      <c r="L134" s="360"/>
      <c r="M134" s="360"/>
      <c r="N134" s="360"/>
      <c r="O134" s="361"/>
      <c r="P134" s="357" t="s">
        <v>40</v>
      </c>
      <c r="Q134" s="358"/>
      <c r="R134" s="358"/>
      <c r="S134" s="358"/>
      <c r="T134" s="358"/>
      <c r="U134" s="358"/>
      <c r="V134" s="359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1"/>
      <c r="P135" s="357" t="s">
        <v>40</v>
      </c>
      <c r="Q135" s="358"/>
      <c r="R135" s="358"/>
      <c r="S135" s="358"/>
      <c r="T135" s="358"/>
      <c r="U135" s="358"/>
      <c r="V135" s="359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6" t="s">
        <v>232</v>
      </c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  <c r="AA136" s="65"/>
      <c r="AB136" s="65"/>
      <c r="AC136" s="82"/>
    </row>
    <row r="137" spans="1:68" ht="14.25" customHeight="1" x14ac:dyDescent="0.25">
      <c r="A137" s="347" t="s">
        <v>151</v>
      </c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66"/>
      <c r="AB137" s="66"/>
      <c r="AC137" s="83"/>
    </row>
    <row r="138" spans="1:68" ht="27" customHeight="1" x14ac:dyDescent="0.25">
      <c r="A138" s="63" t="s">
        <v>233</v>
      </c>
      <c r="B138" s="63" t="s">
        <v>234</v>
      </c>
      <c r="C138" s="36">
        <v>4301135824</v>
      </c>
      <c r="D138" s="348">
        <v>4607111039095</v>
      </c>
      <c r="E138" s="348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112</v>
      </c>
      <c r="L138" s="37" t="s">
        <v>88</v>
      </c>
      <c r="M138" s="38" t="s">
        <v>86</v>
      </c>
      <c r="N138" s="38"/>
      <c r="O138" s="37">
        <v>180</v>
      </c>
      <c r="P138" s="40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50"/>
      <c r="R138" s="350"/>
      <c r="S138" s="350"/>
      <c r="T138" s="35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235</v>
      </c>
      <c r="AG138" s="81"/>
      <c r="AJ138" s="87" t="s">
        <v>89</v>
      </c>
      <c r="AK138" s="87">
        <v>1</v>
      </c>
      <c r="BB138" s="186" t="s">
        <v>111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236</v>
      </c>
      <c r="B139" s="63" t="s">
        <v>237</v>
      </c>
      <c r="C139" s="36">
        <v>4301135550</v>
      </c>
      <c r="D139" s="348">
        <v>4607111034199</v>
      </c>
      <c r="E139" s="348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112</v>
      </c>
      <c r="L139" s="37" t="s">
        <v>113</v>
      </c>
      <c r="M139" s="38" t="s">
        <v>86</v>
      </c>
      <c r="N139" s="38"/>
      <c r="O139" s="37">
        <v>180</v>
      </c>
      <c r="P139" s="40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114</v>
      </c>
      <c r="AK139" s="87">
        <v>14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60"/>
      <c r="B140" s="360"/>
      <c r="C140" s="360"/>
      <c r="D140" s="360"/>
      <c r="E140" s="360"/>
      <c r="F140" s="360"/>
      <c r="G140" s="360"/>
      <c r="H140" s="360"/>
      <c r="I140" s="360"/>
      <c r="J140" s="360"/>
      <c r="K140" s="360"/>
      <c r="L140" s="360"/>
      <c r="M140" s="360"/>
      <c r="N140" s="360"/>
      <c r="O140" s="361"/>
      <c r="P140" s="357" t="s">
        <v>40</v>
      </c>
      <c r="Q140" s="358"/>
      <c r="R140" s="358"/>
      <c r="S140" s="358"/>
      <c r="T140" s="358"/>
      <c r="U140" s="358"/>
      <c r="V140" s="359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1"/>
      <c r="P141" s="357" t="s">
        <v>40</v>
      </c>
      <c r="Q141" s="358"/>
      <c r="R141" s="358"/>
      <c r="S141" s="358"/>
      <c r="T141" s="358"/>
      <c r="U141" s="358"/>
      <c r="V141" s="359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6" t="s">
        <v>239</v>
      </c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65"/>
      <c r="AB142" s="65"/>
      <c r="AC142" s="82"/>
    </row>
    <row r="143" spans="1:68" ht="14.25" customHeight="1" x14ac:dyDescent="0.25">
      <c r="A143" s="347" t="s">
        <v>151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6"/>
      <c r="AB143" s="66"/>
      <c r="AC143" s="83"/>
    </row>
    <row r="144" spans="1:68" ht="27" customHeight="1" x14ac:dyDescent="0.25">
      <c r="A144" s="63" t="s">
        <v>240</v>
      </c>
      <c r="B144" s="63" t="s">
        <v>241</v>
      </c>
      <c r="C144" s="36">
        <v>4301135753</v>
      </c>
      <c r="D144" s="348">
        <v>4620207490914</v>
      </c>
      <c r="E144" s="348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112</v>
      </c>
      <c r="L144" s="37" t="s">
        <v>88</v>
      </c>
      <c r="M144" s="38" t="s">
        <v>86</v>
      </c>
      <c r="N144" s="38"/>
      <c r="O144" s="37">
        <v>180</v>
      </c>
      <c r="P144" s="40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50"/>
      <c r="R144" s="350"/>
      <c r="S144" s="350"/>
      <c r="T144" s="351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227</v>
      </c>
      <c r="AG144" s="81"/>
      <c r="AJ144" s="87" t="s">
        <v>89</v>
      </c>
      <c r="AK144" s="87">
        <v>1</v>
      </c>
      <c r="BB144" s="190" t="s">
        <v>111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242</v>
      </c>
      <c r="B145" s="63" t="s">
        <v>243</v>
      </c>
      <c r="C145" s="36">
        <v>4301135778</v>
      </c>
      <c r="D145" s="348">
        <v>4620207490853</v>
      </c>
      <c r="E145" s="348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113</v>
      </c>
      <c r="M145" s="38" t="s">
        <v>86</v>
      </c>
      <c r="N145" s="38"/>
      <c r="O145" s="37">
        <v>180</v>
      </c>
      <c r="P145" s="40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227</v>
      </c>
      <c r="AG145" s="81"/>
      <c r="AJ145" s="87" t="s">
        <v>114</v>
      </c>
      <c r="AK145" s="87">
        <v>14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60"/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1"/>
      <c r="P146" s="357" t="s">
        <v>40</v>
      </c>
      <c r="Q146" s="358"/>
      <c r="R146" s="358"/>
      <c r="S146" s="358"/>
      <c r="T146" s="358"/>
      <c r="U146" s="358"/>
      <c r="V146" s="359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1"/>
      <c r="P147" s="357" t="s">
        <v>40</v>
      </c>
      <c r="Q147" s="358"/>
      <c r="R147" s="358"/>
      <c r="S147" s="358"/>
      <c r="T147" s="358"/>
      <c r="U147" s="358"/>
      <c r="V147" s="359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6" t="s">
        <v>244</v>
      </c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65"/>
      <c r="AB148" s="65"/>
      <c r="AC148" s="82"/>
    </row>
    <row r="149" spans="1:68" ht="14.25" customHeight="1" x14ac:dyDescent="0.25">
      <c r="A149" s="347" t="s">
        <v>151</v>
      </c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66"/>
      <c r="AB149" s="66"/>
      <c r="AC149" s="83"/>
    </row>
    <row r="150" spans="1:68" ht="27" customHeight="1" x14ac:dyDescent="0.25">
      <c r="A150" s="63" t="s">
        <v>245</v>
      </c>
      <c r="B150" s="63" t="s">
        <v>246</v>
      </c>
      <c r="C150" s="36">
        <v>4301135570</v>
      </c>
      <c r="D150" s="348">
        <v>4607111035806</v>
      </c>
      <c r="E150" s="348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112</v>
      </c>
      <c r="L150" s="37" t="s">
        <v>113</v>
      </c>
      <c r="M150" s="38" t="s">
        <v>86</v>
      </c>
      <c r="N150" s="38"/>
      <c r="O150" s="37">
        <v>180</v>
      </c>
      <c r="P150" s="4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50"/>
      <c r="R150" s="350"/>
      <c r="S150" s="350"/>
      <c r="T150" s="351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247</v>
      </c>
      <c r="AG150" s="81"/>
      <c r="AJ150" s="87" t="s">
        <v>114</v>
      </c>
      <c r="AK150" s="87">
        <v>14</v>
      </c>
      <c r="BB150" s="194" t="s">
        <v>111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60"/>
      <c r="B151" s="360"/>
      <c r="C151" s="360"/>
      <c r="D151" s="360"/>
      <c r="E151" s="360"/>
      <c r="F151" s="360"/>
      <c r="G151" s="360"/>
      <c r="H151" s="360"/>
      <c r="I151" s="360"/>
      <c r="J151" s="360"/>
      <c r="K151" s="360"/>
      <c r="L151" s="360"/>
      <c r="M151" s="360"/>
      <c r="N151" s="360"/>
      <c r="O151" s="361"/>
      <c r="P151" s="357" t="s">
        <v>40</v>
      </c>
      <c r="Q151" s="358"/>
      <c r="R151" s="358"/>
      <c r="S151" s="358"/>
      <c r="T151" s="358"/>
      <c r="U151" s="358"/>
      <c r="V151" s="359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1"/>
      <c r="P152" s="357" t="s">
        <v>40</v>
      </c>
      <c r="Q152" s="358"/>
      <c r="R152" s="358"/>
      <c r="S152" s="358"/>
      <c r="T152" s="358"/>
      <c r="U152" s="358"/>
      <c r="V152" s="359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6" t="s">
        <v>248</v>
      </c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65"/>
      <c r="AB153" s="65"/>
      <c r="AC153" s="82"/>
    </row>
    <row r="154" spans="1:68" ht="14.25" customHeight="1" x14ac:dyDescent="0.25">
      <c r="A154" s="347" t="s">
        <v>151</v>
      </c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66"/>
      <c r="AB154" s="66"/>
      <c r="AC154" s="83"/>
    </row>
    <row r="155" spans="1:68" ht="16.5" customHeight="1" x14ac:dyDescent="0.25">
      <c r="A155" s="63" t="s">
        <v>249</v>
      </c>
      <c r="B155" s="63" t="s">
        <v>250</v>
      </c>
      <c r="C155" s="36">
        <v>4301135607</v>
      </c>
      <c r="D155" s="348">
        <v>4607111039613</v>
      </c>
      <c r="E155" s="348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112</v>
      </c>
      <c r="L155" s="37" t="s">
        <v>113</v>
      </c>
      <c r="M155" s="38" t="s">
        <v>86</v>
      </c>
      <c r="N155" s="38"/>
      <c r="O155" s="37">
        <v>180</v>
      </c>
      <c r="P155" s="4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50"/>
      <c r="R155" s="350"/>
      <c r="S155" s="350"/>
      <c r="T155" s="351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235</v>
      </c>
      <c r="AG155" s="81"/>
      <c r="AJ155" s="87" t="s">
        <v>114</v>
      </c>
      <c r="AK155" s="87">
        <v>14</v>
      </c>
      <c r="BB155" s="196" t="s">
        <v>111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60"/>
      <c r="B156" s="360"/>
      <c r="C156" s="360"/>
      <c r="D156" s="360"/>
      <c r="E156" s="360"/>
      <c r="F156" s="360"/>
      <c r="G156" s="360"/>
      <c r="H156" s="360"/>
      <c r="I156" s="360"/>
      <c r="J156" s="360"/>
      <c r="K156" s="360"/>
      <c r="L156" s="360"/>
      <c r="M156" s="360"/>
      <c r="N156" s="360"/>
      <c r="O156" s="361"/>
      <c r="P156" s="357" t="s">
        <v>40</v>
      </c>
      <c r="Q156" s="358"/>
      <c r="R156" s="358"/>
      <c r="S156" s="358"/>
      <c r="T156" s="358"/>
      <c r="U156" s="358"/>
      <c r="V156" s="359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1"/>
      <c r="P157" s="357" t="s">
        <v>40</v>
      </c>
      <c r="Q157" s="358"/>
      <c r="R157" s="358"/>
      <c r="S157" s="358"/>
      <c r="T157" s="358"/>
      <c r="U157" s="358"/>
      <c r="V157" s="359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6" t="s">
        <v>251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65"/>
      <c r="AB158" s="65"/>
      <c r="AC158" s="82"/>
    </row>
    <row r="159" spans="1:68" ht="14.25" customHeight="1" x14ac:dyDescent="0.25">
      <c r="A159" s="347" t="s">
        <v>220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6"/>
      <c r="AB159" s="66"/>
      <c r="AC159" s="83"/>
    </row>
    <row r="160" spans="1:68" ht="27" customHeight="1" x14ac:dyDescent="0.25">
      <c r="A160" s="63" t="s">
        <v>252</v>
      </c>
      <c r="B160" s="63" t="s">
        <v>253</v>
      </c>
      <c r="C160" s="36">
        <v>4301135540</v>
      </c>
      <c r="D160" s="348">
        <v>4607111035646</v>
      </c>
      <c r="E160" s="348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255</v>
      </c>
      <c r="L160" s="37" t="s">
        <v>88</v>
      </c>
      <c r="M160" s="38" t="s">
        <v>86</v>
      </c>
      <c r="N160" s="38"/>
      <c r="O160" s="37">
        <v>180</v>
      </c>
      <c r="P160" s="41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50"/>
      <c r="R160" s="350"/>
      <c r="S160" s="350"/>
      <c r="T160" s="35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254</v>
      </c>
      <c r="AG160" s="81"/>
      <c r="AJ160" s="87" t="s">
        <v>89</v>
      </c>
      <c r="AK160" s="87">
        <v>1</v>
      </c>
      <c r="BB160" s="198" t="s">
        <v>111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60"/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1"/>
      <c r="P161" s="357" t="s">
        <v>40</v>
      </c>
      <c r="Q161" s="358"/>
      <c r="R161" s="358"/>
      <c r="S161" s="358"/>
      <c r="T161" s="358"/>
      <c r="U161" s="358"/>
      <c r="V161" s="359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1"/>
      <c r="P162" s="357" t="s">
        <v>40</v>
      </c>
      <c r="Q162" s="358"/>
      <c r="R162" s="358"/>
      <c r="S162" s="358"/>
      <c r="T162" s="358"/>
      <c r="U162" s="358"/>
      <c r="V162" s="359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6" t="s">
        <v>256</v>
      </c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  <c r="AA163" s="65"/>
      <c r="AB163" s="65"/>
      <c r="AC163" s="82"/>
    </row>
    <row r="164" spans="1:68" ht="14.25" customHeight="1" x14ac:dyDescent="0.25">
      <c r="A164" s="347" t="s">
        <v>151</v>
      </c>
      <c r="B164" s="347"/>
      <c r="C164" s="347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  <c r="AA164" s="66"/>
      <c r="AB164" s="66"/>
      <c r="AC164" s="83"/>
    </row>
    <row r="165" spans="1:68" ht="27" customHeight="1" x14ac:dyDescent="0.25">
      <c r="A165" s="63" t="s">
        <v>257</v>
      </c>
      <c r="B165" s="63" t="s">
        <v>258</v>
      </c>
      <c r="C165" s="36">
        <v>4301135591</v>
      </c>
      <c r="D165" s="348">
        <v>4607111036568</v>
      </c>
      <c r="E165" s="348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112</v>
      </c>
      <c r="L165" s="37" t="s">
        <v>113</v>
      </c>
      <c r="M165" s="38" t="s">
        <v>86</v>
      </c>
      <c r="N165" s="38"/>
      <c r="O165" s="37">
        <v>180</v>
      </c>
      <c r="P165" s="41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50"/>
      <c r="R165" s="350"/>
      <c r="S165" s="350"/>
      <c r="T165" s="351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259</v>
      </c>
      <c r="AG165" s="81"/>
      <c r="AJ165" s="87" t="s">
        <v>114</v>
      </c>
      <c r="AK165" s="87">
        <v>14</v>
      </c>
      <c r="BB165" s="200" t="s">
        <v>111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60"/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1"/>
      <c r="P166" s="357" t="s">
        <v>40</v>
      </c>
      <c r="Q166" s="358"/>
      <c r="R166" s="358"/>
      <c r="S166" s="358"/>
      <c r="T166" s="358"/>
      <c r="U166" s="358"/>
      <c r="V166" s="359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1"/>
      <c r="P167" s="357" t="s">
        <v>40</v>
      </c>
      <c r="Q167" s="358"/>
      <c r="R167" s="358"/>
      <c r="S167" s="358"/>
      <c r="T167" s="358"/>
      <c r="U167" s="358"/>
      <c r="V167" s="359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5" t="s">
        <v>260</v>
      </c>
      <c r="B168" s="345"/>
      <c r="C168" s="345"/>
      <c r="D168" s="345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/>
      <c r="Q168" s="345"/>
      <c r="R168" s="345"/>
      <c r="S168" s="345"/>
      <c r="T168" s="345"/>
      <c r="U168" s="345"/>
      <c r="V168" s="345"/>
      <c r="W168" s="345"/>
      <c r="X168" s="345"/>
      <c r="Y168" s="345"/>
      <c r="Z168" s="345"/>
      <c r="AA168" s="54"/>
      <c r="AB168" s="54"/>
      <c r="AC168" s="54"/>
    </row>
    <row r="169" spans="1:68" ht="16.5" customHeight="1" x14ac:dyDescent="0.25">
      <c r="A169" s="346" t="s">
        <v>261</v>
      </c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  <c r="Z169" s="346"/>
      <c r="AA169" s="65"/>
      <c r="AB169" s="65"/>
      <c r="AC169" s="82"/>
    </row>
    <row r="170" spans="1:68" ht="14.25" customHeight="1" x14ac:dyDescent="0.25">
      <c r="A170" s="347" t="s">
        <v>82</v>
      </c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66"/>
      <c r="AB170" s="66"/>
      <c r="AC170" s="83"/>
    </row>
    <row r="171" spans="1:68" ht="16.5" customHeight="1" x14ac:dyDescent="0.25">
      <c r="A171" s="63" t="s">
        <v>262</v>
      </c>
      <c r="B171" s="63" t="s">
        <v>263</v>
      </c>
      <c r="C171" s="36">
        <v>4301071062</v>
      </c>
      <c r="D171" s="348">
        <v>4607111036384</v>
      </c>
      <c r="E171" s="348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88</v>
      </c>
      <c r="M171" s="38" t="s">
        <v>86</v>
      </c>
      <c r="N171" s="38"/>
      <c r="O171" s="37">
        <v>180</v>
      </c>
      <c r="P171" s="41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50"/>
      <c r="R171" s="350"/>
      <c r="S171" s="350"/>
      <c r="T171" s="351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264</v>
      </c>
      <c r="AG171" s="81"/>
      <c r="AJ171" s="87" t="s">
        <v>89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265</v>
      </c>
      <c r="B172" s="63" t="s">
        <v>266</v>
      </c>
      <c r="C172" s="36">
        <v>4301071050</v>
      </c>
      <c r="D172" s="348">
        <v>4607111036216</v>
      </c>
      <c r="E172" s="348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113</v>
      </c>
      <c r="M172" s="38" t="s">
        <v>86</v>
      </c>
      <c r="N172" s="38"/>
      <c r="O172" s="37">
        <v>180</v>
      </c>
      <c r="P172" s="41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50"/>
      <c r="R172" s="350"/>
      <c r="S172" s="350"/>
      <c r="T172" s="35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114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60"/>
      <c r="B173" s="360"/>
      <c r="C173" s="360"/>
      <c r="D173" s="360"/>
      <c r="E173" s="360"/>
      <c r="F173" s="360"/>
      <c r="G173" s="360"/>
      <c r="H173" s="360"/>
      <c r="I173" s="360"/>
      <c r="J173" s="360"/>
      <c r="K173" s="360"/>
      <c r="L173" s="360"/>
      <c r="M173" s="360"/>
      <c r="N173" s="360"/>
      <c r="O173" s="361"/>
      <c r="P173" s="357" t="s">
        <v>40</v>
      </c>
      <c r="Q173" s="358"/>
      <c r="R173" s="358"/>
      <c r="S173" s="358"/>
      <c r="T173" s="358"/>
      <c r="U173" s="358"/>
      <c r="V173" s="359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1"/>
      <c r="P174" s="357" t="s">
        <v>40</v>
      </c>
      <c r="Q174" s="358"/>
      <c r="R174" s="358"/>
      <c r="S174" s="358"/>
      <c r="T174" s="358"/>
      <c r="U174" s="358"/>
      <c r="V174" s="359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14.25" customHeight="1" x14ac:dyDescent="0.25">
      <c r="A175" s="347" t="s">
        <v>268</v>
      </c>
      <c r="B175" s="347"/>
      <c r="C175" s="347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  <c r="AA175" s="66"/>
      <c r="AB175" s="66"/>
      <c r="AC175" s="83"/>
    </row>
    <row r="176" spans="1:68" ht="27" customHeight="1" x14ac:dyDescent="0.25">
      <c r="A176" s="63" t="s">
        <v>269</v>
      </c>
      <c r="B176" s="63" t="s">
        <v>270</v>
      </c>
      <c r="C176" s="36">
        <v>4301080153</v>
      </c>
      <c r="D176" s="348">
        <v>4607111036827</v>
      </c>
      <c r="E176" s="348"/>
      <c r="F176" s="62">
        <v>1</v>
      </c>
      <c r="G176" s="37">
        <v>5</v>
      </c>
      <c r="H176" s="62">
        <v>5</v>
      </c>
      <c r="I176" s="62">
        <v>5.2</v>
      </c>
      <c r="J176" s="37">
        <v>144</v>
      </c>
      <c r="K176" s="37" t="s">
        <v>87</v>
      </c>
      <c r="L176" s="37" t="s">
        <v>88</v>
      </c>
      <c r="M176" s="38" t="s">
        <v>86</v>
      </c>
      <c r="N176" s="38"/>
      <c r="O176" s="37">
        <v>90</v>
      </c>
      <c r="P176" s="41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6" s="350"/>
      <c r="R176" s="350"/>
      <c r="S176" s="350"/>
      <c r="T176" s="351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IFERROR(IF(X176="","",X176*0.00866),"")</f>
        <v>0</v>
      </c>
      <c r="AA176" s="68" t="s">
        <v>46</v>
      </c>
      <c r="AB176" s="69" t="s">
        <v>46</v>
      </c>
      <c r="AC176" s="205" t="s">
        <v>271</v>
      </c>
      <c r="AG176" s="81"/>
      <c r="AJ176" s="87" t="s">
        <v>89</v>
      </c>
      <c r="AK176" s="87">
        <v>1</v>
      </c>
      <c r="BB176" s="206" t="s">
        <v>70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ht="27" customHeight="1" x14ac:dyDescent="0.25">
      <c r="A177" s="63" t="s">
        <v>272</v>
      </c>
      <c r="B177" s="63" t="s">
        <v>273</v>
      </c>
      <c r="C177" s="36">
        <v>4301080154</v>
      </c>
      <c r="D177" s="348">
        <v>4607111036834</v>
      </c>
      <c r="E177" s="348"/>
      <c r="F177" s="62">
        <v>1</v>
      </c>
      <c r="G177" s="37">
        <v>5</v>
      </c>
      <c r="H177" s="62">
        <v>5</v>
      </c>
      <c r="I177" s="62">
        <v>5.2530000000000001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7" s="350"/>
      <c r="R177" s="350"/>
      <c r="S177" s="350"/>
      <c r="T177" s="351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271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x14ac:dyDescent="0.2">
      <c r="A178" s="360"/>
      <c r="B178" s="360"/>
      <c r="C178" s="360"/>
      <c r="D178" s="360"/>
      <c r="E178" s="360"/>
      <c r="F178" s="360"/>
      <c r="G178" s="360"/>
      <c r="H178" s="360"/>
      <c r="I178" s="360"/>
      <c r="J178" s="360"/>
      <c r="K178" s="360"/>
      <c r="L178" s="360"/>
      <c r="M178" s="360"/>
      <c r="N178" s="360"/>
      <c r="O178" s="361"/>
      <c r="P178" s="357" t="s">
        <v>40</v>
      </c>
      <c r="Q178" s="358"/>
      <c r="R178" s="358"/>
      <c r="S178" s="358"/>
      <c r="T178" s="358"/>
      <c r="U178" s="358"/>
      <c r="V178" s="359"/>
      <c r="W178" s="42" t="s">
        <v>39</v>
      </c>
      <c r="X178" s="43">
        <f>IFERROR(SUM(X176:X177),"0")</f>
        <v>0</v>
      </c>
      <c r="Y178" s="43">
        <f>IFERROR(SUM(Y176:Y177),"0")</f>
        <v>0</v>
      </c>
      <c r="Z178" s="43">
        <f>IFERROR(IF(Z176="",0,Z176),"0")+IFERROR(IF(Z177="",0,Z177),"0")</f>
        <v>0</v>
      </c>
      <c r="AA178" s="67"/>
      <c r="AB178" s="67"/>
      <c r="AC178" s="67"/>
    </row>
    <row r="179" spans="1:68" x14ac:dyDescent="0.2">
      <c r="A179" s="360"/>
      <c r="B179" s="360"/>
      <c r="C179" s="360"/>
      <c r="D179" s="360"/>
      <c r="E179" s="360"/>
      <c r="F179" s="360"/>
      <c r="G179" s="360"/>
      <c r="H179" s="360"/>
      <c r="I179" s="360"/>
      <c r="J179" s="360"/>
      <c r="K179" s="360"/>
      <c r="L179" s="360"/>
      <c r="M179" s="360"/>
      <c r="N179" s="360"/>
      <c r="O179" s="361"/>
      <c r="P179" s="357" t="s">
        <v>40</v>
      </c>
      <c r="Q179" s="358"/>
      <c r="R179" s="358"/>
      <c r="S179" s="358"/>
      <c r="T179" s="358"/>
      <c r="U179" s="358"/>
      <c r="V179" s="359"/>
      <c r="W179" s="42" t="s">
        <v>0</v>
      </c>
      <c r="X179" s="43">
        <f>IFERROR(SUMPRODUCT(X176:X177*H176:H177),"0")</f>
        <v>0</v>
      </c>
      <c r="Y179" s="43">
        <f>IFERROR(SUMPRODUCT(Y176:Y177*H176:H177),"0")</f>
        <v>0</v>
      </c>
      <c r="Z179" s="42"/>
      <c r="AA179" s="67"/>
      <c r="AB179" s="67"/>
      <c r="AC179" s="67"/>
    </row>
    <row r="180" spans="1:68" ht="27.75" customHeight="1" x14ac:dyDescent="0.2">
      <c r="A180" s="345" t="s">
        <v>274</v>
      </c>
      <c r="B180" s="345"/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345"/>
      <c r="W180" s="345"/>
      <c r="X180" s="345"/>
      <c r="Y180" s="345"/>
      <c r="Z180" s="345"/>
      <c r="AA180" s="54"/>
      <c r="AB180" s="54"/>
      <c r="AC180" s="54"/>
    </row>
    <row r="181" spans="1:68" ht="16.5" customHeight="1" x14ac:dyDescent="0.25">
      <c r="A181" s="346" t="s">
        <v>275</v>
      </c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  <c r="AA181" s="65"/>
      <c r="AB181" s="65"/>
      <c r="AC181" s="82"/>
    </row>
    <row r="182" spans="1:68" ht="14.25" customHeight="1" x14ac:dyDescent="0.25">
      <c r="A182" s="347" t="s">
        <v>107</v>
      </c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66"/>
      <c r="AB182" s="66"/>
      <c r="AC182" s="83"/>
    </row>
    <row r="183" spans="1:68" ht="16.5" customHeight="1" x14ac:dyDescent="0.25">
      <c r="A183" s="63" t="s">
        <v>276</v>
      </c>
      <c r="B183" s="63" t="s">
        <v>277</v>
      </c>
      <c r="C183" s="36">
        <v>4301132179</v>
      </c>
      <c r="D183" s="348">
        <v>4607111035691</v>
      </c>
      <c r="E183" s="348"/>
      <c r="F183" s="62">
        <v>0.25</v>
      </c>
      <c r="G183" s="37">
        <v>12</v>
      </c>
      <c r="H183" s="62">
        <v>3</v>
      </c>
      <c r="I183" s="62">
        <v>3.3879999999999999</v>
      </c>
      <c r="J183" s="37">
        <v>70</v>
      </c>
      <c r="K183" s="37" t="s">
        <v>112</v>
      </c>
      <c r="L183" s="37" t="s">
        <v>113</v>
      </c>
      <c r="M183" s="38" t="s">
        <v>86</v>
      </c>
      <c r="N183" s="38"/>
      <c r="O183" s="37">
        <v>365</v>
      </c>
      <c r="P183" s="41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3" s="350"/>
      <c r="R183" s="350"/>
      <c r="S183" s="350"/>
      <c r="T183" s="35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9" t="s">
        <v>278</v>
      </c>
      <c r="AG183" s="81"/>
      <c r="AJ183" s="87" t="s">
        <v>114</v>
      </c>
      <c r="AK183" s="87">
        <v>14</v>
      </c>
      <c r="BB183" s="210" t="s">
        <v>111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279</v>
      </c>
      <c r="B184" s="63" t="s">
        <v>280</v>
      </c>
      <c r="C184" s="36">
        <v>4301132182</v>
      </c>
      <c r="D184" s="348">
        <v>4607111035721</v>
      </c>
      <c r="E184" s="348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41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14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4301132170</v>
      </c>
      <c r="D185" s="348">
        <v>4607111038487</v>
      </c>
      <c r="E185" s="348"/>
      <c r="F185" s="62">
        <v>0.25</v>
      </c>
      <c r="G185" s="37">
        <v>12</v>
      </c>
      <c r="H185" s="62">
        <v>3</v>
      </c>
      <c r="I185" s="62">
        <v>3.7360000000000002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180</v>
      </c>
      <c r="P185" s="41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14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4301132243</v>
      </c>
      <c r="D186" s="348">
        <v>4620207491195</v>
      </c>
      <c r="E186" s="348"/>
      <c r="F186" s="62">
        <v>0.23</v>
      </c>
      <c r="G186" s="37">
        <v>12</v>
      </c>
      <c r="H186" s="62">
        <v>2.76</v>
      </c>
      <c r="I186" s="62">
        <v>3.1480000000000001</v>
      </c>
      <c r="J186" s="37">
        <v>70</v>
      </c>
      <c r="K186" s="37" t="s">
        <v>112</v>
      </c>
      <c r="L186" s="37" t="s">
        <v>88</v>
      </c>
      <c r="M186" s="38" t="s">
        <v>86</v>
      </c>
      <c r="N186" s="38"/>
      <c r="O186" s="37">
        <v>180</v>
      </c>
      <c r="P186" s="41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89</v>
      </c>
      <c r="AK186" s="87">
        <v>1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1"/>
      <c r="P187" s="357" t="s">
        <v>40</v>
      </c>
      <c r="Q187" s="358"/>
      <c r="R187" s="358"/>
      <c r="S187" s="358"/>
      <c r="T187" s="358"/>
      <c r="U187" s="358"/>
      <c r="V187" s="359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360"/>
      <c r="B188" s="360"/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1"/>
      <c r="P188" s="357" t="s">
        <v>40</v>
      </c>
      <c r="Q188" s="358"/>
      <c r="R188" s="358"/>
      <c r="S188" s="358"/>
      <c r="T188" s="358"/>
      <c r="U188" s="358"/>
      <c r="V188" s="359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4.25" customHeight="1" x14ac:dyDescent="0.25">
      <c r="A189" s="347" t="s">
        <v>288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66"/>
      <c r="AB189" s="66"/>
      <c r="AC189" s="83"/>
    </row>
    <row r="190" spans="1:68" ht="27" customHeight="1" x14ac:dyDescent="0.25">
      <c r="A190" s="63" t="s">
        <v>289</v>
      </c>
      <c r="B190" s="63" t="s">
        <v>290</v>
      </c>
      <c r="C190" s="36">
        <v>4301051855</v>
      </c>
      <c r="D190" s="348">
        <v>4680115885875</v>
      </c>
      <c r="E190" s="348"/>
      <c r="F190" s="62">
        <v>1</v>
      </c>
      <c r="G190" s="37">
        <v>9</v>
      </c>
      <c r="H190" s="62">
        <v>9</v>
      </c>
      <c r="I190" s="62">
        <v>9.41</v>
      </c>
      <c r="J190" s="37">
        <v>64</v>
      </c>
      <c r="K190" s="37" t="s">
        <v>295</v>
      </c>
      <c r="L190" s="37" t="s">
        <v>88</v>
      </c>
      <c r="M190" s="38" t="s">
        <v>294</v>
      </c>
      <c r="N190" s="38"/>
      <c r="O190" s="37">
        <v>365</v>
      </c>
      <c r="P190" s="420" t="s">
        <v>291</v>
      </c>
      <c r="Q190" s="350"/>
      <c r="R190" s="350"/>
      <c r="S190" s="350"/>
      <c r="T190" s="351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IFERROR(IF(X190="","",X190*0.01898),"")</f>
        <v>0</v>
      </c>
      <c r="AA190" s="68" t="s">
        <v>46</v>
      </c>
      <c r="AB190" s="69" t="s">
        <v>46</v>
      </c>
      <c r="AC190" s="217" t="s">
        <v>292</v>
      </c>
      <c r="AG190" s="81"/>
      <c r="AJ190" s="87" t="s">
        <v>89</v>
      </c>
      <c r="AK190" s="87">
        <v>1</v>
      </c>
      <c r="BB190" s="218" t="s">
        <v>293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60"/>
      <c r="B191" s="360"/>
      <c r="C191" s="360"/>
      <c r="D191" s="360"/>
      <c r="E191" s="360"/>
      <c r="F191" s="360"/>
      <c r="G191" s="360"/>
      <c r="H191" s="360"/>
      <c r="I191" s="360"/>
      <c r="J191" s="360"/>
      <c r="K191" s="360"/>
      <c r="L191" s="360"/>
      <c r="M191" s="360"/>
      <c r="N191" s="360"/>
      <c r="O191" s="361"/>
      <c r="P191" s="357" t="s">
        <v>40</v>
      </c>
      <c r="Q191" s="358"/>
      <c r="R191" s="358"/>
      <c r="S191" s="358"/>
      <c r="T191" s="358"/>
      <c r="U191" s="358"/>
      <c r="V191" s="359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1"/>
      <c r="P192" s="357" t="s">
        <v>40</v>
      </c>
      <c r="Q192" s="358"/>
      <c r="R192" s="358"/>
      <c r="S192" s="358"/>
      <c r="T192" s="358"/>
      <c r="U192" s="358"/>
      <c r="V192" s="359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27.75" customHeight="1" x14ac:dyDescent="0.2">
      <c r="A193" s="345" t="s">
        <v>296</v>
      </c>
      <c r="B193" s="345"/>
      <c r="C193" s="345"/>
      <c r="D193" s="345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5"/>
      <c r="R193" s="345"/>
      <c r="S193" s="345"/>
      <c r="T193" s="345"/>
      <c r="U193" s="345"/>
      <c r="V193" s="345"/>
      <c r="W193" s="345"/>
      <c r="X193" s="345"/>
      <c r="Y193" s="345"/>
      <c r="Z193" s="345"/>
      <c r="AA193" s="54"/>
      <c r="AB193" s="54"/>
      <c r="AC193" s="54"/>
    </row>
    <row r="194" spans="1:68" ht="16.5" customHeight="1" x14ac:dyDescent="0.25">
      <c r="A194" s="346" t="s">
        <v>297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65"/>
      <c r="AB194" s="65"/>
      <c r="AC194" s="82"/>
    </row>
    <row r="195" spans="1:68" ht="14.25" customHeight="1" x14ac:dyDescent="0.25">
      <c r="A195" s="347" t="s">
        <v>107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4301132227</v>
      </c>
      <c r="D196" s="348">
        <v>4620207491133</v>
      </c>
      <c r="E196" s="348"/>
      <c r="F196" s="62">
        <v>0.23</v>
      </c>
      <c r="G196" s="37">
        <v>12</v>
      </c>
      <c r="H196" s="62">
        <v>2.76</v>
      </c>
      <c r="I196" s="62">
        <v>2.98</v>
      </c>
      <c r="J196" s="37">
        <v>70</v>
      </c>
      <c r="K196" s="37" t="s">
        <v>112</v>
      </c>
      <c r="L196" s="37" t="s">
        <v>113</v>
      </c>
      <c r="M196" s="38" t="s">
        <v>86</v>
      </c>
      <c r="N196" s="38"/>
      <c r="O196" s="37">
        <v>180</v>
      </c>
      <c r="P196" s="42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6" s="350"/>
      <c r="R196" s="350"/>
      <c r="S196" s="350"/>
      <c r="T196" s="35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114</v>
      </c>
      <c r="AK196" s="87">
        <v>14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60"/>
      <c r="B197" s="360"/>
      <c r="C197" s="360"/>
      <c r="D197" s="360"/>
      <c r="E197" s="360"/>
      <c r="F197" s="360"/>
      <c r="G197" s="360"/>
      <c r="H197" s="360"/>
      <c r="I197" s="360"/>
      <c r="J197" s="360"/>
      <c r="K197" s="360"/>
      <c r="L197" s="360"/>
      <c r="M197" s="360"/>
      <c r="N197" s="360"/>
      <c r="O197" s="361"/>
      <c r="P197" s="357" t="s">
        <v>40</v>
      </c>
      <c r="Q197" s="358"/>
      <c r="R197" s="358"/>
      <c r="S197" s="358"/>
      <c r="T197" s="358"/>
      <c r="U197" s="358"/>
      <c r="V197" s="359"/>
      <c r="W197" s="42" t="s">
        <v>39</v>
      </c>
      <c r="X197" s="43">
        <f>IFERROR(SUM(X196:X196),"0")</f>
        <v>0</v>
      </c>
      <c r="Y197" s="43">
        <f>IFERROR(SUM(Y196:Y196),"0")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">
      <c r="A198" s="360"/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1"/>
      <c r="P198" s="357" t="s">
        <v>40</v>
      </c>
      <c r="Q198" s="358"/>
      <c r="R198" s="358"/>
      <c r="S198" s="358"/>
      <c r="T198" s="358"/>
      <c r="U198" s="358"/>
      <c r="V198" s="359"/>
      <c r="W198" s="42" t="s">
        <v>0</v>
      </c>
      <c r="X198" s="43">
        <f>IFERROR(SUMPRODUCT(X196:X196*H196:H196),"0")</f>
        <v>0</v>
      </c>
      <c r="Y198" s="43">
        <f>IFERROR(SUMPRODUCT(Y196:Y196*H196:H196),"0")</f>
        <v>0</v>
      </c>
      <c r="Z198" s="42"/>
      <c r="AA198" s="67"/>
      <c r="AB198" s="67"/>
      <c r="AC198" s="67"/>
    </row>
    <row r="199" spans="1:68" ht="14.25" customHeight="1" x14ac:dyDescent="0.25">
      <c r="A199" s="347" t="s">
        <v>151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301</v>
      </c>
      <c r="B200" s="63" t="s">
        <v>302</v>
      </c>
      <c r="C200" s="36">
        <v>4301135834</v>
      </c>
      <c r="D200" s="348">
        <v>4620207491188</v>
      </c>
      <c r="E200" s="348"/>
      <c r="F200" s="62">
        <v>0.2</v>
      </c>
      <c r="G200" s="37">
        <v>12</v>
      </c>
      <c r="H200" s="62">
        <v>2.4</v>
      </c>
      <c r="I200" s="62">
        <v>3.1036000000000001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1" t="s">
        <v>303</v>
      </c>
      <c r="AG200" s="81"/>
      <c r="AJ200" s="87" t="s">
        <v>89</v>
      </c>
      <c r="AK200" s="87">
        <v>1</v>
      </c>
      <c r="BB200" s="222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304</v>
      </c>
      <c r="B201" s="63" t="s">
        <v>305</v>
      </c>
      <c r="C201" s="36">
        <v>4301135707</v>
      </c>
      <c r="D201" s="348">
        <v>4620207490198</v>
      </c>
      <c r="E201" s="348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113</v>
      </c>
      <c r="M201" s="38" t="s">
        <v>86</v>
      </c>
      <c r="N201" s="38"/>
      <c r="O201" s="37">
        <v>180</v>
      </c>
      <c r="P201" s="4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1" s="350"/>
      <c r="R201" s="350"/>
      <c r="S201" s="350"/>
      <c r="T201" s="351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114</v>
      </c>
      <c r="AK201" s="87">
        <v>14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4301135829</v>
      </c>
      <c r="D202" s="348">
        <v>4620207490235</v>
      </c>
      <c r="E202" s="348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88</v>
      </c>
      <c r="M202" s="38" t="s">
        <v>86</v>
      </c>
      <c r="N202" s="38"/>
      <c r="O202" s="37">
        <v>180</v>
      </c>
      <c r="P202" s="42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2" s="350"/>
      <c r="R202" s="350"/>
      <c r="S202" s="350"/>
      <c r="T202" s="351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89</v>
      </c>
      <c r="AK202" s="87">
        <v>1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4301135697</v>
      </c>
      <c r="D203" s="348">
        <v>4620207490259</v>
      </c>
      <c r="E203" s="348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113</v>
      </c>
      <c r="M203" s="38" t="s">
        <v>86</v>
      </c>
      <c r="N203" s="38"/>
      <c r="O203" s="37">
        <v>180</v>
      </c>
      <c r="P203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3" s="350"/>
      <c r="R203" s="350"/>
      <c r="S203" s="350"/>
      <c r="T203" s="351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306</v>
      </c>
      <c r="AG203" s="81"/>
      <c r="AJ203" s="87" t="s">
        <v>114</v>
      </c>
      <c r="AK203" s="87">
        <v>14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312</v>
      </c>
      <c r="B204" s="63" t="s">
        <v>313</v>
      </c>
      <c r="C204" s="36">
        <v>4301135681</v>
      </c>
      <c r="D204" s="348">
        <v>4620207490143</v>
      </c>
      <c r="E204" s="348"/>
      <c r="F204" s="62">
        <v>0.22</v>
      </c>
      <c r="G204" s="37">
        <v>12</v>
      </c>
      <c r="H204" s="62">
        <v>2.64</v>
      </c>
      <c r="I204" s="62">
        <v>3.3435999999999999</v>
      </c>
      <c r="J204" s="37">
        <v>70</v>
      </c>
      <c r="K204" s="37" t="s">
        <v>112</v>
      </c>
      <c r="L204" s="37" t="s">
        <v>88</v>
      </c>
      <c r="M204" s="38" t="s">
        <v>86</v>
      </c>
      <c r="N204" s="38"/>
      <c r="O204" s="37">
        <v>180</v>
      </c>
      <c r="P204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4" s="350"/>
      <c r="R204" s="350"/>
      <c r="S204" s="350"/>
      <c r="T204" s="35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314</v>
      </c>
      <c r="AG204" s="81"/>
      <c r="AJ204" s="87" t="s">
        <v>89</v>
      </c>
      <c r="AK204" s="87">
        <v>1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1"/>
      <c r="P205" s="357" t="s">
        <v>40</v>
      </c>
      <c r="Q205" s="358"/>
      <c r="R205" s="358"/>
      <c r="S205" s="358"/>
      <c r="T205" s="358"/>
      <c r="U205" s="358"/>
      <c r="V205" s="359"/>
      <c r="W205" s="42" t="s">
        <v>39</v>
      </c>
      <c r="X205" s="43">
        <f>IFERROR(SUM(X200:X204),"0")</f>
        <v>0</v>
      </c>
      <c r="Y205" s="43">
        <f>IFERROR(SUM(Y200:Y204),"0")</f>
        <v>0</v>
      </c>
      <c r="Z205" s="43">
        <f>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1"/>
      <c r="P206" s="357" t="s">
        <v>40</v>
      </c>
      <c r="Q206" s="358"/>
      <c r="R206" s="358"/>
      <c r="S206" s="358"/>
      <c r="T206" s="358"/>
      <c r="U206" s="358"/>
      <c r="V206" s="359"/>
      <c r="W206" s="42" t="s">
        <v>0</v>
      </c>
      <c r="X206" s="43">
        <f>IFERROR(SUMPRODUCT(X200:X204*H200:H204),"0")</f>
        <v>0</v>
      </c>
      <c r="Y206" s="43">
        <f>IFERROR(SUMPRODUCT(Y200:Y204*H200:H204),"0")</f>
        <v>0</v>
      </c>
      <c r="Z206" s="42"/>
      <c r="AA206" s="67"/>
      <c r="AB206" s="67"/>
      <c r="AC206" s="67"/>
    </row>
    <row r="207" spans="1:68" ht="16.5" customHeight="1" x14ac:dyDescent="0.25">
      <c r="A207" s="346" t="s">
        <v>315</v>
      </c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65"/>
      <c r="AB207" s="65"/>
      <c r="AC207" s="82"/>
    </row>
    <row r="208" spans="1:68" ht="14.25" customHeight="1" x14ac:dyDescent="0.25">
      <c r="A208" s="347" t="s">
        <v>82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316</v>
      </c>
      <c r="B209" s="63" t="s">
        <v>317</v>
      </c>
      <c r="C209" s="36">
        <v>4301071097</v>
      </c>
      <c r="D209" s="348">
        <v>4620207491096</v>
      </c>
      <c r="E209" s="348"/>
      <c r="F209" s="62">
        <v>1</v>
      </c>
      <c r="G209" s="37">
        <v>5</v>
      </c>
      <c r="H209" s="62">
        <v>5</v>
      </c>
      <c r="I209" s="62">
        <v>5.23</v>
      </c>
      <c r="J209" s="37">
        <v>84</v>
      </c>
      <c r="K209" s="37" t="s">
        <v>87</v>
      </c>
      <c r="L209" s="37" t="s">
        <v>113</v>
      </c>
      <c r="M209" s="38" t="s">
        <v>86</v>
      </c>
      <c r="N209" s="38"/>
      <c r="O209" s="37">
        <v>180</v>
      </c>
      <c r="P209" s="4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31" t="s">
        <v>318</v>
      </c>
      <c r="AG209" s="81"/>
      <c r="AJ209" s="87" t="s">
        <v>114</v>
      </c>
      <c r="AK209" s="87">
        <v>12</v>
      </c>
      <c r="BB209" s="232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1"/>
      <c r="P210" s="357" t="s">
        <v>40</v>
      </c>
      <c r="Q210" s="358"/>
      <c r="R210" s="358"/>
      <c r="S210" s="358"/>
      <c r="T210" s="358"/>
      <c r="U210" s="358"/>
      <c r="V210" s="359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1"/>
      <c r="P211" s="357" t="s">
        <v>40</v>
      </c>
      <c r="Q211" s="358"/>
      <c r="R211" s="358"/>
      <c r="S211" s="358"/>
      <c r="T211" s="358"/>
      <c r="U211" s="358"/>
      <c r="V211" s="359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6.5" customHeight="1" x14ac:dyDescent="0.25">
      <c r="A212" s="346" t="s">
        <v>319</v>
      </c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  <c r="AA212" s="65"/>
      <c r="AB212" s="65"/>
      <c r="AC212" s="82"/>
    </row>
    <row r="213" spans="1:68" ht="14.25" customHeight="1" x14ac:dyDescent="0.25">
      <c r="A213" s="347" t="s">
        <v>151</v>
      </c>
      <c r="B213" s="347"/>
      <c r="C213" s="347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48">
        <v>4620207490549</v>
      </c>
      <c r="E214" s="34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112</v>
      </c>
      <c r="L214" s="37" t="s">
        <v>88</v>
      </c>
      <c r="M214" s="38" t="s">
        <v>86</v>
      </c>
      <c r="N214" s="38"/>
      <c r="O214" s="37">
        <v>180</v>
      </c>
      <c r="P214" s="42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0"/>
      <c r="R214" s="350"/>
      <c r="S214" s="350"/>
      <c r="T214" s="35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89</v>
      </c>
      <c r="AK214" s="87">
        <v>1</v>
      </c>
      <c r="BB214" s="234" t="s">
        <v>111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48">
        <v>4620207490501</v>
      </c>
      <c r="E215" s="348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42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0"/>
      <c r="R215" s="350"/>
      <c r="S215" s="350"/>
      <c r="T215" s="351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1"/>
      <c r="P216" s="357" t="s">
        <v>40</v>
      </c>
      <c r="Q216" s="358"/>
      <c r="R216" s="358"/>
      <c r="S216" s="358"/>
      <c r="T216" s="358"/>
      <c r="U216" s="358"/>
      <c r="V216" s="359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0"/>
      <c r="B217" s="360"/>
      <c r="C217" s="360"/>
      <c r="D217" s="360"/>
      <c r="E217" s="360"/>
      <c r="F217" s="360"/>
      <c r="G217" s="360"/>
      <c r="H217" s="360"/>
      <c r="I217" s="360"/>
      <c r="J217" s="360"/>
      <c r="K217" s="360"/>
      <c r="L217" s="360"/>
      <c r="M217" s="360"/>
      <c r="N217" s="360"/>
      <c r="O217" s="361"/>
      <c r="P217" s="357" t="s">
        <v>40</v>
      </c>
      <c r="Q217" s="358"/>
      <c r="R217" s="358"/>
      <c r="S217" s="358"/>
      <c r="T217" s="358"/>
      <c r="U217" s="358"/>
      <c r="V217" s="359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5" t="s">
        <v>325</v>
      </c>
      <c r="B218" s="345"/>
      <c r="C218" s="345"/>
      <c r="D218" s="34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  <c r="Z218" s="345"/>
      <c r="AA218" s="54"/>
      <c r="AB218" s="54"/>
      <c r="AC218" s="54"/>
    </row>
    <row r="219" spans="1:68" ht="16.5" customHeight="1" x14ac:dyDescent="0.25">
      <c r="A219" s="346" t="s">
        <v>326</v>
      </c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  <c r="AA219" s="65"/>
      <c r="AB219" s="65"/>
      <c r="AC219" s="82"/>
    </row>
    <row r="220" spans="1:68" ht="14.25" customHeight="1" x14ac:dyDescent="0.25">
      <c r="A220" s="347" t="s">
        <v>82</v>
      </c>
      <c r="B220" s="347"/>
      <c r="C220" s="347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48">
        <v>4607111036162</v>
      </c>
      <c r="E221" s="348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87</v>
      </c>
      <c r="L221" s="37" t="s">
        <v>88</v>
      </c>
      <c r="M221" s="38" t="s">
        <v>86</v>
      </c>
      <c r="N221" s="38"/>
      <c r="O221" s="37">
        <v>90</v>
      </c>
      <c r="P221" s="43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0"/>
      <c r="R221" s="350"/>
      <c r="S221" s="350"/>
      <c r="T221" s="351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89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1"/>
      <c r="P222" s="357" t="s">
        <v>40</v>
      </c>
      <c r="Q222" s="358"/>
      <c r="R222" s="358"/>
      <c r="S222" s="358"/>
      <c r="T222" s="358"/>
      <c r="U222" s="358"/>
      <c r="V222" s="359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0"/>
      <c r="B223" s="360"/>
      <c r="C223" s="360"/>
      <c r="D223" s="360"/>
      <c r="E223" s="360"/>
      <c r="F223" s="360"/>
      <c r="G223" s="360"/>
      <c r="H223" s="360"/>
      <c r="I223" s="360"/>
      <c r="J223" s="360"/>
      <c r="K223" s="360"/>
      <c r="L223" s="360"/>
      <c r="M223" s="360"/>
      <c r="N223" s="360"/>
      <c r="O223" s="361"/>
      <c r="P223" s="357" t="s">
        <v>40</v>
      </c>
      <c r="Q223" s="358"/>
      <c r="R223" s="358"/>
      <c r="S223" s="358"/>
      <c r="T223" s="358"/>
      <c r="U223" s="358"/>
      <c r="V223" s="359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5" t="s">
        <v>330</v>
      </c>
      <c r="B224" s="345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  <c r="Z224" s="345"/>
      <c r="AA224" s="54"/>
      <c r="AB224" s="54"/>
      <c r="AC224" s="54"/>
    </row>
    <row r="225" spans="1:68" ht="16.5" customHeight="1" x14ac:dyDescent="0.25">
      <c r="A225" s="346" t="s">
        <v>331</v>
      </c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  <c r="AA225" s="65"/>
      <c r="AB225" s="65"/>
      <c r="AC225" s="82"/>
    </row>
    <row r="226" spans="1:68" ht="14.25" customHeight="1" x14ac:dyDescent="0.25">
      <c r="A226" s="347" t="s">
        <v>82</v>
      </c>
      <c r="B226" s="347"/>
      <c r="C226" s="347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48">
        <v>4607111035899</v>
      </c>
      <c r="E227" s="348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87</v>
      </c>
      <c r="L227" s="37" t="s">
        <v>88</v>
      </c>
      <c r="M227" s="38" t="s">
        <v>86</v>
      </c>
      <c r="N227" s="38"/>
      <c r="O227" s="37">
        <v>180</v>
      </c>
      <c r="P227" s="43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0"/>
      <c r="R227" s="350"/>
      <c r="S227" s="350"/>
      <c r="T227" s="351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267</v>
      </c>
      <c r="AG227" s="81"/>
      <c r="AJ227" s="87" t="s">
        <v>89</v>
      </c>
      <c r="AK227" s="87">
        <v>1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1"/>
      <c r="P228" s="357" t="s">
        <v>40</v>
      </c>
      <c r="Q228" s="358"/>
      <c r="R228" s="358"/>
      <c r="S228" s="358"/>
      <c r="T228" s="358"/>
      <c r="U228" s="358"/>
      <c r="V228" s="35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0"/>
      <c r="B229" s="360"/>
      <c r="C229" s="360"/>
      <c r="D229" s="360"/>
      <c r="E229" s="360"/>
      <c r="F229" s="360"/>
      <c r="G229" s="360"/>
      <c r="H229" s="360"/>
      <c r="I229" s="360"/>
      <c r="J229" s="360"/>
      <c r="K229" s="360"/>
      <c r="L229" s="360"/>
      <c r="M229" s="360"/>
      <c r="N229" s="360"/>
      <c r="O229" s="361"/>
      <c r="P229" s="357" t="s">
        <v>40</v>
      </c>
      <c r="Q229" s="358"/>
      <c r="R229" s="358"/>
      <c r="S229" s="358"/>
      <c r="T229" s="358"/>
      <c r="U229" s="358"/>
      <c r="V229" s="35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5" t="s">
        <v>334</v>
      </c>
      <c r="B230" s="345"/>
      <c r="C230" s="345"/>
      <c r="D230" s="345"/>
      <c r="E230" s="345"/>
      <c r="F230" s="345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  <c r="X230" s="345"/>
      <c r="Y230" s="345"/>
      <c r="Z230" s="345"/>
      <c r="AA230" s="54"/>
      <c r="AB230" s="54"/>
      <c r="AC230" s="54"/>
    </row>
    <row r="231" spans="1:68" ht="16.5" customHeight="1" x14ac:dyDescent="0.25">
      <c r="A231" s="346" t="s">
        <v>335</v>
      </c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  <c r="AA231" s="65"/>
      <c r="AB231" s="65"/>
      <c r="AC231" s="82"/>
    </row>
    <row r="232" spans="1:68" ht="14.25" customHeight="1" x14ac:dyDescent="0.25">
      <c r="A232" s="347" t="s">
        <v>336</v>
      </c>
      <c r="B232" s="347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48">
        <v>4607111039774</v>
      </c>
      <c r="E233" s="348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0"/>
      <c r="R233" s="350"/>
      <c r="S233" s="350"/>
      <c r="T233" s="351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1"/>
      <c r="P234" s="357" t="s">
        <v>40</v>
      </c>
      <c r="Q234" s="358"/>
      <c r="R234" s="358"/>
      <c r="S234" s="358"/>
      <c r="T234" s="358"/>
      <c r="U234" s="358"/>
      <c r="V234" s="35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0"/>
      <c r="B235" s="360"/>
      <c r="C235" s="360"/>
      <c r="D235" s="360"/>
      <c r="E235" s="360"/>
      <c r="F235" s="360"/>
      <c r="G235" s="360"/>
      <c r="H235" s="360"/>
      <c r="I235" s="360"/>
      <c r="J235" s="360"/>
      <c r="K235" s="360"/>
      <c r="L235" s="360"/>
      <c r="M235" s="360"/>
      <c r="N235" s="360"/>
      <c r="O235" s="361"/>
      <c r="P235" s="357" t="s">
        <v>40</v>
      </c>
      <c r="Q235" s="358"/>
      <c r="R235" s="358"/>
      <c r="S235" s="358"/>
      <c r="T235" s="358"/>
      <c r="U235" s="358"/>
      <c r="V235" s="35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7" t="s">
        <v>151</v>
      </c>
      <c r="B236" s="347"/>
      <c r="C236" s="347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48">
        <v>4607111039361</v>
      </c>
      <c r="E237" s="348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112</v>
      </c>
      <c r="L237" s="37" t="s">
        <v>88</v>
      </c>
      <c r="M237" s="38" t="s">
        <v>86</v>
      </c>
      <c r="N237" s="38"/>
      <c r="O237" s="37">
        <v>180</v>
      </c>
      <c r="P237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0"/>
      <c r="R237" s="350"/>
      <c r="S237" s="350"/>
      <c r="T237" s="351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89</v>
      </c>
      <c r="AK237" s="87">
        <v>1</v>
      </c>
      <c r="BB237" s="244" t="s">
        <v>111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1"/>
      <c r="P238" s="357" t="s">
        <v>40</v>
      </c>
      <c r="Q238" s="358"/>
      <c r="R238" s="358"/>
      <c r="S238" s="358"/>
      <c r="T238" s="358"/>
      <c r="U238" s="358"/>
      <c r="V238" s="35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0"/>
      <c r="B239" s="360"/>
      <c r="C239" s="360"/>
      <c r="D239" s="360"/>
      <c r="E239" s="360"/>
      <c r="F239" s="360"/>
      <c r="G239" s="360"/>
      <c r="H239" s="360"/>
      <c r="I239" s="360"/>
      <c r="J239" s="360"/>
      <c r="K239" s="360"/>
      <c r="L239" s="360"/>
      <c r="M239" s="360"/>
      <c r="N239" s="360"/>
      <c r="O239" s="361"/>
      <c r="P239" s="357" t="s">
        <v>40</v>
      </c>
      <c r="Q239" s="358"/>
      <c r="R239" s="358"/>
      <c r="S239" s="358"/>
      <c r="T239" s="358"/>
      <c r="U239" s="358"/>
      <c r="V239" s="35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5" t="s">
        <v>342</v>
      </c>
      <c r="B240" s="345"/>
      <c r="C240" s="345"/>
      <c r="D240" s="345"/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  <c r="X240" s="345"/>
      <c r="Y240" s="345"/>
      <c r="Z240" s="345"/>
      <c r="AA240" s="54"/>
      <c r="AB240" s="54"/>
      <c r="AC240" s="54"/>
    </row>
    <row r="241" spans="1:68" ht="16.5" customHeight="1" x14ac:dyDescent="0.25">
      <c r="A241" s="346" t="s">
        <v>342</v>
      </c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65"/>
      <c r="AB241" s="65"/>
      <c r="AC241" s="82"/>
    </row>
    <row r="242" spans="1:68" ht="14.25" customHeight="1" x14ac:dyDescent="0.25">
      <c r="A242" s="347" t="s">
        <v>82</v>
      </c>
      <c r="B242" s="347"/>
      <c r="C242" s="347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48">
        <v>4640242181264</v>
      </c>
      <c r="E243" s="348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180</v>
      </c>
      <c r="P243" s="43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0"/>
      <c r="R243" s="350"/>
      <c r="S243" s="350"/>
      <c r="T243" s="35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89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48">
        <v>4640242181325</v>
      </c>
      <c r="E244" s="348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88</v>
      </c>
      <c r="M244" s="38" t="s">
        <v>86</v>
      </c>
      <c r="N244" s="38"/>
      <c r="O244" s="37">
        <v>180</v>
      </c>
      <c r="P244" s="43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0"/>
      <c r="R244" s="350"/>
      <c r="S244" s="350"/>
      <c r="T244" s="35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89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1"/>
      <c r="P245" s="357" t="s">
        <v>40</v>
      </c>
      <c r="Q245" s="358"/>
      <c r="R245" s="358"/>
      <c r="S245" s="358"/>
      <c r="T245" s="358"/>
      <c r="U245" s="358"/>
      <c r="V245" s="359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0"/>
      <c r="B246" s="360"/>
      <c r="C246" s="360"/>
      <c r="D246" s="360"/>
      <c r="E246" s="360"/>
      <c r="F246" s="360"/>
      <c r="G246" s="360"/>
      <c r="H246" s="360"/>
      <c r="I246" s="360"/>
      <c r="J246" s="360"/>
      <c r="K246" s="360"/>
      <c r="L246" s="360"/>
      <c r="M246" s="360"/>
      <c r="N246" s="360"/>
      <c r="O246" s="361"/>
      <c r="P246" s="357" t="s">
        <v>40</v>
      </c>
      <c r="Q246" s="358"/>
      <c r="R246" s="358"/>
      <c r="S246" s="358"/>
      <c r="T246" s="358"/>
      <c r="U246" s="358"/>
      <c r="V246" s="359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7" t="s">
        <v>107</v>
      </c>
      <c r="B247" s="347"/>
      <c r="C247" s="347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48">
        <v>4640242180397</v>
      </c>
      <c r="E248" s="348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87</v>
      </c>
      <c r="L248" s="37" t="s">
        <v>113</v>
      </c>
      <c r="M248" s="38" t="s">
        <v>86</v>
      </c>
      <c r="N248" s="38"/>
      <c r="O248" s="37">
        <v>180</v>
      </c>
      <c r="P248" s="43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0"/>
      <c r="R248" s="350"/>
      <c r="S248" s="350"/>
      <c r="T248" s="35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12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1"/>
      <c r="P249" s="357" t="s">
        <v>40</v>
      </c>
      <c r="Q249" s="358"/>
      <c r="R249" s="358"/>
      <c r="S249" s="358"/>
      <c r="T249" s="358"/>
      <c r="U249" s="358"/>
      <c r="V249" s="359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1"/>
      <c r="P250" s="357" t="s">
        <v>40</v>
      </c>
      <c r="Q250" s="358"/>
      <c r="R250" s="358"/>
      <c r="S250" s="358"/>
      <c r="T250" s="358"/>
      <c r="U250" s="358"/>
      <c r="V250" s="359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14.25" customHeight="1" x14ac:dyDescent="0.25">
      <c r="A251" s="347" t="s">
        <v>145</v>
      </c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66"/>
      <c r="AB251" s="66"/>
      <c r="AC251" s="83"/>
    </row>
    <row r="252" spans="1:68" ht="27" customHeight="1" x14ac:dyDescent="0.25">
      <c r="A252" s="63" t="s">
        <v>351</v>
      </c>
      <c r="B252" s="63" t="s">
        <v>352</v>
      </c>
      <c r="C252" s="36">
        <v>4301136051</v>
      </c>
      <c r="D252" s="348">
        <v>4640242180304</v>
      </c>
      <c r="E252" s="348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112</v>
      </c>
      <c r="L252" s="37" t="s">
        <v>113</v>
      </c>
      <c r="M252" s="38" t="s">
        <v>86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353</v>
      </c>
      <c r="AG252" s="81"/>
      <c r="AJ252" s="87" t="s">
        <v>114</v>
      </c>
      <c r="AK252" s="87">
        <v>14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354</v>
      </c>
      <c r="B253" s="63" t="s">
        <v>355</v>
      </c>
      <c r="C253" s="36">
        <v>4301136053</v>
      </c>
      <c r="D253" s="348">
        <v>4640242180236</v>
      </c>
      <c r="E253" s="348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87</v>
      </c>
      <c r="L253" s="37" t="s">
        <v>113</v>
      </c>
      <c r="M253" s="38" t="s">
        <v>86</v>
      </c>
      <c r="N253" s="38"/>
      <c r="O253" s="37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0"/>
      <c r="R253" s="350"/>
      <c r="S253" s="350"/>
      <c r="T253" s="35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353</v>
      </c>
      <c r="AG253" s="81"/>
      <c r="AJ253" s="87" t="s">
        <v>114</v>
      </c>
      <c r="AK253" s="87">
        <v>12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4301136052</v>
      </c>
      <c r="D254" s="348">
        <v>4640242180410</v>
      </c>
      <c r="E254" s="348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0"/>
      <c r="R254" s="350"/>
      <c r="S254" s="350"/>
      <c r="T254" s="35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353</v>
      </c>
      <c r="AG254" s="81"/>
      <c r="AJ254" s="87" t="s">
        <v>89</v>
      </c>
      <c r="AK254" s="87">
        <v>1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1"/>
      <c r="P255" s="357" t="s">
        <v>40</v>
      </c>
      <c r="Q255" s="358"/>
      <c r="R255" s="358"/>
      <c r="S255" s="358"/>
      <c r="T255" s="358"/>
      <c r="U255" s="358"/>
      <c r="V255" s="359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1"/>
      <c r="P256" s="357" t="s">
        <v>40</v>
      </c>
      <c r="Q256" s="358"/>
      <c r="R256" s="358"/>
      <c r="S256" s="358"/>
      <c r="T256" s="358"/>
      <c r="U256" s="358"/>
      <c r="V256" s="359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7" t="s">
        <v>151</v>
      </c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66"/>
      <c r="AB257" s="66"/>
      <c r="AC257" s="83"/>
    </row>
    <row r="258" spans="1:68" ht="37.5" customHeight="1" x14ac:dyDescent="0.25">
      <c r="A258" s="63" t="s">
        <v>358</v>
      </c>
      <c r="B258" s="63" t="s">
        <v>359</v>
      </c>
      <c r="C258" s="36">
        <v>4301135504</v>
      </c>
      <c r="D258" s="348">
        <v>4640242181554</v>
      </c>
      <c r="E258" s="348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112</v>
      </c>
      <c r="L258" s="37" t="s">
        <v>88</v>
      </c>
      <c r="M258" s="38" t="s">
        <v>86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360</v>
      </c>
      <c r="AG258" s="81"/>
      <c r="AJ258" s="87" t="s">
        <v>89</v>
      </c>
      <c r="AK258" s="87">
        <v>1</v>
      </c>
      <c r="BB258" s="258" t="s">
        <v>111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4301135518</v>
      </c>
      <c r="D259" s="348">
        <v>4640242181561</v>
      </c>
      <c r="E259" s="348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0"/>
      <c r="R259" s="350"/>
      <c r="S259" s="350"/>
      <c r="T259" s="351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114</v>
      </c>
      <c r="AK259" s="87">
        <v>14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4301135374</v>
      </c>
      <c r="D260" s="348">
        <v>4640242181424</v>
      </c>
      <c r="E260" s="348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87</v>
      </c>
      <c r="L260" s="37" t="s">
        <v>113</v>
      </c>
      <c r="M260" s="38" t="s">
        <v>86</v>
      </c>
      <c r="N260" s="38"/>
      <c r="O260" s="37">
        <v>180</v>
      </c>
      <c r="P260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0"/>
      <c r="R260" s="350"/>
      <c r="S260" s="350"/>
      <c r="T260" s="351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360</v>
      </c>
      <c r="AG260" s="81"/>
      <c r="AJ260" s="87" t="s">
        <v>114</v>
      </c>
      <c r="AK260" s="87">
        <v>12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4301135405</v>
      </c>
      <c r="D261" s="348">
        <v>4640242181523</v>
      </c>
      <c r="E261" s="348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112</v>
      </c>
      <c r="L261" s="37" t="s">
        <v>113</v>
      </c>
      <c r="M261" s="38" t="s">
        <v>86</v>
      </c>
      <c r="N261" s="38"/>
      <c r="O261" s="37">
        <v>180</v>
      </c>
      <c r="P261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0"/>
      <c r="R261" s="350"/>
      <c r="S261" s="350"/>
      <c r="T261" s="351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114</v>
      </c>
      <c r="AK261" s="87">
        <v>14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4301135375</v>
      </c>
      <c r="D262" s="348">
        <v>4640242181486</v>
      </c>
      <c r="E262" s="348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230</v>
      </c>
      <c r="M262" s="38" t="s">
        <v>86</v>
      </c>
      <c r="N262" s="38"/>
      <c r="O262" s="37">
        <v>180</v>
      </c>
      <c r="P262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360</v>
      </c>
      <c r="AG262" s="81"/>
      <c r="AJ262" s="87" t="s">
        <v>231</v>
      </c>
      <c r="AK262" s="87">
        <v>126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370</v>
      </c>
      <c r="B263" s="63" t="s">
        <v>371</v>
      </c>
      <c r="C263" s="36">
        <v>4301135402</v>
      </c>
      <c r="D263" s="348">
        <v>4640242181493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113</v>
      </c>
      <c r="M263" s="38" t="s">
        <v>86</v>
      </c>
      <c r="N263" s="38"/>
      <c r="O263" s="37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360</v>
      </c>
      <c r="AG263" s="81"/>
      <c r="AJ263" s="87" t="s">
        <v>114</v>
      </c>
      <c r="AK263" s="87">
        <v>14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4301135403</v>
      </c>
      <c r="D264" s="348">
        <v>4640242181509</v>
      </c>
      <c r="E264" s="348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360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374</v>
      </c>
      <c r="B265" s="63" t="s">
        <v>375</v>
      </c>
      <c r="C265" s="36">
        <v>4301135304</v>
      </c>
      <c r="D265" s="348">
        <v>4640242181240</v>
      </c>
      <c r="E265" s="348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360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4301135610</v>
      </c>
      <c r="D266" s="348">
        <v>4640242181318</v>
      </c>
      <c r="E266" s="348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4301135306</v>
      </c>
      <c r="D267" s="348">
        <v>4640242181387</v>
      </c>
      <c r="E267" s="348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163</v>
      </c>
      <c r="L267" s="37" t="s">
        <v>88</v>
      </c>
      <c r="M267" s="38" t="s">
        <v>86</v>
      </c>
      <c r="N267" s="38"/>
      <c r="O267" s="37">
        <v>180</v>
      </c>
      <c r="P267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360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1"/>
      <c r="P268" s="357" t="s">
        <v>40</v>
      </c>
      <c r="Q268" s="358"/>
      <c r="R268" s="358"/>
      <c r="S268" s="358"/>
      <c r="T268" s="358"/>
      <c r="U268" s="358"/>
      <c r="V268" s="359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1"/>
      <c r="P269" s="357" t="s">
        <v>40</v>
      </c>
      <c r="Q269" s="358"/>
      <c r="R269" s="358"/>
      <c r="S269" s="358"/>
      <c r="T269" s="358"/>
      <c r="U269" s="358"/>
      <c r="V269" s="359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453"/>
      <c r="P270" s="450" t="s">
        <v>33</v>
      </c>
      <c r="Q270" s="451"/>
      <c r="R270" s="451"/>
      <c r="S270" s="451"/>
      <c r="T270" s="451"/>
      <c r="U270" s="451"/>
      <c r="V270" s="452"/>
      <c r="W270" s="42" t="s">
        <v>0</v>
      </c>
      <c r="X270" s="43">
        <f>IFERROR(X29+X35+X42+X49+X57+X62+X66+X71+X77+X83+X88+X94+X104+X110+X121+X125+X129+X135+X141+X147+X152+X157+X162+X167+X174+X179+X188+X192+X198+X206+X211+X217+X223+X229+X235+X239+X246+X250+X256+X269,"0")</f>
        <v>0</v>
      </c>
      <c r="Y270" s="43">
        <f>IFERROR(Y29+Y35+Y42+Y49+Y57+Y62+Y66+Y71+Y77+Y83+Y88+Y94+Y104+Y110+Y121+Y125+Y129+Y135+Y141+Y147+Y152+Y157+Y162+Y167+Y174+Y179+Y188+Y192+Y198+Y206+Y211+Y217+Y223+Y229+Y235+Y239+Y246+Y250+Y256+Y269,"0")</f>
        <v>0</v>
      </c>
      <c r="Z270" s="42"/>
      <c r="AA270" s="67"/>
      <c r="AB270" s="67"/>
      <c r="AC270" s="67"/>
    </row>
    <row r="271" spans="1:68" x14ac:dyDescent="0.2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453"/>
      <c r="P271" s="450" t="s">
        <v>34</v>
      </c>
      <c r="Q271" s="451"/>
      <c r="R271" s="451"/>
      <c r="S271" s="451"/>
      <c r="T271" s="451"/>
      <c r="U271" s="451"/>
      <c r="V271" s="452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453"/>
      <c r="P272" s="450" t="s">
        <v>35</v>
      </c>
      <c r="Q272" s="451"/>
      <c r="R272" s="451"/>
      <c r="S272" s="451"/>
      <c r="T272" s="451"/>
      <c r="U272" s="451"/>
      <c r="V272" s="452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453"/>
      <c r="P273" s="450" t="s">
        <v>36</v>
      </c>
      <c r="Q273" s="451"/>
      <c r="R273" s="451"/>
      <c r="S273" s="451"/>
      <c r="T273" s="451"/>
      <c r="U273" s="451"/>
      <c r="V273" s="452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453"/>
      <c r="P274" s="450" t="s">
        <v>37</v>
      </c>
      <c r="Q274" s="451"/>
      <c r="R274" s="451"/>
      <c r="S274" s="451"/>
      <c r="T274" s="451"/>
      <c r="U274" s="451"/>
      <c r="V274" s="452"/>
      <c r="W274" s="42" t="s">
        <v>20</v>
      </c>
      <c r="X274" s="43">
        <f>IFERROR(X28+X34+X41+X48+X56+X61+X65+X70+X76+X82+X87+X93+X103+X109+X120+X124+X128+X134+X140+X146+X151+X156+X161+X166+X173+X178+X187+X191+X197+X205+X210+X216+X222+X228+X234+X238+X245+X249+X255+X268,"0")</f>
        <v>0</v>
      </c>
      <c r="Y274" s="43">
        <f>IFERROR(Y28+Y34+Y41+Y48+Y56+Y61+Y65+Y70+Y76+Y82+Y87+Y93+Y103+Y109+Y120+Y124+Y128+Y134+Y140+Y146+Y151+Y156+Y161+Y166+Y173+Y178+Y187+Y191+Y197+Y205+Y210+Y216+Y222+Y228+Y234+Y238+Y245+Y249+Y255+Y268,"0")</f>
        <v>0</v>
      </c>
      <c r="Z274" s="42"/>
      <c r="AA274" s="67"/>
      <c r="AB274" s="67"/>
      <c r="AC274" s="67"/>
    </row>
    <row r="275" spans="1:32" ht="14.25" x14ac:dyDescent="0.2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453"/>
      <c r="P275" s="450" t="s">
        <v>38</v>
      </c>
      <c r="Q275" s="451"/>
      <c r="R275" s="451"/>
      <c r="S275" s="451"/>
      <c r="T275" s="451"/>
      <c r="U275" s="451"/>
      <c r="V275" s="452"/>
      <c r="W275" s="45" t="s">
        <v>52</v>
      </c>
      <c r="X275" s="42"/>
      <c r="Y275" s="42"/>
      <c r="Z275" s="42">
        <f>IFERROR(Z28+Z34+Z41+Z48+Z56+Z61+Z65+Z70+Z76+Z82+Z87+Z93+Z103+Z109+Z120+Z124+Z128+Z134+Z140+Z146+Z151+Z156+Z161+Z166+Z173+Z178+Z187+Z191+Z197+Z205+Z210+Z216+Z222+Z228+Z234+Z238+Z245+Z249+Z255+Z268,"0")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6" t="s">
        <v>81</v>
      </c>
      <c r="C277" s="456" t="s">
        <v>81</v>
      </c>
      <c r="D277" s="456" t="s">
        <v>45</v>
      </c>
      <c r="E277" s="456" t="s">
        <v>45</v>
      </c>
      <c r="F277" s="456" t="s">
        <v>45</v>
      </c>
      <c r="G277" s="456" t="s">
        <v>45</v>
      </c>
      <c r="H277" s="456" t="s">
        <v>45</v>
      </c>
      <c r="I277" s="456" t="s">
        <v>45</v>
      </c>
      <c r="J277" s="456" t="s">
        <v>45</v>
      </c>
      <c r="K277" s="456" t="s">
        <v>45</v>
      </c>
      <c r="L277" s="456" t="s">
        <v>45</v>
      </c>
      <c r="M277" s="456" t="s">
        <v>45</v>
      </c>
      <c r="N277" s="457"/>
      <c r="O277" s="456" t="s">
        <v>45</v>
      </c>
      <c r="P277" s="456" t="s">
        <v>45</v>
      </c>
      <c r="Q277" s="456" t="s">
        <v>45</v>
      </c>
      <c r="R277" s="456" t="s">
        <v>45</v>
      </c>
      <c r="S277" s="456" t="s">
        <v>45</v>
      </c>
      <c r="T277" s="456" t="s">
        <v>45</v>
      </c>
      <c r="U277" s="456" t="s">
        <v>45</v>
      </c>
      <c r="V277" s="88" t="s">
        <v>260</v>
      </c>
      <c r="W277" s="88" t="s">
        <v>274</v>
      </c>
      <c r="X277" s="456" t="s">
        <v>296</v>
      </c>
      <c r="Y277" s="456" t="s">
        <v>296</v>
      </c>
      <c r="Z277" s="456" t="s">
        <v>296</v>
      </c>
      <c r="AA277" s="88" t="s">
        <v>325</v>
      </c>
      <c r="AB277" s="88" t="s">
        <v>330</v>
      </c>
      <c r="AC277" s="88" t="s">
        <v>334</v>
      </c>
      <c r="AD277" s="88" t="s">
        <v>342</v>
      </c>
      <c r="AF277" s="1"/>
    </row>
    <row r="278" spans="1:32" ht="14.25" customHeight="1" thickTop="1" x14ac:dyDescent="0.2">
      <c r="A278" s="454" t="s">
        <v>10</v>
      </c>
      <c r="B278" s="456" t="s">
        <v>81</v>
      </c>
      <c r="C278" s="456" t="s">
        <v>100</v>
      </c>
      <c r="D278" s="456" t="s">
        <v>106</v>
      </c>
      <c r="E278" s="456" t="s">
        <v>117</v>
      </c>
      <c r="F278" s="456" t="s">
        <v>127</v>
      </c>
      <c r="G278" s="456" t="s">
        <v>138</v>
      </c>
      <c r="H278" s="456" t="s">
        <v>159</v>
      </c>
      <c r="I278" s="456" t="s">
        <v>166</v>
      </c>
      <c r="J278" s="456" t="s">
        <v>170</v>
      </c>
      <c r="K278" s="456" t="s">
        <v>178</v>
      </c>
      <c r="L278" s="456" t="s">
        <v>193</v>
      </c>
      <c r="M278" s="456" t="s">
        <v>199</v>
      </c>
      <c r="N278" s="1"/>
      <c r="O278" s="456" t="s">
        <v>224</v>
      </c>
      <c r="P278" s="456" t="s">
        <v>232</v>
      </c>
      <c r="Q278" s="456" t="s">
        <v>239</v>
      </c>
      <c r="R278" s="456" t="s">
        <v>244</v>
      </c>
      <c r="S278" s="456" t="s">
        <v>248</v>
      </c>
      <c r="T278" s="456" t="s">
        <v>251</v>
      </c>
      <c r="U278" s="456" t="s">
        <v>256</v>
      </c>
      <c r="V278" s="456" t="s">
        <v>261</v>
      </c>
      <c r="W278" s="456" t="s">
        <v>275</v>
      </c>
      <c r="X278" s="456" t="s">
        <v>297</v>
      </c>
      <c r="Y278" s="456" t="s">
        <v>315</v>
      </c>
      <c r="Z278" s="456" t="s">
        <v>319</v>
      </c>
      <c r="AA278" s="456" t="s">
        <v>326</v>
      </c>
      <c r="AB278" s="456" t="s">
        <v>331</v>
      </c>
      <c r="AC278" s="456" t="s">
        <v>335</v>
      </c>
      <c r="AD278" s="456" t="s">
        <v>342</v>
      </c>
      <c r="AF278" s="1"/>
    </row>
    <row r="279" spans="1:32" ht="13.5" thickBot="1" x14ac:dyDescent="0.25">
      <c r="A279" s="455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1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  <c r="AA279" s="456"/>
      <c r="AB279" s="456"/>
      <c r="AC279" s="456"/>
      <c r="AD279" s="456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IFERROR(X113*H113,"0")+IFERROR(X114*H114,"0")+IFERROR(X115*H115,"0")+IFERROR(X116*H116,"0")+IFERROR(X117*H117,"0")+IFERROR(X118*H118,"0")+IFERROR(X119*H119,"0")+IFERROR(X123*H123,"0")+IFERROR(X127*H127,"0")</f>
        <v>0</v>
      </c>
      <c r="N280" s="1"/>
      <c r="O280" s="52">
        <f>IFERROR(X132*H132,"0")+IFERROR(X133*H133,"0")</f>
        <v>0</v>
      </c>
      <c r="P280" s="52">
        <f>IFERROR(X138*H138,"0")+IFERROR(X139*H139,"0")</f>
        <v>0</v>
      </c>
      <c r="Q280" s="52">
        <f>IFERROR(X144*H144,"0")+IFERROR(X145*H145,"0")</f>
        <v>0</v>
      </c>
      <c r="R280" s="52">
        <f>IFERROR(X150*H150,"0")</f>
        <v>0</v>
      </c>
      <c r="S280" s="52">
        <f>IFERROR(X155*H155,"0")</f>
        <v>0</v>
      </c>
      <c r="T280" s="52">
        <f>IFERROR(X160*H160,"0")</f>
        <v>0</v>
      </c>
      <c r="U280" s="52">
        <f>IFERROR(X165*H165,"0")</f>
        <v>0</v>
      </c>
      <c r="V280" s="52">
        <f>IFERROR(X171*H171,"0")+IFERROR(X172*H172,"0")+IFERROR(X176*H176,"0")+IFERROR(X177*H177,"0")</f>
        <v>0</v>
      </c>
      <c r="W280" s="52">
        <f>IFERROR(X183*H183,"0")+IFERROR(X184*H184,"0")+IFERROR(X185*H185,"0")+IFERROR(X186*H186,"0")+IFERROR(X190*H190,"0")</f>
        <v>0</v>
      </c>
      <c r="X280" s="52">
        <f>IFERROR(X196*H196,"0")+IFERROR(X200*H200,"0")+IFERROR(X201*H201,"0")+IFERROR(X202*H202,"0")+IFERROR(X203*H203,"0")+IFERROR(X204*H204,"0")</f>
        <v>0</v>
      </c>
      <c r="Y280" s="52">
        <f>IFERROR(X209*H209,"0")</f>
        <v>0</v>
      </c>
      <c r="Z280" s="52">
        <f>IFERROR(X214*H214,"0")+IFERROR(X215*H215,"0")</f>
        <v>0</v>
      </c>
      <c r="AA280" s="52">
        <f>IFERROR(X221*H221,"0")</f>
        <v>0</v>
      </c>
      <c r="AB280" s="52">
        <f>IFERROR(X227*H227,"0")</f>
        <v>0</v>
      </c>
      <c r="AC280" s="52">
        <f>IFERROR(X233*H233,"0")+IFERROR(X237*H237,"0")</f>
        <v>0</v>
      </c>
      <c r="AD280" s="52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LwtLDuK6QFQ/uZUgAHnWNLPTbmIWrB5kPH/G/T2K8vqhw7i6iCG/9k/2VIinwGeaWOsOfMyqFFh18bjqXMz8hw==" saltValue="OOLhIwAkIBGZdFewudxte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A193:Z193"/>
    <mergeCell ref="A194:Z194"/>
    <mergeCell ref="A195:Z195"/>
    <mergeCell ref="D196:E196"/>
    <mergeCell ref="P196:T196"/>
    <mergeCell ref="P197:V197"/>
    <mergeCell ref="A197:O198"/>
    <mergeCell ref="P198:V198"/>
    <mergeCell ref="A199:Z199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80:Z180"/>
    <mergeCell ref="A181:Z181"/>
    <mergeCell ref="A182:Z182"/>
    <mergeCell ref="D183:E183"/>
    <mergeCell ref="P183:T183"/>
    <mergeCell ref="D184:E184"/>
    <mergeCell ref="P184:T184"/>
    <mergeCell ref="D185:E185"/>
    <mergeCell ref="P185:T185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7 X258 X254 X243:X244 X237 X233 X227 X221 X214:X215 X204 X202 X200 X190 X186 X176:X177 X171 X160 X144 X138 X127 X123 X117 X114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 X259:X261 X252:X253 X248 X209 X203 X201 X196 X183:X185 X172 X165 X155 X150 X145 X139 X132 X118:X119 X115:X116 X113 X107:X108 X97:X102 X91:X92 X86 X80:X81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62" xr:uid="{00000000-0002-0000-0000-000040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80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IskiK4GDqHtIOiccOPPDqSNmkJ2JyDyCeTA/jUUaNlMM6LTwA1nHsnfyAwwjitF93lOjGfhTY9rSzwzQjnAjmw==" saltValue="bDBBG40UNXT281gU85Z+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