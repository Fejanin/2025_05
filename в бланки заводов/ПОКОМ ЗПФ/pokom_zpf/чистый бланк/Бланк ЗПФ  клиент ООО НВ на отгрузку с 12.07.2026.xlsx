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-dax.aos.wrk\AppData\Local\Temp\AxReports\"/>
    </mc:Choice>
  </mc:AlternateContent>
  <bookViews>
    <workbookView xWindow="40905" yWindow="495" windowWidth="25605" windowHeight="14325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заказа'!$B$186:$B$186</definedName>
    <definedName name="ProductId67">'Бланк заказа'!$B$191:$B$191</definedName>
    <definedName name="ProductId68">'Бланк заказа'!$B$197:$B$197</definedName>
    <definedName name="ProductId69">'Бланк заказа'!$B$198:$B$198</definedName>
    <definedName name="ProductId7">'Бланк заказа'!$B$28:$B$28</definedName>
    <definedName name="ProductId70">'Бланк заказа'!$B$199:$B$199</definedName>
    <definedName name="ProductId71">'Бланк заказа'!$B$200:$B$200</definedName>
    <definedName name="ProductId72">'Бланк заказа'!$B$206:$B$206</definedName>
    <definedName name="ProductId73">'Бланк заказа'!$B$210:$B$210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заказа'!$B$223:$B$223</definedName>
    <definedName name="ProductId79">'Бланк заказа'!$B$228:$B$228</definedName>
    <definedName name="ProductId8">'Бланк заказа'!$B$29:$B$29</definedName>
    <definedName name="ProductId80">'Бланк заказа'!$B$234:$B$234</definedName>
    <definedName name="ProductId81">'Бланк заказа'!$B$240:$B$240</definedName>
    <definedName name="ProductId82">'Бланк заказа'!$B$244:$B$244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заказа'!$B$265:$B$265</definedName>
    <definedName name="ProductId88">'Бланк заказа'!$B$266:$B$266</definedName>
    <definedName name="ProductId89">'Бланк заказа'!$B$267:$B$267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заказа'!$X$186:$X$186</definedName>
    <definedName name="SalesQty67">'Бланк заказа'!$X$191:$X$191</definedName>
    <definedName name="SalesQty68">'Бланк заказа'!$X$197:$X$197</definedName>
    <definedName name="SalesQty69">'Бланк заказа'!$X$198:$X$198</definedName>
    <definedName name="SalesQty7">'Бланк заказа'!$X$28:$X$28</definedName>
    <definedName name="SalesQty70">'Бланк заказа'!$X$199:$X$199</definedName>
    <definedName name="SalesQty71">'Бланк заказа'!$X$200:$X$200</definedName>
    <definedName name="SalesQty72">'Бланк заказа'!$X$206:$X$206</definedName>
    <definedName name="SalesQty73">'Бланк заказа'!$X$210:$X$210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заказа'!$X$223:$X$223</definedName>
    <definedName name="SalesQty79">'Бланк заказа'!$X$228:$X$228</definedName>
    <definedName name="SalesQty8">'Бланк заказа'!$X$29:$X$29</definedName>
    <definedName name="SalesQty80">'Бланк заказа'!$X$234:$X$234</definedName>
    <definedName name="SalesQty81">'Бланк заказа'!$X$240:$X$240</definedName>
    <definedName name="SalesQty82">'Бланк заказа'!$X$244:$X$244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заказа'!$X$265:$X$265</definedName>
    <definedName name="SalesQty88">'Бланк заказа'!$X$266:$X$266</definedName>
    <definedName name="SalesQty89">'Бланк заказа'!$X$267:$X$267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заказа'!$Y$186:$Y$186</definedName>
    <definedName name="SalesRoundBox67">'Бланк заказа'!$Y$191:$Y$191</definedName>
    <definedName name="SalesRoundBox68">'Бланк заказа'!$Y$197:$Y$197</definedName>
    <definedName name="SalesRoundBox69">'Бланк заказа'!$Y$198:$Y$198</definedName>
    <definedName name="SalesRoundBox7">'Бланк заказа'!$Y$28:$Y$28</definedName>
    <definedName name="SalesRoundBox70">'Бланк заказа'!$Y$199:$Y$199</definedName>
    <definedName name="SalesRoundBox71">'Бланк заказа'!$Y$200:$Y$200</definedName>
    <definedName name="SalesRoundBox72">'Бланк заказа'!$Y$206:$Y$206</definedName>
    <definedName name="SalesRoundBox73">'Бланк заказа'!$Y$210:$Y$210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заказа'!$Y$223:$Y$223</definedName>
    <definedName name="SalesRoundBox79">'Бланк заказа'!$Y$228:$Y$228</definedName>
    <definedName name="SalesRoundBox8">'Бланк заказа'!$Y$29:$Y$29</definedName>
    <definedName name="SalesRoundBox80">'Бланк заказа'!$Y$234:$Y$234</definedName>
    <definedName name="SalesRoundBox81">'Бланк заказа'!$Y$240:$Y$240</definedName>
    <definedName name="SalesRoundBox82">'Бланк заказа'!$Y$244:$Y$244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заказа'!$Y$265:$Y$265</definedName>
    <definedName name="SalesRoundBox88">'Бланк заказа'!$Y$266:$Y$266</definedName>
    <definedName name="SalesRoundBox89">'Бланк заказа'!$Y$267:$Y$267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заказа'!$W$186:$W$186</definedName>
    <definedName name="UnitOfMeasure67">'Бланк заказа'!$W$191:$W$191</definedName>
    <definedName name="UnitOfMeasure68">'Бланк заказа'!$W$197:$W$197</definedName>
    <definedName name="UnitOfMeasure69">'Бланк заказа'!$W$198:$W$198</definedName>
    <definedName name="UnitOfMeasure7">'Бланк заказа'!$W$28:$W$28</definedName>
    <definedName name="UnitOfMeasure70">'Бланк заказа'!$W$199:$W$199</definedName>
    <definedName name="UnitOfMeasure71">'Бланк заказа'!$W$200:$W$200</definedName>
    <definedName name="UnitOfMeasure72">'Бланк заказа'!$W$206:$W$206</definedName>
    <definedName name="UnitOfMeasure73">'Бланк заказа'!$W$210:$W$210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заказа'!$W$223:$W$223</definedName>
    <definedName name="UnitOfMeasure79">'Бланк заказа'!$W$228:$W$228</definedName>
    <definedName name="UnitOfMeasure8">'Бланк заказа'!$W$29:$W$29</definedName>
    <definedName name="UnitOfMeasure80">'Бланк заказа'!$W$234:$W$234</definedName>
    <definedName name="UnitOfMeasure81">'Бланк заказа'!$W$240:$W$240</definedName>
    <definedName name="UnitOfMeasure82">'Бланк заказа'!$W$244:$W$244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заказа'!$W$265:$W$265</definedName>
    <definedName name="UnitOfMeasure88">'Бланк заказа'!$W$266:$W$266</definedName>
    <definedName name="UnitOfMeasure89">'Бланк заказа'!$W$267:$W$267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62913"/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P280" i="2" s="1"/>
  <c r="P280" i="2"/>
  <c r="BP279" i="2"/>
  <c r="BO279" i="2"/>
  <c r="BN279" i="2"/>
  <c r="BM279" i="2"/>
  <c r="Z279" i="2"/>
  <c r="Y279" i="2"/>
  <c r="P279" i="2"/>
  <c r="BP278" i="2"/>
  <c r="BO278" i="2"/>
  <c r="BM278" i="2"/>
  <c r="Z278" i="2"/>
  <c r="Y278" i="2"/>
  <c r="BN278" i="2" s="1"/>
  <c r="P278" i="2"/>
  <c r="BO277" i="2"/>
  <c r="BN277" i="2"/>
  <c r="BM277" i="2"/>
  <c r="Z277" i="2"/>
  <c r="Y277" i="2"/>
  <c r="BP277" i="2" s="1"/>
  <c r="P277" i="2"/>
  <c r="BO276" i="2"/>
  <c r="BN276" i="2"/>
  <c r="BM276" i="2"/>
  <c r="Z276" i="2"/>
  <c r="Y276" i="2"/>
  <c r="BP276" i="2" s="1"/>
  <c r="P276" i="2"/>
  <c r="BO275" i="2"/>
  <c r="BN275" i="2"/>
  <c r="BM275" i="2"/>
  <c r="Z275" i="2"/>
  <c r="Y275" i="2"/>
  <c r="BP275" i="2" s="1"/>
  <c r="P275" i="2"/>
  <c r="BP274" i="2"/>
  <c r="BO274" i="2"/>
  <c r="BM274" i="2"/>
  <c r="Z274" i="2"/>
  <c r="Y274" i="2"/>
  <c r="BN274" i="2" s="1"/>
  <c r="P274" i="2"/>
  <c r="BP273" i="2"/>
  <c r="BO273" i="2"/>
  <c r="BN273" i="2"/>
  <c r="BM273" i="2"/>
  <c r="Z273" i="2"/>
  <c r="Y273" i="2"/>
  <c r="P273" i="2"/>
  <c r="BO272" i="2"/>
  <c r="BM272" i="2"/>
  <c r="Z272" i="2"/>
  <c r="Y272" i="2"/>
  <c r="BP272" i="2" s="1"/>
  <c r="P272" i="2"/>
  <c r="BP271" i="2"/>
  <c r="BO271" i="2"/>
  <c r="BN271" i="2"/>
  <c r="BM271" i="2"/>
  <c r="Z271" i="2"/>
  <c r="Z281" i="2" s="1"/>
  <c r="Y271" i="2"/>
  <c r="Y282" i="2" s="1"/>
  <c r="P271" i="2"/>
  <c r="X269" i="2"/>
  <c r="X268" i="2"/>
  <c r="BO267" i="2"/>
  <c r="BN267" i="2"/>
  <c r="BM267" i="2"/>
  <c r="Z267" i="2"/>
  <c r="Y267" i="2"/>
  <c r="Y269" i="2" s="1"/>
  <c r="P267" i="2"/>
  <c r="BP266" i="2"/>
  <c r="BO266" i="2"/>
  <c r="BN266" i="2"/>
  <c r="BM266" i="2"/>
  <c r="Z266" i="2"/>
  <c r="Y266" i="2"/>
  <c r="Y268" i="2" s="1"/>
  <c r="P266" i="2"/>
  <c r="BP265" i="2"/>
  <c r="BO265" i="2"/>
  <c r="BN265" i="2"/>
  <c r="BM265" i="2"/>
  <c r="Z265" i="2"/>
  <c r="Z268" i="2" s="1"/>
  <c r="Y265" i="2"/>
  <c r="P265" i="2"/>
  <c r="Y263" i="2"/>
  <c r="X263" i="2"/>
  <c r="Z262" i="2"/>
  <c r="Y262" i="2"/>
  <c r="X262" i="2"/>
  <c r="BO261" i="2"/>
  <c r="BN261" i="2"/>
  <c r="BM261" i="2"/>
  <c r="Z261" i="2"/>
  <c r="Y261" i="2"/>
  <c r="BP261" i="2" s="1"/>
  <c r="P261" i="2"/>
  <c r="X259" i="2"/>
  <c r="X258" i="2"/>
  <c r="BP257" i="2"/>
  <c r="BO257" i="2"/>
  <c r="BN257" i="2"/>
  <c r="BM257" i="2"/>
  <c r="Z257" i="2"/>
  <c r="Y257" i="2"/>
  <c r="P257" i="2"/>
  <c r="BO256" i="2"/>
  <c r="BN256" i="2"/>
  <c r="BM256" i="2"/>
  <c r="Z256" i="2"/>
  <c r="Z258" i="2" s="1"/>
  <c r="Y256" i="2"/>
  <c r="BP256" i="2" s="1"/>
  <c r="P256" i="2"/>
  <c r="X252" i="2"/>
  <c r="X251" i="2"/>
  <c r="BP250" i="2"/>
  <c r="BO250" i="2"/>
  <c r="BM250" i="2"/>
  <c r="Z250" i="2"/>
  <c r="Z251" i="2" s="1"/>
  <c r="Y250" i="2"/>
  <c r="BN250" i="2" s="1"/>
  <c r="P250" i="2"/>
  <c r="Y246" i="2"/>
  <c r="X246" i="2"/>
  <c r="Z245" i="2"/>
  <c r="X245" i="2"/>
  <c r="BO244" i="2"/>
  <c r="BM244" i="2"/>
  <c r="Z244" i="2"/>
  <c r="Y244" i="2"/>
  <c r="Y245" i="2" s="1"/>
  <c r="P244" i="2"/>
  <c r="Y242" i="2"/>
  <c r="X242" i="2"/>
  <c r="Z241" i="2"/>
  <c r="X241" i="2"/>
  <c r="BO240" i="2"/>
  <c r="BN240" i="2"/>
  <c r="BM240" i="2"/>
  <c r="Z240" i="2"/>
  <c r="Y240" i="2"/>
  <c r="Y241" i="2" s="1"/>
  <c r="P240" i="2"/>
  <c r="X236" i="2"/>
  <c r="X235" i="2"/>
  <c r="BP234" i="2"/>
  <c r="BO234" i="2"/>
  <c r="BM234" i="2"/>
  <c r="Z234" i="2"/>
  <c r="Z235" i="2" s="1"/>
  <c r="Y234" i="2"/>
  <c r="BN234" i="2" s="1"/>
  <c r="P234" i="2"/>
  <c r="Y230" i="2"/>
  <c r="X230" i="2"/>
  <c r="Z229" i="2"/>
  <c r="X229" i="2"/>
  <c r="BO228" i="2"/>
  <c r="BM228" i="2"/>
  <c r="Z228" i="2"/>
  <c r="Y228" i="2"/>
  <c r="Y229" i="2" s="1"/>
  <c r="P228" i="2"/>
  <c r="Y225" i="2"/>
  <c r="X225" i="2"/>
  <c r="Z224" i="2"/>
  <c r="X224" i="2"/>
  <c r="BO223" i="2"/>
  <c r="BN223" i="2"/>
  <c r="BM223" i="2"/>
  <c r="Z223" i="2"/>
  <c r="Y223" i="2"/>
  <c r="Y224" i="2" s="1"/>
  <c r="P223" i="2"/>
  <c r="X220" i="2"/>
  <c r="X219" i="2"/>
  <c r="BP218" i="2"/>
  <c r="BO218" i="2"/>
  <c r="BM218" i="2"/>
  <c r="Z218" i="2"/>
  <c r="Y218" i="2"/>
  <c r="BN218" i="2" s="1"/>
  <c r="P218" i="2"/>
  <c r="BP217" i="2"/>
  <c r="BO217" i="2"/>
  <c r="BN217" i="2"/>
  <c r="BM217" i="2"/>
  <c r="Z217" i="2"/>
  <c r="Z219" i="2" s="1"/>
  <c r="Y217" i="2"/>
  <c r="Y219" i="2" s="1"/>
  <c r="P217" i="2"/>
  <c r="X214" i="2"/>
  <c r="Y213" i="2"/>
  <c r="X213" i="2"/>
  <c r="BP212" i="2"/>
  <c r="BO212" i="2"/>
  <c r="BN212" i="2"/>
  <c r="BM212" i="2"/>
  <c r="Z212" i="2"/>
  <c r="Y212" i="2"/>
  <c r="P212" i="2"/>
  <c r="BP211" i="2"/>
  <c r="BO211" i="2"/>
  <c r="BN211" i="2"/>
  <c r="BM211" i="2"/>
  <c r="Z211" i="2"/>
  <c r="Y211" i="2"/>
  <c r="P211" i="2"/>
  <c r="BO210" i="2"/>
  <c r="BN210" i="2"/>
  <c r="BM210" i="2"/>
  <c r="Z210" i="2"/>
  <c r="Z213" i="2" s="1"/>
  <c r="Y210" i="2"/>
  <c r="Y214" i="2" s="1"/>
  <c r="P210" i="2"/>
  <c r="X208" i="2"/>
  <c r="Z207" i="2"/>
  <c r="Y207" i="2"/>
  <c r="X207" i="2"/>
  <c r="BO206" i="2"/>
  <c r="BM206" i="2"/>
  <c r="Z206" i="2"/>
  <c r="Y206" i="2"/>
  <c r="Y208" i="2" s="1"/>
  <c r="P206" i="2"/>
  <c r="X202" i="2"/>
  <c r="Y201" i="2"/>
  <c r="X201" i="2"/>
  <c r="BP200" i="2"/>
  <c r="BO200" i="2"/>
  <c r="BN200" i="2"/>
  <c r="BM200" i="2"/>
  <c r="Z200" i="2"/>
  <c r="Y200" i="2"/>
  <c r="P200" i="2"/>
  <c r="BP199" i="2"/>
  <c r="BO199" i="2"/>
  <c r="BM199" i="2"/>
  <c r="Z199" i="2"/>
  <c r="Y199" i="2"/>
  <c r="BN199" i="2" s="1"/>
  <c r="P199" i="2"/>
  <c r="BP198" i="2"/>
  <c r="BO198" i="2"/>
  <c r="BN198" i="2"/>
  <c r="BM198" i="2"/>
  <c r="Z198" i="2"/>
  <c r="Z201" i="2" s="1"/>
  <c r="Y198" i="2"/>
  <c r="P198" i="2"/>
  <c r="BO197" i="2"/>
  <c r="BN197" i="2"/>
  <c r="BM197" i="2"/>
  <c r="Z197" i="2"/>
  <c r="Y197" i="2"/>
  <c r="BP197" i="2" s="1"/>
  <c r="P197" i="2"/>
  <c r="X193" i="2"/>
  <c r="X192" i="2"/>
  <c r="BP191" i="2"/>
  <c r="BO191" i="2"/>
  <c r="BM191" i="2"/>
  <c r="Z191" i="2"/>
  <c r="Z192" i="2" s="1"/>
  <c r="Y191" i="2"/>
  <c r="BN191" i="2" s="1"/>
  <c r="P191" i="2"/>
  <c r="Y188" i="2"/>
  <c r="X188" i="2"/>
  <c r="Z187" i="2"/>
  <c r="Y187" i="2"/>
  <c r="X187" i="2"/>
  <c r="BO186" i="2"/>
  <c r="BM186" i="2"/>
  <c r="Z186" i="2"/>
  <c r="Y186" i="2"/>
  <c r="BP186" i="2" s="1"/>
  <c r="P186" i="2"/>
  <c r="Y184" i="2"/>
  <c r="X184" i="2"/>
  <c r="Z183" i="2"/>
  <c r="X183" i="2"/>
  <c r="BO182" i="2"/>
  <c r="BN182" i="2"/>
  <c r="BM182" i="2"/>
  <c r="Z182" i="2"/>
  <c r="Y182" i="2"/>
  <c r="BP182" i="2" s="1"/>
  <c r="P182" i="2"/>
  <c r="BO181" i="2"/>
  <c r="BM181" i="2"/>
  <c r="Z181" i="2"/>
  <c r="Y181" i="2"/>
  <c r="Y183" i="2" s="1"/>
  <c r="P181" i="2"/>
  <c r="Y177" i="2"/>
  <c r="X177" i="2"/>
  <c r="Y176" i="2"/>
  <c r="X176" i="2"/>
  <c r="BP175" i="2"/>
  <c r="BO175" i="2"/>
  <c r="BN175" i="2"/>
  <c r="BM175" i="2"/>
  <c r="Z175" i="2"/>
  <c r="Z176" i="2" s="1"/>
  <c r="Y175" i="2"/>
  <c r="P175" i="2"/>
  <c r="Y172" i="2"/>
  <c r="X172" i="2"/>
  <c r="Y171" i="2"/>
  <c r="X171" i="2"/>
  <c r="BP170" i="2"/>
  <c r="BO170" i="2"/>
  <c r="BN170" i="2"/>
  <c r="BM170" i="2"/>
  <c r="Z170" i="2"/>
  <c r="Z171" i="2" s="1"/>
  <c r="Y170" i="2"/>
  <c r="P170" i="2"/>
  <c r="X167" i="2"/>
  <c r="Z166" i="2"/>
  <c r="X166" i="2"/>
  <c r="BO165" i="2"/>
  <c r="BM165" i="2"/>
  <c r="Z165" i="2"/>
  <c r="Y165" i="2"/>
  <c r="Y167" i="2" s="1"/>
  <c r="P165" i="2"/>
  <c r="X162" i="2"/>
  <c r="X161" i="2"/>
  <c r="BP160" i="2"/>
  <c r="BO160" i="2"/>
  <c r="BN160" i="2"/>
  <c r="BM160" i="2"/>
  <c r="Z160" i="2"/>
  <c r="Y160" i="2"/>
  <c r="P160" i="2"/>
  <c r="BO159" i="2"/>
  <c r="BM159" i="2"/>
  <c r="Z159" i="2"/>
  <c r="Z161" i="2" s="1"/>
  <c r="Y159" i="2"/>
  <c r="Y162" i="2" s="1"/>
  <c r="P159" i="2"/>
  <c r="Y156" i="2"/>
  <c r="X156" i="2"/>
  <c r="X155" i="2"/>
  <c r="BP154" i="2"/>
  <c r="BO154" i="2"/>
  <c r="BN154" i="2"/>
  <c r="BM154" i="2"/>
  <c r="Z154" i="2"/>
  <c r="Y154" i="2"/>
  <c r="P154" i="2"/>
  <c r="BO153" i="2"/>
  <c r="BM153" i="2"/>
  <c r="Z153" i="2"/>
  <c r="Z155" i="2" s="1"/>
  <c r="Y153" i="2"/>
  <c r="Y155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Z149" i="2" s="1"/>
  <c r="Y147" i="2"/>
  <c r="Y150" i="2" s="1"/>
  <c r="P147" i="2"/>
  <c r="Y144" i="2"/>
  <c r="X144" i="2"/>
  <c r="Y143" i="2"/>
  <c r="X143" i="2"/>
  <c r="BP142" i="2"/>
  <c r="BO142" i="2"/>
  <c r="BM142" i="2"/>
  <c r="Z142" i="2"/>
  <c r="Y142" i="2"/>
  <c r="BN142" i="2" s="1"/>
  <c r="P142" i="2"/>
  <c r="BP141" i="2"/>
  <c r="BO141" i="2"/>
  <c r="BN141" i="2"/>
  <c r="BM141" i="2"/>
  <c r="Z141" i="2"/>
  <c r="Z143" i="2" s="1"/>
  <c r="Y141" i="2"/>
  <c r="P141" i="2"/>
  <c r="BO140" i="2"/>
  <c r="BN140" i="2"/>
  <c r="BM140" i="2"/>
  <c r="Z140" i="2"/>
  <c r="Y140" i="2"/>
  <c r="BP140" i="2" s="1"/>
  <c r="P140" i="2"/>
  <c r="X138" i="2"/>
  <c r="X137" i="2"/>
  <c r="BP136" i="2"/>
  <c r="BO136" i="2"/>
  <c r="BM136" i="2"/>
  <c r="Z136" i="2"/>
  <c r="Y136" i="2"/>
  <c r="BN136" i="2" s="1"/>
  <c r="P136" i="2"/>
  <c r="BP135" i="2"/>
  <c r="BO135" i="2"/>
  <c r="BN135" i="2"/>
  <c r="BM135" i="2"/>
  <c r="Z135" i="2"/>
  <c r="Y135" i="2"/>
  <c r="P135" i="2"/>
  <c r="BO134" i="2"/>
  <c r="BM134" i="2"/>
  <c r="Z134" i="2"/>
  <c r="Z137" i="2" s="1"/>
  <c r="Y134" i="2"/>
  <c r="Y138" i="2" s="1"/>
  <c r="P134" i="2"/>
  <c r="Y131" i="2"/>
  <c r="X131" i="2"/>
  <c r="Z130" i="2"/>
  <c r="Y130" i="2"/>
  <c r="X130" i="2"/>
  <c r="BP129" i="2"/>
  <c r="BO129" i="2"/>
  <c r="BN129" i="2"/>
  <c r="BM129" i="2"/>
  <c r="Z129" i="2"/>
  <c r="Y129" i="2"/>
  <c r="P129" i="2"/>
  <c r="X127" i="2"/>
  <c r="Z126" i="2"/>
  <c r="X126" i="2"/>
  <c r="BP125" i="2"/>
  <c r="BO125" i="2"/>
  <c r="BM125" i="2"/>
  <c r="Z125" i="2"/>
  <c r="Y125" i="2"/>
  <c r="BN125" i="2" s="1"/>
  <c r="P125" i="2"/>
  <c r="X123" i="2"/>
  <c r="X122" i="2"/>
  <c r="BO121" i="2"/>
  <c r="BM121" i="2"/>
  <c r="Z121" i="2"/>
  <c r="Y121" i="2"/>
  <c r="BP121" i="2" s="1"/>
  <c r="P121" i="2"/>
  <c r="BP120" i="2"/>
  <c r="BO120" i="2"/>
  <c r="BN120" i="2"/>
  <c r="BM120" i="2"/>
  <c r="Z120" i="2"/>
  <c r="Y120" i="2"/>
  <c r="P120" i="2"/>
  <c r="BP119" i="2"/>
  <c r="BO119" i="2"/>
  <c r="BM119" i="2"/>
  <c r="Z119" i="2"/>
  <c r="Y119" i="2"/>
  <c r="BN119" i="2" s="1"/>
  <c r="P119" i="2"/>
  <c r="BP118" i="2"/>
  <c r="BO118" i="2"/>
  <c r="BN118" i="2"/>
  <c r="BM118" i="2"/>
  <c r="Z118" i="2"/>
  <c r="Y118" i="2"/>
  <c r="P118" i="2"/>
  <c r="BO117" i="2"/>
  <c r="BN117" i="2"/>
  <c r="BM117" i="2"/>
  <c r="Z117" i="2"/>
  <c r="Y117" i="2"/>
  <c r="BP117" i="2" s="1"/>
  <c r="P117" i="2"/>
  <c r="BO116" i="2"/>
  <c r="BM116" i="2"/>
  <c r="Z116" i="2"/>
  <c r="Z122" i="2" s="1"/>
  <c r="Y116" i="2"/>
  <c r="BP116" i="2" s="1"/>
  <c r="P116" i="2"/>
  <c r="BP115" i="2"/>
  <c r="BO115" i="2"/>
  <c r="BM115" i="2"/>
  <c r="Z115" i="2"/>
  <c r="Y115" i="2"/>
  <c r="BN115" i="2" s="1"/>
  <c r="P115" i="2"/>
  <c r="X112" i="2"/>
  <c r="X111" i="2"/>
  <c r="BO110" i="2"/>
  <c r="BM110" i="2"/>
  <c r="Z110" i="2"/>
  <c r="Y110" i="2"/>
  <c r="BP110" i="2" s="1"/>
  <c r="P110" i="2"/>
  <c r="BP109" i="2"/>
  <c r="BO109" i="2"/>
  <c r="BN109" i="2"/>
  <c r="BM109" i="2"/>
  <c r="Z109" i="2"/>
  <c r="Z111" i="2" s="1"/>
  <c r="Y109" i="2"/>
  <c r="Y112" i="2" s="1"/>
  <c r="P109" i="2"/>
  <c r="X106" i="2"/>
  <c r="X105" i="2"/>
  <c r="BO104" i="2"/>
  <c r="BM104" i="2"/>
  <c r="Z104" i="2"/>
  <c r="Y104" i="2"/>
  <c r="BN104" i="2" s="1"/>
  <c r="P104" i="2"/>
  <c r="BP103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P101" i="2"/>
  <c r="BO101" i="2"/>
  <c r="BN101" i="2"/>
  <c r="BM101" i="2"/>
  <c r="Z101" i="2"/>
  <c r="Y101" i="2"/>
  <c r="P101" i="2"/>
  <c r="BP100" i="2"/>
  <c r="BO100" i="2"/>
  <c r="BN100" i="2"/>
  <c r="BM100" i="2"/>
  <c r="Z100" i="2"/>
  <c r="Y100" i="2"/>
  <c r="P100" i="2"/>
  <c r="BO99" i="2"/>
  <c r="BM99" i="2"/>
  <c r="Z99" i="2"/>
  <c r="Z105" i="2" s="1"/>
  <c r="Y99" i="2"/>
  <c r="Y106" i="2" s="1"/>
  <c r="P99" i="2"/>
  <c r="Y96" i="2"/>
  <c r="X96" i="2"/>
  <c r="X95" i="2"/>
  <c r="BP94" i="2"/>
  <c r="BO94" i="2"/>
  <c r="BN94" i="2"/>
  <c r="BM94" i="2"/>
  <c r="Z94" i="2"/>
  <c r="Y94" i="2"/>
  <c r="P94" i="2"/>
  <c r="BO93" i="2"/>
  <c r="BM93" i="2"/>
  <c r="Z93" i="2"/>
  <c r="Z95" i="2" s="1"/>
  <c r="Y93" i="2"/>
  <c r="Y95" i="2" s="1"/>
  <c r="P93" i="2"/>
  <c r="Y90" i="2"/>
  <c r="X90" i="2"/>
  <c r="Z89" i="2"/>
  <c r="Y89" i="2"/>
  <c r="X89" i="2"/>
  <c r="BO88" i="2"/>
  <c r="BN88" i="2"/>
  <c r="BM88" i="2"/>
  <c r="Z88" i="2"/>
  <c r="Y88" i="2"/>
  <c r="BP88" i="2" s="1"/>
  <c r="P88" i="2"/>
  <c r="X85" i="2"/>
  <c r="Y84" i="2"/>
  <c r="X84" i="2"/>
  <c r="BP83" i="2"/>
  <c r="BO83" i="2"/>
  <c r="BN83" i="2"/>
  <c r="BM83" i="2"/>
  <c r="Z83" i="2"/>
  <c r="Z84" i="2" s="1"/>
  <c r="Y83" i="2"/>
  <c r="Y85" i="2" s="1"/>
  <c r="P83" i="2"/>
  <c r="BP82" i="2"/>
  <c r="BO82" i="2"/>
  <c r="BM82" i="2"/>
  <c r="Z82" i="2"/>
  <c r="Y82" i="2"/>
  <c r="BN82" i="2" s="1"/>
  <c r="P82" i="2"/>
  <c r="X79" i="2"/>
  <c r="Z78" i="2"/>
  <c r="Y78" i="2"/>
  <c r="X78" i="2"/>
  <c r="BP77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P75" i="2"/>
  <c r="BO75" i="2"/>
  <c r="BN75" i="2"/>
  <c r="BM75" i="2"/>
  <c r="Z75" i="2"/>
  <c r="Y75" i="2"/>
  <c r="Y79" i="2" s="1"/>
  <c r="P75" i="2"/>
  <c r="Y73" i="2"/>
  <c r="X73" i="2"/>
  <c r="Y72" i="2"/>
  <c r="X72" i="2"/>
  <c r="BO71" i="2"/>
  <c r="BM71" i="2"/>
  <c r="Z71" i="2"/>
  <c r="Y71" i="2"/>
  <c r="BP71" i="2" s="1"/>
  <c r="P71" i="2"/>
  <c r="BP70" i="2"/>
  <c r="BO70" i="2"/>
  <c r="BN70" i="2"/>
  <c r="BM70" i="2"/>
  <c r="Z70" i="2"/>
  <c r="Z72" i="2" s="1"/>
  <c r="Y70" i="2"/>
  <c r="P70" i="2"/>
  <c r="X68" i="2"/>
  <c r="Z67" i="2"/>
  <c r="X67" i="2"/>
  <c r="BO66" i="2"/>
  <c r="BM66" i="2"/>
  <c r="Z66" i="2"/>
  <c r="Y66" i="2"/>
  <c r="Y68" i="2" s="1"/>
  <c r="P66" i="2"/>
  <c r="Y64" i="2"/>
  <c r="X64" i="2"/>
  <c r="Z63" i="2"/>
  <c r="Y63" i="2"/>
  <c r="X63" i="2"/>
  <c r="BP62" i="2"/>
  <c r="BO62" i="2"/>
  <c r="BN62" i="2"/>
  <c r="BM62" i="2"/>
  <c r="Z62" i="2"/>
  <c r="Y62" i="2"/>
  <c r="P62" i="2"/>
  <c r="X59" i="2"/>
  <c r="X58" i="2"/>
  <c r="BP57" i="2"/>
  <c r="BO57" i="2"/>
  <c r="BN57" i="2"/>
  <c r="BM57" i="2"/>
  <c r="Z57" i="2"/>
  <c r="Y57" i="2"/>
  <c r="P57" i="2"/>
  <c r="BP56" i="2"/>
  <c r="BO56" i="2"/>
  <c r="BN56" i="2"/>
  <c r="BM56" i="2"/>
  <c r="Z56" i="2"/>
  <c r="Y56" i="2"/>
  <c r="P56" i="2"/>
  <c r="BO55" i="2"/>
  <c r="BM55" i="2"/>
  <c r="Z55" i="2"/>
  <c r="Y55" i="2"/>
  <c r="Y58" i="2" s="1"/>
  <c r="P55" i="2"/>
  <c r="BP54" i="2"/>
  <c r="BO54" i="2"/>
  <c r="BM54" i="2"/>
  <c r="Z54" i="2"/>
  <c r="Z58" i="2" s="1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N48" i="2"/>
  <c r="BM48" i="2"/>
  <c r="Z48" i="2"/>
  <c r="Y48" i="2"/>
  <c r="BP48" i="2" s="1"/>
  <c r="P48" i="2"/>
  <c r="BO47" i="2"/>
  <c r="BM47" i="2"/>
  <c r="Z47" i="2"/>
  <c r="Z50" i="2" s="1"/>
  <c r="Y47" i="2"/>
  <c r="Y51" i="2" s="1"/>
  <c r="P47" i="2"/>
  <c r="Y44" i="2"/>
  <c r="X44" i="2"/>
  <c r="Z43" i="2"/>
  <c r="X43" i="2"/>
  <c r="BO42" i="2"/>
  <c r="BN42" i="2"/>
  <c r="BM42" i="2"/>
  <c r="Z42" i="2"/>
  <c r="Y42" i="2"/>
  <c r="BP42" i="2" s="1"/>
  <c r="P42" i="2"/>
  <c r="BO41" i="2"/>
  <c r="BM41" i="2"/>
  <c r="Z41" i="2"/>
  <c r="Y41" i="2"/>
  <c r="Y43" i="2" s="1"/>
  <c r="P41" i="2"/>
  <c r="Y37" i="2"/>
  <c r="X37" i="2"/>
  <c r="X36" i="2"/>
  <c r="BP35" i="2"/>
  <c r="BO35" i="2"/>
  <c r="BN35" i="2"/>
  <c r="BM35" i="2"/>
  <c r="Z35" i="2"/>
  <c r="Y35" i="2"/>
  <c r="P35" i="2"/>
  <c r="BO34" i="2"/>
  <c r="BM34" i="2"/>
  <c r="Z34" i="2"/>
  <c r="Z36" i="2" s="1"/>
  <c r="Y34" i="2"/>
  <c r="Y36" i="2" s="1"/>
  <c r="P34" i="2"/>
  <c r="Y31" i="2"/>
  <c r="X31" i="2"/>
  <c r="X283" i="2" s="1"/>
  <c r="X30" i="2"/>
  <c r="X287" i="2" s="1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P27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P24" i="2"/>
  <c r="BO24" i="2"/>
  <c r="BN24" i="2"/>
  <c r="BM24" i="2"/>
  <c r="Z24" i="2"/>
  <c r="Y24" i="2"/>
  <c r="P24" i="2"/>
  <c r="BO23" i="2"/>
  <c r="BM23" i="2"/>
  <c r="Z23" i="2"/>
  <c r="Y23" i="2"/>
  <c r="BP23" i="2" s="1"/>
  <c r="P23" i="2"/>
  <c r="BP22" i="2"/>
  <c r="BO22" i="2"/>
  <c r="X285" i="2" s="1"/>
  <c r="BN22" i="2"/>
  <c r="BM22" i="2"/>
  <c r="X284" i="2" s="1"/>
  <c r="Z22" i="2"/>
  <c r="Z30" i="2" s="1"/>
  <c r="Y22" i="2"/>
  <c r="Y30" i="2" s="1"/>
  <c r="P22" i="2"/>
  <c r="H10" i="2"/>
  <c r="A9" i="2"/>
  <c r="F10" i="2" s="1"/>
  <c r="D7" i="2"/>
  <c r="Q6" i="2"/>
  <c r="P2" i="2"/>
  <c r="X286" i="2" l="1"/>
  <c r="Z288" i="2"/>
  <c r="BP147" i="2"/>
  <c r="BN159" i="2"/>
  <c r="Y192" i="2"/>
  <c r="Y202" i="2"/>
  <c r="Y235" i="2"/>
  <c r="Y251" i="2"/>
  <c r="BN272" i="2"/>
  <c r="BN34" i="2"/>
  <c r="BN110" i="2"/>
  <c r="BN121" i="2"/>
  <c r="BN134" i="2"/>
  <c r="Y137" i="2"/>
  <c r="F9" i="2"/>
  <c r="BP28" i="2"/>
  <c r="Y285" i="2" s="1"/>
  <c r="BN41" i="2"/>
  <c r="BP55" i="2"/>
  <c r="BN66" i="2"/>
  <c r="BP93" i="2"/>
  <c r="BP104" i="2"/>
  <c r="BN116" i="2"/>
  <c r="Y127" i="2"/>
  <c r="BP153" i="2"/>
  <c r="BN165" i="2"/>
  <c r="BN181" i="2"/>
  <c r="BP210" i="2"/>
  <c r="Y258" i="2"/>
  <c r="BP267" i="2"/>
  <c r="BP134" i="2"/>
  <c r="BP159" i="2"/>
  <c r="BN186" i="2"/>
  <c r="BN228" i="2"/>
  <c r="BN244" i="2"/>
  <c r="BN280" i="2"/>
  <c r="BN55" i="2"/>
  <c r="BN93" i="2"/>
  <c r="H9" i="2"/>
  <c r="Y59" i="2"/>
  <c r="Y283" i="2" s="1"/>
  <c r="BP99" i="2"/>
  <c r="Y105" i="2"/>
  <c r="Y287" i="2" s="1"/>
  <c r="BP165" i="2"/>
  <c r="BP181" i="2"/>
  <c r="Y193" i="2"/>
  <c r="Y220" i="2"/>
  <c r="Y236" i="2"/>
  <c r="Y252" i="2"/>
  <c r="BN153" i="2"/>
  <c r="BN23" i="2"/>
  <c r="BP49" i="2"/>
  <c r="BN99" i="2"/>
  <c r="BP34" i="2"/>
  <c r="BN47" i="2"/>
  <c r="Y50" i="2"/>
  <c r="BN71" i="2"/>
  <c r="J9" i="2"/>
  <c r="BN26" i="2"/>
  <c r="BP41" i="2"/>
  <c r="BP66" i="2"/>
  <c r="BN76" i="2"/>
  <c r="BN102" i="2"/>
  <c r="A10" i="2"/>
  <c r="BP47" i="2"/>
  <c r="Y111" i="2"/>
  <c r="Y122" i="2"/>
  <c r="BP228" i="2"/>
  <c r="BP244" i="2"/>
  <c r="Y259" i="2"/>
  <c r="BN147" i="2"/>
  <c r="Y67" i="2"/>
  <c r="BN148" i="2"/>
  <c r="Y166" i="2"/>
  <c r="BN206" i="2"/>
  <c r="Y281" i="2"/>
  <c r="Y126" i="2"/>
  <c r="Y123" i="2"/>
  <c r="BP206" i="2"/>
  <c r="BP223" i="2"/>
  <c r="BP240" i="2"/>
  <c r="Y149" i="2"/>
  <c r="Y161" i="2"/>
  <c r="Y284" i="2" l="1"/>
  <c r="Y286" i="2" s="1"/>
  <c r="C296" i="2"/>
  <c r="B296" i="2"/>
  <c r="A296" i="2"/>
</calcChain>
</file>

<file path=xl/sharedStrings.xml><?xml version="1.0" encoding="utf-8"?>
<sst xmlns="http://schemas.openxmlformats.org/spreadsheetml/2006/main" count="1769" uniqueCount="420">
  <si>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</si>
  <si>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</si>
  <si>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</si>
  <si>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</si>
  <si>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</si>
  <si>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</si>
  <si>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</si>
  <si>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</si>
  <si>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</si>
  <si>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</si>
  <si>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</si>
  <si>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</si>
  <si>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</si>
  <si>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</si>
  <si>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</si>
  <si>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</si>
  <si>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</si>
  <si>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</si>
  <si>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</si>
  <si>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</si>
  <si>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</si>
  <si>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</si>
  <si>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</si>
  <si>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</si>
  <si>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</si>
  <si>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</si>
  <si>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</si>
  <si>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</si>
  <si>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</si>
  <si>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</si>
  <si>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</si>
  <si>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</si>
  <si>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</si>
  <si>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</si>
  <si>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</si>
  <si>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</si>
  <si>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</si>
  <si>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</si>
  <si>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</si>
  <si>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</si>
  <si>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</si>
  <si>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</si>
  <si>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</si>
  <si>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</si>
  <si>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</si>
  <si>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</si>
  <si>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</si>
  <si>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</si>
  <si>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</si>
  <si>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</si>
  <si>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</si>
  <si>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</si>
  <si>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</si>
  <si>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</si>
  <si>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</si>
  <si>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</si>
  <si>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</si>
  <si>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</si>
  <si>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</si>
  <si>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</si>
  <si>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</si>
  <si>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</si>
  <si>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</si>
  <si>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</si>
  <si>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</si>
  <si>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</si>
  <si>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</si>
  <si>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</si>
  <si>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</si>
  <si>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</si>
  <si>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</si>
  <si>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12.07.2026</t>
  </si>
  <si>
    <t>10.07.2026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</si>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</sst>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96"/>
  <sheetViews>
    <sheetView showGridLines="0" tabSelected="1" zoomScale="85" zoomScaleNormal="85" zoomScaleSheetLayoutView="100" workbookViewId="0">
      <selection activeCell="A15" sqref="A15:M1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/>
      <c r="R5" s="294"/>
      <c r="T5" s="295" t="s">
        <v>3</v>
      </c>
      <c r="U5" s="296"/>
      <c r="V5" s="297"/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 xml:space="preserve"> </v>
      </c>
      <c r="R6" s="300"/>
      <c r="T6" s="301" t="s">
        <v>5</v>
      </c>
      <c r="U6" s="302"/>
      <c r="V6" s="303" t="s">
        <v>73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/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/>
      <c r="R8" s="314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316" t="s">
        <v>46</v>
      </c>
      <c r="E9" s="317"/>
      <c r="F9" s="3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18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73"/>
      <c r="P9" s="31" t="s">
        <v>15</v>
      </c>
      <c r="Q9" s="319"/>
      <c r="R9" s="319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316"/>
      <c r="E10" s="317"/>
      <c r="F10" s="3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320" t="str">
        <f>IFERROR(VLOOKUP($D$10,Proxy,2,FALSE),"")</f>
        <v/>
      </c>
      <c r="I10" s="320"/>
      <c r="J10" s="320"/>
      <c r="K10" s="320"/>
      <c r="L10" s="320"/>
      <c r="M10" s="320"/>
      <c r="N10" s="74"/>
      <c r="P10" s="31" t="s">
        <v>32</v>
      </c>
      <c r="Q10" s="321"/>
      <c r="R10" s="321"/>
      <c r="U10" s="29" t="s">
        <v>12</v>
      </c>
      <c r="V10" s="322" t="s">
        <v>74</v>
      </c>
      <c r="W10" s="3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4"/>
      <c r="R11" s="324"/>
      <c r="U11" s="29" t="s">
        <v>28</v>
      </c>
      <c r="V11" s="325" t="s">
        <v>55</v>
      </c>
      <c r="W11" s="32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6" t="s">
        <v>75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79"/>
      <c r="P12" s="27" t="s">
        <v>30</v>
      </c>
      <c r="Q12" s="314"/>
      <c r="R12" s="314"/>
      <c r="S12" s="28"/>
      <c r="T12"/>
      <c r="U12" s="29" t="s">
        <v>46</v>
      </c>
      <c r="V12" s="327"/>
      <c r="W12" s="327"/>
      <c r="X12"/>
      <c r="AB12" s="59"/>
      <c r="AC12" s="59"/>
      <c r="AD12" s="59"/>
      <c r="AE12" s="59"/>
    </row>
    <row r="13" spans="1:32" s="17" customFormat="1" ht="23.25" customHeight="1" x14ac:dyDescent="0.2">
      <c r="A13" s="326" t="s">
        <v>76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79"/>
      <c r="O13" s="31"/>
      <c r="P13" s="31" t="s">
        <v>31</v>
      </c>
      <c r="Q13" s="325"/>
      <c r="R13" s="32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6" t="s">
        <v>77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8" t="s">
        <v>78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80"/>
      <c r="O15"/>
      <c r="P15" s="329" t="s">
        <v>61</v>
      </c>
      <c r="Q15" s="329"/>
      <c r="R15" s="329"/>
      <c r="S15" s="329"/>
      <c r="T15" s="32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0"/>
      <c r="Q16" s="330"/>
      <c r="R16" s="330"/>
      <c r="S16" s="330"/>
      <c r="T16" s="33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3" t="s">
        <v>59</v>
      </c>
      <c r="B17" s="333" t="s">
        <v>49</v>
      </c>
      <c r="C17" s="335" t="s">
        <v>48</v>
      </c>
      <c r="D17" s="337" t="s">
        <v>50</v>
      </c>
      <c r="E17" s="338"/>
      <c r="F17" s="333" t="s">
        <v>21</v>
      </c>
      <c r="G17" s="333" t="s">
        <v>24</v>
      </c>
      <c r="H17" s="333" t="s">
        <v>22</v>
      </c>
      <c r="I17" s="333" t="s">
        <v>23</v>
      </c>
      <c r="J17" s="333" t="s">
        <v>16</v>
      </c>
      <c r="K17" s="333" t="s">
        <v>69</v>
      </c>
      <c r="L17" s="333" t="s">
        <v>67</v>
      </c>
      <c r="M17" s="333" t="s">
        <v>2</v>
      </c>
      <c r="N17" s="333" t="s">
        <v>66</v>
      </c>
      <c r="O17" s="333" t="s">
        <v>25</v>
      </c>
      <c r="P17" s="337" t="s">
        <v>17</v>
      </c>
      <c r="Q17" s="341"/>
      <c r="R17" s="341"/>
      <c r="S17" s="341"/>
      <c r="T17" s="338"/>
      <c r="U17" s="331" t="s">
        <v>56</v>
      </c>
      <c r="V17" s="332"/>
      <c r="W17" s="333" t="s">
        <v>6</v>
      </c>
      <c r="X17" s="333" t="s">
        <v>41</v>
      </c>
      <c r="Y17" s="343" t="s">
        <v>54</v>
      </c>
      <c r="Z17" s="345" t="s">
        <v>18</v>
      </c>
      <c r="AA17" s="347" t="s">
        <v>60</v>
      </c>
      <c r="AB17" s="347" t="s">
        <v>19</v>
      </c>
      <c r="AC17" s="347" t="s">
        <v>68</v>
      </c>
      <c r="AD17" s="349" t="s">
        <v>57</v>
      </c>
      <c r="AE17" s="350"/>
      <c r="AF17" s="351"/>
      <c r="AG17" s="85"/>
      <c r="BD17" s="84" t="s">
        <v>64</v>
      </c>
    </row>
    <row r="18" spans="1:68" ht="14.25" customHeight="1" x14ac:dyDescent="0.2">
      <c r="A18" s="334"/>
      <c r="B18" s="334"/>
      <c r="C18" s="336"/>
      <c r="D18" s="339"/>
      <c r="E18" s="340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9"/>
      <c r="Q18" s="342"/>
      <c r="R18" s="342"/>
      <c r="S18" s="342"/>
      <c r="T18" s="340"/>
      <c r="U18" s="86" t="s">
        <v>44</v>
      </c>
      <c r="V18" s="86" t="s">
        <v>43</v>
      </c>
      <c r="W18" s="334"/>
      <c r="X18" s="334"/>
      <c r="Y18" s="344"/>
      <c r="Z18" s="346"/>
      <c r="AA18" s="348"/>
      <c r="AB18" s="348"/>
      <c r="AC18" s="348"/>
      <c r="AD18" s="352"/>
      <c r="AE18" s="353"/>
      <c r="AF18" s="354"/>
      <c r="AG18" s="85"/>
      <c r="BD18" s="84"/>
    </row>
    <row r="19" spans="1:68" ht="27.75" customHeight="1" x14ac:dyDescent="0.2">
      <c r="A19" s="355" t="s">
        <v>79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54"/>
      <c r="AB19" s="54"/>
      <c r="AC19" s="54"/>
    </row>
    <row r="20" spans="1:68" ht="16.5" customHeight="1" x14ac:dyDescent="0.25">
      <c r="A20" s="356" t="s">
        <v>79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65"/>
      <c r="AB20" s="65"/>
      <c r="AC20" s="82"/>
    </row>
    <row r="21" spans="1:68" ht="14.25" customHeight="1" x14ac:dyDescent="0.25">
      <c r="A21" s="357" t="s">
        <v>80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8">
        <v>4620207491508</v>
      </c>
      <c r="E22" s="35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0"/>
      <c r="R22" s="360"/>
      <c r="S22" s="360"/>
      <c r="T22" s="36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8">
        <v>4620207491256</v>
      </c>
      <c r="E23" s="35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0"/>
      <c r="R23" s="360"/>
      <c r="S23" s="360"/>
      <c r="T23" s="36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8">
        <v>4620207491713</v>
      </c>
      <c r="E24" s="35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0"/>
      <c r="R24" s="360"/>
      <c r="S24" s="360"/>
      <c r="T24" s="36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8">
        <v>4620207491720</v>
      </c>
      <c r="E25" s="35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0"/>
      <c r="R25" s="360"/>
      <c r="S25" s="360"/>
      <c r="T25" s="36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8">
        <v>4607111035912</v>
      </c>
      <c r="E26" s="35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0"/>
      <c r="R26" s="360"/>
      <c r="S26" s="360"/>
      <c r="T26" s="36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8">
        <v>4607111035929</v>
      </c>
      <c r="E27" s="35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0"/>
      <c r="R27" s="360"/>
      <c r="S27" s="360"/>
      <c r="T27" s="36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8">
        <v>4607111035882</v>
      </c>
      <c r="E28" s="35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0"/>
      <c r="R28" s="360"/>
      <c r="S28" s="360"/>
      <c r="T28" s="36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8">
        <v>4607111035905</v>
      </c>
      <c r="E29" s="35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0"/>
      <c r="R29" s="360"/>
      <c r="S29" s="360"/>
      <c r="T29" s="36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3"/>
      <c r="P30" s="369" t="s">
        <v>40</v>
      </c>
      <c r="Q30" s="370"/>
      <c r="R30" s="370"/>
      <c r="S30" s="370"/>
      <c r="T30" s="370"/>
      <c r="U30" s="370"/>
      <c r="V30" s="37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3"/>
      <c r="P31" s="369" t="s">
        <v>40</v>
      </c>
      <c r="Q31" s="370"/>
      <c r="R31" s="370"/>
      <c r="S31" s="370"/>
      <c r="T31" s="370"/>
      <c r="U31" s="370"/>
      <c r="V31" s="37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6" t="s">
        <v>104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5"/>
      <c r="AB32" s="65"/>
      <c r="AC32" s="82"/>
    </row>
    <row r="33" spans="1:68" ht="14.25" customHeight="1" x14ac:dyDescent="0.25">
      <c r="A33" s="357" t="s">
        <v>80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58">
        <v>4607111039019</v>
      </c>
      <c r="E34" s="35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0"/>
      <c r="R34" s="360"/>
      <c r="S34" s="360"/>
      <c r="T34" s="36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58">
        <v>4607111038708</v>
      </c>
      <c r="E35" s="35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0"/>
      <c r="R35" s="360"/>
      <c r="S35" s="360"/>
      <c r="T35" s="36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3"/>
      <c r="P36" s="369" t="s">
        <v>40</v>
      </c>
      <c r="Q36" s="370"/>
      <c r="R36" s="370"/>
      <c r="S36" s="370"/>
      <c r="T36" s="370"/>
      <c r="U36" s="370"/>
      <c r="V36" s="37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3"/>
      <c r="P37" s="369" t="s">
        <v>40</v>
      </c>
      <c r="Q37" s="370"/>
      <c r="R37" s="370"/>
      <c r="S37" s="370"/>
      <c r="T37" s="370"/>
      <c r="U37" s="370"/>
      <c r="V37" s="37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5" t="s">
        <v>45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54"/>
      <c r="AB38" s="54"/>
      <c r="AC38" s="54"/>
    </row>
    <row r="39" spans="1:68" ht="16.5" customHeight="1" x14ac:dyDescent="0.25">
      <c r="A39" s="356" t="s">
        <v>110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65"/>
      <c r="AB39" s="65"/>
      <c r="AC39" s="82"/>
    </row>
    <row r="40" spans="1:68" ht="14.25" customHeight="1" x14ac:dyDescent="0.25">
      <c r="A40" s="357" t="s">
        <v>111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8">
        <v>4607111036537</v>
      </c>
      <c r="E41" s="35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0"/>
      <c r="R41" s="360"/>
      <c r="S41" s="360"/>
      <c r="T41" s="36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8">
        <v>4607111036605</v>
      </c>
      <c r="E42" s="35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0"/>
      <c r="R42" s="360"/>
      <c r="S42" s="360"/>
      <c r="T42" s="36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3"/>
      <c r="P43" s="369" t="s">
        <v>40</v>
      </c>
      <c r="Q43" s="370"/>
      <c r="R43" s="370"/>
      <c r="S43" s="370"/>
      <c r="T43" s="370"/>
      <c r="U43" s="370"/>
      <c r="V43" s="371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3"/>
      <c r="P44" s="369" t="s">
        <v>40</v>
      </c>
      <c r="Q44" s="370"/>
      <c r="R44" s="370"/>
      <c r="S44" s="370"/>
      <c r="T44" s="370"/>
      <c r="U44" s="370"/>
      <c r="V44" s="371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6" t="s">
        <v>121</v>
      </c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65"/>
      <c r="AB45" s="65"/>
      <c r="AC45" s="82"/>
    </row>
    <row r="46" spans="1:68" ht="14.25" customHeight="1" x14ac:dyDescent="0.25">
      <c r="A46" s="357" t="s">
        <v>80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8">
        <v>4620207490075</v>
      </c>
      <c r="E47" s="35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0"/>
      <c r="R47" s="360"/>
      <c r="S47" s="360"/>
      <c r="T47" s="36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8">
        <v>4620207490174</v>
      </c>
      <c r="E48" s="35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0"/>
      <c r="R48" s="360"/>
      <c r="S48" s="360"/>
      <c r="T48" s="361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358">
        <v>4620207490044</v>
      </c>
      <c r="E49" s="358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8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0"/>
      <c r="R49" s="360"/>
      <c r="S49" s="360"/>
      <c r="T49" s="36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3"/>
      <c r="P50" s="369" t="s">
        <v>40</v>
      </c>
      <c r="Q50" s="370"/>
      <c r="R50" s="370"/>
      <c r="S50" s="370"/>
      <c r="T50" s="370"/>
      <c r="U50" s="370"/>
      <c r="V50" s="371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3"/>
      <c r="P51" s="369" t="s">
        <v>40</v>
      </c>
      <c r="Q51" s="370"/>
      <c r="R51" s="370"/>
      <c r="S51" s="370"/>
      <c r="T51" s="370"/>
      <c r="U51" s="370"/>
      <c r="V51" s="371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6" t="s">
        <v>131</v>
      </c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65"/>
      <c r="AB52" s="65"/>
      <c r="AC52" s="82"/>
    </row>
    <row r="53" spans="1:68" ht="14.25" customHeight="1" x14ac:dyDescent="0.25">
      <c r="A53" s="357" t="s">
        <v>80</v>
      </c>
      <c r="B53" s="357"/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358">
        <v>4607111039385</v>
      </c>
      <c r="E54" s="358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0"/>
      <c r="R54" s="360"/>
      <c r="S54" s="360"/>
      <c r="T54" s="36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358">
        <v>4607111038982</v>
      </c>
      <c r="E55" s="358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0"/>
      <c r="R55" s="360"/>
      <c r="S55" s="360"/>
      <c r="T55" s="36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358">
        <v>4607111039354</v>
      </c>
      <c r="E56" s="358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0"/>
      <c r="R56" s="360"/>
      <c r="S56" s="360"/>
      <c r="T56" s="361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358">
        <v>4607111039330</v>
      </c>
      <c r="E57" s="358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0"/>
      <c r="R57" s="360"/>
      <c r="S57" s="360"/>
      <c r="T57" s="36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3"/>
      <c r="P58" s="369" t="s">
        <v>40</v>
      </c>
      <c r="Q58" s="370"/>
      <c r="R58" s="370"/>
      <c r="S58" s="370"/>
      <c r="T58" s="370"/>
      <c r="U58" s="370"/>
      <c r="V58" s="371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3"/>
      <c r="P59" s="369" t="s">
        <v>40</v>
      </c>
      <c r="Q59" s="370"/>
      <c r="R59" s="370"/>
      <c r="S59" s="370"/>
      <c r="T59" s="370"/>
      <c r="U59" s="370"/>
      <c r="V59" s="371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6" t="s">
        <v>142</v>
      </c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65"/>
      <c r="AB60" s="65"/>
      <c r="AC60" s="82"/>
    </row>
    <row r="61" spans="1:68" ht="14.25" customHeight="1" x14ac:dyDescent="0.25">
      <c r="A61" s="357" t="s">
        <v>80</v>
      </c>
      <c r="B61" s="357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358">
        <v>4620207490822</v>
      </c>
      <c r="E62" s="358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0"/>
      <c r="R62" s="360"/>
      <c r="S62" s="360"/>
      <c r="T62" s="36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3"/>
      <c r="P63" s="369" t="s">
        <v>40</v>
      </c>
      <c r="Q63" s="370"/>
      <c r="R63" s="370"/>
      <c r="S63" s="370"/>
      <c r="T63" s="370"/>
      <c r="U63" s="370"/>
      <c r="V63" s="371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3"/>
      <c r="P64" s="369" t="s">
        <v>40</v>
      </c>
      <c r="Q64" s="370"/>
      <c r="R64" s="370"/>
      <c r="S64" s="370"/>
      <c r="T64" s="370"/>
      <c r="U64" s="370"/>
      <c r="V64" s="371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7" t="s">
        <v>111</v>
      </c>
      <c r="B65" s="357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358">
        <v>4607111039712</v>
      </c>
      <c r="E66" s="358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0"/>
      <c r="R66" s="360"/>
      <c r="S66" s="360"/>
      <c r="T66" s="36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3"/>
      <c r="P67" s="369" t="s">
        <v>40</v>
      </c>
      <c r="Q67" s="370"/>
      <c r="R67" s="370"/>
      <c r="S67" s="370"/>
      <c r="T67" s="370"/>
      <c r="U67" s="370"/>
      <c r="V67" s="371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3"/>
      <c r="P68" s="369" t="s">
        <v>40</v>
      </c>
      <c r="Q68" s="370"/>
      <c r="R68" s="370"/>
      <c r="S68" s="370"/>
      <c r="T68" s="370"/>
      <c r="U68" s="370"/>
      <c r="V68" s="371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7" t="s">
        <v>149</v>
      </c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358">
        <v>4607111037008</v>
      </c>
      <c r="E70" s="358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0"/>
      <c r="R70" s="360"/>
      <c r="S70" s="360"/>
      <c r="T70" s="36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358">
        <v>4607111037398</v>
      </c>
      <c r="E71" s="358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0"/>
      <c r="R71" s="360"/>
      <c r="S71" s="360"/>
      <c r="T71" s="361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3"/>
      <c r="P72" s="369" t="s">
        <v>40</v>
      </c>
      <c r="Q72" s="370"/>
      <c r="R72" s="370"/>
      <c r="S72" s="370"/>
      <c r="T72" s="370"/>
      <c r="U72" s="370"/>
      <c r="V72" s="371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69" t="s">
        <v>40</v>
      </c>
      <c r="Q73" s="370"/>
      <c r="R73" s="370"/>
      <c r="S73" s="370"/>
      <c r="T73" s="370"/>
      <c r="U73" s="370"/>
      <c r="V73" s="371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7" t="s">
        <v>155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358">
        <v>4607111039705</v>
      </c>
      <c r="E75" s="35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0"/>
      <c r="R75" s="360"/>
      <c r="S75" s="360"/>
      <c r="T75" s="36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358">
        <v>4607111039729</v>
      </c>
      <c r="E76" s="358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9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0"/>
      <c r="R76" s="360"/>
      <c r="S76" s="360"/>
      <c r="T76" s="361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358">
        <v>4620207490228</v>
      </c>
      <c r="E77" s="358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9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0"/>
      <c r="R77" s="360"/>
      <c r="S77" s="360"/>
      <c r="T77" s="36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69" t="s">
        <v>40</v>
      </c>
      <c r="Q78" s="370"/>
      <c r="R78" s="370"/>
      <c r="S78" s="370"/>
      <c r="T78" s="370"/>
      <c r="U78" s="370"/>
      <c r="V78" s="371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3"/>
      <c r="P79" s="369" t="s">
        <v>40</v>
      </c>
      <c r="Q79" s="370"/>
      <c r="R79" s="370"/>
      <c r="S79" s="370"/>
      <c r="T79" s="370"/>
      <c r="U79" s="370"/>
      <c r="V79" s="371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6" t="s">
        <v>163</v>
      </c>
      <c r="B80" s="356"/>
      <c r="C80" s="356"/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65"/>
      <c r="AB80" s="65"/>
      <c r="AC80" s="82"/>
    </row>
    <row r="81" spans="1:68" ht="14.25" customHeight="1" x14ac:dyDescent="0.25">
      <c r="A81" s="357" t="s">
        <v>80</v>
      </c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358">
        <v>4607111037411</v>
      </c>
      <c r="E82" s="358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9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0"/>
      <c r="R82" s="360"/>
      <c r="S82" s="360"/>
      <c r="T82" s="361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358">
        <v>4607111036728</v>
      </c>
      <c r="E83" s="358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9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0"/>
      <c r="R83" s="360"/>
      <c r="S83" s="360"/>
      <c r="T83" s="361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69" t="s">
        <v>40</v>
      </c>
      <c r="Q84" s="370"/>
      <c r="R84" s="370"/>
      <c r="S84" s="370"/>
      <c r="T84" s="370"/>
      <c r="U84" s="370"/>
      <c r="V84" s="371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3"/>
      <c r="P85" s="369" t="s">
        <v>40</v>
      </c>
      <c r="Q85" s="370"/>
      <c r="R85" s="370"/>
      <c r="S85" s="370"/>
      <c r="T85" s="370"/>
      <c r="U85" s="370"/>
      <c r="V85" s="371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6" t="s">
        <v>170</v>
      </c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65"/>
      <c r="AB86" s="65"/>
      <c r="AC86" s="82"/>
    </row>
    <row r="87" spans="1:68" ht="14.25" customHeight="1" x14ac:dyDescent="0.25">
      <c r="A87" s="357" t="s">
        <v>155</v>
      </c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358">
        <v>4607111033659</v>
      </c>
      <c r="E88" s="35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0"/>
      <c r="R88" s="360"/>
      <c r="S88" s="360"/>
      <c r="T88" s="361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3"/>
      <c r="P89" s="369" t="s">
        <v>40</v>
      </c>
      <c r="Q89" s="370"/>
      <c r="R89" s="370"/>
      <c r="S89" s="370"/>
      <c r="T89" s="370"/>
      <c r="U89" s="370"/>
      <c r="V89" s="371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69" t="s">
        <v>40</v>
      </c>
      <c r="Q90" s="370"/>
      <c r="R90" s="370"/>
      <c r="S90" s="370"/>
      <c r="T90" s="370"/>
      <c r="U90" s="370"/>
      <c r="V90" s="371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56" t="s">
        <v>174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65"/>
      <c r="AB91" s="65"/>
      <c r="AC91" s="82"/>
    </row>
    <row r="92" spans="1:68" ht="14.25" customHeight="1" x14ac:dyDescent="0.25">
      <c r="A92" s="357" t="s">
        <v>175</v>
      </c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358">
        <v>4607111034120</v>
      </c>
      <c r="E93" s="358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0"/>
      <c r="R93" s="360"/>
      <c r="S93" s="360"/>
      <c r="T93" s="361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358">
        <v>4607111034137</v>
      </c>
      <c r="E94" s="358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0"/>
      <c r="R94" s="360"/>
      <c r="S94" s="360"/>
      <c r="T94" s="361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3"/>
      <c r="P95" s="369" t="s">
        <v>40</v>
      </c>
      <c r="Q95" s="370"/>
      <c r="R95" s="370"/>
      <c r="S95" s="370"/>
      <c r="T95" s="370"/>
      <c r="U95" s="370"/>
      <c r="V95" s="371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3"/>
      <c r="P96" s="369" t="s">
        <v>40</v>
      </c>
      <c r="Q96" s="370"/>
      <c r="R96" s="370"/>
      <c r="S96" s="370"/>
      <c r="T96" s="370"/>
      <c r="U96" s="370"/>
      <c r="V96" s="371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56" t="s">
        <v>182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65"/>
      <c r="AB97" s="65"/>
      <c r="AC97" s="82"/>
    </row>
    <row r="98" spans="1:68" ht="14.25" customHeight="1" x14ac:dyDescent="0.25">
      <c r="A98" s="357" t="s">
        <v>155</v>
      </c>
      <c r="B98" s="357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358">
        <v>4620207491027</v>
      </c>
      <c r="E99" s="35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9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0"/>
      <c r="R99" s="360"/>
      <c r="S99" s="360"/>
      <c r="T99" s="36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358">
        <v>4620207491003</v>
      </c>
      <c r="E100" s="35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9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0"/>
      <c r="R100" s="360"/>
      <c r="S100" s="360"/>
      <c r="T100" s="36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358">
        <v>4620207491034</v>
      </c>
      <c r="E101" s="358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0"/>
      <c r="R101" s="360"/>
      <c r="S101" s="360"/>
      <c r="T101" s="36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358">
        <v>4620207491010</v>
      </c>
      <c r="E102" s="358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40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0"/>
      <c r="R102" s="360"/>
      <c r="S102" s="360"/>
      <c r="T102" s="36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358">
        <v>4607111035028</v>
      </c>
      <c r="E103" s="358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40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0"/>
      <c r="R103" s="360"/>
      <c r="S103" s="360"/>
      <c r="T103" s="36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358">
        <v>4607111036407</v>
      </c>
      <c r="E104" s="358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0"/>
      <c r="R104" s="360"/>
      <c r="S104" s="360"/>
      <c r="T104" s="36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3"/>
      <c r="P105" s="369" t="s">
        <v>40</v>
      </c>
      <c r="Q105" s="370"/>
      <c r="R105" s="370"/>
      <c r="S105" s="370"/>
      <c r="T105" s="370"/>
      <c r="U105" s="370"/>
      <c r="V105" s="371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3"/>
      <c r="P106" s="369" t="s">
        <v>40</v>
      </c>
      <c r="Q106" s="370"/>
      <c r="R106" s="370"/>
      <c r="S106" s="370"/>
      <c r="T106" s="370"/>
      <c r="U106" s="370"/>
      <c r="V106" s="371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56" t="s">
        <v>197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65"/>
      <c r="AB107" s="65"/>
      <c r="AC107" s="82"/>
    </row>
    <row r="108" spans="1:68" ht="14.25" customHeight="1" x14ac:dyDescent="0.25">
      <c r="A108" s="357" t="s">
        <v>149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358">
        <v>4607025784012</v>
      </c>
      <c r="E109" s="358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40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0"/>
      <c r="R109" s="360"/>
      <c r="S109" s="360"/>
      <c r="T109" s="361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358">
        <v>4607025784319</v>
      </c>
      <c r="E110" s="358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40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0"/>
      <c r="R110" s="360"/>
      <c r="S110" s="360"/>
      <c r="T110" s="361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3"/>
      <c r="P111" s="369" t="s">
        <v>40</v>
      </c>
      <c r="Q111" s="370"/>
      <c r="R111" s="370"/>
      <c r="S111" s="370"/>
      <c r="T111" s="370"/>
      <c r="U111" s="370"/>
      <c r="V111" s="371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3"/>
      <c r="P112" s="369" t="s">
        <v>40</v>
      </c>
      <c r="Q112" s="370"/>
      <c r="R112" s="370"/>
      <c r="S112" s="370"/>
      <c r="T112" s="370"/>
      <c r="U112" s="370"/>
      <c r="V112" s="371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6" t="s">
        <v>203</v>
      </c>
      <c r="B113" s="356"/>
      <c r="C113" s="356"/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65"/>
      <c r="AB113" s="65"/>
      <c r="AC113" s="82"/>
    </row>
    <row r="114" spans="1:68" ht="14.25" customHeight="1" x14ac:dyDescent="0.25">
      <c r="A114" s="357" t="s">
        <v>80</v>
      </c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358">
        <v>4620207491157</v>
      </c>
      <c r="E115" s="358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0"/>
      <c r="R115" s="360"/>
      <c r="S115" s="360"/>
      <c r="T115" s="36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358">
        <v>4620207491393</v>
      </c>
      <c r="E116" s="358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40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0"/>
      <c r="R116" s="360"/>
      <c r="S116" s="360"/>
      <c r="T116" s="36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358">
        <v>4607111039262</v>
      </c>
      <c r="E117" s="35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0"/>
      <c r="R117" s="360"/>
      <c r="S117" s="360"/>
      <c r="T117" s="36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358">
        <v>4607111039248</v>
      </c>
      <c r="E118" s="35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40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0"/>
      <c r="R118" s="360"/>
      <c r="S118" s="360"/>
      <c r="T118" s="36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358">
        <v>4607111037145</v>
      </c>
      <c r="E119" s="358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0"/>
      <c r="R119" s="360"/>
      <c r="S119" s="360"/>
      <c r="T119" s="36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358">
        <v>4607111039293</v>
      </c>
      <c r="E120" s="358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60"/>
      <c r="R120" s="360"/>
      <c r="S120" s="360"/>
      <c r="T120" s="361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358">
        <v>4607111039279</v>
      </c>
      <c r="E121" s="358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60"/>
      <c r="R121" s="360"/>
      <c r="S121" s="360"/>
      <c r="T121" s="361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3"/>
      <c r="P122" s="369" t="s">
        <v>40</v>
      </c>
      <c r="Q122" s="370"/>
      <c r="R122" s="370"/>
      <c r="S122" s="370"/>
      <c r="T122" s="370"/>
      <c r="U122" s="370"/>
      <c r="V122" s="371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3"/>
      <c r="P123" s="369" t="s">
        <v>40</v>
      </c>
      <c r="Q123" s="370"/>
      <c r="R123" s="370"/>
      <c r="S123" s="370"/>
      <c r="T123" s="370"/>
      <c r="U123" s="370"/>
      <c r="V123" s="371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57" t="s">
        <v>155</v>
      </c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358">
        <v>4620207490983</v>
      </c>
      <c r="E125" s="358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60"/>
      <c r="R125" s="360"/>
      <c r="S125" s="360"/>
      <c r="T125" s="361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3"/>
      <c r="P126" s="369" t="s">
        <v>40</v>
      </c>
      <c r="Q126" s="370"/>
      <c r="R126" s="370"/>
      <c r="S126" s="370"/>
      <c r="T126" s="370"/>
      <c r="U126" s="370"/>
      <c r="V126" s="37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3"/>
      <c r="P127" s="369" t="s">
        <v>40</v>
      </c>
      <c r="Q127" s="370"/>
      <c r="R127" s="370"/>
      <c r="S127" s="370"/>
      <c r="T127" s="370"/>
      <c r="U127" s="370"/>
      <c r="V127" s="37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7" t="s">
        <v>224</v>
      </c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358">
        <v>4620207491140</v>
      </c>
      <c r="E129" s="358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60"/>
      <c r="R129" s="360"/>
      <c r="S129" s="360"/>
      <c r="T129" s="361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3"/>
      <c r="P130" s="369" t="s">
        <v>40</v>
      </c>
      <c r="Q130" s="370"/>
      <c r="R130" s="370"/>
      <c r="S130" s="370"/>
      <c r="T130" s="370"/>
      <c r="U130" s="370"/>
      <c r="V130" s="371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3"/>
      <c r="P131" s="369" t="s">
        <v>40</v>
      </c>
      <c r="Q131" s="370"/>
      <c r="R131" s="370"/>
      <c r="S131" s="370"/>
      <c r="T131" s="370"/>
      <c r="U131" s="370"/>
      <c r="V131" s="371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6" t="s">
        <v>228</v>
      </c>
      <c r="B132" s="356"/>
      <c r="C132" s="356"/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  <c r="Z132" s="356"/>
      <c r="AA132" s="65"/>
      <c r="AB132" s="65"/>
      <c r="AC132" s="82"/>
    </row>
    <row r="133" spans="1:68" ht="14.25" customHeight="1" x14ac:dyDescent="0.25">
      <c r="A133" s="357" t="s">
        <v>155</v>
      </c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4301135850</v>
      </c>
      <c r="D134" s="358">
        <v>4620207491492</v>
      </c>
      <c r="E134" s="35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60"/>
      <c r="R134" s="360"/>
      <c r="S134" s="360"/>
      <c r="T134" s="36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232</v>
      </c>
      <c r="B135" s="63" t="s">
        <v>233</v>
      </c>
      <c r="C135" s="36">
        <v>4301190118</v>
      </c>
      <c r="D135" s="358">
        <v>4620207491461</v>
      </c>
      <c r="E135" s="358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60"/>
      <c r="R135" s="360"/>
      <c r="S135" s="360"/>
      <c r="T135" s="361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4301135865</v>
      </c>
      <c r="D136" s="358">
        <v>4620207491485</v>
      </c>
      <c r="E136" s="358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60"/>
      <c r="R136" s="360"/>
      <c r="S136" s="360"/>
      <c r="T136" s="361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3"/>
      <c r="P137" s="369" t="s">
        <v>40</v>
      </c>
      <c r="Q137" s="370"/>
      <c r="R137" s="370"/>
      <c r="S137" s="370"/>
      <c r="T137" s="370"/>
      <c r="U137" s="370"/>
      <c r="V137" s="371"/>
      <c r="W137" s="42" t="s">
        <v>39</v>
      </c>
      <c r="X137" s="43">
        <f>IFERROR(SUM(X134:X136),"0")</f>
        <v>0</v>
      </c>
      <c r="Y137" s="43">
        <f>IFERROR(SUM(Y134:Y136),"0")</f>
        <v>0</v>
      </c>
      <c r="Z137" s="43">
        <f>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3"/>
      <c r="P138" s="369" t="s">
        <v>40</v>
      </c>
      <c r="Q138" s="370"/>
      <c r="R138" s="370"/>
      <c r="S138" s="370"/>
      <c r="T138" s="370"/>
      <c r="U138" s="370"/>
      <c r="V138" s="371"/>
      <c r="W138" s="42" t="s">
        <v>0</v>
      </c>
      <c r="X138" s="43">
        <f>IFERROR(SUMPRODUCT(X134:X136*H134:H136),"0")</f>
        <v>0</v>
      </c>
      <c r="Y138" s="43">
        <f>IFERROR(SUMPRODUCT(Y134:Y136*H134:H136),"0")</f>
        <v>0</v>
      </c>
      <c r="Z138" s="42"/>
      <c r="AA138" s="67"/>
      <c r="AB138" s="67"/>
      <c r="AC138" s="67"/>
    </row>
    <row r="139" spans="1:68" ht="14.25" customHeight="1" x14ac:dyDescent="0.25">
      <c r="A139" s="357" t="s">
        <v>236</v>
      </c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66"/>
      <c r="AB139" s="66"/>
      <c r="AC139" s="83"/>
    </row>
    <row r="140" spans="1:68" ht="27" customHeight="1" x14ac:dyDescent="0.25">
      <c r="A140" s="63" t="s">
        <v>237</v>
      </c>
      <c r="B140" s="63" t="s">
        <v>238</v>
      </c>
      <c r="C140" s="36">
        <v>4301190117</v>
      </c>
      <c r="D140" s="358">
        <v>4620207491386</v>
      </c>
      <c r="E140" s="35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360"/>
      <c r="R140" s="360"/>
      <c r="S140" s="360"/>
      <c r="T140" s="36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239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4301190115</v>
      </c>
      <c r="D141" s="358">
        <v>4620207491362</v>
      </c>
      <c r="E141" s="358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360"/>
      <c r="R141" s="360"/>
      <c r="S141" s="360"/>
      <c r="T141" s="361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239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4301190116</v>
      </c>
      <c r="D142" s="358">
        <v>4620207491379</v>
      </c>
      <c r="E142" s="358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360"/>
      <c r="R142" s="360"/>
      <c r="S142" s="360"/>
      <c r="T142" s="361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239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3"/>
      <c r="P143" s="369" t="s">
        <v>40</v>
      </c>
      <c r="Q143" s="370"/>
      <c r="R143" s="370"/>
      <c r="S143" s="370"/>
      <c r="T143" s="370"/>
      <c r="U143" s="370"/>
      <c r="V143" s="371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3"/>
      <c r="P144" s="369" t="s">
        <v>40</v>
      </c>
      <c r="Q144" s="370"/>
      <c r="R144" s="370"/>
      <c r="S144" s="370"/>
      <c r="T144" s="370"/>
      <c r="U144" s="370"/>
      <c r="V144" s="371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customHeight="1" x14ac:dyDescent="0.25">
      <c r="A145" s="356" t="s">
        <v>244</v>
      </c>
      <c r="B145" s="356"/>
      <c r="C145" s="356"/>
      <c r="D145" s="356"/>
      <c r="E145" s="356"/>
      <c r="F145" s="356"/>
      <c r="G145" s="356"/>
      <c r="H145" s="356"/>
      <c r="I145" s="356"/>
      <c r="J145" s="356"/>
      <c r="K145" s="356"/>
      <c r="L145" s="356"/>
      <c r="M145" s="356"/>
      <c r="N145" s="356"/>
      <c r="O145" s="356"/>
      <c r="P145" s="356"/>
      <c r="Q145" s="356"/>
      <c r="R145" s="356"/>
      <c r="S145" s="356"/>
      <c r="T145" s="356"/>
      <c r="U145" s="356"/>
      <c r="V145" s="356"/>
      <c r="W145" s="356"/>
      <c r="X145" s="356"/>
      <c r="Y145" s="356"/>
      <c r="Z145" s="356"/>
      <c r="AA145" s="65"/>
      <c r="AB145" s="65"/>
      <c r="AC145" s="82"/>
    </row>
    <row r="146" spans="1:68" ht="14.25" customHeight="1" x14ac:dyDescent="0.25">
      <c r="A146" s="357" t="s">
        <v>155</v>
      </c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  <c r="AA146" s="66"/>
      <c r="AB146" s="66"/>
      <c r="AC146" s="83"/>
    </row>
    <row r="147" spans="1:68" ht="27" customHeight="1" x14ac:dyDescent="0.25">
      <c r="A147" s="63" t="s">
        <v>245</v>
      </c>
      <c r="B147" s="63" t="s">
        <v>246</v>
      </c>
      <c r="C147" s="36">
        <v>4301135555</v>
      </c>
      <c r="D147" s="358">
        <v>4607111034014</v>
      </c>
      <c r="E147" s="358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360"/>
      <c r="R147" s="360"/>
      <c r="S147" s="360"/>
      <c r="T147" s="361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7" t="s">
        <v>247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27" customHeight="1" x14ac:dyDescent="0.25">
      <c r="A148" s="63" t="s">
        <v>248</v>
      </c>
      <c r="B148" s="63" t="s">
        <v>249</v>
      </c>
      <c r="C148" s="36">
        <v>4301135532</v>
      </c>
      <c r="D148" s="358">
        <v>4607111033994</v>
      </c>
      <c r="E148" s="358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360"/>
      <c r="R148" s="360"/>
      <c r="S148" s="360"/>
      <c r="T148" s="361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173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3"/>
      <c r="P149" s="369" t="s">
        <v>40</v>
      </c>
      <c r="Q149" s="370"/>
      <c r="R149" s="370"/>
      <c r="S149" s="370"/>
      <c r="T149" s="370"/>
      <c r="U149" s="370"/>
      <c r="V149" s="371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3"/>
      <c r="P150" s="369" t="s">
        <v>40</v>
      </c>
      <c r="Q150" s="370"/>
      <c r="R150" s="370"/>
      <c r="S150" s="370"/>
      <c r="T150" s="370"/>
      <c r="U150" s="370"/>
      <c r="V150" s="371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56" t="s">
        <v>250</v>
      </c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6"/>
      <c r="P151" s="356"/>
      <c r="Q151" s="356"/>
      <c r="R151" s="356"/>
      <c r="S151" s="356"/>
      <c r="T151" s="356"/>
      <c r="U151" s="356"/>
      <c r="V151" s="356"/>
      <c r="W151" s="356"/>
      <c r="X151" s="356"/>
      <c r="Y151" s="356"/>
      <c r="Z151" s="356"/>
      <c r="AA151" s="65"/>
      <c r="AB151" s="65"/>
      <c r="AC151" s="82"/>
    </row>
    <row r="152" spans="1:68" ht="14.25" customHeight="1" x14ac:dyDescent="0.25">
      <c r="A152" s="357" t="s">
        <v>155</v>
      </c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  <c r="AA152" s="66"/>
      <c r="AB152" s="66"/>
      <c r="AC152" s="83"/>
    </row>
    <row r="153" spans="1:68" ht="27" customHeight="1" x14ac:dyDescent="0.25">
      <c r="A153" s="63" t="s">
        <v>251</v>
      </c>
      <c r="B153" s="63" t="s">
        <v>252</v>
      </c>
      <c r="C153" s="36">
        <v>4301135824</v>
      </c>
      <c r="D153" s="358">
        <v>4607111039095</v>
      </c>
      <c r="E153" s="358"/>
      <c r="F153" s="62">
        <v>0.25</v>
      </c>
      <c r="G153" s="37">
        <v>12</v>
      </c>
      <c r="H153" s="62">
        <v>3</v>
      </c>
      <c r="I153" s="62">
        <v>3.7480000000000002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360"/>
      <c r="R153" s="360"/>
      <c r="S153" s="360"/>
      <c r="T153" s="361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1" t="s">
        <v>253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ht="16.5" customHeight="1" x14ac:dyDescent="0.25">
      <c r="A154" s="63" t="s">
        <v>254</v>
      </c>
      <c r="B154" s="63" t="s">
        <v>255</v>
      </c>
      <c r="C154" s="36">
        <v>4301135550</v>
      </c>
      <c r="D154" s="358">
        <v>4607111034199</v>
      </c>
      <c r="E154" s="358"/>
      <c r="F154" s="62">
        <v>0.25</v>
      </c>
      <c r="G154" s="37">
        <v>12</v>
      </c>
      <c r="H154" s="62">
        <v>3</v>
      </c>
      <c r="I154" s="62">
        <v>3.7035999999999998</v>
      </c>
      <c r="J154" s="37">
        <v>70</v>
      </c>
      <c r="K154" s="37" t="s">
        <v>116</v>
      </c>
      <c r="L154" s="37" t="s">
        <v>117</v>
      </c>
      <c r="M154" s="38" t="s">
        <v>84</v>
      </c>
      <c r="N154" s="38"/>
      <c r="O154" s="37">
        <v>180</v>
      </c>
      <c r="P154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360"/>
      <c r="R154" s="360"/>
      <c r="S154" s="360"/>
      <c r="T154" s="361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256</v>
      </c>
      <c r="AG154" s="81"/>
      <c r="AJ154" s="87" t="s">
        <v>118</v>
      </c>
      <c r="AK154" s="87">
        <v>14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3"/>
      <c r="P155" s="369" t="s">
        <v>40</v>
      </c>
      <c r="Q155" s="370"/>
      <c r="R155" s="370"/>
      <c r="S155" s="370"/>
      <c r="T155" s="370"/>
      <c r="U155" s="370"/>
      <c r="V155" s="371"/>
      <c r="W155" s="42" t="s">
        <v>39</v>
      </c>
      <c r="X155" s="43">
        <f>IFERROR(SUM(X153:X154),"0")</f>
        <v>0</v>
      </c>
      <c r="Y155" s="43">
        <f>IFERROR(SUM(Y153:Y154),"0")</f>
        <v>0</v>
      </c>
      <c r="Z155" s="43">
        <f>IFERROR(IF(Z153="",0,Z153),"0")+IFERROR(IF(Z154="",0,Z154),"0")</f>
        <v>0</v>
      </c>
      <c r="AA155" s="67"/>
      <c r="AB155" s="67"/>
      <c r="AC155" s="67"/>
    </row>
    <row r="156" spans="1:68" x14ac:dyDescent="0.2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3"/>
      <c r="P156" s="369" t="s">
        <v>40</v>
      </c>
      <c r="Q156" s="370"/>
      <c r="R156" s="370"/>
      <c r="S156" s="370"/>
      <c r="T156" s="370"/>
      <c r="U156" s="370"/>
      <c r="V156" s="371"/>
      <c r="W156" s="42" t="s">
        <v>0</v>
      </c>
      <c r="X156" s="43">
        <f>IFERROR(SUMPRODUCT(X153:X154*H153:H154),"0")</f>
        <v>0</v>
      </c>
      <c r="Y156" s="43">
        <f>IFERROR(SUMPRODUCT(Y153:Y154*H153:H154),"0")</f>
        <v>0</v>
      </c>
      <c r="Z156" s="42"/>
      <c r="AA156" s="67"/>
      <c r="AB156" s="67"/>
      <c r="AC156" s="67"/>
    </row>
    <row r="157" spans="1:68" ht="16.5" customHeight="1" x14ac:dyDescent="0.25">
      <c r="A157" s="356" t="s">
        <v>257</v>
      </c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65"/>
      <c r="AB157" s="65"/>
      <c r="AC157" s="82"/>
    </row>
    <row r="158" spans="1:68" ht="14.25" customHeight="1" x14ac:dyDescent="0.25">
      <c r="A158" s="357" t="s">
        <v>155</v>
      </c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4301135753</v>
      </c>
      <c r="D159" s="358">
        <v>4620207490914</v>
      </c>
      <c r="E159" s="358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360"/>
      <c r="R159" s="360"/>
      <c r="S159" s="360"/>
      <c r="T159" s="361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05" t="s">
        <v>247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ht="27" customHeight="1" x14ac:dyDescent="0.25">
      <c r="A160" s="63" t="s">
        <v>260</v>
      </c>
      <c r="B160" s="63" t="s">
        <v>261</v>
      </c>
      <c r="C160" s="36">
        <v>4301135778</v>
      </c>
      <c r="D160" s="358">
        <v>4620207490853</v>
      </c>
      <c r="E160" s="358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117</v>
      </c>
      <c r="M160" s="38" t="s">
        <v>84</v>
      </c>
      <c r="N160" s="38"/>
      <c r="O160" s="37">
        <v>180</v>
      </c>
      <c r="P160" s="4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360"/>
      <c r="R160" s="360"/>
      <c r="S160" s="360"/>
      <c r="T160" s="36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247</v>
      </c>
      <c r="AG160" s="81"/>
      <c r="AJ160" s="87" t="s">
        <v>118</v>
      </c>
      <c r="AK160" s="87">
        <v>14</v>
      </c>
      <c r="BB160" s="208" t="s">
        <v>115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3"/>
      <c r="P161" s="369" t="s">
        <v>40</v>
      </c>
      <c r="Q161" s="370"/>
      <c r="R161" s="370"/>
      <c r="S161" s="370"/>
      <c r="T161" s="370"/>
      <c r="U161" s="370"/>
      <c r="V161" s="371"/>
      <c r="W161" s="42" t="s">
        <v>39</v>
      </c>
      <c r="X161" s="43">
        <f>IFERROR(SUM(X159:X160),"0")</f>
        <v>0</v>
      </c>
      <c r="Y161" s="43">
        <f>IFERROR(SUM(Y159:Y160),"0")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3"/>
      <c r="P162" s="369" t="s">
        <v>40</v>
      </c>
      <c r="Q162" s="370"/>
      <c r="R162" s="370"/>
      <c r="S162" s="370"/>
      <c r="T162" s="370"/>
      <c r="U162" s="370"/>
      <c r="V162" s="371"/>
      <c r="W162" s="42" t="s">
        <v>0</v>
      </c>
      <c r="X162" s="43">
        <f>IFERROR(SUMPRODUCT(X159:X160*H159:H160),"0")</f>
        <v>0</v>
      </c>
      <c r="Y162" s="43">
        <f>IFERROR(SUMPRODUCT(Y159:Y160*H159:H160),"0")</f>
        <v>0</v>
      </c>
      <c r="Z162" s="42"/>
      <c r="AA162" s="67"/>
      <c r="AB162" s="67"/>
      <c r="AC162" s="67"/>
    </row>
    <row r="163" spans="1:68" ht="16.5" customHeight="1" x14ac:dyDescent="0.25">
      <c r="A163" s="356" t="s">
        <v>262</v>
      </c>
      <c r="B163" s="356"/>
      <c r="C163" s="356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6"/>
      <c r="P163" s="356"/>
      <c r="Q163" s="356"/>
      <c r="R163" s="356"/>
      <c r="S163" s="356"/>
      <c r="T163" s="356"/>
      <c r="U163" s="356"/>
      <c r="V163" s="356"/>
      <c r="W163" s="356"/>
      <c r="X163" s="356"/>
      <c r="Y163" s="356"/>
      <c r="Z163" s="356"/>
      <c r="AA163" s="65"/>
      <c r="AB163" s="65"/>
      <c r="AC163" s="82"/>
    </row>
    <row r="164" spans="1:68" ht="14.25" customHeight="1" x14ac:dyDescent="0.25">
      <c r="A164" s="357" t="s">
        <v>155</v>
      </c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  <c r="AA164" s="66"/>
      <c r="AB164" s="66"/>
      <c r="AC164" s="83"/>
    </row>
    <row r="165" spans="1:68" ht="27" customHeight="1" x14ac:dyDescent="0.25">
      <c r="A165" s="63" t="s">
        <v>263</v>
      </c>
      <c r="B165" s="63" t="s">
        <v>264</v>
      </c>
      <c r="C165" s="36">
        <v>4301135570</v>
      </c>
      <c r="D165" s="358">
        <v>4607111035806</v>
      </c>
      <c r="E165" s="358"/>
      <c r="F165" s="62">
        <v>0.25</v>
      </c>
      <c r="G165" s="37">
        <v>12</v>
      </c>
      <c r="H165" s="62">
        <v>3</v>
      </c>
      <c r="I165" s="62">
        <v>3.7035999999999998</v>
      </c>
      <c r="J165" s="37">
        <v>70</v>
      </c>
      <c r="K165" s="37" t="s">
        <v>116</v>
      </c>
      <c r="L165" s="37" t="s">
        <v>117</v>
      </c>
      <c r="M165" s="38" t="s">
        <v>84</v>
      </c>
      <c r="N165" s="38"/>
      <c r="O165" s="37">
        <v>180</v>
      </c>
      <c r="P165" s="42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360"/>
      <c r="R165" s="360"/>
      <c r="S165" s="360"/>
      <c r="T165" s="361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IFERROR(IF(X165="","",X165*0.01788),"")</f>
        <v>0</v>
      </c>
      <c r="AA165" s="68" t="s">
        <v>46</v>
      </c>
      <c r="AB165" s="69" t="s">
        <v>46</v>
      </c>
      <c r="AC165" s="209" t="s">
        <v>265</v>
      </c>
      <c r="AG165" s="81"/>
      <c r="AJ165" s="87" t="s">
        <v>118</v>
      </c>
      <c r="AK165" s="87">
        <v>14</v>
      </c>
      <c r="BB165" s="210" t="s">
        <v>115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3"/>
      <c r="P166" s="369" t="s">
        <v>40</v>
      </c>
      <c r="Q166" s="370"/>
      <c r="R166" s="370"/>
      <c r="S166" s="370"/>
      <c r="T166" s="370"/>
      <c r="U166" s="370"/>
      <c r="V166" s="371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3"/>
      <c r="P167" s="369" t="s">
        <v>40</v>
      </c>
      <c r="Q167" s="370"/>
      <c r="R167" s="370"/>
      <c r="S167" s="370"/>
      <c r="T167" s="370"/>
      <c r="U167" s="370"/>
      <c r="V167" s="371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16.5" customHeight="1" x14ac:dyDescent="0.25">
      <c r="A168" s="356" t="s">
        <v>266</v>
      </c>
      <c r="B168" s="356"/>
      <c r="C168" s="356"/>
      <c r="D168" s="356"/>
      <c r="E168" s="356"/>
      <c r="F168" s="356"/>
      <c r="G168" s="356"/>
      <c r="H168" s="356"/>
      <c r="I168" s="356"/>
      <c r="J168" s="356"/>
      <c r="K168" s="356"/>
      <c r="L168" s="356"/>
      <c r="M168" s="356"/>
      <c r="N168" s="356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  <c r="Z168" s="356"/>
      <c r="AA168" s="65"/>
      <c r="AB168" s="65"/>
      <c r="AC168" s="82"/>
    </row>
    <row r="169" spans="1:68" ht="14.25" customHeight="1" x14ac:dyDescent="0.25">
      <c r="A169" s="357" t="s">
        <v>155</v>
      </c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  <c r="AA169" s="66"/>
      <c r="AB169" s="66"/>
      <c r="AC169" s="83"/>
    </row>
    <row r="170" spans="1:68" ht="16.5" customHeight="1" x14ac:dyDescent="0.25">
      <c r="A170" s="63" t="s">
        <v>267</v>
      </c>
      <c r="B170" s="63" t="s">
        <v>268</v>
      </c>
      <c r="C170" s="36">
        <v>4301135607</v>
      </c>
      <c r="D170" s="358">
        <v>4607111039613</v>
      </c>
      <c r="E170" s="358"/>
      <c r="F170" s="62">
        <v>0.09</v>
      </c>
      <c r="G170" s="37">
        <v>30</v>
      </c>
      <c r="H170" s="62">
        <v>2.7</v>
      </c>
      <c r="I170" s="62">
        <v>3.09</v>
      </c>
      <c r="J170" s="37">
        <v>126</v>
      </c>
      <c r="K170" s="37" t="s">
        <v>116</v>
      </c>
      <c r="L170" s="37" t="s">
        <v>117</v>
      </c>
      <c r="M170" s="38" t="s">
        <v>84</v>
      </c>
      <c r="N170" s="38"/>
      <c r="O170" s="37">
        <v>180</v>
      </c>
      <c r="P170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360"/>
      <c r="R170" s="360"/>
      <c r="S170" s="360"/>
      <c r="T170" s="361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IFERROR(IF(X170="","",X170*0.00936),"")</f>
        <v>0</v>
      </c>
      <c r="AA170" s="68" t="s">
        <v>46</v>
      </c>
      <c r="AB170" s="69" t="s">
        <v>46</v>
      </c>
      <c r="AC170" s="211" t="s">
        <v>253</v>
      </c>
      <c r="AG170" s="81"/>
      <c r="AJ170" s="87" t="s">
        <v>118</v>
      </c>
      <c r="AK170" s="87">
        <v>14</v>
      </c>
      <c r="BB170" s="212" t="s">
        <v>115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3"/>
      <c r="P171" s="369" t="s">
        <v>40</v>
      </c>
      <c r="Q171" s="370"/>
      <c r="R171" s="370"/>
      <c r="S171" s="370"/>
      <c r="T171" s="370"/>
      <c r="U171" s="370"/>
      <c r="V171" s="371"/>
      <c r="W171" s="42" t="s">
        <v>39</v>
      </c>
      <c r="X171" s="43">
        <f>IFERROR(SUM(X170:X170),"0")</f>
        <v>0</v>
      </c>
      <c r="Y171" s="43">
        <f>IFERROR(SUM(Y170:Y170),"0")</f>
        <v>0</v>
      </c>
      <c r="Z171" s="43">
        <f>IFERROR(IF(Z170="",0,Z170),"0")</f>
        <v>0</v>
      </c>
      <c r="AA171" s="67"/>
      <c r="AB171" s="67"/>
      <c r="AC171" s="67"/>
    </row>
    <row r="172" spans="1:68" x14ac:dyDescent="0.2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3"/>
      <c r="P172" s="369" t="s">
        <v>40</v>
      </c>
      <c r="Q172" s="370"/>
      <c r="R172" s="370"/>
      <c r="S172" s="370"/>
      <c r="T172" s="370"/>
      <c r="U172" s="370"/>
      <c r="V172" s="371"/>
      <c r="W172" s="42" t="s">
        <v>0</v>
      </c>
      <c r="X172" s="43">
        <f>IFERROR(SUMPRODUCT(X170:X170*H170:H170),"0")</f>
        <v>0</v>
      </c>
      <c r="Y172" s="43">
        <f>IFERROR(SUMPRODUCT(Y170:Y170*H170:H170),"0")</f>
        <v>0</v>
      </c>
      <c r="Z172" s="42"/>
      <c r="AA172" s="67"/>
      <c r="AB172" s="67"/>
      <c r="AC172" s="67"/>
    </row>
    <row r="173" spans="1:68" ht="16.5" customHeight="1" x14ac:dyDescent="0.25">
      <c r="A173" s="356" t="s">
        <v>269</v>
      </c>
      <c r="B173" s="356"/>
      <c r="C173" s="356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6"/>
      <c r="P173" s="356"/>
      <c r="Q173" s="356"/>
      <c r="R173" s="356"/>
      <c r="S173" s="356"/>
      <c r="T173" s="356"/>
      <c r="U173" s="356"/>
      <c r="V173" s="356"/>
      <c r="W173" s="356"/>
      <c r="X173" s="356"/>
      <c r="Y173" s="356"/>
      <c r="Z173" s="356"/>
      <c r="AA173" s="65"/>
      <c r="AB173" s="65"/>
      <c r="AC173" s="82"/>
    </row>
    <row r="174" spans="1:68" ht="14.25" customHeight="1" x14ac:dyDescent="0.25">
      <c r="A174" s="357" t="s">
        <v>155</v>
      </c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  <c r="AA174" s="66"/>
      <c r="AB174" s="66"/>
      <c r="AC174" s="83"/>
    </row>
    <row r="175" spans="1:68" ht="27" customHeight="1" x14ac:dyDescent="0.25">
      <c r="A175" s="63" t="s">
        <v>270</v>
      </c>
      <c r="B175" s="63" t="s">
        <v>271</v>
      </c>
      <c r="C175" s="36">
        <v>4301135591</v>
      </c>
      <c r="D175" s="358">
        <v>4607111036568</v>
      </c>
      <c r="E175" s="358"/>
      <c r="F175" s="62">
        <v>0.28000000000000003</v>
      </c>
      <c r="G175" s="37">
        <v>6</v>
      </c>
      <c r="H175" s="62">
        <v>1.68</v>
      </c>
      <c r="I175" s="62">
        <v>2.1017999999999999</v>
      </c>
      <c r="J175" s="37">
        <v>140</v>
      </c>
      <c r="K175" s="37" t="s">
        <v>116</v>
      </c>
      <c r="L175" s="37" t="s">
        <v>117</v>
      </c>
      <c r="M175" s="38" t="s">
        <v>84</v>
      </c>
      <c r="N175" s="38"/>
      <c r="O175" s="37">
        <v>180</v>
      </c>
      <c r="P175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360"/>
      <c r="R175" s="360"/>
      <c r="S175" s="360"/>
      <c r="T175" s="361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IFERROR(IF(X175="","",X175*0.00941),"")</f>
        <v>0</v>
      </c>
      <c r="AA175" s="68" t="s">
        <v>46</v>
      </c>
      <c r="AB175" s="69" t="s">
        <v>46</v>
      </c>
      <c r="AC175" s="213" t="s">
        <v>272</v>
      </c>
      <c r="AG175" s="81"/>
      <c r="AJ175" s="87" t="s">
        <v>118</v>
      </c>
      <c r="AK175" s="87">
        <v>14</v>
      </c>
      <c r="BB175" s="214" t="s">
        <v>115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x14ac:dyDescent="0.2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3"/>
      <c r="P176" s="369" t="s">
        <v>40</v>
      </c>
      <c r="Q176" s="370"/>
      <c r="R176" s="370"/>
      <c r="S176" s="370"/>
      <c r="T176" s="370"/>
      <c r="U176" s="370"/>
      <c r="V176" s="371"/>
      <c r="W176" s="42" t="s">
        <v>39</v>
      </c>
      <c r="X176" s="43">
        <f>IFERROR(SUM(X175:X175),"0")</f>
        <v>0</v>
      </c>
      <c r="Y176" s="43">
        <f>IFERROR(SUM(Y175:Y175),"0")</f>
        <v>0</v>
      </c>
      <c r="Z176" s="43">
        <f>IFERROR(IF(Z175="",0,Z175),"0")</f>
        <v>0</v>
      </c>
      <c r="AA176" s="67"/>
      <c r="AB176" s="67"/>
      <c r="AC176" s="67"/>
    </row>
    <row r="177" spans="1:68" x14ac:dyDescent="0.2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3"/>
      <c r="P177" s="369" t="s">
        <v>40</v>
      </c>
      <c r="Q177" s="370"/>
      <c r="R177" s="370"/>
      <c r="S177" s="370"/>
      <c r="T177" s="370"/>
      <c r="U177" s="370"/>
      <c r="V177" s="371"/>
      <c r="W177" s="42" t="s">
        <v>0</v>
      </c>
      <c r="X177" s="43">
        <f>IFERROR(SUMPRODUCT(X175:X175*H175:H175),"0")</f>
        <v>0</v>
      </c>
      <c r="Y177" s="43">
        <f>IFERROR(SUMPRODUCT(Y175:Y175*H175:H175),"0")</f>
        <v>0</v>
      </c>
      <c r="Z177" s="42"/>
      <c r="AA177" s="67"/>
      <c r="AB177" s="67"/>
      <c r="AC177" s="67"/>
    </row>
    <row r="178" spans="1:68" ht="27.75" customHeight="1" x14ac:dyDescent="0.2">
      <c r="A178" s="355" t="s">
        <v>273</v>
      </c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55"/>
      <c r="U178" s="355"/>
      <c r="V178" s="355"/>
      <c r="W178" s="355"/>
      <c r="X178" s="355"/>
      <c r="Y178" s="355"/>
      <c r="Z178" s="355"/>
      <c r="AA178" s="54"/>
      <c r="AB178" s="54"/>
      <c r="AC178" s="54"/>
    </row>
    <row r="179" spans="1:68" ht="16.5" customHeight="1" x14ac:dyDescent="0.25">
      <c r="A179" s="356" t="s">
        <v>274</v>
      </c>
      <c r="B179" s="356"/>
      <c r="C179" s="356"/>
      <c r="D179" s="356"/>
      <c r="E179" s="356"/>
      <c r="F179" s="356"/>
      <c r="G179" s="356"/>
      <c r="H179" s="356"/>
      <c r="I179" s="356"/>
      <c r="J179" s="356"/>
      <c r="K179" s="356"/>
      <c r="L179" s="356"/>
      <c r="M179" s="356"/>
      <c r="N179" s="356"/>
      <c r="O179" s="356"/>
      <c r="P179" s="356"/>
      <c r="Q179" s="356"/>
      <c r="R179" s="356"/>
      <c r="S179" s="356"/>
      <c r="T179" s="356"/>
      <c r="U179" s="356"/>
      <c r="V179" s="356"/>
      <c r="W179" s="356"/>
      <c r="X179" s="356"/>
      <c r="Y179" s="356"/>
      <c r="Z179" s="356"/>
      <c r="AA179" s="65"/>
      <c r="AB179" s="65"/>
      <c r="AC179" s="82"/>
    </row>
    <row r="180" spans="1:68" ht="14.25" customHeight="1" x14ac:dyDescent="0.25">
      <c r="A180" s="357" t="s">
        <v>80</v>
      </c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66"/>
      <c r="AB180" s="66"/>
      <c r="AC180" s="83"/>
    </row>
    <row r="181" spans="1:68" ht="16.5" customHeight="1" x14ac:dyDescent="0.25">
      <c r="A181" s="63" t="s">
        <v>275</v>
      </c>
      <c r="B181" s="63" t="s">
        <v>276</v>
      </c>
      <c r="C181" s="36">
        <v>4301071062</v>
      </c>
      <c r="D181" s="358">
        <v>4607111036384</v>
      </c>
      <c r="E181" s="358"/>
      <c r="F181" s="62">
        <v>5</v>
      </c>
      <c r="G181" s="37">
        <v>1</v>
      </c>
      <c r="H181" s="62">
        <v>5</v>
      </c>
      <c r="I181" s="62">
        <v>5.2106000000000003</v>
      </c>
      <c r="J181" s="37">
        <v>144</v>
      </c>
      <c r="K181" s="37" t="s">
        <v>85</v>
      </c>
      <c r="L181" s="37" t="s">
        <v>86</v>
      </c>
      <c r="M181" s="38" t="s">
        <v>84</v>
      </c>
      <c r="N181" s="38"/>
      <c r="O181" s="37">
        <v>180</v>
      </c>
      <c r="P181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360"/>
      <c r="R181" s="360"/>
      <c r="S181" s="360"/>
      <c r="T181" s="36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5" t="s">
        <v>277</v>
      </c>
      <c r="AG181" s="81"/>
      <c r="AJ181" s="87" t="s">
        <v>87</v>
      </c>
      <c r="AK181" s="87">
        <v>1</v>
      </c>
      <c r="BB181" s="216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278</v>
      </c>
      <c r="B182" s="63" t="s">
        <v>279</v>
      </c>
      <c r="C182" s="36">
        <v>4301071050</v>
      </c>
      <c r="D182" s="358">
        <v>4607111036216</v>
      </c>
      <c r="E182" s="358"/>
      <c r="F182" s="62">
        <v>5</v>
      </c>
      <c r="G182" s="37">
        <v>1</v>
      </c>
      <c r="H182" s="62">
        <v>5</v>
      </c>
      <c r="I182" s="62">
        <v>5.2131999999999996</v>
      </c>
      <c r="J182" s="37">
        <v>144</v>
      </c>
      <c r="K182" s="37" t="s">
        <v>85</v>
      </c>
      <c r="L182" s="37" t="s">
        <v>117</v>
      </c>
      <c r="M182" s="38" t="s">
        <v>84</v>
      </c>
      <c r="N182" s="38"/>
      <c r="O182" s="37">
        <v>180</v>
      </c>
      <c r="P182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360"/>
      <c r="R182" s="360"/>
      <c r="S182" s="360"/>
      <c r="T182" s="361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280</v>
      </c>
      <c r="AG182" s="81"/>
      <c r="AJ182" s="87" t="s">
        <v>118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3"/>
      <c r="P183" s="369" t="s">
        <v>40</v>
      </c>
      <c r="Q183" s="370"/>
      <c r="R183" s="370"/>
      <c r="S183" s="370"/>
      <c r="T183" s="370"/>
      <c r="U183" s="370"/>
      <c r="V183" s="371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x14ac:dyDescent="0.2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3"/>
      <c r="P184" s="369" t="s">
        <v>40</v>
      </c>
      <c r="Q184" s="370"/>
      <c r="R184" s="370"/>
      <c r="S184" s="370"/>
      <c r="T184" s="370"/>
      <c r="U184" s="370"/>
      <c r="V184" s="371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4.25" customHeight="1" x14ac:dyDescent="0.25">
      <c r="A185" s="357" t="s">
        <v>281</v>
      </c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  <c r="AA185" s="66"/>
      <c r="AB185" s="66"/>
      <c r="AC185" s="83"/>
    </row>
    <row r="186" spans="1:68" ht="27" customHeight="1" x14ac:dyDescent="0.25">
      <c r="A186" s="63" t="s">
        <v>282</v>
      </c>
      <c r="B186" s="63" t="s">
        <v>283</v>
      </c>
      <c r="C186" s="36">
        <v>4301080153</v>
      </c>
      <c r="D186" s="358">
        <v>4607111036827</v>
      </c>
      <c r="E186" s="358"/>
      <c r="F186" s="62">
        <v>1</v>
      </c>
      <c r="G186" s="37">
        <v>5</v>
      </c>
      <c r="H186" s="62">
        <v>5</v>
      </c>
      <c r="I186" s="62">
        <v>5.2</v>
      </c>
      <c r="J186" s="37">
        <v>144</v>
      </c>
      <c r="K186" s="37" t="s">
        <v>85</v>
      </c>
      <c r="L186" s="37" t="s">
        <v>86</v>
      </c>
      <c r="M186" s="38" t="s">
        <v>84</v>
      </c>
      <c r="N186" s="38"/>
      <c r="O186" s="37">
        <v>90</v>
      </c>
      <c r="P186" s="43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6" s="360"/>
      <c r="R186" s="360"/>
      <c r="S186" s="360"/>
      <c r="T186" s="36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9" t="s">
        <v>284</v>
      </c>
      <c r="AG186" s="81"/>
      <c r="AJ186" s="87" t="s">
        <v>87</v>
      </c>
      <c r="AK186" s="87">
        <v>1</v>
      </c>
      <c r="BB186" s="220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3"/>
      <c r="P187" s="369" t="s">
        <v>40</v>
      </c>
      <c r="Q187" s="370"/>
      <c r="R187" s="370"/>
      <c r="S187" s="370"/>
      <c r="T187" s="370"/>
      <c r="U187" s="370"/>
      <c r="V187" s="371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3"/>
      <c r="P188" s="369" t="s">
        <v>40</v>
      </c>
      <c r="Q188" s="370"/>
      <c r="R188" s="370"/>
      <c r="S188" s="370"/>
      <c r="T188" s="370"/>
      <c r="U188" s="370"/>
      <c r="V188" s="371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16.5" customHeight="1" x14ac:dyDescent="0.25">
      <c r="A189" s="356" t="s">
        <v>285</v>
      </c>
      <c r="B189" s="356"/>
      <c r="C189" s="356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6"/>
      <c r="P189" s="356"/>
      <c r="Q189" s="356"/>
      <c r="R189" s="356"/>
      <c r="S189" s="356"/>
      <c r="T189" s="356"/>
      <c r="U189" s="356"/>
      <c r="V189" s="356"/>
      <c r="W189" s="356"/>
      <c r="X189" s="356"/>
      <c r="Y189" s="356"/>
      <c r="Z189" s="356"/>
      <c r="AA189" s="65"/>
      <c r="AB189" s="65"/>
      <c r="AC189" s="82"/>
    </row>
    <row r="190" spans="1:68" ht="14.25" customHeight="1" x14ac:dyDescent="0.25">
      <c r="A190" s="357" t="s">
        <v>80</v>
      </c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  <c r="AA190" s="66"/>
      <c r="AB190" s="66"/>
      <c r="AC190" s="83"/>
    </row>
    <row r="191" spans="1:68" ht="27" customHeight="1" x14ac:dyDescent="0.25">
      <c r="A191" s="63" t="s">
        <v>286</v>
      </c>
      <c r="B191" s="63" t="s">
        <v>287</v>
      </c>
      <c r="C191" s="36">
        <v>4301071117</v>
      </c>
      <c r="D191" s="358">
        <v>4620207491737</v>
      </c>
      <c r="E191" s="358"/>
      <c r="F191" s="62">
        <v>1</v>
      </c>
      <c r="G191" s="37">
        <v>5</v>
      </c>
      <c r="H191" s="62">
        <v>5</v>
      </c>
      <c r="I191" s="62">
        <v>5.2619999999999996</v>
      </c>
      <c r="J191" s="37">
        <v>84</v>
      </c>
      <c r="K191" s="37" t="s">
        <v>85</v>
      </c>
      <c r="L191" s="37" t="s">
        <v>86</v>
      </c>
      <c r="M191" s="38" t="s">
        <v>84</v>
      </c>
      <c r="N191" s="38"/>
      <c r="O191" s="37">
        <v>180</v>
      </c>
      <c r="P191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1" s="360"/>
      <c r="R191" s="360"/>
      <c r="S191" s="360"/>
      <c r="T191" s="36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21" t="s">
        <v>280</v>
      </c>
      <c r="AG191" s="81"/>
      <c r="AJ191" s="87" t="s">
        <v>87</v>
      </c>
      <c r="AK191" s="87">
        <v>1</v>
      </c>
      <c r="BB191" s="222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3"/>
      <c r="P192" s="369" t="s">
        <v>40</v>
      </c>
      <c r="Q192" s="370"/>
      <c r="R192" s="370"/>
      <c r="S192" s="370"/>
      <c r="T192" s="370"/>
      <c r="U192" s="370"/>
      <c r="V192" s="371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3"/>
      <c r="P193" s="369" t="s">
        <v>40</v>
      </c>
      <c r="Q193" s="370"/>
      <c r="R193" s="370"/>
      <c r="S193" s="370"/>
      <c r="T193" s="370"/>
      <c r="U193" s="370"/>
      <c r="V193" s="371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55" t="s">
        <v>288</v>
      </c>
      <c r="B194" s="355"/>
      <c r="C194" s="355"/>
      <c r="D194" s="355"/>
      <c r="E194" s="355"/>
      <c r="F194" s="355"/>
      <c r="G194" s="355"/>
      <c r="H194" s="355"/>
      <c r="I194" s="355"/>
      <c r="J194" s="355"/>
      <c r="K194" s="355"/>
      <c r="L194" s="355"/>
      <c r="M194" s="355"/>
      <c r="N194" s="355"/>
      <c r="O194" s="355"/>
      <c r="P194" s="355"/>
      <c r="Q194" s="355"/>
      <c r="R194" s="355"/>
      <c r="S194" s="355"/>
      <c r="T194" s="355"/>
      <c r="U194" s="355"/>
      <c r="V194" s="355"/>
      <c r="W194" s="355"/>
      <c r="X194" s="355"/>
      <c r="Y194" s="355"/>
      <c r="Z194" s="355"/>
      <c r="AA194" s="54"/>
      <c r="AB194" s="54"/>
      <c r="AC194" s="54"/>
    </row>
    <row r="195" spans="1:68" ht="16.5" customHeight="1" x14ac:dyDescent="0.25">
      <c r="A195" s="356" t="s">
        <v>289</v>
      </c>
      <c r="B195" s="356"/>
      <c r="C195" s="356"/>
      <c r="D195" s="356"/>
      <c r="E195" s="356"/>
      <c r="F195" s="356"/>
      <c r="G195" s="356"/>
      <c r="H195" s="356"/>
      <c r="I195" s="356"/>
      <c r="J195" s="356"/>
      <c r="K195" s="356"/>
      <c r="L195" s="356"/>
      <c r="M195" s="356"/>
      <c r="N195" s="356"/>
      <c r="O195" s="356"/>
      <c r="P195" s="356"/>
      <c r="Q195" s="356"/>
      <c r="R195" s="356"/>
      <c r="S195" s="356"/>
      <c r="T195" s="356"/>
      <c r="U195" s="356"/>
      <c r="V195" s="356"/>
      <c r="W195" s="356"/>
      <c r="X195" s="356"/>
      <c r="Y195" s="356"/>
      <c r="Z195" s="356"/>
      <c r="AA195" s="65"/>
      <c r="AB195" s="65"/>
      <c r="AC195" s="82"/>
    </row>
    <row r="196" spans="1:68" ht="14.25" customHeight="1" x14ac:dyDescent="0.25">
      <c r="A196" s="357" t="s">
        <v>111</v>
      </c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  <c r="AA196" s="66"/>
      <c r="AB196" s="66"/>
      <c r="AC196" s="83"/>
    </row>
    <row r="197" spans="1:68" ht="16.5" customHeight="1" x14ac:dyDescent="0.25">
      <c r="A197" s="63" t="s">
        <v>290</v>
      </c>
      <c r="B197" s="63" t="s">
        <v>291</v>
      </c>
      <c r="C197" s="36">
        <v>4301132179</v>
      </c>
      <c r="D197" s="358">
        <v>4607111035691</v>
      </c>
      <c r="E197" s="358"/>
      <c r="F197" s="62">
        <v>0.25</v>
      </c>
      <c r="G197" s="37">
        <v>12</v>
      </c>
      <c r="H197" s="62">
        <v>3</v>
      </c>
      <c r="I197" s="62">
        <v>3.3879999999999999</v>
      </c>
      <c r="J197" s="37">
        <v>70</v>
      </c>
      <c r="K197" s="37" t="s">
        <v>116</v>
      </c>
      <c r="L197" s="37" t="s">
        <v>117</v>
      </c>
      <c r="M197" s="38" t="s">
        <v>84</v>
      </c>
      <c r="N197" s="38"/>
      <c r="O197" s="37">
        <v>365</v>
      </c>
      <c r="P197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60"/>
      <c r="R197" s="360"/>
      <c r="S197" s="360"/>
      <c r="T197" s="361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3" t="s">
        <v>292</v>
      </c>
      <c r="AG197" s="81"/>
      <c r="AJ197" s="87" t="s">
        <v>118</v>
      </c>
      <c r="AK197" s="87">
        <v>14</v>
      </c>
      <c r="BB197" s="224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293</v>
      </c>
      <c r="B198" s="63" t="s">
        <v>294</v>
      </c>
      <c r="C198" s="36">
        <v>4301132182</v>
      </c>
      <c r="D198" s="358">
        <v>4607111035721</v>
      </c>
      <c r="E198" s="358"/>
      <c r="F198" s="62">
        <v>0.25</v>
      </c>
      <c r="G198" s="37">
        <v>12</v>
      </c>
      <c r="H198" s="62">
        <v>3</v>
      </c>
      <c r="I198" s="62">
        <v>3.3879999999999999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365</v>
      </c>
      <c r="P198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8" s="360"/>
      <c r="R198" s="360"/>
      <c r="S198" s="360"/>
      <c r="T198" s="361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5" t="s">
        <v>295</v>
      </c>
      <c r="AG198" s="81"/>
      <c r="AJ198" s="87" t="s">
        <v>118</v>
      </c>
      <c r="AK198" s="87">
        <v>14</v>
      </c>
      <c r="BB198" s="226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296</v>
      </c>
      <c r="B199" s="63" t="s">
        <v>297</v>
      </c>
      <c r="C199" s="36">
        <v>4301132170</v>
      </c>
      <c r="D199" s="358">
        <v>4607111038487</v>
      </c>
      <c r="E199" s="358"/>
      <c r="F199" s="62">
        <v>0.25</v>
      </c>
      <c r="G199" s="37">
        <v>12</v>
      </c>
      <c r="H199" s="62">
        <v>3</v>
      </c>
      <c r="I199" s="62">
        <v>3.7360000000000002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9" s="360"/>
      <c r="R199" s="360"/>
      <c r="S199" s="360"/>
      <c r="T199" s="361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7" t="s">
        <v>298</v>
      </c>
      <c r="AG199" s="81"/>
      <c r="AJ199" s="87" t="s">
        <v>118</v>
      </c>
      <c r="AK199" s="87">
        <v>14</v>
      </c>
      <c r="BB199" s="228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299</v>
      </c>
      <c r="B200" s="63" t="s">
        <v>300</v>
      </c>
      <c r="C200" s="36">
        <v>4301132243</v>
      </c>
      <c r="D200" s="358">
        <v>4620207491195</v>
      </c>
      <c r="E200" s="358"/>
      <c r="F200" s="62">
        <v>0.23</v>
      </c>
      <c r="G200" s="37">
        <v>12</v>
      </c>
      <c r="H200" s="62">
        <v>2.76</v>
      </c>
      <c r="I200" s="62">
        <v>3.1480000000000001</v>
      </c>
      <c r="J200" s="37">
        <v>70</v>
      </c>
      <c r="K200" s="37" t="s">
        <v>116</v>
      </c>
      <c r="L200" s="37" t="s">
        <v>86</v>
      </c>
      <c r="M200" s="38" t="s">
        <v>84</v>
      </c>
      <c r="N200" s="38"/>
      <c r="O200" s="37">
        <v>180</v>
      </c>
      <c r="P200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0" s="360"/>
      <c r="R200" s="360"/>
      <c r="S200" s="360"/>
      <c r="T200" s="36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9" t="s">
        <v>301</v>
      </c>
      <c r="AG200" s="81"/>
      <c r="AJ200" s="87" t="s">
        <v>87</v>
      </c>
      <c r="AK200" s="87">
        <v>1</v>
      </c>
      <c r="BB200" s="230" t="s">
        <v>115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3"/>
      <c r="P201" s="369" t="s">
        <v>40</v>
      </c>
      <c r="Q201" s="370"/>
      <c r="R201" s="370"/>
      <c r="S201" s="370"/>
      <c r="T201" s="370"/>
      <c r="U201" s="370"/>
      <c r="V201" s="371"/>
      <c r="W201" s="42" t="s">
        <v>39</v>
      </c>
      <c r="X201" s="43">
        <f>IFERROR(SUM(X197:X200),"0")</f>
        <v>0</v>
      </c>
      <c r="Y201" s="43">
        <f>IFERROR(SUM(Y197:Y200),"0")</f>
        <v>0</v>
      </c>
      <c r="Z201" s="43">
        <f>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72"/>
      <c r="B202" s="372"/>
      <c r="C202" s="372"/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3"/>
      <c r="P202" s="369" t="s">
        <v>40</v>
      </c>
      <c r="Q202" s="370"/>
      <c r="R202" s="370"/>
      <c r="S202" s="370"/>
      <c r="T202" s="370"/>
      <c r="U202" s="370"/>
      <c r="V202" s="371"/>
      <c r="W202" s="42" t="s">
        <v>0</v>
      </c>
      <c r="X202" s="43">
        <f>IFERROR(SUMPRODUCT(X197:X200*H197:H200),"0")</f>
        <v>0</v>
      </c>
      <c r="Y202" s="43">
        <f>IFERROR(SUMPRODUCT(Y197:Y200*H197:H200),"0")</f>
        <v>0</v>
      </c>
      <c r="Z202" s="42"/>
      <c r="AA202" s="67"/>
      <c r="AB202" s="67"/>
      <c r="AC202" s="67"/>
    </row>
    <row r="203" spans="1:68" ht="27.75" customHeight="1" x14ac:dyDescent="0.2">
      <c r="A203" s="355" t="s">
        <v>302</v>
      </c>
      <c r="B203" s="355"/>
      <c r="C203" s="355"/>
      <c r="D203" s="355"/>
      <c r="E203" s="355"/>
      <c r="F203" s="355"/>
      <c r="G203" s="355"/>
      <c r="H203" s="355"/>
      <c r="I203" s="355"/>
      <c r="J203" s="355"/>
      <c r="K203" s="355"/>
      <c r="L203" s="355"/>
      <c r="M203" s="355"/>
      <c r="N203" s="355"/>
      <c r="O203" s="355"/>
      <c r="P203" s="355"/>
      <c r="Q203" s="355"/>
      <c r="R203" s="355"/>
      <c r="S203" s="355"/>
      <c r="T203" s="355"/>
      <c r="U203" s="355"/>
      <c r="V203" s="355"/>
      <c r="W203" s="355"/>
      <c r="X203" s="355"/>
      <c r="Y203" s="355"/>
      <c r="Z203" s="355"/>
      <c r="AA203" s="54"/>
      <c r="AB203" s="54"/>
      <c r="AC203" s="54"/>
    </row>
    <row r="204" spans="1:68" ht="16.5" customHeight="1" x14ac:dyDescent="0.25">
      <c r="A204" s="356" t="s">
        <v>303</v>
      </c>
      <c r="B204" s="356"/>
      <c r="C204" s="356"/>
      <c r="D204" s="356"/>
      <c r="E204" s="356"/>
      <c r="F204" s="356"/>
      <c r="G204" s="356"/>
      <c r="H204" s="356"/>
      <c r="I204" s="356"/>
      <c r="J204" s="356"/>
      <c r="K204" s="356"/>
      <c r="L204" s="356"/>
      <c r="M204" s="356"/>
      <c r="N204" s="356"/>
      <c r="O204" s="356"/>
      <c r="P204" s="356"/>
      <c r="Q204" s="356"/>
      <c r="R204" s="356"/>
      <c r="S204" s="356"/>
      <c r="T204" s="356"/>
      <c r="U204" s="356"/>
      <c r="V204" s="356"/>
      <c r="W204" s="356"/>
      <c r="X204" s="356"/>
      <c r="Y204" s="356"/>
      <c r="Z204" s="356"/>
      <c r="AA204" s="65"/>
      <c r="AB204" s="65"/>
      <c r="AC204" s="82"/>
    </row>
    <row r="205" spans="1:68" ht="14.25" customHeight="1" x14ac:dyDescent="0.25">
      <c r="A205" s="357" t="s">
        <v>111</v>
      </c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  <c r="AA205" s="66"/>
      <c r="AB205" s="66"/>
      <c r="AC205" s="83"/>
    </row>
    <row r="206" spans="1:68" ht="27" customHeight="1" x14ac:dyDescent="0.25">
      <c r="A206" s="63" t="s">
        <v>304</v>
      </c>
      <c r="B206" s="63" t="s">
        <v>305</v>
      </c>
      <c r="C206" s="36">
        <v>4301132227</v>
      </c>
      <c r="D206" s="358">
        <v>4620207491133</v>
      </c>
      <c r="E206" s="358"/>
      <c r="F206" s="62">
        <v>0.23</v>
      </c>
      <c r="G206" s="37">
        <v>12</v>
      </c>
      <c r="H206" s="62">
        <v>2.76</v>
      </c>
      <c r="I206" s="62">
        <v>2.98</v>
      </c>
      <c r="J206" s="37">
        <v>70</v>
      </c>
      <c r="K206" s="37" t="s">
        <v>116</v>
      </c>
      <c r="L206" s="37" t="s">
        <v>117</v>
      </c>
      <c r="M206" s="38" t="s">
        <v>84</v>
      </c>
      <c r="N206" s="38"/>
      <c r="O206" s="37">
        <v>180</v>
      </c>
      <c r="P206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6" s="360"/>
      <c r="R206" s="360"/>
      <c r="S206" s="360"/>
      <c r="T206" s="361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306</v>
      </c>
      <c r="AG206" s="81"/>
      <c r="AJ206" s="87" t="s">
        <v>118</v>
      </c>
      <c r="AK206" s="87">
        <v>14</v>
      </c>
      <c r="BB206" s="232" t="s">
        <v>115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3"/>
      <c r="P207" s="369" t="s">
        <v>40</v>
      </c>
      <c r="Q207" s="370"/>
      <c r="R207" s="370"/>
      <c r="S207" s="370"/>
      <c r="T207" s="370"/>
      <c r="U207" s="370"/>
      <c r="V207" s="371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372"/>
      <c r="B208" s="372"/>
      <c r="C208" s="372"/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3"/>
      <c r="P208" s="369" t="s">
        <v>40</v>
      </c>
      <c r="Q208" s="370"/>
      <c r="R208" s="370"/>
      <c r="S208" s="370"/>
      <c r="T208" s="370"/>
      <c r="U208" s="370"/>
      <c r="V208" s="371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4.25" customHeight="1" x14ac:dyDescent="0.25">
      <c r="A209" s="357" t="s">
        <v>155</v>
      </c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66"/>
      <c r="AB209" s="66"/>
      <c r="AC209" s="83"/>
    </row>
    <row r="210" spans="1:68" ht="27" customHeight="1" x14ac:dyDescent="0.25">
      <c r="A210" s="63" t="s">
        <v>307</v>
      </c>
      <c r="B210" s="63" t="s">
        <v>308</v>
      </c>
      <c r="C210" s="36">
        <v>4301135834</v>
      </c>
      <c r="D210" s="358">
        <v>4620207491188</v>
      </c>
      <c r="E210" s="35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0" s="360"/>
      <c r="R210" s="360"/>
      <c r="S210" s="360"/>
      <c r="T210" s="36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3" t="s">
        <v>309</v>
      </c>
      <c r="AG210" s="81"/>
      <c r="AJ210" s="87" t="s">
        <v>87</v>
      </c>
      <c r="AK210" s="87">
        <v>1</v>
      </c>
      <c r="BB210" s="234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310</v>
      </c>
      <c r="B211" s="63" t="s">
        <v>311</v>
      </c>
      <c r="C211" s="36">
        <v>4301135829</v>
      </c>
      <c r="D211" s="358">
        <v>4620207490235</v>
      </c>
      <c r="E211" s="35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43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1" s="360"/>
      <c r="R211" s="360"/>
      <c r="S211" s="360"/>
      <c r="T211" s="36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5" t="s">
        <v>312</v>
      </c>
      <c r="AG211" s="81"/>
      <c r="AJ211" s="87" t="s">
        <v>87</v>
      </c>
      <c r="AK211" s="87">
        <v>1</v>
      </c>
      <c r="BB211" s="236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313</v>
      </c>
      <c r="B212" s="63" t="s">
        <v>314</v>
      </c>
      <c r="C212" s="36">
        <v>4301135697</v>
      </c>
      <c r="D212" s="358">
        <v>4620207490259</v>
      </c>
      <c r="E212" s="358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116</v>
      </c>
      <c r="L212" s="37" t="s">
        <v>117</v>
      </c>
      <c r="M212" s="38" t="s">
        <v>84</v>
      </c>
      <c r="N212" s="38"/>
      <c r="O212" s="37">
        <v>180</v>
      </c>
      <c r="P212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2" s="360"/>
      <c r="R212" s="360"/>
      <c r="S212" s="360"/>
      <c r="T212" s="36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7" t="s">
        <v>315</v>
      </c>
      <c r="AG212" s="81"/>
      <c r="AJ212" s="87" t="s">
        <v>118</v>
      </c>
      <c r="AK212" s="87">
        <v>14</v>
      </c>
      <c r="BB212" s="238" t="s">
        <v>115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3"/>
      <c r="P213" s="369" t="s">
        <v>40</v>
      </c>
      <c r="Q213" s="370"/>
      <c r="R213" s="370"/>
      <c r="S213" s="370"/>
      <c r="T213" s="370"/>
      <c r="U213" s="370"/>
      <c r="V213" s="371"/>
      <c r="W213" s="42" t="s">
        <v>39</v>
      </c>
      <c r="X213" s="43">
        <f>IFERROR(SUM(X210:X212),"0")</f>
        <v>0</v>
      </c>
      <c r="Y213" s="43">
        <f>IFERROR(SUM(Y210:Y212),"0")</f>
        <v>0</v>
      </c>
      <c r="Z213" s="43">
        <f>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372"/>
      <c r="B214" s="372"/>
      <c r="C214" s="372"/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3"/>
      <c r="P214" s="369" t="s">
        <v>40</v>
      </c>
      <c r="Q214" s="370"/>
      <c r="R214" s="370"/>
      <c r="S214" s="370"/>
      <c r="T214" s="370"/>
      <c r="U214" s="370"/>
      <c r="V214" s="371"/>
      <c r="W214" s="42" t="s">
        <v>0</v>
      </c>
      <c r="X214" s="43">
        <f>IFERROR(SUMPRODUCT(X210:X212*H210:H212),"0")</f>
        <v>0</v>
      </c>
      <c r="Y214" s="43">
        <f>IFERROR(SUMPRODUCT(Y210:Y212*H210:H212),"0")</f>
        <v>0</v>
      </c>
      <c r="Z214" s="42"/>
      <c r="AA214" s="67"/>
      <c r="AB214" s="67"/>
      <c r="AC214" s="67"/>
    </row>
    <row r="215" spans="1:68" ht="16.5" customHeight="1" x14ac:dyDescent="0.25">
      <c r="A215" s="356" t="s">
        <v>316</v>
      </c>
      <c r="B215" s="356"/>
      <c r="C215" s="356"/>
      <c r="D215" s="356"/>
      <c r="E215" s="356"/>
      <c r="F215" s="356"/>
      <c r="G215" s="356"/>
      <c r="H215" s="356"/>
      <c r="I215" s="356"/>
      <c r="J215" s="356"/>
      <c r="K215" s="356"/>
      <c r="L215" s="356"/>
      <c r="M215" s="356"/>
      <c r="N215" s="356"/>
      <c r="O215" s="356"/>
      <c r="P215" s="356"/>
      <c r="Q215" s="356"/>
      <c r="R215" s="356"/>
      <c r="S215" s="356"/>
      <c r="T215" s="356"/>
      <c r="U215" s="356"/>
      <c r="V215" s="356"/>
      <c r="W215" s="356"/>
      <c r="X215" s="356"/>
      <c r="Y215" s="356"/>
      <c r="Z215" s="356"/>
      <c r="AA215" s="65"/>
      <c r="AB215" s="65"/>
      <c r="AC215" s="82"/>
    </row>
    <row r="216" spans="1:68" ht="14.25" customHeight="1" x14ac:dyDescent="0.25">
      <c r="A216" s="357" t="s">
        <v>155</v>
      </c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  <c r="AA216" s="66"/>
      <c r="AB216" s="66"/>
      <c r="AC216" s="83"/>
    </row>
    <row r="217" spans="1:68" ht="27" customHeight="1" x14ac:dyDescent="0.25">
      <c r="A217" s="63" t="s">
        <v>317</v>
      </c>
      <c r="B217" s="63" t="s">
        <v>318</v>
      </c>
      <c r="C217" s="36">
        <v>4301135854</v>
      </c>
      <c r="D217" s="358">
        <v>4620207491706</v>
      </c>
      <c r="E217" s="358"/>
      <c r="F217" s="62">
        <v>0.2</v>
      </c>
      <c r="G217" s="37">
        <v>12</v>
      </c>
      <c r="H217" s="62">
        <v>2.4</v>
      </c>
      <c r="I217" s="62">
        <v>3.1036000000000001</v>
      </c>
      <c r="J217" s="37">
        <v>70</v>
      </c>
      <c r="K217" s="37" t="s">
        <v>116</v>
      </c>
      <c r="L217" s="37" t="s">
        <v>86</v>
      </c>
      <c r="M217" s="38" t="s">
        <v>84</v>
      </c>
      <c r="N217" s="38"/>
      <c r="O217" s="37">
        <v>180</v>
      </c>
      <c r="P217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7" s="360"/>
      <c r="R217" s="360"/>
      <c r="S217" s="360"/>
      <c r="T217" s="36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IFERROR(IF(X217="","",X217*0.01788),"")</f>
        <v>0</v>
      </c>
      <c r="AA217" s="68" t="s">
        <v>46</v>
      </c>
      <c r="AB217" s="69" t="s">
        <v>46</v>
      </c>
      <c r="AC217" s="239" t="s">
        <v>319</v>
      </c>
      <c r="AG217" s="81"/>
      <c r="AJ217" s="87" t="s">
        <v>87</v>
      </c>
      <c r="AK217" s="87">
        <v>1</v>
      </c>
      <c r="BB217" s="240" t="s">
        <v>115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t="27" customHeight="1" x14ac:dyDescent="0.25">
      <c r="A218" s="63" t="s">
        <v>320</v>
      </c>
      <c r="B218" s="63" t="s">
        <v>321</v>
      </c>
      <c r="C218" s="36">
        <v>4301135895</v>
      </c>
      <c r="D218" s="358">
        <v>4620207491522</v>
      </c>
      <c r="E218" s="358"/>
      <c r="F218" s="62">
        <v>0.28000000000000003</v>
      </c>
      <c r="G218" s="37">
        <v>12</v>
      </c>
      <c r="H218" s="62">
        <v>3.36</v>
      </c>
      <c r="I218" s="62">
        <v>4.0636000000000001</v>
      </c>
      <c r="J218" s="37">
        <v>70</v>
      </c>
      <c r="K218" s="37" t="s">
        <v>116</v>
      </c>
      <c r="L218" s="37" t="s">
        <v>86</v>
      </c>
      <c r="M218" s="38" t="s">
        <v>84</v>
      </c>
      <c r="N218" s="38"/>
      <c r="O218" s="37">
        <v>180</v>
      </c>
      <c r="P218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8" s="360"/>
      <c r="R218" s="360"/>
      <c r="S218" s="360"/>
      <c r="T218" s="361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1" t="s">
        <v>322</v>
      </c>
      <c r="AG218" s="81"/>
      <c r="AJ218" s="87" t="s">
        <v>87</v>
      </c>
      <c r="AK218" s="87">
        <v>1</v>
      </c>
      <c r="BB218" s="242" t="s">
        <v>115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72"/>
      <c r="B219" s="372"/>
      <c r="C219" s="372"/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3"/>
      <c r="P219" s="369" t="s">
        <v>40</v>
      </c>
      <c r="Q219" s="370"/>
      <c r="R219" s="370"/>
      <c r="S219" s="370"/>
      <c r="T219" s="370"/>
      <c r="U219" s="370"/>
      <c r="V219" s="371"/>
      <c r="W219" s="42" t="s">
        <v>39</v>
      </c>
      <c r="X219" s="43">
        <f>IFERROR(SUM(X217:X218),"0")</f>
        <v>0</v>
      </c>
      <c r="Y219" s="43">
        <f>IFERROR(SUM(Y217:Y218),"0")</f>
        <v>0</v>
      </c>
      <c r="Z219" s="43">
        <f>IFERROR(IF(Z217="",0,Z217),"0")+IFERROR(IF(Z218="",0,Z218),"0")</f>
        <v>0</v>
      </c>
      <c r="AA219" s="67"/>
      <c r="AB219" s="67"/>
      <c r="AC219" s="67"/>
    </row>
    <row r="220" spans="1:68" x14ac:dyDescent="0.2">
      <c r="A220" s="372"/>
      <c r="B220" s="372"/>
      <c r="C220" s="372"/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3"/>
      <c r="P220" s="369" t="s">
        <v>40</v>
      </c>
      <c r="Q220" s="370"/>
      <c r="R220" s="370"/>
      <c r="S220" s="370"/>
      <c r="T220" s="370"/>
      <c r="U220" s="370"/>
      <c r="V220" s="371"/>
      <c r="W220" s="42" t="s">
        <v>0</v>
      </c>
      <c r="X220" s="43">
        <f>IFERROR(SUMPRODUCT(X217:X218*H217:H218),"0")</f>
        <v>0</v>
      </c>
      <c r="Y220" s="43">
        <f>IFERROR(SUMPRODUCT(Y217:Y218*H217:H218),"0")</f>
        <v>0</v>
      </c>
      <c r="Z220" s="42"/>
      <c r="AA220" s="67"/>
      <c r="AB220" s="67"/>
      <c r="AC220" s="67"/>
    </row>
    <row r="221" spans="1:68" ht="16.5" customHeight="1" x14ac:dyDescent="0.25">
      <c r="A221" s="356" t="s">
        <v>323</v>
      </c>
      <c r="B221" s="356"/>
      <c r="C221" s="356"/>
      <c r="D221" s="356"/>
      <c r="E221" s="356"/>
      <c r="F221" s="356"/>
      <c r="G221" s="356"/>
      <c r="H221" s="356"/>
      <c r="I221" s="356"/>
      <c r="J221" s="356"/>
      <c r="K221" s="356"/>
      <c r="L221" s="356"/>
      <c r="M221" s="356"/>
      <c r="N221" s="356"/>
      <c r="O221" s="356"/>
      <c r="P221" s="356"/>
      <c r="Q221" s="356"/>
      <c r="R221" s="356"/>
      <c r="S221" s="356"/>
      <c r="T221" s="356"/>
      <c r="U221" s="356"/>
      <c r="V221" s="356"/>
      <c r="W221" s="356"/>
      <c r="X221" s="356"/>
      <c r="Y221" s="356"/>
      <c r="Z221" s="356"/>
      <c r="AA221" s="65"/>
      <c r="AB221" s="65"/>
      <c r="AC221" s="82"/>
    </row>
    <row r="222" spans="1:68" ht="14.25" customHeight="1" x14ac:dyDescent="0.25">
      <c r="A222" s="357" t="s">
        <v>80</v>
      </c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  <c r="AA222" s="66"/>
      <c r="AB222" s="66"/>
      <c r="AC222" s="83"/>
    </row>
    <row r="223" spans="1:68" ht="27" customHeight="1" x14ac:dyDescent="0.25">
      <c r="A223" s="63" t="s">
        <v>324</v>
      </c>
      <c r="B223" s="63" t="s">
        <v>325</v>
      </c>
      <c r="C223" s="36">
        <v>4301071097</v>
      </c>
      <c r="D223" s="358">
        <v>4620207491096</v>
      </c>
      <c r="E223" s="358"/>
      <c r="F223" s="62">
        <v>1</v>
      </c>
      <c r="G223" s="37">
        <v>5</v>
      </c>
      <c r="H223" s="62">
        <v>5</v>
      </c>
      <c r="I223" s="62">
        <v>5.23</v>
      </c>
      <c r="J223" s="37">
        <v>84</v>
      </c>
      <c r="K223" s="37" t="s">
        <v>85</v>
      </c>
      <c r="L223" s="37" t="s">
        <v>117</v>
      </c>
      <c r="M223" s="38" t="s">
        <v>84</v>
      </c>
      <c r="N223" s="38"/>
      <c r="O223" s="37">
        <v>180</v>
      </c>
      <c r="P223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3" s="360"/>
      <c r="R223" s="360"/>
      <c r="S223" s="360"/>
      <c r="T223" s="36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43" t="s">
        <v>326</v>
      </c>
      <c r="AG223" s="81"/>
      <c r="AJ223" s="87" t="s">
        <v>118</v>
      </c>
      <c r="AK223" s="87">
        <v>12</v>
      </c>
      <c r="BB223" s="24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72"/>
      <c r="B224" s="372"/>
      <c r="C224" s="372"/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3"/>
      <c r="P224" s="369" t="s">
        <v>40</v>
      </c>
      <c r="Q224" s="370"/>
      <c r="R224" s="370"/>
      <c r="S224" s="370"/>
      <c r="T224" s="370"/>
      <c r="U224" s="370"/>
      <c r="V224" s="371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72"/>
      <c r="B225" s="372"/>
      <c r="C225" s="372"/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3"/>
      <c r="P225" s="369" t="s">
        <v>40</v>
      </c>
      <c r="Q225" s="370"/>
      <c r="R225" s="370"/>
      <c r="S225" s="370"/>
      <c r="T225" s="370"/>
      <c r="U225" s="370"/>
      <c r="V225" s="371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16.5" customHeight="1" x14ac:dyDescent="0.25">
      <c r="A226" s="356" t="s">
        <v>327</v>
      </c>
      <c r="B226" s="356"/>
      <c r="C226" s="356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6"/>
      <c r="P226" s="356"/>
      <c r="Q226" s="356"/>
      <c r="R226" s="356"/>
      <c r="S226" s="356"/>
      <c r="T226" s="356"/>
      <c r="U226" s="356"/>
      <c r="V226" s="356"/>
      <c r="W226" s="356"/>
      <c r="X226" s="356"/>
      <c r="Y226" s="356"/>
      <c r="Z226" s="356"/>
      <c r="AA226" s="65"/>
      <c r="AB226" s="65"/>
      <c r="AC226" s="82"/>
    </row>
    <row r="227" spans="1:68" ht="14.25" customHeight="1" x14ac:dyDescent="0.25">
      <c r="A227" s="357" t="s">
        <v>155</v>
      </c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  <c r="AA227" s="66"/>
      <c r="AB227" s="66"/>
      <c r="AC227" s="83"/>
    </row>
    <row r="228" spans="1:68" ht="27" customHeight="1" x14ac:dyDescent="0.25">
      <c r="A228" s="63" t="s">
        <v>328</v>
      </c>
      <c r="B228" s="63" t="s">
        <v>329</v>
      </c>
      <c r="C228" s="36">
        <v>4301135694</v>
      </c>
      <c r="D228" s="358">
        <v>4620207490501</v>
      </c>
      <c r="E228" s="358"/>
      <c r="F228" s="62">
        <v>0.2</v>
      </c>
      <c r="G228" s="37">
        <v>12</v>
      </c>
      <c r="H228" s="62">
        <v>2.4</v>
      </c>
      <c r="I228" s="62">
        <v>3.1036000000000001</v>
      </c>
      <c r="J228" s="37">
        <v>70</v>
      </c>
      <c r="K228" s="37" t="s">
        <v>116</v>
      </c>
      <c r="L228" s="37" t="s">
        <v>86</v>
      </c>
      <c r="M228" s="38" t="s">
        <v>84</v>
      </c>
      <c r="N228" s="38"/>
      <c r="O228" s="37">
        <v>180</v>
      </c>
      <c r="P228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8" s="360"/>
      <c r="R228" s="360"/>
      <c r="S228" s="360"/>
      <c r="T228" s="361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IFERROR(IF(X228="","",X228*0.01788),"")</f>
        <v>0</v>
      </c>
      <c r="AA228" s="68" t="s">
        <v>46</v>
      </c>
      <c r="AB228" s="69" t="s">
        <v>46</v>
      </c>
      <c r="AC228" s="245" t="s">
        <v>330</v>
      </c>
      <c r="AG228" s="81"/>
      <c r="AJ228" s="87" t="s">
        <v>87</v>
      </c>
      <c r="AK228" s="87">
        <v>1</v>
      </c>
      <c r="BB228" s="246" t="s">
        <v>115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3"/>
      <c r="P229" s="369" t="s">
        <v>40</v>
      </c>
      <c r="Q229" s="370"/>
      <c r="R229" s="370"/>
      <c r="S229" s="370"/>
      <c r="T229" s="370"/>
      <c r="U229" s="370"/>
      <c r="V229" s="37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72"/>
      <c r="B230" s="372"/>
      <c r="C230" s="372"/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3"/>
      <c r="P230" s="369" t="s">
        <v>40</v>
      </c>
      <c r="Q230" s="370"/>
      <c r="R230" s="370"/>
      <c r="S230" s="370"/>
      <c r="T230" s="370"/>
      <c r="U230" s="370"/>
      <c r="V230" s="37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55" t="s">
        <v>331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54"/>
      <c r="AB231" s="54"/>
      <c r="AC231" s="54"/>
    </row>
    <row r="232" spans="1:68" ht="16.5" customHeight="1" x14ac:dyDescent="0.25">
      <c r="A232" s="356" t="s">
        <v>332</v>
      </c>
      <c r="B232" s="356"/>
      <c r="C232" s="356"/>
      <c r="D232" s="356"/>
      <c r="E232" s="356"/>
      <c r="F232" s="356"/>
      <c r="G232" s="356"/>
      <c r="H232" s="356"/>
      <c r="I232" s="356"/>
      <c r="J232" s="356"/>
      <c r="K232" s="356"/>
      <c r="L232" s="356"/>
      <c r="M232" s="356"/>
      <c r="N232" s="356"/>
      <c r="O232" s="356"/>
      <c r="P232" s="356"/>
      <c r="Q232" s="356"/>
      <c r="R232" s="356"/>
      <c r="S232" s="356"/>
      <c r="T232" s="356"/>
      <c r="U232" s="356"/>
      <c r="V232" s="356"/>
      <c r="W232" s="356"/>
      <c r="X232" s="356"/>
      <c r="Y232" s="356"/>
      <c r="Z232" s="356"/>
      <c r="AA232" s="65"/>
      <c r="AB232" s="65"/>
      <c r="AC232" s="82"/>
    </row>
    <row r="233" spans="1:68" ht="14.25" customHeight="1" x14ac:dyDescent="0.25">
      <c r="A233" s="357" t="s">
        <v>80</v>
      </c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  <c r="AA233" s="66"/>
      <c r="AB233" s="66"/>
      <c r="AC233" s="83"/>
    </row>
    <row r="234" spans="1:68" ht="27" customHeight="1" x14ac:dyDescent="0.25">
      <c r="A234" s="63" t="s">
        <v>333</v>
      </c>
      <c r="B234" s="63" t="s">
        <v>334</v>
      </c>
      <c r="C234" s="36">
        <v>4301071036</v>
      </c>
      <c r="D234" s="358">
        <v>4607111036162</v>
      </c>
      <c r="E234" s="358"/>
      <c r="F234" s="62">
        <v>0.8</v>
      </c>
      <c r="G234" s="37">
        <v>8</v>
      </c>
      <c r="H234" s="62">
        <v>6.4</v>
      </c>
      <c r="I234" s="62">
        <v>6.6811999999999996</v>
      </c>
      <c r="J234" s="37">
        <v>84</v>
      </c>
      <c r="K234" s="37" t="s">
        <v>85</v>
      </c>
      <c r="L234" s="37" t="s">
        <v>86</v>
      </c>
      <c r="M234" s="38" t="s">
        <v>84</v>
      </c>
      <c r="N234" s="38"/>
      <c r="O234" s="37">
        <v>90</v>
      </c>
      <c r="P234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4" s="360"/>
      <c r="R234" s="360"/>
      <c r="S234" s="360"/>
      <c r="T234" s="361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IFERROR(IF(X234="","",X234*0.0155),"")</f>
        <v>0</v>
      </c>
      <c r="AA234" s="68" t="s">
        <v>46</v>
      </c>
      <c r="AB234" s="69" t="s">
        <v>46</v>
      </c>
      <c r="AC234" s="247" t="s">
        <v>335</v>
      </c>
      <c r="AG234" s="81"/>
      <c r="AJ234" s="87" t="s">
        <v>87</v>
      </c>
      <c r="AK234" s="87">
        <v>1</v>
      </c>
      <c r="BB234" s="248" t="s">
        <v>70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3"/>
      <c r="P235" s="369" t="s">
        <v>40</v>
      </c>
      <c r="Q235" s="370"/>
      <c r="R235" s="370"/>
      <c r="S235" s="370"/>
      <c r="T235" s="370"/>
      <c r="U235" s="370"/>
      <c r="V235" s="37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72"/>
      <c r="B236" s="372"/>
      <c r="C236" s="372"/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3"/>
      <c r="P236" s="369" t="s">
        <v>40</v>
      </c>
      <c r="Q236" s="370"/>
      <c r="R236" s="370"/>
      <c r="S236" s="370"/>
      <c r="T236" s="370"/>
      <c r="U236" s="370"/>
      <c r="V236" s="37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55" t="s">
        <v>336</v>
      </c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5"/>
      <c r="P237" s="355"/>
      <c r="Q237" s="355"/>
      <c r="R237" s="355"/>
      <c r="S237" s="355"/>
      <c r="T237" s="355"/>
      <c r="U237" s="355"/>
      <c r="V237" s="355"/>
      <c r="W237" s="355"/>
      <c r="X237" s="355"/>
      <c r="Y237" s="355"/>
      <c r="Z237" s="355"/>
      <c r="AA237" s="54"/>
      <c r="AB237" s="54"/>
      <c r="AC237" s="54"/>
    </row>
    <row r="238" spans="1:68" ht="16.5" customHeight="1" x14ac:dyDescent="0.25">
      <c r="A238" s="356" t="s">
        <v>337</v>
      </c>
      <c r="B238" s="356"/>
      <c r="C238" s="356"/>
      <c r="D238" s="356"/>
      <c r="E238" s="356"/>
      <c r="F238" s="356"/>
      <c r="G238" s="356"/>
      <c r="H238" s="356"/>
      <c r="I238" s="356"/>
      <c r="J238" s="356"/>
      <c r="K238" s="356"/>
      <c r="L238" s="356"/>
      <c r="M238" s="356"/>
      <c r="N238" s="356"/>
      <c r="O238" s="356"/>
      <c r="P238" s="356"/>
      <c r="Q238" s="356"/>
      <c r="R238" s="356"/>
      <c r="S238" s="356"/>
      <c r="T238" s="356"/>
      <c r="U238" s="356"/>
      <c r="V238" s="356"/>
      <c r="W238" s="356"/>
      <c r="X238" s="356"/>
      <c r="Y238" s="356"/>
      <c r="Z238" s="356"/>
      <c r="AA238" s="65"/>
      <c r="AB238" s="65"/>
      <c r="AC238" s="82"/>
    </row>
    <row r="239" spans="1:68" ht="14.25" customHeight="1" x14ac:dyDescent="0.25">
      <c r="A239" s="357" t="s">
        <v>338</v>
      </c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  <c r="AA239" s="66"/>
      <c r="AB239" s="66"/>
      <c r="AC239" s="83"/>
    </row>
    <row r="240" spans="1:68" ht="27" customHeight="1" x14ac:dyDescent="0.25">
      <c r="A240" s="63" t="s">
        <v>339</v>
      </c>
      <c r="B240" s="63" t="s">
        <v>340</v>
      </c>
      <c r="C240" s="36">
        <v>4301133004</v>
      </c>
      <c r="D240" s="358">
        <v>4607111039774</v>
      </c>
      <c r="E240" s="358"/>
      <c r="F240" s="62">
        <v>0.25</v>
      </c>
      <c r="G240" s="37">
        <v>12</v>
      </c>
      <c r="H240" s="62">
        <v>3</v>
      </c>
      <c r="I240" s="62">
        <v>3.22</v>
      </c>
      <c r="J240" s="37">
        <v>70</v>
      </c>
      <c r="K240" s="37" t="s">
        <v>116</v>
      </c>
      <c r="L240" s="37" t="s">
        <v>86</v>
      </c>
      <c r="M240" s="38" t="s">
        <v>84</v>
      </c>
      <c r="N240" s="38"/>
      <c r="O240" s="37">
        <v>180</v>
      </c>
      <c r="P240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360"/>
      <c r="R240" s="360"/>
      <c r="S240" s="360"/>
      <c r="T240" s="361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341</v>
      </c>
      <c r="AG240" s="81"/>
      <c r="AJ240" s="87" t="s">
        <v>87</v>
      </c>
      <c r="AK240" s="87">
        <v>1</v>
      </c>
      <c r="BB240" s="250" t="s">
        <v>115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72"/>
      <c r="B241" s="372"/>
      <c r="C241" s="372"/>
      <c r="D241" s="372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3"/>
      <c r="P241" s="369" t="s">
        <v>40</v>
      </c>
      <c r="Q241" s="370"/>
      <c r="R241" s="370"/>
      <c r="S241" s="370"/>
      <c r="T241" s="370"/>
      <c r="U241" s="370"/>
      <c r="V241" s="371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372"/>
      <c r="B242" s="372"/>
      <c r="C242" s="372"/>
      <c r="D242" s="372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3"/>
      <c r="P242" s="369" t="s">
        <v>40</v>
      </c>
      <c r="Q242" s="370"/>
      <c r="R242" s="370"/>
      <c r="S242" s="370"/>
      <c r="T242" s="370"/>
      <c r="U242" s="370"/>
      <c r="V242" s="371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14.25" customHeight="1" x14ac:dyDescent="0.25">
      <c r="A243" s="357" t="s">
        <v>155</v>
      </c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  <c r="AA243" s="66"/>
      <c r="AB243" s="66"/>
      <c r="AC243" s="83"/>
    </row>
    <row r="244" spans="1:68" ht="37.5" customHeight="1" x14ac:dyDescent="0.25">
      <c r="A244" s="63" t="s">
        <v>342</v>
      </c>
      <c r="B244" s="63" t="s">
        <v>343</v>
      </c>
      <c r="C244" s="36">
        <v>4301135400</v>
      </c>
      <c r="D244" s="358">
        <v>4607111039361</v>
      </c>
      <c r="E244" s="358"/>
      <c r="F244" s="62">
        <v>0.25</v>
      </c>
      <c r="G244" s="37">
        <v>12</v>
      </c>
      <c r="H244" s="62">
        <v>3</v>
      </c>
      <c r="I244" s="62">
        <v>3.7035999999999998</v>
      </c>
      <c r="J244" s="37">
        <v>70</v>
      </c>
      <c r="K244" s="37" t="s">
        <v>116</v>
      </c>
      <c r="L244" s="37" t="s">
        <v>86</v>
      </c>
      <c r="M244" s="38" t="s">
        <v>84</v>
      </c>
      <c r="N244" s="38"/>
      <c r="O244" s="37">
        <v>180</v>
      </c>
      <c r="P244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360"/>
      <c r="R244" s="360"/>
      <c r="S244" s="360"/>
      <c r="T244" s="36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1" t="s">
        <v>341</v>
      </c>
      <c r="AG244" s="81"/>
      <c r="AJ244" s="87" t="s">
        <v>87</v>
      </c>
      <c r="AK244" s="87">
        <v>1</v>
      </c>
      <c r="BB244" s="252" t="s">
        <v>115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3"/>
      <c r="P245" s="369" t="s">
        <v>40</v>
      </c>
      <c r="Q245" s="370"/>
      <c r="R245" s="370"/>
      <c r="S245" s="370"/>
      <c r="T245" s="370"/>
      <c r="U245" s="370"/>
      <c r="V245" s="37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72"/>
      <c r="B246" s="372"/>
      <c r="C246" s="372"/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  <c r="N246" s="372"/>
      <c r="O246" s="373"/>
      <c r="P246" s="369" t="s">
        <v>40</v>
      </c>
      <c r="Q246" s="370"/>
      <c r="R246" s="370"/>
      <c r="S246" s="370"/>
      <c r="T246" s="370"/>
      <c r="U246" s="370"/>
      <c r="V246" s="37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customHeight="1" x14ac:dyDescent="0.2">
      <c r="A247" s="355" t="s">
        <v>344</v>
      </c>
      <c r="B247" s="355"/>
      <c r="C247" s="355"/>
      <c r="D247" s="355"/>
      <c r="E247" s="355"/>
      <c r="F247" s="355"/>
      <c r="G247" s="355"/>
      <c r="H247" s="355"/>
      <c r="I247" s="355"/>
      <c r="J247" s="355"/>
      <c r="K247" s="355"/>
      <c r="L247" s="355"/>
      <c r="M247" s="355"/>
      <c r="N247" s="355"/>
      <c r="O247" s="355"/>
      <c r="P247" s="355"/>
      <c r="Q247" s="355"/>
      <c r="R247" s="355"/>
      <c r="S247" s="355"/>
      <c r="T247" s="355"/>
      <c r="U247" s="355"/>
      <c r="V247" s="355"/>
      <c r="W247" s="355"/>
      <c r="X247" s="355"/>
      <c r="Y247" s="355"/>
      <c r="Z247" s="355"/>
      <c r="AA247" s="54"/>
      <c r="AB247" s="54"/>
      <c r="AC247" s="54"/>
    </row>
    <row r="248" spans="1:68" ht="16.5" customHeight="1" x14ac:dyDescent="0.25">
      <c r="A248" s="356" t="s">
        <v>344</v>
      </c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6"/>
      <c r="P248" s="356"/>
      <c r="Q248" s="356"/>
      <c r="R248" s="356"/>
      <c r="S248" s="356"/>
      <c r="T248" s="356"/>
      <c r="U248" s="356"/>
      <c r="V248" s="356"/>
      <c r="W248" s="356"/>
      <c r="X248" s="356"/>
      <c r="Y248" s="356"/>
      <c r="Z248" s="356"/>
      <c r="AA248" s="65"/>
      <c r="AB248" s="65"/>
      <c r="AC248" s="82"/>
    </row>
    <row r="249" spans="1:68" ht="14.25" customHeight="1" x14ac:dyDescent="0.25">
      <c r="A249" s="357" t="s">
        <v>149</v>
      </c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  <c r="AA249" s="66"/>
      <c r="AB249" s="66"/>
      <c r="AC249" s="83"/>
    </row>
    <row r="250" spans="1:68" ht="27" customHeight="1" x14ac:dyDescent="0.25">
      <c r="A250" s="63" t="s">
        <v>345</v>
      </c>
      <c r="B250" s="63" t="s">
        <v>346</v>
      </c>
      <c r="C250" s="36">
        <v>4301136098</v>
      </c>
      <c r="D250" s="358">
        <v>4640242181943</v>
      </c>
      <c r="E250" s="358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116</v>
      </c>
      <c r="L250" s="37" t="s">
        <v>86</v>
      </c>
      <c r="M250" s="38" t="s">
        <v>84</v>
      </c>
      <c r="N250" s="38"/>
      <c r="O250" s="37">
        <v>180</v>
      </c>
      <c r="P250" s="4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60"/>
      <c r="R250" s="360"/>
      <c r="S250" s="360"/>
      <c r="T250" s="361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347</v>
      </c>
      <c r="AG250" s="81"/>
      <c r="AJ250" s="87" t="s">
        <v>87</v>
      </c>
      <c r="AK250" s="87">
        <v>1</v>
      </c>
      <c r="BB250" s="254" t="s">
        <v>115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72"/>
      <c r="B251" s="372"/>
      <c r="C251" s="372"/>
      <c r="D251" s="372"/>
      <c r="E251" s="372"/>
      <c r="F251" s="372"/>
      <c r="G251" s="372"/>
      <c r="H251" s="372"/>
      <c r="I251" s="372"/>
      <c r="J251" s="372"/>
      <c r="K251" s="372"/>
      <c r="L251" s="372"/>
      <c r="M251" s="372"/>
      <c r="N251" s="372"/>
      <c r="O251" s="373"/>
      <c r="P251" s="369" t="s">
        <v>40</v>
      </c>
      <c r="Q251" s="370"/>
      <c r="R251" s="370"/>
      <c r="S251" s="370"/>
      <c r="T251" s="370"/>
      <c r="U251" s="370"/>
      <c r="V251" s="371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372"/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  <c r="O252" s="373"/>
      <c r="P252" s="369" t="s">
        <v>40</v>
      </c>
      <c r="Q252" s="370"/>
      <c r="R252" s="370"/>
      <c r="S252" s="370"/>
      <c r="T252" s="370"/>
      <c r="U252" s="370"/>
      <c r="V252" s="371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">
      <c r="A253" s="355" t="s">
        <v>348</v>
      </c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5"/>
      <c r="P253" s="355"/>
      <c r="Q253" s="355"/>
      <c r="R253" s="355"/>
      <c r="S253" s="355"/>
      <c r="T253" s="355"/>
      <c r="U253" s="355"/>
      <c r="V253" s="355"/>
      <c r="W253" s="355"/>
      <c r="X253" s="355"/>
      <c r="Y253" s="355"/>
      <c r="Z253" s="355"/>
      <c r="AA253" s="54"/>
      <c r="AB253" s="54"/>
      <c r="AC253" s="54"/>
    </row>
    <row r="254" spans="1:68" ht="16.5" customHeight="1" x14ac:dyDescent="0.25">
      <c r="A254" s="356" t="s">
        <v>348</v>
      </c>
      <c r="B254" s="356"/>
      <c r="C254" s="356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6"/>
      <c r="P254" s="356"/>
      <c r="Q254" s="356"/>
      <c r="R254" s="356"/>
      <c r="S254" s="356"/>
      <c r="T254" s="356"/>
      <c r="U254" s="356"/>
      <c r="V254" s="356"/>
      <c r="W254" s="356"/>
      <c r="X254" s="356"/>
      <c r="Y254" s="356"/>
      <c r="Z254" s="356"/>
      <c r="AA254" s="65"/>
      <c r="AB254" s="65"/>
      <c r="AC254" s="82"/>
    </row>
    <row r="255" spans="1:68" ht="14.25" customHeight="1" x14ac:dyDescent="0.25">
      <c r="A255" s="357" t="s">
        <v>80</v>
      </c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  <c r="AA255" s="66"/>
      <c r="AB255" s="66"/>
      <c r="AC255" s="83"/>
    </row>
    <row r="256" spans="1:68" ht="27" customHeight="1" x14ac:dyDescent="0.25">
      <c r="A256" s="63" t="s">
        <v>349</v>
      </c>
      <c r="B256" s="63" t="s">
        <v>350</v>
      </c>
      <c r="C256" s="36">
        <v>4301071014</v>
      </c>
      <c r="D256" s="358">
        <v>4640242181264</v>
      </c>
      <c r="E256" s="358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44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60"/>
      <c r="R256" s="360"/>
      <c r="S256" s="360"/>
      <c r="T256" s="36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351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352</v>
      </c>
      <c r="B257" s="63" t="s">
        <v>353</v>
      </c>
      <c r="C257" s="36">
        <v>4301071021</v>
      </c>
      <c r="D257" s="358">
        <v>4640242181325</v>
      </c>
      <c r="E257" s="358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360"/>
      <c r="R257" s="360"/>
      <c r="S257" s="360"/>
      <c r="T257" s="36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351</v>
      </c>
      <c r="AG257" s="81"/>
      <c r="AJ257" s="87" t="s">
        <v>118</v>
      </c>
      <c r="AK257" s="87">
        <v>12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3"/>
      <c r="P258" s="369" t="s">
        <v>40</v>
      </c>
      <c r="Q258" s="370"/>
      <c r="R258" s="370"/>
      <c r="S258" s="370"/>
      <c r="T258" s="370"/>
      <c r="U258" s="370"/>
      <c r="V258" s="371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3"/>
      <c r="P259" s="369" t="s">
        <v>40</v>
      </c>
      <c r="Q259" s="370"/>
      <c r="R259" s="370"/>
      <c r="S259" s="370"/>
      <c r="T259" s="370"/>
      <c r="U259" s="370"/>
      <c r="V259" s="371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57" t="s">
        <v>111</v>
      </c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  <c r="AA260" s="66"/>
      <c r="AB260" s="66"/>
      <c r="AC260" s="83"/>
    </row>
    <row r="261" spans="1:68" ht="27" customHeight="1" x14ac:dyDescent="0.25">
      <c r="A261" s="63" t="s">
        <v>354</v>
      </c>
      <c r="B261" s="63" t="s">
        <v>355</v>
      </c>
      <c r="C261" s="36">
        <v>4301132080</v>
      </c>
      <c r="D261" s="358">
        <v>4640242180397</v>
      </c>
      <c r="E261" s="358"/>
      <c r="F261" s="62">
        <v>1</v>
      </c>
      <c r="G261" s="37">
        <v>6</v>
      </c>
      <c r="H261" s="62">
        <v>6</v>
      </c>
      <c r="I261" s="62">
        <v>6.26</v>
      </c>
      <c r="J261" s="37">
        <v>84</v>
      </c>
      <c r="K261" s="37" t="s">
        <v>85</v>
      </c>
      <c r="L261" s="37" t="s">
        <v>117</v>
      </c>
      <c r="M261" s="38" t="s">
        <v>84</v>
      </c>
      <c r="N261" s="38"/>
      <c r="O261" s="37">
        <v>180</v>
      </c>
      <c r="P261" s="45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360"/>
      <c r="R261" s="360"/>
      <c r="S261" s="360"/>
      <c r="T261" s="361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12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x14ac:dyDescent="0.2">
      <c r="A262" s="372"/>
      <c r="B262" s="372"/>
      <c r="C262" s="372"/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  <c r="N262" s="372"/>
      <c r="O262" s="373"/>
      <c r="P262" s="369" t="s">
        <v>40</v>
      </c>
      <c r="Q262" s="370"/>
      <c r="R262" s="370"/>
      <c r="S262" s="370"/>
      <c r="T262" s="370"/>
      <c r="U262" s="370"/>
      <c r="V262" s="371"/>
      <c r="W262" s="42" t="s">
        <v>39</v>
      </c>
      <c r="X262" s="43">
        <f>IFERROR(SUM(X261:X261),"0")</f>
        <v>0</v>
      </c>
      <c r="Y262" s="43">
        <f>IFERROR(SUM(Y261:Y261),"0")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372"/>
      <c r="B263" s="372"/>
      <c r="C263" s="372"/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  <c r="N263" s="372"/>
      <c r="O263" s="373"/>
      <c r="P263" s="369" t="s">
        <v>40</v>
      </c>
      <c r="Q263" s="370"/>
      <c r="R263" s="370"/>
      <c r="S263" s="370"/>
      <c r="T263" s="370"/>
      <c r="U263" s="370"/>
      <c r="V263" s="371"/>
      <c r="W263" s="42" t="s">
        <v>0</v>
      </c>
      <c r="X263" s="43">
        <f>IFERROR(SUMPRODUCT(X261:X261*H261:H261),"0")</f>
        <v>0</v>
      </c>
      <c r="Y263" s="43">
        <f>IFERROR(SUMPRODUCT(Y261:Y261*H261:H261),"0")</f>
        <v>0</v>
      </c>
      <c r="Z263" s="42"/>
      <c r="AA263" s="67"/>
      <c r="AB263" s="67"/>
      <c r="AC263" s="67"/>
    </row>
    <row r="264" spans="1:68" ht="14.25" customHeight="1" x14ac:dyDescent="0.25">
      <c r="A264" s="357" t="s">
        <v>149</v>
      </c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  <c r="AA264" s="66"/>
      <c r="AB264" s="66"/>
      <c r="AC264" s="83"/>
    </row>
    <row r="265" spans="1:68" ht="27" customHeight="1" x14ac:dyDescent="0.25">
      <c r="A265" s="63" t="s">
        <v>357</v>
      </c>
      <c r="B265" s="63" t="s">
        <v>358</v>
      </c>
      <c r="C265" s="36">
        <v>4301136051</v>
      </c>
      <c r="D265" s="358">
        <v>4640242180304</v>
      </c>
      <c r="E265" s="358"/>
      <c r="F265" s="62">
        <v>2.7</v>
      </c>
      <c r="G265" s="37">
        <v>1</v>
      </c>
      <c r="H265" s="62">
        <v>2.7</v>
      </c>
      <c r="I265" s="62">
        <v>2.8906000000000001</v>
      </c>
      <c r="J265" s="37">
        <v>126</v>
      </c>
      <c r="K265" s="37" t="s">
        <v>116</v>
      </c>
      <c r="L265" s="37" t="s">
        <v>117</v>
      </c>
      <c r="M265" s="38" t="s">
        <v>84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360"/>
      <c r="R265" s="360"/>
      <c r="S265" s="360"/>
      <c r="T265" s="361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1" t="s">
        <v>359</v>
      </c>
      <c r="AG265" s="81"/>
      <c r="AJ265" s="87" t="s">
        <v>118</v>
      </c>
      <c r="AK265" s="87">
        <v>14</v>
      </c>
      <c r="BB265" s="262" t="s">
        <v>115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360</v>
      </c>
      <c r="B266" s="63" t="s">
        <v>361</v>
      </c>
      <c r="C266" s="36">
        <v>4301136053</v>
      </c>
      <c r="D266" s="358">
        <v>4640242180236</v>
      </c>
      <c r="E266" s="358"/>
      <c r="F266" s="62">
        <v>5</v>
      </c>
      <c r="G266" s="37">
        <v>1</v>
      </c>
      <c r="H266" s="62">
        <v>5</v>
      </c>
      <c r="I266" s="62">
        <v>5.2350000000000003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360"/>
      <c r="R266" s="360"/>
      <c r="S266" s="360"/>
      <c r="T266" s="361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IFERROR(IF(X266="","",X266*0.0155),"")</f>
        <v>0</v>
      </c>
      <c r="AA266" s="68" t="s">
        <v>46</v>
      </c>
      <c r="AB266" s="69" t="s">
        <v>46</v>
      </c>
      <c r="AC266" s="263" t="s">
        <v>359</v>
      </c>
      <c r="AG266" s="81"/>
      <c r="AJ266" s="87" t="s">
        <v>118</v>
      </c>
      <c r="AK266" s="87">
        <v>12</v>
      </c>
      <c r="BB266" s="264" t="s">
        <v>115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t="27" customHeight="1" x14ac:dyDescent="0.25">
      <c r="A267" s="63" t="s">
        <v>362</v>
      </c>
      <c r="B267" s="63" t="s">
        <v>363</v>
      </c>
      <c r="C267" s="36">
        <v>4301136052</v>
      </c>
      <c r="D267" s="358">
        <v>4640242180410</v>
      </c>
      <c r="E267" s="358"/>
      <c r="F267" s="62">
        <v>2.2400000000000002</v>
      </c>
      <c r="G267" s="37">
        <v>1</v>
      </c>
      <c r="H267" s="62">
        <v>2.2400000000000002</v>
      </c>
      <c r="I267" s="62">
        <v>2.4319999999999999</v>
      </c>
      <c r="J267" s="37">
        <v>126</v>
      </c>
      <c r="K267" s="37" t="s">
        <v>116</v>
      </c>
      <c r="L267" s="37" t="s">
        <v>86</v>
      </c>
      <c r="M267" s="38" t="s">
        <v>84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360"/>
      <c r="R267" s="360"/>
      <c r="S267" s="360"/>
      <c r="T267" s="361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359</v>
      </c>
      <c r="AG267" s="81"/>
      <c r="AJ267" s="87" t="s">
        <v>87</v>
      </c>
      <c r="AK267" s="87">
        <v>1</v>
      </c>
      <c r="BB267" s="266" t="s">
        <v>115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x14ac:dyDescent="0.2">
      <c r="A268" s="372"/>
      <c r="B268" s="372"/>
      <c r="C268" s="372"/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  <c r="N268" s="372"/>
      <c r="O268" s="373"/>
      <c r="P268" s="369" t="s">
        <v>40</v>
      </c>
      <c r="Q268" s="370"/>
      <c r="R268" s="370"/>
      <c r="S268" s="370"/>
      <c r="T268" s="370"/>
      <c r="U268" s="370"/>
      <c r="V268" s="371"/>
      <c r="W268" s="42" t="s">
        <v>39</v>
      </c>
      <c r="X268" s="43">
        <f>IFERROR(SUM(X265:X267),"0")</f>
        <v>0</v>
      </c>
      <c r="Y268" s="43">
        <f>IFERROR(SUM(Y265:Y267),"0")</f>
        <v>0</v>
      </c>
      <c r="Z268" s="43">
        <f>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72"/>
      <c r="B269" s="372"/>
      <c r="C269" s="372"/>
      <c r="D269" s="372"/>
      <c r="E269" s="372"/>
      <c r="F269" s="372"/>
      <c r="G269" s="372"/>
      <c r="H269" s="372"/>
      <c r="I269" s="372"/>
      <c r="J269" s="372"/>
      <c r="K269" s="372"/>
      <c r="L269" s="372"/>
      <c r="M269" s="372"/>
      <c r="N269" s="372"/>
      <c r="O269" s="373"/>
      <c r="P269" s="369" t="s">
        <v>40</v>
      </c>
      <c r="Q269" s="370"/>
      <c r="R269" s="370"/>
      <c r="S269" s="370"/>
      <c r="T269" s="370"/>
      <c r="U269" s="370"/>
      <c r="V269" s="371"/>
      <c r="W269" s="42" t="s">
        <v>0</v>
      </c>
      <c r="X269" s="43">
        <f>IFERROR(SUMPRODUCT(X265:X267*H265:H267),"0")</f>
        <v>0</v>
      </c>
      <c r="Y269" s="43">
        <f>IFERROR(SUMPRODUCT(Y265:Y267*H265:H267),"0")</f>
        <v>0</v>
      </c>
      <c r="Z269" s="42"/>
      <c r="AA269" s="67"/>
      <c r="AB269" s="67"/>
      <c r="AC269" s="67"/>
    </row>
    <row r="270" spans="1:68" ht="14.25" customHeight="1" x14ac:dyDescent="0.25">
      <c r="A270" s="357" t="s">
        <v>155</v>
      </c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  <c r="AA270" s="66"/>
      <c r="AB270" s="66"/>
      <c r="AC270" s="83"/>
    </row>
    <row r="271" spans="1:68" ht="37.5" customHeight="1" x14ac:dyDescent="0.25">
      <c r="A271" s="63" t="s">
        <v>364</v>
      </c>
      <c r="B271" s="63" t="s">
        <v>365</v>
      </c>
      <c r="C271" s="36">
        <v>4301135504</v>
      </c>
      <c r="D271" s="358">
        <v>4640242181554</v>
      </c>
      <c r="E271" s="358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360"/>
      <c r="R271" s="360"/>
      <c r="S271" s="360"/>
      <c r="T271" s="36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ref="Y271:Y280" si="18">IFERROR(IF(X271="","",X271),"")</f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7" t="s">
        <v>366</v>
      </c>
      <c r="AG271" s="81"/>
      <c r="AJ271" s="87" t="s">
        <v>118</v>
      </c>
      <c r="AK271" s="87">
        <v>14</v>
      </c>
      <c r="BB271" s="268" t="s">
        <v>115</v>
      </c>
      <c r="BM271" s="81">
        <f t="shared" ref="BM271:BM280" si="19">IFERROR(X271*I271,"0")</f>
        <v>0</v>
      </c>
      <c r="BN271" s="81">
        <f t="shared" ref="BN271:BN280" si="20">IFERROR(Y271*I271,"0")</f>
        <v>0</v>
      </c>
      <c r="BO271" s="81">
        <f t="shared" ref="BO271:BO280" si="21">IFERROR(X271/J271,"0")</f>
        <v>0</v>
      </c>
      <c r="BP271" s="81">
        <f t="shared" ref="BP271:BP280" si="22">IFERROR(Y271/J271,"0")</f>
        <v>0</v>
      </c>
    </row>
    <row r="272" spans="1:68" ht="27" customHeight="1" x14ac:dyDescent="0.25">
      <c r="A272" s="63" t="s">
        <v>367</v>
      </c>
      <c r="B272" s="63" t="s">
        <v>368</v>
      </c>
      <c r="C272" s="36">
        <v>4301135873</v>
      </c>
      <c r="D272" s="358">
        <v>4640242182087</v>
      </c>
      <c r="E272" s="358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85</v>
      </c>
      <c r="L272" s="37" t="s">
        <v>86</v>
      </c>
      <c r="M272" s="38" t="s">
        <v>84</v>
      </c>
      <c r="N272" s="38"/>
      <c r="O272" s="37">
        <v>180</v>
      </c>
      <c r="P272" s="456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360"/>
      <c r="R272" s="360"/>
      <c r="S272" s="360"/>
      <c r="T272" s="361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9" t="s">
        <v>369</v>
      </c>
      <c r="AG272" s="81"/>
      <c r="AJ272" s="87" t="s">
        <v>87</v>
      </c>
      <c r="AK272" s="87">
        <v>1</v>
      </c>
      <c r="BB272" s="270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370</v>
      </c>
      <c r="B273" s="63" t="s">
        <v>371</v>
      </c>
      <c r="C273" s="36">
        <v>4301135374</v>
      </c>
      <c r="D273" s="358">
        <v>4640242181424</v>
      </c>
      <c r="E273" s="358"/>
      <c r="F273" s="62">
        <v>5.5</v>
      </c>
      <c r="G273" s="37">
        <v>1</v>
      </c>
      <c r="H273" s="62">
        <v>5.5</v>
      </c>
      <c r="I273" s="62">
        <v>5.7350000000000003</v>
      </c>
      <c r="J273" s="37">
        <v>84</v>
      </c>
      <c r="K273" s="37" t="s">
        <v>85</v>
      </c>
      <c r="L273" s="37" t="s">
        <v>117</v>
      </c>
      <c r="M273" s="38" t="s">
        <v>84</v>
      </c>
      <c r="N273" s="38"/>
      <c r="O273" s="37">
        <v>180</v>
      </c>
      <c r="P273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360"/>
      <c r="R273" s="360"/>
      <c r="S273" s="360"/>
      <c r="T273" s="36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IFERROR(IF(X273="","",X273*0.0155),"")</f>
        <v>0</v>
      </c>
      <c r="AA273" s="68" t="s">
        <v>46</v>
      </c>
      <c r="AB273" s="69" t="s">
        <v>46</v>
      </c>
      <c r="AC273" s="271" t="s">
        <v>366</v>
      </c>
      <c r="AG273" s="81"/>
      <c r="AJ273" s="87" t="s">
        <v>118</v>
      </c>
      <c r="AK273" s="87">
        <v>12</v>
      </c>
      <c r="BB273" s="272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372</v>
      </c>
      <c r="B274" s="63" t="s">
        <v>373</v>
      </c>
      <c r="C274" s="36">
        <v>4301135405</v>
      </c>
      <c r="D274" s="358">
        <v>4640242181523</v>
      </c>
      <c r="E274" s="358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5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360"/>
      <c r="R274" s="360"/>
      <c r="S274" s="360"/>
      <c r="T274" s="36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ref="Z274:Z279" si="23">IFERROR(IF(X274="","",X274*0.00936),"")</f>
        <v>0</v>
      </c>
      <c r="AA274" s="68" t="s">
        <v>46</v>
      </c>
      <c r="AB274" s="69" t="s">
        <v>46</v>
      </c>
      <c r="AC274" s="273" t="s">
        <v>369</v>
      </c>
      <c r="AG274" s="81"/>
      <c r="AJ274" s="87" t="s">
        <v>118</v>
      </c>
      <c r="AK274" s="87">
        <v>14</v>
      </c>
      <c r="BB274" s="274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374</v>
      </c>
      <c r="B275" s="63" t="s">
        <v>375</v>
      </c>
      <c r="C275" s="36">
        <v>4301135375</v>
      </c>
      <c r="D275" s="358">
        <v>4640242181486</v>
      </c>
      <c r="E275" s="358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5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60"/>
      <c r="R275" s="360"/>
      <c r="S275" s="360"/>
      <c r="T275" s="36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75" t="s">
        <v>366</v>
      </c>
      <c r="AG275" s="81"/>
      <c r="AJ275" s="87" t="s">
        <v>118</v>
      </c>
      <c r="AK275" s="87">
        <v>14</v>
      </c>
      <c r="BB275" s="276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customHeight="1" x14ac:dyDescent="0.25">
      <c r="A276" s="63" t="s">
        <v>376</v>
      </c>
      <c r="B276" s="63" t="s">
        <v>377</v>
      </c>
      <c r="C276" s="36">
        <v>4301135402</v>
      </c>
      <c r="D276" s="358">
        <v>4640242181493</v>
      </c>
      <c r="E276" s="358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46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360"/>
      <c r="R276" s="360"/>
      <c r="S276" s="360"/>
      <c r="T276" s="36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77" t="s">
        <v>366</v>
      </c>
      <c r="AG276" s="81"/>
      <c r="AJ276" s="87" t="s">
        <v>118</v>
      </c>
      <c r="AK276" s="87">
        <v>14</v>
      </c>
      <c r="BB276" s="278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37.5" customHeight="1" x14ac:dyDescent="0.25">
      <c r="A277" s="63" t="s">
        <v>378</v>
      </c>
      <c r="B277" s="63" t="s">
        <v>379</v>
      </c>
      <c r="C277" s="36">
        <v>4301135403</v>
      </c>
      <c r="D277" s="358">
        <v>4640242181509</v>
      </c>
      <c r="E277" s="358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86</v>
      </c>
      <c r="M277" s="38" t="s">
        <v>84</v>
      </c>
      <c r="N277" s="38"/>
      <c r="O277" s="37">
        <v>180</v>
      </c>
      <c r="P277" s="4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360"/>
      <c r="R277" s="360"/>
      <c r="S277" s="360"/>
      <c r="T277" s="36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9" t="s">
        <v>366</v>
      </c>
      <c r="AG277" s="81"/>
      <c r="AJ277" s="87" t="s">
        <v>87</v>
      </c>
      <c r="AK277" s="87">
        <v>1</v>
      </c>
      <c r="BB277" s="280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380</v>
      </c>
      <c r="B278" s="63" t="s">
        <v>381</v>
      </c>
      <c r="C278" s="36">
        <v>4301135304</v>
      </c>
      <c r="D278" s="358">
        <v>4640242181240</v>
      </c>
      <c r="E278" s="358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46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60"/>
      <c r="R278" s="360"/>
      <c r="S278" s="360"/>
      <c r="T278" s="361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366</v>
      </c>
      <c r="AG278" s="81"/>
      <c r="AJ278" s="87" t="s">
        <v>118</v>
      </c>
      <c r="AK278" s="87">
        <v>14</v>
      </c>
      <c r="BB278" s="282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382</v>
      </c>
      <c r="B279" s="63" t="s">
        <v>383</v>
      </c>
      <c r="C279" s="36">
        <v>4301135610</v>
      </c>
      <c r="D279" s="358">
        <v>4640242181318</v>
      </c>
      <c r="E279" s="358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116</v>
      </c>
      <c r="L279" s="37" t="s">
        <v>117</v>
      </c>
      <c r="M279" s="38" t="s">
        <v>84</v>
      </c>
      <c r="N279" s="38"/>
      <c r="O279" s="37">
        <v>180</v>
      </c>
      <c r="P279" s="4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60"/>
      <c r="R279" s="360"/>
      <c r="S279" s="360"/>
      <c r="T279" s="361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369</v>
      </c>
      <c r="AG279" s="81"/>
      <c r="AJ279" s="87" t="s">
        <v>118</v>
      </c>
      <c r="AK279" s="87">
        <v>14</v>
      </c>
      <c r="BB279" s="284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384</v>
      </c>
      <c r="B280" s="63" t="s">
        <v>385</v>
      </c>
      <c r="C280" s="36">
        <v>4301135306</v>
      </c>
      <c r="D280" s="358">
        <v>4640242181387</v>
      </c>
      <c r="E280" s="358"/>
      <c r="F280" s="62">
        <v>0.3</v>
      </c>
      <c r="G280" s="37">
        <v>9</v>
      </c>
      <c r="H280" s="62">
        <v>2.7</v>
      </c>
      <c r="I280" s="62">
        <v>2.8450000000000002</v>
      </c>
      <c r="J280" s="37">
        <v>234</v>
      </c>
      <c r="K280" s="37" t="s">
        <v>167</v>
      </c>
      <c r="L280" s="37" t="s">
        <v>117</v>
      </c>
      <c r="M280" s="38" t="s">
        <v>84</v>
      </c>
      <c r="N280" s="38"/>
      <c r="O280" s="37">
        <v>180</v>
      </c>
      <c r="P280" s="46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360"/>
      <c r="R280" s="360"/>
      <c r="S280" s="360"/>
      <c r="T280" s="361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>IFERROR(IF(X280="","",X280*0.00502),"")</f>
        <v>0</v>
      </c>
      <c r="AA280" s="68" t="s">
        <v>46</v>
      </c>
      <c r="AB280" s="69" t="s">
        <v>46</v>
      </c>
      <c r="AC280" s="285" t="s">
        <v>366</v>
      </c>
      <c r="AG280" s="81"/>
      <c r="AJ280" s="87" t="s">
        <v>118</v>
      </c>
      <c r="AK280" s="87">
        <v>18</v>
      </c>
      <c r="BB280" s="286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373"/>
      <c r="P281" s="369" t="s">
        <v>40</v>
      </c>
      <c r="Q281" s="370"/>
      <c r="R281" s="370"/>
      <c r="S281" s="370"/>
      <c r="T281" s="370"/>
      <c r="U281" s="370"/>
      <c r="V281" s="371"/>
      <c r="W281" s="42" t="s">
        <v>39</v>
      </c>
      <c r="X281" s="43">
        <f>IFERROR(SUM(X271:X280),"0")</f>
        <v>0</v>
      </c>
      <c r="Y281" s="43">
        <f>IFERROR(SUM(Y271:Y280),"0")</f>
        <v>0</v>
      </c>
      <c r="Z281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373"/>
      <c r="P282" s="369" t="s">
        <v>40</v>
      </c>
      <c r="Q282" s="370"/>
      <c r="R282" s="370"/>
      <c r="S282" s="370"/>
      <c r="T282" s="370"/>
      <c r="U282" s="370"/>
      <c r="V282" s="371"/>
      <c r="W282" s="42" t="s">
        <v>0</v>
      </c>
      <c r="X282" s="43">
        <f>IFERROR(SUMPRODUCT(X271:X280*H271:H280),"0")</f>
        <v>0</v>
      </c>
      <c r="Y282" s="43">
        <f>IFERROR(SUMPRODUCT(Y271:Y280*H271:H280),"0")</f>
        <v>0</v>
      </c>
      <c r="Z282" s="42"/>
      <c r="AA282" s="67"/>
      <c r="AB282" s="67"/>
      <c r="AC282" s="67"/>
    </row>
    <row r="283" spans="1:68" ht="15" customHeight="1" x14ac:dyDescent="0.2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468"/>
      <c r="P283" s="465" t="s">
        <v>33</v>
      </c>
      <c r="Q283" s="466"/>
      <c r="R283" s="466"/>
      <c r="S283" s="466"/>
      <c r="T283" s="466"/>
      <c r="U283" s="466"/>
      <c r="V283" s="467"/>
      <c r="W283" s="42" t="s">
        <v>0</v>
      </c>
      <c r="X283" s="43">
        <f>IFERROR(X31+X37+X44+X51+X59+X64+X68+X73+X79+X85+X90+X96+X106+X112+X123+X127+X131+X138+X144+X150+X156+X162+X167+X172+X177+X184+X188+X193+X202+X208+X214+X220+X225+X230+X236+X242+X246+X252+X259+X263+X269+X282,"0")</f>
        <v>0</v>
      </c>
      <c r="Y283" s="43">
        <f>IFERROR(Y31+Y37+Y44+Y51+Y59+Y64+Y68+Y73+Y79+Y85+Y90+Y96+Y106+Y112+Y123+Y127+Y131+Y138+Y144+Y150+Y156+Y162+Y167+Y172+Y177+Y184+Y188+Y193+Y202+Y208+Y214+Y220+Y225+Y230+Y236+Y242+Y246+Y252+Y259+Y263+Y269+Y282,"0")</f>
        <v>0</v>
      </c>
      <c r="Z283" s="42"/>
      <c r="AA283" s="67"/>
      <c r="AB283" s="67"/>
      <c r="AC283" s="67"/>
    </row>
    <row r="284" spans="1:68" x14ac:dyDescent="0.2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468"/>
      <c r="P284" s="465" t="s">
        <v>34</v>
      </c>
      <c r="Q284" s="466"/>
      <c r="R284" s="466"/>
      <c r="S284" s="466"/>
      <c r="T284" s="466"/>
      <c r="U284" s="466"/>
      <c r="V284" s="467"/>
      <c r="W284" s="42" t="s">
        <v>0</v>
      </c>
      <c r="X284" s="43">
        <f>IFERROR(SUM(BM22:BM280),"0")</f>
        <v>0</v>
      </c>
      <c r="Y284" s="43">
        <f>IFERROR(SUM(BN22:BN280),"0")</f>
        <v>0</v>
      </c>
      <c r="Z284" s="42"/>
      <c r="AA284" s="67"/>
      <c r="AB284" s="67"/>
      <c r="AC284" s="67"/>
    </row>
    <row r="285" spans="1:68" x14ac:dyDescent="0.2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468"/>
      <c r="P285" s="465" t="s">
        <v>35</v>
      </c>
      <c r="Q285" s="466"/>
      <c r="R285" s="466"/>
      <c r="S285" s="466"/>
      <c r="T285" s="466"/>
      <c r="U285" s="466"/>
      <c r="V285" s="467"/>
      <c r="W285" s="42" t="s">
        <v>20</v>
      </c>
      <c r="X285" s="44">
        <f>ROUNDUP(SUM(BO22:BO280),0)</f>
        <v>0</v>
      </c>
      <c r="Y285" s="44">
        <f>ROUNDUP(SUM(BP22:BP280),0)</f>
        <v>0</v>
      </c>
      <c r="Z285" s="42"/>
      <c r="AA285" s="67"/>
      <c r="AB285" s="67"/>
      <c r="AC285" s="67"/>
    </row>
    <row r="286" spans="1:68" x14ac:dyDescent="0.2">
      <c r="A286" s="372"/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468"/>
      <c r="P286" s="465" t="s">
        <v>36</v>
      </c>
      <c r="Q286" s="466"/>
      <c r="R286" s="466"/>
      <c r="S286" s="466"/>
      <c r="T286" s="466"/>
      <c r="U286" s="466"/>
      <c r="V286" s="467"/>
      <c r="W286" s="42" t="s">
        <v>0</v>
      </c>
      <c r="X286" s="43">
        <f>GrossWeightTotal+PalletQtyTotal*25</f>
        <v>0</v>
      </c>
      <c r="Y286" s="43">
        <f>GrossWeightTotalR+PalletQtyTotalR*25</f>
        <v>0</v>
      </c>
      <c r="Z286" s="42"/>
      <c r="AA286" s="67"/>
      <c r="AB286" s="67"/>
      <c r="AC286" s="67"/>
    </row>
    <row r="287" spans="1:68" x14ac:dyDescent="0.2">
      <c r="A287" s="372"/>
      <c r="B287" s="372"/>
      <c r="C287" s="372"/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  <c r="N287" s="372"/>
      <c r="O287" s="468"/>
      <c r="P287" s="465" t="s">
        <v>37</v>
      </c>
      <c r="Q287" s="466"/>
      <c r="R287" s="466"/>
      <c r="S287" s="466"/>
      <c r="T287" s="466"/>
      <c r="U287" s="466"/>
      <c r="V287" s="467"/>
      <c r="W287" s="42" t="s">
        <v>20</v>
      </c>
      <c r="X287" s="43">
        <f>IFERROR(X30+X36+X43+X50+X58+X63+X67+X72+X78+X84+X89+X95+X105+X111+X122+X126+X130+X137+X143+X149+X155+X161+X166+X171+X176+X183+X187+X192+X201+X207+X213+X219+X224+X229+X235+X241+X245+X251+X258+X262+X268+X281,"0")</f>
        <v>0</v>
      </c>
      <c r="Y287" s="43">
        <f>IFERROR(Y30+Y36+Y43+Y50+Y58+Y63+Y67+Y72+Y78+Y84+Y89+Y95+Y105+Y111+Y122+Y126+Y130+Y137+Y143+Y149+Y155+Y161+Y166+Y171+Y176+Y183+Y187+Y192+Y201+Y207+Y213+Y219+Y224+Y229+Y235+Y241+Y245+Y251+Y258+Y262+Y268+Y281,"0")</f>
        <v>0</v>
      </c>
      <c r="Z287" s="42"/>
      <c r="AA287" s="67"/>
      <c r="AB287" s="67"/>
      <c r="AC287" s="67"/>
    </row>
    <row r="288" spans="1:68" ht="14.25" x14ac:dyDescent="0.2">
      <c r="A288" s="372"/>
      <c r="B288" s="372"/>
      <c r="C288" s="372"/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  <c r="N288" s="372"/>
      <c r="O288" s="468"/>
      <c r="P288" s="465" t="s">
        <v>38</v>
      </c>
      <c r="Q288" s="466"/>
      <c r="R288" s="466"/>
      <c r="S288" s="466"/>
      <c r="T288" s="466"/>
      <c r="U288" s="466"/>
      <c r="V288" s="467"/>
      <c r="W288" s="45" t="s">
        <v>52</v>
      </c>
      <c r="X288" s="42"/>
      <c r="Y288" s="42"/>
      <c r="Z288" s="42">
        <f>IFERROR(Z30+Z36+Z43+Z50+Z58+Z63+Z67+Z72+Z78+Z84+Z89+Z95+Z105+Z111+Z122+Z126+Z130+Z137+Z143+Z149+Z155+Z161+Z166+Z171+Z176+Z183+Z187+Z192+Z201+Z207+Z213+Z219+Z224+Z229+Z235+Z241+Z245+Z251+Z258+Z262+Z268+Z281,"0")</f>
        <v>0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469" t="s">
        <v>79</v>
      </c>
      <c r="C290" s="469" t="s">
        <v>79</v>
      </c>
      <c r="D290" s="469" t="s">
        <v>45</v>
      </c>
      <c r="E290" s="469" t="s">
        <v>45</v>
      </c>
      <c r="F290" s="469" t="s">
        <v>45</v>
      </c>
      <c r="G290" s="469" t="s">
        <v>45</v>
      </c>
      <c r="H290" s="469" t="s">
        <v>45</v>
      </c>
      <c r="I290" s="469" t="s">
        <v>45</v>
      </c>
      <c r="J290" s="469" t="s">
        <v>45</v>
      </c>
      <c r="K290" s="469" t="s">
        <v>45</v>
      </c>
      <c r="L290" s="469" t="s">
        <v>45</v>
      </c>
      <c r="M290" s="469" t="s">
        <v>45</v>
      </c>
      <c r="N290" s="470"/>
      <c r="O290" s="469" t="s">
        <v>45</v>
      </c>
      <c r="P290" s="469" t="s">
        <v>45</v>
      </c>
      <c r="Q290" s="469" t="s">
        <v>45</v>
      </c>
      <c r="R290" s="469" t="s">
        <v>45</v>
      </c>
      <c r="S290" s="469" t="s">
        <v>45</v>
      </c>
      <c r="T290" s="469" t="s">
        <v>45</v>
      </c>
      <c r="U290" s="469" t="s">
        <v>45</v>
      </c>
      <c r="V290" s="469" t="s">
        <v>273</v>
      </c>
      <c r="W290" s="469" t="s">
        <v>273</v>
      </c>
      <c r="X290" s="88" t="s">
        <v>288</v>
      </c>
      <c r="Y290" s="469" t="s">
        <v>302</v>
      </c>
      <c r="Z290" s="469" t="s">
        <v>302</v>
      </c>
      <c r="AA290" s="469" t="s">
        <v>302</v>
      </c>
      <c r="AB290" s="469" t="s">
        <v>302</v>
      </c>
      <c r="AC290" s="88" t="s">
        <v>331</v>
      </c>
      <c r="AD290" s="88" t="s">
        <v>336</v>
      </c>
      <c r="AE290" s="88" t="s">
        <v>344</v>
      </c>
      <c r="AF290" s="88" t="s">
        <v>348</v>
      </c>
    </row>
    <row r="291" spans="1:32" ht="14.25" customHeight="1" thickTop="1" x14ac:dyDescent="0.2">
      <c r="A291" s="471" t="s">
        <v>10</v>
      </c>
      <c r="B291" s="469" t="s">
        <v>79</v>
      </c>
      <c r="C291" s="469" t="s">
        <v>104</v>
      </c>
      <c r="D291" s="469" t="s">
        <v>110</v>
      </c>
      <c r="E291" s="469" t="s">
        <v>121</v>
      </c>
      <c r="F291" s="469" t="s">
        <v>131</v>
      </c>
      <c r="G291" s="469" t="s">
        <v>142</v>
      </c>
      <c r="H291" s="469" t="s">
        <v>163</v>
      </c>
      <c r="I291" s="469" t="s">
        <v>170</v>
      </c>
      <c r="J291" s="469" t="s">
        <v>174</v>
      </c>
      <c r="K291" s="469" t="s">
        <v>182</v>
      </c>
      <c r="L291" s="469" t="s">
        <v>197</v>
      </c>
      <c r="M291" s="469" t="s">
        <v>203</v>
      </c>
      <c r="N291" s="1"/>
      <c r="O291" s="469" t="s">
        <v>228</v>
      </c>
      <c r="P291" s="469" t="s">
        <v>244</v>
      </c>
      <c r="Q291" s="469" t="s">
        <v>250</v>
      </c>
      <c r="R291" s="469" t="s">
        <v>257</v>
      </c>
      <c r="S291" s="469" t="s">
        <v>262</v>
      </c>
      <c r="T291" s="469" t="s">
        <v>266</v>
      </c>
      <c r="U291" s="469" t="s">
        <v>269</v>
      </c>
      <c r="V291" s="469" t="s">
        <v>274</v>
      </c>
      <c r="W291" s="469" t="s">
        <v>285</v>
      </c>
      <c r="X291" s="469" t="s">
        <v>289</v>
      </c>
      <c r="Y291" s="469" t="s">
        <v>303</v>
      </c>
      <c r="Z291" s="469" t="s">
        <v>316</v>
      </c>
      <c r="AA291" s="469" t="s">
        <v>323</v>
      </c>
      <c r="AB291" s="469" t="s">
        <v>327</v>
      </c>
      <c r="AC291" s="469" t="s">
        <v>332</v>
      </c>
      <c r="AD291" s="469" t="s">
        <v>337</v>
      </c>
      <c r="AE291" s="469" t="s">
        <v>344</v>
      </c>
      <c r="AF291" s="469" t="s">
        <v>348</v>
      </c>
    </row>
    <row r="292" spans="1:32" ht="13.5" thickBot="1" x14ac:dyDescent="0.25">
      <c r="A292" s="472"/>
      <c r="B292" s="469"/>
      <c r="C292" s="469"/>
      <c r="D292" s="469"/>
      <c r="E292" s="469"/>
      <c r="F292" s="469"/>
      <c r="G292" s="469"/>
      <c r="H292" s="469"/>
      <c r="I292" s="469"/>
      <c r="J292" s="469"/>
      <c r="K292" s="469"/>
      <c r="L292" s="469"/>
      <c r="M292" s="469"/>
      <c r="N292" s="1"/>
      <c r="O292" s="469"/>
      <c r="P292" s="469"/>
      <c r="Q292" s="469"/>
      <c r="R292" s="469"/>
      <c r="S292" s="469"/>
      <c r="T292" s="469"/>
      <c r="U292" s="469"/>
      <c r="V292" s="469"/>
      <c r="W292" s="469"/>
      <c r="X292" s="469"/>
      <c r="Y292" s="469"/>
      <c r="Z292" s="469"/>
      <c r="AA292" s="469"/>
      <c r="AB292" s="469"/>
      <c r="AC292" s="469"/>
      <c r="AD292" s="469"/>
      <c r="AE292" s="469"/>
      <c r="AF292" s="469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IFERROR(X22*H22,"0")+IFERROR(X23*H23,"0")+IFERROR(X24*H24,"0")+IFERROR(X25*H25,"0")+IFERROR(X26*H26,"0")+IFERROR(X27*H27,"0")+IFERROR(X28*H28,"0")+IFERROR(X29*H29,"0")</f>
        <v>0</v>
      </c>
      <c r="C293" s="52">
        <f>IFERROR(X34*H34,"0")+IFERROR(X35*H35,"0")</f>
        <v>0</v>
      </c>
      <c r="D293" s="52">
        <f>IFERROR(X41*H41,"0")+IFERROR(X42*H42,"0")</f>
        <v>0</v>
      </c>
      <c r="E293" s="52">
        <f>IFERROR(X47*H47,"0")+IFERROR(X48*H48,"0")+IFERROR(X49*H49,"0")</f>
        <v>0</v>
      </c>
      <c r="F293" s="52">
        <f>IFERROR(X54*H54,"0")+IFERROR(X55*H55,"0")+IFERROR(X56*H56,"0")+IFERROR(X57*H57,"0")</f>
        <v>0</v>
      </c>
      <c r="G293" s="52">
        <f>IFERROR(X62*H62,"0")+IFERROR(X66*H66,"0")+IFERROR(X70*H70,"0")+IFERROR(X71*H71,"0")+IFERROR(X75*H75,"0")+IFERROR(X76*H76,"0")+IFERROR(X77*H77,"0")</f>
        <v>0</v>
      </c>
      <c r="H293" s="52">
        <f>IFERROR(X82*H82,"0")+IFERROR(X83*H83,"0")</f>
        <v>0</v>
      </c>
      <c r="I293" s="52">
        <f>IFERROR(X88*H88,"0")</f>
        <v>0</v>
      </c>
      <c r="J293" s="52">
        <f>IFERROR(X93*H93,"0")+IFERROR(X94*H94,"0")</f>
        <v>0</v>
      </c>
      <c r="K293" s="52">
        <f>IFERROR(X99*H99,"0")+IFERROR(X100*H100,"0")+IFERROR(X101*H101,"0")+IFERROR(X102*H102,"0")+IFERROR(X103*H103,"0")+IFERROR(X104*H104,"0")</f>
        <v>0</v>
      </c>
      <c r="L293" s="52">
        <f>IFERROR(X109*H109,"0")+IFERROR(X110*H110,"0")</f>
        <v>0</v>
      </c>
      <c r="M293" s="52">
        <f>IFERROR(X115*H115,"0")+IFERROR(X116*H116,"0")+IFERROR(X117*H117,"0")+IFERROR(X118*H118,"0")+IFERROR(X119*H119,"0")+IFERROR(X120*H120,"0")+IFERROR(X121*H121,"0")+IFERROR(X125*H125,"0")+IFERROR(X129*H129,"0")</f>
        <v>0</v>
      </c>
      <c r="N293" s="1"/>
      <c r="O293" s="52">
        <f>IFERROR(X134*H134,"0")+IFERROR(X135*H135,"0")+IFERROR(X136*H136,"0")+IFERROR(X140*H140,"0")+IFERROR(X141*H141,"0")+IFERROR(X142*H142,"0")</f>
        <v>0</v>
      </c>
      <c r="P293" s="52">
        <f>IFERROR(X147*H147,"0")+IFERROR(X148*H148,"0")</f>
        <v>0</v>
      </c>
      <c r="Q293" s="52">
        <f>IFERROR(X153*H153,"0")+IFERROR(X154*H154,"0")</f>
        <v>0</v>
      </c>
      <c r="R293" s="52">
        <f>IFERROR(X159*H159,"0")+IFERROR(X160*H160,"0")</f>
        <v>0</v>
      </c>
      <c r="S293" s="52">
        <f>IFERROR(X165*H165,"0")</f>
        <v>0</v>
      </c>
      <c r="T293" s="52">
        <f>IFERROR(X170*H170,"0")</f>
        <v>0</v>
      </c>
      <c r="U293" s="52">
        <f>IFERROR(X175*H175,"0")</f>
        <v>0</v>
      </c>
      <c r="V293" s="52">
        <f>IFERROR(X181*H181,"0")+IFERROR(X182*H182,"0")+IFERROR(X186*H186,"0")</f>
        <v>0</v>
      </c>
      <c r="W293" s="52">
        <f>IFERROR(X191*H191,"0")</f>
        <v>0</v>
      </c>
      <c r="X293" s="52">
        <f>IFERROR(X197*H197,"0")+IFERROR(X198*H198,"0")+IFERROR(X199*H199,"0")+IFERROR(X200*H200,"0")</f>
        <v>0</v>
      </c>
      <c r="Y293" s="52">
        <f>IFERROR(X206*H206,"0")+IFERROR(X210*H210,"0")+IFERROR(X211*H211,"0")+IFERROR(X212*H212,"0")</f>
        <v>0</v>
      </c>
      <c r="Z293" s="52">
        <f>IFERROR(X217*H217,"0")+IFERROR(X218*H218,"0")</f>
        <v>0</v>
      </c>
      <c r="AA293" s="52">
        <f>IFERROR(X223*H223,"0")</f>
        <v>0</v>
      </c>
      <c r="AB293" s="52">
        <f>IFERROR(X228*H228,"0")</f>
        <v>0</v>
      </c>
      <c r="AC293" s="52">
        <f>IFERROR(X234*H234,"0")</f>
        <v>0</v>
      </c>
      <c r="AD293" s="52">
        <f>IFERROR(X240*H240,"0")+IFERROR(X244*H244,"0")</f>
        <v>0</v>
      </c>
      <c r="AE293" s="52">
        <f>IFERROR(X250*H250,"0")</f>
        <v>0</v>
      </c>
      <c r="AF293" s="52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0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0</v>
      </c>
      <c r="B296" s="72">
        <f>SUMPRODUCT(--(BB:BB="ПГП"),--(W:W="кор"),H:H,Y:Y)+SUMPRODUCT(--(BB:BB="ПГП"),--(W:W="кг"),Y:Y)</f>
        <v>0</v>
      </c>
      <c r="C296" s="72">
        <f>SUMPRODUCT(--(BB:BB="КИЗ"),--(W:W="кор"),H:H,Y:Y)+SUMPRODUCT(--(BB:BB="КИЗ"),--(W:W="кг"),Y:Y)</f>
        <v>0</v>
      </c>
    </row>
  </sheetData>
  <sheetProtection algorithmName="SHA-512" hashValue="zEfifCgH5FN2s9yBIahDuTDEWeLk9ZOWXdziHYwWy0bdSy73zH7J+FReykYAjmp0gEQFwPZt+1Cm8HaxDy8Dyw==" saltValue="QKYFEoyJhMss2J/wmdV+D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AE291:AE292"/>
    <mergeCell ref="AF291:AF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B290:C290"/>
    <mergeCell ref="D290:U290"/>
    <mergeCell ref="V290:W290"/>
    <mergeCell ref="Y290:AB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D280:E280"/>
    <mergeCell ref="P280:T280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4:Z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A237:Z237"/>
    <mergeCell ref="A238:Z238"/>
    <mergeCell ref="A239:Z239"/>
    <mergeCell ref="D240:E240"/>
    <mergeCell ref="P240:T240"/>
    <mergeCell ref="P241:V241"/>
    <mergeCell ref="A241:O242"/>
    <mergeCell ref="P242:V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3:E223"/>
    <mergeCell ref="P223:T223"/>
    <mergeCell ref="P224:V224"/>
    <mergeCell ref="A224:O225"/>
    <mergeCell ref="P225:V225"/>
    <mergeCell ref="A226:Z226"/>
    <mergeCell ref="A227:Z227"/>
    <mergeCell ref="D228:E228"/>
    <mergeCell ref="P228:T228"/>
    <mergeCell ref="D217:E217"/>
    <mergeCell ref="P217:T217"/>
    <mergeCell ref="D218:E218"/>
    <mergeCell ref="P218:T218"/>
    <mergeCell ref="P219:V219"/>
    <mergeCell ref="A219:O220"/>
    <mergeCell ref="P220:V220"/>
    <mergeCell ref="A221:Z221"/>
    <mergeCell ref="A222:Z222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73:Z173"/>
    <mergeCell ref="A174:Z174"/>
    <mergeCell ref="D175:E175"/>
    <mergeCell ref="P175:T175"/>
    <mergeCell ref="P176:V176"/>
    <mergeCell ref="A176:O177"/>
    <mergeCell ref="P177:V177"/>
    <mergeCell ref="A178:Z178"/>
    <mergeCell ref="A179:Z179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16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">
      <formula1>IF(AK23&gt;0,OR(X23=0,AND(IF(X23-AK23&gt;=0,TRUE,FALSE),X23&gt;0)),FALSE)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">
      <formula1>IF(AK24&gt;0,OR(X24=0,AND(IF(X24-AK24&gt;=0,TRUE,FALSE),X24&gt;0)),FALSE)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">
      <formula1>IF(AK25&gt;0,OR(X25=0,AND(IF(X25-AK25&gt;=0,TRUE,FALSE),X25&gt;0)),FALSE)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">
      <formula1>IF(AK26&gt;0,OR(X26=0,AND(IF(X26-AK26&gt;=0,TRUE,FALSE),X26&gt;0)),FALSE)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">
      <formula1>IF(AK27&gt;0,OR(X27=0,AND(IF(X27-AK27&gt;=0,TRUE,FALSE),X27&gt;0)),FALSE)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">
      <formula1>IF(AK28&gt;0,OR(X28=0,AND(IF(X28-AK28&gt;=0,TRUE,FALSE),X28&gt;0)),FALSE)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9">
      <formula1>IF(AK29&gt;0,OR(X29=0,AND(IF(X29-AK29&gt;=0,TRUE,FALSE),X29&gt;0)),FALSE)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4">
      <formula1>IF(AK34&gt;0,OR(X34=0,AND(IF(X34-AK34&gt;=0,TRUE,FALSE),X34&gt;0)),FALSE)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35">
      <formula1>IF(AK35&gt;0,OR(X35=0,AND(IF(X35-AK35&gt;=0,TRUE,FALSE),X35&gt;0)),FALSE)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">
      <formula1>IF(AK41&gt;0,OR(X41=0,AND(IF(X41-AK41&gt;=0,TRUE,FALSE),X41&gt;0,IF(X41/K41=ROUND(X41/K41,0),TRUE,FALSE))),FALSE)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2">
      <formula1>IF(AK42&gt;0,OR(X42=0,AND(IF(X42-AK42&gt;=0,TRUE,FALSE),X42&gt;0,IF(X42/K42=ROUND(X42/K42,0),TRUE,FALSE))),FALSE)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7">
      <formula1>IF(AK47&gt;0,OR(X47=0,AND(IF(X47-AK47&gt;=0,TRUE,FALSE),X47&gt;0,IF(X47/K47=ROUND(X47/K47,0),TRUE,FALSE))),FALSE)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8">
      <formula1>IF(AK48&gt;0,OR(X48=0,AND(IF(X48-AK48&gt;=0,TRUE,FALSE),X48&gt;0,IF(X48/K48=ROUND(X48/K48,0),TRUE,FALSE))),FALSE)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9">
      <formula1>IF(AK49&gt;0,OR(X49=0,AND(IF(X49-AK49&gt;=0,TRUE,FALSE),X49&gt;0,IF(X49/K49=ROUND(X49/K49,0),TRUE,FALSE))),FALSE)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4">
      <formula1>IF(AK54&gt;0,OR(X54=0,AND(IF(X54-AK54&gt;=0,TRUE,FALSE),X54&gt;0,IF(X54/K54=ROUND(X54/K54,0),TRUE,FALSE))),FALSE)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5">
      <formula1>IF(AK55&gt;0,OR(X55=0,AND(IF(X55-AK55&gt;=0,TRUE,FALSE),X55&gt;0,IF(X55/K55=ROUND(X55/K55,0),TRUE,FALSE))),FALSE)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6">
      <formula1>IF(AK56&gt;0,OR(X56=0,AND(IF(X56-AK56&gt;=0,TRUE,FALSE),X56&gt;0,IF(X56/K56=ROUND(X56/K56,0),TRUE,FALSE))),FALSE)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57">
      <formula1>IF(AK57&gt;0,OR(X57=0,AND(IF(X57-AK57&gt;=0,TRUE,FALSE),X57&gt;0,IF(X57/K57=ROUND(X57/K57,0),TRUE,FALSE))),FALSE)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2">
      <formula1>IF(AK62&gt;0,OR(X62=0,AND(IF(X62-AK62&gt;=0,TRUE,FALSE),X62&gt;0)),FALSE)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66">
      <formula1>IF(AK66&gt;0,OR(X66=0,AND(IF(X66-AK66&gt;=0,TRUE,FALSE),X66&gt;0)),FALSE)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0">
      <formula1>IF(AK70&gt;0,OR(X70=0,AND(IF(X70-AK70&gt;=0,TRUE,FALSE),X70&gt;0)),FALSE)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1">
      <formula1>IF(AK71&gt;0,OR(X71=0,AND(IF(X71-AK71&gt;=0,TRUE,FALSE),X71&gt;0)),FALSE)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5">
      <formula1>IF(AK75&gt;0,OR(X75=0,AND(IF(X75-AK75&gt;=0,TRUE,FALSE),X75&gt;0)),FALSE)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6">
      <formula1>IF(AK76&gt;0,OR(X76=0,AND(IF(X76-AK76&gt;=0,TRUE,FALSE),X76&gt;0)),FALSE)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77">
      <formula1>IF(AK77&gt;0,OR(X77=0,AND(IF(X77-AK77&gt;=0,TRUE,FALSE),X77&gt;0)),FALSE)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82">
      <formula1>IF(AK82&gt;0,OR(X82=0,AND(IF(X82-AK82&gt;=0,TRUE,FALSE),X82&gt;0)),FALSE)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3">
      <formula1>IF(AK83&gt;0,OR(X83=0,AND(IF(X83-AK83&gt;=0,TRUE,FALSE),X83&gt;0,IF(X83/K83=ROUND(X83/K83,0),TRUE,FALSE))),FALSE)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8">
      <formula1>IF(AK88&gt;0,OR(X88=0,AND(IF(X88-AK88&gt;=0,TRUE,FALSE),X88&gt;0,IF(X88/K88=ROUND(X88/K88,0),TRUE,FALSE))),FALSE)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3">
      <formula1>IF(AK93&gt;0,OR(X93=0,AND(IF(X93-AK93&gt;=0,TRUE,FALSE),X93&gt;0,IF(X93/K93=ROUND(X93/K93,0),TRUE,FALSE))),FALSE)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4">
      <formula1>IF(AK94&gt;0,OR(X94=0,AND(IF(X94-AK94&gt;=0,TRUE,FALSE),X94&gt;0,IF(X94/K94=ROUND(X94/K94,0),TRUE,FALSE))),FALSE)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99">
      <formula1>IF(AK99&gt;0,OR(X99=0,AND(IF(X99-AK99&gt;=0,TRUE,FALSE),X99&gt;0,IF(X99/K99=ROUND(X99/K99,0),TRUE,FALSE))),FALSE)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0">
      <formula1>IF(AK100&gt;0,OR(X100=0,AND(IF(X100-AK100&gt;=0,TRUE,FALSE),X100&gt;0,IF(X100/K100=ROUND(X100/K100,0),TRUE,FALSE))),FALSE)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1">
      <formula1>IF(AK101&gt;0,OR(X101=0,AND(IF(X101-AK101&gt;=0,TRUE,FALSE),X101&gt;0,IF(X101/K101=ROUND(X101/K101,0),TRUE,FALSE))),FALSE)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2">
      <formula1>IF(AK102&gt;0,OR(X102=0,AND(IF(X102-AK102&gt;=0,TRUE,FALSE),X102&gt;0,IF(X102/K102=ROUND(X102/K102,0),TRUE,FALSE))),FALSE)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3">
      <formula1>IF(AK103&gt;0,OR(X103=0,AND(IF(X103-AK103&gt;=0,TRUE,FALSE),X103&gt;0,IF(X103/K103=ROUND(X103/K103,0),TRUE,FALSE))),FALSE)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04">
      <formula1>IF(AK104&gt;0,OR(X104=0,AND(IF(X104-AK104&gt;=0,TRUE,FALSE),X104&gt;0)),FALSE)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09">
      <formula1>IF(AK109&gt;0,OR(X109=0,AND(IF(X109-AK109&gt;=0,TRUE,FALSE),X109&gt;0,IF(X109/K109=ROUND(X109/K109,0),TRUE,FALSE))),FALSE)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0">
      <formula1>IF(AK110&gt;0,OR(X110=0,AND(IF(X110-AK110&gt;=0,TRUE,FALSE),X110&gt;0,IF(X110/K110=ROUND(X110/K110,0),TRUE,FALSE))),FALSE)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5">
      <formula1>IF(AK115&gt;0,OR(X115=0,AND(IF(X115-AK115&gt;=0,TRUE,FALSE),X115&gt;0,IF(X115/K115=ROUND(X115/K115,0),TRUE,FALSE))),FALSE)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6">
      <formula1>IF(AK116&gt;0,OR(X116=0,AND(IF(X116-AK116&gt;=0,TRUE,FALSE),X116&gt;0)),FALSE)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7">
      <formula1>IF(AK117&gt;0,OR(X117=0,AND(IF(X117-AK117&gt;=0,TRUE,FALSE),X117&gt;0,IF(X117/K117=ROUND(X117/K117,0),TRUE,FALSE))),FALSE)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18">
      <formula1>IF(AK118&gt;0,OR(X118=0,AND(IF(X118-AK118&gt;=0,TRUE,FALSE),X118&gt;0,IF(X118/K118=ROUND(X118/K118,0),TRUE,FALSE))),FALSE)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19">
      <formula1>IF(AK119&gt;0,OR(X119=0,AND(IF(X119-AK119&gt;=0,TRUE,FALSE),X119&gt;0)),FALSE)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0">
      <formula1>IF(AK120&gt;0,OR(X120=0,AND(IF(X120-AK120&gt;=0,TRUE,FALSE),X120&gt;0,IF(X120/K120=ROUND(X120/K120,0),TRUE,FALSE))),FALSE)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1">
      <formula1>IF(AK121&gt;0,OR(X121=0,AND(IF(X121-AK121&gt;=0,TRUE,FALSE),X121&gt;0,IF(X121/K121=ROUND(X121/K121,0),TRUE,FALSE))),FALSE)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5">
      <formula1>IF(AK125&gt;0,OR(X125=0,AND(IF(X125-AK125&gt;=0,TRUE,FALSE),X125&gt;0)),FALSE)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29">
      <formula1>IF(AK129&gt;0,OR(X129=0,AND(IF(X129-AK129&gt;=0,TRUE,FALSE),X129&gt;0)),FALSE)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4">
      <formula1>IF(AK134&gt;0,OR(X134=0,AND(IF(X134-AK134&gt;=0,TRUE,FALSE),X134&gt;0)),FALSE)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5">
      <formula1>IF(AK135&gt;0,OR(X135=0,AND(IF(X135-AK135&gt;=0,TRUE,FALSE),X135&gt;0)),FALSE)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36">
      <formula1>IF(AK136&gt;0,OR(X136=0,AND(IF(X136-AK136&gt;=0,TRUE,FALSE),X136&gt;0)),FALSE)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0">
      <formula1>IF(AK140&gt;0,OR(X140=0,AND(IF(X140-AK140&gt;=0,TRUE,FALSE),X140&gt;0)),FALSE)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1">
      <formula1>IF(AK141&gt;0,OR(X141=0,AND(IF(X141-AK141&gt;=0,TRUE,FALSE),X141&gt;0)),FALSE)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42">
      <formula1>IF(AK142&gt;0,OR(X142=0,AND(IF(X142-AK142&gt;=0,TRUE,FALSE),X142&gt;0)),FALSE)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47">
      <formula1>IF(AK147&gt;0,OR(X147=0,AND(IF(X147-AK147&gt;=0,TRUE,FALSE),X147&gt;0,IF(X147/K147=ROUND(X147/K147,0),TRUE,FALSE))),FALSE)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48">
      <formula1>IF(AK148&gt;0,OR(X148=0,AND(IF(X148-AK148&gt;=0,TRUE,FALSE),X148&gt;0,IF(X148/K148=ROUND(X148/K148,0),TRUE,FALSE))),FALSE)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3">
      <formula1>IF(AK153&gt;0,OR(X153=0,AND(IF(X153-AK153&gt;=0,TRUE,FALSE),X153&gt;0)),FALSE)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54">
      <formula1>IF(AK154&gt;0,OR(X154=0,AND(IF(X154-AK154&gt;=0,TRUE,FALSE),X154&gt;0,IF(X154/K154=ROUND(X154/K154,0),TRUE,FALSE))),FALSE)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59">
      <formula1>IF(AK159&gt;0,OR(X159=0,AND(IF(X159-AK159&gt;=0,TRUE,FALSE),X159&gt;0)),FALSE)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60">
      <formula1>IF(AK160&gt;0,OR(X160=0,AND(IF(X160-AK160&gt;=0,TRUE,FALSE),X160&gt;0,IF(X160/K160=ROUND(X160/K160,0),TRUE,FALSE))),FALSE)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65">
      <formula1>IF(AK165&gt;0,OR(X165=0,AND(IF(X165-AK165&gt;=0,TRUE,FALSE),X165&gt;0,IF(X165/K165=ROUND(X165/K165,0),TRUE,FALSE))),FALSE)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70">
      <formula1>IF(AK170&gt;0,OR(X170=0,AND(IF(X170-AK170&gt;=0,TRUE,FALSE),X170&gt;0,IF(X170/K170=ROUND(X170/K170,0),TRUE,FALSE))),FALSE)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75">
      <formula1>IF(AK175&gt;0,OR(X175=0,AND(IF(X175-AK175&gt;=0,TRUE,FALSE),X175&gt;0,IF(X175/K175=ROUND(X175/K175,0),TRUE,FALSE))),FALSE)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1">
      <formula1>IF(AK181&gt;0,OR(X181=0,AND(IF(X181-AK181&gt;=0,TRUE,FALSE),X181&gt;0)),FALSE)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82">
      <formula1>IF(AK182&gt;0,OR(X182=0,AND(IF(X182-AK182&gt;=0,TRUE,FALSE),X182&gt;0,IF(X182/K182=ROUND(X182/K182,0),TRUE,FALSE))),FALSE)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86">
      <formula1>IF(AK186&gt;0,OR(X186=0,AND(IF(X186-AK186&gt;=0,TRUE,FALSE),X186&gt;0)),FALSE)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191">
      <formula1>IF(AK191&gt;0,OR(X191=0,AND(IF(X191-AK191&gt;=0,TRUE,FALSE),X191&gt;0)),FALSE)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7">
      <formula1>IF(AK197&gt;0,OR(X197=0,AND(IF(X197-AK197&gt;=0,TRUE,FALSE),X197&gt;0,IF(X197/K197=ROUND(X197/K197,0),TRUE,FALSE))),FALSE)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8">
      <formula1>IF(AK198&gt;0,OR(X198=0,AND(IF(X198-AK198&gt;=0,TRUE,FALSE),X198&gt;0,IF(X198/K198=ROUND(X198/K198,0),TRUE,FALSE))),FALSE)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99">
      <formula1>IF(AK199&gt;0,OR(X199=0,AND(IF(X199-AK199&gt;=0,TRUE,FALSE),X199&gt;0,IF(X199/K199=ROUND(X199/K199,0),TRUE,FALSE))),FALSE)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00">
      <formula1>IF(AK200&gt;0,OR(X200=0,AND(IF(X200-AK200&gt;=0,TRUE,FALSE),X200&gt;0)),FALSE)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06">
      <formula1>IF(AK206&gt;0,OR(X206=0,AND(IF(X206-AK206&gt;=0,TRUE,FALSE),X206&gt;0,IF(X206/K206=ROUND(X206/K206,0),TRUE,FALSE))),FALSE)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0">
      <formula1>IF(AK210&gt;0,OR(X210=0,AND(IF(X210-AK210&gt;=0,TRUE,FALSE),X210&gt;0)),FALSE)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1">
      <formula1>IF(AK211&gt;0,OR(X211=0,AND(IF(X211-AK211&gt;=0,TRUE,FALSE),X211&gt;0)),FALSE)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2">
      <formula1>IF(AK212&gt;0,OR(X212=0,AND(IF(X212-AK212&gt;=0,TRUE,FALSE),X212&gt;0,IF(X212/K212=ROUND(X212/K212,0),TRUE,FALSE))),FALSE)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7">
      <formula1>IF(AK217&gt;0,OR(X217=0,AND(IF(X217-AK217&gt;=0,TRUE,FALSE),X217&gt;0)),FALSE)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18">
      <formula1>IF(AK218&gt;0,OR(X218=0,AND(IF(X218-AK218&gt;=0,TRUE,FALSE),X218&gt;0)),FALSE)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3">
      <formula1>IF(AK223&gt;0,OR(X223=0,AND(IF(X223-AK223&gt;=0,TRUE,FALSE),X223&gt;0,IF(X223/K223=ROUND(X223/K223,0),TRUE,FALSE))),FALSE)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8">
      <formula1>IF(AK228&gt;0,OR(X228=0,AND(IF(X228-AK228&gt;=0,TRUE,FALSE),X228&gt;0)),FALSE)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34">
      <formula1>IF(AK234&gt;0,OR(X234=0,AND(IF(X234-AK234&gt;=0,TRUE,FALSE),X234&gt;0)),FALSE)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0">
      <formula1>IF(AK240&gt;0,OR(X240=0,AND(IF(X240-AK240&gt;=0,TRUE,FALSE),X240&gt;0)),FALSE)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44">
      <formula1>IF(AK244&gt;0,OR(X244=0,AND(IF(X244-AK244&gt;=0,TRUE,FALSE),X244&gt;0)),FALSE)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0">
      <formula1>IF(AK250&gt;0,OR(X250=0,AND(IF(X250-AK250&gt;=0,TRUE,FALSE),X250&gt;0)),FALSE)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6">
      <formula1>IF(AK256&gt;0,OR(X256=0,AND(IF(X256-AK256&gt;=0,TRUE,FALSE),X256&gt;0)),FALSE)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7">
      <formula1>IF(AK257&gt;0,OR(X257=0,AND(IF(X257-AK257&gt;=0,TRUE,FALSE),X257&gt;0,IF(X257/K257=ROUND(X257/K257,0),TRUE,FALSE))),FALSE)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1">
      <formula1>IF(AK261&gt;0,OR(X261=0,AND(IF(X261-AK261&gt;=0,TRUE,FALSE),X261&gt;0,IF(X261/K261=ROUND(X261/K261,0),TRUE,FALSE))),FALSE)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">
      <formula1>IF(AK265&gt;0,OR(X265=0,AND(IF(X265-AK265&gt;=0,TRUE,FALSE),X265&gt;0,IF(X265/K265=ROUND(X265/K265,0),TRUE,FALSE))),FALSE)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">
      <formula1>IF(AK266&gt;0,OR(X266=0,AND(IF(X266-AK266&gt;=0,TRUE,FALSE),X266&gt;0,IF(X266/K266=ROUND(X266/K266,0),TRUE,FALSE))),FALSE)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">
      <formula1>IF(AK267&gt;0,OR(X267=0,AND(IF(X267-AK267&gt;=0,TRUE,FALSE),X267&gt;0)),FALSE)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">
      <formula1>IF(AK271&gt;0,OR(X271=0,AND(IF(X271-AK271&gt;=0,TRUE,FALSE),X271&gt;0,IF(X271/K271=ROUND(X271/K271,0),TRUE,FALSE))),FALSE)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2">
      <formula1>IF(AK272&gt;0,OR(X272=0,AND(IF(X272-AK272&gt;=0,TRUE,FALSE),X272&gt;0)),FALSE)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3">
      <formula1>IF(AK273&gt;0,OR(X273=0,AND(IF(X273-AK273&gt;=0,TRUE,FALSE),X273&gt;0,IF(X273/K273=ROUND(X273/K273,0),TRUE,FALSE))),FALSE)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">
      <formula1>IF(AK274&gt;0,OR(X274=0,AND(IF(X274-AK274&gt;=0,TRUE,FALSE),X274&gt;0,IF(X274/K274=ROUND(X274/K274,0),TRUE,FALSE))),FALSE)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">
      <formula1>IF(AK275&gt;0,OR(X275=0,AND(IF(X275-AK275&gt;=0,TRUE,FALSE),X275&gt;0,IF(X275/K275=ROUND(X275/K275,0),TRUE,FALSE))),FALSE)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6">
      <formula1>IF(AK276&gt;0,OR(X276=0,AND(IF(X276-AK276&gt;=0,TRUE,FALSE),X276&gt;0,IF(X276/K276=ROUND(X276/K276,0),TRUE,FALSE))),FALSE)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">
      <formula1>IF(AK277&gt;0,OR(X277=0,AND(IF(X277-AK277&gt;=0,TRUE,FALSE),X277&gt;0)),FALSE)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">
      <formula1>IF(AK278&gt;0,OR(X278=0,AND(IF(X278-AK278&gt;=0,TRUE,FALSE),X278&gt;0,IF(X278/K278=ROUND(X278/K278,0),TRUE,FALSE))),FALSE)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9">
      <formula1>IF(AK279&gt;0,OR(X279=0,AND(IF(X279-AK279&gt;=0,TRUE,FALSE),X279&gt;0,IF(X279/K279=ROUND(X279/K279,0),TRUE,FALSE))),FALSE)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0">
      <formula1>IF(AK280&gt;0,OR(X280=0,AND(IF(X280-AK280&gt;=0,TRUE,FALSE),X280&gt;0,IF(X280/K280=ROUND(X280/K280,0),TRUE,FALSE))),FALSE)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v7KX4dzDv+h6oHLoG/x0Fpm8RGxZeoPq/jP1D0rV0XS44daFTtfhGPvvImcv7dxtTXcFyehF5YEXA+kYsUCftg==" saltValue="m0eHe+9gvmAsXeBRcViiP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s-dax.aos.wrk</cp:lastModifiedBy>
  <dcterms:created xsi:type="dcterms:W3CDTF">2021-11-12T12:13:19Z</dcterms:created>
  <dcterms:modified xsi:type="dcterms:W3CDTF">2026-07-10T08:58:48Z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