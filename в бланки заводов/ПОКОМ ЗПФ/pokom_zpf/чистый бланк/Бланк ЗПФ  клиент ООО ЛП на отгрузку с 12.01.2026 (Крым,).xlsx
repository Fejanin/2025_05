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7D9C36-C431-4AD4-A475-4AA2C29EC0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заказа'!$X$270:$X$270</definedName>
    <definedName name="GrossWeightTotalR">'Бланк заказа'!$Y$270:$Y$270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заказа'!$X$271:$X$271</definedName>
    <definedName name="PalletQtyTotalR">'Бланк заказа'!$Y$271:$Y$271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заказа'!$B$251:$B$251</definedName>
    <definedName name="ProductId82">'Бланк заказа'!$B$252:$B$252</definedName>
    <definedName name="ProductId83">'Бланк заказа'!$B$253:$B$253</definedName>
    <definedName name="ProductId84">'Бланк заказа'!$B$257:$B$257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заказа'!$X$251:$X$251</definedName>
    <definedName name="SalesQty82">'Бланк заказа'!$X$252:$X$252</definedName>
    <definedName name="SalesQty83">'Бланк заказа'!$X$253:$X$253</definedName>
    <definedName name="SalesQty84">'Бланк заказа'!$X$257:$X$257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заказа'!$Y$251:$Y$251</definedName>
    <definedName name="SalesRoundBox82">'Бланк заказа'!$Y$252:$Y$252</definedName>
    <definedName name="SalesRoundBox83">'Бланк заказа'!$Y$253:$Y$253</definedName>
    <definedName name="SalesRoundBox84">'Бланк заказа'!$Y$257:$Y$257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заказа'!$W$251:$W$251</definedName>
    <definedName name="UnitOfMeasure82">'Бланк заказа'!$W$252:$W$252</definedName>
    <definedName name="UnitOfMeasure83">'Бланк заказа'!$W$253:$W$253</definedName>
    <definedName name="UnitOfMeasure84">'Бланк заказа'!$W$257:$W$257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9" i="2" l="1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BP257" i="2"/>
  <c r="BO257" i="2"/>
  <c r="BN257" i="2"/>
  <c r="BM257" i="2"/>
  <c r="Z257" i="2"/>
  <c r="Z267" i="2" s="1"/>
  <c r="Y257" i="2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N252" i="2" s="1"/>
  <c r="P252" i="2"/>
  <c r="BO251" i="2"/>
  <c r="BM251" i="2"/>
  <c r="Z251" i="2"/>
  <c r="Z254" i="2" s="1"/>
  <c r="Y251" i="2"/>
  <c r="BP251" i="2" s="1"/>
  <c r="P251" i="2"/>
  <c r="X249" i="2"/>
  <c r="Z248" i="2"/>
  <c r="X248" i="2"/>
  <c r="BO247" i="2"/>
  <c r="BM247" i="2"/>
  <c r="Z247" i="2"/>
  <c r="Y247" i="2"/>
  <c r="BP247" i="2" s="1"/>
  <c r="P247" i="2"/>
  <c r="X245" i="2"/>
  <c r="X244" i="2"/>
  <c r="BO243" i="2"/>
  <c r="BN243" i="2"/>
  <c r="BM243" i="2"/>
  <c r="Z243" i="2"/>
  <c r="Y243" i="2"/>
  <c r="P243" i="2"/>
  <c r="BO242" i="2"/>
  <c r="BM242" i="2"/>
  <c r="Z242" i="2"/>
  <c r="Y242" i="2"/>
  <c r="BP242" i="2" s="1"/>
  <c r="P242" i="2"/>
  <c r="Y238" i="2"/>
  <c r="X238" i="2"/>
  <c r="X237" i="2"/>
  <c r="BO236" i="2"/>
  <c r="BN236" i="2"/>
  <c r="BM236" i="2"/>
  <c r="Z236" i="2"/>
  <c r="Z237" i="2" s="1"/>
  <c r="Y236" i="2"/>
  <c r="BP236" i="2" s="1"/>
  <c r="P236" i="2"/>
  <c r="X234" i="2"/>
  <c r="Y233" i="2"/>
  <c r="X233" i="2"/>
  <c r="BP232" i="2"/>
  <c r="BO232" i="2"/>
  <c r="BN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BP226" i="2" s="1"/>
  <c r="P226" i="2"/>
  <c r="Y222" i="2"/>
  <c r="X222" i="2"/>
  <c r="X221" i="2"/>
  <c r="BO220" i="2"/>
  <c r="BN220" i="2"/>
  <c r="BM220" i="2"/>
  <c r="Z220" i="2"/>
  <c r="Z221" i="2" s="1"/>
  <c r="Y220" i="2"/>
  <c r="BP220" i="2" s="1"/>
  <c r="P220" i="2"/>
  <c r="X216" i="2"/>
  <c r="X215" i="2"/>
  <c r="BP214" i="2"/>
  <c r="BO214" i="2"/>
  <c r="BN214" i="2"/>
  <c r="BM214" i="2"/>
  <c r="Z214" i="2"/>
  <c r="Y214" i="2"/>
  <c r="P214" i="2"/>
  <c r="BO213" i="2"/>
  <c r="BM213" i="2"/>
  <c r="Z213" i="2"/>
  <c r="Y213" i="2"/>
  <c r="Y215" i="2" s="1"/>
  <c r="P213" i="2"/>
  <c r="Y211" i="2"/>
  <c r="X211" i="2"/>
  <c r="X210" i="2"/>
  <c r="BP209" i="2"/>
  <c r="BO209" i="2"/>
  <c r="BN209" i="2"/>
  <c r="BM209" i="2"/>
  <c r="Z209" i="2"/>
  <c r="Z210" i="2" s="1"/>
  <c r="Y209" i="2"/>
  <c r="Y210" i="2" s="1"/>
  <c r="P209" i="2"/>
  <c r="X206" i="2"/>
  <c r="X205" i="2"/>
  <c r="BO204" i="2"/>
  <c r="BM204" i="2"/>
  <c r="Z204" i="2"/>
  <c r="Z205" i="2" s="1"/>
  <c r="Y204" i="2"/>
  <c r="BP204" i="2" s="1"/>
  <c r="P204" i="2"/>
  <c r="X201" i="2"/>
  <c r="X200" i="2"/>
  <c r="BP199" i="2"/>
  <c r="BO199" i="2"/>
  <c r="BN199" i="2"/>
  <c r="BM199" i="2"/>
  <c r="Z199" i="2"/>
  <c r="Y199" i="2"/>
  <c r="P199" i="2"/>
  <c r="BO198" i="2"/>
  <c r="BN198" i="2"/>
  <c r="BM198" i="2"/>
  <c r="Z198" i="2"/>
  <c r="Y198" i="2"/>
  <c r="BP198" i="2" s="1"/>
  <c r="P198" i="2"/>
  <c r="BO197" i="2"/>
  <c r="BM197" i="2"/>
  <c r="Z197" i="2"/>
  <c r="Y197" i="2"/>
  <c r="P197" i="2"/>
  <c r="BO196" i="2"/>
  <c r="BM196" i="2"/>
  <c r="Z196" i="2"/>
  <c r="Y196" i="2"/>
  <c r="BN196" i="2" s="1"/>
  <c r="P196" i="2"/>
  <c r="BO195" i="2"/>
  <c r="BM195" i="2"/>
  <c r="Z195" i="2"/>
  <c r="Z200" i="2" s="1"/>
  <c r="Y195" i="2"/>
  <c r="BP195" i="2" s="1"/>
  <c r="P195" i="2"/>
  <c r="X193" i="2"/>
  <c r="Z192" i="2"/>
  <c r="X192" i="2"/>
  <c r="BO191" i="2"/>
  <c r="BM191" i="2"/>
  <c r="Z191" i="2"/>
  <c r="Y191" i="2"/>
  <c r="BP191" i="2" s="1"/>
  <c r="P191" i="2"/>
  <c r="X187" i="2"/>
  <c r="X186" i="2"/>
  <c r="BO185" i="2"/>
  <c r="BN185" i="2"/>
  <c r="BM185" i="2"/>
  <c r="Z185" i="2"/>
  <c r="Z186" i="2" s="1"/>
  <c r="Y185" i="2"/>
  <c r="Y187" i="2" s="1"/>
  <c r="X183" i="2"/>
  <c r="X182" i="2"/>
  <c r="BO181" i="2"/>
  <c r="BM181" i="2"/>
  <c r="Z181" i="2"/>
  <c r="Y181" i="2"/>
  <c r="BP181" i="2" s="1"/>
  <c r="P181" i="2"/>
  <c r="BO180" i="2"/>
  <c r="BN180" i="2"/>
  <c r="BM180" i="2"/>
  <c r="Z180" i="2"/>
  <c r="Y180" i="2"/>
  <c r="P180" i="2"/>
  <c r="BO179" i="2"/>
  <c r="BN179" i="2"/>
  <c r="BM179" i="2"/>
  <c r="Z179" i="2"/>
  <c r="Z182" i="2" s="1"/>
  <c r="Y179" i="2"/>
  <c r="BP179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Z174" i="2" s="1"/>
  <c r="Y172" i="2"/>
  <c r="BP172" i="2" s="1"/>
  <c r="P172" i="2"/>
  <c r="X168" i="2"/>
  <c r="Z167" i="2"/>
  <c r="X167" i="2"/>
  <c r="BO166" i="2"/>
  <c r="BM166" i="2"/>
  <c r="Z166" i="2"/>
  <c r="Y166" i="2"/>
  <c r="Y168" i="2" s="1"/>
  <c r="P166" i="2"/>
  <c r="Y163" i="2"/>
  <c r="X163" i="2"/>
  <c r="X162" i="2"/>
  <c r="BP161" i="2"/>
  <c r="BO161" i="2"/>
  <c r="BN161" i="2"/>
  <c r="BM161" i="2"/>
  <c r="Z161" i="2"/>
  <c r="Z162" i="2" s="1"/>
  <c r="Y161" i="2"/>
  <c r="Y162" i="2" s="1"/>
  <c r="P161" i="2"/>
  <c r="X158" i="2"/>
  <c r="X157" i="2"/>
  <c r="BO156" i="2"/>
  <c r="BM156" i="2"/>
  <c r="Z156" i="2"/>
  <c r="Z157" i="2" s="1"/>
  <c r="Y156" i="2"/>
  <c r="BP156" i="2" s="1"/>
  <c r="P156" i="2"/>
  <c r="X153" i="2"/>
  <c r="Z152" i="2"/>
  <c r="X152" i="2"/>
  <c r="BO151" i="2"/>
  <c r="BM151" i="2"/>
  <c r="Z151" i="2"/>
  <c r="Y151" i="2"/>
  <c r="Y153" i="2" s="1"/>
  <c r="P151" i="2"/>
  <c r="X148" i="2"/>
  <c r="X147" i="2"/>
  <c r="BP146" i="2"/>
  <c r="BO146" i="2"/>
  <c r="BN146" i="2"/>
  <c r="BM146" i="2"/>
  <c r="Z146" i="2"/>
  <c r="Z147" i="2" s="1"/>
  <c r="Y146" i="2"/>
  <c r="P146" i="2"/>
  <c r="BO145" i="2"/>
  <c r="BM145" i="2"/>
  <c r="Z145" i="2"/>
  <c r="Y145" i="2"/>
  <c r="Y147" i="2" s="1"/>
  <c r="P145" i="2"/>
  <c r="X142" i="2"/>
  <c r="X141" i="2"/>
  <c r="BO140" i="2"/>
  <c r="BM140" i="2"/>
  <c r="Z140" i="2"/>
  <c r="Y140" i="2"/>
  <c r="P140" i="2"/>
  <c r="BO139" i="2"/>
  <c r="BM139" i="2"/>
  <c r="Z139" i="2"/>
  <c r="Y139" i="2"/>
  <c r="Y141" i="2" s="1"/>
  <c r="P139" i="2"/>
  <c r="X136" i="2"/>
  <c r="X135" i="2"/>
  <c r="BO134" i="2"/>
  <c r="BM134" i="2"/>
  <c r="Z134" i="2"/>
  <c r="Y134" i="2"/>
  <c r="P134" i="2"/>
  <c r="BO133" i="2"/>
  <c r="BM133" i="2"/>
  <c r="Z133" i="2"/>
  <c r="Z135" i="2" s="1"/>
  <c r="Y133" i="2"/>
  <c r="BN133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Y122" i="2" s="1"/>
  <c r="P113" i="2"/>
  <c r="X110" i="2"/>
  <c r="X109" i="2"/>
  <c r="BO108" i="2"/>
  <c r="BM108" i="2"/>
  <c r="Z108" i="2"/>
  <c r="Y108" i="2"/>
  <c r="BP108" i="2" s="1"/>
  <c r="P108" i="2"/>
  <c r="BO107" i="2"/>
  <c r="BN107" i="2"/>
  <c r="BM107" i="2"/>
  <c r="Z107" i="2"/>
  <c r="Z109" i="2" s="1"/>
  <c r="Y107" i="2"/>
  <c r="Y110" i="2" s="1"/>
  <c r="P107" i="2"/>
  <c r="X104" i="2"/>
  <c r="X103" i="2"/>
  <c r="BO102" i="2"/>
  <c r="BM102" i="2"/>
  <c r="Z102" i="2"/>
  <c r="Y102" i="2"/>
  <c r="BP102" i="2" s="1"/>
  <c r="P102" i="2"/>
  <c r="BP101" i="2"/>
  <c r="BO101" i="2"/>
  <c r="BN101" i="2"/>
  <c r="BM101" i="2"/>
  <c r="Z101" i="2"/>
  <c r="Y101" i="2"/>
  <c r="P101" i="2"/>
  <c r="BO100" i="2"/>
  <c r="BN100" i="2"/>
  <c r="BM100" i="2"/>
  <c r="Z100" i="2"/>
  <c r="Y100" i="2"/>
  <c r="BP100" i="2" s="1"/>
  <c r="P100" i="2"/>
  <c r="BO99" i="2"/>
  <c r="BM99" i="2"/>
  <c r="Z99" i="2"/>
  <c r="Y99" i="2"/>
  <c r="P99" i="2"/>
  <c r="BO98" i="2"/>
  <c r="BM98" i="2"/>
  <c r="Z98" i="2"/>
  <c r="Y98" i="2"/>
  <c r="BN98" i="2" s="1"/>
  <c r="P98" i="2"/>
  <c r="BO97" i="2"/>
  <c r="BM97" i="2"/>
  <c r="Z97" i="2"/>
  <c r="Z103" i="2" s="1"/>
  <c r="Y97" i="2"/>
  <c r="P97" i="2"/>
  <c r="X94" i="2"/>
  <c r="X93" i="2"/>
  <c r="BO92" i="2"/>
  <c r="BM92" i="2"/>
  <c r="Z92" i="2"/>
  <c r="Z93" i="2" s="1"/>
  <c r="Y92" i="2"/>
  <c r="BN92" i="2" s="1"/>
  <c r="P92" i="2"/>
  <c r="BO91" i="2"/>
  <c r="BM91" i="2"/>
  <c r="Z91" i="2"/>
  <c r="Y91" i="2"/>
  <c r="Y93" i="2" s="1"/>
  <c r="P91" i="2"/>
  <c r="X88" i="2"/>
  <c r="Z87" i="2"/>
  <c r="X87" i="2"/>
  <c r="BO86" i="2"/>
  <c r="BM86" i="2"/>
  <c r="Z86" i="2"/>
  <c r="Y86" i="2"/>
  <c r="Y88" i="2" s="1"/>
  <c r="P86" i="2"/>
  <c r="X83" i="2"/>
  <c r="X82" i="2"/>
  <c r="BO81" i="2"/>
  <c r="BM81" i="2"/>
  <c r="Z81" i="2"/>
  <c r="Y81" i="2"/>
  <c r="BN81" i="2" s="1"/>
  <c r="P81" i="2"/>
  <c r="BO80" i="2"/>
  <c r="BM80" i="2"/>
  <c r="Z80" i="2"/>
  <c r="Y80" i="2"/>
  <c r="BP80" i="2" s="1"/>
  <c r="P80" i="2"/>
  <c r="X77" i="2"/>
  <c r="X76" i="2"/>
  <c r="BP75" i="2"/>
  <c r="BO75" i="2"/>
  <c r="BN75" i="2"/>
  <c r="BM75" i="2"/>
  <c r="Z75" i="2"/>
  <c r="Y75" i="2"/>
  <c r="P75" i="2"/>
  <c r="BO74" i="2"/>
  <c r="BN74" i="2"/>
  <c r="BM74" i="2"/>
  <c r="Z74" i="2"/>
  <c r="Y74" i="2"/>
  <c r="BP74" i="2" s="1"/>
  <c r="P74" i="2"/>
  <c r="BO73" i="2"/>
  <c r="BM73" i="2"/>
  <c r="Z73" i="2"/>
  <c r="Y73" i="2"/>
  <c r="Y77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BN60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BO53" i="2"/>
  <c r="BM53" i="2"/>
  <c r="Z53" i="2"/>
  <c r="Y53" i="2"/>
  <c r="BP53" i="2" s="1"/>
  <c r="P53" i="2"/>
  <c r="BP52" i="2"/>
  <c r="BO52" i="2"/>
  <c r="BN52" i="2"/>
  <c r="BM52" i="2"/>
  <c r="Z52" i="2"/>
  <c r="Z56" i="2" s="1"/>
  <c r="Y52" i="2"/>
  <c r="P52" i="2"/>
  <c r="X49" i="2"/>
  <c r="X48" i="2"/>
  <c r="BP47" i="2"/>
  <c r="BO47" i="2"/>
  <c r="BN47" i="2"/>
  <c r="BM47" i="2"/>
  <c r="Z47" i="2"/>
  <c r="Y47" i="2"/>
  <c r="P47" i="2"/>
  <c r="BO46" i="2"/>
  <c r="BM46" i="2"/>
  <c r="Z46" i="2"/>
  <c r="Y46" i="2"/>
  <c r="BP46" i="2" s="1"/>
  <c r="P46" i="2"/>
  <c r="BO45" i="2"/>
  <c r="BM45" i="2"/>
  <c r="Z45" i="2"/>
  <c r="Z48" i="2" s="1"/>
  <c r="Y45" i="2"/>
  <c r="P45" i="2"/>
  <c r="X42" i="2"/>
  <c r="X41" i="2"/>
  <c r="BP40" i="2"/>
  <c r="BO40" i="2"/>
  <c r="BN40" i="2"/>
  <c r="BM40" i="2"/>
  <c r="Z40" i="2"/>
  <c r="Y40" i="2"/>
  <c r="P40" i="2"/>
  <c r="BO39" i="2"/>
  <c r="BM39" i="2"/>
  <c r="Z39" i="2"/>
  <c r="Y39" i="2"/>
  <c r="BP39" i="2" s="1"/>
  <c r="P39" i="2"/>
  <c r="X35" i="2"/>
  <c r="X34" i="2"/>
  <c r="BO33" i="2"/>
  <c r="BM33" i="2"/>
  <c r="Z33" i="2"/>
  <c r="Y33" i="2"/>
  <c r="BN33" i="2" s="1"/>
  <c r="P33" i="2"/>
  <c r="BO32" i="2"/>
  <c r="BM32" i="2"/>
  <c r="Z32" i="2"/>
  <c r="Z34" i="2" s="1"/>
  <c r="Y32" i="2"/>
  <c r="BP32" i="2" s="1"/>
  <c r="P32" i="2"/>
  <c r="X29" i="2"/>
  <c r="X28" i="2"/>
  <c r="X273" i="2" s="1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N24" i="2"/>
  <c r="BM24" i="2"/>
  <c r="Z24" i="2"/>
  <c r="Z28" i="2" s="1"/>
  <c r="Y24" i="2"/>
  <c r="BP24" i="2" s="1"/>
  <c r="P24" i="2"/>
  <c r="BO23" i="2"/>
  <c r="BM23" i="2"/>
  <c r="Z23" i="2"/>
  <c r="Y23" i="2"/>
  <c r="BP23" i="2" s="1"/>
  <c r="P23" i="2"/>
  <c r="BO22" i="2"/>
  <c r="BM22" i="2"/>
  <c r="X270" i="2" s="1"/>
  <c r="Z22" i="2"/>
  <c r="Y22" i="2"/>
  <c r="BN22" i="2" s="1"/>
  <c r="P22" i="2"/>
  <c r="H10" i="2"/>
  <c r="A9" i="2"/>
  <c r="F10" i="2" s="1"/>
  <c r="D7" i="2"/>
  <c r="Q6" i="2"/>
  <c r="P2" i="2"/>
  <c r="H9" i="2" l="1"/>
  <c r="X271" i="2"/>
  <c r="X272" i="2" s="1"/>
  <c r="BN26" i="2"/>
  <c r="BP27" i="2"/>
  <c r="Y28" i="2"/>
  <c r="X269" i="2"/>
  <c r="Z41" i="2"/>
  <c r="Y49" i="2"/>
  <c r="BN46" i="2"/>
  <c r="Y57" i="2"/>
  <c r="BN53" i="2"/>
  <c r="BP54" i="2"/>
  <c r="Y70" i="2"/>
  <c r="Z76" i="2"/>
  <c r="Z274" i="2" s="1"/>
  <c r="BN80" i="2"/>
  <c r="Z82" i="2"/>
  <c r="BN86" i="2"/>
  <c r="BP86" i="2"/>
  <c r="Y87" i="2"/>
  <c r="BN91" i="2"/>
  <c r="BP91" i="2"/>
  <c r="BP92" i="2"/>
  <c r="Y104" i="2"/>
  <c r="BN102" i="2"/>
  <c r="Z121" i="2"/>
  <c r="BN115" i="2"/>
  <c r="BN117" i="2"/>
  <c r="BN118" i="2"/>
  <c r="BP120" i="2"/>
  <c r="BP133" i="2"/>
  <c r="Y136" i="2"/>
  <c r="Z141" i="2"/>
  <c r="BN139" i="2"/>
  <c r="BP139" i="2"/>
  <c r="Y142" i="2"/>
  <c r="BN145" i="2"/>
  <c r="BP145" i="2"/>
  <c r="BN151" i="2"/>
  <c r="BP151" i="2"/>
  <c r="Y152" i="2"/>
  <c r="BN156" i="2"/>
  <c r="Y158" i="2"/>
  <c r="BN166" i="2"/>
  <c r="BP166" i="2"/>
  <c r="Y167" i="2"/>
  <c r="BN172" i="2"/>
  <c r="BN173" i="2"/>
  <c r="Y175" i="2"/>
  <c r="Y183" i="2"/>
  <c r="Y186" i="2"/>
  <c r="Y192" i="2"/>
  <c r="BN204" i="2"/>
  <c r="Y206" i="2"/>
  <c r="Z215" i="2"/>
  <c r="BN213" i="2"/>
  <c r="BP213" i="2"/>
  <c r="Y216" i="2"/>
  <c r="Y221" i="2"/>
  <c r="BN226" i="2"/>
  <c r="Y228" i="2"/>
  <c r="Y237" i="2"/>
  <c r="Z244" i="2"/>
  <c r="Y245" i="2"/>
  <c r="Y244" i="2"/>
  <c r="Y248" i="2"/>
  <c r="Y268" i="2"/>
  <c r="BN260" i="2"/>
  <c r="BN265" i="2"/>
  <c r="BP22" i="2"/>
  <c r="BP33" i="2"/>
  <c r="Y34" i="2"/>
  <c r="Y41" i="2"/>
  <c r="BP60" i="2"/>
  <c r="Y61" i="2"/>
  <c r="Y71" i="2"/>
  <c r="Y83" i="2"/>
  <c r="BP98" i="2"/>
  <c r="Y103" i="2"/>
  <c r="Y148" i="2"/>
  <c r="Y157" i="2"/>
  <c r="Y174" i="2"/>
  <c r="BP196" i="2"/>
  <c r="Y201" i="2"/>
  <c r="Y205" i="2"/>
  <c r="Y227" i="2"/>
  <c r="BP252" i="2"/>
  <c r="Y121" i="2"/>
  <c r="BN113" i="2"/>
  <c r="Y29" i="2"/>
  <c r="BN55" i="2"/>
  <c r="BN68" i="2"/>
  <c r="BP81" i="2"/>
  <c r="Y94" i="2"/>
  <c r="BP107" i="2"/>
  <c r="BN128" i="2"/>
  <c r="Y193" i="2"/>
  <c r="Y249" i="2"/>
  <c r="BN23" i="2"/>
  <c r="Y35" i="2"/>
  <c r="Y62" i="2"/>
  <c r="BN73" i="2"/>
  <c r="Y76" i="2"/>
  <c r="BN99" i="2"/>
  <c r="BP113" i="2"/>
  <c r="BN134" i="2"/>
  <c r="BP180" i="2"/>
  <c r="BP185" i="2"/>
  <c r="BN197" i="2"/>
  <c r="Y200" i="2"/>
  <c r="BP243" i="2"/>
  <c r="BN253" i="2"/>
  <c r="BN263" i="2"/>
  <c r="F9" i="2"/>
  <c r="Y42" i="2"/>
  <c r="BP68" i="2"/>
  <c r="Y82" i="2"/>
  <c r="BN116" i="2"/>
  <c r="BP128" i="2"/>
  <c r="BN140" i="2"/>
  <c r="BN258" i="2"/>
  <c r="BN266" i="2"/>
  <c r="BP73" i="2"/>
  <c r="Y129" i="2"/>
  <c r="A10" i="2"/>
  <c r="BN32" i="2"/>
  <c r="BN119" i="2"/>
  <c r="BN251" i="2"/>
  <c r="Y254" i="2"/>
  <c r="BN261" i="2"/>
  <c r="BP197" i="2"/>
  <c r="J9" i="2"/>
  <c r="Y56" i="2"/>
  <c r="BP140" i="2"/>
  <c r="BN97" i="2"/>
  <c r="BN108" i="2"/>
  <c r="Y135" i="2"/>
  <c r="BN195" i="2"/>
  <c r="BN39" i="2"/>
  <c r="BN64" i="2"/>
  <c r="BN114" i="2"/>
  <c r="BN124" i="2"/>
  <c r="BN181" i="2"/>
  <c r="BN45" i="2"/>
  <c r="Y48" i="2"/>
  <c r="BN69" i="2"/>
  <c r="BP97" i="2"/>
  <c r="BP99" i="2"/>
  <c r="Y255" i="2"/>
  <c r="BN264" i="2"/>
  <c r="Y267" i="2"/>
  <c r="BP64" i="2"/>
  <c r="BN259" i="2"/>
  <c r="BP134" i="2"/>
  <c r="BN242" i="2"/>
  <c r="BP124" i="2"/>
  <c r="BP45" i="2"/>
  <c r="Y109" i="2"/>
  <c r="Y65" i="2"/>
  <c r="Y182" i="2"/>
  <c r="BN191" i="2"/>
  <c r="BN247" i="2"/>
  <c r="Y125" i="2"/>
  <c r="BN262" i="2"/>
  <c r="Y271" i="2" l="1"/>
  <c r="Y273" i="2"/>
  <c r="Y270" i="2"/>
  <c r="Y272" i="2" s="1"/>
  <c r="Y269" i="2"/>
  <c r="B282" i="2" s="1"/>
  <c r="C282" i="2" l="1"/>
  <c r="A282" i="2"/>
</calcChain>
</file>

<file path=xl/sharedStrings.xml><?xml version="1.0" encoding="utf-8"?>
<sst xmlns="http://schemas.openxmlformats.org/spreadsheetml/2006/main" count="1647" uniqueCount="393">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</sst>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46034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0.375</v>
      </c>
      <c r="R8" s="303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4"/>
      <c r="C9" s="304"/>
      <c r="D9" s="305" t="s">
        <v>46</v>
      </c>
      <c r="E9" s="306"/>
      <c r="F9" s="3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4"/>
      <c r="H9" s="307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73"/>
      <c r="P9" s="31" t="s">
        <v>15</v>
      </c>
      <c r="Q9" s="308"/>
      <c r="R9" s="308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4"/>
      <c r="C10" s="304"/>
      <c r="D10" s="305"/>
      <c r="E10" s="306"/>
      <c r="F10" s="3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4"/>
      <c r="H10" s="309" t="str">
        <f>IFERROR(VLOOKUP($D$10,Proxy,2,FALSE),"")</f>
        <v/>
      </c>
      <c r="I10" s="309"/>
      <c r="J10" s="309"/>
      <c r="K10" s="309"/>
      <c r="L10" s="309"/>
      <c r="M10" s="309"/>
      <c r="N10" s="74"/>
      <c r="P10" s="31" t="s">
        <v>32</v>
      </c>
      <c r="Q10" s="310"/>
      <c r="R10" s="310"/>
      <c r="U10" s="29" t="s">
        <v>12</v>
      </c>
      <c r="V10" s="311" t="s">
        <v>74</v>
      </c>
      <c r="W10" s="31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3"/>
      <c r="R11" s="313"/>
      <c r="U11" s="29" t="s">
        <v>28</v>
      </c>
      <c r="V11" s="314" t="s">
        <v>55</v>
      </c>
      <c r="W11" s="31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5" t="s">
        <v>75</v>
      </c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79"/>
      <c r="P12" s="27" t="s">
        <v>30</v>
      </c>
      <c r="Q12" s="302"/>
      <c r="R12" s="302"/>
      <c r="S12" s="28"/>
      <c r="T12"/>
      <c r="U12" s="29" t="s">
        <v>46</v>
      </c>
      <c r="V12" s="316"/>
      <c r="W12" s="316"/>
      <c r="X12"/>
      <c r="AB12" s="59"/>
      <c r="AC12" s="59"/>
      <c r="AD12" s="59"/>
      <c r="AE12" s="59"/>
    </row>
    <row r="13" spans="1:32" s="17" customFormat="1" ht="23.25" customHeight="1" x14ac:dyDescent="0.2">
      <c r="A13" s="315" t="s">
        <v>76</v>
      </c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79"/>
      <c r="O13" s="31"/>
      <c r="P13" s="31" t="s">
        <v>31</v>
      </c>
      <c r="Q13" s="314"/>
      <c r="R13" s="31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5" t="s">
        <v>77</v>
      </c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7" t="s">
        <v>78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80"/>
      <c r="O15"/>
      <c r="P15" s="318" t="s">
        <v>61</v>
      </c>
      <c r="Q15" s="318"/>
      <c r="R15" s="318"/>
      <c r="S15" s="318"/>
      <c r="T15" s="3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9"/>
      <c r="Q16" s="319"/>
      <c r="R16" s="319"/>
      <c r="S16" s="319"/>
      <c r="T16" s="3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2" t="s">
        <v>59</v>
      </c>
      <c r="B17" s="322" t="s">
        <v>49</v>
      </c>
      <c r="C17" s="324" t="s">
        <v>48</v>
      </c>
      <c r="D17" s="326" t="s">
        <v>50</v>
      </c>
      <c r="E17" s="327"/>
      <c r="F17" s="322" t="s">
        <v>21</v>
      </c>
      <c r="G17" s="322" t="s">
        <v>24</v>
      </c>
      <c r="H17" s="322" t="s">
        <v>22</v>
      </c>
      <c r="I17" s="322" t="s">
        <v>23</v>
      </c>
      <c r="J17" s="322" t="s">
        <v>16</v>
      </c>
      <c r="K17" s="322" t="s">
        <v>69</v>
      </c>
      <c r="L17" s="322" t="s">
        <v>67</v>
      </c>
      <c r="M17" s="322" t="s">
        <v>2</v>
      </c>
      <c r="N17" s="322" t="s">
        <v>66</v>
      </c>
      <c r="O17" s="322" t="s">
        <v>25</v>
      </c>
      <c r="P17" s="326" t="s">
        <v>17</v>
      </c>
      <c r="Q17" s="330"/>
      <c r="R17" s="330"/>
      <c r="S17" s="330"/>
      <c r="T17" s="327"/>
      <c r="U17" s="320" t="s">
        <v>56</v>
      </c>
      <c r="V17" s="321"/>
      <c r="W17" s="322" t="s">
        <v>6</v>
      </c>
      <c r="X17" s="322" t="s">
        <v>41</v>
      </c>
      <c r="Y17" s="332" t="s">
        <v>54</v>
      </c>
      <c r="Z17" s="334" t="s">
        <v>18</v>
      </c>
      <c r="AA17" s="336" t="s">
        <v>60</v>
      </c>
      <c r="AB17" s="336" t="s">
        <v>19</v>
      </c>
      <c r="AC17" s="336" t="s">
        <v>68</v>
      </c>
      <c r="AD17" s="338" t="s">
        <v>57</v>
      </c>
      <c r="AE17" s="339"/>
      <c r="AF17" s="340"/>
      <c r="AG17" s="85"/>
      <c r="BD17" s="84" t="s">
        <v>64</v>
      </c>
    </row>
    <row r="18" spans="1:68" ht="14.25" customHeight="1" x14ac:dyDescent="0.2">
      <c r="A18" s="323"/>
      <c r="B18" s="323"/>
      <c r="C18" s="325"/>
      <c r="D18" s="328"/>
      <c r="E18" s="329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8"/>
      <c r="Q18" s="331"/>
      <c r="R18" s="331"/>
      <c r="S18" s="331"/>
      <c r="T18" s="329"/>
      <c r="U18" s="86" t="s">
        <v>44</v>
      </c>
      <c r="V18" s="86" t="s">
        <v>43</v>
      </c>
      <c r="W18" s="323"/>
      <c r="X18" s="323"/>
      <c r="Y18" s="333"/>
      <c r="Z18" s="335"/>
      <c r="AA18" s="337"/>
      <c r="AB18" s="337"/>
      <c r="AC18" s="337"/>
      <c r="AD18" s="341"/>
      <c r="AE18" s="342"/>
      <c r="AF18" s="343"/>
      <c r="AG18" s="85"/>
      <c r="BD18" s="84"/>
    </row>
    <row r="19" spans="1:68" ht="27.75" customHeight="1" x14ac:dyDescent="0.2">
      <c r="A19" s="344" t="s">
        <v>81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54"/>
      <c r="AB19" s="54"/>
      <c r="AC19" s="54"/>
    </row>
    <row r="20" spans="1:68" ht="16.5" customHeight="1" x14ac:dyDescent="0.25">
      <c r="A20" s="345" t="s">
        <v>81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65"/>
      <c r="AB20" s="65"/>
      <c r="AC20" s="82"/>
    </row>
    <row r="21" spans="1:68" ht="14.25" customHeight="1" x14ac:dyDescent="0.25">
      <c r="A21" s="346" t="s">
        <v>82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7">
        <v>4607111035912</v>
      </c>
      <c r="E22" s="347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9"/>
      <c r="R22" s="349"/>
      <c r="S22" s="349"/>
      <c r="T22" s="35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7">
        <v>4607111035103</v>
      </c>
      <c r="E23" s="347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9"/>
      <c r="R23" s="349"/>
      <c r="S23" s="349"/>
      <c r="T23" s="35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7">
        <v>4607111035929</v>
      </c>
      <c r="E24" s="347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9"/>
      <c r="R24" s="349"/>
      <c r="S24" s="349"/>
      <c r="T24" s="35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7">
        <v>4607111035882</v>
      </c>
      <c r="E25" s="347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9"/>
      <c r="R25" s="349"/>
      <c r="S25" s="349"/>
      <c r="T25" s="35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7">
        <v>4607111035110</v>
      </c>
      <c r="E26" s="347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9"/>
      <c r="R26" s="349"/>
      <c r="S26" s="349"/>
      <c r="T26" s="35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7">
        <v>4607111035905</v>
      </c>
      <c r="E27" s="34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9"/>
      <c r="R27" s="349"/>
      <c r="S27" s="349"/>
      <c r="T27" s="35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9"/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60"/>
      <c r="P28" s="356" t="s">
        <v>40</v>
      </c>
      <c r="Q28" s="357"/>
      <c r="R28" s="357"/>
      <c r="S28" s="357"/>
      <c r="T28" s="357"/>
      <c r="U28" s="357"/>
      <c r="V28" s="358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9"/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60"/>
      <c r="P29" s="356" t="s">
        <v>40</v>
      </c>
      <c r="Q29" s="357"/>
      <c r="R29" s="357"/>
      <c r="S29" s="357"/>
      <c r="T29" s="357"/>
      <c r="U29" s="357"/>
      <c r="V29" s="358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5" t="s">
        <v>100</v>
      </c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  <c r="M30" s="345"/>
      <c r="N30" s="345"/>
      <c r="O30" s="345"/>
      <c r="P30" s="345"/>
      <c r="Q30" s="345"/>
      <c r="R30" s="345"/>
      <c r="S30" s="345"/>
      <c r="T30" s="345"/>
      <c r="U30" s="345"/>
      <c r="V30" s="345"/>
      <c r="W30" s="345"/>
      <c r="X30" s="345"/>
      <c r="Y30" s="345"/>
      <c r="Z30" s="345"/>
      <c r="AA30" s="65"/>
      <c r="AB30" s="65"/>
      <c r="AC30" s="82"/>
    </row>
    <row r="31" spans="1:68" ht="14.25" customHeight="1" x14ac:dyDescent="0.25">
      <c r="A31" s="346" t="s">
        <v>82</v>
      </c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  <c r="Y31" s="346"/>
      <c r="Z31" s="346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7">
        <v>4607111039019</v>
      </c>
      <c r="E32" s="347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9"/>
      <c r="R32" s="349"/>
      <c r="S32" s="349"/>
      <c r="T32" s="350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7">
        <v>4607111038708</v>
      </c>
      <c r="E33" s="347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9"/>
      <c r="R33" s="349"/>
      <c r="S33" s="349"/>
      <c r="T33" s="350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9"/>
      <c r="B34" s="359"/>
      <c r="C34" s="359"/>
      <c r="D34" s="359"/>
      <c r="E34" s="359"/>
      <c r="F34" s="359"/>
      <c r="G34" s="359"/>
      <c r="H34" s="359"/>
      <c r="I34" s="359"/>
      <c r="J34" s="359"/>
      <c r="K34" s="359"/>
      <c r="L34" s="359"/>
      <c r="M34" s="359"/>
      <c r="N34" s="359"/>
      <c r="O34" s="360"/>
      <c r="P34" s="356" t="s">
        <v>40</v>
      </c>
      <c r="Q34" s="357"/>
      <c r="R34" s="357"/>
      <c r="S34" s="357"/>
      <c r="T34" s="357"/>
      <c r="U34" s="357"/>
      <c r="V34" s="358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9"/>
      <c r="B35" s="359"/>
      <c r="C35" s="359"/>
      <c r="D35" s="359"/>
      <c r="E35" s="359"/>
      <c r="F35" s="359"/>
      <c r="G35" s="359"/>
      <c r="H35" s="359"/>
      <c r="I35" s="359"/>
      <c r="J35" s="359"/>
      <c r="K35" s="359"/>
      <c r="L35" s="359"/>
      <c r="M35" s="359"/>
      <c r="N35" s="359"/>
      <c r="O35" s="360"/>
      <c r="P35" s="356" t="s">
        <v>40</v>
      </c>
      <c r="Q35" s="357"/>
      <c r="R35" s="357"/>
      <c r="S35" s="357"/>
      <c r="T35" s="357"/>
      <c r="U35" s="357"/>
      <c r="V35" s="358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4" t="s">
        <v>45</v>
      </c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54"/>
      <c r="AB36" s="54"/>
      <c r="AC36" s="54"/>
    </row>
    <row r="37" spans="1:68" ht="16.5" customHeight="1" x14ac:dyDescent="0.25">
      <c r="A37" s="345" t="s">
        <v>106</v>
      </c>
      <c r="B37" s="345"/>
      <c r="C37" s="345"/>
      <c r="D37" s="345"/>
      <c r="E37" s="345"/>
      <c r="F37" s="345"/>
      <c r="G37" s="345"/>
      <c r="H37" s="345"/>
      <c r="I37" s="345"/>
      <c r="J37" s="345"/>
      <c r="K37" s="345"/>
      <c r="L37" s="345"/>
      <c r="M37" s="345"/>
      <c r="N37" s="345"/>
      <c r="O37" s="345"/>
      <c r="P37" s="345"/>
      <c r="Q37" s="345"/>
      <c r="R37" s="345"/>
      <c r="S37" s="345"/>
      <c r="T37" s="345"/>
      <c r="U37" s="345"/>
      <c r="V37" s="345"/>
      <c r="W37" s="345"/>
      <c r="X37" s="345"/>
      <c r="Y37" s="345"/>
      <c r="Z37" s="345"/>
      <c r="AA37" s="65"/>
      <c r="AB37" s="65"/>
      <c r="AC37" s="82"/>
    </row>
    <row r="38" spans="1:68" ht="14.25" customHeight="1" x14ac:dyDescent="0.25">
      <c r="A38" s="346" t="s">
        <v>107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  <c r="Y38" s="346"/>
      <c r="Z38" s="346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7">
        <v>4607111036537</v>
      </c>
      <c r="E39" s="347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9"/>
      <c r="R39" s="349"/>
      <c r="S39" s="349"/>
      <c r="T39" s="350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7">
        <v>4607111036605</v>
      </c>
      <c r="E40" s="347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9"/>
      <c r="R40" s="349"/>
      <c r="S40" s="349"/>
      <c r="T40" s="350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9"/>
      <c r="B41" s="359"/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60"/>
      <c r="P41" s="356" t="s">
        <v>40</v>
      </c>
      <c r="Q41" s="357"/>
      <c r="R41" s="357"/>
      <c r="S41" s="357"/>
      <c r="T41" s="357"/>
      <c r="U41" s="357"/>
      <c r="V41" s="358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9"/>
      <c r="B42" s="359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  <c r="N42" s="359"/>
      <c r="O42" s="360"/>
      <c r="P42" s="356" t="s">
        <v>40</v>
      </c>
      <c r="Q42" s="357"/>
      <c r="R42" s="357"/>
      <c r="S42" s="357"/>
      <c r="T42" s="357"/>
      <c r="U42" s="357"/>
      <c r="V42" s="358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5" t="s">
        <v>117</v>
      </c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/>
      <c r="Q43" s="345"/>
      <c r="R43" s="345"/>
      <c r="S43" s="345"/>
      <c r="T43" s="345"/>
      <c r="U43" s="345"/>
      <c r="V43" s="345"/>
      <c r="W43" s="345"/>
      <c r="X43" s="345"/>
      <c r="Y43" s="345"/>
      <c r="Z43" s="345"/>
      <c r="AA43" s="65"/>
      <c r="AB43" s="65"/>
      <c r="AC43" s="82"/>
    </row>
    <row r="44" spans="1:68" ht="14.25" customHeight="1" x14ac:dyDescent="0.25">
      <c r="A44" s="346" t="s">
        <v>82</v>
      </c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  <c r="Y44" s="346"/>
      <c r="Z44" s="346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7">
        <v>4620207490075</v>
      </c>
      <c r="E45" s="347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9"/>
      <c r="R45" s="349"/>
      <c r="S45" s="349"/>
      <c r="T45" s="350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7">
        <v>4620207490174</v>
      </c>
      <c r="E46" s="347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9"/>
      <c r="R46" s="349"/>
      <c r="S46" s="349"/>
      <c r="T46" s="350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7">
        <v>4620207490044</v>
      </c>
      <c r="E47" s="34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6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9"/>
      <c r="R47" s="349"/>
      <c r="S47" s="349"/>
      <c r="T47" s="35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9"/>
      <c r="B48" s="359"/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60"/>
      <c r="P48" s="356" t="s">
        <v>40</v>
      </c>
      <c r="Q48" s="357"/>
      <c r="R48" s="357"/>
      <c r="S48" s="357"/>
      <c r="T48" s="357"/>
      <c r="U48" s="357"/>
      <c r="V48" s="358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9"/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60"/>
      <c r="P49" s="356" t="s">
        <v>40</v>
      </c>
      <c r="Q49" s="357"/>
      <c r="R49" s="357"/>
      <c r="S49" s="357"/>
      <c r="T49" s="357"/>
      <c r="U49" s="357"/>
      <c r="V49" s="358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5" t="s">
        <v>127</v>
      </c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  <c r="P50" s="345"/>
      <c r="Q50" s="345"/>
      <c r="R50" s="345"/>
      <c r="S50" s="345"/>
      <c r="T50" s="345"/>
      <c r="U50" s="345"/>
      <c r="V50" s="345"/>
      <c r="W50" s="345"/>
      <c r="X50" s="345"/>
      <c r="Y50" s="345"/>
      <c r="Z50" s="345"/>
      <c r="AA50" s="65"/>
      <c r="AB50" s="65"/>
      <c r="AC50" s="82"/>
    </row>
    <row r="51" spans="1:68" ht="14.25" customHeight="1" x14ac:dyDescent="0.25">
      <c r="A51" s="346" t="s">
        <v>82</v>
      </c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  <c r="Y51" s="346"/>
      <c r="Z51" s="346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7">
        <v>4607111039385</v>
      </c>
      <c r="E52" s="347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9"/>
      <c r="R52" s="349"/>
      <c r="S52" s="349"/>
      <c r="T52" s="350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7">
        <v>4607111038982</v>
      </c>
      <c r="E53" s="347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9"/>
      <c r="R53" s="349"/>
      <c r="S53" s="349"/>
      <c r="T53" s="35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7">
        <v>4607111039354</v>
      </c>
      <c r="E54" s="347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9"/>
      <c r="R54" s="349"/>
      <c r="S54" s="349"/>
      <c r="T54" s="35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7">
        <v>4607111039330</v>
      </c>
      <c r="E55" s="347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88</v>
      </c>
      <c r="M55" s="38" t="s">
        <v>86</v>
      </c>
      <c r="N55" s="38"/>
      <c r="O55" s="37">
        <v>180</v>
      </c>
      <c r="P55" s="37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9"/>
      <c r="R55" s="349"/>
      <c r="S55" s="349"/>
      <c r="T55" s="350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89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9"/>
      <c r="B56" s="359"/>
      <c r="C56" s="359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60"/>
      <c r="P56" s="356" t="s">
        <v>40</v>
      </c>
      <c r="Q56" s="357"/>
      <c r="R56" s="357"/>
      <c r="S56" s="357"/>
      <c r="T56" s="357"/>
      <c r="U56" s="357"/>
      <c r="V56" s="358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9"/>
      <c r="B57" s="359"/>
      <c r="C57" s="359"/>
      <c r="D57" s="359"/>
      <c r="E57" s="359"/>
      <c r="F57" s="359"/>
      <c r="G57" s="359"/>
      <c r="H57" s="359"/>
      <c r="I57" s="359"/>
      <c r="J57" s="359"/>
      <c r="K57" s="359"/>
      <c r="L57" s="359"/>
      <c r="M57" s="359"/>
      <c r="N57" s="359"/>
      <c r="O57" s="360"/>
      <c r="P57" s="356" t="s">
        <v>40</v>
      </c>
      <c r="Q57" s="357"/>
      <c r="R57" s="357"/>
      <c r="S57" s="357"/>
      <c r="T57" s="357"/>
      <c r="U57" s="357"/>
      <c r="V57" s="358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5" t="s">
        <v>138</v>
      </c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65"/>
      <c r="AB58" s="65"/>
      <c r="AC58" s="82"/>
    </row>
    <row r="59" spans="1:68" ht="14.25" customHeight="1" x14ac:dyDescent="0.25">
      <c r="A59" s="346" t="s">
        <v>82</v>
      </c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  <c r="Y59" s="346"/>
      <c r="Z59" s="346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7">
        <v>4620207490822</v>
      </c>
      <c r="E60" s="347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9"/>
      <c r="R60" s="349"/>
      <c r="S60" s="349"/>
      <c r="T60" s="350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9"/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60"/>
      <c r="P61" s="356" t="s">
        <v>40</v>
      </c>
      <c r="Q61" s="357"/>
      <c r="R61" s="357"/>
      <c r="S61" s="357"/>
      <c r="T61" s="357"/>
      <c r="U61" s="357"/>
      <c r="V61" s="358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9"/>
      <c r="B62" s="359"/>
      <c r="C62" s="359"/>
      <c r="D62" s="359"/>
      <c r="E62" s="359"/>
      <c r="F62" s="359"/>
      <c r="G62" s="359"/>
      <c r="H62" s="359"/>
      <c r="I62" s="359"/>
      <c r="J62" s="359"/>
      <c r="K62" s="359"/>
      <c r="L62" s="359"/>
      <c r="M62" s="359"/>
      <c r="N62" s="359"/>
      <c r="O62" s="360"/>
      <c r="P62" s="356" t="s">
        <v>40</v>
      </c>
      <c r="Q62" s="357"/>
      <c r="R62" s="357"/>
      <c r="S62" s="357"/>
      <c r="T62" s="357"/>
      <c r="U62" s="357"/>
      <c r="V62" s="358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6" t="s">
        <v>107</v>
      </c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  <c r="Y63" s="346"/>
      <c r="Z63" s="346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7">
        <v>4607111039712</v>
      </c>
      <c r="E64" s="347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9"/>
      <c r="R64" s="349"/>
      <c r="S64" s="349"/>
      <c r="T64" s="350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9"/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60"/>
      <c r="P65" s="356" t="s">
        <v>40</v>
      </c>
      <c r="Q65" s="357"/>
      <c r="R65" s="357"/>
      <c r="S65" s="357"/>
      <c r="T65" s="357"/>
      <c r="U65" s="357"/>
      <c r="V65" s="358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9"/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60"/>
      <c r="P66" s="356" t="s">
        <v>40</v>
      </c>
      <c r="Q66" s="357"/>
      <c r="R66" s="357"/>
      <c r="S66" s="357"/>
      <c r="T66" s="357"/>
      <c r="U66" s="357"/>
      <c r="V66" s="358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6" t="s">
        <v>145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7">
        <v>4607111037008</v>
      </c>
      <c r="E68" s="347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9"/>
      <c r="R68" s="349"/>
      <c r="S68" s="349"/>
      <c r="T68" s="350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7">
        <v>4607111037398</v>
      </c>
      <c r="E69" s="347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9"/>
      <c r="R69" s="349"/>
      <c r="S69" s="349"/>
      <c r="T69" s="350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9"/>
      <c r="B70" s="359"/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60"/>
      <c r="P70" s="356" t="s">
        <v>40</v>
      </c>
      <c r="Q70" s="357"/>
      <c r="R70" s="357"/>
      <c r="S70" s="357"/>
      <c r="T70" s="357"/>
      <c r="U70" s="357"/>
      <c r="V70" s="358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9"/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60"/>
      <c r="P71" s="356" t="s">
        <v>40</v>
      </c>
      <c r="Q71" s="357"/>
      <c r="R71" s="357"/>
      <c r="S71" s="357"/>
      <c r="T71" s="357"/>
      <c r="U71" s="357"/>
      <c r="V71" s="358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6" t="s">
        <v>151</v>
      </c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7">
        <v>4607111039705</v>
      </c>
      <c r="E73" s="347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9"/>
      <c r="R73" s="349"/>
      <c r="S73" s="349"/>
      <c r="T73" s="350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7">
        <v>4607111039729</v>
      </c>
      <c r="E74" s="347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9"/>
      <c r="R74" s="349"/>
      <c r="S74" s="349"/>
      <c r="T74" s="350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7">
        <v>4620207490228</v>
      </c>
      <c r="E75" s="347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9"/>
      <c r="R75" s="349"/>
      <c r="S75" s="349"/>
      <c r="T75" s="350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9"/>
      <c r="B76" s="359"/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60"/>
      <c r="P76" s="356" t="s">
        <v>40</v>
      </c>
      <c r="Q76" s="357"/>
      <c r="R76" s="357"/>
      <c r="S76" s="357"/>
      <c r="T76" s="357"/>
      <c r="U76" s="357"/>
      <c r="V76" s="358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9"/>
      <c r="B77" s="359"/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60"/>
      <c r="P77" s="356" t="s">
        <v>40</v>
      </c>
      <c r="Q77" s="357"/>
      <c r="R77" s="357"/>
      <c r="S77" s="357"/>
      <c r="T77" s="357"/>
      <c r="U77" s="357"/>
      <c r="V77" s="358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5" t="s">
        <v>159</v>
      </c>
      <c r="B78" s="345"/>
      <c r="C78" s="345"/>
      <c r="D78" s="34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65"/>
      <c r="AB78" s="65"/>
      <c r="AC78" s="82"/>
    </row>
    <row r="79" spans="1:68" ht="14.25" customHeight="1" x14ac:dyDescent="0.25">
      <c r="A79" s="346" t="s">
        <v>82</v>
      </c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  <c r="Y79" s="346"/>
      <c r="Z79" s="346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7">
        <v>4607111037411</v>
      </c>
      <c r="E80" s="347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9"/>
      <c r="R80" s="349"/>
      <c r="S80" s="349"/>
      <c r="T80" s="350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7">
        <v>4607111036728</v>
      </c>
      <c r="E81" s="347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166</v>
      </c>
      <c r="M81" s="38" t="s">
        <v>86</v>
      </c>
      <c r="N81" s="38"/>
      <c r="O81" s="37">
        <v>180</v>
      </c>
      <c r="P81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9"/>
      <c r="R81" s="349"/>
      <c r="S81" s="349"/>
      <c r="T81" s="350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167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9"/>
      <c r="B82" s="359"/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60"/>
      <c r="P82" s="356" t="s">
        <v>40</v>
      </c>
      <c r="Q82" s="357"/>
      <c r="R82" s="357"/>
      <c r="S82" s="357"/>
      <c r="T82" s="357"/>
      <c r="U82" s="357"/>
      <c r="V82" s="35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9"/>
      <c r="B83" s="359"/>
      <c r="C83" s="359"/>
      <c r="D83" s="359"/>
      <c r="E83" s="359"/>
      <c r="F83" s="359"/>
      <c r="G83" s="359"/>
      <c r="H83" s="359"/>
      <c r="I83" s="359"/>
      <c r="J83" s="359"/>
      <c r="K83" s="359"/>
      <c r="L83" s="359"/>
      <c r="M83" s="359"/>
      <c r="N83" s="359"/>
      <c r="O83" s="360"/>
      <c r="P83" s="356" t="s">
        <v>40</v>
      </c>
      <c r="Q83" s="357"/>
      <c r="R83" s="357"/>
      <c r="S83" s="357"/>
      <c r="T83" s="357"/>
      <c r="U83" s="357"/>
      <c r="V83" s="35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5" t="s">
        <v>168</v>
      </c>
      <c r="B84" s="345"/>
      <c r="C84" s="345"/>
      <c r="D84" s="345"/>
      <c r="E84" s="345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65"/>
      <c r="AB84" s="65"/>
      <c r="AC84" s="82"/>
    </row>
    <row r="85" spans="1:68" ht="14.25" customHeight="1" x14ac:dyDescent="0.25">
      <c r="A85" s="346" t="s">
        <v>151</v>
      </c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  <c r="Y85" s="346"/>
      <c r="Z85" s="346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7">
        <v>4607111033659</v>
      </c>
      <c r="E86" s="347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9"/>
      <c r="R86" s="349"/>
      <c r="S86" s="349"/>
      <c r="T86" s="350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9"/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60"/>
      <c r="P87" s="356" t="s">
        <v>40</v>
      </c>
      <c r="Q87" s="357"/>
      <c r="R87" s="357"/>
      <c r="S87" s="357"/>
      <c r="T87" s="357"/>
      <c r="U87" s="357"/>
      <c r="V87" s="358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9"/>
      <c r="B88" s="359"/>
      <c r="C88" s="359"/>
      <c r="D88" s="359"/>
      <c r="E88" s="359"/>
      <c r="F88" s="359"/>
      <c r="G88" s="359"/>
      <c r="H88" s="359"/>
      <c r="I88" s="359"/>
      <c r="J88" s="359"/>
      <c r="K88" s="359"/>
      <c r="L88" s="359"/>
      <c r="M88" s="359"/>
      <c r="N88" s="359"/>
      <c r="O88" s="360"/>
      <c r="P88" s="356" t="s">
        <v>40</v>
      </c>
      <c r="Q88" s="357"/>
      <c r="R88" s="357"/>
      <c r="S88" s="357"/>
      <c r="T88" s="357"/>
      <c r="U88" s="357"/>
      <c r="V88" s="358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5" t="s">
        <v>172</v>
      </c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L89" s="345"/>
      <c r="M89" s="345"/>
      <c r="N89" s="345"/>
      <c r="O89" s="345"/>
      <c r="P89" s="345"/>
      <c r="Q89" s="345"/>
      <c r="R89" s="345"/>
      <c r="S89" s="345"/>
      <c r="T89" s="345"/>
      <c r="U89" s="345"/>
      <c r="V89" s="345"/>
      <c r="W89" s="345"/>
      <c r="X89" s="345"/>
      <c r="Y89" s="345"/>
      <c r="Z89" s="345"/>
      <c r="AA89" s="65"/>
      <c r="AB89" s="65"/>
      <c r="AC89" s="82"/>
    </row>
    <row r="90" spans="1:68" ht="14.25" customHeight="1" x14ac:dyDescent="0.25">
      <c r="A90" s="346" t="s">
        <v>173</v>
      </c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  <c r="Y90" s="346"/>
      <c r="Z90" s="346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7">
        <v>4607111034120</v>
      </c>
      <c r="E91" s="347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9"/>
      <c r="R91" s="349"/>
      <c r="S91" s="349"/>
      <c r="T91" s="350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7">
        <v>4607111034137</v>
      </c>
      <c r="E92" s="347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88</v>
      </c>
      <c r="M92" s="38" t="s">
        <v>86</v>
      </c>
      <c r="N92" s="38"/>
      <c r="O92" s="37">
        <v>180</v>
      </c>
      <c r="P92" s="38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9"/>
      <c r="R92" s="349"/>
      <c r="S92" s="349"/>
      <c r="T92" s="350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89</v>
      </c>
      <c r="AK92" s="87">
        <v>1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9"/>
      <c r="B93" s="359"/>
      <c r="C93" s="359"/>
      <c r="D93" s="359"/>
      <c r="E93" s="359"/>
      <c r="F93" s="359"/>
      <c r="G93" s="359"/>
      <c r="H93" s="359"/>
      <c r="I93" s="359"/>
      <c r="J93" s="359"/>
      <c r="K93" s="359"/>
      <c r="L93" s="359"/>
      <c r="M93" s="359"/>
      <c r="N93" s="359"/>
      <c r="O93" s="360"/>
      <c r="P93" s="356" t="s">
        <v>40</v>
      </c>
      <c r="Q93" s="357"/>
      <c r="R93" s="357"/>
      <c r="S93" s="357"/>
      <c r="T93" s="357"/>
      <c r="U93" s="357"/>
      <c r="V93" s="358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9"/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60"/>
      <c r="P94" s="356" t="s">
        <v>40</v>
      </c>
      <c r="Q94" s="357"/>
      <c r="R94" s="357"/>
      <c r="S94" s="357"/>
      <c r="T94" s="357"/>
      <c r="U94" s="357"/>
      <c r="V94" s="358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5" t="s">
        <v>180</v>
      </c>
      <c r="B95" s="345"/>
      <c r="C95" s="345"/>
      <c r="D95" s="345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  <c r="P95" s="345"/>
      <c r="Q95" s="345"/>
      <c r="R95" s="345"/>
      <c r="S95" s="345"/>
      <c r="T95" s="345"/>
      <c r="U95" s="345"/>
      <c r="V95" s="345"/>
      <c r="W95" s="345"/>
      <c r="X95" s="345"/>
      <c r="Y95" s="345"/>
      <c r="Z95" s="345"/>
      <c r="AA95" s="65"/>
      <c r="AB95" s="65"/>
      <c r="AC95" s="82"/>
    </row>
    <row r="96" spans="1:68" ht="14.25" customHeight="1" x14ac:dyDescent="0.25">
      <c r="A96" s="346" t="s">
        <v>151</v>
      </c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  <c r="Y96" s="346"/>
      <c r="Z96" s="346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7">
        <v>4620207491027</v>
      </c>
      <c r="E97" s="34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8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9"/>
      <c r="R97" s="349"/>
      <c r="S97" s="349"/>
      <c r="T97" s="350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7">
        <v>4620207491003</v>
      </c>
      <c r="E98" s="347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88</v>
      </c>
      <c r="M98" s="38" t="s">
        <v>86</v>
      </c>
      <c r="N98" s="38"/>
      <c r="O98" s="37">
        <v>180</v>
      </c>
      <c r="P98" s="38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9"/>
      <c r="R98" s="349"/>
      <c r="S98" s="349"/>
      <c r="T98" s="350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89</v>
      </c>
      <c r="AK98" s="87">
        <v>1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7">
        <v>4620207491034</v>
      </c>
      <c r="E99" s="347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9"/>
      <c r="R99" s="349"/>
      <c r="S99" s="349"/>
      <c r="T99" s="350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7">
        <v>4620207491010</v>
      </c>
      <c r="E100" s="347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88</v>
      </c>
      <c r="M100" s="38" t="s">
        <v>86</v>
      </c>
      <c r="N100" s="38"/>
      <c r="O100" s="37">
        <v>180</v>
      </c>
      <c r="P100" s="38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9"/>
      <c r="R100" s="349"/>
      <c r="S100" s="349"/>
      <c r="T100" s="350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89</v>
      </c>
      <c r="AK100" s="87">
        <v>1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7">
        <v>4607111035028</v>
      </c>
      <c r="E101" s="347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9"/>
      <c r="R101" s="349"/>
      <c r="S101" s="349"/>
      <c r="T101" s="350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7">
        <v>4607111036407</v>
      </c>
      <c r="E102" s="347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9"/>
      <c r="R102" s="349"/>
      <c r="S102" s="349"/>
      <c r="T102" s="350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9"/>
      <c r="B103" s="359"/>
      <c r="C103" s="359"/>
      <c r="D103" s="359"/>
      <c r="E103" s="359"/>
      <c r="F103" s="359"/>
      <c r="G103" s="359"/>
      <c r="H103" s="359"/>
      <c r="I103" s="359"/>
      <c r="J103" s="359"/>
      <c r="K103" s="359"/>
      <c r="L103" s="359"/>
      <c r="M103" s="359"/>
      <c r="N103" s="359"/>
      <c r="O103" s="360"/>
      <c r="P103" s="356" t="s">
        <v>40</v>
      </c>
      <c r="Q103" s="357"/>
      <c r="R103" s="357"/>
      <c r="S103" s="357"/>
      <c r="T103" s="357"/>
      <c r="U103" s="357"/>
      <c r="V103" s="358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9"/>
      <c r="B104" s="359"/>
      <c r="C104" s="359"/>
      <c r="D104" s="359"/>
      <c r="E104" s="359"/>
      <c r="F104" s="359"/>
      <c r="G104" s="359"/>
      <c r="H104" s="359"/>
      <c r="I104" s="359"/>
      <c r="J104" s="359"/>
      <c r="K104" s="359"/>
      <c r="L104" s="359"/>
      <c r="M104" s="359"/>
      <c r="N104" s="359"/>
      <c r="O104" s="360"/>
      <c r="P104" s="356" t="s">
        <v>40</v>
      </c>
      <c r="Q104" s="357"/>
      <c r="R104" s="357"/>
      <c r="S104" s="357"/>
      <c r="T104" s="357"/>
      <c r="U104" s="357"/>
      <c r="V104" s="358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5" t="s">
        <v>195</v>
      </c>
      <c r="B105" s="345"/>
      <c r="C105" s="345"/>
      <c r="D105" s="345"/>
      <c r="E105" s="345"/>
      <c r="F105" s="345"/>
      <c r="G105" s="345"/>
      <c r="H105" s="345"/>
      <c r="I105" s="345"/>
      <c r="J105" s="345"/>
      <c r="K105" s="345"/>
      <c r="L105" s="345"/>
      <c r="M105" s="345"/>
      <c r="N105" s="345"/>
      <c r="O105" s="345"/>
      <c r="P105" s="345"/>
      <c r="Q105" s="345"/>
      <c r="R105" s="345"/>
      <c r="S105" s="345"/>
      <c r="T105" s="345"/>
      <c r="U105" s="345"/>
      <c r="V105" s="345"/>
      <c r="W105" s="345"/>
      <c r="X105" s="345"/>
      <c r="Y105" s="345"/>
      <c r="Z105" s="345"/>
      <c r="AA105" s="65"/>
      <c r="AB105" s="65"/>
      <c r="AC105" s="82"/>
    </row>
    <row r="106" spans="1:68" ht="14.25" customHeight="1" x14ac:dyDescent="0.25">
      <c r="A106" s="346" t="s">
        <v>145</v>
      </c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  <c r="Y106" s="346"/>
      <c r="Z106" s="346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7">
        <v>4607025784012</v>
      </c>
      <c r="E107" s="347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9"/>
      <c r="R107" s="349"/>
      <c r="S107" s="349"/>
      <c r="T107" s="350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7">
        <v>4607025784319</v>
      </c>
      <c r="E108" s="347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9"/>
      <c r="R108" s="349"/>
      <c r="S108" s="349"/>
      <c r="T108" s="350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9"/>
      <c r="B109" s="359"/>
      <c r="C109" s="359"/>
      <c r="D109" s="359"/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60"/>
      <c r="P109" s="356" t="s">
        <v>40</v>
      </c>
      <c r="Q109" s="357"/>
      <c r="R109" s="357"/>
      <c r="S109" s="357"/>
      <c r="T109" s="357"/>
      <c r="U109" s="357"/>
      <c r="V109" s="358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9"/>
      <c r="B110" s="359"/>
      <c r="C110" s="359"/>
      <c r="D110" s="359"/>
      <c r="E110" s="359"/>
      <c r="F110" s="359"/>
      <c r="G110" s="359"/>
      <c r="H110" s="359"/>
      <c r="I110" s="359"/>
      <c r="J110" s="359"/>
      <c r="K110" s="359"/>
      <c r="L110" s="359"/>
      <c r="M110" s="359"/>
      <c r="N110" s="359"/>
      <c r="O110" s="360"/>
      <c r="P110" s="356" t="s">
        <v>40</v>
      </c>
      <c r="Q110" s="357"/>
      <c r="R110" s="357"/>
      <c r="S110" s="357"/>
      <c r="T110" s="357"/>
      <c r="U110" s="357"/>
      <c r="V110" s="358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5" t="s">
        <v>201</v>
      </c>
      <c r="B111" s="345"/>
      <c r="C111" s="345"/>
      <c r="D111" s="345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  <c r="P111" s="345"/>
      <c r="Q111" s="345"/>
      <c r="R111" s="345"/>
      <c r="S111" s="345"/>
      <c r="T111" s="345"/>
      <c r="U111" s="345"/>
      <c r="V111" s="345"/>
      <c r="W111" s="345"/>
      <c r="X111" s="345"/>
      <c r="Y111" s="345"/>
      <c r="Z111" s="345"/>
      <c r="AA111" s="65"/>
      <c r="AB111" s="65"/>
      <c r="AC111" s="82"/>
    </row>
    <row r="112" spans="1:68" ht="14.25" customHeight="1" x14ac:dyDescent="0.25">
      <c r="A112" s="346" t="s">
        <v>82</v>
      </c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  <c r="Y112" s="346"/>
      <c r="Z112" s="346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7">
        <v>4620207491157</v>
      </c>
      <c r="E113" s="347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9"/>
      <c r="R113" s="349"/>
      <c r="S113" s="349"/>
      <c r="T113" s="35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89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7">
        <v>4620207491393</v>
      </c>
      <c r="E114" s="347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9"/>
      <c r="R114" s="349"/>
      <c r="S114" s="349"/>
      <c r="T114" s="350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7">
        <v>4607111039262</v>
      </c>
      <c r="E115" s="347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9"/>
      <c r="R115" s="349"/>
      <c r="S115" s="349"/>
      <c r="T115" s="35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7">
        <v>4607111039248</v>
      </c>
      <c r="E116" s="347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166</v>
      </c>
      <c r="M116" s="38" t="s">
        <v>86</v>
      </c>
      <c r="N116" s="38"/>
      <c r="O116" s="37">
        <v>180</v>
      </c>
      <c r="P116" s="3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9"/>
      <c r="R116" s="349"/>
      <c r="S116" s="349"/>
      <c r="T116" s="35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167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7">
        <v>4607111037145</v>
      </c>
      <c r="E117" s="347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9"/>
      <c r="R117" s="349"/>
      <c r="S117" s="349"/>
      <c r="T117" s="35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7">
        <v>4607111039293</v>
      </c>
      <c r="E118" s="347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9"/>
      <c r="R118" s="349"/>
      <c r="S118" s="349"/>
      <c r="T118" s="350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7">
        <v>4607111039279</v>
      </c>
      <c r="E119" s="347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9"/>
      <c r="R119" s="349"/>
      <c r="S119" s="349"/>
      <c r="T119" s="350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47">
        <v>4620207491102</v>
      </c>
      <c r="E120" s="347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39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49"/>
      <c r="R120" s="349"/>
      <c r="S120" s="349"/>
      <c r="T120" s="350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59"/>
      <c r="B121" s="359"/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60"/>
      <c r="P121" s="356" t="s">
        <v>40</v>
      </c>
      <c r="Q121" s="357"/>
      <c r="R121" s="357"/>
      <c r="S121" s="357"/>
      <c r="T121" s="357"/>
      <c r="U121" s="357"/>
      <c r="V121" s="358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59"/>
      <c r="B122" s="359"/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60"/>
      <c r="P122" s="356" t="s">
        <v>40</v>
      </c>
      <c r="Q122" s="357"/>
      <c r="R122" s="357"/>
      <c r="S122" s="357"/>
      <c r="T122" s="357"/>
      <c r="U122" s="357"/>
      <c r="V122" s="358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6" t="s">
        <v>151</v>
      </c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  <c r="Y123" s="346"/>
      <c r="Z123" s="346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47">
        <v>4620207490983</v>
      </c>
      <c r="E124" s="347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9"/>
      <c r="R124" s="349"/>
      <c r="S124" s="349"/>
      <c r="T124" s="350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9"/>
      <c r="B125" s="359"/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60"/>
      <c r="P125" s="356" t="s">
        <v>40</v>
      </c>
      <c r="Q125" s="357"/>
      <c r="R125" s="357"/>
      <c r="S125" s="357"/>
      <c r="T125" s="357"/>
      <c r="U125" s="357"/>
      <c r="V125" s="358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59"/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60"/>
      <c r="P126" s="356" t="s">
        <v>40</v>
      </c>
      <c r="Q126" s="357"/>
      <c r="R126" s="357"/>
      <c r="S126" s="357"/>
      <c r="T126" s="357"/>
      <c r="U126" s="357"/>
      <c r="V126" s="358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6" t="s">
        <v>225</v>
      </c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  <c r="Y127" s="346"/>
      <c r="Z127" s="346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7">
        <v>4620207491140</v>
      </c>
      <c r="E128" s="347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9"/>
      <c r="R128" s="349"/>
      <c r="S128" s="349"/>
      <c r="T128" s="350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9"/>
      <c r="B129" s="359"/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60"/>
      <c r="P129" s="356" t="s">
        <v>40</v>
      </c>
      <c r="Q129" s="357"/>
      <c r="R129" s="357"/>
      <c r="S129" s="357"/>
      <c r="T129" s="357"/>
      <c r="U129" s="357"/>
      <c r="V129" s="358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9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60"/>
      <c r="P130" s="356" t="s">
        <v>40</v>
      </c>
      <c r="Q130" s="357"/>
      <c r="R130" s="357"/>
      <c r="S130" s="357"/>
      <c r="T130" s="357"/>
      <c r="U130" s="357"/>
      <c r="V130" s="358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5" t="s">
        <v>229</v>
      </c>
      <c r="B131" s="345"/>
      <c r="C131" s="345"/>
      <c r="D131" s="345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  <c r="P131" s="345"/>
      <c r="Q131" s="345"/>
      <c r="R131" s="345"/>
      <c r="S131" s="345"/>
      <c r="T131" s="345"/>
      <c r="U131" s="345"/>
      <c r="V131" s="345"/>
      <c r="W131" s="345"/>
      <c r="X131" s="345"/>
      <c r="Y131" s="345"/>
      <c r="Z131" s="345"/>
      <c r="AA131" s="65"/>
      <c r="AB131" s="65"/>
      <c r="AC131" s="82"/>
    </row>
    <row r="132" spans="1:68" ht="14.25" customHeight="1" x14ac:dyDescent="0.25">
      <c r="A132" s="346" t="s">
        <v>151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7">
        <v>4607111034014</v>
      </c>
      <c r="E133" s="347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9"/>
      <c r="R133" s="349"/>
      <c r="S133" s="349"/>
      <c r="T133" s="350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7">
        <v>4607111033994</v>
      </c>
      <c r="E134" s="347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9"/>
      <c r="R134" s="349"/>
      <c r="S134" s="349"/>
      <c r="T134" s="350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9"/>
      <c r="B135" s="359"/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60"/>
      <c r="P135" s="356" t="s">
        <v>40</v>
      </c>
      <c r="Q135" s="357"/>
      <c r="R135" s="357"/>
      <c r="S135" s="357"/>
      <c r="T135" s="357"/>
      <c r="U135" s="357"/>
      <c r="V135" s="358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9"/>
      <c r="B136" s="359"/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60"/>
      <c r="P136" s="356" t="s">
        <v>40</v>
      </c>
      <c r="Q136" s="357"/>
      <c r="R136" s="357"/>
      <c r="S136" s="357"/>
      <c r="T136" s="357"/>
      <c r="U136" s="357"/>
      <c r="V136" s="358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5" t="s">
        <v>235</v>
      </c>
      <c r="B137" s="345"/>
      <c r="C137" s="345"/>
      <c r="D137" s="345"/>
      <c r="E137" s="345"/>
      <c r="F137" s="345"/>
      <c r="G137" s="345"/>
      <c r="H137" s="345"/>
      <c r="I137" s="345"/>
      <c r="J137" s="345"/>
      <c r="K137" s="345"/>
      <c r="L137" s="345"/>
      <c r="M137" s="345"/>
      <c r="N137" s="345"/>
      <c r="O137" s="345"/>
      <c r="P137" s="345"/>
      <c r="Q137" s="345"/>
      <c r="R137" s="345"/>
      <c r="S137" s="345"/>
      <c r="T137" s="345"/>
      <c r="U137" s="345"/>
      <c r="V137" s="345"/>
      <c r="W137" s="345"/>
      <c r="X137" s="345"/>
      <c r="Y137" s="345"/>
      <c r="Z137" s="345"/>
      <c r="AA137" s="65"/>
      <c r="AB137" s="65"/>
      <c r="AC137" s="82"/>
    </row>
    <row r="138" spans="1:68" ht="14.25" customHeight="1" x14ac:dyDescent="0.25">
      <c r="A138" s="346" t="s">
        <v>151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7">
        <v>4607111039095</v>
      </c>
      <c r="E139" s="347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9"/>
      <c r="R139" s="349"/>
      <c r="S139" s="349"/>
      <c r="T139" s="350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7">
        <v>4607111034199</v>
      </c>
      <c r="E140" s="347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166</v>
      </c>
      <c r="M140" s="38" t="s">
        <v>86</v>
      </c>
      <c r="N140" s="38"/>
      <c r="O140" s="37">
        <v>180</v>
      </c>
      <c r="P140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9"/>
      <c r="R140" s="349"/>
      <c r="S140" s="349"/>
      <c r="T140" s="350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167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9"/>
      <c r="B141" s="359"/>
      <c r="C141" s="359"/>
      <c r="D141" s="359"/>
      <c r="E141" s="359"/>
      <c r="F141" s="359"/>
      <c r="G141" s="359"/>
      <c r="H141" s="359"/>
      <c r="I141" s="359"/>
      <c r="J141" s="359"/>
      <c r="K141" s="359"/>
      <c r="L141" s="359"/>
      <c r="M141" s="359"/>
      <c r="N141" s="359"/>
      <c r="O141" s="360"/>
      <c r="P141" s="356" t="s">
        <v>40</v>
      </c>
      <c r="Q141" s="357"/>
      <c r="R141" s="357"/>
      <c r="S141" s="357"/>
      <c r="T141" s="357"/>
      <c r="U141" s="357"/>
      <c r="V141" s="358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9"/>
      <c r="B142" s="359"/>
      <c r="C142" s="359"/>
      <c r="D142" s="359"/>
      <c r="E142" s="359"/>
      <c r="F142" s="359"/>
      <c r="G142" s="359"/>
      <c r="H142" s="359"/>
      <c r="I142" s="359"/>
      <c r="J142" s="359"/>
      <c r="K142" s="359"/>
      <c r="L142" s="359"/>
      <c r="M142" s="359"/>
      <c r="N142" s="359"/>
      <c r="O142" s="360"/>
      <c r="P142" s="356" t="s">
        <v>40</v>
      </c>
      <c r="Q142" s="357"/>
      <c r="R142" s="357"/>
      <c r="S142" s="357"/>
      <c r="T142" s="357"/>
      <c r="U142" s="357"/>
      <c r="V142" s="358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5" t="s">
        <v>242</v>
      </c>
      <c r="B143" s="345"/>
      <c r="C143" s="345"/>
      <c r="D143" s="345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/>
      <c r="Q143" s="345"/>
      <c r="R143" s="345"/>
      <c r="S143" s="345"/>
      <c r="T143" s="345"/>
      <c r="U143" s="345"/>
      <c r="V143" s="345"/>
      <c r="W143" s="345"/>
      <c r="X143" s="345"/>
      <c r="Y143" s="345"/>
      <c r="Z143" s="345"/>
      <c r="AA143" s="65"/>
      <c r="AB143" s="65"/>
      <c r="AC143" s="82"/>
    </row>
    <row r="144" spans="1:68" ht="14.25" customHeight="1" x14ac:dyDescent="0.25">
      <c r="A144" s="346" t="s">
        <v>151</v>
      </c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  <c r="Y144" s="346"/>
      <c r="Z144" s="346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7">
        <v>4620207490914</v>
      </c>
      <c r="E145" s="347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9"/>
      <c r="R145" s="349"/>
      <c r="S145" s="349"/>
      <c r="T145" s="350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7">
        <v>4620207490853</v>
      </c>
      <c r="E146" s="347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9"/>
      <c r="R146" s="349"/>
      <c r="S146" s="349"/>
      <c r="T146" s="350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9"/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60"/>
      <c r="P147" s="356" t="s">
        <v>40</v>
      </c>
      <c r="Q147" s="357"/>
      <c r="R147" s="357"/>
      <c r="S147" s="357"/>
      <c r="T147" s="357"/>
      <c r="U147" s="357"/>
      <c r="V147" s="358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9"/>
      <c r="B148" s="359"/>
      <c r="C148" s="359"/>
      <c r="D148" s="359"/>
      <c r="E148" s="359"/>
      <c r="F148" s="359"/>
      <c r="G148" s="359"/>
      <c r="H148" s="359"/>
      <c r="I148" s="359"/>
      <c r="J148" s="359"/>
      <c r="K148" s="359"/>
      <c r="L148" s="359"/>
      <c r="M148" s="359"/>
      <c r="N148" s="359"/>
      <c r="O148" s="360"/>
      <c r="P148" s="356" t="s">
        <v>40</v>
      </c>
      <c r="Q148" s="357"/>
      <c r="R148" s="357"/>
      <c r="S148" s="357"/>
      <c r="T148" s="357"/>
      <c r="U148" s="357"/>
      <c r="V148" s="358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5" t="s">
        <v>247</v>
      </c>
      <c r="B149" s="345"/>
      <c r="C149" s="345"/>
      <c r="D149" s="345"/>
      <c r="E149" s="345"/>
      <c r="F149" s="345"/>
      <c r="G149" s="345"/>
      <c r="H149" s="345"/>
      <c r="I149" s="345"/>
      <c r="J149" s="345"/>
      <c r="K149" s="345"/>
      <c r="L149" s="345"/>
      <c r="M149" s="345"/>
      <c r="N149" s="345"/>
      <c r="O149" s="345"/>
      <c r="P149" s="345"/>
      <c r="Q149" s="345"/>
      <c r="R149" s="345"/>
      <c r="S149" s="345"/>
      <c r="T149" s="345"/>
      <c r="U149" s="345"/>
      <c r="V149" s="345"/>
      <c r="W149" s="345"/>
      <c r="X149" s="345"/>
      <c r="Y149" s="345"/>
      <c r="Z149" s="345"/>
      <c r="AA149" s="65"/>
      <c r="AB149" s="65"/>
      <c r="AC149" s="82"/>
    </row>
    <row r="150" spans="1:68" ht="14.25" customHeight="1" x14ac:dyDescent="0.25">
      <c r="A150" s="346" t="s">
        <v>151</v>
      </c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  <c r="Y150" s="346"/>
      <c r="Z150" s="346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7">
        <v>4607111035806</v>
      </c>
      <c r="E151" s="347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88</v>
      </c>
      <c r="M151" s="38" t="s">
        <v>86</v>
      </c>
      <c r="N151" s="38"/>
      <c r="O151" s="37">
        <v>180</v>
      </c>
      <c r="P151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9"/>
      <c r="R151" s="349"/>
      <c r="S151" s="349"/>
      <c r="T151" s="350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89</v>
      </c>
      <c r="AK151" s="87">
        <v>1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9"/>
      <c r="B152" s="359"/>
      <c r="C152" s="359"/>
      <c r="D152" s="359"/>
      <c r="E152" s="359"/>
      <c r="F152" s="359"/>
      <c r="G152" s="359"/>
      <c r="H152" s="359"/>
      <c r="I152" s="359"/>
      <c r="J152" s="359"/>
      <c r="K152" s="359"/>
      <c r="L152" s="359"/>
      <c r="M152" s="359"/>
      <c r="N152" s="359"/>
      <c r="O152" s="360"/>
      <c r="P152" s="356" t="s">
        <v>40</v>
      </c>
      <c r="Q152" s="357"/>
      <c r="R152" s="357"/>
      <c r="S152" s="357"/>
      <c r="T152" s="357"/>
      <c r="U152" s="357"/>
      <c r="V152" s="358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9"/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60"/>
      <c r="P153" s="356" t="s">
        <v>40</v>
      </c>
      <c r="Q153" s="357"/>
      <c r="R153" s="357"/>
      <c r="S153" s="357"/>
      <c r="T153" s="357"/>
      <c r="U153" s="357"/>
      <c r="V153" s="358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5" t="s">
        <v>251</v>
      </c>
      <c r="B154" s="345"/>
      <c r="C154" s="345"/>
      <c r="D154" s="345"/>
      <c r="E154" s="345"/>
      <c r="F154" s="345"/>
      <c r="G154" s="345"/>
      <c r="H154" s="345"/>
      <c r="I154" s="345"/>
      <c r="J154" s="345"/>
      <c r="K154" s="345"/>
      <c r="L154" s="345"/>
      <c r="M154" s="345"/>
      <c r="N154" s="345"/>
      <c r="O154" s="345"/>
      <c r="P154" s="345"/>
      <c r="Q154" s="345"/>
      <c r="R154" s="345"/>
      <c r="S154" s="345"/>
      <c r="T154" s="345"/>
      <c r="U154" s="345"/>
      <c r="V154" s="345"/>
      <c r="W154" s="345"/>
      <c r="X154" s="345"/>
      <c r="Y154" s="345"/>
      <c r="Z154" s="345"/>
      <c r="AA154" s="65"/>
      <c r="AB154" s="65"/>
      <c r="AC154" s="82"/>
    </row>
    <row r="155" spans="1:68" ht="14.25" customHeight="1" x14ac:dyDescent="0.25">
      <c r="A155" s="346" t="s">
        <v>151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  <c r="Y155" s="346"/>
      <c r="Z155" s="346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7">
        <v>4607111039613</v>
      </c>
      <c r="E156" s="347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88</v>
      </c>
      <c r="M156" s="38" t="s">
        <v>86</v>
      </c>
      <c r="N156" s="38"/>
      <c r="O156" s="37">
        <v>180</v>
      </c>
      <c r="P156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9"/>
      <c r="R156" s="349"/>
      <c r="S156" s="349"/>
      <c r="T156" s="350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89</v>
      </c>
      <c r="AK156" s="87">
        <v>1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9"/>
      <c r="B157" s="359"/>
      <c r="C157" s="359"/>
      <c r="D157" s="359"/>
      <c r="E157" s="359"/>
      <c r="F157" s="359"/>
      <c r="G157" s="359"/>
      <c r="H157" s="359"/>
      <c r="I157" s="359"/>
      <c r="J157" s="359"/>
      <c r="K157" s="359"/>
      <c r="L157" s="359"/>
      <c r="M157" s="359"/>
      <c r="N157" s="359"/>
      <c r="O157" s="360"/>
      <c r="P157" s="356" t="s">
        <v>40</v>
      </c>
      <c r="Q157" s="357"/>
      <c r="R157" s="357"/>
      <c r="S157" s="357"/>
      <c r="T157" s="357"/>
      <c r="U157" s="357"/>
      <c r="V157" s="358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9"/>
      <c r="B158" s="359"/>
      <c r="C158" s="359"/>
      <c r="D158" s="359"/>
      <c r="E158" s="359"/>
      <c r="F158" s="359"/>
      <c r="G158" s="359"/>
      <c r="H158" s="359"/>
      <c r="I158" s="359"/>
      <c r="J158" s="359"/>
      <c r="K158" s="359"/>
      <c r="L158" s="359"/>
      <c r="M158" s="359"/>
      <c r="N158" s="359"/>
      <c r="O158" s="360"/>
      <c r="P158" s="356" t="s">
        <v>40</v>
      </c>
      <c r="Q158" s="357"/>
      <c r="R158" s="357"/>
      <c r="S158" s="357"/>
      <c r="T158" s="357"/>
      <c r="U158" s="357"/>
      <c r="V158" s="358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5" t="s">
        <v>254</v>
      </c>
      <c r="B159" s="345"/>
      <c r="C159" s="345"/>
      <c r="D159" s="345"/>
      <c r="E159" s="345"/>
      <c r="F159" s="345"/>
      <c r="G159" s="345"/>
      <c r="H159" s="345"/>
      <c r="I159" s="345"/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65"/>
      <c r="AB159" s="65"/>
      <c r="AC159" s="82"/>
    </row>
    <row r="160" spans="1:68" ht="14.25" customHeight="1" x14ac:dyDescent="0.25">
      <c r="A160" s="346" t="s">
        <v>225</v>
      </c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  <c r="Y160" s="346"/>
      <c r="Z160" s="346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7">
        <v>4607111035646</v>
      </c>
      <c r="E161" s="347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9"/>
      <c r="R161" s="349"/>
      <c r="S161" s="349"/>
      <c r="T161" s="350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9"/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60"/>
      <c r="P162" s="356" t="s">
        <v>40</v>
      </c>
      <c r="Q162" s="357"/>
      <c r="R162" s="357"/>
      <c r="S162" s="357"/>
      <c r="T162" s="357"/>
      <c r="U162" s="357"/>
      <c r="V162" s="358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9"/>
      <c r="B163" s="359"/>
      <c r="C163" s="359"/>
      <c r="D163" s="359"/>
      <c r="E163" s="359"/>
      <c r="F163" s="359"/>
      <c r="G163" s="359"/>
      <c r="H163" s="359"/>
      <c r="I163" s="359"/>
      <c r="J163" s="359"/>
      <c r="K163" s="359"/>
      <c r="L163" s="359"/>
      <c r="M163" s="359"/>
      <c r="N163" s="359"/>
      <c r="O163" s="360"/>
      <c r="P163" s="356" t="s">
        <v>40</v>
      </c>
      <c r="Q163" s="357"/>
      <c r="R163" s="357"/>
      <c r="S163" s="357"/>
      <c r="T163" s="357"/>
      <c r="U163" s="357"/>
      <c r="V163" s="358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5" t="s">
        <v>259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65"/>
      <c r="AB164" s="65"/>
      <c r="AC164" s="82"/>
    </row>
    <row r="165" spans="1:68" ht="14.25" customHeight="1" x14ac:dyDescent="0.25">
      <c r="A165" s="346" t="s">
        <v>151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7">
        <v>4607111036568</v>
      </c>
      <c r="E166" s="347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9"/>
      <c r="R166" s="349"/>
      <c r="S166" s="349"/>
      <c r="T166" s="350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9"/>
      <c r="B167" s="359"/>
      <c r="C167" s="359"/>
      <c r="D167" s="359"/>
      <c r="E167" s="359"/>
      <c r="F167" s="359"/>
      <c r="G167" s="359"/>
      <c r="H167" s="359"/>
      <c r="I167" s="359"/>
      <c r="J167" s="359"/>
      <c r="K167" s="359"/>
      <c r="L167" s="359"/>
      <c r="M167" s="359"/>
      <c r="N167" s="359"/>
      <c r="O167" s="360"/>
      <c r="P167" s="356" t="s">
        <v>40</v>
      </c>
      <c r="Q167" s="357"/>
      <c r="R167" s="357"/>
      <c r="S167" s="357"/>
      <c r="T167" s="357"/>
      <c r="U167" s="357"/>
      <c r="V167" s="358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9"/>
      <c r="B168" s="359"/>
      <c r="C168" s="359"/>
      <c r="D168" s="359"/>
      <c r="E168" s="359"/>
      <c r="F168" s="359"/>
      <c r="G168" s="359"/>
      <c r="H168" s="359"/>
      <c r="I168" s="359"/>
      <c r="J168" s="359"/>
      <c r="K168" s="359"/>
      <c r="L168" s="359"/>
      <c r="M168" s="359"/>
      <c r="N168" s="359"/>
      <c r="O168" s="360"/>
      <c r="P168" s="356" t="s">
        <v>40</v>
      </c>
      <c r="Q168" s="357"/>
      <c r="R168" s="357"/>
      <c r="S168" s="357"/>
      <c r="T168" s="357"/>
      <c r="U168" s="357"/>
      <c r="V168" s="358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4" t="s">
        <v>263</v>
      </c>
      <c r="B169" s="344"/>
      <c r="C169" s="34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344"/>
      <c r="V169" s="344"/>
      <c r="W169" s="344"/>
      <c r="X169" s="344"/>
      <c r="Y169" s="344"/>
      <c r="Z169" s="344"/>
      <c r="AA169" s="54"/>
      <c r="AB169" s="54"/>
      <c r="AC169" s="54"/>
    </row>
    <row r="170" spans="1:68" ht="16.5" customHeight="1" x14ac:dyDescent="0.25">
      <c r="A170" s="345" t="s">
        <v>264</v>
      </c>
      <c r="B170" s="345"/>
      <c r="C170" s="345"/>
      <c r="D170" s="345"/>
      <c r="E170" s="345"/>
      <c r="F170" s="345"/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65"/>
      <c r="AB170" s="65"/>
      <c r="AC170" s="82"/>
    </row>
    <row r="171" spans="1:68" ht="14.25" customHeight="1" x14ac:dyDescent="0.25">
      <c r="A171" s="346" t="s">
        <v>82</v>
      </c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  <c r="Y171" s="346"/>
      <c r="Z171" s="346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7">
        <v>4607111036384</v>
      </c>
      <c r="E172" s="347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9"/>
      <c r="R172" s="349"/>
      <c r="S172" s="349"/>
      <c r="T172" s="350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7">
        <v>4607111036216</v>
      </c>
      <c r="E173" s="347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9"/>
      <c r="R173" s="349"/>
      <c r="S173" s="349"/>
      <c r="T173" s="350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9"/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60"/>
      <c r="P174" s="356" t="s">
        <v>40</v>
      </c>
      <c r="Q174" s="357"/>
      <c r="R174" s="357"/>
      <c r="S174" s="357"/>
      <c r="T174" s="357"/>
      <c r="U174" s="357"/>
      <c r="V174" s="358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9"/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60"/>
      <c r="P175" s="356" t="s">
        <v>40</v>
      </c>
      <c r="Q175" s="357"/>
      <c r="R175" s="357"/>
      <c r="S175" s="357"/>
      <c r="T175" s="357"/>
      <c r="U175" s="357"/>
      <c r="V175" s="358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4" t="s">
        <v>271</v>
      </c>
      <c r="B176" s="344"/>
      <c r="C176" s="34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54"/>
      <c r="AB176" s="54"/>
      <c r="AC176" s="54"/>
    </row>
    <row r="177" spans="1:68" ht="16.5" customHeight="1" x14ac:dyDescent="0.25">
      <c r="A177" s="345" t="s">
        <v>272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65"/>
      <c r="AB177" s="65"/>
      <c r="AC177" s="82"/>
    </row>
    <row r="178" spans="1:68" ht="14.25" customHeight="1" x14ac:dyDescent="0.25">
      <c r="A178" s="346" t="s">
        <v>107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7">
        <v>4607111035691</v>
      </c>
      <c r="E179" s="347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88</v>
      </c>
      <c r="M179" s="38" t="s">
        <v>86</v>
      </c>
      <c r="N179" s="38"/>
      <c r="O179" s="37">
        <v>365</v>
      </c>
      <c r="P179" s="41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9"/>
      <c r="R179" s="349"/>
      <c r="S179" s="349"/>
      <c r="T179" s="35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89</v>
      </c>
      <c r="AK179" s="87">
        <v>1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7">
        <v>4607111035721</v>
      </c>
      <c r="E180" s="347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88</v>
      </c>
      <c r="M180" s="38" t="s">
        <v>86</v>
      </c>
      <c r="N180" s="38"/>
      <c r="O180" s="37">
        <v>365</v>
      </c>
      <c r="P180" s="41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9"/>
      <c r="R180" s="349"/>
      <c r="S180" s="349"/>
      <c r="T180" s="350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89</v>
      </c>
      <c r="AK180" s="87">
        <v>1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7">
        <v>4607111038487</v>
      </c>
      <c r="E181" s="347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9"/>
      <c r="R181" s="349"/>
      <c r="S181" s="349"/>
      <c r="T181" s="350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59"/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60"/>
      <c r="P182" s="356" t="s">
        <v>40</v>
      </c>
      <c r="Q182" s="357"/>
      <c r="R182" s="357"/>
      <c r="S182" s="357"/>
      <c r="T182" s="357"/>
      <c r="U182" s="357"/>
      <c r="V182" s="358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59"/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60"/>
      <c r="P183" s="356" t="s">
        <v>40</v>
      </c>
      <c r="Q183" s="357"/>
      <c r="R183" s="357"/>
      <c r="S183" s="357"/>
      <c r="T183" s="357"/>
      <c r="U183" s="357"/>
      <c r="V183" s="358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6" t="s">
        <v>282</v>
      </c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7">
        <v>4680115885875</v>
      </c>
      <c r="E185" s="347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88</v>
      </c>
      <c r="M185" s="38" t="s">
        <v>288</v>
      </c>
      <c r="N185" s="38"/>
      <c r="O185" s="37">
        <v>365</v>
      </c>
      <c r="P185" s="417" t="s">
        <v>285</v>
      </c>
      <c r="Q185" s="349"/>
      <c r="R185" s="349"/>
      <c r="S185" s="349"/>
      <c r="T185" s="350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89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59"/>
      <c r="B186" s="359"/>
      <c r="C186" s="359"/>
      <c r="D186" s="359"/>
      <c r="E186" s="359"/>
      <c r="F186" s="359"/>
      <c r="G186" s="359"/>
      <c r="H186" s="359"/>
      <c r="I186" s="359"/>
      <c r="J186" s="359"/>
      <c r="K186" s="359"/>
      <c r="L186" s="359"/>
      <c r="M186" s="359"/>
      <c r="N186" s="359"/>
      <c r="O186" s="360"/>
      <c r="P186" s="356" t="s">
        <v>40</v>
      </c>
      <c r="Q186" s="357"/>
      <c r="R186" s="357"/>
      <c r="S186" s="357"/>
      <c r="T186" s="357"/>
      <c r="U186" s="357"/>
      <c r="V186" s="358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59"/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60"/>
      <c r="P187" s="356" t="s">
        <v>40</v>
      </c>
      <c r="Q187" s="357"/>
      <c r="R187" s="357"/>
      <c r="S187" s="357"/>
      <c r="T187" s="357"/>
      <c r="U187" s="357"/>
      <c r="V187" s="358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4" t="s">
        <v>290</v>
      </c>
      <c r="B188" s="344"/>
      <c r="C188" s="34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54"/>
      <c r="AB188" s="54"/>
      <c r="AC188" s="54"/>
    </row>
    <row r="189" spans="1:68" ht="16.5" customHeight="1" x14ac:dyDescent="0.25">
      <c r="A189" s="345" t="s">
        <v>291</v>
      </c>
      <c r="B189" s="345"/>
      <c r="C189" s="345"/>
      <c r="D189" s="345"/>
      <c r="E189" s="345"/>
      <c r="F189" s="345"/>
      <c r="G189" s="345"/>
      <c r="H189" s="345"/>
      <c r="I189" s="345"/>
      <c r="J189" s="345"/>
      <c r="K189" s="345"/>
      <c r="L189" s="345"/>
      <c r="M189" s="345"/>
      <c r="N189" s="345"/>
      <c r="O189" s="345"/>
      <c r="P189" s="345"/>
      <c r="Q189" s="345"/>
      <c r="R189" s="345"/>
      <c r="S189" s="345"/>
      <c r="T189" s="345"/>
      <c r="U189" s="345"/>
      <c r="V189" s="345"/>
      <c r="W189" s="345"/>
      <c r="X189" s="345"/>
      <c r="Y189" s="345"/>
      <c r="Z189" s="345"/>
      <c r="AA189" s="65"/>
      <c r="AB189" s="65"/>
      <c r="AC189" s="82"/>
    </row>
    <row r="190" spans="1:68" ht="14.25" customHeight="1" x14ac:dyDescent="0.25">
      <c r="A190" s="346" t="s">
        <v>107</v>
      </c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7">
        <v>4620207491133</v>
      </c>
      <c r="E191" s="347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112</v>
      </c>
      <c r="L191" s="37" t="s">
        <v>88</v>
      </c>
      <c r="M191" s="38" t="s">
        <v>86</v>
      </c>
      <c r="N191" s="38"/>
      <c r="O191" s="37">
        <v>180</v>
      </c>
      <c r="P191" s="41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49"/>
      <c r="R191" s="349"/>
      <c r="S191" s="349"/>
      <c r="T191" s="350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89</v>
      </c>
      <c r="AK191" s="87">
        <v>1</v>
      </c>
      <c r="BB191" s="216" t="s">
        <v>111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59"/>
      <c r="B192" s="359"/>
      <c r="C192" s="359"/>
      <c r="D192" s="359"/>
      <c r="E192" s="359"/>
      <c r="F192" s="359"/>
      <c r="G192" s="359"/>
      <c r="H192" s="359"/>
      <c r="I192" s="359"/>
      <c r="J192" s="359"/>
      <c r="K192" s="359"/>
      <c r="L192" s="359"/>
      <c r="M192" s="359"/>
      <c r="N192" s="359"/>
      <c r="O192" s="360"/>
      <c r="P192" s="356" t="s">
        <v>40</v>
      </c>
      <c r="Q192" s="357"/>
      <c r="R192" s="357"/>
      <c r="S192" s="357"/>
      <c r="T192" s="357"/>
      <c r="U192" s="357"/>
      <c r="V192" s="358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59"/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60"/>
      <c r="P193" s="356" t="s">
        <v>40</v>
      </c>
      <c r="Q193" s="357"/>
      <c r="R193" s="357"/>
      <c r="S193" s="357"/>
      <c r="T193" s="357"/>
      <c r="U193" s="357"/>
      <c r="V193" s="358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6" t="s">
        <v>151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7">
        <v>4620207491188</v>
      </c>
      <c r="E195" s="347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112</v>
      </c>
      <c r="L195" s="37" t="s">
        <v>88</v>
      </c>
      <c r="M195" s="38" t="s">
        <v>86</v>
      </c>
      <c r="N195" s="38"/>
      <c r="O195" s="37">
        <v>180</v>
      </c>
      <c r="P195" s="41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49"/>
      <c r="R195" s="349"/>
      <c r="S195" s="349"/>
      <c r="T195" s="350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89</v>
      </c>
      <c r="AK195" s="87">
        <v>1</v>
      </c>
      <c r="BB195" s="218" t="s">
        <v>111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7">
        <v>4620207490198</v>
      </c>
      <c r="E196" s="347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49"/>
      <c r="R196" s="349"/>
      <c r="S196" s="349"/>
      <c r="T196" s="350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7">
        <v>4620207490235</v>
      </c>
      <c r="E197" s="347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49"/>
      <c r="R197" s="349"/>
      <c r="S197" s="349"/>
      <c r="T197" s="350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7">
        <v>4620207490259</v>
      </c>
      <c r="E198" s="347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49"/>
      <c r="R198" s="349"/>
      <c r="S198" s="349"/>
      <c r="T198" s="350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7">
        <v>4620207490143</v>
      </c>
      <c r="E199" s="347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112</v>
      </c>
      <c r="L199" s="37" t="s">
        <v>88</v>
      </c>
      <c r="M199" s="38" t="s">
        <v>86</v>
      </c>
      <c r="N199" s="38"/>
      <c r="O199" s="37">
        <v>180</v>
      </c>
      <c r="P199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49"/>
      <c r="R199" s="349"/>
      <c r="S199" s="349"/>
      <c r="T199" s="350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89</v>
      </c>
      <c r="AK199" s="87">
        <v>1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59"/>
      <c r="B200" s="359"/>
      <c r="C200" s="359"/>
      <c r="D200" s="359"/>
      <c r="E200" s="359"/>
      <c r="F200" s="359"/>
      <c r="G200" s="359"/>
      <c r="H200" s="359"/>
      <c r="I200" s="359"/>
      <c r="J200" s="359"/>
      <c r="K200" s="359"/>
      <c r="L200" s="359"/>
      <c r="M200" s="359"/>
      <c r="N200" s="359"/>
      <c r="O200" s="360"/>
      <c r="P200" s="356" t="s">
        <v>40</v>
      </c>
      <c r="Q200" s="357"/>
      <c r="R200" s="357"/>
      <c r="S200" s="357"/>
      <c r="T200" s="357"/>
      <c r="U200" s="357"/>
      <c r="V200" s="358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59"/>
      <c r="B201" s="359"/>
      <c r="C201" s="359"/>
      <c r="D201" s="359"/>
      <c r="E201" s="359"/>
      <c r="F201" s="359"/>
      <c r="G201" s="359"/>
      <c r="H201" s="359"/>
      <c r="I201" s="359"/>
      <c r="J201" s="359"/>
      <c r="K201" s="359"/>
      <c r="L201" s="359"/>
      <c r="M201" s="359"/>
      <c r="N201" s="359"/>
      <c r="O201" s="360"/>
      <c r="P201" s="356" t="s">
        <v>40</v>
      </c>
      <c r="Q201" s="357"/>
      <c r="R201" s="357"/>
      <c r="S201" s="357"/>
      <c r="T201" s="357"/>
      <c r="U201" s="357"/>
      <c r="V201" s="358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5" t="s">
        <v>309</v>
      </c>
      <c r="B202" s="345"/>
      <c r="C202" s="345"/>
      <c r="D202" s="345"/>
      <c r="E202" s="345"/>
      <c r="F202" s="345"/>
      <c r="G202" s="345"/>
      <c r="H202" s="345"/>
      <c r="I202" s="345"/>
      <c r="J202" s="345"/>
      <c r="K202" s="345"/>
      <c r="L202" s="345"/>
      <c r="M202" s="345"/>
      <c r="N202" s="345"/>
      <c r="O202" s="345"/>
      <c r="P202" s="345"/>
      <c r="Q202" s="345"/>
      <c r="R202" s="345"/>
      <c r="S202" s="345"/>
      <c r="T202" s="345"/>
      <c r="U202" s="345"/>
      <c r="V202" s="345"/>
      <c r="W202" s="345"/>
      <c r="X202" s="345"/>
      <c r="Y202" s="345"/>
      <c r="Z202" s="345"/>
      <c r="AA202" s="65"/>
      <c r="AB202" s="65"/>
      <c r="AC202" s="82"/>
    </row>
    <row r="203" spans="1:68" ht="14.25" customHeight="1" x14ac:dyDescent="0.25">
      <c r="A203" s="346" t="s">
        <v>82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7">
        <v>4620207491096</v>
      </c>
      <c r="E204" s="347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87</v>
      </c>
      <c r="L204" s="37" t="s">
        <v>88</v>
      </c>
      <c r="M204" s="38" t="s">
        <v>86</v>
      </c>
      <c r="N204" s="38"/>
      <c r="O204" s="37">
        <v>180</v>
      </c>
      <c r="P204" s="4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49"/>
      <c r="R204" s="349"/>
      <c r="S204" s="349"/>
      <c r="T204" s="350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89</v>
      </c>
      <c r="AK204" s="87">
        <v>1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59"/>
      <c r="B205" s="359"/>
      <c r="C205" s="359"/>
      <c r="D205" s="359"/>
      <c r="E205" s="359"/>
      <c r="F205" s="359"/>
      <c r="G205" s="359"/>
      <c r="H205" s="359"/>
      <c r="I205" s="359"/>
      <c r="J205" s="359"/>
      <c r="K205" s="359"/>
      <c r="L205" s="359"/>
      <c r="M205" s="359"/>
      <c r="N205" s="359"/>
      <c r="O205" s="360"/>
      <c r="P205" s="356" t="s">
        <v>40</v>
      </c>
      <c r="Q205" s="357"/>
      <c r="R205" s="357"/>
      <c r="S205" s="357"/>
      <c r="T205" s="357"/>
      <c r="U205" s="357"/>
      <c r="V205" s="358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59"/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60"/>
      <c r="P206" s="356" t="s">
        <v>40</v>
      </c>
      <c r="Q206" s="357"/>
      <c r="R206" s="357"/>
      <c r="S206" s="357"/>
      <c r="T206" s="357"/>
      <c r="U206" s="357"/>
      <c r="V206" s="358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5" t="s">
        <v>313</v>
      </c>
      <c r="B207" s="345"/>
      <c r="C207" s="345"/>
      <c r="D207" s="345"/>
      <c r="E207" s="345"/>
      <c r="F207" s="345"/>
      <c r="G207" s="345"/>
      <c r="H207" s="345"/>
      <c r="I207" s="345"/>
      <c r="J207" s="345"/>
      <c r="K207" s="345"/>
      <c r="L207" s="345"/>
      <c r="M207" s="345"/>
      <c r="N207" s="345"/>
      <c r="O207" s="345"/>
      <c r="P207" s="345"/>
      <c r="Q207" s="345"/>
      <c r="R207" s="345"/>
      <c r="S207" s="345"/>
      <c r="T207" s="345"/>
      <c r="U207" s="345"/>
      <c r="V207" s="345"/>
      <c r="W207" s="345"/>
      <c r="X207" s="345"/>
      <c r="Y207" s="345"/>
      <c r="Z207" s="345"/>
      <c r="AA207" s="65"/>
      <c r="AB207" s="65"/>
      <c r="AC207" s="82"/>
    </row>
    <row r="208" spans="1:68" ht="14.25" customHeight="1" x14ac:dyDescent="0.25">
      <c r="A208" s="346" t="s">
        <v>82</v>
      </c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346"/>
      <c r="Z208" s="346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7">
        <v>4620207490709</v>
      </c>
      <c r="E209" s="347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87</v>
      </c>
      <c r="L209" s="37" t="s">
        <v>88</v>
      </c>
      <c r="M209" s="38" t="s">
        <v>86</v>
      </c>
      <c r="N209" s="38"/>
      <c r="O209" s="37">
        <v>180</v>
      </c>
      <c r="P209" s="425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49"/>
      <c r="R209" s="349"/>
      <c r="S209" s="349"/>
      <c r="T209" s="350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89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59"/>
      <c r="B210" s="359"/>
      <c r="C210" s="359"/>
      <c r="D210" s="359"/>
      <c r="E210" s="359"/>
      <c r="F210" s="359"/>
      <c r="G210" s="359"/>
      <c r="H210" s="359"/>
      <c r="I210" s="359"/>
      <c r="J210" s="359"/>
      <c r="K210" s="359"/>
      <c r="L210" s="359"/>
      <c r="M210" s="359"/>
      <c r="N210" s="359"/>
      <c r="O210" s="360"/>
      <c r="P210" s="356" t="s">
        <v>40</v>
      </c>
      <c r="Q210" s="357"/>
      <c r="R210" s="357"/>
      <c r="S210" s="357"/>
      <c r="T210" s="357"/>
      <c r="U210" s="357"/>
      <c r="V210" s="358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59"/>
      <c r="B211" s="359"/>
      <c r="C211" s="359"/>
      <c r="D211" s="359"/>
      <c r="E211" s="359"/>
      <c r="F211" s="359"/>
      <c r="G211" s="359"/>
      <c r="H211" s="359"/>
      <c r="I211" s="359"/>
      <c r="J211" s="359"/>
      <c r="K211" s="359"/>
      <c r="L211" s="359"/>
      <c r="M211" s="359"/>
      <c r="N211" s="359"/>
      <c r="O211" s="360"/>
      <c r="P211" s="356" t="s">
        <v>40</v>
      </c>
      <c r="Q211" s="357"/>
      <c r="R211" s="357"/>
      <c r="S211" s="357"/>
      <c r="T211" s="357"/>
      <c r="U211" s="357"/>
      <c r="V211" s="358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6" t="s">
        <v>151</v>
      </c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7">
        <v>4620207490549</v>
      </c>
      <c r="E213" s="347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112</v>
      </c>
      <c r="L213" s="37" t="s">
        <v>88</v>
      </c>
      <c r="M213" s="38" t="s">
        <v>86</v>
      </c>
      <c r="N213" s="38"/>
      <c r="O213" s="37">
        <v>180</v>
      </c>
      <c r="P213" s="42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49"/>
      <c r="R213" s="349"/>
      <c r="S213" s="349"/>
      <c r="T213" s="350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89</v>
      </c>
      <c r="AK213" s="87">
        <v>1</v>
      </c>
      <c r="BB213" s="232" t="s">
        <v>111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7">
        <v>4620207490501</v>
      </c>
      <c r="E214" s="347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49"/>
      <c r="R214" s="349"/>
      <c r="S214" s="349"/>
      <c r="T214" s="350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59"/>
      <c r="B215" s="359"/>
      <c r="C215" s="359"/>
      <c r="D215" s="359"/>
      <c r="E215" s="359"/>
      <c r="F215" s="359"/>
      <c r="G215" s="359"/>
      <c r="H215" s="359"/>
      <c r="I215" s="359"/>
      <c r="J215" s="359"/>
      <c r="K215" s="359"/>
      <c r="L215" s="359"/>
      <c r="M215" s="359"/>
      <c r="N215" s="359"/>
      <c r="O215" s="360"/>
      <c r="P215" s="356" t="s">
        <v>40</v>
      </c>
      <c r="Q215" s="357"/>
      <c r="R215" s="357"/>
      <c r="S215" s="357"/>
      <c r="T215" s="357"/>
      <c r="U215" s="357"/>
      <c r="V215" s="358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59"/>
      <c r="B216" s="359"/>
      <c r="C216" s="359"/>
      <c r="D216" s="359"/>
      <c r="E216" s="359"/>
      <c r="F216" s="359"/>
      <c r="G216" s="359"/>
      <c r="H216" s="359"/>
      <c r="I216" s="359"/>
      <c r="J216" s="359"/>
      <c r="K216" s="359"/>
      <c r="L216" s="359"/>
      <c r="M216" s="359"/>
      <c r="N216" s="359"/>
      <c r="O216" s="360"/>
      <c r="P216" s="356" t="s">
        <v>40</v>
      </c>
      <c r="Q216" s="357"/>
      <c r="R216" s="357"/>
      <c r="S216" s="357"/>
      <c r="T216" s="357"/>
      <c r="U216" s="357"/>
      <c r="V216" s="358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4" t="s">
        <v>322</v>
      </c>
      <c r="B217" s="344"/>
      <c r="C217" s="344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54"/>
      <c r="AB217" s="54"/>
      <c r="AC217" s="54"/>
    </row>
    <row r="218" spans="1:68" ht="16.5" customHeight="1" x14ac:dyDescent="0.25">
      <c r="A218" s="345" t="s">
        <v>323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65"/>
      <c r="AB218" s="65"/>
      <c r="AC218" s="82"/>
    </row>
    <row r="219" spans="1:68" ht="14.25" customHeight="1" x14ac:dyDescent="0.25">
      <c r="A219" s="346" t="s">
        <v>82</v>
      </c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7">
        <v>4607111036162</v>
      </c>
      <c r="E220" s="347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87</v>
      </c>
      <c r="L220" s="37" t="s">
        <v>88</v>
      </c>
      <c r="M220" s="38" t="s">
        <v>86</v>
      </c>
      <c r="N220" s="38"/>
      <c r="O220" s="37">
        <v>90</v>
      </c>
      <c r="P220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49"/>
      <c r="R220" s="349"/>
      <c r="S220" s="349"/>
      <c r="T220" s="350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89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59"/>
      <c r="B221" s="359"/>
      <c r="C221" s="359"/>
      <c r="D221" s="359"/>
      <c r="E221" s="359"/>
      <c r="F221" s="359"/>
      <c r="G221" s="359"/>
      <c r="H221" s="359"/>
      <c r="I221" s="359"/>
      <c r="J221" s="359"/>
      <c r="K221" s="359"/>
      <c r="L221" s="359"/>
      <c r="M221" s="359"/>
      <c r="N221" s="359"/>
      <c r="O221" s="360"/>
      <c r="P221" s="356" t="s">
        <v>40</v>
      </c>
      <c r="Q221" s="357"/>
      <c r="R221" s="357"/>
      <c r="S221" s="357"/>
      <c r="T221" s="357"/>
      <c r="U221" s="357"/>
      <c r="V221" s="358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59"/>
      <c r="B222" s="359"/>
      <c r="C222" s="359"/>
      <c r="D222" s="359"/>
      <c r="E222" s="359"/>
      <c r="F222" s="359"/>
      <c r="G222" s="359"/>
      <c r="H222" s="359"/>
      <c r="I222" s="359"/>
      <c r="J222" s="359"/>
      <c r="K222" s="359"/>
      <c r="L222" s="359"/>
      <c r="M222" s="359"/>
      <c r="N222" s="359"/>
      <c r="O222" s="360"/>
      <c r="P222" s="356" t="s">
        <v>40</v>
      </c>
      <c r="Q222" s="357"/>
      <c r="R222" s="357"/>
      <c r="S222" s="357"/>
      <c r="T222" s="357"/>
      <c r="U222" s="357"/>
      <c r="V222" s="358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4" t="s">
        <v>327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54"/>
      <c r="AB223" s="54"/>
      <c r="AC223" s="54"/>
    </row>
    <row r="224" spans="1:68" ht="16.5" customHeight="1" x14ac:dyDescent="0.25">
      <c r="A224" s="345" t="s">
        <v>328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65"/>
      <c r="AB224" s="65"/>
      <c r="AC224" s="82"/>
    </row>
    <row r="225" spans="1:68" ht="14.25" customHeight="1" x14ac:dyDescent="0.25">
      <c r="A225" s="346" t="s">
        <v>82</v>
      </c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7">
        <v>4607111035899</v>
      </c>
      <c r="E226" s="347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87</v>
      </c>
      <c r="L226" s="37" t="s">
        <v>113</v>
      </c>
      <c r="M226" s="38" t="s">
        <v>86</v>
      </c>
      <c r="N226" s="38"/>
      <c r="O226" s="37">
        <v>180</v>
      </c>
      <c r="P226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49"/>
      <c r="R226" s="349"/>
      <c r="S226" s="349"/>
      <c r="T226" s="350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114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59"/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60"/>
      <c r="P227" s="356" t="s">
        <v>40</v>
      </c>
      <c r="Q227" s="357"/>
      <c r="R227" s="357"/>
      <c r="S227" s="357"/>
      <c r="T227" s="357"/>
      <c r="U227" s="357"/>
      <c r="V227" s="358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59"/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60"/>
      <c r="P228" s="356" t="s">
        <v>40</v>
      </c>
      <c r="Q228" s="357"/>
      <c r="R228" s="357"/>
      <c r="S228" s="357"/>
      <c r="T228" s="357"/>
      <c r="U228" s="357"/>
      <c r="V228" s="358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4" t="s">
        <v>331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54"/>
      <c r="AB229" s="54"/>
      <c r="AC229" s="54"/>
    </row>
    <row r="230" spans="1:68" ht="16.5" customHeight="1" x14ac:dyDescent="0.25">
      <c r="A230" s="345" t="s">
        <v>332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65"/>
      <c r="AB230" s="65"/>
      <c r="AC230" s="82"/>
    </row>
    <row r="231" spans="1:68" ht="14.25" customHeight="1" x14ac:dyDescent="0.25">
      <c r="A231" s="346" t="s">
        <v>333</v>
      </c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7">
        <v>4607111039774</v>
      </c>
      <c r="E232" s="347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112</v>
      </c>
      <c r="L232" s="37" t="s">
        <v>88</v>
      </c>
      <c r="M232" s="38" t="s">
        <v>86</v>
      </c>
      <c r="N232" s="38"/>
      <c r="O232" s="37">
        <v>180</v>
      </c>
      <c r="P232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49"/>
      <c r="R232" s="349"/>
      <c r="S232" s="349"/>
      <c r="T232" s="350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89</v>
      </c>
      <c r="AK232" s="87">
        <v>1</v>
      </c>
      <c r="BB232" s="240" t="s">
        <v>111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59"/>
      <c r="B233" s="359"/>
      <c r="C233" s="359"/>
      <c r="D233" s="359"/>
      <c r="E233" s="359"/>
      <c r="F233" s="359"/>
      <c r="G233" s="359"/>
      <c r="H233" s="359"/>
      <c r="I233" s="359"/>
      <c r="J233" s="359"/>
      <c r="K233" s="359"/>
      <c r="L233" s="359"/>
      <c r="M233" s="359"/>
      <c r="N233" s="359"/>
      <c r="O233" s="360"/>
      <c r="P233" s="356" t="s">
        <v>40</v>
      </c>
      <c r="Q233" s="357"/>
      <c r="R233" s="357"/>
      <c r="S233" s="357"/>
      <c r="T233" s="357"/>
      <c r="U233" s="357"/>
      <c r="V233" s="358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59"/>
      <c r="B234" s="359"/>
      <c r="C234" s="359"/>
      <c r="D234" s="359"/>
      <c r="E234" s="359"/>
      <c r="F234" s="359"/>
      <c r="G234" s="359"/>
      <c r="H234" s="359"/>
      <c r="I234" s="359"/>
      <c r="J234" s="359"/>
      <c r="K234" s="359"/>
      <c r="L234" s="359"/>
      <c r="M234" s="359"/>
      <c r="N234" s="359"/>
      <c r="O234" s="360"/>
      <c r="P234" s="356" t="s">
        <v>40</v>
      </c>
      <c r="Q234" s="357"/>
      <c r="R234" s="357"/>
      <c r="S234" s="357"/>
      <c r="T234" s="357"/>
      <c r="U234" s="357"/>
      <c r="V234" s="358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6" t="s">
        <v>151</v>
      </c>
      <c r="B235" s="346"/>
      <c r="C235" s="346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  <c r="Y235" s="346"/>
      <c r="Z235" s="346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7">
        <v>4607111039361</v>
      </c>
      <c r="E236" s="347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112</v>
      </c>
      <c r="L236" s="37" t="s">
        <v>88</v>
      </c>
      <c r="M236" s="38" t="s">
        <v>86</v>
      </c>
      <c r="N236" s="38"/>
      <c r="O236" s="37">
        <v>180</v>
      </c>
      <c r="P236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49"/>
      <c r="R236" s="349"/>
      <c r="S236" s="349"/>
      <c r="T236" s="350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89</v>
      </c>
      <c r="AK236" s="87">
        <v>1</v>
      </c>
      <c r="BB236" s="242" t="s">
        <v>111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59"/>
      <c r="B237" s="359"/>
      <c r="C237" s="359"/>
      <c r="D237" s="359"/>
      <c r="E237" s="359"/>
      <c r="F237" s="359"/>
      <c r="G237" s="359"/>
      <c r="H237" s="359"/>
      <c r="I237" s="359"/>
      <c r="J237" s="359"/>
      <c r="K237" s="359"/>
      <c r="L237" s="359"/>
      <c r="M237" s="359"/>
      <c r="N237" s="359"/>
      <c r="O237" s="360"/>
      <c r="P237" s="356" t="s">
        <v>40</v>
      </c>
      <c r="Q237" s="357"/>
      <c r="R237" s="357"/>
      <c r="S237" s="357"/>
      <c r="T237" s="357"/>
      <c r="U237" s="357"/>
      <c r="V237" s="358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59"/>
      <c r="B238" s="359"/>
      <c r="C238" s="359"/>
      <c r="D238" s="359"/>
      <c r="E238" s="359"/>
      <c r="F238" s="359"/>
      <c r="G238" s="359"/>
      <c r="H238" s="359"/>
      <c r="I238" s="359"/>
      <c r="J238" s="359"/>
      <c r="K238" s="359"/>
      <c r="L238" s="359"/>
      <c r="M238" s="359"/>
      <c r="N238" s="359"/>
      <c r="O238" s="360"/>
      <c r="P238" s="356" t="s">
        <v>40</v>
      </c>
      <c r="Q238" s="357"/>
      <c r="R238" s="357"/>
      <c r="S238" s="357"/>
      <c r="T238" s="357"/>
      <c r="U238" s="357"/>
      <c r="V238" s="358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4" t="s">
        <v>339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54"/>
      <c r="AB239" s="54"/>
      <c r="AC239" s="54"/>
    </row>
    <row r="240" spans="1:68" ht="16.5" customHeight="1" x14ac:dyDescent="0.25">
      <c r="A240" s="345" t="s">
        <v>339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65"/>
      <c r="AB240" s="65"/>
      <c r="AC240" s="82"/>
    </row>
    <row r="241" spans="1:68" ht="14.25" customHeight="1" x14ac:dyDescent="0.25">
      <c r="A241" s="346" t="s">
        <v>82</v>
      </c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7">
        <v>4640242181264</v>
      </c>
      <c r="E242" s="347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87</v>
      </c>
      <c r="L242" s="37" t="s">
        <v>88</v>
      </c>
      <c r="M242" s="38" t="s">
        <v>86</v>
      </c>
      <c r="N242" s="38"/>
      <c r="O242" s="37">
        <v>180</v>
      </c>
      <c r="P242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49"/>
      <c r="R242" s="349"/>
      <c r="S242" s="349"/>
      <c r="T242" s="350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89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7">
        <v>4640242181325</v>
      </c>
      <c r="E243" s="347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49"/>
      <c r="R243" s="349"/>
      <c r="S243" s="349"/>
      <c r="T243" s="350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59"/>
      <c r="B244" s="359"/>
      <c r="C244" s="359"/>
      <c r="D244" s="359"/>
      <c r="E244" s="359"/>
      <c r="F244" s="359"/>
      <c r="G244" s="359"/>
      <c r="H244" s="359"/>
      <c r="I244" s="359"/>
      <c r="J244" s="359"/>
      <c r="K244" s="359"/>
      <c r="L244" s="359"/>
      <c r="M244" s="359"/>
      <c r="N244" s="359"/>
      <c r="O244" s="360"/>
      <c r="P244" s="356" t="s">
        <v>40</v>
      </c>
      <c r="Q244" s="357"/>
      <c r="R244" s="357"/>
      <c r="S244" s="357"/>
      <c r="T244" s="357"/>
      <c r="U244" s="357"/>
      <c r="V244" s="358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59"/>
      <c r="B245" s="359"/>
      <c r="C245" s="359"/>
      <c r="D245" s="359"/>
      <c r="E245" s="359"/>
      <c r="F245" s="359"/>
      <c r="G245" s="359"/>
      <c r="H245" s="359"/>
      <c r="I245" s="359"/>
      <c r="J245" s="359"/>
      <c r="K245" s="359"/>
      <c r="L245" s="359"/>
      <c r="M245" s="359"/>
      <c r="N245" s="359"/>
      <c r="O245" s="360"/>
      <c r="P245" s="356" t="s">
        <v>40</v>
      </c>
      <c r="Q245" s="357"/>
      <c r="R245" s="357"/>
      <c r="S245" s="357"/>
      <c r="T245" s="357"/>
      <c r="U245" s="357"/>
      <c r="V245" s="358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6" t="s">
        <v>107</v>
      </c>
      <c r="B246" s="346"/>
      <c r="C246" s="346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  <c r="Y246" s="346"/>
      <c r="Z246" s="346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7">
        <v>4640242180397</v>
      </c>
      <c r="E247" s="347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87</v>
      </c>
      <c r="L247" s="37" t="s">
        <v>113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49"/>
      <c r="R247" s="349"/>
      <c r="S247" s="349"/>
      <c r="T247" s="350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114</v>
      </c>
      <c r="AK247" s="87">
        <v>12</v>
      </c>
      <c r="BB247" s="248" t="s">
        <v>111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9"/>
      <c r="B248" s="359"/>
      <c r="C248" s="359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60"/>
      <c r="P248" s="356" t="s">
        <v>40</v>
      </c>
      <c r="Q248" s="357"/>
      <c r="R248" s="357"/>
      <c r="S248" s="357"/>
      <c r="T248" s="357"/>
      <c r="U248" s="357"/>
      <c r="V248" s="358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59"/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60"/>
      <c r="P249" s="356" t="s">
        <v>40</v>
      </c>
      <c r="Q249" s="357"/>
      <c r="R249" s="357"/>
      <c r="S249" s="357"/>
      <c r="T249" s="357"/>
      <c r="U249" s="357"/>
      <c r="V249" s="358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customHeight="1" x14ac:dyDescent="0.25">
      <c r="A250" s="346" t="s">
        <v>145</v>
      </c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  <c r="Y250" s="346"/>
      <c r="Z250" s="346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4301136051</v>
      </c>
      <c r="D251" s="347">
        <v>4640242180304</v>
      </c>
      <c r="E251" s="347"/>
      <c r="F251" s="62">
        <v>2.7</v>
      </c>
      <c r="G251" s="37">
        <v>1</v>
      </c>
      <c r="H251" s="62">
        <v>2.7</v>
      </c>
      <c r="I251" s="62">
        <v>2.8906000000000001</v>
      </c>
      <c r="J251" s="37">
        <v>126</v>
      </c>
      <c r="K251" s="37" t="s">
        <v>112</v>
      </c>
      <c r="L251" s="37" t="s">
        <v>88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1" s="349"/>
      <c r="R251" s="349"/>
      <c r="S251" s="349"/>
      <c r="T251" s="350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IFERROR(IF(X251="","",X251*0.00936),"")</f>
        <v>0</v>
      </c>
      <c r="AA251" s="68" t="s">
        <v>46</v>
      </c>
      <c r="AB251" s="69" t="s">
        <v>46</v>
      </c>
      <c r="AC251" s="249" t="s">
        <v>350</v>
      </c>
      <c r="AG251" s="81"/>
      <c r="AJ251" s="87" t="s">
        <v>89</v>
      </c>
      <c r="AK251" s="87">
        <v>1</v>
      </c>
      <c r="BB251" s="250" t="s">
        <v>111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4301136053</v>
      </c>
      <c r="D252" s="347">
        <v>4640242180236</v>
      </c>
      <c r="E252" s="347"/>
      <c r="F252" s="62">
        <v>5</v>
      </c>
      <c r="G252" s="37">
        <v>1</v>
      </c>
      <c r="H252" s="62">
        <v>5</v>
      </c>
      <c r="I252" s="62">
        <v>5.2350000000000003</v>
      </c>
      <c r="J252" s="37">
        <v>84</v>
      </c>
      <c r="K252" s="37" t="s">
        <v>87</v>
      </c>
      <c r="L252" s="37" t="s">
        <v>113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2" s="349"/>
      <c r="R252" s="349"/>
      <c r="S252" s="349"/>
      <c r="T252" s="350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IFERROR(IF(X252="","",X252*0.0155),"")</f>
        <v>0</v>
      </c>
      <c r="AA252" s="68" t="s">
        <v>46</v>
      </c>
      <c r="AB252" s="69" t="s">
        <v>46</v>
      </c>
      <c r="AC252" s="251" t="s">
        <v>350</v>
      </c>
      <c r="AG252" s="81"/>
      <c r="AJ252" s="87" t="s">
        <v>114</v>
      </c>
      <c r="AK252" s="87">
        <v>12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4301136052</v>
      </c>
      <c r="D253" s="347">
        <v>4640242180410</v>
      </c>
      <c r="E253" s="347"/>
      <c r="F253" s="62">
        <v>2.2400000000000002</v>
      </c>
      <c r="G253" s="37">
        <v>1</v>
      </c>
      <c r="H253" s="62">
        <v>2.2400000000000002</v>
      </c>
      <c r="I253" s="62">
        <v>2.4319999999999999</v>
      </c>
      <c r="J253" s="37">
        <v>126</v>
      </c>
      <c r="K253" s="37" t="s">
        <v>112</v>
      </c>
      <c r="L253" s="37" t="s">
        <v>113</v>
      </c>
      <c r="M253" s="38" t="s">
        <v>86</v>
      </c>
      <c r="N253" s="38"/>
      <c r="O253" s="37">
        <v>180</v>
      </c>
      <c r="P253" s="4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3" s="349"/>
      <c r="R253" s="349"/>
      <c r="S253" s="349"/>
      <c r="T253" s="350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350</v>
      </c>
      <c r="AG253" s="81"/>
      <c r="AJ253" s="87" t="s">
        <v>114</v>
      </c>
      <c r="AK253" s="87">
        <v>14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x14ac:dyDescent="0.2">
      <c r="A254" s="359"/>
      <c r="B254" s="359"/>
      <c r="C254" s="359"/>
      <c r="D254" s="359"/>
      <c r="E254" s="359"/>
      <c r="F254" s="359"/>
      <c r="G254" s="359"/>
      <c r="H254" s="359"/>
      <c r="I254" s="359"/>
      <c r="J254" s="359"/>
      <c r="K254" s="359"/>
      <c r="L254" s="359"/>
      <c r="M254" s="359"/>
      <c r="N254" s="359"/>
      <c r="O254" s="360"/>
      <c r="P254" s="356" t="s">
        <v>40</v>
      </c>
      <c r="Q254" s="357"/>
      <c r="R254" s="357"/>
      <c r="S254" s="357"/>
      <c r="T254" s="357"/>
      <c r="U254" s="357"/>
      <c r="V254" s="358"/>
      <c r="W254" s="42" t="s">
        <v>39</v>
      </c>
      <c r="X254" s="43">
        <f>IFERROR(SUM(X251:X253),"0")</f>
        <v>0</v>
      </c>
      <c r="Y254" s="43">
        <f>IFERROR(SUM(Y251:Y253),"0")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2">
      <c r="A255" s="359"/>
      <c r="B255" s="359"/>
      <c r="C255" s="359"/>
      <c r="D255" s="359"/>
      <c r="E255" s="359"/>
      <c r="F255" s="359"/>
      <c r="G255" s="359"/>
      <c r="H255" s="359"/>
      <c r="I255" s="359"/>
      <c r="J255" s="359"/>
      <c r="K255" s="359"/>
      <c r="L255" s="359"/>
      <c r="M255" s="359"/>
      <c r="N255" s="359"/>
      <c r="O255" s="360"/>
      <c r="P255" s="356" t="s">
        <v>40</v>
      </c>
      <c r="Q255" s="357"/>
      <c r="R255" s="357"/>
      <c r="S255" s="357"/>
      <c r="T255" s="357"/>
      <c r="U255" s="357"/>
      <c r="V255" s="358"/>
      <c r="W255" s="42" t="s">
        <v>0</v>
      </c>
      <c r="X255" s="43">
        <f>IFERROR(SUMPRODUCT(X251:X253*H251:H253),"0")</f>
        <v>0</v>
      </c>
      <c r="Y255" s="43">
        <f>IFERROR(SUMPRODUCT(Y251:Y253*H251:H253),"0")</f>
        <v>0</v>
      </c>
      <c r="Z255" s="42"/>
      <c r="AA255" s="67"/>
      <c r="AB255" s="67"/>
      <c r="AC255" s="67"/>
    </row>
    <row r="256" spans="1:68" ht="14.25" customHeight="1" x14ac:dyDescent="0.25">
      <c r="A256" s="346" t="s">
        <v>151</v>
      </c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  <c r="Y256" s="346"/>
      <c r="Z256" s="346"/>
      <c r="AA256" s="66"/>
      <c r="AB256" s="66"/>
      <c r="AC256" s="83"/>
    </row>
    <row r="257" spans="1:68" ht="37.5" customHeight="1" x14ac:dyDescent="0.25">
      <c r="A257" s="63" t="s">
        <v>355</v>
      </c>
      <c r="B257" s="63" t="s">
        <v>356</v>
      </c>
      <c r="C257" s="36">
        <v>4301135504</v>
      </c>
      <c r="D257" s="347">
        <v>4640242181554</v>
      </c>
      <c r="E257" s="347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88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7" s="349"/>
      <c r="R257" s="349"/>
      <c r="S257" s="349"/>
      <c r="T257" s="350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ref="Y257:Y266" si="18">IFERROR(IF(X257="","",X257),"")</f>
        <v>0</v>
      </c>
      <c r="Z257" s="41">
        <f>IFERROR(IF(X257="","",X257*0.00936),"")</f>
        <v>0</v>
      </c>
      <c r="AA257" s="68" t="s">
        <v>46</v>
      </c>
      <c r="AB257" s="69" t="s">
        <v>46</v>
      </c>
      <c r="AC257" s="255" t="s">
        <v>357</v>
      </c>
      <c r="AG257" s="81"/>
      <c r="AJ257" s="87" t="s">
        <v>89</v>
      </c>
      <c r="AK257" s="87">
        <v>1</v>
      </c>
      <c r="BB257" s="256" t="s">
        <v>111</v>
      </c>
      <c r="BM257" s="81">
        <f t="shared" ref="BM257:BM266" si="19">IFERROR(X257*I257,"0")</f>
        <v>0</v>
      </c>
      <c r="BN257" s="81">
        <f t="shared" ref="BN257:BN266" si="20">IFERROR(Y257*I257,"0")</f>
        <v>0</v>
      </c>
      <c r="BO257" s="81">
        <f t="shared" ref="BO257:BO266" si="21">IFERROR(X257/J257,"0")</f>
        <v>0</v>
      </c>
      <c r="BP257" s="81">
        <f t="shared" ref="BP257:BP266" si="22"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4301135518</v>
      </c>
      <c r="D258" s="347">
        <v>4640242181561</v>
      </c>
      <c r="E258" s="347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113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8" s="349"/>
      <c r="R258" s="349"/>
      <c r="S258" s="349"/>
      <c r="T258" s="350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114</v>
      </c>
      <c r="AK258" s="87">
        <v>14</v>
      </c>
      <c r="BB258" s="258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4301135374</v>
      </c>
      <c r="D259" s="347">
        <v>4640242181424</v>
      </c>
      <c r="E259" s="347"/>
      <c r="F259" s="62">
        <v>5.5</v>
      </c>
      <c r="G259" s="37">
        <v>1</v>
      </c>
      <c r="H259" s="62">
        <v>5.5</v>
      </c>
      <c r="I259" s="62">
        <v>5.7350000000000003</v>
      </c>
      <c r="J259" s="37">
        <v>84</v>
      </c>
      <c r="K259" s="37" t="s">
        <v>87</v>
      </c>
      <c r="L259" s="37" t="s">
        <v>88</v>
      </c>
      <c r="M259" s="38" t="s">
        <v>86</v>
      </c>
      <c r="N259" s="38"/>
      <c r="O259" s="37">
        <v>180</v>
      </c>
      <c r="P259" s="44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9" s="349"/>
      <c r="R259" s="349"/>
      <c r="S259" s="349"/>
      <c r="T259" s="350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9" t="s">
        <v>357</v>
      </c>
      <c r="AG259" s="81"/>
      <c r="AJ259" s="87" t="s">
        <v>89</v>
      </c>
      <c r="AK259" s="87">
        <v>1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4301135405</v>
      </c>
      <c r="D260" s="347">
        <v>4640242181523</v>
      </c>
      <c r="E260" s="347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0" s="349"/>
      <c r="R260" s="349"/>
      <c r="S260" s="349"/>
      <c r="T260" s="350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ref="Z260:Z265" si="23">IFERROR(IF(X260="","",X260*0.00936),"")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4301135375</v>
      </c>
      <c r="D261" s="347">
        <v>4640242181486</v>
      </c>
      <c r="E261" s="347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1" s="349"/>
      <c r="R261" s="349"/>
      <c r="S261" s="349"/>
      <c r="T261" s="350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3" t="s">
        <v>357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37.5" customHeight="1" x14ac:dyDescent="0.25">
      <c r="A262" s="63" t="s">
        <v>367</v>
      </c>
      <c r="B262" s="63" t="s">
        <v>368</v>
      </c>
      <c r="C262" s="36">
        <v>4301135402</v>
      </c>
      <c r="D262" s="347">
        <v>4640242181493</v>
      </c>
      <c r="E262" s="347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88</v>
      </c>
      <c r="M262" s="38" t="s">
        <v>86</v>
      </c>
      <c r="N262" s="38"/>
      <c r="O262" s="37">
        <v>180</v>
      </c>
      <c r="P262" s="44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2" s="349"/>
      <c r="R262" s="349"/>
      <c r="S262" s="349"/>
      <c r="T262" s="350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357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4301135403</v>
      </c>
      <c r="D263" s="347">
        <v>4640242181509</v>
      </c>
      <c r="E263" s="347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3" s="349"/>
      <c r="R263" s="349"/>
      <c r="S263" s="349"/>
      <c r="T263" s="350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357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371</v>
      </c>
      <c r="B264" s="63" t="s">
        <v>372</v>
      </c>
      <c r="C264" s="36">
        <v>4301135304</v>
      </c>
      <c r="D264" s="347">
        <v>4640242181240</v>
      </c>
      <c r="E264" s="347"/>
      <c r="F264" s="62">
        <v>0.3</v>
      </c>
      <c r="G264" s="37">
        <v>9</v>
      </c>
      <c r="H264" s="62">
        <v>2.7</v>
      </c>
      <c r="I264" s="62">
        <v>2.88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4" s="349"/>
      <c r="R264" s="349"/>
      <c r="S264" s="349"/>
      <c r="T264" s="350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357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4301135610</v>
      </c>
      <c r="D265" s="347">
        <v>4640242181318</v>
      </c>
      <c r="E265" s="347"/>
      <c r="F265" s="62">
        <v>0.3</v>
      </c>
      <c r="G265" s="37">
        <v>9</v>
      </c>
      <c r="H265" s="62">
        <v>2.7</v>
      </c>
      <c r="I265" s="62">
        <v>2.988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5" s="349"/>
      <c r="R265" s="349"/>
      <c r="S265" s="349"/>
      <c r="T265" s="350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4301135306</v>
      </c>
      <c r="D266" s="347">
        <v>4640242181387</v>
      </c>
      <c r="E266" s="347"/>
      <c r="F266" s="62">
        <v>0.3</v>
      </c>
      <c r="G266" s="37">
        <v>9</v>
      </c>
      <c r="H266" s="62">
        <v>2.7</v>
      </c>
      <c r="I266" s="62">
        <v>2.8450000000000002</v>
      </c>
      <c r="J266" s="37">
        <v>234</v>
      </c>
      <c r="K266" s="37" t="s">
        <v>163</v>
      </c>
      <c r="L266" s="37" t="s">
        <v>88</v>
      </c>
      <c r="M266" s="38" t="s">
        <v>86</v>
      </c>
      <c r="N266" s="38"/>
      <c r="O266" s="37">
        <v>180</v>
      </c>
      <c r="P266" s="44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6" s="349"/>
      <c r="R266" s="349"/>
      <c r="S266" s="349"/>
      <c r="T266" s="350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IFERROR(IF(X266="","",X266*0.00502),"")</f>
        <v>0</v>
      </c>
      <c r="AA266" s="68" t="s">
        <v>46</v>
      </c>
      <c r="AB266" s="69" t="s">
        <v>46</v>
      </c>
      <c r="AC266" s="273" t="s">
        <v>357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x14ac:dyDescent="0.2">
      <c r="A267" s="359"/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60"/>
      <c r="P267" s="356" t="s">
        <v>40</v>
      </c>
      <c r="Q267" s="357"/>
      <c r="R267" s="357"/>
      <c r="S267" s="357"/>
      <c r="T267" s="357"/>
      <c r="U267" s="357"/>
      <c r="V267" s="358"/>
      <c r="W267" s="42" t="s">
        <v>39</v>
      </c>
      <c r="X267" s="43">
        <f>IFERROR(SUM(X257:X266),"0")</f>
        <v>0</v>
      </c>
      <c r="Y267" s="43">
        <f>IFERROR(SUM(Y257:Y266),"0")</f>
        <v>0</v>
      </c>
      <c r="Z267" s="43">
        <f>IFERROR(IF(Z257="",0,Z257),"0")+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59"/>
      <c r="B268" s="359"/>
      <c r="C268" s="359"/>
      <c r="D268" s="359"/>
      <c r="E268" s="359"/>
      <c r="F268" s="359"/>
      <c r="G268" s="359"/>
      <c r="H268" s="359"/>
      <c r="I268" s="359"/>
      <c r="J268" s="359"/>
      <c r="K268" s="359"/>
      <c r="L268" s="359"/>
      <c r="M268" s="359"/>
      <c r="N268" s="359"/>
      <c r="O268" s="360"/>
      <c r="P268" s="356" t="s">
        <v>40</v>
      </c>
      <c r="Q268" s="357"/>
      <c r="R268" s="357"/>
      <c r="S268" s="357"/>
      <c r="T268" s="357"/>
      <c r="U268" s="357"/>
      <c r="V268" s="358"/>
      <c r="W268" s="42" t="s">
        <v>0</v>
      </c>
      <c r="X268" s="43">
        <f>IFERROR(SUMPRODUCT(X257:X266*H257:H266),"0")</f>
        <v>0</v>
      </c>
      <c r="Y268" s="43">
        <f>IFERROR(SUMPRODUCT(Y257:Y266*H257:H266),"0")</f>
        <v>0</v>
      </c>
      <c r="Z268" s="42"/>
      <c r="AA268" s="67"/>
      <c r="AB268" s="67"/>
      <c r="AC268" s="67"/>
    </row>
    <row r="269" spans="1:68" ht="15" customHeight="1" x14ac:dyDescent="0.2">
      <c r="A269" s="359"/>
      <c r="B269" s="359"/>
      <c r="C269" s="359"/>
      <c r="D269" s="359"/>
      <c r="E269" s="359"/>
      <c r="F269" s="359"/>
      <c r="G269" s="359"/>
      <c r="H269" s="359"/>
      <c r="I269" s="359"/>
      <c r="J269" s="359"/>
      <c r="K269" s="359"/>
      <c r="L269" s="359"/>
      <c r="M269" s="359"/>
      <c r="N269" s="359"/>
      <c r="O269" s="451"/>
      <c r="P269" s="448" t="s">
        <v>33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IFERROR(X29+X35+X42+X49+X57+X62+X66+X71+X77+X83+X88+X94+X104+X110+X122+X126+X130+X136+X142+X148+X153+X158+X163+X168+X175+X183+X187+X193+X201+X206+X211+X216+X222+X228+X234+X238+X245+X249+X255+X268,"0")</f>
        <v>0</v>
      </c>
      <c r="Y269" s="43">
        <f>IFERROR(Y29+Y35+Y42+Y49+Y57+Y62+Y66+Y71+Y77+Y83+Y88+Y94+Y104+Y110+Y122+Y126+Y130+Y136+Y142+Y148+Y153+Y158+Y163+Y168+Y175+Y183+Y187+Y193+Y201+Y206+Y211+Y216+Y222+Y228+Y234+Y238+Y245+Y249+Y255+Y268,"0")</f>
        <v>0</v>
      </c>
      <c r="Z269" s="42"/>
      <c r="AA269" s="67"/>
      <c r="AB269" s="67"/>
      <c r="AC269" s="67"/>
    </row>
    <row r="270" spans="1:68" x14ac:dyDescent="0.2">
      <c r="A270" s="359"/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451"/>
      <c r="P270" s="448" t="s">
        <v>34</v>
      </c>
      <c r="Q270" s="449"/>
      <c r="R270" s="449"/>
      <c r="S270" s="449"/>
      <c r="T270" s="449"/>
      <c r="U270" s="449"/>
      <c r="V270" s="450"/>
      <c r="W270" s="42" t="s">
        <v>0</v>
      </c>
      <c r="X270" s="43">
        <f>IFERROR(SUM(BM22:BM266),"0")</f>
        <v>0</v>
      </c>
      <c r="Y270" s="43">
        <f>IFERROR(SUM(BN22:BN266),"0")</f>
        <v>0</v>
      </c>
      <c r="Z270" s="42"/>
      <c r="AA270" s="67"/>
      <c r="AB270" s="67"/>
      <c r="AC270" s="67"/>
    </row>
    <row r="271" spans="1:68" x14ac:dyDescent="0.2">
      <c r="A271" s="359"/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451"/>
      <c r="P271" s="448" t="s">
        <v>35</v>
      </c>
      <c r="Q271" s="449"/>
      <c r="R271" s="449"/>
      <c r="S271" s="449"/>
      <c r="T271" s="449"/>
      <c r="U271" s="449"/>
      <c r="V271" s="450"/>
      <c r="W271" s="42" t="s">
        <v>20</v>
      </c>
      <c r="X271" s="44">
        <f>ROUNDUP(SUM(BO22:BO266),0)</f>
        <v>0</v>
      </c>
      <c r="Y271" s="44">
        <f>ROUNDUP(SUM(BP22:BP266),0)</f>
        <v>0</v>
      </c>
      <c r="Z271" s="42"/>
      <c r="AA271" s="67"/>
      <c r="AB271" s="67"/>
      <c r="AC271" s="67"/>
    </row>
    <row r="272" spans="1:68" x14ac:dyDescent="0.2">
      <c r="A272" s="359"/>
      <c r="B272" s="359"/>
      <c r="C272" s="359"/>
      <c r="D272" s="359"/>
      <c r="E272" s="359"/>
      <c r="F272" s="359"/>
      <c r="G272" s="359"/>
      <c r="H272" s="359"/>
      <c r="I272" s="359"/>
      <c r="J272" s="359"/>
      <c r="K272" s="359"/>
      <c r="L272" s="359"/>
      <c r="M272" s="359"/>
      <c r="N272" s="359"/>
      <c r="O272" s="451"/>
      <c r="P272" s="448" t="s">
        <v>36</v>
      </c>
      <c r="Q272" s="449"/>
      <c r="R272" s="449"/>
      <c r="S272" s="449"/>
      <c r="T272" s="449"/>
      <c r="U272" s="449"/>
      <c r="V272" s="450"/>
      <c r="W272" s="42" t="s">
        <v>0</v>
      </c>
      <c r="X272" s="43">
        <f>GrossWeightTotal+PalletQtyTotal*25</f>
        <v>0</v>
      </c>
      <c r="Y272" s="43">
        <f>GrossWeightTotalR+PalletQtyTotalR*25</f>
        <v>0</v>
      </c>
      <c r="Z272" s="42"/>
      <c r="AA272" s="67"/>
      <c r="AB272" s="67"/>
      <c r="AC272" s="67"/>
    </row>
    <row r="273" spans="1:32" x14ac:dyDescent="0.2">
      <c r="A273" s="359"/>
      <c r="B273" s="359"/>
      <c r="C273" s="359"/>
      <c r="D273" s="359"/>
      <c r="E273" s="359"/>
      <c r="F273" s="359"/>
      <c r="G273" s="359"/>
      <c r="H273" s="359"/>
      <c r="I273" s="359"/>
      <c r="J273" s="359"/>
      <c r="K273" s="359"/>
      <c r="L273" s="359"/>
      <c r="M273" s="359"/>
      <c r="N273" s="359"/>
      <c r="O273" s="451"/>
      <c r="P273" s="448" t="s">
        <v>37</v>
      </c>
      <c r="Q273" s="449"/>
      <c r="R273" s="449"/>
      <c r="S273" s="449"/>
      <c r="T273" s="449"/>
      <c r="U273" s="449"/>
      <c r="V273" s="450"/>
      <c r="W273" s="42" t="s">
        <v>20</v>
      </c>
      <c r="X273" s="43">
        <f>IFERROR(X28+X34+X41+X48+X56+X61+X65+X70+X76+X82+X87+X93+X103+X109+X121+X125+X129+X135+X141+X147+X152+X157+X162+X167+X174+X182+X186+X192+X200+X205+X210+X215+X221+X227+X233+X237+X244+X248+X254+X267,"0")</f>
        <v>0</v>
      </c>
      <c r="Y273" s="43">
        <f>IFERROR(Y28+Y34+Y41+Y48+Y56+Y61+Y65+Y70+Y76+Y82+Y87+Y93+Y103+Y109+Y121+Y125+Y129+Y135+Y141+Y147+Y152+Y157+Y162+Y167+Y174+Y182+Y186+Y192+Y200+Y205+Y210+Y215+Y221+Y227+Y233+Y237+Y244+Y248+Y254+Y267,"0")</f>
        <v>0</v>
      </c>
      <c r="Z273" s="42"/>
      <c r="AA273" s="67"/>
      <c r="AB273" s="67"/>
      <c r="AC273" s="67"/>
    </row>
    <row r="274" spans="1:32" ht="14.25" x14ac:dyDescent="0.2">
      <c r="A274" s="359"/>
      <c r="B274" s="359"/>
      <c r="C274" s="359"/>
      <c r="D274" s="359"/>
      <c r="E274" s="359"/>
      <c r="F274" s="359"/>
      <c r="G274" s="359"/>
      <c r="H274" s="359"/>
      <c r="I274" s="359"/>
      <c r="J274" s="359"/>
      <c r="K274" s="359"/>
      <c r="L274" s="359"/>
      <c r="M274" s="359"/>
      <c r="N274" s="359"/>
      <c r="O274" s="451"/>
      <c r="P274" s="448" t="s">
        <v>38</v>
      </c>
      <c r="Q274" s="449"/>
      <c r="R274" s="449"/>
      <c r="S274" s="449"/>
      <c r="T274" s="449"/>
      <c r="U274" s="449"/>
      <c r="V274" s="450"/>
      <c r="W274" s="45" t="s">
        <v>52</v>
      </c>
      <c r="X274" s="42"/>
      <c r="Y274" s="42"/>
      <c r="Z274" s="42">
        <f>IFERROR(Z28+Z34+Z41+Z48+Z56+Z61+Z65+Z70+Z76+Z82+Z87+Z93+Z103+Z109+Z121+Z125+Z129+Z135+Z141+Z147+Z152+Z157+Z162+Z167+Z174+Z182+Z186+Z192+Z200+Z205+Z210+Z215+Z221+Z227+Z233+Z237+Z244+Z248+Z254+Z267,"0")</f>
        <v>0</v>
      </c>
      <c r="AA274" s="67"/>
      <c r="AB274" s="67"/>
      <c r="AC274" s="67"/>
    </row>
    <row r="275" spans="1:32" ht="13.5" thickBot="1" x14ac:dyDescent="0.25"/>
    <row r="276" spans="1:32" ht="27" thickTop="1" thickBot="1" x14ac:dyDescent="0.25">
      <c r="A276" s="46" t="s">
        <v>9</v>
      </c>
      <c r="B276" s="454" t="s">
        <v>81</v>
      </c>
      <c r="C276" s="454" t="s">
        <v>81</v>
      </c>
      <c r="D276" s="454" t="s">
        <v>45</v>
      </c>
      <c r="E276" s="454" t="s">
        <v>45</v>
      </c>
      <c r="F276" s="454" t="s">
        <v>45</v>
      </c>
      <c r="G276" s="454" t="s">
        <v>45</v>
      </c>
      <c r="H276" s="454" t="s">
        <v>45</v>
      </c>
      <c r="I276" s="454" t="s">
        <v>45</v>
      </c>
      <c r="J276" s="454" t="s">
        <v>45</v>
      </c>
      <c r="K276" s="454" t="s">
        <v>45</v>
      </c>
      <c r="L276" s="454" t="s">
        <v>45</v>
      </c>
      <c r="M276" s="454" t="s">
        <v>45</v>
      </c>
      <c r="N276" s="455"/>
      <c r="O276" s="454" t="s">
        <v>45</v>
      </c>
      <c r="P276" s="454" t="s">
        <v>45</v>
      </c>
      <c r="Q276" s="454" t="s">
        <v>45</v>
      </c>
      <c r="R276" s="454" t="s">
        <v>45</v>
      </c>
      <c r="S276" s="454" t="s">
        <v>45</v>
      </c>
      <c r="T276" s="454" t="s">
        <v>45</v>
      </c>
      <c r="U276" s="454" t="s">
        <v>45</v>
      </c>
      <c r="V276" s="88" t="s">
        <v>263</v>
      </c>
      <c r="W276" s="88" t="s">
        <v>271</v>
      </c>
      <c r="X276" s="454" t="s">
        <v>290</v>
      </c>
      <c r="Y276" s="454" t="s">
        <v>290</v>
      </c>
      <c r="Z276" s="454" t="s">
        <v>290</v>
      </c>
      <c r="AA276" s="88" t="s">
        <v>322</v>
      </c>
      <c r="AB276" s="88" t="s">
        <v>327</v>
      </c>
      <c r="AC276" s="88" t="s">
        <v>331</v>
      </c>
      <c r="AD276" s="88" t="s">
        <v>339</v>
      </c>
      <c r="AF276" s="1"/>
    </row>
    <row r="277" spans="1:32" ht="14.25" customHeight="1" thickTop="1" x14ac:dyDescent="0.2">
      <c r="A277" s="452" t="s">
        <v>10</v>
      </c>
      <c r="B277" s="454" t="s">
        <v>81</v>
      </c>
      <c r="C277" s="454" t="s">
        <v>100</v>
      </c>
      <c r="D277" s="454" t="s">
        <v>106</v>
      </c>
      <c r="E277" s="454" t="s">
        <v>117</v>
      </c>
      <c r="F277" s="454" t="s">
        <v>127</v>
      </c>
      <c r="G277" s="454" t="s">
        <v>138</v>
      </c>
      <c r="H277" s="454" t="s">
        <v>159</v>
      </c>
      <c r="I277" s="454" t="s">
        <v>168</v>
      </c>
      <c r="J277" s="454" t="s">
        <v>172</v>
      </c>
      <c r="K277" s="454" t="s">
        <v>180</v>
      </c>
      <c r="L277" s="454" t="s">
        <v>195</v>
      </c>
      <c r="M277" s="454" t="s">
        <v>201</v>
      </c>
      <c r="N277" s="1"/>
      <c r="O277" s="454" t="s">
        <v>229</v>
      </c>
      <c r="P277" s="454" t="s">
        <v>235</v>
      </c>
      <c r="Q277" s="454" t="s">
        <v>242</v>
      </c>
      <c r="R277" s="454" t="s">
        <v>247</v>
      </c>
      <c r="S277" s="454" t="s">
        <v>251</v>
      </c>
      <c r="T277" s="454" t="s">
        <v>254</v>
      </c>
      <c r="U277" s="454" t="s">
        <v>259</v>
      </c>
      <c r="V277" s="454" t="s">
        <v>264</v>
      </c>
      <c r="W277" s="454" t="s">
        <v>272</v>
      </c>
      <c r="X277" s="454" t="s">
        <v>291</v>
      </c>
      <c r="Y277" s="454" t="s">
        <v>309</v>
      </c>
      <c r="Z277" s="454" t="s">
        <v>313</v>
      </c>
      <c r="AA277" s="454" t="s">
        <v>323</v>
      </c>
      <c r="AB277" s="454" t="s">
        <v>328</v>
      </c>
      <c r="AC277" s="454" t="s">
        <v>332</v>
      </c>
      <c r="AD277" s="454" t="s">
        <v>339</v>
      </c>
      <c r="AF277" s="1"/>
    </row>
    <row r="278" spans="1:32" ht="13.5" thickBot="1" x14ac:dyDescent="0.25">
      <c r="A278" s="453"/>
      <c r="B278" s="454"/>
      <c r="C278" s="454"/>
      <c r="D278" s="454"/>
      <c r="E278" s="454"/>
      <c r="F278" s="454"/>
      <c r="G278" s="454"/>
      <c r="H278" s="454"/>
      <c r="I278" s="454"/>
      <c r="J278" s="454"/>
      <c r="K278" s="454"/>
      <c r="L278" s="454"/>
      <c r="M278" s="454"/>
      <c r="N278" s="1"/>
      <c r="O278" s="454"/>
      <c r="P278" s="454"/>
      <c r="Q278" s="454"/>
      <c r="R278" s="454"/>
      <c r="S278" s="454"/>
      <c r="T278" s="454"/>
      <c r="U278" s="454"/>
      <c r="V278" s="454"/>
      <c r="W278" s="454"/>
      <c r="X278" s="454"/>
      <c r="Y278" s="454"/>
      <c r="Z278" s="454"/>
      <c r="AA278" s="454"/>
      <c r="AB278" s="454"/>
      <c r="AC278" s="454"/>
      <c r="AD278" s="454"/>
      <c r="AF278" s="1"/>
    </row>
    <row r="279" spans="1:32" ht="18" thickTop="1" thickBot="1" x14ac:dyDescent="0.25">
      <c r="A279" s="46" t="s">
        <v>13</v>
      </c>
      <c r="B279" s="52">
        <f>IFERROR(X22*H22,"0")+IFERROR(X23*H23,"0")+IFERROR(X24*H24,"0")+IFERROR(X25*H25,"0")+IFERROR(X26*H26,"0")+IFERROR(X27*H27,"0")</f>
        <v>0</v>
      </c>
      <c r="C279" s="52">
        <f>IFERROR(X32*H32,"0")+IFERROR(X33*H33,"0")</f>
        <v>0</v>
      </c>
      <c r="D279" s="52">
        <f>IFERROR(X39*H39,"0")+IFERROR(X40*H40,"0")</f>
        <v>0</v>
      </c>
      <c r="E279" s="52">
        <f>IFERROR(X45*H45,"0")+IFERROR(X46*H46,"0")+IFERROR(X47*H47,"0")</f>
        <v>0</v>
      </c>
      <c r="F279" s="52">
        <f>IFERROR(X52*H52,"0")+IFERROR(X53*H53,"0")+IFERROR(X54*H54,"0")+IFERROR(X55*H55,"0")</f>
        <v>0</v>
      </c>
      <c r="G279" s="52">
        <f>IFERROR(X60*H60,"0")+IFERROR(X64*H64,"0")+IFERROR(X68*H68,"0")+IFERROR(X69*H69,"0")+IFERROR(X73*H73,"0")+IFERROR(X74*H74,"0")+IFERROR(X75*H75,"0")</f>
        <v>0</v>
      </c>
      <c r="H279" s="52">
        <f>IFERROR(X80*H80,"0")+IFERROR(X81*H81,"0")</f>
        <v>0</v>
      </c>
      <c r="I279" s="52">
        <f>IFERROR(X86*H86,"0")</f>
        <v>0</v>
      </c>
      <c r="J279" s="52">
        <f>IFERROR(X91*H91,"0")+IFERROR(X92*H92,"0")</f>
        <v>0</v>
      </c>
      <c r="K279" s="52">
        <f>IFERROR(X97*H97,"0")+IFERROR(X98*H98,"0")+IFERROR(X99*H99,"0")+IFERROR(X100*H100,"0")+IFERROR(X101*H101,"0")+IFERROR(X102*H102,"0")</f>
        <v>0</v>
      </c>
      <c r="L279" s="52">
        <f>IFERROR(X107*H107,"0")+IFERROR(X108*H108,"0")</f>
        <v>0</v>
      </c>
      <c r="M279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79" s="1"/>
      <c r="O279" s="52">
        <f>IFERROR(X133*H133,"0")+IFERROR(X134*H134,"0")</f>
        <v>0</v>
      </c>
      <c r="P279" s="52">
        <f>IFERROR(X139*H139,"0")+IFERROR(X140*H140,"0")</f>
        <v>0</v>
      </c>
      <c r="Q279" s="52">
        <f>IFERROR(X145*H145,"0")+IFERROR(X146*H146,"0")</f>
        <v>0</v>
      </c>
      <c r="R279" s="52">
        <f>IFERROR(X151*H151,"0")</f>
        <v>0</v>
      </c>
      <c r="S279" s="52">
        <f>IFERROR(X156*H156,"0")</f>
        <v>0</v>
      </c>
      <c r="T279" s="52">
        <f>IFERROR(X161*H161,"0")</f>
        <v>0</v>
      </c>
      <c r="U279" s="52">
        <f>IFERROR(X166*H166,"0")</f>
        <v>0</v>
      </c>
      <c r="V279" s="52">
        <f>IFERROR(X172*H172,"0")+IFERROR(X173*H173,"0")</f>
        <v>0</v>
      </c>
      <c r="W279" s="52">
        <f>IFERROR(X179*H179,"0")+IFERROR(X180*H180,"0")+IFERROR(X181*H181,"0")+IFERROR(X185*H185,"0")</f>
        <v>0</v>
      </c>
      <c r="X279" s="52">
        <f>IFERROR(X191*H191,"0")+IFERROR(X195*H195,"0")+IFERROR(X196*H196,"0")+IFERROR(X197*H197,"0")+IFERROR(X198*H198,"0")+IFERROR(X199*H199,"0")</f>
        <v>0</v>
      </c>
      <c r="Y279" s="52">
        <f>IFERROR(X204*H204,"0")</f>
        <v>0</v>
      </c>
      <c r="Z279" s="52">
        <f>IFERROR(X209*H209,"0")+IFERROR(X213*H213,"0")+IFERROR(X214*H214,"0")</f>
        <v>0</v>
      </c>
      <c r="AA279" s="52">
        <f>IFERROR(X220*H220,"0")</f>
        <v>0</v>
      </c>
      <c r="AB279" s="52">
        <f>IFERROR(X226*H226,"0")</f>
        <v>0</v>
      </c>
      <c r="AC279" s="52">
        <f>IFERROR(X232*H232,"0")+IFERROR(X236*H236,"0")</f>
        <v>0</v>
      </c>
      <c r="AD279" s="52">
        <f>IFERROR(X242*H242,"0")+IFERROR(X243*H243,"0")+IFERROR(X247*H247,"0")+IFERROR(X251*H251,"0")+IFERROR(X252*H252,"0")+IFERROR(X253*H253,"0")+IFERROR(X257*H257,"0")+IFERROR(X258*H258,"0")+IFERROR(X259*H259,"0")+IFERROR(X260*H260,"0")+IFERROR(X261*H261,"0")+IFERROR(X262*H262,"0")+IFERROR(X263*H263,"0")+IFERROR(X264*H264,"0")+IFERROR(X265*H265,"0")+IFERROR(X266*H266,"0")</f>
        <v>0</v>
      </c>
      <c r="AF279" s="1"/>
    </row>
    <row r="280" spans="1:32" ht="13.5" thickTop="1" x14ac:dyDescent="0.2">
      <c r="C280" s="1"/>
    </row>
    <row r="281" spans="1:32" ht="19.5" customHeight="1" x14ac:dyDescent="0.2">
      <c r="A281" s="70" t="s">
        <v>62</v>
      </c>
      <c r="B281" s="70" t="s">
        <v>63</v>
      </c>
      <c r="C281" s="70" t="s">
        <v>65</v>
      </c>
    </row>
    <row r="282" spans="1:32" x14ac:dyDescent="0.2">
      <c r="A282" s="71">
        <f>SUMPRODUCT(--(BB:BB="ЗПФ"),--(W:W="кор"),H:H,Y:Y)+SUMPRODUCT(--(BB:BB="ЗПФ"),--(W:W="кг"),Y:Y)</f>
        <v>0</v>
      </c>
      <c r="B282" s="72">
        <f>SUMPRODUCT(--(BB:BB="ПГП"),--(W:W="кор"),H:H,Y:Y)+SUMPRODUCT(--(BB:BB="ПГП"),--(W:W="кг"),Y:Y)</f>
        <v>0</v>
      </c>
      <c r="C282" s="72">
        <f>SUMPRODUCT(--(BB:BB="КИЗ"),--(W:W="кор"),H:H,Y:Y)+SUMPRODUCT(--(BB:BB="КИЗ"),--(W:W="кг"),Y:Y)</f>
        <v>0</v>
      </c>
    </row>
  </sheetData>
  <sheetProtection algorithmName="SHA-512" hashValue="AFzdUnSjpFa7XzAqh6VUOzK5WOZB5DrmCECCy81R7k5xVyqzEYJqYZQeBA4esBNFizPOYYJdumEnlgFqj6r4gw==" saltValue="aNHn38JaXo/UveduyUydQ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8">
    <mergeCell ref="W277:W278"/>
    <mergeCell ref="X277:X278"/>
    <mergeCell ref="Y277:Y278"/>
    <mergeCell ref="Z277:Z278"/>
    <mergeCell ref="AA277:AA278"/>
    <mergeCell ref="AB277:AB278"/>
    <mergeCell ref="AC277:AC278"/>
    <mergeCell ref="AD277:AD278"/>
    <mergeCell ref="B276:C276"/>
    <mergeCell ref="D276:U276"/>
    <mergeCell ref="X276:Z276"/>
    <mergeCell ref="J277:J278"/>
    <mergeCell ref="K277:K278"/>
    <mergeCell ref="L277:L278"/>
    <mergeCell ref="M277:M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D266:E266"/>
    <mergeCell ref="P266:T266"/>
    <mergeCell ref="P267:V267"/>
    <mergeCell ref="A267:O268"/>
    <mergeCell ref="P268:V268"/>
    <mergeCell ref="P269:V269"/>
    <mergeCell ref="A269:O274"/>
    <mergeCell ref="P270:V270"/>
    <mergeCell ref="P271:V271"/>
    <mergeCell ref="P272:V272"/>
    <mergeCell ref="P273:V273"/>
    <mergeCell ref="P274:V274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6:Z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2:X266 X259 X257 X251 X242:X243 X236 X232 X220 X213:X214 X209 X204 X195:X199 X191 X185 X179:X180 X172 X166 X161 X156 X151 X145:X146 X139 X128 X124 X120 X117 X113:X114 X108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0:X261 X258 X252:X253 X247 X226 X181 X173 X133:X134 X118:X119 X115 X107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0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5rM4Ytvx/AnNxuF3a7OqlZ+06JmY2FU90goBM3JTohsMq574VSTPB3l2J+nAHywwomyBycEPdV9/lWKJD4ZrNw==" saltValue="ioXHquKppTRBq71nNXwq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