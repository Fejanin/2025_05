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5D9DA5-2DB2-4656-AFE4-7FE3BEA8804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заказа'!$X$269:$X$269</definedName>
    <definedName name="GrossWeightTotalR">'Бланк заказа'!$Y$269:$Y$269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заказа'!$X$270:$X$270</definedName>
    <definedName name="PalletQtyTotalR">'Бланк заказа'!$Y$270:$Y$270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заказа'!$B$51:$B$51</definedName>
    <definedName name="ProductId14">'Бланк заказа'!$B$52:$B$52</definedName>
    <definedName name="ProductId15">'Бланк заказа'!$B$53:$B$53</definedName>
    <definedName name="ProductId16">'Бланк заказа'!$B$58:$B$58</definedName>
    <definedName name="ProductId17">'Бланк заказа'!$B$62:$B$62</definedName>
    <definedName name="ProductId18">'Бланк заказа'!$B$66:$B$66</definedName>
    <definedName name="ProductId19">'Бланк заказа'!$B$67:$B$67</definedName>
    <definedName name="ProductId2">'Бланк заказа'!$B$23:$B$23</definedName>
    <definedName name="ProductId20">'Бланк заказа'!$B$71:$B$71</definedName>
    <definedName name="ProductId21">'Бланк заказа'!$B$72:$B$72</definedName>
    <definedName name="ProductId22">'Бланк заказа'!$B$73:$B$73</definedName>
    <definedName name="ProductId23">'Бланк заказа'!$B$78:$B$78</definedName>
    <definedName name="ProductId24">'Бланк заказа'!$B$79:$B$79</definedName>
    <definedName name="ProductId25">'Бланк заказа'!$B$84:$B$84</definedName>
    <definedName name="ProductId26">'Бланк заказа'!$B$89:$B$89</definedName>
    <definedName name="ProductId27">'Бланк заказа'!$B$90:$B$90</definedName>
    <definedName name="ProductId28">'Бланк заказа'!$B$95:$B$95</definedName>
    <definedName name="ProductId29">'Бланк заказа'!$B$96:$B$96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заказа'!$B$105:$B$105</definedName>
    <definedName name="ProductId35">'Бланк заказа'!$B$106:$B$106</definedName>
    <definedName name="ProductId36">'Бланк заказа'!$B$111:$B$111</definedName>
    <definedName name="ProductId37">'Бланк заказа'!$B$112:$B$112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заказа'!$B$122:$B$122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заказа'!$B$30:$B$30</definedName>
    <definedName name="ProductId50">'Бланк заказа'!$B$143:$B$143</definedName>
    <definedName name="ProductId51">'Бланк заказа'!$B$144:$B$144</definedName>
    <definedName name="ProductId52">'Бланк заказа'!$B$149:$B$149</definedName>
    <definedName name="ProductId53">'Бланк заказа'!$B$154:$B$154</definedName>
    <definedName name="ProductId54">'Бланк заказа'!$B$159:$B$159</definedName>
    <definedName name="ProductId55">'Бланк заказа'!$B$164:$B$164</definedName>
    <definedName name="ProductId56">'Бланк заказа'!$B$170:$B$170</definedName>
    <definedName name="ProductId57">'Бланк заказа'!$B$171:$B$171</definedName>
    <definedName name="ProductId58">'Бланк заказа'!$B$177:$B$177</definedName>
    <definedName name="ProductId59">'Бланк заказа'!$B$178:$B$178</definedName>
    <definedName name="ProductId6">'Бланк заказа'!$B$31:$B$31</definedName>
    <definedName name="ProductId60">'Бланк заказа'!$B$179:$B$179</definedName>
    <definedName name="ProductId61">'Бланк заказа'!$B$183:$B$183</definedName>
    <definedName name="ProductId62">'Бланк заказа'!$B$189:$B$189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заказа'!$B$218:$B$218</definedName>
    <definedName name="ProductId73">'Бланк заказа'!$B$224:$B$224</definedName>
    <definedName name="ProductId74">'Бланк заказа'!$B$230:$B$230</definedName>
    <definedName name="ProductId75">'Бланк заказа'!$B$234:$B$234</definedName>
    <definedName name="ProductId76">'Бланк заказа'!$B$240:$B$240</definedName>
    <definedName name="ProductId77">'Бланк заказа'!$B$241:$B$241</definedName>
    <definedName name="ProductId78">'Бланк заказа'!$B$245:$B$245</definedName>
    <definedName name="ProductId79">'Бланк заказа'!$B$246:$B$246</definedName>
    <definedName name="ProductId8">'Бланк заказа'!$B$38:$B$38</definedName>
    <definedName name="ProductId80">'Бланк заказа'!$B$250:$B$250</definedName>
    <definedName name="ProductId81">'Бланк заказа'!$B$251:$B$251</definedName>
    <definedName name="ProductId82">'Бланк заказа'!$B$252:$B$252</definedName>
    <definedName name="ProductId83">'Бланк заказа'!$B$256:$B$256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заказа'!$B$43:$B$43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заказа'!$X$51:$X$51</definedName>
    <definedName name="SalesQty14">'Бланк заказа'!$X$52:$X$52</definedName>
    <definedName name="SalesQty15">'Бланк заказа'!$X$53:$X$53</definedName>
    <definedName name="SalesQty16">'Бланк заказа'!$X$58:$X$58</definedName>
    <definedName name="SalesQty17">'Бланк заказа'!$X$62:$X$62</definedName>
    <definedName name="SalesQty18">'Бланк заказа'!$X$66:$X$66</definedName>
    <definedName name="SalesQty19">'Бланк заказа'!$X$67:$X$67</definedName>
    <definedName name="SalesQty2">'Бланк заказа'!$X$23:$X$23</definedName>
    <definedName name="SalesQty20">'Бланк заказа'!$X$71:$X$71</definedName>
    <definedName name="SalesQty21">'Бланк заказа'!$X$72:$X$72</definedName>
    <definedName name="SalesQty22">'Бланк заказа'!$X$73:$X$73</definedName>
    <definedName name="SalesQty23">'Бланк заказа'!$X$78:$X$78</definedName>
    <definedName name="SalesQty24">'Бланк заказа'!$X$79:$X$79</definedName>
    <definedName name="SalesQty25">'Бланк заказа'!$X$84:$X$84</definedName>
    <definedName name="SalesQty26">'Бланк заказа'!$X$89:$X$89</definedName>
    <definedName name="SalesQty27">'Бланк заказа'!$X$90:$X$90</definedName>
    <definedName name="SalesQty28">'Бланк заказа'!$X$95:$X$95</definedName>
    <definedName name="SalesQty29">'Бланк заказа'!$X$96:$X$96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заказа'!$X$105:$X$105</definedName>
    <definedName name="SalesQty35">'Бланк заказа'!$X$106:$X$106</definedName>
    <definedName name="SalesQty36">'Бланк заказа'!$X$111:$X$111</definedName>
    <definedName name="SalesQty37">'Бланк заказа'!$X$112:$X$112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заказа'!$X$122:$X$122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заказа'!$X$30:$X$30</definedName>
    <definedName name="SalesQty50">'Бланк заказа'!$X$143:$X$143</definedName>
    <definedName name="SalesQty51">'Бланк заказа'!$X$144:$X$144</definedName>
    <definedName name="SalesQty52">'Бланк заказа'!$X$149:$X$149</definedName>
    <definedName name="SalesQty53">'Бланк заказа'!$X$154:$X$154</definedName>
    <definedName name="SalesQty54">'Бланк заказа'!$X$159:$X$159</definedName>
    <definedName name="SalesQty55">'Бланк заказа'!$X$164:$X$164</definedName>
    <definedName name="SalesQty56">'Бланк заказа'!$X$170:$X$170</definedName>
    <definedName name="SalesQty57">'Бланк заказа'!$X$171:$X$171</definedName>
    <definedName name="SalesQty58">'Бланк заказа'!$X$177:$X$177</definedName>
    <definedName name="SalesQty59">'Бланк заказа'!$X$178:$X$178</definedName>
    <definedName name="SalesQty6">'Бланк заказа'!$X$31:$X$31</definedName>
    <definedName name="SalesQty60">'Бланк заказа'!$X$179:$X$179</definedName>
    <definedName name="SalesQty61">'Бланк заказа'!$X$183:$X$183</definedName>
    <definedName name="SalesQty62">'Бланк заказа'!$X$189:$X$189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заказа'!$X$218:$X$218</definedName>
    <definedName name="SalesQty73">'Бланк заказа'!$X$224:$X$224</definedName>
    <definedName name="SalesQty74">'Бланк заказа'!$X$230:$X$230</definedName>
    <definedName name="SalesQty75">'Бланк заказа'!$X$234:$X$234</definedName>
    <definedName name="SalesQty76">'Бланк заказа'!$X$240:$X$240</definedName>
    <definedName name="SalesQty77">'Бланк заказа'!$X$241:$X$241</definedName>
    <definedName name="SalesQty78">'Бланк заказа'!$X$245:$X$245</definedName>
    <definedName name="SalesQty79">'Бланк заказа'!$X$246:$X$246</definedName>
    <definedName name="SalesQty8">'Бланк заказа'!$X$38:$X$38</definedName>
    <definedName name="SalesQty80">'Бланк заказа'!$X$250:$X$250</definedName>
    <definedName name="SalesQty81">'Бланк заказа'!$X$251:$X$251</definedName>
    <definedName name="SalesQty82">'Бланк заказа'!$X$252:$X$252</definedName>
    <definedName name="SalesQty83">'Бланк заказа'!$X$256:$X$256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заказа'!$X$43:$X$43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заказа'!$Y$51:$Y$51</definedName>
    <definedName name="SalesRoundBox14">'Бланк заказа'!$Y$52:$Y$52</definedName>
    <definedName name="SalesRoundBox15">'Бланк заказа'!$Y$53:$Y$53</definedName>
    <definedName name="SalesRoundBox16">'Бланк заказа'!$Y$58:$Y$58</definedName>
    <definedName name="SalesRoundBox17">'Бланк заказа'!$Y$62:$Y$62</definedName>
    <definedName name="SalesRoundBox18">'Бланк заказа'!$Y$66:$Y$66</definedName>
    <definedName name="SalesRoundBox19">'Бланк заказа'!$Y$67:$Y$67</definedName>
    <definedName name="SalesRoundBox2">'Бланк заказа'!$Y$23:$Y$23</definedName>
    <definedName name="SalesRoundBox20">'Бланк заказа'!$Y$71:$Y$71</definedName>
    <definedName name="SalesRoundBox21">'Бланк заказа'!$Y$72:$Y$72</definedName>
    <definedName name="SalesRoundBox22">'Бланк заказа'!$Y$73:$Y$73</definedName>
    <definedName name="SalesRoundBox23">'Бланк заказа'!$Y$78:$Y$78</definedName>
    <definedName name="SalesRoundBox24">'Бланк заказа'!$Y$79:$Y$79</definedName>
    <definedName name="SalesRoundBox25">'Бланк заказа'!$Y$84:$Y$84</definedName>
    <definedName name="SalesRoundBox26">'Бланк заказа'!$Y$89:$Y$89</definedName>
    <definedName name="SalesRoundBox27">'Бланк заказа'!$Y$90:$Y$90</definedName>
    <definedName name="SalesRoundBox28">'Бланк заказа'!$Y$95:$Y$95</definedName>
    <definedName name="SalesRoundBox29">'Бланк заказа'!$Y$96:$Y$96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заказа'!$Y$105:$Y$105</definedName>
    <definedName name="SalesRoundBox35">'Бланк заказа'!$Y$106:$Y$106</definedName>
    <definedName name="SalesRoundBox36">'Бланк заказа'!$Y$111:$Y$111</definedName>
    <definedName name="SalesRoundBox37">'Бланк заказа'!$Y$112:$Y$112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заказа'!$Y$122:$Y$122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заказа'!$Y$30:$Y$30</definedName>
    <definedName name="SalesRoundBox50">'Бланк заказа'!$Y$143:$Y$143</definedName>
    <definedName name="SalesRoundBox51">'Бланк заказа'!$Y$144:$Y$144</definedName>
    <definedName name="SalesRoundBox52">'Бланк заказа'!$Y$149:$Y$149</definedName>
    <definedName name="SalesRoundBox53">'Бланк заказа'!$Y$154:$Y$154</definedName>
    <definedName name="SalesRoundBox54">'Бланк заказа'!$Y$159:$Y$159</definedName>
    <definedName name="SalesRoundBox55">'Бланк заказа'!$Y$164:$Y$164</definedName>
    <definedName name="SalesRoundBox56">'Бланк заказа'!$Y$170:$Y$170</definedName>
    <definedName name="SalesRoundBox57">'Бланк заказа'!$Y$171:$Y$171</definedName>
    <definedName name="SalesRoundBox58">'Бланк заказа'!$Y$177:$Y$177</definedName>
    <definedName name="SalesRoundBox59">'Бланк заказа'!$Y$178:$Y$178</definedName>
    <definedName name="SalesRoundBox6">'Бланк заказа'!$Y$31:$Y$31</definedName>
    <definedName name="SalesRoundBox60">'Бланк заказа'!$Y$179:$Y$179</definedName>
    <definedName name="SalesRoundBox61">'Бланк заказа'!$Y$183:$Y$183</definedName>
    <definedName name="SalesRoundBox62">'Бланк заказа'!$Y$189:$Y$189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заказа'!$Y$218:$Y$218</definedName>
    <definedName name="SalesRoundBox73">'Бланк заказа'!$Y$224:$Y$224</definedName>
    <definedName name="SalesRoundBox74">'Бланк заказа'!$Y$230:$Y$230</definedName>
    <definedName name="SalesRoundBox75">'Бланк заказа'!$Y$234:$Y$234</definedName>
    <definedName name="SalesRoundBox76">'Бланк заказа'!$Y$240:$Y$240</definedName>
    <definedName name="SalesRoundBox77">'Бланк заказа'!$Y$241:$Y$241</definedName>
    <definedName name="SalesRoundBox78">'Бланк заказа'!$Y$245:$Y$245</definedName>
    <definedName name="SalesRoundBox79">'Бланк заказа'!$Y$246:$Y$246</definedName>
    <definedName name="SalesRoundBox8">'Бланк заказа'!$Y$38:$Y$38</definedName>
    <definedName name="SalesRoundBox80">'Бланк заказа'!$Y$250:$Y$250</definedName>
    <definedName name="SalesRoundBox81">'Бланк заказа'!$Y$251:$Y$251</definedName>
    <definedName name="SalesRoundBox82">'Бланк заказа'!$Y$252:$Y$252</definedName>
    <definedName name="SalesRoundBox83">'Бланк заказа'!$Y$256:$Y$256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заказа'!$Y$43:$Y$43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заказа'!$W$51:$W$51</definedName>
    <definedName name="UnitOfMeasure14">'Бланк заказа'!$W$52:$W$52</definedName>
    <definedName name="UnitOfMeasure15">'Бланк заказа'!$W$53:$W$53</definedName>
    <definedName name="UnitOfMeasure16">'Бланк заказа'!$W$58:$W$58</definedName>
    <definedName name="UnitOfMeasure17">'Бланк заказа'!$W$62:$W$62</definedName>
    <definedName name="UnitOfMeasure18">'Бланк заказа'!$W$66:$W$66</definedName>
    <definedName name="UnitOfMeasure19">'Бланк заказа'!$W$67:$W$67</definedName>
    <definedName name="UnitOfMeasure2">'Бланк заказа'!$W$23:$W$23</definedName>
    <definedName name="UnitOfMeasure20">'Бланк заказа'!$W$71:$W$71</definedName>
    <definedName name="UnitOfMeasure21">'Бланк заказа'!$W$72:$W$72</definedName>
    <definedName name="UnitOfMeasure22">'Бланк заказа'!$W$73:$W$73</definedName>
    <definedName name="UnitOfMeasure23">'Бланк заказа'!$W$78:$W$78</definedName>
    <definedName name="UnitOfMeasure24">'Бланк заказа'!$W$79:$W$79</definedName>
    <definedName name="UnitOfMeasure25">'Бланк заказа'!$W$84:$W$84</definedName>
    <definedName name="UnitOfMeasure26">'Бланк заказа'!$W$89:$W$89</definedName>
    <definedName name="UnitOfMeasure27">'Бланк заказа'!$W$90:$W$90</definedName>
    <definedName name="UnitOfMeasure28">'Бланк заказа'!$W$95:$W$95</definedName>
    <definedName name="UnitOfMeasure29">'Бланк заказа'!$W$96:$W$96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заказа'!$W$105:$W$105</definedName>
    <definedName name="UnitOfMeasure35">'Бланк заказа'!$W$106:$W$106</definedName>
    <definedName name="UnitOfMeasure36">'Бланк заказа'!$W$111:$W$111</definedName>
    <definedName name="UnitOfMeasure37">'Бланк заказа'!$W$112:$W$112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заказа'!$W$122:$W$122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заказа'!$W$30:$W$30</definedName>
    <definedName name="UnitOfMeasure50">'Бланк заказа'!$W$143:$W$143</definedName>
    <definedName name="UnitOfMeasure51">'Бланк заказа'!$W$144:$W$144</definedName>
    <definedName name="UnitOfMeasure52">'Бланк заказа'!$W$149:$W$149</definedName>
    <definedName name="UnitOfMeasure53">'Бланк заказа'!$W$154:$W$154</definedName>
    <definedName name="UnitOfMeasure54">'Бланк заказа'!$W$159:$W$159</definedName>
    <definedName name="UnitOfMeasure55">'Бланк заказа'!$W$164:$W$164</definedName>
    <definedName name="UnitOfMeasure56">'Бланк заказа'!$W$170:$W$170</definedName>
    <definedName name="UnitOfMeasure57">'Бланк заказа'!$W$171:$W$171</definedName>
    <definedName name="UnitOfMeasure58">'Бланк заказа'!$W$177:$W$177</definedName>
    <definedName name="UnitOfMeasure59">'Бланк заказа'!$W$178:$W$178</definedName>
    <definedName name="UnitOfMeasure6">'Бланк заказа'!$W$31:$W$31</definedName>
    <definedName name="UnitOfMeasure60">'Бланк заказа'!$W$179:$W$179</definedName>
    <definedName name="UnitOfMeasure61">'Бланк заказа'!$W$183:$W$183</definedName>
    <definedName name="UnitOfMeasure62">'Бланк заказа'!$W$189:$W$189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заказа'!$W$218:$W$218</definedName>
    <definedName name="UnitOfMeasure73">'Бланк заказа'!$W$224:$W$224</definedName>
    <definedName name="UnitOfMeasure74">'Бланк заказа'!$W$230:$W$230</definedName>
    <definedName name="UnitOfMeasure75">'Бланк заказа'!$W$234:$W$234</definedName>
    <definedName name="UnitOfMeasure76">'Бланк заказа'!$W$240:$W$240</definedName>
    <definedName name="UnitOfMeasure77">'Бланк заказа'!$W$241:$W$241</definedName>
    <definedName name="UnitOfMeasure78">'Бланк заказа'!$W$245:$W$245</definedName>
    <definedName name="UnitOfMeasure79">'Бланк заказа'!$W$246:$W$246</definedName>
    <definedName name="UnitOfMeasure8">'Бланк заказа'!$W$38:$W$38</definedName>
    <definedName name="UnitOfMeasure80">'Бланк заказа'!$W$250:$W$250</definedName>
    <definedName name="UnitOfMeasure81">'Бланк заказа'!$W$251:$W$251</definedName>
    <definedName name="UnitOfMeasure82">'Бланк заказа'!$W$252:$W$252</definedName>
    <definedName name="UnitOfMeasure83">'Бланк заказа'!$W$256:$W$256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заказа'!$W$43:$W$43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8" i="2" l="1"/>
  <c r="AC278" i="2"/>
  <c r="Z278" i="2"/>
  <c r="W278" i="2"/>
  <c r="U278" i="2"/>
  <c r="S278" i="2"/>
  <c r="R278" i="2"/>
  <c r="L278" i="2"/>
  <c r="D278" i="2"/>
  <c r="C278" i="2"/>
  <c r="B278" i="2"/>
  <c r="X267" i="2"/>
  <c r="X266" i="2"/>
  <c r="BO265" i="2"/>
  <c r="BM265" i="2"/>
  <c r="Z265" i="2"/>
  <c r="Y265" i="2"/>
  <c r="BN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N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P259" i="2"/>
  <c r="BO259" i="2"/>
  <c r="BN259" i="2"/>
  <c r="BM259" i="2"/>
  <c r="Z259" i="2"/>
  <c r="Y259" i="2"/>
  <c r="P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O256" i="2"/>
  <c r="BM256" i="2"/>
  <c r="Z256" i="2"/>
  <c r="Z266" i="2" s="1"/>
  <c r="Y256" i="2"/>
  <c r="BN256" i="2" s="1"/>
  <c r="P256" i="2"/>
  <c r="X254" i="2"/>
  <c r="X253" i="2"/>
  <c r="BO252" i="2"/>
  <c r="BM252" i="2"/>
  <c r="Z252" i="2"/>
  <c r="Y252" i="2"/>
  <c r="P252" i="2"/>
  <c r="BO251" i="2"/>
  <c r="BM251" i="2"/>
  <c r="Z251" i="2"/>
  <c r="Y251" i="2"/>
  <c r="BP251" i="2" s="1"/>
  <c r="P251" i="2"/>
  <c r="BP250" i="2"/>
  <c r="BO250" i="2"/>
  <c r="BN250" i="2"/>
  <c r="BM250" i="2"/>
  <c r="Z250" i="2"/>
  <c r="Z253" i="2" s="1"/>
  <c r="Y250" i="2"/>
  <c r="P250" i="2"/>
  <c r="X248" i="2"/>
  <c r="X247" i="2"/>
  <c r="BO246" i="2"/>
  <c r="BN246" i="2"/>
  <c r="BM246" i="2"/>
  <c r="Z246" i="2"/>
  <c r="Y246" i="2"/>
  <c r="BP246" i="2" s="1"/>
  <c r="P246" i="2"/>
  <c r="BO245" i="2"/>
  <c r="BM245" i="2"/>
  <c r="Z245" i="2"/>
  <c r="Z247" i="2" s="1"/>
  <c r="Y245" i="2"/>
  <c r="BN245" i="2" s="1"/>
  <c r="P245" i="2"/>
  <c r="X243" i="2"/>
  <c r="X242" i="2"/>
  <c r="BO241" i="2"/>
  <c r="BM241" i="2"/>
  <c r="Z241" i="2"/>
  <c r="Y241" i="2"/>
  <c r="BP241" i="2" s="1"/>
  <c r="P241" i="2"/>
  <c r="BO240" i="2"/>
  <c r="BM240" i="2"/>
  <c r="Z240" i="2"/>
  <c r="Z242" i="2" s="1"/>
  <c r="Y240" i="2"/>
  <c r="Y242" i="2" s="1"/>
  <c r="P240" i="2"/>
  <c r="X236" i="2"/>
  <c r="X235" i="2"/>
  <c r="BO234" i="2"/>
  <c r="BM234" i="2"/>
  <c r="Z234" i="2"/>
  <c r="Z235" i="2" s="1"/>
  <c r="Y234" i="2"/>
  <c r="Y235" i="2" s="1"/>
  <c r="P234" i="2"/>
  <c r="X232" i="2"/>
  <c r="Z231" i="2"/>
  <c r="X231" i="2"/>
  <c r="BO230" i="2"/>
  <c r="BM230" i="2"/>
  <c r="Z230" i="2"/>
  <c r="Y230" i="2"/>
  <c r="Y231" i="2" s="1"/>
  <c r="P230" i="2"/>
  <c r="X226" i="2"/>
  <c r="X225" i="2"/>
  <c r="AB278" i="2" s="1"/>
  <c r="BO224" i="2"/>
  <c r="BM224" i="2"/>
  <c r="Z224" i="2"/>
  <c r="Z225" i="2" s="1"/>
  <c r="Y224" i="2"/>
  <c r="Y226" i="2" s="1"/>
  <c r="P224" i="2"/>
  <c r="X220" i="2"/>
  <c r="X219" i="2"/>
  <c r="AA278" i="2" s="1"/>
  <c r="BO218" i="2"/>
  <c r="BM218" i="2"/>
  <c r="Z218" i="2"/>
  <c r="Z219" i="2" s="1"/>
  <c r="Y218" i="2"/>
  <c r="Y219" i="2" s="1"/>
  <c r="P218" i="2"/>
  <c r="X214" i="2"/>
  <c r="X213" i="2"/>
  <c r="BO212" i="2"/>
  <c r="BM212" i="2"/>
  <c r="Z212" i="2"/>
  <c r="Y212" i="2"/>
  <c r="BP212" i="2" s="1"/>
  <c r="P212" i="2"/>
  <c r="BO211" i="2"/>
  <c r="BM211" i="2"/>
  <c r="Z211" i="2"/>
  <c r="Y211" i="2"/>
  <c r="BP211" i="2" s="1"/>
  <c r="P211" i="2"/>
  <c r="BO210" i="2"/>
  <c r="BM210" i="2"/>
  <c r="Z210" i="2"/>
  <c r="Y210" i="2"/>
  <c r="Y214" i="2" s="1"/>
  <c r="P210" i="2"/>
  <c r="X208" i="2"/>
  <c r="X207" i="2"/>
  <c r="BO206" i="2"/>
  <c r="BM206" i="2"/>
  <c r="Z206" i="2"/>
  <c r="Z207" i="2" s="1"/>
  <c r="Y206" i="2"/>
  <c r="Y208" i="2" s="1"/>
  <c r="P206" i="2"/>
  <c r="Y203" i="2"/>
  <c r="X203" i="2"/>
  <c r="Y278" i="2" s="1"/>
  <c r="X202" i="2"/>
  <c r="BO201" i="2"/>
  <c r="BM201" i="2"/>
  <c r="Z201" i="2"/>
  <c r="Z202" i="2" s="1"/>
  <c r="Y201" i="2"/>
  <c r="BN201" i="2" s="1"/>
  <c r="P201" i="2"/>
  <c r="X198" i="2"/>
  <c r="X197" i="2"/>
  <c r="BO196" i="2"/>
  <c r="BM196" i="2"/>
  <c r="Z196" i="2"/>
  <c r="Y196" i="2"/>
  <c r="P196" i="2"/>
  <c r="BO195" i="2"/>
  <c r="BM195" i="2"/>
  <c r="Z195" i="2"/>
  <c r="Y195" i="2"/>
  <c r="BP195" i="2" s="1"/>
  <c r="P195" i="2"/>
  <c r="BO194" i="2"/>
  <c r="BM194" i="2"/>
  <c r="Z194" i="2"/>
  <c r="Y194" i="2"/>
  <c r="BO193" i="2"/>
  <c r="BM193" i="2"/>
  <c r="Z193" i="2"/>
  <c r="Y193" i="2"/>
  <c r="BP193" i="2" s="1"/>
  <c r="P193" i="2"/>
  <c r="X191" i="2"/>
  <c r="X278" i="2" s="1"/>
  <c r="X190" i="2"/>
  <c r="BO189" i="2"/>
  <c r="BM189" i="2"/>
  <c r="Z189" i="2"/>
  <c r="Z190" i="2" s="1"/>
  <c r="Y189" i="2"/>
  <c r="Y191" i="2" s="1"/>
  <c r="P189" i="2"/>
  <c r="Y185" i="2"/>
  <c r="X185" i="2"/>
  <c r="X184" i="2"/>
  <c r="BO183" i="2"/>
  <c r="BN183" i="2"/>
  <c r="BM183" i="2"/>
  <c r="Z183" i="2"/>
  <c r="Z184" i="2" s="1"/>
  <c r="Y183" i="2"/>
  <c r="BP183" i="2" s="1"/>
  <c r="X181" i="2"/>
  <c r="X180" i="2"/>
  <c r="BO179" i="2"/>
  <c r="BM179" i="2"/>
  <c r="Z179" i="2"/>
  <c r="Y179" i="2"/>
  <c r="P179" i="2"/>
  <c r="BO178" i="2"/>
  <c r="BN178" i="2"/>
  <c r="BM178" i="2"/>
  <c r="Z178" i="2"/>
  <c r="Y178" i="2"/>
  <c r="BP178" i="2" s="1"/>
  <c r="P178" i="2"/>
  <c r="BO177" i="2"/>
  <c r="BM177" i="2"/>
  <c r="Z177" i="2"/>
  <c r="Y177" i="2"/>
  <c r="Y180" i="2" s="1"/>
  <c r="P177" i="2"/>
  <c r="X173" i="2"/>
  <c r="X172" i="2"/>
  <c r="BO171" i="2"/>
  <c r="BM171" i="2"/>
  <c r="Z171" i="2"/>
  <c r="Y171" i="2"/>
  <c r="BP171" i="2" s="1"/>
  <c r="P171" i="2"/>
  <c r="BO170" i="2"/>
  <c r="BM170" i="2"/>
  <c r="Z170" i="2"/>
  <c r="Z172" i="2" s="1"/>
  <c r="Y170" i="2"/>
  <c r="Y172" i="2" s="1"/>
  <c r="P170" i="2"/>
  <c r="X166" i="2"/>
  <c r="X165" i="2"/>
  <c r="BO164" i="2"/>
  <c r="BM164" i="2"/>
  <c r="Z164" i="2"/>
  <c r="Z165" i="2" s="1"/>
  <c r="Y164" i="2"/>
  <c r="Y165" i="2" s="1"/>
  <c r="P164" i="2"/>
  <c r="X161" i="2"/>
  <c r="Z160" i="2"/>
  <c r="X160" i="2"/>
  <c r="BO159" i="2"/>
  <c r="BM159" i="2"/>
  <c r="Z159" i="2"/>
  <c r="Y159" i="2"/>
  <c r="Y160" i="2" s="1"/>
  <c r="P159" i="2"/>
  <c r="X156" i="2"/>
  <c r="X155" i="2"/>
  <c r="T278" i="2" s="1"/>
  <c r="BO154" i="2"/>
  <c r="BM154" i="2"/>
  <c r="Z154" i="2"/>
  <c r="Z155" i="2" s="1"/>
  <c r="Y154" i="2"/>
  <c r="Y156" i="2" s="1"/>
  <c r="P154" i="2"/>
  <c r="X151" i="2"/>
  <c r="X150" i="2"/>
  <c r="BO149" i="2"/>
  <c r="BM149" i="2"/>
  <c r="Z149" i="2"/>
  <c r="Z150" i="2" s="1"/>
  <c r="Y149" i="2"/>
  <c r="Y150" i="2" s="1"/>
  <c r="P149" i="2"/>
  <c r="X146" i="2"/>
  <c r="X145" i="2"/>
  <c r="BO144" i="2"/>
  <c r="BM144" i="2"/>
  <c r="Z144" i="2"/>
  <c r="Y144" i="2"/>
  <c r="BP144" i="2" s="1"/>
  <c r="P144" i="2"/>
  <c r="BO143" i="2"/>
  <c r="BM143" i="2"/>
  <c r="Z143" i="2"/>
  <c r="Z145" i="2" s="1"/>
  <c r="Y143" i="2"/>
  <c r="BP143" i="2" s="1"/>
  <c r="P143" i="2"/>
  <c r="X140" i="2"/>
  <c r="X139" i="2"/>
  <c r="Q278" i="2" s="1"/>
  <c r="BO138" i="2"/>
  <c r="BM138" i="2"/>
  <c r="Z138" i="2"/>
  <c r="Y138" i="2"/>
  <c r="BN138" i="2" s="1"/>
  <c r="P138" i="2"/>
  <c r="BP137" i="2"/>
  <c r="BO137" i="2"/>
  <c r="BN137" i="2"/>
  <c r="BM137" i="2"/>
  <c r="Z137" i="2"/>
  <c r="Z139" i="2" s="1"/>
  <c r="Y137" i="2"/>
  <c r="P137" i="2"/>
  <c r="X134" i="2"/>
  <c r="P278" i="2" s="1"/>
  <c r="X133" i="2"/>
  <c r="BO132" i="2"/>
  <c r="BM132" i="2"/>
  <c r="Z132" i="2"/>
  <c r="Y132" i="2"/>
  <c r="BN132" i="2" s="1"/>
  <c r="P132" i="2"/>
  <c r="BO131" i="2"/>
  <c r="BN131" i="2"/>
  <c r="BM131" i="2"/>
  <c r="Z131" i="2"/>
  <c r="Z133" i="2" s="1"/>
  <c r="Y131" i="2"/>
  <c r="BP131" i="2" s="1"/>
  <c r="P131" i="2"/>
  <c r="X128" i="2"/>
  <c r="O278" i="2" s="1"/>
  <c r="Y127" i="2"/>
  <c r="X127" i="2"/>
  <c r="BO126" i="2"/>
  <c r="BM126" i="2"/>
  <c r="Z126" i="2"/>
  <c r="Z127" i="2" s="1"/>
  <c r="Y126" i="2"/>
  <c r="BP126" i="2" s="1"/>
  <c r="P126" i="2"/>
  <c r="X124" i="2"/>
  <c r="X123" i="2"/>
  <c r="M278" i="2" s="1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P113" i="2"/>
  <c r="BO113" i="2"/>
  <c r="BN113" i="2"/>
  <c r="BM113" i="2"/>
  <c r="Z113" i="2"/>
  <c r="Y113" i="2"/>
  <c r="P113" i="2"/>
  <c r="BO112" i="2"/>
  <c r="BM112" i="2"/>
  <c r="Z112" i="2"/>
  <c r="Y112" i="2"/>
  <c r="BP112" i="2" s="1"/>
  <c r="P112" i="2"/>
  <c r="BO111" i="2"/>
  <c r="BM111" i="2"/>
  <c r="Z111" i="2"/>
  <c r="Y111" i="2"/>
  <c r="Y120" i="2" s="1"/>
  <c r="P111" i="2"/>
  <c r="X108" i="2"/>
  <c r="X107" i="2"/>
  <c r="BO106" i="2"/>
  <c r="BM106" i="2"/>
  <c r="Z106" i="2"/>
  <c r="Y106" i="2"/>
  <c r="BP106" i="2" s="1"/>
  <c r="P106" i="2"/>
  <c r="BO105" i="2"/>
  <c r="BM105" i="2"/>
  <c r="Z105" i="2"/>
  <c r="Z107" i="2" s="1"/>
  <c r="Y105" i="2"/>
  <c r="BP105" i="2" s="1"/>
  <c r="P105" i="2"/>
  <c r="X102" i="2"/>
  <c r="X101" i="2"/>
  <c r="K278" i="2" s="1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P98" i="2"/>
  <c r="BO97" i="2"/>
  <c r="BM97" i="2"/>
  <c r="Z97" i="2"/>
  <c r="Y97" i="2"/>
  <c r="BN97" i="2" s="1"/>
  <c r="P97" i="2"/>
  <c r="BO96" i="2"/>
  <c r="BM96" i="2"/>
  <c r="Z96" i="2"/>
  <c r="Y96" i="2"/>
  <c r="BP96" i="2" s="1"/>
  <c r="P96" i="2"/>
  <c r="BP95" i="2"/>
  <c r="BO95" i="2"/>
  <c r="BN95" i="2"/>
  <c r="BM95" i="2"/>
  <c r="Z95" i="2"/>
  <c r="Z101" i="2" s="1"/>
  <c r="Y95" i="2"/>
  <c r="P95" i="2"/>
  <c r="X92" i="2"/>
  <c r="X91" i="2"/>
  <c r="J278" i="2" s="1"/>
  <c r="BP90" i="2"/>
  <c r="BO90" i="2"/>
  <c r="BN90" i="2"/>
  <c r="BM90" i="2"/>
  <c r="Z90" i="2"/>
  <c r="Y90" i="2"/>
  <c r="P90" i="2"/>
  <c r="BO89" i="2"/>
  <c r="BM89" i="2"/>
  <c r="Z89" i="2"/>
  <c r="Y89" i="2"/>
  <c r="BP89" i="2" s="1"/>
  <c r="P89" i="2"/>
  <c r="X86" i="2"/>
  <c r="X85" i="2"/>
  <c r="BO84" i="2"/>
  <c r="BM84" i="2"/>
  <c r="Z84" i="2"/>
  <c r="Z85" i="2" s="1"/>
  <c r="Y84" i="2"/>
  <c r="Y86" i="2" s="1"/>
  <c r="P84" i="2"/>
  <c r="X81" i="2"/>
  <c r="X80" i="2"/>
  <c r="I278" i="2" s="1"/>
  <c r="BO79" i="2"/>
  <c r="BM79" i="2"/>
  <c r="Z79" i="2"/>
  <c r="Y79" i="2"/>
  <c r="BP79" i="2" s="1"/>
  <c r="P79" i="2"/>
  <c r="BO78" i="2"/>
  <c r="BM78" i="2"/>
  <c r="Z78" i="2"/>
  <c r="Z80" i="2" s="1"/>
  <c r="Y78" i="2"/>
  <c r="Y80" i="2" s="1"/>
  <c r="P78" i="2"/>
  <c r="X75" i="2"/>
  <c r="X74" i="2"/>
  <c r="H278" i="2" s="1"/>
  <c r="BO73" i="2"/>
  <c r="BM73" i="2"/>
  <c r="Z73" i="2"/>
  <c r="Y73" i="2"/>
  <c r="BP73" i="2" s="1"/>
  <c r="P73" i="2"/>
  <c r="BO72" i="2"/>
  <c r="BM72" i="2"/>
  <c r="Z72" i="2"/>
  <c r="Y72" i="2"/>
  <c r="BP72" i="2" s="1"/>
  <c r="P72" i="2"/>
  <c r="BO71" i="2"/>
  <c r="BM71" i="2"/>
  <c r="Z71" i="2"/>
  <c r="Z74" i="2" s="1"/>
  <c r="Y71" i="2"/>
  <c r="Y74" i="2" s="1"/>
  <c r="P71" i="2"/>
  <c r="X69" i="2"/>
  <c r="G278" i="2" s="1"/>
  <c r="X68" i="2"/>
  <c r="BO67" i="2"/>
  <c r="BM67" i="2"/>
  <c r="Z67" i="2"/>
  <c r="Y67" i="2"/>
  <c r="P67" i="2"/>
  <c r="BO66" i="2"/>
  <c r="BM66" i="2"/>
  <c r="Z66" i="2"/>
  <c r="Z68" i="2" s="1"/>
  <c r="Y66" i="2"/>
  <c r="BP66" i="2" s="1"/>
  <c r="P66" i="2"/>
  <c r="X64" i="2"/>
  <c r="X63" i="2"/>
  <c r="BO62" i="2"/>
  <c r="BM62" i="2"/>
  <c r="Z62" i="2"/>
  <c r="Z63" i="2" s="1"/>
  <c r="Y62" i="2"/>
  <c r="Y64" i="2" s="1"/>
  <c r="P62" i="2"/>
  <c r="X60" i="2"/>
  <c r="X59" i="2"/>
  <c r="BO58" i="2"/>
  <c r="BM58" i="2"/>
  <c r="Z58" i="2"/>
  <c r="Z59" i="2" s="1"/>
  <c r="Y58" i="2"/>
  <c r="Y60" i="2" s="1"/>
  <c r="P58" i="2"/>
  <c r="X55" i="2"/>
  <c r="X54" i="2"/>
  <c r="BO53" i="2"/>
  <c r="BM53" i="2"/>
  <c r="Z53" i="2"/>
  <c r="Y53" i="2"/>
  <c r="BP53" i="2" s="1"/>
  <c r="P53" i="2"/>
  <c r="BO52" i="2"/>
  <c r="BM52" i="2"/>
  <c r="Z52" i="2"/>
  <c r="Y52" i="2"/>
  <c r="BP52" i="2" s="1"/>
  <c r="P52" i="2"/>
  <c r="BP51" i="2"/>
  <c r="BO51" i="2"/>
  <c r="BN51" i="2"/>
  <c r="BM51" i="2"/>
  <c r="Z51" i="2"/>
  <c r="Y51" i="2"/>
  <c r="P51" i="2"/>
  <c r="BO50" i="2"/>
  <c r="BM50" i="2"/>
  <c r="Z50" i="2"/>
  <c r="Z54" i="2" s="1"/>
  <c r="Y50" i="2"/>
  <c r="BP50" i="2" s="1"/>
  <c r="P50" i="2"/>
  <c r="X47" i="2"/>
  <c r="E278" i="2" s="1"/>
  <c r="X46" i="2"/>
  <c r="BP45" i="2"/>
  <c r="BO45" i="2"/>
  <c r="BN45" i="2"/>
  <c r="BM45" i="2"/>
  <c r="Z45" i="2"/>
  <c r="Y45" i="2"/>
  <c r="P45" i="2"/>
  <c r="BO44" i="2"/>
  <c r="BM44" i="2"/>
  <c r="Z44" i="2"/>
  <c r="Y44" i="2"/>
  <c r="BP44" i="2" s="1"/>
  <c r="P44" i="2"/>
  <c r="BO43" i="2"/>
  <c r="BM43" i="2"/>
  <c r="Z43" i="2"/>
  <c r="Z46" i="2" s="1"/>
  <c r="Y43" i="2"/>
  <c r="P43" i="2"/>
  <c r="X40" i="2"/>
  <c r="X39" i="2"/>
  <c r="X272" i="2" s="1"/>
  <c r="BO38" i="2"/>
  <c r="BM38" i="2"/>
  <c r="Z38" i="2"/>
  <c r="Y38" i="2"/>
  <c r="BP38" i="2" s="1"/>
  <c r="P38" i="2"/>
  <c r="BO37" i="2"/>
  <c r="BM37" i="2"/>
  <c r="Z37" i="2"/>
  <c r="Z39" i="2" s="1"/>
  <c r="Y37" i="2"/>
  <c r="P37" i="2"/>
  <c r="X33" i="2"/>
  <c r="X32" i="2"/>
  <c r="X268" i="2" s="1"/>
  <c r="BO31" i="2"/>
  <c r="BN31" i="2"/>
  <c r="BM31" i="2"/>
  <c r="Z31" i="2"/>
  <c r="Y31" i="2"/>
  <c r="P31" i="2"/>
  <c r="BO30" i="2"/>
  <c r="BM30" i="2"/>
  <c r="Z30" i="2"/>
  <c r="Y30" i="2"/>
  <c r="BP30" i="2" s="1"/>
  <c r="P30" i="2"/>
  <c r="X27" i="2"/>
  <c r="X26" i="2"/>
  <c r="BP25" i="2"/>
  <c r="BO25" i="2"/>
  <c r="BN25" i="2"/>
  <c r="BM25" i="2"/>
  <c r="Z25" i="2"/>
  <c r="Y25" i="2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X269" i="2" s="1"/>
  <c r="Z22" i="2"/>
  <c r="Y22" i="2"/>
  <c r="Y27" i="2" s="1"/>
  <c r="P22" i="2"/>
  <c r="H10" i="2"/>
  <c r="A9" i="2"/>
  <c r="F10" i="2" s="1"/>
  <c r="D7" i="2"/>
  <c r="Q6" i="2"/>
  <c r="P2" i="2"/>
  <c r="Y54" i="2" l="1"/>
  <c r="Y75" i="2"/>
  <c r="BP78" i="2"/>
  <c r="Z91" i="2"/>
  <c r="Y91" i="2"/>
  <c r="BP97" i="2"/>
  <c r="Y102" i="2"/>
  <c r="Y108" i="2"/>
  <c r="BP114" i="2"/>
  <c r="BP115" i="2"/>
  <c r="BP138" i="2"/>
  <c r="Y139" i="2"/>
  <c r="Y161" i="2"/>
  <c r="Y166" i="2"/>
  <c r="BP170" i="2"/>
  <c r="Z180" i="2"/>
  <c r="Y198" i="2"/>
  <c r="Y197" i="2"/>
  <c r="Y232" i="2"/>
  <c r="Y236" i="2"/>
  <c r="BP240" i="2"/>
  <c r="BP265" i="2"/>
  <c r="Z26" i="2"/>
  <c r="BN24" i="2"/>
  <c r="X270" i="2"/>
  <c r="X271" i="2" s="1"/>
  <c r="Z32" i="2"/>
  <c r="BN30" i="2"/>
  <c r="Y33" i="2"/>
  <c r="Y40" i="2"/>
  <c r="BN38" i="2"/>
  <c r="Y47" i="2"/>
  <c r="BN52" i="2"/>
  <c r="BN58" i="2"/>
  <c r="F278" i="2"/>
  <c r="Y68" i="2"/>
  <c r="BP71" i="2"/>
  <c r="Y81" i="2"/>
  <c r="BP84" i="2"/>
  <c r="BN89" i="2"/>
  <c r="Y92" i="2"/>
  <c r="BN96" i="2"/>
  <c r="BN100" i="2"/>
  <c r="BN106" i="2"/>
  <c r="BN111" i="2"/>
  <c r="Z119" i="2"/>
  <c r="BN118" i="2"/>
  <c r="Y128" i="2"/>
  <c r="BP132" i="2"/>
  <c r="Y133" i="2"/>
  <c r="BN144" i="2"/>
  <c r="Y151" i="2"/>
  <c r="BP154" i="2"/>
  <c r="Y155" i="2"/>
  <c r="BN159" i="2"/>
  <c r="BP159" i="2"/>
  <c r="Y173" i="2"/>
  <c r="BP177" i="2"/>
  <c r="Y181" i="2"/>
  <c r="V278" i="2"/>
  <c r="Y184" i="2"/>
  <c r="BN189" i="2"/>
  <c r="BP189" i="2"/>
  <c r="Y190" i="2"/>
  <c r="Z197" i="2"/>
  <c r="BN193" i="2"/>
  <c r="BN194" i="2"/>
  <c r="BP194" i="2"/>
  <c r="BP201" i="2"/>
  <c r="Y202" i="2"/>
  <c r="BN206" i="2"/>
  <c r="BP206" i="2"/>
  <c r="Y207" i="2"/>
  <c r="Z213" i="2"/>
  <c r="BN212" i="2"/>
  <c r="Y220" i="2"/>
  <c r="BP224" i="2"/>
  <c r="Y225" i="2"/>
  <c r="BN230" i="2"/>
  <c r="BP230" i="2"/>
  <c r="Y243" i="2"/>
  <c r="BP245" i="2"/>
  <c r="Y247" i="2"/>
  <c r="Y254" i="2"/>
  <c r="Y253" i="2"/>
  <c r="BP256" i="2"/>
  <c r="BP263" i="2"/>
  <c r="Z273" i="2"/>
  <c r="BN112" i="2"/>
  <c r="BN122" i="2"/>
  <c r="BN179" i="2"/>
  <c r="Y248" i="2"/>
  <c r="BN196" i="2"/>
  <c r="Y213" i="2"/>
  <c r="BN252" i="2"/>
  <c r="BN262" i="2"/>
  <c r="BN43" i="2"/>
  <c r="BN67" i="2"/>
  <c r="BN210" i="2"/>
  <c r="BN22" i="2"/>
  <c r="BP37" i="2"/>
  <c r="BP62" i="2"/>
  <c r="BN72" i="2"/>
  <c r="BN98" i="2"/>
  <c r="Y101" i="2"/>
  <c r="BP122" i="2"/>
  <c r="Y134" i="2"/>
  <c r="BP179" i="2"/>
  <c r="BN257" i="2"/>
  <c r="BN37" i="2"/>
  <c r="BN62" i="2"/>
  <c r="Y55" i="2"/>
  <c r="Y145" i="2"/>
  <c r="BP43" i="2"/>
  <c r="Y140" i="2"/>
  <c r="BP210" i="2"/>
  <c r="BN224" i="2"/>
  <c r="BN240" i="2"/>
  <c r="BP252" i="2"/>
  <c r="Y46" i="2"/>
  <c r="BP67" i="2"/>
  <c r="BN78" i="2"/>
  <c r="Y107" i="2"/>
  <c r="BN154" i="2"/>
  <c r="BN170" i="2"/>
  <c r="BP196" i="2"/>
  <c r="BP22" i="2"/>
  <c r="Y63" i="2"/>
  <c r="BN84" i="2"/>
  <c r="BP98" i="2"/>
  <c r="Y123" i="2"/>
  <c r="Y146" i="2"/>
  <c r="BN177" i="2"/>
  <c r="BN260" i="2"/>
  <c r="BP31" i="2"/>
  <c r="BN44" i="2"/>
  <c r="BP58" i="2"/>
  <c r="Y69" i="2"/>
  <c r="Y85" i="2"/>
  <c r="BN143" i="2"/>
  <c r="BN211" i="2"/>
  <c r="Y266" i="2"/>
  <c r="BN23" i="2"/>
  <c r="BN50" i="2"/>
  <c r="BN218" i="2"/>
  <c r="BN234" i="2"/>
  <c r="BN258" i="2"/>
  <c r="Y26" i="2"/>
  <c r="BN73" i="2"/>
  <c r="BN99" i="2"/>
  <c r="BN149" i="2"/>
  <c r="BN164" i="2"/>
  <c r="F9" i="2"/>
  <c r="Y32" i="2"/>
  <c r="Y59" i="2"/>
  <c r="BN79" i="2"/>
  <c r="BN105" i="2"/>
  <c r="BN116" i="2"/>
  <c r="Y119" i="2"/>
  <c r="BN171" i="2"/>
  <c r="BN241" i="2"/>
  <c r="Y267" i="2"/>
  <c r="BN126" i="2"/>
  <c r="BN195" i="2"/>
  <c r="BN251" i="2"/>
  <c r="BN261" i="2"/>
  <c r="BP149" i="2"/>
  <c r="BP218" i="2"/>
  <c r="BP234" i="2"/>
  <c r="BN53" i="2"/>
  <c r="H9" i="2"/>
  <c r="Y39" i="2"/>
  <c r="BP164" i="2"/>
  <c r="J9" i="2"/>
  <c r="BN66" i="2"/>
  <c r="A10" i="2"/>
  <c r="BN71" i="2"/>
  <c r="BP111" i="2"/>
  <c r="Y272" i="2" l="1"/>
  <c r="Y268" i="2"/>
  <c r="Y269" i="2"/>
  <c r="Y270" i="2"/>
  <c r="Y271" i="2" l="1"/>
  <c r="B281" i="2" l="1"/>
  <c r="A281" i="2"/>
  <c r="C281" i="2"/>
</calcChain>
</file>

<file path=xl/sharedStrings.xml><?xml version="1.0" encoding="utf-8"?>
<sst xmlns="http://schemas.openxmlformats.org/spreadsheetml/2006/main" count="1635" uniqueCount="391">
  <si>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</si>
  <si>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</si>
  <si>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</si>
  <si>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</si>
  <si>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</si>
  <si>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</si>
  <si>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</si>
  <si>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</si>
  <si>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</si>
  <si>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</si>
  <si>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</si>
  <si>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</si>
  <si>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</si>
  <si>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</si>
  <si>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</si>
  <si>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</si>
  <si>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</si>
  <si>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</si>
  <si>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</si>
  <si>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</si>
  <si>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</si>
  <si>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</si>
  <si>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</si>
  <si>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</si>
  <si>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</si>
  <si>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</si>
  <si>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</si>
  <si>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</si>
  <si>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</si>
  <si>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</si>
  <si>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</si>
  <si>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</si>
  <si>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</si>
  <si>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</si>
  <si>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</si>
  <si>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</si>
  <si>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</si>
  <si>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</si>
  <si>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</si>
  <si>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</si>
  <si>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</si>
  <si>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</si>
  <si>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</si>
  <si>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</si>
  <si>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</si>
  <si>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</si>
  <si>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</si>
  <si>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</si>
  <si>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</si>
  <si>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</si>
  <si>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</si>
  <si>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</si>
  <si>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</si>
  <si>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</si>
  <si>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</si>
  <si>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</si>
  <si>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</si>
  <si>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</si>
  <si>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</si>
  <si>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</si>
  <si>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</si>
  <si>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</si>
  <si>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</si>
  <si>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</si>
  <si>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</si>
  <si>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</si>
  <si>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</si>
  <si>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</si>
  <si>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</si>
  <si>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</si>
  <si>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</si>
  <si>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27.11.2025</t>
  </si>
  <si>
    <t>25.11.2025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</si>
  <si>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</si>
  <si>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</si>
  <si>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</si>
  <si>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</si>
  <si>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</si>
  <si>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</si>
  <si>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</si>
  <si>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</si>
  <si>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</si>
  <si>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</si>
  <si>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SU003968</t>
  </si>
  <si>
    <t>P005109</t>
  </si>
  <si>
    <t>ЕАЭС N RU Д-RU.РА01.В.79461/23</t>
  </si>
  <si>
    <t>МГ</t>
  </si>
  <si>
    <t>12</t>
  </si>
  <si>
    <t>Короб, мин. 1</t>
  </si>
  <si>
    <t>Короб</t>
  </si>
  <si>
    <t>SU003975</t>
  </si>
  <si>
    <t>P005107</t>
  </si>
  <si>
    <t>SU003972</t>
  </si>
  <si>
    <t>P005104</t>
  </si>
  <si>
    <t>SU003971</t>
  </si>
  <si>
    <t>P005103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</si>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</sst>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3" t="s">
        <v>26</v>
      </c>
      <c r="E1" s="273"/>
      <c r="F1" s="273"/>
      <c r="G1" s="14" t="s">
        <v>70</v>
      </c>
      <c r="H1" s="273" t="s">
        <v>47</v>
      </c>
      <c r="I1" s="273"/>
      <c r="J1" s="273"/>
      <c r="K1" s="273"/>
      <c r="L1" s="273"/>
      <c r="M1" s="273"/>
      <c r="N1" s="273"/>
      <c r="O1" s="273"/>
      <c r="P1" s="273"/>
      <c r="Q1" s="273"/>
      <c r="R1" s="274" t="s">
        <v>71</v>
      </c>
      <c r="S1" s="275"/>
      <c r="T1" s="27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6"/>
      <c r="R2" s="276"/>
      <c r="S2" s="276"/>
      <c r="T2" s="276"/>
      <c r="U2" s="276"/>
      <c r="V2" s="276"/>
      <c r="W2" s="27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6"/>
      <c r="Q3" s="276"/>
      <c r="R3" s="276"/>
      <c r="S3" s="276"/>
      <c r="T3" s="276"/>
      <c r="U3" s="276"/>
      <c r="V3" s="276"/>
      <c r="W3" s="27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7" t="s">
        <v>8</v>
      </c>
      <c r="B5" s="277"/>
      <c r="C5" s="277"/>
      <c r="D5" s="278"/>
      <c r="E5" s="278"/>
      <c r="F5" s="279" t="s">
        <v>14</v>
      </c>
      <c r="G5" s="279"/>
      <c r="H5" s="278"/>
      <c r="I5" s="278"/>
      <c r="J5" s="278"/>
      <c r="K5" s="278"/>
      <c r="L5" s="278"/>
      <c r="M5" s="278"/>
      <c r="N5" s="75"/>
      <c r="P5" s="27" t="s">
        <v>4</v>
      </c>
      <c r="Q5" s="280">
        <v>45989</v>
      </c>
      <c r="R5" s="280"/>
      <c r="T5" s="281" t="s">
        <v>3</v>
      </c>
      <c r="U5" s="282"/>
      <c r="V5" s="283" t="s">
        <v>377</v>
      </c>
      <c r="W5" s="284"/>
      <c r="AB5" s="59"/>
      <c r="AC5" s="59"/>
      <c r="AD5" s="59"/>
      <c r="AE5" s="59"/>
    </row>
    <row r="6" spans="1:32" s="17" customFormat="1" ht="24" customHeight="1" x14ac:dyDescent="0.2">
      <c r="A6" s="277" t="s">
        <v>1</v>
      </c>
      <c r="B6" s="277"/>
      <c r="C6" s="277"/>
      <c r="D6" s="285" t="s">
        <v>79</v>
      </c>
      <c r="E6" s="285"/>
      <c r="F6" s="285"/>
      <c r="G6" s="285"/>
      <c r="H6" s="285"/>
      <c r="I6" s="285"/>
      <c r="J6" s="285"/>
      <c r="K6" s="285"/>
      <c r="L6" s="285"/>
      <c r="M6" s="285"/>
      <c r="N6" s="76"/>
      <c r="P6" s="27" t="s">
        <v>27</v>
      </c>
      <c r="Q6" s="286" t="str">
        <f>IF(Q5=0," ",CHOOSE(WEEKDAY(Q5,2),"Понедельник","Вторник","Среда","Четверг","Пятница","Суббота","Воскресенье"))</f>
        <v>Пятница</v>
      </c>
      <c r="R6" s="286"/>
      <c r="T6" s="287" t="s">
        <v>5</v>
      </c>
      <c r="U6" s="288"/>
      <c r="V6" s="289" t="s">
        <v>73</v>
      </c>
      <c r="W6" s="29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5" t="str">
        <f>IFERROR(VLOOKUP(DeliveryAddress,Table,3,0),1)</f>
        <v>1</v>
      </c>
      <c r="E7" s="296"/>
      <c r="F7" s="296"/>
      <c r="G7" s="296"/>
      <c r="H7" s="296"/>
      <c r="I7" s="296"/>
      <c r="J7" s="296"/>
      <c r="K7" s="296"/>
      <c r="L7" s="296"/>
      <c r="M7" s="297"/>
      <c r="N7" s="77"/>
      <c r="P7" s="29"/>
      <c r="Q7" s="48"/>
      <c r="R7" s="48"/>
      <c r="T7" s="287"/>
      <c r="U7" s="288"/>
      <c r="V7" s="291"/>
      <c r="W7" s="292"/>
      <c r="AB7" s="59"/>
      <c r="AC7" s="59"/>
      <c r="AD7" s="59"/>
      <c r="AE7" s="59"/>
    </row>
    <row r="8" spans="1:32" s="17" customFormat="1" ht="25.5" customHeight="1" x14ac:dyDescent="0.2">
      <c r="A8" s="298" t="s">
        <v>58</v>
      </c>
      <c r="B8" s="298"/>
      <c r="C8" s="298"/>
      <c r="D8" s="299" t="s">
        <v>80</v>
      </c>
      <c r="E8" s="299"/>
      <c r="F8" s="299"/>
      <c r="G8" s="299"/>
      <c r="H8" s="299"/>
      <c r="I8" s="299"/>
      <c r="J8" s="299"/>
      <c r="K8" s="299"/>
      <c r="L8" s="299"/>
      <c r="M8" s="299"/>
      <c r="N8" s="78"/>
      <c r="P8" s="27" t="s">
        <v>11</v>
      </c>
      <c r="Q8" s="300">
        <v>0.375</v>
      </c>
      <c r="R8" s="300"/>
      <c r="T8" s="287"/>
      <c r="U8" s="288"/>
      <c r="V8" s="291"/>
      <c r="W8" s="292"/>
      <c r="AB8" s="59"/>
      <c r="AC8" s="59"/>
      <c r="AD8" s="59"/>
      <c r="AE8" s="59"/>
    </row>
    <row r="9" spans="1:32" s="17" customFormat="1" ht="39.950000000000003" customHeight="1" x14ac:dyDescent="0.2">
      <c r="A9" s="3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1"/>
      <c r="C9" s="301"/>
      <c r="D9" s="302" t="s">
        <v>46</v>
      </c>
      <c r="E9" s="303"/>
      <c r="F9" s="3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1"/>
      <c r="H9" s="304" t="str">
        <f>IF(AND($A$9="Тип доверенности/получателя при получении в адресе перегруза:",$D$9="Разовая доверенность"),"Введите ФИО","")</f>
        <v/>
      </c>
      <c r="I9" s="304"/>
      <c r="J9" s="3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4"/>
      <c r="L9" s="304"/>
      <c r="M9" s="304"/>
      <c r="N9" s="73"/>
      <c r="P9" s="31" t="s">
        <v>15</v>
      </c>
      <c r="Q9" s="305"/>
      <c r="R9" s="305"/>
      <c r="T9" s="287"/>
      <c r="U9" s="288"/>
      <c r="V9" s="293"/>
      <c r="W9" s="29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1"/>
      <c r="C10" s="301"/>
      <c r="D10" s="302"/>
      <c r="E10" s="303"/>
      <c r="F10" s="3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1"/>
      <c r="H10" s="306" t="str">
        <f>IFERROR(VLOOKUP($D$10,Proxy,2,FALSE),"")</f>
        <v/>
      </c>
      <c r="I10" s="306"/>
      <c r="J10" s="306"/>
      <c r="K10" s="306"/>
      <c r="L10" s="306"/>
      <c r="M10" s="306"/>
      <c r="N10" s="74"/>
      <c r="P10" s="31" t="s">
        <v>32</v>
      </c>
      <c r="Q10" s="307"/>
      <c r="R10" s="307"/>
      <c r="U10" s="29" t="s">
        <v>12</v>
      </c>
      <c r="V10" s="308" t="s">
        <v>74</v>
      </c>
      <c r="W10" s="30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0"/>
      <c r="R11" s="310"/>
      <c r="U11" s="29" t="s">
        <v>28</v>
      </c>
      <c r="V11" s="311" t="s">
        <v>55</v>
      </c>
      <c r="W11" s="31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2" t="s">
        <v>75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79"/>
      <c r="P12" s="27" t="s">
        <v>30</v>
      </c>
      <c r="Q12" s="300"/>
      <c r="R12" s="300"/>
      <c r="S12" s="28"/>
      <c r="T12"/>
      <c r="U12" s="29" t="s">
        <v>46</v>
      </c>
      <c r="V12" s="313"/>
      <c r="W12" s="313"/>
      <c r="X12"/>
      <c r="AB12" s="59"/>
      <c r="AC12" s="59"/>
      <c r="AD12" s="59"/>
      <c r="AE12" s="59"/>
    </row>
    <row r="13" spans="1:32" s="17" customFormat="1" ht="23.25" customHeight="1" x14ac:dyDescent="0.2">
      <c r="A13" s="312" t="s">
        <v>76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79"/>
      <c r="O13" s="31"/>
      <c r="P13" s="31" t="s">
        <v>31</v>
      </c>
      <c r="Q13" s="311"/>
      <c r="R13" s="31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2" t="s">
        <v>77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4" t="s">
        <v>78</v>
      </c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80"/>
      <c r="O15"/>
      <c r="P15" s="315" t="s">
        <v>61</v>
      </c>
      <c r="Q15" s="315"/>
      <c r="R15" s="315"/>
      <c r="S15" s="315"/>
      <c r="T15" s="31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6"/>
      <c r="Q16" s="316"/>
      <c r="R16" s="316"/>
      <c r="S16" s="316"/>
      <c r="T16" s="31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19" t="s">
        <v>59</v>
      </c>
      <c r="B17" s="319" t="s">
        <v>49</v>
      </c>
      <c r="C17" s="321" t="s">
        <v>48</v>
      </c>
      <c r="D17" s="323" t="s">
        <v>50</v>
      </c>
      <c r="E17" s="324"/>
      <c r="F17" s="319" t="s">
        <v>21</v>
      </c>
      <c r="G17" s="319" t="s">
        <v>24</v>
      </c>
      <c r="H17" s="319" t="s">
        <v>22</v>
      </c>
      <c r="I17" s="319" t="s">
        <v>23</v>
      </c>
      <c r="J17" s="319" t="s">
        <v>16</v>
      </c>
      <c r="K17" s="319" t="s">
        <v>69</v>
      </c>
      <c r="L17" s="319" t="s">
        <v>67</v>
      </c>
      <c r="M17" s="319" t="s">
        <v>2</v>
      </c>
      <c r="N17" s="319" t="s">
        <v>66</v>
      </c>
      <c r="O17" s="319" t="s">
        <v>25</v>
      </c>
      <c r="P17" s="323" t="s">
        <v>17</v>
      </c>
      <c r="Q17" s="327"/>
      <c r="R17" s="327"/>
      <c r="S17" s="327"/>
      <c r="T17" s="324"/>
      <c r="U17" s="317" t="s">
        <v>56</v>
      </c>
      <c r="V17" s="318"/>
      <c r="W17" s="319" t="s">
        <v>6</v>
      </c>
      <c r="X17" s="319" t="s">
        <v>41</v>
      </c>
      <c r="Y17" s="329" t="s">
        <v>54</v>
      </c>
      <c r="Z17" s="331" t="s">
        <v>18</v>
      </c>
      <c r="AA17" s="333" t="s">
        <v>60</v>
      </c>
      <c r="AB17" s="333" t="s">
        <v>19</v>
      </c>
      <c r="AC17" s="333" t="s">
        <v>68</v>
      </c>
      <c r="AD17" s="335" t="s">
        <v>57</v>
      </c>
      <c r="AE17" s="336"/>
      <c r="AF17" s="337"/>
      <c r="AG17" s="85"/>
      <c r="BD17" s="84" t="s">
        <v>64</v>
      </c>
    </row>
    <row r="18" spans="1:68" ht="14.25" customHeight="1" x14ac:dyDescent="0.2">
      <c r="A18" s="320"/>
      <c r="B18" s="320"/>
      <c r="C18" s="322"/>
      <c r="D18" s="325"/>
      <c r="E18" s="326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5"/>
      <c r="Q18" s="328"/>
      <c r="R18" s="328"/>
      <c r="S18" s="328"/>
      <c r="T18" s="326"/>
      <c r="U18" s="86" t="s">
        <v>44</v>
      </c>
      <c r="V18" s="86" t="s">
        <v>43</v>
      </c>
      <c r="W18" s="320"/>
      <c r="X18" s="320"/>
      <c r="Y18" s="330"/>
      <c r="Z18" s="332"/>
      <c r="AA18" s="334"/>
      <c r="AB18" s="334"/>
      <c r="AC18" s="334"/>
      <c r="AD18" s="338"/>
      <c r="AE18" s="339"/>
      <c r="AF18" s="340"/>
      <c r="AG18" s="85"/>
      <c r="BD18" s="84"/>
    </row>
    <row r="19" spans="1:68" ht="27.75" customHeight="1" x14ac:dyDescent="0.2">
      <c r="A19" s="341" t="s">
        <v>81</v>
      </c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54"/>
      <c r="AB19" s="54"/>
      <c r="AC19" s="54"/>
    </row>
    <row r="20" spans="1:68" ht="16.5" customHeight="1" x14ac:dyDescent="0.25">
      <c r="A20" s="342" t="s">
        <v>81</v>
      </c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65"/>
      <c r="AB20" s="65"/>
      <c r="AC20" s="82"/>
    </row>
    <row r="21" spans="1:68" ht="14.25" customHeight="1" x14ac:dyDescent="0.25">
      <c r="A21" s="343" t="s">
        <v>82</v>
      </c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3"/>
      <c r="W21" s="343"/>
      <c r="X21" s="343"/>
      <c r="Y21" s="343"/>
      <c r="Z21" s="34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4301071110</v>
      </c>
      <c r="D22" s="344">
        <v>4607111035103</v>
      </c>
      <c r="E22" s="344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2" s="346"/>
      <c r="R22" s="346"/>
      <c r="S22" s="346"/>
      <c r="T22" s="347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4301071109</v>
      </c>
      <c r="D23" s="344">
        <v>4607111035929</v>
      </c>
      <c r="E23" s="344"/>
      <c r="F23" s="62">
        <v>0.9</v>
      </c>
      <c r="G23" s="37">
        <v>8</v>
      </c>
      <c r="H23" s="62">
        <v>7.2</v>
      </c>
      <c r="I23" s="62">
        <v>7.47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4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3" s="346"/>
      <c r="R23" s="346"/>
      <c r="S23" s="346"/>
      <c r="T23" s="347"/>
      <c r="U23" s="39" t="s">
        <v>46</v>
      </c>
      <c r="V23" s="39" t="s">
        <v>46</v>
      </c>
      <c r="W23" s="40" t="s">
        <v>39</v>
      </c>
      <c r="X23" s="58">
        <v>0</v>
      </c>
      <c r="Y23" s="55">
        <f>IFERROR(IF(X23="","",X23),"")</f>
        <v>0</v>
      </c>
      <c r="Z23" s="41">
        <f>IFERROR(IF(X23="","",X23*0.0155),"")</f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>IFERROR(X23*I23,"0")</f>
        <v>0</v>
      </c>
      <c r="BN23" s="81">
        <f>IFERROR(Y23*I23,"0")</f>
        <v>0</v>
      </c>
      <c r="BO23" s="81">
        <f>IFERROR(X23/J23,"0")</f>
        <v>0</v>
      </c>
      <c r="BP23" s="81">
        <f>IFERROR(Y23/J23,"0")</f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4301071106</v>
      </c>
      <c r="D24" s="344">
        <v>4607111035882</v>
      </c>
      <c r="E24" s="34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4" s="346"/>
      <c r="R24" s="346"/>
      <c r="S24" s="346"/>
      <c r="T24" s="347"/>
      <c r="U24" s="39" t="s">
        <v>46</v>
      </c>
      <c r="V24" s="39" t="s">
        <v>46</v>
      </c>
      <c r="W24" s="40" t="s">
        <v>39</v>
      </c>
      <c r="X24" s="58">
        <v>0</v>
      </c>
      <c r="Y24" s="55">
        <f>IFERROR(IF(X24="","",X24),"")</f>
        <v>0</v>
      </c>
      <c r="Z24" s="41">
        <f>IFERROR(IF(X24="","",X24*0.0155),"")</f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>IFERROR(X24*I24,"0")</f>
        <v>0</v>
      </c>
      <c r="BN24" s="81">
        <f>IFERROR(Y24*I24,"0")</f>
        <v>0</v>
      </c>
      <c r="BO24" s="81">
        <f>IFERROR(X24/J24,"0")</f>
        <v>0</v>
      </c>
      <c r="BP24" s="81">
        <f>IFERROR(Y24/J24,"0")</f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4301071105</v>
      </c>
      <c r="D25" s="344">
        <v>4607111035110</v>
      </c>
      <c r="E25" s="344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5" s="346"/>
      <c r="R25" s="346"/>
      <c r="S25" s="346"/>
      <c r="T25" s="347"/>
      <c r="U25" s="39" t="s">
        <v>46</v>
      </c>
      <c r="V25" s="39" t="s">
        <v>46</v>
      </c>
      <c r="W25" s="40" t="s">
        <v>39</v>
      </c>
      <c r="X25" s="58">
        <v>0</v>
      </c>
      <c r="Y25" s="55">
        <f>IFERROR(IF(X25="","",X25),"")</f>
        <v>0</v>
      </c>
      <c r="Z25" s="41">
        <f>IFERROR(IF(X25="","",X25*0.0155),"")</f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>IFERROR(X25*I25,"0")</f>
        <v>0</v>
      </c>
      <c r="BN25" s="81">
        <f>IFERROR(Y25*I25,"0")</f>
        <v>0</v>
      </c>
      <c r="BO25" s="81">
        <f>IFERROR(X25/J25,"0")</f>
        <v>0</v>
      </c>
      <c r="BP25" s="81">
        <f>IFERROR(Y25/J25,"0")</f>
        <v>0</v>
      </c>
    </row>
    <row r="26" spans="1:68" x14ac:dyDescent="0.2">
      <c r="A26" s="354"/>
      <c r="B26" s="354"/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5"/>
      <c r="P26" s="351" t="s">
        <v>40</v>
      </c>
      <c r="Q26" s="352"/>
      <c r="R26" s="352"/>
      <c r="S26" s="352"/>
      <c r="T26" s="352"/>
      <c r="U26" s="352"/>
      <c r="V26" s="353"/>
      <c r="W26" s="42" t="s">
        <v>39</v>
      </c>
      <c r="X26" s="43">
        <f>IFERROR(SUM(X22:X25),"0")</f>
        <v>0</v>
      </c>
      <c r="Y26" s="43">
        <f>IFERROR(SUM(Y22:Y25),"0")</f>
        <v>0</v>
      </c>
      <c r="Z26" s="43">
        <f>IFERROR(IF(Z22="",0,Z22),"0")+IFERROR(IF(Z23="",0,Z23),"0")+IFERROR(IF(Z24="",0,Z24),"0")+IFERROR(IF(Z25="",0,Z25),"0")</f>
        <v>0</v>
      </c>
      <c r="AA26" s="67"/>
      <c r="AB26" s="67"/>
      <c r="AC26" s="67"/>
    </row>
    <row r="27" spans="1:68" x14ac:dyDescent="0.2">
      <c r="A27" s="354"/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5"/>
      <c r="P27" s="351" t="s">
        <v>40</v>
      </c>
      <c r="Q27" s="352"/>
      <c r="R27" s="352"/>
      <c r="S27" s="352"/>
      <c r="T27" s="352"/>
      <c r="U27" s="352"/>
      <c r="V27" s="353"/>
      <c r="W27" s="42" t="s">
        <v>0</v>
      </c>
      <c r="X27" s="43">
        <f>IFERROR(SUMPRODUCT(X22:X25*H22:H25),"0")</f>
        <v>0</v>
      </c>
      <c r="Y27" s="43">
        <f>IFERROR(SUMPRODUCT(Y22:Y25*H22:H25),"0")</f>
        <v>0</v>
      </c>
      <c r="Z27" s="42"/>
      <c r="AA27" s="67"/>
      <c r="AB27" s="67"/>
      <c r="AC27" s="67"/>
    </row>
    <row r="28" spans="1:68" ht="16.5" customHeight="1" x14ac:dyDescent="0.25">
      <c r="A28" s="342" t="s">
        <v>96</v>
      </c>
      <c r="B28" s="342"/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65"/>
      <c r="AB28" s="65"/>
      <c r="AC28" s="82"/>
    </row>
    <row r="29" spans="1:68" ht="14.25" customHeight="1" x14ac:dyDescent="0.25">
      <c r="A29" s="343" t="s">
        <v>82</v>
      </c>
      <c r="B29" s="343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66"/>
      <c r="AB29" s="66"/>
      <c r="AC29" s="83"/>
    </row>
    <row r="30" spans="1:68" ht="16.5" customHeight="1" x14ac:dyDescent="0.25">
      <c r="A30" s="63" t="s">
        <v>97</v>
      </c>
      <c r="B30" s="63" t="s">
        <v>98</v>
      </c>
      <c r="C30" s="36">
        <v>4301071099</v>
      </c>
      <c r="D30" s="344">
        <v>4607111039019</v>
      </c>
      <c r="E30" s="344"/>
      <c r="F30" s="62">
        <v>0.43</v>
      </c>
      <c r="G30" s="37">
        <v>16</v>
      </c>
      <c r="H30" s="62">
        <v>6.88</v>
      </c>
      <c r="I30" s="62">
        <v>7.2060000000000004</v>
      </c>
      <c r="J30" s="37">
        <v>84</v>
      </c>
      <c r="K30" s="37" t="s">
        <v>87</v>
      </c>
      <c r="L30" s="37" t="s">
        <v>88</v>
      </c>
      <c r="M30" s="38" t="s">
        <v>86</v>
      </c>
      <c r="N30" s="38"/>
      <c r="O30" s="37">
        <v>180</v>
      </c>
      <c r="P30" s="35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0" s="346"/>
      <c r="R30" s="346"/>
      <c r="S30" s="346"/>
      <c r="T30" s="347"/>
      <c r="U30" s="39" t="s">
        <v>46</v>
      </c>
      <c r="V30" s="39" t="s">
        <v>46</v>
      </c>
      <c r="W30" s="40" t="s">
        <v>39</v>
      </c>
      <c r="X30" s="58">
        <v>0</v>
      </c>
      <c r="Y30" s="55">
        <f>IFERROR(IF(X30="","",X30),"")</f>
        <v>0</v>
      </c>
      <c r="Z30" s="41">
        <f>IFERROR(IF(X30="","",X30*0.0155),"")</f>
        <v>0</v>
      </c>
      <c r="AA30" s="68" t="s">
        <v>46</v>
      </c>
      <c r="AB30" s="69" t="s">
        <v>46</v>
      </c>
      <c r="AC30" s="97" t="s">
        <v>99</v>
      </c>
      <c r="AG30" s="81"/>
      <c r="AJ30" s="87" t="s">
        <v>89</v>
      </c>
      <c r="AK30" s="87">
        <v>1</v>
      </c>
      <c r="BB30" s="98" t="s">
        <v>70</v>
      </c>
      <c r="BM30" s="81">
        <f>IFERROR(X30*I30,"0")</f>
        <v>0</v>
      </c>
      <c r="BN30" s="81">
        <f>IFERROR(Y30*I30,"0")</f>
        <v>0</v>
      </c>
      <c r="BO30" s="81">
        <f>IFERROR(X30/J30,"0")</f>
        <v>0</v>
      </c>
      <c r="BP30" s="81">
        <f>IFERROR(Y30/J30,"0")</f>
        <v>0</v>
      </c>
    </row>
    <row r="31" spans="1:68" ht="16.5" customHeight="1" x14ac:dyDescent="0.25">
      <c r="A31" s="63" t="s">
        <v>100</v>
      </c>
      <c r="B31" s="63" t="s">
        <v>101</v>
      </c>
      <c r="C31" s="36">
        <v>4301071100</v>
      </c>
      <c r="D31" s="344">
        <v>4607111038708</v>
      </c>
      <c r="E31" s="344"/>
      <c r="F31" s="62">
        <v>0.8</v>
      </c>
      <c r="G31" s="37">
        <v>8</v>
      </c>
      <c r="H31" s="62">
        <v>6.4</v>
      </c>
      <c r="I31" s="62">
        <v>6.67</v>
      </c>
      <c r="J31" s="37">
        <v>84</v>
      </c>
      <c r="K31" s="37" t="s">
        <v>87</v>
      </c>
      <c r="L31" s="37" t="s">
        <v>88</v>
      </c>
      <c r="M31" s="38" t="s">
        <v>86</v>
      </c>
      <c r="N31" s="38"/>
      <c r="O31" s="37">
        <v>180</v>
      </c>
      <c r="P31" s="35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1" s="346"/>
      <c r="R31" s="346"/>
      <c r="S31" s="346"/>
      <c r="T31" s="347"/>
      <c r="U31" s="39" t="s">
        <v>46</v>
      </c>
      <c r="V31" s="39" t="s">
        <v>46</v>
      </c>
      <c r="W31" s="40" t="s">
        <v>39</v>
      </c>
      <c r="X31" s="58">
        <v>0</v>
      </c>
      <c r="Y31" s="55">
        <f>IFERROR(IF(X31="","",X31),"")</f>
        <v>0</v>
      </c>
      <c r="Z31" s="41">
        <f>IFERROR(IF(X31="","",X31*0.0155),"")</f>
        <v>0</v>
      </c>
      <c r="AA31" s="68" t="s">
        <v>46</v>
      </c>
      <c r="AB31" s="69" t="s">
        <v>46</v>
      </c>
      <c r="AC31" s="99" t="s">
        <v>99</v>
      </c>
      <c r="AG31" s="81"/>
      <c r="AJ31" s="87" t="s">
        <v>89</v>
      </c>
      <c r="AK31" s="87">
        <v>1</v>
      </c>
      <c r="BB31" s="100" t="s">
        <v>70</v>
      </c>
      <c r="BM31" s="81">
        <f>IFERROR(X31*I31,"0")</f>
        <v>0</v>
      </c>
      <c r="BN31" s="81">
        <f>IFERROR(Y31*I31,"0")</f>
        <v>0</v>
      </c>
      <c r="BO31" s="81">
        <f>IFERROR(X31/J31,"0")</f>
        <v>0</v>
      </c>
      <c r="BP31" s="81">
        <f>IFERROR(Y31/J31,"0")</f>
        <v>0</v>
      </c>
    </row>
    <row r="32" spans="1:68" x14ac:dyDescent="0.2">
      <c r="A32" s="354"/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5"/>
      <c r="P32" s="351" t="s">
        <v>40</v>
      </c>
      <c r="Q32" s="352"/>
      <c r="R32" s="352"/>
      <c r="S32" s="352"/>
      <c r="T32" s="352"/>
      <c r="U32" s="352"/>
      <c r="V32" s="353"/>
      <c r="W32" s="42" t="s">
        <v>39</v>
      </c>
      <c r="X32" s="43">
        <f>IFERROR(SUM(X30:X31),"0")</f>
        <v>0</v>
      </c>
      <c r="Y32" s="43">
        <f>IFERROR(SUM(Y30:Y31),"0")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x14ac:dyDescent="0.2">
      <c r="A33" s="354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5"/>
      <c r="P33" s="351" t="s">
        <v>40</v>
      </c>
      <c r="Q33" s="352"/>
      <c r="R33" s="352"/>
      <c r="S33" s="352"/>
      <c r="T33" s="352"/>
      <c r="U33" s="352"/>
      <c r="V33" s="353"/>
      <c r="W33" s="42" t="s">
        <v>0</v>
      </c>
      <c r="X33" s="43">
        <f>IFERROR(SUMPRODUCT(X30:X31*H30:H31),"0")</f>
        <v>0</v>
      </c>
      <c r="Y33" s="43">
        <f>IFERROR(SUMPRODUCT(Y30:Y31*H30:H31),"0")</f>
        <v>0</v>
      </c>
      <c r="Z33" s="42"/>
      <c r="AA33" s="67"/>
      <c r="AB33" s="67"/>
      <c r="AC33" s="67"/>
    </row>
    <row r="34" spans="1:68" ht="27.75" customHeight="1" x14ac:dyDescent="0.2">
      <c r="A34" s="341" t="s">
        <v>45</v>
      </c>
      <c r="B34" s="341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54"/>
      <c r="AB34" s="54"/>
      <c r="AC34" s="54"/>
    </row>
    <row r="35" spans="1:68" ht="16.5" customHeight="1" x14ac:dyDescent="0.25">
      <c r="A35" s="342" t="s">
        <v>102</v>
      </c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65"/>
      <c r="AB35" s="65"/>
      <c r="AC35" s="82"/>
    </row>
    <row r="36" spans="1:68" ht="14.25" customHeight="1" x14ac:dyDescent="0.25">
      <c r="A36" s="343" t="s">
        <v>103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66"/>
      <c r="AB36" s="66"/>
      <c r="AC36" s="83"/>
    </row>
    <row r="37" spans="1:68" ht="27" customHeight="1" x14ac:dyDescent="0.25">
      <c r="A37" s="63" t="s">
        <v>104</v>
      </c>
      <c r="B37" s="63" t="s">
        <v>105</v>
      </c>
      <c r="C37" s="36">
        <v>4301132190</v>
      </c>
      <c r="D37" s="344">
        <v>4607111036537</v>
      </c>
      <c r="E37" s="344"/>
      <c r="F37" s="62">
        <v>0.25</v>
      </c>
      <c r="G37" s="37">
        <v>6</v>
      </c>
      <c r="H37" s="62">
        <v>1.5</v>
      </c>
      <c r="I37" s="62">
        <v>1.9218</v>
      </c>
      <c r="J37" s="37">
        <v>140</v>
      </c>
      <c r="K37" s="37" t="s">
        <v>108</v>
      </c>
      <c r="L37" s="37" t="s">
        <v>109</v>
      </c>
      <c r="M37" s="38" t="s">
        <v>86</v>
      </c>
      <c r="N37" s="38"/>
      <c r="O37" s="37">
        <v>365</v>
      </c>
      <c r="P37" s="35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7" s="346"/>
      <c r="R37" s="346"/>
      <c r="S37" s="346"/>
      <c r="T37" s="347"/>
      <c r="U37" s="39" t="s">
        <v>46</v>
      </c>
      <c r="V37" s="39" t="s">
        <v>46</v>
      </c>
      <c r="W37" s="40" t="s">
        <v>39</v>
      </c>
      <c r="X37" s="58">
        <v>0</v>
      </c>
      <c r="Y37" s="55">
        <f>IFERROR(IF(X37="","",X37),"")</f>
        <v>0</v>
      </c>
      <c r="Z37" s="41">
        <f>IFERROR(IF(X37="","",X37*0.00941),"")</f>
        <v>0</v>
      </c>
      <c r="AA37" s="68" t="s">
        <v>46</v>
      </c>
      <c r="AB37" s="69" t="s">
        <v>46</v>
      </c>
      <c r="AC37" s="101" t="s">
        <v>106</v>
      </c>
      <c r="AG37" s="81"/>
      <c r="AJ37" s="87" t="s">
        <v>110</v>
      </c>
      <c r="AK37" s="87">
        <v>140</v>
      </c>
      <c r="BB37" s="102" t="s">
        <v>107</v>
      </c>
      <c r="BM37" s="81">
        <f>IFERROR(X37*I37,"0")</f>
        <v>0</v>
      </c>
      <c r="BN37" s="81">
        <f>IFERROR(Y37*I37,"0")</f>
        <v>0</v>
      </c>
      <c r="BO37" s="81">
        <f>IFERROR(X37/J37,"0")</f>
        <v>0</v>
      </c>
      <c r="BP37" s="81">
        <f>IFERROR(Y37/J37,"0")</f>
        <v>0</v>
      </c>
    </row>
    <row r="38" spans="1:68" ht="27" customHeight="1" x14ac:dyDescent="0.25">
      <c r="A38" s="63" t="s">
        <v>111</v>
      </c>
      <c r="B38" s="63" t="s">
        <v>112</v>
      </c>
      <c r="C38" s="36">
        <v>4301132188</v>
      </c>
      <c r="D38" s="344">
        <v>4607111036605</v>
      </c>
      <c r="E38" s="344"/>
      <c r="F38" s="62">
        <v>0.25</v>
      </c>
      <c r="G38" s="37">
        <v>6</v>
      </c>
      <c r="H38" s="62">
        <v>1.5</v>
      </c>
      <c r="I38" s="62">
        <v>1.9218</v>
      </c>
      <c r="J38" s="37">
        <v>140</v>
      </c>
      <c r="K38" s="37" t="s">
        <v>108</v>
      </c>
      <c r="L38" s="37" t="s">
        <v>88</v>
      </c>
      <c r="M38" s="38" t="s">
        <v>86</v>
      </c>
      <c r="N38" s="38"/>
      <c r="O38" s="37">
        <v>365</v>
      </c>
      <c r="P38" s="35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8" s="346"/>
      <c r="R38" s="346"/>
      <c r="S38" s="346"/>
      <c r="T38" s="347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IFERROR(IF(X38="","",X38*0.00941),"")</f>
        <v>0</v>
      </c>
      <c r="AA38" s="68" t="s">
        <v>46</v>
      </c>
      <c r="AB38" s="69" t="s">
        <v>46</v>
      </c>
      <c r="AC38" s="103" t="s">
        <v>106</v>
      </c>
      <c r="AG38" s="81"/>
      <c r="AJ38" s="87" t="s">
        <v>89</v>
      </c>
      <c r="AK38" s="87">
        <v>1</v>
      </c>
      <c r="BB38" s="104" t="s">
        <v>107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x14ac:dyDescent="0.2">
      <c r="A39" s="354"/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5"/>
      <c r="P39" s="351" t="s">
        <v>40</v>
      </c>
      <c r="Q39" s="352"/>
      <c r="R39" s="352"/>
      <c r="S39" s="352"/>
      <c r="T39" s="352"/>
      <c r="U39" s="352"/>
      <c r="V39" s="353"/>
      <c r="W39" s="42" t="s">
        <v>39</v>
      </c>
      <c r="X39" s="43">
        <f>IFERROR(SUM(X37:X38),"0")</f>
        <v>0</v>
      </c>
      <c r="Y39" s="43">
        <f>IFERROR(SUM(Y37:Y38),"0")</f>
        <v>0</v>
      </c>
      <c r="Z39" s="43">
        <f>IFERROR(IF(Z37="",0,Z37),"0")+IFERROR(IF(Z38="",0,Z38),"0")</f>
        <v>0</v>
      </c>
      <c r="AA39" s="67"/>
      <c r="AB39" s="67"/>
      <c r="AC39" s="67"/>
    </row>
    <row r="40" spans="1:68" x14ac:dyDescent="0.2">
      <c r="A40" s="354"/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5"/>
      <c r="P40" s="351" t="s">
        <v>40</v>
      </c>
      <c r="Q40" s="352"/>
      <c r="R40" s="352"/>
      <c r="S40" s="352"/>
      <c r="T40" s="352"/>
      <c r="U40" s="352"/>
      <c r="V40" s="353"/>
      <c r="W40" s="42" t="s">
        <v>0</v>
      </c>
      <c r="X40" s="43">
        <f>IFERROR(SUMPRODUCT(X37:X38*H37:H38),"0")</f>
        <v>0</v>
      </c>
      <c r="Y40" s="43">
        <f>IFERROR(SUMPRODUCT(Y37:Y38*H37:H38),"0")</f>
        <v>0</v>
      </c>
      <c r="Z40" s="42"/>
      <c r="AA40" s="67"/>
      <c r="AB40" s="67"/>
      <c r="AC40" s="67"/>
    </row>
    <row r="41" spans="1:68" ht="16.5" customHeight="1" x14ac:dyDescent="0.25">
      <c r="A41" s="342" t="s">
        <v>113</v>
      </c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65"/>
      <c r="AB41" s="65"/>
      <c r="AC41" s="82"/>
    </row>
    <row r="42" spans="1:68" ht="14.25" customHeight="1" x14ac:dyDescent="0.25">
      <c r="A42" s="343" t="s">
        <v>82</v>
      </c>
      <c r="B42" s="343"/>
      <c r="C42" s="343"/>
      <c r="D42" s="343"/>
      <c r="E42" s="343"/>
      <c r="F42" s="343"/>
      <c r="G42" s="343"/>
      <c r="H42" s="343"/>
      <c r="I42" s="343"/>
      <c r="J42" s="343"/>
      <c r="K42" s="343"/>
      <c r="L42" s="343"/>
      <c r="M42" s="343"/>
      <c r="N42" s="343"/>
      <c r="O42" s="343"/>
      <c r="P42" s="343"/>
      <c r="Q42" s="343"/>
      <c r="R42" s="343"/>
      <c r="S42" s="343"/>
      <c r="T42" s="343"/>
      <c r="U42" s="343"/>
      <c r="V42" s="343"/>
      <c r="W42" s="343"/>
      <c r="X42" s="343"/>
      <c r="Y42" s="343"/>
      <c r="Z42" s="343"/>
      <c r="AA42" s="66"/>
      <c r="AB42" s="66"/>
      <c r="AC42" s="83"/>
    </row>
    <row r="43" spans="1:68" ht="27" customHeight="1" x14ac:dyDescent="0.25">
      <c r="A43" s="63" t="s">
        <v>114</v>
      </c>
      <c r="B43" s="63" t="s">
        <v>115</v>
      </c>
      <c r="C43" s="36">
        <v>4301071090</v>
      </c>
      <c r="D43" s="344">
        <v>4620207490075</v>
      </c>
      <c r="E43" s="344"/>
      <c r="F43" s="62">
        <v>0.7</v>
      </c>
      <c r="G43" s="37">
        <v>8</v>
      </c>
      <c r="H43" s="62">
        <v>5.6</v>
      </c>
      <c r="I43" s="62">
        <v>5.87</v>
      </c>
      <c r="J43" s="37">
        <v>84</v>
      </c>
      <c r="K43" s="37" t="s">
        <v>87</v>
      </c>
      <c r="L43" s="37" t="s">
        <v>88</v>
      </c>
      <c r="M43" s="38" t="s">
        <v>86</v>
      </c>
      <c r="N43" s="38"/>
      <c r="O43" s="37">
        <v>180</v>
      </c>
      <c r="P43" s="36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3" s="346"/>
      <c r="R43" s="346"/>
      <c r="S43" s="346"/>
      <c r="T43" s="347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89</v>
      </c>
      <c r="AK43" s="87">
        <v>1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117</v>
      </c>
      <c r="B44" s="63" t="s">
        <v>118</v>
      </c>
      <c r="C44" s="36">
        <v>4301071092</v>
      </c>
      <c r="D44" s="344">
        <v>4620207490174</v>
      </c>
      <c r="E44" s="344"/>
      <c r="F44" s="62">
        <v>0.7</v>
      </c>
      <c r="G44" s="37">
        <v>8</v>
      </c>
      <c r="H44" s="62">
        <v>5.6</v>
      </c>
      <c r="I44" s="62">
        <v>5.87</v>
      </c>
      <c r="J44" s="37">
        <v>84</v>
      </c>
      <c r="K44" s="37" t="s">
        <v>87</v>
      </c>
      <c r="L44" s="37" t="s">
        <v>120</v>
      </c>
      <c r="M44" s="38" t="s">
        <v>86</v>
      </c>
      <c r="N44" s="38"/>
      <c r="O44" s="37">
        <v>180</v>
      </c>
      <c r="P44" s="36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4" s="346"/>
      <c r="R44" s="346"/>
      <c r="S44" s="346"/>
      <c r="T44" s="347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119</v>
      </c>
      <c r="AG44" s="81"/>
      <c r="AJ44" s="87" t="s">
        <v>121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ht="27" customHeight="1" x14ac:dyDescent="0.25">
      <c r="A45" s="63" t="s">
        <v>122</v>
      </c>
      <c r="B45" s="63" t="s">
        <v>123</v>
      </c>
      <c r="C45" s="36">
        <v>4301071091</v>
      </c>
      <c r="D45" s="344">
        <v>4620207490044</v>
      </c>
      <c r="E45" s="344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6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5" s="346"/>
      <c r="R45" s="346"/>
      <c r="S45" s="346"/>
      <c r="T45" s="347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124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x14ac:dyDescent="0.2">
      <c r="A46" s="354"/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5"/>
      <c r="P46" s="351" t="s">
        <v>40</v>
      </c>
      <c r="Q46" s="352"/>
      <c r="R46" s="352"/>
      <c r="S46" s="352"/>
      <c r="T46" s="352"/>
      <c r="U46" s="352"/>
      <c r="V46" s="353"/>
      <c r="W46" s="42" t="s">
        <v>39</v>
      </c>
      <c r="X46" s="43">
        <f>IFERROR(SUM(X43:X45),"0")</f>
        <v>0</v>
      </c>
      <c r="Y46" s="43">
        <f>IFERROR(SUM(Y43:Y45),"0")</f>
        <v>0</v>
      </c>
      <c r="Z46" s="43">
        <f>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354"/>
      <c r="B47" s="354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  <c r="N47" s="354"/>
      <c r="O47" s="355"/>
      <c r="P47" s="351" t="s">
        <v>40</v>
      </c>
      <c r="Q47" s="352"/>
      <c r="R47" s="352"/>
      <c r="S47" s="352"/>
      <c r="T47" s="352"/>
      <c r="U47" s="352"/>
      <c r="V47" s="353"/>
      <c r="W47" s="42" t="s">
        <v>0</v>
      </c>
      <c r="X47" s="43">
        <f>IFERROR(SUMPRODUCT(X43:X45*H43:H45),"0")</f>
        <v>0</v>
      </c>
      <c r="Y47" s="43">
        <f>IFERROR(SUMPRODUCT(Y43:Y45*H43:H45),"0")</f>
        <v>0</v>
      </c>
      <c r="Z47" s="42"/>
      <c r="AA47" s="67"/>
      <c r="AB47" s="67"/>
      <c r="AC47" s="67"/>
    </row>
    <row r="48" spans="1:68" ht="16.5" customHeight="1" x14ac:dyDescent="0.25">
      <c r="A48" s="342" t="s">
        <v>125</v>
      </c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65"/>
      <c r="AB48" s="65"/>
      <c r="AC48" s="82"/>
    </row>
    <row r="49" spans="1:68" ht="14.25" customHeight="1" x14ac:dyDescent="0.25">
      <c r="A49" s="343" t="s">
        <v>82</v>
      </c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  <c r="N49" s="343"/>
      <c r="O49" s="343"/>
      <c r="P49" s="343"/>
      <c r="Q49" s="343"/>
      <c r="R49" s="343"/>
      <c r="S49" s="343"/>
      <c r="T49" s="343"/>
      <c r="U49" s="343"/>
      <c r="V49" s="343"/>
      <c r="W49" s="343"/>
      <c r="X49" s="343"/>
      <c r="Y49" s="343"/>
      <c r="Z49" s="343"/>
      <c r="AA49" s="66"/>
      <c r="AB49" s="66"/>
      <c r="AC49" s="83"/>
    </row>
    <row r="50" spans="1:68" ht="27" customHeight="1" x14ac:dyDescent="0.25">
      <c r="A50" s="63" t="s">
        <v>126</v>
      </c>
      <c r="B50" s="63" t="s">
        <v>127</v>
      </c>
      <c r="C50" s="36">
        <v>4301071044</v>
      </c>
      <c r="D50" s="344">
        <v>4607111039385</v>
      </c>
      <c r="E50" s="344"/>
      <c r="F50" s="62">
        <v>0.7</v>
      </c>
      <c r="G50" s="37">
        <v>10</v>
      </c>
      <c r="H50" s="62">
        <v>7</v>
      </c>
      <c r="I50" s="62">
        <v>7.3</v>
      </c>
      <c r="J50" s="37">
        <v>84</v>
      </c>
      <c r="K50" s="37" t="s">
        <v>87</v>
      </c>
      <c r="L50" s="37" t="s">
        <v>120</v>
      </c>
      <c r="M50" s="38" t="s">
        <v>86</v>
      </c>
      <c r="N50" s="38"/>
      <c r="O50" s="37">
        <v>180</v>
      </c>
      <c r="P50" s="36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0" s="346"/>
      <c r="R50" s="346"/>
      <c r="S50" s="346"/>
      <c r="T50" s="347"/>
      <c r="U50" s="39" t="s">
        <v>46</v>
      </c>
      <c r="V50" s="39" t="s">
        <v>46</v>
      </c>
      <c r="W50" s="40" t="s">
        <v>39</v>
      </c>
      <c r="X50" s="58">
        <v>0</v>
      </c>
      <c r="Y50" s="55">
        <f>IFERROR(IF(X50="","",X50),"")</f>
        <v>0</v>
      </c>
      <c r="Z50" s="41">
        <f>IFERROR(IF(X50="","",X50*0.0155),"")</f>
        <v>0</v>
      </c>
      <c r="AA50" s="68" t="s">
        <v>46</v>
      </c>
      <c r="AB50" s="69" t="s">
        <v>46</v>
      </c>
      <c r="AC50" s="111" t="s">
        <v>128</v>
      </c>
      <c r="AG50" s="81"/>
      <c r="AJ50" s="87" t="s">
        <v>121</v>
      </c>
      <c r="AK50" s="87">
        <v>12</v>
      </c>
      <c r="BB50" s="112" t="s">
        <v>70</v>
      </c>
      <c r="BM50" s="81">
        <f>IFERROR(X50*I50,"0")</f>
        <v>0</v>
      </c>
      <c r="BN50" s="81">
        <f>IFERROR(Y50*I50,"0")</f>
        <v>0</v>
      </c>
      <c r="BO50" s="81">
        <f>IFERROR(X50/J50,"0")</f>
        <v>0</v>
      </c>
      <c r="BP50" s="81">
        <f>IFERROR(Y50/J50,"0")</f>
        <v>0</v>
      </c>
    </row>
    <row r="51" spans="1:68" ht="27" customHeight="1" x14ac:dyDescent="0.25">
      <c r="A51" s="63" t="s">
        <v>129</v>
      </c>
      <c r="B51" s="63" t="s">
        <v>130</v>
      </c>
      <c r="C51" s="36">
        <v>4301071031</v>
      </c>
      <c r="D51" s="344">
        <v>4607111038982</v>
      </c>
      <c r="E51" s="344"/>
      <c r="F51" s="62">
        <v>0.7</v>
      </c>
      <c r="G51" s="37">
        <v>10</v>
      </c>
      <c r="H51" s="62">
        <v>7</v>
      </c>
      <c r="I51" s="62">
        <v>7.2859999999999996</v>
      </c>
      <c r="J51" s="37">
        <v>84</v>
      </c>
      <c r="K51" s="37" t="s">
        <v>87</v>
      </c>
      <c r="L51" s="37" t="s">
        <v>120</v>
      </c>
      <c r="M51" s="38" t="s">
        <v>86</v>
      </c>
      <c r="N51" s="38"/>
      <c r="O51" s="37">
        <v>180</v>
      </c>
      <c r="P51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1" s="346"/>
      <c r="R51" s="346"/>
      <c r="S51" s="346"/>
      <c r="T51" s="347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3" t="s">
        <v>131</v>
      </c>
      <c r="AG51" s="81"/>
      <c r="AJ51" s="87" t="s">
        <v>121</v>
      </c>
      <c r="AK51" s="87">
        <v>12</v>
      </c>
      <c r="BB51" s="114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4301071046</v>
      </c>
      <c r="D52" s="344">
        <v>4607111039354</v>
      </c>
      <c r="E52" s="344"/>
      <c r="F52" s="62">
        <v>0.4</v>
      </c>
      <c r="G52" s="37">
        <v>16</v>
      </c>
      <c r="H52" s="62">
        <v>6.4</v>
      </c>
      <c r="I52" s="62">
        <v>6.7195999999999998</v>
      </c>
      <c r="J52" s="37">
        <v>84</v>
      </c>
      <c r="K52" s="37" t="s">
        <v>87</v>
      </c>
      <c r="L52" s="37" t="s">
        <v>120</v>
      </c>
      <c r="M52" s="38" t="s">
        <v>86</v>
      </c>
      <c r="N52" s="38"/>
      <c r="O52" s="37">
        <v>180</v>
      </c>
      <c r="P52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2" s="346"/>
      <c r="R52" s="346"/>
      <c r="S52" s="346"/>
      <c r="T52" s="347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131</v>
      </c>
      <c r="AG52" s="81"/>
      <c r="AJ52" s="87" t="s">
        <v>121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4301071047</v>
      </c>
      <c r="D53" s="344">
        <v>4607111039330</v>
      </c>
      <c r="E53" s="344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109</v>
      </c>
      <c r="M53" s="38" t="s">
        <v>86</v>
      </c>
      <c r="N53" s="38"/>
      <c r="O53" s="37">
        <v>180</v>
      </c>
      <c r="P53" s="36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46"/>
      <c r="R53" s="346"/>
      <c r="S53" s="346"/>
      <c r="T53" s="347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110</v>
      </c>
      <c r="AK53" s="87">
        <v>84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4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5"/>
      <c r="P54" s="351" t="s">
        <v>40</v>
      </c>
      <c r="Q54" s="352"/>
      <c r="R54" s="352"/>
      <c r="S54" s="352"/>
      <c r="T54" s="352"/>
      <c r="U54" s="352"/>
      <c r="V54" s="353"/>
      <c r="W54" s="42" t="s">
        <v>39</v>
      </c>
      <c r="X54" s="43">
        <f>IFERROR(SUM(X50:X53),"0")</f>
        <v>0</v>
      </c>
      <c r="Y54" s="43">
        <f>IFERROR(SUM(Y50:Y53),"0")</f>
        <v>0</v>
      </c>
      <c r="Z54" s="43">
        <f>IFERROR(IF(Z50="",0,Z50),"0")+IFERROR(IF(Z51="",0,Z51),"0")+IFERROR(IF(Z52="",0,Z52),"0")+IFERROR(IF(Z53="",0,Z53),"0")</f>
        <v>0</v>
      </c>
      <c r="AA54" s="67"/>
      <c r="AB54" s="67"/>
      <c r="AC54" s="67"/>
    </row>
    <row r="55" spans="1:68" x14ac:dyDescent="0.2">
      <c r="A55" s="354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5"/>
      <c r="P55" s="351" t="s">
        <v>40</v>
      </c>
      <c r="Q55" s="352"/>
      <c r="R55" s="352"/>
      <c r="S55" s="352"/>
      <c r="T55" s="352"/>
      <c r="U55" s="352"/>
      <c r="V55" s="353"/>
      <c r="W55" s="42" t="s">
        <v>0</v>
      </c>
      <c r="X55" s="43">
        <f>IFERROR(SUMPRODUCT(X50:X53*H50:H53),"0")</f>
        <v>0</v>
      </c>
      <c r="Y55" s="43">
        <f>IFERROR(SUMPRODUCT(Y50:Y53*H50:H53),"0")</f>
        <v>0</v>
      </c>
      <c r="Z55" s="42"/>
      <c r="AA55" s="67"/>
      <c r="AB55" s="67"/>
      <c r="AC55" s="67"/>
    </row>
    <row r="56" spans="1:68" ht="16.5" customHeight="1" x14ac:dyDescent="0.25">
      <c r="A56" s="342" t="s">
        <v>136</v>
      </c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  <c r="AA56" s="65"/>
      <c r="AB56" s="65"/>
      <c r="AC56" s="82"/>
    </row>
    <row r="57" spans="1:68" ht="14.25" customHeight="1" x14ac:dyDescent="0.25">
      <c r="A57" s="343" t="s">
        <v>82</v>
      </c>
      <c r="B57" s="343"/>
      <c r="C57" s="343"/>
      <c r="D57" s="343"/>
      <c r="E57" s="343"/>
      <c r="F57" s="343"/>
      <c r="G57" s="343"/>
      <c r="H57" s="343"/>
      <c r="I57" s="343"/>
      <c r="J57" s="343"/>
      <c r="K57" s="343"/>
      <c r="L57" s="343"/>
      <c r="M57" s="343"/>
      <c r="N57" s="343"/>
      <c r="O57" s="343"/>
      <c r="P57" s="343"/>
      <c r="Q57" s="343"/>
      <c r="R57" s="343"/>
      <c r="S57" s="343"/>
      <c r="T57" s="343"/>
      <c r="U57" s="343"/>
      <c r="V57" s="343"/>
      <c r="W57" s="343"/>
      <c r="X57" s="343"/>
      <c r="Y57" s="343"/>
      <c r="Z57" s="343"/>
      <c r="AA57" s="66"/>
      <c r="AB57" s="66"/>
      <c r="AC57" s="83"/>
    </row>
    <row r="58" spans="1:68" ht="16.5" customHeight="1" x14ac:dyDescent="0.25">
      <c r="A58" s="63" t="s">
        <v>137</v>
      </c>
      <c r="B58" s="63" t="s">
        <v>138</v>
      </c>
      <c r="C58" s="36">
        <v>4301071073</v>
      </c>
      <c r="D58" s="344">
        <v>4620207490822</v>
      </c>
      <c r="E58" s="344"/>
      <c r="F58" s="62">
        <v>0.43</v>
      </c>
      <c r="G58" s="37">
        <v>8</v>
      </c>
      <c r="H58" s="62">
        <v>3.44</v>
      </c>
      <c r="I58" s="62">
        <v>3.64</v>
      </c>
      <c r="J58" s="37">
        <v>144</v>
      </c>
      <c r="K58" s="37" t="s">
        <v>87</v>
      </c>
      <c r="L58" s="37" t="s">
        <v>88</v>
      </c>
      <c r="M58" s="38" t="s">
        <v>86</v>
      </c>
      <c r="N58" s="38"/>
      <c r="O58" s="37">
        <v>365</v>
      </c>
      <c r="P58" s="36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8" s="346"/>
      <c r="R58" s="346"/>
      <c r="S58" s="346"/>
      <c r="T58" s="347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IFERROR(IF(X58="","",X58*0.00866),"")</f>
        <v>0</v>
      </c>
      <c r="AA58" s="68" t="s">
        <v>46</v>
      </c>
      <c r="AB58" s="69" t="s">
        <v>46</v>
      </c>
      <c r="AC58" s="119" t="s">
        <v>139</v>
      </c>
      <c r="AG58" s="81"/>
      <c r="AJ58" s="87" t="s">
        <v>89</v>
      </c>
      <c r="AK58" s="87">
        <v>1</v>
      </c>
      <c r="BB58" s="120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4"/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5"/>
      <c r="P59" s="351" t="s">
        <v>40</v>
      </c>
      <c r="Q59" s="352"/>
      <c r="R59" s="352"/>
      <c r="S59" s="352"/>
      <c r="T59" s="352"/>
      <c r="U59" s="352"/>
      <c r="V59" s="353"/>
      <c r="W59" s="42" t="s">
        <v>39</v>
      </c>
      <c r="X59" s="43">
        <f>IFERROR(SUM(X58:X58),"0")</f>
        <v>0</v>
      </c>
      <c r="Y59" s="43">
        <f>IFERROR(SUM(Y58:Y58),"0")</f>
        <v>0</v>
      </c>
      <c r="Z59" s="43">
        <f>IFERROR(IF(Z58="",0,Z58),"0")</f>
        <v>0</v>
      </c>
      <c r="AA59" s="67"/>
      <c r="AB59" s="67"/>
      <c r="AC59" s="67"/>
    </row>
    <row r="60" spans="1:68" x14ac:dyDescent="0.2">
      <c r="A60" s="354"/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5"/>
      <c r="P60" s="351" t="s">
        <v>40</v>
      </c>
      <c r="Q60" s="352"/>
      <c r="R60" s="352"/>
      <c r="S60" s="352"/>
      <c r="T60" s="352"/>
      <c r="U60" s="352"/>
      <c r="V60" s="353"/>
      <c r="W60" s="42" t="s">
        <v>0</v>
      </c>
      <c r="X60" s="43">
        <f>IFERROR(SUMPRODUCT(X58:X58*H58:H58),"0")</f>
        <v>0</v>
      </c>
      <c r="Y60" s="43">
        <f>IFERROR(SUMPRODUCT(Y58:Y58*H58:H58),"0")</f>
        <v>0</v>
      </c>
      <c r="Z60" s="42"/>
      <c r="AA60" s="67"/>
      <c r="AB60" s="67"/>
      <c r="AC60" s="67"/>
    </row>
    <row r="61" spans="1:68" ht="14.25" customHeight="1" x14ac:dyDescent="0.25">
      <c r="A61" s="343" t="s">
        <v>103</v>
      </c>
      <c r="B61" s="343"/>
      <c r="C61" s="343"/>
      <c r="D61" s="343"/>
      <c r="E61" s="343"/>
      <c r="F61" s="343"/>
      <c r="G61" s="343"/>
      <c r="H61" s="343"/>
      <c r="I61" s="343"/>
      <c r="J61" s="343"/>
      <c r="K61" s="343"/>
      <c r="L61" s="343"/>
      <c r="M61" s="343"/>
      <c r="N61" s="343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66"/>
      <c r="AB61" s="66"/>
      <c r="AC61" s="83"/>
    </row>
    <row r="62" spans="1:68" ht="27" customHeight="1" x14ac:dyDescent="0.25">
      <c r="A62" s="63" t="s">
        <v>140</v>
      </c>
      <c r="B62" s="63" t="s">
        <v>141</v>
      </c>
      <c r="C62" s="36">
        <v>4301132194</v>
      </c>
      <c r="D62" s="344">
        <v>4607111039712</v>
      </c>
      <c r="E62" s="344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108</v>
      </c>
      <c r="L62" s="37" t="s">
        <v>88</v>
      </c>
      <c r="M62" s="38" t="s">
        <v>86</v>
      </c>
      <c r="N62" s="38"/>
      <c r="O62" s="37">
        <v>365</v>
      </c>
      <c r="P62" s="36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2" s="346"/>
      <c r="R62" s="346"/>
      <c r="S62" s="346"/>
      <c r="T62" s="34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1" t="s">
        <v>142</v>
      </c>
      <c r="AG62" s="81"/>
      <c r="AJ62" s="87" t="s">
        <v>89</v>
      </c>
      <c r="AK62" s="87">
        <v>1</v>
      </c>
      <c r="BB62" s="122" t="s">
        <v>107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54"/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5"/>
      <c r="P63" s="351" t="s">
        <v>40</v>
      </c>
      <c r="Q63" s="352"/>
      <c r="R63" s="352"/>
      <c r="S63" s="352"/>
      <c r="T63" s="352"/>
      <c r="U63" s="352"/>
      <c r="V63" s="35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54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5"/>
      <c r="P64" s="351" t="s">
        <v>40</v>
      </c>
      <c r="Q64" s="352"/>
      <c r="R64" s="352"/>
      <c r="S64" s="352"/>
      <c r="T64" s="352"/>
      <c r="U64" s="352"/>
      <c r="V64" s="35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43" t="s">
        <v>143</v>
      </c>
      <c r="B65" s="343"/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3"/>
      <c r="S65" s="343"/>
      <c r="T65" s="343"/>
      <c r="U65" s="343"/>
      <c r="V65" s="343"/>
      <c r="W65" s="343"/>
      <c r="X65" s="343"/>
      <c r="Y65" s="343"/>
      <c r="Z65" s="343"/>
      <c r="AA65" s="66"/>
      <c r="AB65" s="66"/>
      <c r="AC65" s="83"/>
    </row>
    <row r="66" spans="1:68" ht="16.5" customHeight="1" x14ac:dyDescent="0.25">
      <c r="A66" s="63" t="s">
        <v>144</v>
      </c>
      <c r="B66" s="63" t="s">
        <v>145</v>
      </c>
      <c r="C66" s="36">
        <v>4301136018</v>
      </c>
      <c r="D66" s="344">
        <v>4607111037008</v>
      </c>
      <c r="E66" s="344"/>
      <c r="F66" s="62">
        <v>0.36</v>
      </c>
      <c r="G66" s="37">
        <v>4</v>
      </c>
      <c r="H66" s="62">
        <v>1.44</v>
      </c>
      <c r="I66" s="62">
        <v>1.74</v>
      </c>
      <c r="J66" s="37">
        <v>140</v>
      </c>
      <c r="K66" s="37" t="s">
        <v>108</v>
      </c>
      <c r="L66" s="37" t="s">
        <v>88</v>
      </c>
      <c r="M66" s="38" t="s">
        <v>86</v>
      </c>
      <c r="N66" s="38"/>
      <c r="O66" s="37">
        <v>365</v>
      </c>
      <c r="P66" s="3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46"/>
      <c r="R66" s="346"/>
      <c r="S66" s="346"/>
      <c r="T66" s="34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3" t="s">
        <v>146</v>
      </c>
      <c r="AG66" s="81"/>
      <c r="AJ66" s="87" t="s">
        <v>89</v>
      </c>
      <c r="AK66" s="87">
        <v>1</v>
      </c>
      <c r="BB66" s="124" t="s">
        <v>107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6.5" customHeight="1" x14ac:dyDescent="0.25">
      <c r="A67" s="63" t="s">
        <v>147</v>
      </c>
      <c r="B67" s="63" t="s">
        <v>148</v>
      </c>
      <c r="C67" s="36">
        <v>4301136015</v>
      </c>
      <c r="D67" s="344">
        <v>4607111037398</v>
      </c>
      <c r="E67" s="344"/>
      <c r="F67" s="62">
        <v>0.09</v>
      </c>
      <c r="G67" s="37">
        <v>24</v>
      </c>
      <c r="H67" s="62">
        <v>2.16</v>
      </c>
      <c r="I67" s="62">
        <v>4.0199999999999996</v>
      </c>
      <c r="J67" s="37">
        <v>126</v>
      </c>
      <c r="K67" s="37" t="s">
        <v>108</v>
      </c>
      <c r="L67" s="37" t="s">
        <v>88</v>
      </c>
      <c r="M67" s="38" t="s">
        <v>86</v>
      </c>
      <c r="N67" s="38"/>
      <c r="O67" s="37">
        <v>365</v>
      </c>
      <c r="P67" s="37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7" s="346"/>
      <c r="R67" s="346"/>
      <c r="S67" s="346"/>
      <c r="T67" s="347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IFERROR(IF(X67="","",X67*0.00936),"")</f>
        <v>0</v>
      </c>
      <c r="AA67" s="68" t="s">
        <v>46</v>
      </c>
      <c r="AB67" s="69" t="s">
        <v>46</v>
      </c>
      <c r="AC67" s="125" t="s">
        <v>146</v>
      </c>
      <c r="AG67" s="81"/>
      <c r="AJ67" s="87" t="s">
        <v>89</v>
      </c>
      <c r="AK67" s="87">
        <v>1</v>
      </c>
      <c r="BB67" s="126" t="s">
        <v>107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x14ac:dyDescent="0.2">
      <c r="A68" s="354"/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5"/>
      <c r="P68" s="351" t="s">
        <v>40</v>
      </c>
      <c r="Q68" s="352"/>
      <c r="R68" s="352"/>
      <c r="S68" s="352"/>
      <c r="T68" s="352"/>
      <c r="U68" s="352"/>
      <c r="V68" s="353"/>
      <c r="W68" s="42" t="s">
        <v>39</v>
      </c>
      <c r="X68" s="43">
        <f>IFERROR(SUM(X66:X67),"0")</f>
        <v>0</v>
      </c>
      <c r="Y68" s="43">
        <f>IFERROR(SUM(Y66:Y67),"0")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354"/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5"/>
      <c r="P69" s="351" t="s">
        <v>40</v>
      </c>
      <c r="Q69" s="352"/>
      <c r="R69" s="352"/>
      <c r="S69" s="352"/>
      <c r="T69" s="352"/>
      <c r="U69" s="352"/>
      <c r="V69" s="353"/>
      <c r="W69" s="42" t="s">
        <v>0</v>
      </c>
      <c r="X69" s="43">
        <f>IFERROR(SUMPRODUCT(X66:X67*H66:H67),"0")</f>
        <v>0</v>
      </c>
      <c r="Y69" s="43">
        <f>IFERROR(SUMPRODUCT(Y66:Y67*H66:H67),"0")</f>
        <v>0</v>
      </c>
      <c r="Z69" s="42"/>
      <c r="AA69" s="67"/>
      <c r="AB69" s="67"/>
      <c r="AC69" s="67"/>
    </row>
    <row r="70" spans="1:68" ht="14.25" customHeight="1" x14ac:dyDescent="0.25">
      <c r="A70" s="343" t="s">
        <v>149</v>
      </c>
      <c r="B70" s="343"/>
      <c r="C70" s="343"/>
      <c r="D70" s="343"/>
      <c r="E70" s="343"/>
      <c r="F70" s="343"/>
      <c r="G70" s="343"/>
      <c r="H70" s="343"/>
      <c r="I70" s="343"/>
      <c r="J70" s="343"/>
      <c r="K70" s="343"/>
      <c r="L70" s="343"/>
      <c r="M70" s="343"/>
      <c r="N70" s="343"/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66"/>
      <c r="AB70" s="66"/>
      <c r="AC70" s="83"/>
    </row>
    <row r="71" spans="1:68" ht="27" customHeight="1" x14ac:dyDescent="0.25">
      <c r="A71" s="63" t="s">
        <v>150</v>
      </c>
      <c r="B71" s="63" t="s">
        <v>151</v>
      </c>
      <c r="C71" s="36">
        <v>4301135664</v>
      </c>
      <c r="D71" s="344">
        <v>4607111039705</v>
      </c>
      <c r="E71" s="344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108</v>
      </c>
      <c r="L71" s="37" t="s">
        <v>88</v>
      </c>
      <c r="M71" s="38" t="s">
        <v>86</v>
      </c>
      <c r="N71" s="38"/>
      <c r="O71" s="37">
        <v>365</v>
      </c>
      <c r="P71" s="37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1" s="346"/>
      <c r="R71" s="346"/>
      <c r="S71" s="346"/>
      <c r="T71" s="34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27" t="s">
        <v>146</v>
      </c>
      <c r="AG71" s="81"/>
      <c r="AJ71" s="87" t="s">
        <v>89</v>
      </c>
      <c r="AK71" s="87">
        <v>1</v>
      </c>
      <c r="BB71" s="128" t="s">
        <v>107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152</v>
      </c>
      <c r="B72" s="63" t="s">
        <v>153</v>
      </c>
      <c r="C72" s="36">
        <v>4301135665</v>
      </c>
      <c r="D72" s="344">
        <v>4607111039729</v>
      </c>
      <c r="E72" s="344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108</v>
      </c>
      <c r="L72" s="37" t="s">
        <v>120</v>
      </c>
      <c r="M72" s="38" t="s">
        <v>86</v>
      </c>
      <c r="N72" s="38"/>
      <c r="O72" s="37">
        <v>365</v>
      </c>
      <c r="P72" s="3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2" s="346"/>
      <c r="R72" s="346"/>
      <c r="S72" s="346"/>
      <c r="T72" s="347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29" t="s">
        <v>154</v>
      </c>
      <c r="AG72" s="81"/>
      <c r="AJ72" s="87" t="s">
        <v>121</v>
      </c>
      <c r="AK72" s="87">
        <v>14</v>
      </c>
      <c r="BB72" s="130" t="s">
        <v>107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t="27" customHeight="1" x14ac:dyDescent="0.25">
      <c r="A73" s="63" t="s">
        <v>155</v>
      </c>
      <c r="B73" s="63" t="s">
        <v>156</v>
      </c>
      <c r="C73" s="36">
        <v>4301135702</v>
      </c>
      <c r="D73" s="344">
        <v>4620207490228</v>
      </c>
      <c r="E73" s="344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108</v>
      </c>
      <c r="L73" s="37" t="s">
        <v>120</v>
      </c>
      <c r="M73" s="38" t="s">
        <v>86</v>
      </c>
      <c r="N73" s="38"/>
      <c r="O73" s="37">
        <v>365</v>
      </c>
      <c r="P73" s="37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3" s="346"/>
      <c r="R73" s="346"/>
      <c r="S73" s="346"/>
      <c r="T73" s="347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154</v>
      </c>
      <c r="AG73" s="81"/>
      <c r="AJ73" s="87" t="s">
        <v>121</v>
      </c>
      <c r="AK73" s="87">
        <v>14</v>
      </c>
      <c r="BB73" s="132" t="s">
        <v>107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x14ac:dyDescent="0.2">
      <c r="A74" s="354"/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5"/>
      <c r="P74" s="351" t="s">
        <v>40</v>
      </c>
      <c r="Q74" s="352"/>
      <c r="R74" s="352"/>
      <c r="S74" s="352"/>
      <c r="T74" s="352"/>
      <c r="U74" s="352"/>
      <c r="V74" s="353"/>
      <c r="W74" s="42" t="s">
        <v>39</v>
      </c>
      <c r="X74" s="43">
        <f>IFERROR(SUM(X71:X73),"0")</f>
        <v>0</v>
      </c>
      <c r="Y74" s="43">
        <f>IFERROR(SUM(Y71:Y73),"0")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354"/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5"/>
      <c r="P75" s="351" t="s">
        <v>40</v>
      </c>
      <c r="Q75" s="352"/>
      <c r="R75" s="352"/>
      <c r="S75" s="352"/>
      <c r="T75" s="352"/>
      <c r="U75" s="352"/>
      <c r="V75" s="353"/>
      <c r="W75" s="42" t="s">
        <v>0</v>
      </c>
      <c r="X75" s="43">
        <f>IFERROR(SUMPRODUCT(X71:X73*H71:H73),"0")</f>
        <v>0</v>
      </c>
      <c r="Y75" s="43">
        <f>IFERROR(SUMPRODUCT(Y71:Y73*H71:H73),"0")</f>
        <v>0</v>
      </c>
      <c r="Z75" s="42"/>
      <c r="AA75" s="67"/>
      <c r="AB75" s="67"/>
      <c r="AC75" s="67"/>
    </row>
    <row r="76" spans="1:68" ht="16.5" customHeight="1" x14ac:dyDescent="0.25">
      <c r="A76" s="342" t="s">
        <v>157</v>
      </c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  <c r="AA76" s="65"/>
      <c r="AB76" s="65"/>
      <c r="AC76" s="82"/>
    </row>
    <row r="77" spans="1:68" ht="14.25" customHeight="1" x14ac:dyDescent="0.25">
      <c r="A77" s="343" t="s">
        <v>82</v>
      </c>
      <c r="B77" s="343"/>
      <c r="C77" s="343"/>
      <c r="D77" s="343"/>
      <c r="E77" s="343"/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3"/>
      <c r="Q77" s="343"/>
      <c r="R77" s="343"/>
      <c r="S77" s="343"/>
      <c r="T77" s="343"/>
      <c r="U77" s="343"/>
      <c r="V77" s="343"/>
      <c r="W77" s="343"/>
      <c r="X77" s="343"/>
      <c r="Y77" s="343"/>
      <c r="Z77" s="343"/>
      <c r="AA77" s="66"/>
      <c r="AB77" s="66"/>
      <c r="AC77" s="83"/>
    </row>
    <row r="78" spans="1:68" ht="27" customHeight="1" x14ac:dyDescent="0.25">
      <c r="A78" s="63" t="s">
        <v>158</v>
      </c>
      <c r="B78" s="63" t="s">
        <v>159</v>
      </c>
      <c r="C78" s="36">
        <v>4301070977</v>
      </c>
      <c r="D78" s="344">
        <v>4607111037411</v>
      </c>
      <c r="E78" s="344"/>
      <c r="F78" s="62">
        <v>2.7</v>
      </c>
      <c r="G78" s="37">
        <v>1</v>
      </c>
      <c r="H78" s="62">
        <v>2.7</v>
      </c>
      <c r="I78" s="62">
        <v>2.8132000000000001</v>
      </c>
      <c r="J78" s="37">
        <v>234</v>
      </c>
      <c r="K78" s="37" t="s">
        <v>161</v>
      </c>
      <c r="L78" s="37" t="s">
        <v>120</v>
      </c>
      <c r="M78" s="38" t="s">
        <v>86</v>
      </c>
      <c r="N78" s="38"/>
      <c r="O78" s="37">
        <v>180</v>
      </c>
      <c r="P78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6"/>
      <c r="R78" s="346"/>
      <c r="S78" s="346"/>
      <c r="T78" s="347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IFERROR(IF(X78="","",X78*0.00502),"")</f>
        <v>0</v>
      </c>
      <c r="AA78" s="68" t="s">
        <v>46</v>
      </c>
      <c r="AB78" s="69" t="s">
        <v>46</v>
      </c>
      <c r="AC78" s="133" t="s">
        <v>160</v>
      </c>
      <c r="AG78" s="81"/>
      <c r="AJ78" s="87" t="s">
        <v>121</v>
      </c>
      <c r="AK78" s="87">
        <v>18</v>
      </c>
      <c r="BB78" s="134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t="27" customHeight="1" x14ac:dyDescent="0.25">
      <c r="A79" s="63" t="s">
        <v>162</v>
      </c>
      <c r="B79" s="63" t="s">
        <v>163</v>
      </c>
      <c r="C79" s="36">
        <v>4301070981</v>
      </c>
      <c r="D79" s="344">
        <v>4607111036728</v>
      </c>
      <c r="E79" s="344"/>
      <c r="F79" s="62">
        <v>5</v>
      </c>
      <c r="G79" s="37">
        <v>1</v>
      </c>
      <c r="H79" s="62">
        <v>5</v>
      </c>
      <c r="I79" s="62">
        <v>5.2131999999999996</v>
      </c>
      <c r="J79" s="37">
        <v>144</v>
      </c>
      <c r="K79" s="37" t="s">
        <v>87</v>
      </c>
      <c r="L79" s="37" t="s">
        <v>109</v>
      </c>
      <c r="M79" s="38" t="s">
        <v>86</v>
      </c>
      <c r="N79" s="38"/>
      <c r="O79" s="37">
        <v>180</v>
      </c>
      <c r="P79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6"/>
      <c r="R79" s="346"/>
      <c r="S79" s="346"/>
      <c r="T79" s="347"/>
      <c r="U79" s="39" t="s">
        <v>46</v>
      </c>
      <c r="V79" s="39" t="s">
        <v>46</v>
      </c>
      <c r="W79" s="40" t="s">
        <v>39</v>
      </c>
      <c r="X79" s="58">
        <v>0</v>
      </c>
      <c r="Y79" s="55">
        <f>IFERROR(IF(X79="","",X79),"")</f>
        <v>0</v>
      </c>
      <c r="Z79" s="41">
        <f>IFERROR(IF(X79="","",X79*0.00866),"")</f>
        <v>0</v>
      </c>
      <c r="AA79" s="68" t="s">
        <v>46</v>
      </c>
      <c r="AB79" s="69" t="s">
        <v>46</v>
      </c>
      <c r="AC79" s="135" t="s">
        <v>160</v>
      </c>
      <c r="AG79" s="81"/>
      <c r="AJ79" s="87" t="s">
        <v>110</v>
      </c>
      <c r="AK79" s="87">
        <v>144</v>
      </c>
      <c r="BB79" s="136" t="s">
        <v>70</v>
      </c>
      <c r="BM79" s="81">
        <f>IFERROR(X79*I79,"0")</f>
        <v>0</v>
      </c>
      <c r="BN79" s="81">
        <f>IFERROR(Y79*I79,"0")</f>
        <v>0</v>
      </c>
      <c r="BO79" s="81">
        <f>IFERROR(X79/J79,"0")</f>
        <v>0</v>
      </c>
      <c r="BP79" s="81">
        <f>IFERROR(Y79/J79,"0")</f>
        <v>0</v>
      </c>
    </row>
    <row r="80" spans="1:68" x14ac:dyDescent="0.2">
      <c r="A80" s="354"/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5"/>
      <c r="P80" s="351" t="s">
        <v>40</v>
      </c>
      <c r="Q80" s="352"/>
      <c r="R80" s="352"/>
      <c r="S80" s="352"/>
      <c r="T80" s="352"/>
      <c r="U80" s="352"/>
      <c r="V80" s="353"/>
      <c r="W80" s="42" t="s">
        <v>39</v>
      </c>
      <c r="X80" s="43">
        <f>IFERROR(SUM(X78:X79),"0")</f>
        <v>0</v>
      </c>
      <c r="Y80" s="43">
        <f>IFERROR(SUM(Y78:Y79),"0")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354"/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5"/>
      <c r="P81" s="351" t="s">
        <v>40</v>
      </c>
      <c r="Q81" s="352"/>
      <c r="R81" s="352"/>
      <c r="S81" s="352"/>
      <c r="T81" s="352"/>
      <c r="U81" s="352"/>
      <c r="V81" s="353"/>
      <c r="W81" s="42" t="s">
        <v>0</v>
      </c>
      <c r="X81" s="43">
        <f>IFERROR(SUMPRODUCT(X78:X79*H78:H79),"0")</f>
        <v>0</v>
      </c>
      <c r="Y81" s="43">
        <f>IFERROR(SUMPRODUCT(Y78:Y79*H78:H79),"0")</f>
        <v>0</v>
      </c>
      <c r="Z81" s="42"/>
      <c r="AA81" s="67"/>
      <c r="AB81" s="67"/>
      <c r="AC81" s="67"/>
    </row>
    <row r="82" spans="1:68" ht="16.5" customHeight="1" x14ac:dyDescent="0.25">
      <c r="A82" s="342" t="s">
        <v>164</v>
      </c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65"/>
      <c r="AB82" s="65"/>
      <c r="AC82" s="82"/>
    </row>
    <row r="83" spans="1:68" ht="14.25" customHeight="1" x14ac:dyDescent="0.25">
      <c r="A83" s="343" t="s">
        <v>149</v>
      </c>
      <c r="B83" s="343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66"/>
      <c r="AB83" s="66"/>
      <c r="AC83" s="83"/>
    </row>
    <row r="84" spans="1:68" ht="27" customHeight="1" x14ac:dyDescent="0.25">
      <c r="A84" s="63" t="s">
        <v>165</v>
      </c>
      <c r="B84" s="63" t="s">
        <v>166</v>
      </c>
      <c r="C84" s="36">
        <v>4301135574</v>
      </c>
      <c r="D84" s="344">
        <v>4607111033659</v>
      </c>
      <c r="E84" s="344"/>
      <c r="F84" s="62">
        <v>0.3</v>
      </c>
      <c r="G84" s="37">
        <v>12</v>
      </c>
      <c r="H84" s="62">
        <v>3.6</v>
      </c>
      <c r="I84" s="62">
        <v>4.3036000000000003</v>
      </c>
      <c r="J84" s="37">
        <v>70</v>
      </c>
      <c r="K84" s="37" t="s">
        <v>108</v>
      </c>
      <c r="L84" s="37" t="s">
        <v>120</v>
      </c>
      <c r="M84" s="38" t="s">
        <v>86</v>
      </c>
      <c r="N84" s="38"/>
      <c r="O84" s="37">
        <v>180</v>
      </c>
      <c r="P84" s="37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4" s="346"/>
      <c r="R84" s="346"/>
      <c r="S84" s="346"/>
      <c r="T84" s="347"/>
      <c r="U84" s="39" t="s">
        <v>46</v>
      </c>
      <c r="V84" s="39" t="s">
        <v>46</v>
      </c>
      <c r="W84" s="40" t="s">
        <v>39</v>
      </c>
      <c r="X84" s="58">
        <v>0</v>
      </c>
      <c r="Y84" s="55">
        <f>IFERROR(IF(X84="","",X84),"")</f>
        <v>0</v>
      </c>
      <c r="Z84" s="41">
        <f>IFERROR(IF(X84="","",X84*0.01788),"")</f>
        <v>0</v>
      </c>
      <c r="AA84" s="68" t="s">
        <v>46</v>
      </c>
      <c r="AB84" s="69" t="s">
        <v>46</v>
      </c>
      <c r="AC84" s="137" t="s">
        <v>167</v>
      </c>
      <c r="AG84" s="81"/>
      <c r="AJ84" s="87" t="s">
        <v>121</v>
      </c>
      <c r="AK84" s="87">
        <v>14</v>
      </c>
      <c r="BB84" s="138" t="s">
        <v>107</v>
      </c>
      <c r="BM84" s="81">
        <f>IFERROR(X84*I84,"0")</f>
        <v>0</v>
      </c>
      <c r="BN84" s="81">
        <f>IFERROR(Y84*I84,"0")</f>
        <v>0</v>
      </c>
      <c r="BO84" s="81">
        <f>IFERROR(X84/J84,"0")</f>
        <v>0</v>
      </c>
      <c r="BP84" s="81">
        <f>IFERROR(Y84/J84,"0")</f>
        <v>0</v>
      </c>
    </row>
    <row r="85" spans="1:68" x14ac:dyDescent="0.2">
      <c r="A85" s="354"/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5"/>
      <c r="P85" s="351" t="s">
        <v>40</v>
      </c>
      <c r="Q85" s="352"/>
      <c r="R85" s="352"/>
      <c r="S85" s="352"/>
      <c r="T85" s="352"/>
      <c r="U85" s="352"/>
      <c r="V85" s="353"/>
      <c r="W85" s="42" t="s">
        <v>39</v>
      </c>
      <c r="X85" s="43">
        <f>IFERROR(SUM(X84:X84),"0")</f>
        <v>0</v>
      </c>
      <c r="Y85" s="43">
        <f>IFERROR(SUM(Y84:Y84),"0")</f>
        <v>0</v>
      </c>
      <c r="Z85" s="43">
        <f>IFERROR(IF(Z84="",0,Z84),"0")</f>
        <v>0</v>
      </c>
      <c r="AA85" s="67"/>
      <c r="AB85" s="67"/>
      <c r="AC85" s="67"/>
    </row>
    <row r="86" spans="1:68" x14ac:dyDescent="0.2">
      <c r="A86" s="354"/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5"/>
      <c r="P86" s="351" t="s">
        <v>40</v>
      </c>
      <c r="Q86" s="352"/>
      <c r="R86" s="352"/>
      <c r="S86" s="352"/>
      <c r="T86" s="352"/>
      <c r="U86" s="352"/>
      <c r="V86" s="353"/>
      <c r="W86" s="42" t="s">
        <v>0</v>
      </c>
      <c r="X86" s="43">
        <f>IFERROR(SUMPRODUCT(X84:X84*H84:H84),"0")</f>
        <v>0</v>
      </c>
      <c r="Y86" s="43">
        <f>IFERROR(SUMPRODUCT(Y84:Y84*H84:H84),"0")</f>
        <v>0</v>
      </c>
      <c r="Z86" s="42"/>
      <c r="AA86" s="67"/>
      <c r="AB86" s="67"/>
      <c r="AC86" s="67"/>
    </row>
    <row r="87" spans="1:68" ht="16.5" customHeight="1" x14ac:dyDescent="0.25">
      <c r="A87" s="342" t="s">
        <v>168</v>
      </c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65"/>
      <c r="AB87" s="65"/>
      <c r="AC87" s="82"/>
    </row>
    <row r="88" spans="1:68" ht="14.25" customHeight="1" x14ac:dyDescent="0.25">
      <c r="A88" s="343" t="s">
        <v>169</v>
      </c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66"/>
      <c r="AB88" s="66"/>
      <c r="AC88" s="83"/>
    </row>
    <row r="89" spans="1:68" ht="27" customHeight="1" x14ac:dyDescent="0.25">
      <c r="A89" s="63" t="s">
        <v>170</v>
      </c>
      <c r="B89" s="63" t="s">
        <v>171</v>
      </c>
      <c r="C89" s="36">
        <v>4301131047</v>
      </c>
      <c r="D89" s="344">
        <v>4607111034120</v>
      </c>
      <c r="E89" s="344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108</v>
      </c>
      <c r="L89" s="37" t="s">
        <v>120</v>
      </c>
      <c r="M89" s="38" t="s">
        <v>86</v>
      </c>
      <c r="N89" s="38"/>
      <c r="O89" s="37">
        <v>180</v>
      </c>
      <c r="P89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9" s="346"/>
      <c r="R89" s="346"/>
      <c r="S89" s="346"/>
      <c r="T89" s="347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39" t="s">
        <v>172</v>
      </c>
      <c r="AG89" s="81"/>
      <c r="AJ89" s="87" t="s">
        <v>121</v>
      </c>
      <c r="AK89" s="87">
        <v>14</v>
      </c>
      <c r="BB89" s="140" t="s">
        <v>107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ht="27" customHeight="1" x14ac:dyDescent="0.25">
      <c r="A90" s="63" t="s">
        <v>173</v>
      </c>
      <c r="B90" s="63" t="s">
        <v>174</v>
      </c>
      <c r="C90" s="36">
        <v>4301131046</v>
      </c>
      <c r="D90" s="344">
        <v>4607111034137</v>
      </c>
      <c r="E90" s="344"/>
      <c r="F90" s="62">
        <v>0.3</v>
      </c>
      <c r="G90" s="37">
        <v>12</v>
      </c>
      <c r="H90" s="62">
        <v>3.6</v>
      </c>
      <c r="I90" s="62">
        <v>4.3036000000000003</v>
      </c>
      <c r="J90" s="37">
        <v>70</v>
      </c>
      <c r="K90" s="37" t="s">
        <v>108</v>
      </c>
      <c r="L90" s="37" t="s">
        <v>120</v>
      </c>
      <c r="M90" s="38" t="s">
        <v>86</v>
      </c>
      <c r="N90" s="38"/>
      <c r="O90" s="37">
        <v>180</v>
      </c>
      <c r="P90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0" s="346"/>
      <c r="R90" s="346"/>
      <c r="S90" s="346"/>
      <c r="T90" s="347"/>
      <c r="U90" s="39" t="s">
        <v>46</v>
      </c>
      <c r="V90" s="39" t="s">
        <v>46</v>
      </c>
      <c r="W90" s="40" t="s">
        <v>39</v>
      </c>
      <c r="X90" s="58">
        <v>0</v>
      </c>
      <c r="Y90" s="55">
        <f>IFERROR(IF(X90="","",X90),"")</f>
        <v>0</v>
      </c>
      <c r="Z90" s="41">
        <f>IFERROR(IF(X90="","",X90*0.01788),"")</f>
        <v>0</v>
      </c>
      <c r="AA90" s="68" t="s">
        <v>46</v>
      </c>
      <c r="AB90" s="69" t="s">
        <v>46</v>
      </c>
      <c r="AC90" s="141" t="s">
        <v>175</v>
      </c>
      <c r="AG90" s="81"/>
      <c r="AJ90" s="87" t="s">
        <v>121</v>
      </c>
      <c r="AK90" s="87">
        <v>14</v>
      </c>
      <c r="BB90" s="142" t="s">
        <v>107</v>
      </c>
      <c r="BM90" s="81">
        <f>IFERROR(X90*I90,"0")</f>
        <v>0</v>
      </c>
      <c r="BN90" s="81">
        <f>IFERROR(Y90*I90,"0")</f>
        <v>0</v>
      </c>
      <c r="BO90" s="81">
        <f>IFERROR(X90/J90,"0")</f>
        <v>0</v>
      </c>
      <c r="BP90" s="81">
        <f>IFERROR(Y90/J90,"0")</f>
        <v>0</v>
      </c>
    </row>
    <row r="91" spans="1:68" x14ac:dyDescent="0.2">
      <c r="A91" s="354"/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5"/>
      <c r="P91" s="351" t="s">
        <v>40</v>
      </c>
      <c r="Q91" s="352"/>
      <c r="R91" s="352"/>
      <c r="S91" s="352"/>
      <c r="T91" s="352"/>
      <c r="U91" s="352"/>
      <c r="V91" s="353"/>
      <c r="W91" s="42" t="s">
        <v>39</v>
      </c>
      <c r="X91" s="43">
        <f>IFERROR(SUM(X89:X90),"0")</f>
        <v>0</v>
      </c>
      <c r="Y91" s="43">
        <f>IFERROR(SUM(Y89:Y90),"0")</f>
        <v>0</v>
      </c>
      <c r="Z91" s="43">
        <f>IFERROR(IF(Z89="",0,Z89),"0")+IFERROR(IF(Z90="",0,Z90),"0")</f>
        <v>0</v>
      </c>
      <c r="AA91" s="67"/>
      <c r="AB91" s="67"/>
      <c r="AC91" s="67"/>
    </row>
    <row r="92" spans="1:68" x14ac:dyDescent="0.2">
      <c r="A92" s="354"/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5"/>
      <c r="P92" s="351" t="s">
        <v>40</v>
      </c>
      <c r="Q92" s="352"/>
      <c r="R92" s="352"/>
      <c r="S92" s="352"/>
      <c r="T92" s="352"/>
      <c r="U92" s="352"/>
      <c r="V92" s="353"/>
      <c r="W92" s="42" t="s">
        <v>0</v>
      </c>
      <c r="X92" s="43">
        <f>IFERROR(SUMPRODUCT(X89:X90*H89:H90),"0")</f>
        <v>0</v>
      </c>
      <c r="Y92" s="43">
        <f>IFERROR(SUMPRODUCT(Y89:Y90*H89:H90),"0")</f>
        <v>0</v>
      </c>
      <c r="Z92" s="42"/>
      <c r="AA92" s="67"/>
      <c r="AB92" s="67"/>
      <c r="AC92" s="67"/>
    </row>
    <row r="93" spans="1:68" ht="16.5" customHeight="1" x14ac:dyDescent="0.25">
      <c r="A93" s="342" t="s">
        <v>176</v>
      </c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65"/>
      <c r="AB93" s="65"/>
      <c r="AC93" s="82"/>
    </row>
    <row r="94" spans="1:68" ht="14.25" customHeight="1" x14ac:dyDescent="0.25">
      <c r="A94" s="343" t="s">
        <v>149</v>
      </c>
      <c r="B94" s="343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66"/>
      <c r="AB94" s="66"/>
      <c r="AC94" s="83"/>
    </row>
    <row r="95" spans="1:68" ht="27" customHeight="1" x14ac:dyDescent="0.25">
      <c r="A95" s="63" t="s">
        <v>177</v>
      </c>
      <c r="B95" s="63" t="s">
        <v>178</v>
      </c>
      <c r="C95" s="36">
        <v>4301135763</v>
      </c>
      <c r="D95" s="344">
        <v>4620207491027</v>
      </c>
      <c r="E95" s="344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108</v>
      </c>
      <c r="L95" s="37" t="s">
        <v>120</v>
      </c>
      <c r="M95" s="38" t="s">
        <v>86</v>
      </c>
      <c r="N95" s="38"/>
      <c r="O95" s="37">
        <v>180</v>
      </c>
      <c r="P95" s="37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5" s="346"/>
      <c r="R95" s="346"/>
      <c r="S95" s="346"/>
      <c r="T95" s="347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ref="Y95:Y100" si="0">IFERROR(IF(X95="","",X95),"")</f>
        <v>0</v>
      </c>
      <c r="Z95" s="41">
        <f t="shared" ref="Z95:Z100" si="1">IFERROR(IF(X95="","",X95*0.01788),"")</f>
        <v>0</v>
      </c>
      <c r="AA95" s="68" t="s">
        <v>46</v>
      </c>
      <c r="AB95" s="69" t="s">
        <v>46</v>
      </c>
      <c r="AC95" s="143" t="s">
        <v>167</v>
      </c>
      <c r="AG95" s="81"/>
      <c r="AJ95" s="87" t="s">
        <v>121</v>
      </c>
      <c r="AK95" s="87">
        <v>14</v>
      </c>
      <c r="BB95" s="144" t="s">
        <v>107</v>
      </c>
      <c r="BM95" s="81">
        <f t="shared" ref="BM95:BM100" si="2">IFERROR(X95*I95,"0")</f>
        <v>0</v>
      </c>
      <c r="BN95" s="81">
        <f t="shared" ref="BN95:BN100" si="3">IFERROR(Y95*I95,"0")</f>
        <v>0</v>
      </c>
      <c r="BO95" s="81">
        <f t="shared" ref="BO95:BO100" si="4">IFERROR(X95/J95,"0")</f>
        <v>0</v>
      </c>
      <c r="BP95" s="81">
        <f t="shared" ref="BP95:BP100" si="5">IFERROR(Y95/J95,"0")</f>
        <v>0</v>
      </c>
    </row>
    <row r="96" spans="1:68" ht="27" customHeight="1" x14ac:dyDescent="0.25">
      <c r="A96" s="63" t="s">
        <v>179</v>
      </c>
      <c r="B96" s="63" t="s">
        <v>180</v>
      </c>
      <c r="C96" s="36">
        <v>4301135793</v>
      </c>
      <c r="D96" s="344">
        <v>4620207491003</v>
      </c>
      <c r="E96" s="344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108</v>
      </c>
      <c r="L96" s="37" t="s">
        <v>109</v>
      </c>
      <c r="M96" s="38" t="s">
        <v>86</v>
      </c>
      <c r="N96" s="38"/>
      <c r="O96" s="37">
        <v>180</v>
      </c>
      <c r="P96" s="38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346"/>
      <c r="R96" s="346"/>
      <c r="S96" s="346"/>
      <c r="T96" s="347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0"/>
        <v>0</v>
      </c>
      <c r="Z96" s="41">
        <f t="shared" si="1"/>
        <v>0</v>
      </c>
      <c r="AA96" s="68" t="s">
        <v>46</v>
      </c>
      <c r="AB96" s="69" t="s">
        <v>46</v>
      </c>
      <c r="AC96" s="145" t="s">
        <v>167</v>
      </c>
      <c r="AG96" s="81"/>
      <c r="AJ96" s="87" t="s">
        <v>110</v>
      </c>
      <c r="AK96" s="87">
        <v>70</v>
      </c>
      <c r="BB96" s="146" t="s">
        <v>107</v>
      </c>
      <c r="BM96" s="81">
        <f t="shared" si="2"/>
        <v>0</v>
      </c>
      <c r="BN96" s="81">
        <f t="shared" si="3"/>
        <v>0</v>
      </c>
      <c r="BO96" s="81">
        <f t="shared" si="4"/>
        <v>0</v>
      </c>
      <c r="BP96" s="81">
        <f t="shared" si="5"/>
        <v>0</v>
      </c>
    </row>
    <row r="97" spans="1:68" ht="27" customHeight="1" x14ac:dyDescent="0.25">
      <c r="A97" s="63" t="s">
        <v>181</v>
      </c>
      <c r="B97" s="63" t="s">
        <v>182</v>
      </c>
      <c r="C97" s="36">
        <v>4301135768</v>
      </c>
      <c r="D97" s="344">
        <v>4620207491034</v>
      </c>
      <c r="E97" s="344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108</v>
      </c>
      <c r="L97" s="37" t="s">
        <v>88</v>
      </c>
      <c r="M97" s="38" t="s">
        <v>86</v>
      </c>
      <c r="N97" s="38"/>
      <c r="O97" s="37">
        <v>180</v>
      </c>
      <c r="P97" s="38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346"/>
      <c r="R97" s="346"/>
      <c r="S97" s="346"/>
      <c r="T97" s="347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0"/>
        <v>0</v>
      </c>
      <c r="Z97" s="41">
        <f t="shared" si="1"/>
        <v>0</v>
      </c>
      <c r="AA97" s="68" t="s">
        <v>46</v>
      </c>
      <c r="AB97" s="69" t="s">
        <v>46</v>
      </c>
      <c r="AC97" s="147" t="s">
        <v>183</v>
      </c>
      <c r="AG97" s="81"/>
      <c r="AJ97" s="87" t="s">
        <v>89</v>
      </c>
      <c r="AK97" s="87">
        <v>1</v>
      </c>
      <c r="BB97" s="148" t="s">
        <v>107</v>
      </c>
      <c r="BM97" s="81">
        <f t="shared" si="2"/>
        <v>0</v>
      </c>
      <c r="BN97" s="81">
        <f t="shared" si="3"/>
        <v>0</v>
      </c>
      <c r="BO97" s="81">
        <f t="shared" si="4"/>
        <v>0</v>
      </c>
      <c r="BP97" s="81">
        <f t="shared" si="5"/>
        <v>0</v>
      </c>
    </row>
    <row r="98" spans="1:68" ht="27" customHeight="1" x14ac:dyDescent="0.25">
      <c r="A98" s="63" t="s">
        <v>184</v>
      </c>
      <c r="B98" s="63" t="s">
        <v>185</v>
      </c>
      <c r="C98" s="36">
        <v>4301135760</v>
      </c>
      <c r="D98" s="344">
        <v>4620207491010</v>
      </c>
      <c r="E98" s="344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108</v>
      </c>
      <c r="L98" s="37" t="s">
        <v>109</v>
      </c>
      <c r="M98" s="38" t="s">
        <v>86</v>
      </c>
      <c r="N98" s="38"/>
      <c r="O98" s="37">
        <v>180</v>
      </c>
      <c r="P98" s="38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346"/>
      <c r="R98" s="346"/>
      <c r="S98" s="346"/>
      <c r="T98" s="347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0"/>
        <v>0</v>
      </c>
      <c r="Z98" s="41">
        <f t="shared" si="1"/>
        <v>0</v>
      </c>
      <c r="AA98" s="68" t="s">
        <v>46</v>
      </c>
      <c r="AB98" s="69" t="s">
        <v>46</v>
      </c>
      <c r="AC98" s="149" t="s">
        <v>167</v>
      </c>
      <c r="AG98" s="81"/>
      <c r="AJ98" s="87" t="s">
        <v>110</v>
      </c>
      <c r="AK98" s="87">
        <v>70</v>
      </c>
      <c r="BB98" s="150" t="s">
        <v>107</v>
      </c>
      <c r="BM98" s="81">
        <f t="shared" si="2"/>
        <v>0</v>
      </c>
      <c r="BN98" s="81">
        <f t="shared" si="3"/>
        <v>0</v>
      </c>
      <c r="BO98" s="81">
        <f t="shared" si="4"/>
        <v>0</v>
      </c>
      <c r="BP98" s="81">
        <f t="shared" si="5"/>
        <v>0</v>
      </c>
    </row>
    <row r="99" spans="1:68" ht="27" customHeight="1" x14ac:dyDescent="0.25">
      <c r="A99" s="63" t="s">
        <v>186</v>
      </c>
      <c r="B99" s="63" t="s">
        <v>187</v>
      </c>
      <c r="C99" s="36">
        <v>4301135571</v>
      </c>
      <c r="D99" s="344">
        <v>4607111035028</v>
      </c>
      <c r="E99" s="344"/>
      <c r="F99" s="62">
        <v>0.48</v>
      </c>
      <c r="G99" s="37">
        <v>8</v>
      </c>
      <c r="H99" s="62">
        <v>3.84</v>
      </c>
      <c r="I99" s="62">
        <v>4.4488000000000003</v>
      </c>
      <c r="J99" s="37">
        <v>70</v>
      </c>
      <c r="K99" s="37" t="s">
        <v>108</v>
      </c>
      <c r="L99" s="37" t="s">
        <v>88</v>
      </c>
      <c r="M99" s="38" t="s">
        <v>86</v>
      </c>
      <c r="N99" s="38"/>
      <c r="O99" s="37">
        <v>180</v>
      </c>
      <c r="P99" s="38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346"/>
      <c r="R99" s="346"/>
      <c r="S99" s="346"/>
      <c r="T99" s="347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0"/>
        <v>0</v>
      </c>
      <c r="Z99" s="41">
        <f t="shared" si="1"/>
        <v>0</v>
      </c>
      <c r="AA99" s="68" t="s">
        <v>46</v>
      </c>
      <c r="AB99" s="69" t="s">
        <v>46</v>
      </c>
      <c r="AC99" s="151" t="s">
        <v>167</v>
      </c>
      <c r="AG99" s="81"/>
      <c r="AJ99" s="87" t="s">
        <v>89</v>
      </c>
      <c r="AK99" s="87">
        <v>1</v>
      </c>
      <c r="BB99" s="152" t="s">
        <v>107</v>
      </c>
      <c r="BM99" s="81">
        <f t="shared" si="2"/>
        <v>0</v>
      </c>
      <c r="BN99" s="81">
        <f t="shared" si="3"/>
        <v>0</v>
      </c>
      <c r="BO99" s="81">
        <f t="shared" si="4"/>
        <v>0</v>
      </c>
      <c r="BP99" s="81">
        <f t="shared" si="5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4301135285</v>
      </c>
      <c r="D100" s="344">
        <v>4607111036407</v>
      </c>
      <c r="E100" s="344"/>
      <c r="F100" s="62">
        <v>0.3</v>
      </c>
      <c r="G100" s="37">
        <v>14</v>
      </c>
      <c r="H100" s="62">
        <v>4.2</v>
      </c>
      <c r="I100" s="62">
        <v>4.5292000000000003</v>
      </c>
      <c r="J100" s="37">
        <v>70</v>
      </c>
      <c r="K100" s="37" t="s">
        <v>108</v>
      </c>
      <c r="L100" s="37" t="s">
        <v>120</v>
      </c>
      <c r="M100" s="38" t="s">
        <v>86</v>
      </c>
      <c r="N100" s="38"/>
      <c r="O100" s="37">
        <v>180</v>
      </c>
      <c r="P100" s="38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46"/>
      <c r="R100" s="346"/>
      <c r="S100" s="346"/>
      <c r="T100" s="347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0"/>
        <v>0</v>
      </c>
      <c r="Z100" s="41">
        <f t="shared" si="1"/>
        <v>0</v>
      </c>
      <c r="AA100" s="68" t="s">
        <v>46</v>
      </c>
      <c r="AB100" s="69" t="s">
        <v>46</v>
      </c>
      <c r="AC100" s="153" t="s">
        <v>190</v>
      </c>
      <c r="AG100" s="81"/>
      <c r="AJ100" s="87" t="s">
        <v>121</v>
      </c>
      <c r="AK100" s="87">
        <v>14</v>
      </c>
      <c r="BB100" s="154" t="s">
        <v>107</v>
      </c>
      <c r="BM100" s="81">
        <f t="shared" si="2"/>
        <v>0</v>
      </c>
      <c r="BN100" s="81">
        <f t="shared" si="3"/>
        <v>0</v>
      </c>
      <c r="BO100" s="81">
        <f t="shared" si="4"/>
        <v>0</v>
      </c>
      <c r="BP100" s="81">
        <f t="shared" si="5"/>
        <v>0</v>
      </c>
    </row>
    <row r="101" spans="1:68" x14ac:dyDescent="0.2">
      <c r="A101" s="354"/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5"/>
      <c r="P101" s="351" t="s">
        <v>40</v>
      </c>
      <c r="Q101" s="352"/>
      <c r="R101" s="352"/>
      <c r="S101" s="352"/>
      <c r="T101" s="352"/>
      <c r="U101" s="352"/>
      <c r="V101" s="353"/>
      <c r="W101" s="42" t="s">
        <v>39</v>
      </c>
      <c r="X101" s="43">
        <f>IFERROR(SUM(X95:X100),"0")</f>
        <v>0</v>
      </c>
      <c r="Y101" s="43">
        <f>IFERROR(SUM(Y95:Y100),"0")</f>
        <v>0</v>
      </c>
      <c r="Z101" s="43">
        <f>IFERROR(IF(Z95="",0,Z95),"0")+IFERROR(IF(Z96="",0,Z96),"0")+IFERROR(IF(Z97="",0,Z97),"0")+IFERROR(IF(Z98="",0,Z98),"0")+IFERROR(IF(Z99="",0,Z99),"0")+IFERROR(IF(Z100="",0,Z100),"0")</f>
        <v>0</v>
      </c>
      <c r="AA101" s="67"/>
      <c r="AB101" s="67"/>
      <c r="AC101" s="67"/>
    </row>
    <row r="102" spans="1:68" x14ac:dyDescent="0.2">
      <c r="A102" s="354"/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5"/>
      <c r="P102" s="351" t="s">
        <v>40</v>
      </c>
      <c r="Q102" s="352"/>
      <c r="R102" s="352"/>
      <c r="S102" s="352"/>
      <c r="T102" s="352"/>
      <c r="U102" s="352"/>
      <c r="V102" s="353"/>
      <c r="W102" s="42" t="s">
        <v>0</v>
      </c>
      <c r="X102" s="43">
        <f>IFERROR(SUMPRODUCT(X95:X100*H95:H100),"0")</f>
        <v>0</v>
      </c>
      <c r="Y102" s="43">
        <f>IFERROR(SUMPRODUCT(Y95:Y100*H95:H100),"0")</f>
        <v>0</v>
      </c>
      <c r="Z102" s="42"/>
      <c r="AA102" s="67"/>
      <c r="AB102" s="67"/>
      <c r="AC102" s="67"/>
    </row>
    <row r="103" spans="1:68" ht="16.5" customHeight="1" x14ac:dyDescent="0.25">
      <c r="A103" s="342" t="s">
        <v>191</v>
      </c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65"/>
      <c r="AB103" s="65"/>
      <c r="AC103" s="82"/>
    </row>
    <row r="104" spans="1:68" ht="14.25" customHeight="1" x14ac:dyDescent="0.25">
      <c r="A104" s="343" t="s">
        <v>143</v>
      </c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66"/>
      <c r="AB104" s="66"/>
      <c r="AC104" s="83"/>
    </row>
    <row r="105" spans="1:68" ht="27" customHeight="1" x14ac:dyDescent="0.25">
      <c r="A105" s="63" t="s">
        <v>192</v>
      </c>
      <c r="B105" s="63" t="s">
        <v>193</v>
      </c>
      <c r="C105" s="36">
        <v>4301136070</v>
      </c>
      <c r="D105" s="344">
        <v>4607025784012</v>
      </c>
      <c r="E105" s="344"/>
      <c r="F105" s="62">
        <v>0.09</v>
      </c>
      <c r="G105" s="37">
        <v>24</v>
      </c>
      <c r="H105" s="62">
        <v>2.16</v>
      </c>
      <c r="I105" s="62">
        <v>2.4912000000000001</v>
      </c>
      <c r="J105" s="37">
        <v>126</v>
      </c>
      <c r="K105" s="37" t="s">
        <v>108</v>
      </c>
      <c r="L105" s="37" t="s">
        <v>120</v>
      </c>
      <c r="M105" s="38" t="s">
        <v>86</v>
      </c>
      <c r="N105" s="38"/>
      <c r="O105" s="37">
        <v>180</v>
      </c>
      <c r="P105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46"/>
      <c r="R105" s="346"/>
      <c r="S105" s="346"/>
      <c r="T105" s="347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IFERROR(IF(X105="","",X105*0.00936),"")</f>
        <v>0</v>
      </c>
      <c r="AA105" s="68" t="s">
        <v>46</v>
      </c>
      <c r="AB105" s="69" t="s">
        <v>46</v>
      </c>
      <c r="AC105" s="155" t="s">
        <v>194</v>
      </c>
      <c r="AG105" s="81"/>
      <c r="AJ105" s="87" t="s">
        <v>121</v>
      </c>
      <c r="AK105" s="87">
        <v>14</v>
      </c>
      <c r="BB105" s="156" t="s">
        <v>107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t="27" customHeight="1" x14ac:dyDescent="0.25">
      <c r="A106" s="63" t="s">
        <v>195</v>
      </c>
      <c r="B106" s="63" t="s">
        <v>196</v>
      </c>
      <c r="C106" s="36">
        <v>4301136079</v>
      </c>
      <c r="D106" s="344">
        <v>4607025784319</v>
      </c>
      <c r="E106" s="344"/>
      <c r="F106" s="62">
        <v>0.36</v>
      </c>
      <c r="G106" s="37">
        <v>10</v>
      </c>
      <c r="H106" s="62">
        <v>3.6</v>
      </c>
      <c r="I106" s="62">
        <v>4.2439999999999998</v>
      </c>
      <c r="J106" s="37">
        <v>70</v>
      </c>
      <c r="K106" s="37" t="s">
        <v>108</v>
      </c>
      <c r="L106" s="37" t="s">
        <v>88</v>
      </c>
      <c r="M106" s="38" t="s">
        <v>86</v>
      </c>
      <c r="N106" s="38"/>
      <c r="O106" s="37">
        <v>180</v>
      </c>
      <c r="P106" s="38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346"/>
      <c r="R106" s="346"/>
      <c r="S106" s="346"/>
      <c r="T106" s="347"/>
      <c r="U106" s="39" t="s">
        <v>46</v>
      </c>
      <c r="V106" s="39" t="s">
        <v>46</v>
      </c>
      <c r="W106" s="40" t="s">
        <v>39</v>
      </c>
      <c r="X106" s="58">
        <v>0</v>
      </c>
      <c r="Y106" s="55">
        <f>IFERROR(IF(X106="","",X106),"")</f>
        <v>0</v>
      </c>
      <c r="Z106" s="41">
        <f>IFERROR(IF(X106="","",X106*0.01788),"")</f>
        <v>0</v>
      </c>
      <c r="AA106" s="68" t="s">
        <v>46</v>
      </c>
      <c r="AB106" s="69" t="s">
        <v>46</v>
      </c>
      <c r="AC106" s="157" t="s">
        <v>167</v>
      </c>
      <c r="AG106" s="81"/>
      <c r="AJ106" s="87" t="s">
        <v>89</v>
      </c>
      <c r="AK106" s="87">
        <v>1</v>
      </c>
      <c r="BB106" s="158" t="s">
        <v>107</v>
      </c>
      <c r="BM106" s="81">
        <f>IFERROR(X106*I106,"0")</f>
        <v>0</v>
      </c>
      <c r="BN106" s="81">
        <f>IFERROR(Y106*I106,"0")</f>
        <v>0</v>
      </c>
      <c r="BO106" s="81">
        <f>IFERROR(X106/J106,"0")</f>
        <v>0</v>
      </c>
      <c r="BP106" s="81">
        <f>IFERROR(Y106/J106,"0")</f>
        <v>0</v>
      </c>
    </row>
    <row r="107" spans="1:68" x14ac:dyDescent="0.2">
      <c r="A107" s="354"/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5"/>
      <c r="P107" s="351" t="s">
        <v>40</v>
      </c>
      <c r="Q107" s="352"/>
      <c r="R107" s="352"/>
      <c r="S107" s="352"/>
      <c r="T107" s="352"/>
      <c r="U107" s="352"/>
      <c r="V107" s="353"/>
      <c r="W107" s="42" t="s">
        <v>39</v>
      </c>
      <c r="X107" s="43">
        <f>IFERROR(SUM(X105:X106),"0")</f>
        <v>0</v>
      </c>
      <c r="Y107" s="43">
        <f>IFERROR(SUM(Y105:Y106),"0")</f>
        <v>0</v>
      </c>
      <c r="Z107" s="43">
        <f>IFERROR(IF(Z105="",0,Z105),"0")+IFERROR(IF(Z106="",0,Z106),"0")</f>
        <v>0</v>
      </c>
      <c r="AA107" s="67"/>
      <c r="AB107" s="67"/>
      <c r="AC107" s="67"/>
    </row>
    <row r="108" spans="1:68" x14ac:dyDescent="0.2">
      <c r="A108" s="354"/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5"/>
      <c r="P108" s="351" t="s">
        <v>40</v>
      </c>
      <c r="Q108" s="352"/>
      <c r="R108" s="352"/>
      <c r="S108" s="352"/>
      <c r="T108" s="352"/>
      <c r="U108" s="352"/>
      <c r="V108" s="353"/>
      <c r="W108" s="42" t="s">
        <v>0</v>
      </c>
      <c r="X108" s="43">
        <f>IFERROR(SUMPRODUCT(X105:X106*H105:H106),"0")</f>
        <v>0</v>
      </c>
      <c r="Y108" s="43">
        <f>IFERROR(SUMPRODUCT(Y105:Y106*H105:H106),"0")</f>
        <v>0</v>
      </c>
      <c r="Z108" s="42"/>
      <c r="AA108" s="67"/>
      <c r="AB108" s="67"/>
      <c r="AC108" s="67"/>
    </row>
    <row r="109" spans="1:68" ht="16.5" customHeight="1" x14ac:dyDescent="0.25">
      <c r="A109" s="342" t="s">
        <v>197</v>
      </c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65"/>
      <c r="AB109" s="65"/>
      <c r="AC109" s="82"/>
    </row>
    <row r="110" spans="1:68" ht="14.25" customHeight="1" x14ac:dyDescent="0.25">
      <c r="A110" s="343" t="s">
        <v>82</v>
      </c>
      <c r="B110" s="343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66"/>
      <c r="AB110" s="66"/>
      <c r="AC110" s="83"/>
    </row>
    <row r="111" spans="1:68" ht="27" customHeight="1" x14ac:dyDescent="0.25">
      <c r="A111" s="63" t="s">
        <v>198</v>
      </c>
      <c r="B111" s="63" t="s">
        <v>199</v>
      </c>
      <c r="C111" s="36">
        <v>4301071074</v>
      </c>
      <c r="D111" s="344">
        <v>4620207491157</v>
      </c>
      <c r="E111" s="344"/>
      <c r="F111" s="62">
        <v>0.7</v>
      </c>
      <c r="G111" s="37">
        <v>10</v>
      </c>
      <c r="H111" s="62">
        <v>7</v>
      </c>
      <c r="I111" s="62">
        <v>7.28</v>
      </c>
      <c r="J111" s="37">
        <v>84</v>
      </c>
      <c r="K111" s="37" t="s">
        <v>87</v>
      </c>
      <c r="L111" s="37" t="s">
        <v>120</v>
      </c>
      <c r="M111" s="38" t="s">
        <v>86</v>
      </c>
      <c r="N111" s="38"/>
      <c r="O111" s="37">
        <v>180</v>
      </c>
      <c r="P111" s="38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1" s="346"/>
      <c r="R111" s="346"/>
      <c r="S111" s="346"/>
      <c r="T111" s="347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ref="Y111:Y118" si="6">IFERROR(IF(X111="","",X111),"")</f>
        <v>0</v>
      </c>
      <c r="Z111" s="41">
        <f t="shared" ref="Z111:Z118" si="7">IFERROR(IF(X111="","",X111*0.0155),"")</f>
        <v>0</v>
      </c>
      <c r="AA111" s="68" t="s">
        <v>46</v>
      </c>
      <c r="AB111" s="69" t="s">
        <v>46</v>
      </c>
      <c r="AC111" s="159" t="s">
        <v>200</v>
      </c>
      <c r="AG111" s="81"/>
      <c r="AJ111" s="87" t="s">
        <v>121</v>
      </c>
      <c r="AK111" s="87">
        <v>12</v>
      </c>
      <c r="BB111" s="160" t="s">
        <v>70</v>
      </c>
      <c r="BM111" s="81">
        <f t="shared" ref="BM111:BM118" si="8">IFERROR(X111*I111,"0")</f>
        <v>0</v>
      </c>
      <c r="BN111" s="81">
        <f t="shared" ref="BN111:BN118" si="9">IFERROR(Y111*I111,"0")</f>
        <v>0</v>
      </c>
      <c r="BO111" s="81">
        <f t="shared" ref="BO111:BO118" si="10">IFERROR(X111/J111,"0")</f>
        <v>0</v>
      </c>
      <c r="BP111" s="81">
        <f t="shared" ref="BP111:BP118" si="11">IFERROR(Y111/J111,"0")</f>
        <v>0</v>
      </c>
    </row>
    <row r="112" spans="1:68" ht="27" customHeight="1" x14ac:dyDescent="0.25">
      <c r="A112" s="63" t="s">
        <v>201</v>
      </c>
      <c r="B112" s="63" t="s">
        <v>202</v>
      </c>
      <c r="C112" s="36">
        <v>4301071051</v>
      </c>
      <c r="D112" s="344">
        <v>4607111039262</v>
      </c>
      <c r="E112" s="344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87</v>
      </c>
      <c r="L112" s="37" t="s">
        <v>120</v>
      </c>
      <c r="M112" s="38" t="s">
        <v>86</v>
      </c>
      <c r="N112" s="38"/>
      <c r="O112" s="37">
        <v>180</v>
      </c>
      <c r="P112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46"/>
      <c r="R112" s="346"/>
      <c r="S112" s="346"/>
      <c r="T112" s="347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6"/>
        <v>0</v>
      </c>
      <c r="Z112" s="41">
        <f t="shared" si="7"/>
        <v>0</v>
      </c>
      <c r="AA112" s="68" t="s">
        <v>46</v>
      </c>
      <c r="AB112" s="69" t="s">
        <v>46</v>
      </c>
      <c r="AC112" s="161" t="s">
        <v>160</v>
      </c>
      <c r="AG112" s="81"/>
      <c r="AJ112" s="87" t="s">
        <v>121</v>
      </c>
      <c r="AK112" s="87">
        <v>12</v>
      </c>
      <c r="BB112" s="162" t="s">
        <v>70</v>
      </c>
      <c r="BM112" s="81">
        <f t="shared" si="8"/>
        <v>0</v>
      </c>
      <c r="BN112" s="81">
        <f t="shared" si="9"/>
        <v>0</v>
      </c>
      <c r="BO112" s="81">
        <f t="shared" si="10"/>
        <v>0</v>
      </c>
      <c r="BP112" s="81">
        <f t="shared" si="11"/>
        <v>0</v>
      </c>
    </row>
    <row r="113" spans="1:68" ht="27" customHeight="1" x14ac:dyDescent="0.25">
      <c r="A113" s="63" t="s">
        <v>203</v>
      </c>
      <c r="B113" s="63" t="s">
        <v>204</v>
      </c>
      <c r="C113" s="36">
        <v>4301071038</v>
      </c>
      <c r="D113" s="344">
        <v>4607111039248</v>
      </c>
      <c r="E113" s="344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87</v>
      </c>
      <c r="L113" s="37" t="s">
        <v>109</v>
      </c>
      <c r="M113" s="38" t="s">
        <v>86</v>
      </c>
      <c r="N113" s="38"/>
      <c r="O113" s="37">
        <v>180</v>
      </c>
      <c r="P113" s="38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46"/>
      <c r="R113" s="346"/>
      <c r="S113" s="346"/>
      <c r="T113" s="347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6"/>
        <v>0</v>
      </c>
      <c r="Z113" s="41">
        <f t="shared" si="7"/>
        <v>0</v>
      </c>
      <c r="AA113" s="68" t="s">
        <v>46</v>
      </c>
      <c r="AB113" s="69" t="s">
        <v>46</v>
      </c>
      <c r="AC113" s="163" t="s">
        <v>160</v>
      </c>
      <c r="AG113" s="81"/>
      <c r="AJ113" s="87" t="s">
        <v>110</v>
      </c>
      <c r="AK113" s="87">
        <v>84</v>
      </c>
      <c r="BB113" s="164" t="s">
        <v>70</v>
      </c>
      <c r="BM113" s="81">
        <f t="shared" si="8"/>
        <v>0</v>
      </c>
      <c r="BN113" s="81">
        <f t="shared" si="9"/>
        <v>0</v>
      </c>
      <c r="BO113" s="81">
        <f t="shared" si="10"/>
        <v>0</v>
      </c>
      <c r="BP113" s="81">
        <f t="shared" si="11"/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4301070979</v>
      </c>
      <c r="D114" s="344">
        <v>4607111037145</v>
      </c>
      <c r="E114" s="344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46"/>
      <c r="R114" s="346"/>
      <c r="S114" s="346"/>
      <c r="T114" s="347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6"/>
        <v>0</v>
      </c>
      <c r="Z114" s="41">
        <f t="shared" si="7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8"/>
        <v>0</v>
      </c>
      <c r="BN114" s="81">
        <f t="shared" si="9"/>
        <v>0</v>
      </c>
      <c r="BO114" s="81">
        <f t="shared" si="10"/>
        <v>0</v>
      </c>
      <c r="BP114" s="81">
        <f t="shared" si="11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4301071049</v>
      </c>
      <c r="D115" s="344">
        <v>4607111039293</v>
      </c>
      <c r="E115" s="344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120</v>
      </c>
      <c r="M115" s="38" t="s">
        <v>86</v>
      </c>
      <c r="N115" s="38"/>
      <c r="O115" s="37">
        <v>180</v>
      </c>
      <c r="P115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46"/>
      <c r="R115" s="346"/>
      <c r="S115" s="346"/>
      <c r="T115" s="34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6"/>
        <v>0</v>
      </c>
      <c r="Z115" s="41">
        <f t="shared" si="7"/>
        <v>0</v>
      </c>
      <c r="AA115" s="68" t="s">
        <v>46</v>
      </c>
      <c r="AB115" s="69" t="s">
        <v>46</v>
      </c>
      <c r="AC115" s="167" t="s">
        <v>160</v>
      </c>
      <c r="AG115" s="81"/>
      <c r="AJ115" s="87" t="s">
        <v>121</v>
      </c>
      <c r="AK115" s="87">
        <v>12</v>
      </c>
      <c r="BB115" s="168" t="s">
        <v>70</v>
      </c>
      <c r="BM115" s="81">
        <f t="shared" si="8"/>
        <v>0</v>
      </c>
      <c r="BN115" s="81">
        <f t="shared" si="9"/>
        <v>0</v>
      </c>
      <c r="BO115" s="81">
        <f t="shared" si="10"/>
        <v>0</v>
      </c>
      <c r="BP115" s="81">
        <f t="shared" si="11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4301071039</v>
      </c>
      <c r="D116" s="344">
        <v>4607111039279</v>
      </c>
      <c r="E116" s="344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109</v>
      </c>
      <c r="M116" s="38" t="s">
        <v>86</v>
      </c>
      <c r="N116" s="38"/>
      <c r="O116" s="37">
        <v>180</v>
      </c>
      <c r="P116" s="39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46"/>
      <c r="R116" s="346"/>
      <c r="S116" s="346"/>
      <c r="T116" s="34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6"/>
        <v>0</v>
      </c>
      <c r="Z116" s="41">
        <f t="shared" si="7"/>
        <v>0</v>
      </c>
      <c r="AA116" s="68" t="s">
        <v>46</v>
      </c>
      <c r="AB116" s="69" t="s">
        <v>46</v>
      </c>
      <c r="AC116" s="169" t="s">
        <v>160</v>
      </c>
      <c r="AG116" s="81"/>
      <c r="AJ116" s="87" t="s">
        <v>110</v>
      </c>
      <c r="AK116" s="87">
        <v>84</v>
      </c>
      <c r="BB116" s="170" t="s">
        <v>70</v>
      </c>
      <c r="BM116" s="81">
        <f t="shared" si="8"/>
        <v>0</v>
      </c>
      <c r="BN116" s="81">
        <f t="shared" si="9"/>
        <v>0</v>
      </c>
      <c r="BO116" s="81">
        <f t="shared" si="10"/>
        <v>0</v>
      </c>
      <c r="BP116" s="81">
        <f t="shared" si="11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4301070978</v>
      </c>
      <c r="D117" s="344">
        <v>4607111037435</v>
      </c>
      <c r="E117" s="344"/>
      <c r="F117" s="62">
        <v>0.8</v>
      </c>
      <c r="G117" s="37">
        <v>8</v>
      </c>
      <c r="H117" s="62">
        <v>6.4</v>
      </c>
      <c r="I117" s="62">
        <v>6.6859999999999999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17" s="346"/>
      <c r="R117" s="346"/>
      <c r="S117" s="346"/>
      <c r="T117" s="347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6"/>
        <v>0</v>
      </c>
      <c r="Z117" s="41">
        <f t="shared" si="7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8"/>
        <v>0</v>
      </c>
      <c r="BN117" s="81">
        <f t="shared" si="9"/>
        <v>0</v>
      </c>
      <c r="BO117" s="81">
        <f t="shared" si="10"/>
        <v>0</v>
      </c>
      <c r="BP117" s="81">
        <f t="shared" si="11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4301071075</v>
      </c>
      <c r="D118" s="344">
        <v>4620207491102</v>
      </c>
      <c r="E118" s="344"/>
      <c r="F118" s="62">
        <v>0.7</v>
      </c>
      <c r="G118" s="37">
        <v>10</v>
      </c>
      <c r="H118" s="62">
        <v>7</v>
      </c>
      <c r="I118" s="62">
        <v>7.23</v>
      </c>
      <c r="J118" s="37">
        <v>84</v>
      </c>
      <c r="K118" s="37" t="s">
        <v>87</v>
      </c>
      <c r="L118" s="37" t="s">
        <v>88</v>
      </c>
      <c r="M118" s="38" t="s">
        <v>86</v>
      </c>
      <c r="N118" s="38"/>
      <c r="O118" s="37">
        <v>180</v>
      </c>
      <c r="P118" s="39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8" s="346"/>
      <c r="R118" s="346"/>
      <c r="S118" s="346"/>
      <c r="T118" s="347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6"/>
        <v>0</v>
      </c>
      <c r="Z118" s="41">
        <f t="shared" si="7"/>
        <v>0</v>
      </c>
      <c r="AA118" s="68" t="s">
        <v>46</v>
      </c>
      <c r="AB118" s="69" t="s">
        <v>46</v>
      </c>
      <c r="AC118" s="173" t="s">
        <v>217</v>
      </c>
      <c r="AG118" s="81"/>
      <c r="AJ118" s="87" t="s">
        <v>89</v>
      </c>
      <c r="AK118" s="87">
        <v>1</v>
      </c>
      <c r="BB118" s="174" t="s">
        <v>70</v>
      </c>
      <c r="BM118" s="81">
        <f t="shared" si="8"/>
        <v>0</v>
      </c>
      <c r="BN118" s="81">
        <f t="shared" si="9"/>
        <v>0</v>
      </c>
      <c r="BO118" s="81">
        <f t="shared" si="10"/>
        <v>0</v>
      </c>
      <c r="BP118" s="81">
        <f t="shared" si="11"/>
        <v>0</v>
      </c>
    </row>
    <row r="119" spans="1:68" x14ac:dyDescent="0.2">
      <c r="A119" s="354"/>
      <c r="B119" s="354"/>
      <c r="C119" s="354"/>
      <c r="D119" s="354"/>
      <c r="E119" s="354"/>
      <c r="F119" s="354"/>
      <c r="G119" s="354"/>
      <c r="H119" s="354"/>
      <c r="I119" s="354"/>
      <c r="J119" s="354"/>
      <c r="K119" s="354"/>
      <c r="L119" s="354"/>
      <c r="M119" s="354"/>
      <c r="N119" s="354"/>
      <c r="O119" s="355"/>
      <c r="P119" s="351" t="s">
        <v>40</v>
      </c>
      <c r="Q119" s="352"/>
      <c r="R119" s="352"/>
      <c r="S119" s="352"/>
      <c r="T119" s="352"/>
      <c r="U119" s="352"/>
      <c r="V119" s="353"/>
      <c r="W119" s="42" t="s">
        <v>39</v>
      </c>
      <c r="X119" s="43">
        <f>IFERROR(SUM(X111:X118),"0")</f>
        <v>0</v>
      </c>
      <c r="Y119" s="43">
        <f>IFERROR(SUM(Y111:Y118),"0")</f>
        <v>0</v>
      </c>
      <c r="Z119" s="43">
        <f>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354"/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5"/>
      <c r="P120" s="351" t="s">
        <v>40</v>
      </c>
      <c r="Q120" s="352"/>
      <c r="R120" s="352"/>
      <c r="S120" s="352"/>
      <c r="T120" s="352"/>
      <c r="U120" s="352"/>
      <c r="V120" s="353"/>
      <c r="W120" s="42" t="s">
        <v>0</v>
      </c>
      <c r="X120" s="43">
        <f>IFERROR(SUMPRODUCT(X111:X118*H111:H118),"0")</f>
        <v>0</v>
      </c>
      <c r="Y120" s="43">
        <f>IFERROR(SUMPRODUCT(Y111:Y118*H111:H118),"0")</f>
        <v>0</v>
      </c>
      <c r="Z120" s="42"/>
      <c r="AA120" s="67"/>
      <c r="AB120" s="67"/>
      <c r="AC120" s="67"/>
    </row>
    <row r="121" spans="1:68" ht="14.25" customHeight="1" x14ac:dyDescent="0.25">
      <c r="A121" s="343" t="s">
        <v>149</v>
      </c>
      <c r="B121" s="343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66"/>
      <c r="AB121" s="66"/>
      <c r="AC121" s="83"/>
    </row>
    <row r="122" spans="1:68" ht="27" customHeight="1" x14ac:dyDescent="0.25">
      <c r="A122" s="63" t="s">
        <v>218</v>
      </c>
      <c r="B122" s="63" t="s">
        <v>219</v>
      </c>
      <c r="C122" s="36">
        <v>4301135826</v>
      </c>
      <c r="D122" s="344">
        <v>4620207490983</v>
      </c>
      <c r="E122" s="344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108</v>
      </c>
      <c r="L122" s="37" t="s">
        <v>88</v>
      </c>
      <c r="M122" s="38" t="s">
        <v>86</v>
      </c>
      <c r="N122" s="38"/>
      <c r="O122" s="37">
        <v>180</v>
      </c>
      <c r="P122" s="39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46"/>
      <c r="R122" s="346"/>
      <c r="S122" s="346"/>
      <c r="T122" s="347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75" t="s">
        <v>220</v>
      </c>
      <c r="AG122" s="81"/>
      <c r="AJ122" s="87" t="s">
        <v>89</v>
      </c>
      <c r="AK122" s="87">
        <v>1</v>
      </c>
      <c r="BB122" s="176" t="s">
        <v>107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54"/>
      <c r="B123" s="354"/>
      <c r="C123" s="354"/>
      <c r="D123" s="354"/>
      <c r="E123" s="354"/>
      <c r="F123" s="354"/>
      <c r="G123" s="354"/>
      <c r="H123" s="354"/>
      <c r="I123" s="354"/>
      <c r="J123" s="354"/>
      <c r="K123" s="354"/>
      <c r="L123" s="354"/>
      <c r="M123" s="354"/>
      <c r="N123" s="354"/>
      <c r="O123" s="355"/>
      <c r="P123" s="351" t="s">
        <v>40</v>
      </c>
      <c r="Q123" s="352"/>
      <c r="R123" s="352"/>
      <c r="S123" s="352"/>
      <c r="T123" s="352"/>
      <c r="U123" s="352"/>
      <c r="V123" s="353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54"/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5"/>
      <c r="P124" s="351" t="s">
        <v>40</v>
      </c>
      <c r="Q124" s="352"/>
      <c r="R124" s="352"/>
      <c r="S124" s="352"/>
      <c r="T124" s="352"/>
      <c r="U124" s="352"/>
      <c r="V124" s="353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43" t="s">
        <v>221</v>
      </c>
      <c r="B125" s="343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66"/>
      <c r="AB125" s="66"/>
      <c r="AC125" s="83"/>
    </row>
    <row r="126" spans="1:68" ht="27" customHeight="1" x14ac:dyDescent="0.25">
      <c r="A126" s="63" t="s">
        <v>222</v>
      </c>
      <c r="B126" s="63" t="s">
        <v>223</v>
      </c>
      <c r="C126" s="36">
        <v>4301071094</v>
      </c>
      <c r="D126" s="344">
        <v>4620207491140</v>
      </c>
      <c r="E126" s="344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9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46"/>
      <c r="R126" s="346"/>
      <c r="S126" s="346"/>
      <c r="T126" s="347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77" t="s">
        <v>224</v>
      </c>
      <c r="AG126" s="81"/>
      <c r="AJ126" s="87" t="s">
        <v>89</v>
      </c>
      <c r="AK126" s="87">
        <v>1</v>
      </c>
      <c r="BB126" s="178" t="s">
        <v>107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54"/>
      <c r="B127" s="354"/>
      <c r="C127" s="354"/>
      <c r="D127" s="354"/>
      <c r="E127" s="354"/>
      <c r="F127" s="354"/>
      <c r="G127" s="354"/>
      <c r="H127" s="354"/>
      <c r="I127" s="354"/>
      <c r="J127" s="354"/>
      <c r="K127" s="354"/>
      <c r="L127" s="354"/>
      <c r="M127" s="354"/>
      <c r="N127" s="354"/>
      <c r="O127" s="355"/>
      <c r="P127" s="351" t="s">
        <v>40</v>
      </c>
      <c r="Q127" s="352"/>
      <c r="R127" s="352"/>
      <c r="S127" s="352"/>
      <c r="T127" s="352"/>
      <c r="U127" s="352"/>
      <c r="V127" s="353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54"/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5"/>
      <c r="P128" s="351" t="s">
        <v>40</v>
      </c>
      <c r="Q128" s="352"/>
      <c r="R128" s="352"/>
      <c r="S128" s="352"/>
      <c r="T128" s="352"/>
      <c r="U128" s="352"/>
      <c r="V128" s="353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42" t="s">
        <v>225</v>
      </c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  <c r="AA129" s="65"/>
      <c r="AB129" s="65"/>
      <c r="AC129" s="82"/>
    </row>
    <row r="130" spans="1:68" ht="14.25" customHeight="1" x14ac:dyDescent="0.25">
      <c r="A130" s="343" t="s">
        <v>149</v>
      </c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66"/>
      <c r="AB130" s="66"/>
      <c r="AC130" s="83"/>
    </row>
    <row r="131" spans="1:68" ht="27" customHeight="1" x14ac:dyDescent="0.25">
      <c r="A131" s="63" t="s">
        <v>226</v>
      </c>
      <c r="B131" s="63" t="s">
        <v>227</v>
      </c>
      <c r="C131" s="36">
        <v>4301135555</v>
      </c>
      <c r="D131" s="344">
        <v>4607111034014</v>
      </c>
      <c r="E131" s="344"/>
      <c r="F131" s="62">
        <v>0.25</v>
      </c>
      <c r="G131" s="37">
        <v>12</v>
      </c>
      <c r="H131" s="62">
        <v>3</v>
      </c>
      <c r="I131" s="62">
        <v>3.7035999999999998</v>
      </c>
      <c r="J131" s="37">
        <v>70</v>
      </c>
      <c r="K131" s="37" t="s">
        <v>108</v>
      </c>
      <c r="L131" s="37" t="s">
        <v>109</v>
      </c>
      <c r="M131" s="38" t="s">
        <v>86</v>
      </c>
      <c r="N131" s="38"/>
      <c r="O131" s="37">
        <v>180</v>
      </c>
      <c r="P131" s="39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1" s="346"/>
      <c r="R131" s="346"/>
      <c r="S131" s="346"/>
      <c r="T131" s="347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IFERROR(IF(X131="","",X131*0.01788),"")</f>
        <v>0</v>
      </c>
      <c r="AA131" s="68" t="s">
        <v>46</v>
      </c>
      <c r="AB131" s="69" t="s">
        <v>46</v>
      </c>
      <c r="AC131" s="179" t="s">
        <v>228</v>
      </c>
      <c r="AG131" s="81"/>
      <c r="AJ131" s="87" t="s">
        <v>110</v>
      </c>
      <c r="AK131" s="87">
        <v>70</v>
      </c>
      <c r="BB131" s="180" t="s">
        <v>107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229</v>
      </c>
      <c r="B132" s="63" t="s">
        <v>230</v>
      </c>
      <c r="C132" s="36">
        <v>4301135532</v>
      </c>
      <c r="D132" s="344">
        <v>4607111033994</v>
      </c>
      <c r="E132" s="344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108</v>
      </c>
      <c r="L132" s="37" t="s">
        <v>109</v>
      </c>
      <c r="M132" s="38" t="s">
        <v>86</v>
      </c>
      <c r="N132" s="38"/>
      <c r="O132" s="37">
        <v>180</v>
      </c>
      <c r="P132" s="39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2" s="346"/>
      <c r="R132" s="346"/>
      <c r="S132" s="346"/>
      <c r="T132" s="347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167</v>
      </c>
      <c r="AG132" s="81"/>
      <c r="AJ132" s="87" t="s">
        <v>110</v>
      </c>
      <c r="AK132" s="87">
        <v>70</v>
      </c>
      <c r="BB132" s="182" t="s">
        <v>107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x14ac:dyDescent="0.2">
      <c r="A133" s="354"/>
      <c r="B133" s="354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4"/>
      <c r="O133" s="355"/>
      <c r="P133" s="351" t="s">
        <v>40</v>
      </c>
      <c r="Q133" s="352"/>
      <c r="R133" s="352"/>
      <c r="S133" s="352"/>
      <c r="T133" s="352"/>
      <c r="U133" s="352"/>
      <c r="V133" s="353"/>
      <c r="W133" s="42" t="s">
        <v>39</v>
      </c>
      <c r="X133" s="43">
        <f>IFERROR(SUM(X131:X132),"0")</f>
        <v>0</v>
      </c>
      <c r="Y133" s="43">
        <f>IFERROR(SUM(Y131:Y132),"0")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354"/>
      <c r="B134" s="354"/>
      <c r="C134" s="354"/>
      <c r="D134" s="354"/>
      <c r="E134" s="354"/>
      <c r="F134" s="354"/>
      <c r="G134" s="354"/>
      <c r="H134" s="354"/>
      <c r="I134" s="354"/>
      <c r="J134" s="354"/>
      <c r="K134" s="354"/>
      <c r="L134" s="354"/>
      <c r="M134" s="354"/>
      <c r="N134" s="354"/>
      <c r="O134" s="355"/>
      <c r="P134" s="351" t="s">
        <v>40</v>
      </c>
      <c r="Q134" s="352"/>
      <c r="R134" s="352"/>
      <c r="S134" s="352"/>
      <c r="T134" s="352"/>
      <c r="U134" s="352"/>
      <c r="V134" s="353"/>
      <c r="W134" s="42" t="s">
        <v>0</v>
      </c>
      <c r="X134" s="43">
        <f>IFERROR(SUMPRODUCT(X131:X132*H131:H132),"0")</f>
        <v>0</v>
      </c>
      <c r="Y134" s="43">
        <f>IFERROR(SUMPRODUCT(Y131:Y132*H131:H132),"0")</f>
        <v>0</v>
      </c>
      <c r="Z134" s="42"/>
      <c r="AA134" s="67"/>
      <c r="AB134" s="67"/>
      <c r="AC134" s="67"/>
    </row>
    <row r="135" spans="1:68" ht="16.5" customHeight="1" x14ac:dyDescent="0.25">
      <c r="A135" s="342" t="s">
        <v>231</v>
      </c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  <c r="AA135" s="65"/>
      <c r="AB135" s="65"/>
      <c r="AC135" s="82"/>
    </row>
    <row r="136" spans="1:68" ht="14.25" customHeight="1" x14ac:dyDescent="0.25">
      <c r="A136" s="343" t="s">
        <v>149</v>
      </c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66"/>
      <c r="AB136" s="66"/>
      <c r="AC136" s="83"/>
    </row>
    <row r="137" spans="1:68" ht="27" customHeight="1" x14ac:dyDescent="0.25">
      <c r="A137" s="63" t="s">
        <v>232</v>
      </c>
      <c r="B137" s="63" t="s">
        <v>233</v>
      </c>
      <c r="C137" s="36">
        <v>4301135824</v>
      </c>
      <c r="D137" s="344">
        <v>4607111039095</v>
      </c>
      <c r="E137" s="344"/>
      <c r="F137" s="62">
        <v>0.25</v>
      </c>
      <c r="G137" s="37">
        <v>12</v>
      </c>
      <c r="H137" s="62">
        <v>3</v>
      </c>
      <c r="I137" s="62">
        <v>3.7480000000000002</v>
      </c>
      <c r="J137" s="37">
        <v>70</v>
      </c>
      <c r="K137" s="37" t="s">
        <v>108</v>
      </c>
      <c r="L137" s="37" t="s">
        <v>88</v>
      </c>
      <c r="M137" s="38" t="s">
        <v>86</v>
      </c>
      <c r="N137" s="38"/>
      <c r="O137" s="37">
        <v>180</v>
      </c>
      <c r="P137" s="3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7" s="346"/>
      <c r="R137" s="346"/>
      <c r="S137" s="346"/>
      <c r="T137" s="347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IFERROR(IF(X137="","",X137*0.01788),"")</f>
        <v>0</v>
      </c>
      <c r="AA137" s="68" t="s">
        <v>46</v>
      </c>
      <c r="AB137" s="69" t="s">
        <v>46</v>
      </c>
      <c r="AC137" s="183" t="s">
        <v>234</v>
      </c>
      <c r="AG137" s="81"/>
      <c r="AJ137" s="87" t="s">
        <v>89</v>
      </c>
      <c r="AK137" s="87">
        <v>1</v>
      </c>
      <c r="BB137" s="184" t="s">
        <v>107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16.5" customHeight="1" x14ac:dyDescent="0.25">
      <c r="A138" s="63" t="s">
        <v>235</v>
      </c>
      <c r="B138" s="63" t="s">
        <v>236</v>
      </c>
      <c r="C138" s="36">
        <v>4301135550</v>
      </c>
      <c r="D138" s="344">
        <v>4607111034199</v>
      </c>
      <c r="E138" s="344"/>
      <c r="F138" s="62">
        <v>0.25</v>
      </c>
      <c r="G138" s="37">
        <v>12</v>
      </c>
      <c r="H138" s="62">
        <v>3</v>
      </c>
      <c r="I138" s="62">
        <v>3.7035999999999998</v>
      </c>
      <c r="J138" s="37">
        <v>70</v>
      </c>
      <c r="K138" s="37" t="s">
        <v>108</v>
      </c>
      <c r="L138" s="37" t="s">
        <v>109</v>
      </c>
      <c r="M138" s="38" t="s">
        <v>86</v>
      </c>
      <c r="N138" s="38"/>
      <c r="O138" s="37">
        <v>180</v>
      </c>
      <c r="P138" s="40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8" s="346"/>
      <c r="R138" s="346"/>
      <c r="S138" s="346"/>
      <c r="T138" s="347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237</v>
      </c>
      <c r="AG138" s="81"/>
      <c r="AJ138" s="87" t="s">
        <v>110</v>
      </c>
      <c r="AK138" s="87">
        <v>70</v>
      </c>
      <c r="BB138" s="186" t="s">
        <v>107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x14ac:dyDescent="0.2">
      <c r="A139" s="354"/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5"/>
      <c r="P139" s="351" t="s">
        <v>40</v>
      </c>
      <c r="Q139" s="352"/>
      <c r="R139" s="352"/>
      <c r="S139" s="352"/>
      <c r="T139" s="352"/>
      <c r="U139" s="352"/>
      <c r="V139" s="353"/>
      <c r="W139" s="42" t="s">
        <v>39</v>
      </c>
      <c r="X139" s="43">
        <f>IFERROR(SUM(X137:X138),"0")</f>
        <v>0</v>
      </c>
      <c r="Y139" s="43">
        <f>IFERROR(SUM(Y137:Y138),"0")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354"/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5"/>
      <c r="P140" s="351" t="s">
        <v>40</v>
      </c>
      <c r="Q140" s="352"/>
      <c r="R140" s="352"/>
      <c r="S140" s="352"/>
      <c r="T140" s="352"/>
      <c r="U140" s="352"/>
      <c r="V140" s="353"/>
      <c r="W140" s="42" t="s">
        <v>0</v>
      </c>
      <c r="X140" s="43">
        <f>IFERROR(SUMPRODUCT(X137:X138*H137:H138),"0")</f>
        <v>0</v>
      </c>
      <c r="Y140" s="43">
        <f>IFERROR(SUMPRODUCT(Y137:Y138*H137:H138),"0")</f>
        <v>0</v>
      </c>
      <c r="Z140" s="42"/>
      <c r="AA140" s="67"/>
      <c r="AB140" s="67"/>
      <c r="AC140" s="67"/>
    </row>
    <row r="141" spans="1:68" ht="16.5" customHeight="1" x14ac:dyDescent="0.25">
      <c r="A141" s="342" t="s">
        <v>238</v>
      </c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  <c r="AA141" s="65"/>
      <c r="AB141" s="65"/>
      <c r="AC141" s="82"/>
    </row>
    <row r="142" spans="1:68" ht="14.25" customHeight="1" x14ac:dyDescent="0.25">
      <c r="A142" s="343" t="s">
        <v>149</v>
      </c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66"/>
      <c r="AB142" s="66"/>
      <c r="AC142" s="83"/>
    </row>
    <row r="143" spans="1:68" ht="27" customHeight="1" x14ac:dyDescent="0.25">
      <c r="A143" s="63" t="s">
        <v>239</v>
      </c>
      <c r="B143" s="63" t="s">
        <v>240</v>
      </c>
      <c r="C143" s="36">
        <v>4301135753</v>
      </c>
      <c r="D143" s="344">
        <v>4620207490914</v>
      </c>
      <c r="E143" s="344"/>
      <c r="F143" s="62">
        <v>0.2</v>
      </c>
      <c r="G143" s="37">
        <v>12</v>
      </c>
      <c r="H143" s="62">
        <v>2.4</v>
      </c>
      <c r="I143" s="62">
        <v>2.68</v>
      </c>
      <c r="J143" s="37">
        <v>70</v>
      </c>
      <c r="K143" s="37" t="s">
        <v>108</v>
      </c>
      <c r="L143" s="37" t="s">
        <v>88</v>
      </c>
      <c r="M143" s="38" t="s">
        <v>86</v>
      </c>
      <c r="N143" s="38"/>
      <c r="O143" s="37">
        <v>180</v>
      </c>
      <c r="P143" s="40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3" s="346"/>
      <c r="R143" s="346"/>
      <c r="S143" s="346"/>
      <c r="T143" s="347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87" t="s">
        <v>228</v>
      </c>
      <c r="AG143" s="81"/>
      <c r="AJ143" s="87" t="s">
        <v>89</v>
      </c>
      <c r="AK143" s="87">
        <v>1</v>
      </c>
      <c r="BB143" s="188" t="s">
        <v>107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customHeight="1" x14ac:dyDescent="0.25">
      <c r="A144" s="63" t="s">
        <v>241</v>
      </c>
      <c r="B144" s="63" t="s">
        <v>242</v>
      </c>
      <c r="C144" s="36">
        <v>4301135778</v>
      </c>
      <c r="D144" s="344">
        <v>4620207490853</v>
      </c>
      <c r="E144" s="344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108</v>
      </c>
      <c r="L144" s="37" t="s">
        <v>120</v>
      </c>
      <c r="M144" s="38" t="s">
        <v>86</v>
      </c>
      <c r="N144" s="38"/>
      <c r="O144" s="37">
        <v>180</v>
      </c>
      <c r="P144" s="40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4" s="346"/>
      <c r="R144" s="346"/>
      <c r="S144" s="346"/>
      <c r="T144" s="347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228</v>
      </c>
      <c r="AG144" s="81"/>
      <c r="AJ144" s="87" t="s">
        <v>121</v>
      </c>
      <c r="AK144" s="87">
        <v>14</v>
      </c>
      <c r="BB144" s="190" t="s">
        <v>107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54"/>
      <c r="B145" s="354"/>
      <c r="C145" s="354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5"/>
      <c r="P145" s="351" t="s">
        <v>40</v>
      </c>
      <c r="Q145" s="352"/>
      <c r="R145" s="352"/>
      <c r="S145" s="352"/>
      <c r="T145" s="352"/>
      <c r="U145" s="352"/>
      <c r="V145" s="353"/>
      <c r="W145" s="42" t="s">
        <v>39</v>
      </c>
      <c r="X145" s="43">
        <f>IFERROR(SUM(X143:X144),"0")</f>
        <v>0</v>
      </c>
      <c r="Y145" s="43">
        <f>IFERROR(SUM(Y143:Y144),"0")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354"/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5"/>
      <c r="P146" s="351" t="s">
        <v>40</v>
      </c>
      <c r="Q146" s="352"/>
      <c r="R146" s="352"/>
      <c r="S146" s="352"/>
      <c r="T146" s="352"/>
      <c r="U146" s="352"/>
      <c r="V146" s="353"/>
      <c r="W146" s="42" t="s">
        <v>0</v>
      </c>
      <c r="X146" s="43">
        <f>IFERROR(SUMPRODUCT(X143:X144*H143:H144),"0")</f>
        <v>0</v>
      </c>
      <c r="Y146" s="43">
        <f>IFERROR(SUMPRODUCT(Y143:Y144*H143:H144),"0")</f>
        <v>0</v>
      </c>
      <c r="Z146" s="42"/>
      <c r="AA146" s="67"/>
      <c r="AB146" s="67"/>
      <c r="AC146" s="67"/>
    </row>
    <row r="147" spans="1:68" ht="16.5" customHeight="1" x14ac:dyDescent="0.25">
      <c r="A147" s="342" t="s">
        <v>243</v>
      </c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  <c r="AA147" s="65"/>
      <c r="AB147" s="65"/>
      <c r="AC147" s="82"/>
    </row>
    <row r="148" spans="1:68" ht="14.25" customHeight="1" x14ac:dyDescent="0.25">
      <c r="A148" s="343" t="s">
        <v>149</v>
      </c>
      <c r="B148" s="343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66"/>
      <c r="AB148" s="66"/>
      <c r="AC148" s="83"/>
    </row>
    <row r="149" spans="1:68" ht="27" customHeight="1" x14ac:dyDescent="0.25">
      <c r="A149" s="63" t="s">
        <v>244</v>
      </c>
      <c r="B149" s="63" t="s">
        <v>245</v>
      </c>
      <c r="C149" s="36">
        <v>4301135570</v>
      </c>
      <c r="D149" s="344">
        <v>4607111035806</v>
      </c>
      <c r="E149" s="344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108</v>
      </c>
      <c r="L149" s="37" t="s">
        <v>120</v>
      </c>
      <c r="M149" s="38" t="s">
        <v>86</v>
      </c>
      <c r="N149" s="38"/>
      <c r="O149" s="37">
        <v>180</v>
      </c>
      <c r="P149" s="40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9" s="346"/>
      <c r="R149" s="346"/>
      <c r="S149" s="346"/>
      <c r="T149" s="347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1" t="s">
        <v>246</v>
      </c>
      <c r="AG149" s="81"/>
      <c r="AJ149" s="87" t="s">
        <v>121</v>
      </c>
      <c r="AK149" s="87">
        <v>14</v>
      </c>
      <c r="BB149" s="192" t="s">
        <v>107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54"/>
      <c r="B150" s="354"/>
      <c r="C150" s="354"/>
      <c r="D150" s="354"/>
      <c r="E150" s="354"/>
      <c r="F150" s="354"/>
      <c r="G150" s="354"/>
      <c r="H150" s="354"/>
      <c r="I150" s="354"/>
      <c r="J150" s="354"/>
      <c r="K150" s="354"/>
      <c r="L150" s="354"/>
      <c r="M150" s="354"/>
      <c r="N150" s="354"/>
      <c r="O150" s="355"/>
      <c r="P150" s="351" t="s">
        <v>40</v>
      </c>
      <c r="Q150" s="352"/>
      <c r="R150" s="352"/>
      <c r="S150" s="352"/>
      <c r="T150" s="352"/>
      <c r="U150" s="352"/>
      <c r="V150" s="353"/>
      <c r="W150" s="42" t="s">
        <v>39</v>
      </c>
      <c r="X150" s="43">
        <f>IFERROR(SUM(X149:X149),"0")</f>
        <v>0</v>
      </c>
      <c r="Y150" s="43">
        <f>IFERROR(SUM(Y149:Y149),"0")</f>
        <v>0</v>
      </c>
      <c r="Z150" s="43">
        <f>IFERROR(IF(Z149="",0,Z149),"0")</f>
        <v>0</v>
      </c>
      <c r="AA150" s="67"/>
      <c r="AB150" s="67"/>
      <c r="AC150" s="67"/>
    </row>
    <row r="151" spans="1:68" x14ac:dyDescent="0.2">
      <c r="A151" s="354"/>
      <c r="B151" s="354"/>
      <c r="C151" s="354"/>
      <c r="D151" s="354"/>
      <c r="E151" s="354"/>
      <c r="F151" s="354"/>
      <c r="G151" s="354"/>
      <c r="H151" s="354"/>
      <c r="I151" s="354"/>
      <c r="J151" s="354"/>
      <c r="K151" s="354"/>
      <c r="L151" s="354"/>
      <c r="M151" s="354"/>
      <c r="N151" s="354"/>
      <c r="O151" s="355"/>
      <c r="P151" s="351" t="s">
        <v>40</v>
      </c>
      <c r="Q151" s="352"/>
      <c r="R151" s="352"/>
      <c r="S151" s="352"/>
      <c r="T151" s="352"/>
      <c r="U151" s="352"/>
      <c r="V151" s="353"/>
      <c r="W151" s="42" t="s">
        <v>0</v>
      </c>
      <c r="X151" s="43">
        <f>IFERROR(SUMPRODUCT(X149:X149*H149:H149),"0")</f>
        <v>0</v>
      </c>
      <c r="Y151" s="43">
        <f>IFERROR(SUMPRODUCT(Y149:Y149*H149:H149),"0")</f>
        <v>0</v>
      </c>
      <c r="Z151" s="42"/>
      <c r="AA151" s="67"/>
      <c r="AB151" s="67"/>
      <c r="AC151" s="67"/>
    </row>
    <row r="152" spans="1:68" ht="16.5" customHeight="1" x14ac:dyDescent="0.25">
      <c r="A152" s="342" t="s">
        <v>247</v>
      </c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  <c r="AA152" s="65"/>
      <c r="AB152" s="65"/>
      <c r="AC152" s="82"/>
    </row>
    <row r="153" spans="1:68" ht="14.25" customHeight="1" x14ac:dyDescent="0.25">
      <c r="A153" s="343" t="s">
        <v>149</v>
      </c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66"/>
      <c r="AB153" s="66"/>
      <c r="AC153" s="83"/>
    </row>
    <row r="154" spans="1:68" ht="16.5" customHeight="1" x14ac:dyDescent="0.25">
      <c r="A154" s="63" t="s">
        <v>248</v>
      </c>
      <c r="B154" s="63" t="s">
        <v>249</v>
      </c>
      <c r="C154" s="36">
        <v>4301135607</v>
      </c>
      <c r="D154" s="344">
        <v>4607111039613</v>
      </c>
      <c r="E154" s="344"/>
      <c r="F154" s="62">
        <v>0.09</v>
      </c>
      <c r="G154" s="37">
        <v>30</v>
      </c>
      <c r="H154" s="62">
        <v>2.7</v>
      </c>
      <c r="I154" s="62">
        <v>3.09</v>
      </c>
      <c r="J154" s="37">
        <v>126</v>
      </c>
      <c r="K154" s="37" t="s">
        <v>108</v>
      </c>
      <c r="L154" s="37" t="s">
        <v>120</v>
      </c>
      <c r="M154" s="38" t="s">
        <v>86</v>
      </c>
      <c r="N154" s="38"/>
      <c r="O154" s="37">
        <v>180</v>
      </c>
      <c r="P154" s="40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4" s="346"/>
      <c r="R154" s="346"/>
      <c r="S154" s="346"/>
      <c r="T154" s="347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IFERROR(IF(X154="","",X154*0.00936),"")</f>
        <v>0</v>
      </c>
      <c r="AA154" s="68" t="s">
        <v>46</v>
      </c>
      <c r="AB154" s="69" t="s">
        <v>46</v>
      </c>
      <c r="AC154" s="193" t="s">
        <v>234</v>
      </c>
      <c r="AG154" s="81"/>
      <c r="AJ154" s="87" t="s">
        <v>121</v>
      </c>
      <c r="AK154" s="87">
        <v>14</v>
      </c>
      <c r="BB154" s="194" t="s">
        <v>107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354"/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5"/>
      <c r="P155" s="351" t="s">
        <v>40</v>
      </c>
      <c r="Q155" s="352"/>
      <c r="R155" s="352"/>
      <c r="S155" s="352"/>
      <c r="T155" s="352"/>
      <c r="U155" s="352"/>
      <c r="V155" s="353"/>
      <c r="W155" s="42" t="s">
        <v>39</v>
      </c>
      <c r="X155" s="43">
        <f>IFERROR(SUM(X154:X154),"0")</f>
        <v>0</v>
      </c>
      <c r="Y155" s="43">
        <f>IFERROR(SUM(Y154:Y154),"0")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354"/>
      <c r="B156" s="354"/>
      <c r="C156" s="354"/>
      <c r="D156" s="354"/>
      <c r="E156" s="354"/>
      <c r="F156" s="354"/>
      <c r="G156" s="354"/>
      <c r="H156" s="354"/>
      <c r="I156" s="354"/>
      <c r="J156" s="354"/>
      <c r="K156" s="354"/>
      <c r="L156" s="354"/>
      <c r="M156" s="354"/>
      <c r="N156" s="354"/>
      <c r="O156" s="355"/>
      <c r="P156" s="351" t="s">
        <v>40</v>
      </c>
      <c r="Q156" s="352"/>
      <c r="R156" s="352"/>
      <c r="S156" s="352"/>
      <c r="T156" s="352"/>
      <c r="U156" s="352"/>
      <c r="V156" s="353"/>
      <c r="W156" s="42" t="s">
        <v>0</v>
      </c>
      <c r="X156" s="43">
        <f>IFERROR(SUMPRODUCT(X154:X154*H154:H154),"0")</f>
        <v>0</v>
      </c>
      <c r="Y156" s="43">
        <f>IFERROR(SUMPRODUCT(Y154:Y154*H154:H154),"0")</f>
        <v>0</v>
      </c>
      <c r="Z156" s="42"/>
      <c r="AA156" s="67"/>
      <c r="AB156" s="67"/>
      <c r="AC156" s="67"/>
    </row>
    <row r="157" spans="1:68" ht="16.5" customHeight="1" x14ac:dyDescent="0.25">
      <c r="A157" s="342" t="s">
        <v>250</v>
      </c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  <c r="AA157" s="65"/>
      <c r="AB157" s="65"/>
      <c r="AC157" s="82"/>
    </row>
    <row r="158" spans="1:68" ht="14.25" customHeight="1" x14ac:dyDescent="0.25">
      <c r="A158" s="343" t="s">
        <v>221</v>
      </c>
      <c r="B158" s="343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66"/>
      <c r="AB158" s="66"/>
      <c r="AC158" s="83"/>
    </row>
    <row r="159" spans="1:68" ht="27" customHeight="1" x14ac:dyDescent="0.25">
      <c r="A159" s="63" t="s">
        <v>251</v>
      </c>
      <c r="B159" s="63" t="s">
        <v>252</v>
      </c>
      <c r="C159" s="36">
        <v>4301135540</v>
      </c>
      <c r="D159" s="344">
        <v>4607111035646</v>
      </c>
      <c r="E159" s="344"/>
      <c r="F159" s="62">
        <v>0.2</v>
      </c>
      <c r="G159" s="37">
        <v>8</v>
      </c>
      <c r="H159" s="62">
        <v>1.6</v>
      </c>
      <c r="I159" s="62">
        <v>2.12</v>
      </c>
      <c r="J159" s="37">
        <v>72</v>
      </c>
      <c r="K159" s="37" t="s">
        <v>254</v>
      </c>
      <c r="L159" s="37" t="s">
        <v>88</v>
      </c>
      <c r="M159" s="38" t="s">
        <v>86</v>
      </c>
      <c r="N159" s="38"/>
      <c r="O159" s="37">
        <v>180</v>
      </c>
      <c r="P159" s="40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9" s="346"/>
      <c r="R159" s="346"/>
      <c r="S159" s="346"/>
      <c r="T159" s="347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IFERROR(IF(X159="","",X159*0.01157),"")</f>
        <v>0</v>
      </c>
      <c r="AA159" s="68" t="s">
        <v>46</v>
      </c>
      <c r="AB159" s="69" t="s">
        <v>46</v>
      </c>
      <c r="AC159" s="195" t="s">
        <v>253</v>
      </c>
      <c r="AG159" s="81"/>
      <c r="AJ159" s="87" t="s">
        <v>89</v>
      </c>
      <c r="AK159" s="87">
        <v>1</v>
      </c>
      <c r="BB159" s="196" t="s">
        <v>107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x14ac:dyDescent="0.2">
      <c r="A160" s="354"/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5"/>
      <c r="P160" s="351" t="s">
        <v>40</v>
      </c>
      <c r="Q160" s="352"/>
      <c r="R160" s="352"/>
      <c r="S160" s="352"/>
      <c r="T160" s="352"/>
      <c r="U160" s="352"/>
      <c r="V160" s="353"/>
      <c r="W160" s="42" t="s">
        <v>39</v>
      </c>
      <c r="X160" s="43">
        <f>IFERROR(SUM(X159:X159),"0")</f>
        <v>0</v>
      </c>
      <c r="Y160" s="43">
        <f>IFERROR(SUM(Y159:Y159),"0")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354"/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5"/>
      <c r="P161" s="351" t="s">
        <v>40</v>
      </c>
      <c r="Q161" s="352"/>
      <c r="R161" s="352"/>
      <c r="S161" s="352"/>
      <c r="T161" s="352"/>
      <c r="U161" s="352"/>
      <c r="V161" s="353"/>
      <c r="W161" s="42" t="s">
        <v>0</v>
      </c>
      <c r="X161" s="43">
        <f>IFERROR(SUMPRODUCT(X159:X159*H159:H159),"0")</f>
        <v>0</v>
      </c>
      <c r="Y161" s="43">
        <f>IFERROR(SUMPRODUCT(Y159:Y159*H159:H159),"0")</f>
        <v>0</v>
      </c>
      <c r="Z161" s="42"/>
      <c r="AA161" s="67"/>
      <c r="AB161" s="67"/>
      <c r="AC161" s="67"/>
    </row>
    <row r="162" spans="1:68" ht="16.5" customHeight="1" x14ac:dyDescent="0.25">
      <c r="A162" s="342" t="s">
        <v>255</v>
      </c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  <c r="AA162" s="65"/>
      <c r="AB162" s="65"/>
      <c r="AC162" s="82"/>
    </row>
    <row r="163" spans="1:68" ht="14.25" customHeight="1" x14ac:dyDescent="0.25">
      <c r="A163" s="343" t="s">
        <v>149</v>
      </c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66"/>
      <c r="AB163" s="66"/>
      <c r="AC163" s="83"/>
    </row>
    <row r="164" spans="1:68" ht="27" customHeight="1" x14ac:dyDescent="0.25">
      <c r="A164" s="63" t="s">
        <v>256</v>
      </c>
      <c r="B164" s="63" t="s">
        <v>257</v>
      </c>
      <c r="C164" s="36">
        <v>4301135591</v>
      </c>
      <c r="D164" s="344">
        <v>4607111036568</v>
      </c>
      <c r="E164" s="344"/>
      <c r="F164" s="62">
        <v>0.28000000000000003</v>
      </c>
      <c r="G164" s="37">
        <v>6</v>
      </c>
      <c r="H164" s="62">
        <v>1.68</v>
      </c>
      <c r="I164" s="62">
        <v>2.1017999999999999</v>
      </c>
      <c r="J164" s="37">
        <v>140</v>
      </c>
      <c r="K164" s="37" t="s">
        <v>108</v>
      </c>
      <c r="L164" s="37" t="s">
        <v>88</v>
      </c>
      <c r="M164" s="38" t="s">
        <v>86</v>
      </c>
      <c r="N164" s="38"/>
      <c r="O164" s="37">
        <v>180</v>
      </c>
      <c r="P164" s="40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4" s="346"/>
      <c r="R164" s="346"/>
      <c r="S164" s="346"/>
      <c r="T164" s="34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IFERROR(IF(X164="","",X164*0.00941),"")</f>
        <v>0</v>
      </c>
      <c r="AA164" s="68" t="s">
        <v>46</v>
      </c>
      <c r="AB164" s="69" t="s">
        <v>46</v>
      </c>
      <c r="AC164" s="197" t="s">
        <v>258</v>
      </c>
      <c r="AG164" s="81"/>
      <c r="AJ164" s="87" t="s">
        <v>89</v>
      </c>
      <c r="AK164" s="87">
        <v>1</v>
      </c>
      <c r="BB164" s="198" t="s">
        <v>107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x14ac:dyDescent="0.2">
      <c r="A165" s="354"/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5"/>
      <c r="P165" s="351" t="s">
        <v>40</v>
      </c>
      <c r="Q165" s="352"/>
      <c r="R165" s="352"/>
      <c r="S165" s="352"/>
      <c r="T165" s="352"/>
      <c r="U165" s="352"/>
      <c r="V165" s="353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354"/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5"/>
      <c r="P166" s="351" t="s">
        <v>40</v>
      </c>
      <c r="Q166" s="352"/>
      <c r="R166" s="352"/>
      <c r="S166" s="352"/>
      <c r="T166" s="352"/>
      <c r="U166" s="352"/>
      <c r="V166" s="353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27.75" customHeight="1" x14ac:dyDescent="0.2">
      <c r="A167" s="341" t="s">
        <v>259</v>
      </c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54"/>
      <c r="AB167" s="54"/>
      <c r="AC167" s="54"/>
    </row>
    <row r="168" spans="1:68" ht="16.5" customHeight="1" x14ac:dyDescent="0.25">
      <c r="A168" s="342" t="s">
        <v>260</v>
      </c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  <c r="AA168" s="65"/>
      <c r="AB168" s="65"/>
      <c r="AC168" s="82"/>
    </row>
    <row r="169" spans="1:68" ht="14.25" customHeight="1" x14ac:dyDescent="0.25">
      <c r="A169" s="343" t="s">
        <v>82</v>
      </c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66"/>
      <c r="AB169" s="66"/>
      <c r="AC169" s="83"/>
    </row>
    <row r="170" spans="1:68" ht="16.5" customHeight="1" x14ac:dyDescent="0.25">
      <c r="A170" s="63" t="s">
        <v>261</v>
      </c>
      <c r="B170" s="63" t="s">
        <v>262</v>
      </c>
      <c r="C170" s="36">
        <v>4301071062</v>
      </c>
      <c r="D170" s="344">
        <v>4607111036384</v>
      </c>
      <c r="E170" s="344"/>
      <c r="F170" s="62">
        <v>5</v>
      </c>
      <c r="G170" s="37">
        <v>1</v>
      </c>
      <c r="H170" s="62">
        <v>5</v>
      </c>
      <c r="I170" s="62">
        <v>5.2106000000000003</v>
      </c>
      <c r="J170" s="37">
        <v>144</v>
      </c>
      <c r="K170" s="37" t="s">
        <v>87</v>
      </c>
      <c r="L170" s="37" t="s">
        <v>120</v>
      </c>
      <c r="M170" s="38" t="s">
        <v>86</v>
      </c>
      <c r="N170" s="38"/>
      <c r="O170" s="37">
        <v>180</v>
      </c>
      <c r="P170" s="40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0" s="346"/>
      <c r="R170" s="346"/>
      <c r="S170" s="346"/>
      <c r="T170" s="347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IFERROR(IF(X170="","",X170*0.00866),"")</f>
        <v>0</v>
      </c>
      <c r="AA170" s="68" t="s">
        <v>46</v>
      </c>
      <c r="AB170" s="69" t="s">
        <v>46</v>
      </c>
      <c r="AC170" s="199" t="s">
        <v>263</v>
      </c>
      <c r="AG170" s="81"/>
      <c r="AJ170" s="87" t="s">
        <v>121</v>
      </c>
      <c r="AK170" s="87">
        <v>12</v>
      </c>
      <c r="BB170" s="200" t="s">
        <v>70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ht="27" customHeight="1" x14ac:dyDescent="0.25">
      <c r="A171" s="63" t="s">
        <v>264</v>
      </c>
      <c r="B171" s="63" t="s">
        <v>265</v>
      </c>
      <c r="C171" s="36">
        <v>4301071050</v>
      </c>
      <c r="D171" s="344">
        <v>4607111036216</v>
      </c>
      <c r="E171" s="344"/>
      <c r="F171" s="62">
        <v>5</v>
      </c>
      <c r="G171" s="37">
        <v>1</v>
      </c>
      <c r="H171" s="62">
        <v>5</v>
      </c>
      <c r="I171" s="62">
        <v>5.2131999999999996</v>
      </c>
      <c r="J171" s="37">
        <v>144</v>
      </c>
      <c r="K171" s="37" t="s">
        <v>87</v>
      </c>
      <c r="L171" s="37" t="s">
        <v>120</v>
      </c>
      <c r="M171" s="38" t="s">
        <v>86</v>
      </c>
      <c r="N171" s="38"/>
      <c r="O171" s="37">
        <v>180</v>
      </c>
      <c r="P171" s="40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1" s="346"/>
      <c r="R171" s="346"/>
      <c r="S171" s="346"/>
      <c r="T171" s="347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266</v>
      </c>
      <c r="AG171" s="81"/>
      <c r="AJ171" s="87" t="s">
        <v>121</v>
      </c>
      <c r="AK171" s="87">
        <v>12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54"/>
      <c r="B172" s="354"/>
      <c r="C172" s="354"/>
      <c r="D172" s="354"/>
      <c r="E172" s="354"/>
      <c r="F172" s="354"/>
      <c r="G172" s="354"/>
      <c r="H172" s="354"/>
      <c r="I172" s="354"/>
      <c r="J172" s="354"/>
      <c r="K172" s="354"/>
      <c r="L172" s="354"/>
      <c r="M172" s="354"/>
      <c r="N172" s="354"/>
      <c r="O172" s="355"/>
      <c r="P172" s="351" t="s">
        <v>40</v>
      </c>
      <c r="Q172" s="352"/>
      <c r="R172" s="352"/>
      <c r="S172" s="352"/>
      <c r="T172" s="352"/>
      <c r="U172" s="352"/>
      <c r="V172" s="353"/>
      <c r="W172" s="42" t="s">
        <v>39</v>
      </c>
      <c r="X172" s="43">
        <f>IFERROR(SUM(X170:X171),"0")</f>
        <v>0</v>
      </c>
      <c r="Y172" s="43">
        <f>IFERROR(SUM(Y170:Y171),"0")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354"/>
      <c r="B173" s="354"/>
      <c r="C173" s="354"/>
      <c r="D173" s="354"/>
      <c r="E173" s="354"/>
      <c r="F173" s="354"/>
      <c r="G173" s="354"/>
      <c r="H173" s="354"/>
      <c r="I173" s="354"/>
      <c r="J173" s="354"/>
      <c r="K173" s="354"/>
      <c r="L173" s="354"/>
      <c r="M173" s="354"/>
      <c r="N173" s="354"/>
      <c r="O173" s="355"/>
      <c r="P173" s="351" t="s">
        <v>40</v>
      </c>
      <c r="Q173" s="352"/>
      <c r="R173" s="352"/>
      <c r="S173" s="352"/>
      <c r="T173" s="352"/>
      <c r="U173" s="352"/>
      <c r="V173" s="353"/>
      <c r="W173" s="42" t="s">
        <v>0</v>
      </c>
      <c r="X173" s="43">
        <f>IFERROR(SUMPRODUCT(X170:X171*H170:H171),"0")</f>
        <v>0</v>
      </c>
      <c r="Y173" s="43">
        <f>IFERROR(SUMPRODUCT(Y170:Y171*H170:H171),"0")</f>
        <v>0</v>
      </c>
      <c r="Z173" s="42"/>
      <c r="AA173" s="67"/>
      <c r="AB173" s="67"/>
      <c r="AC173" s="67"/>
    </row>
    <row r="174" spans="1:68" ht="27.75" customHeight="1" x14ac:dyDescent="0.2">
      <c r="A174" s="341" t="s">
        <v>267</v>
      </c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54"/>
      <c r="AB174" s="54"/>
      <c r="AC174" s="54"/>
    </row>
    <row r="175" spans="1:68" ht="16.5" customHeight="1" x14ac:dyDescent="0.25">
      <c r="A175" s="342" t="s">
        <v>268</v>
      </c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  <c r="AA175" s="65"/>
      <c r="AB175" s="65"/>
      <c r="AC175" s="82"/>
    </row>
    <row r="176" spans="1:68" ht="14.25" customHeight="1" x14ac:dyDescent="0.25">
      <c r="A176" s="343" t="s">
        <v>103</v>
      </c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66"/>
      <c r="AB176" s="66"/>
      <c r="AC176" s="83"/>
    </row>
    <row r="177" spans="1:68" ht="16.5" customHeight="1" x14ac:dyDescent="0.25">
      <c r="A177" s="63" t="s">
        <v>269</v>
      </c>
      <c r="B177" s="63" t="s">
        <v>270</v>
      </c>
      <c r="C177" s="36">
        <v>4301132179</v>
      </c>
      <c r="D177" s="344">
        <v>4607111035691</v>
      </c>
      <c r="E177" s="344"/>
      <c r="F177" s="62">
        <v>0.25</v>
      </c>
      <c r="G177" s="37">
        <v>12</v>
      </c>
      <c r="H177" s="62">
        <v>3</v>
      </c>
      <c r="I177" s="62">
        <v>3.3879999999999999</v>
      </c>
      <c r="J177" s="37">
        <v>70</v>
      </c>
      <c r="K177" s="37" t="s">
        <v>108</v>
      </c>
      <c r="L177" s="37" t="s">
        <v>109</v>
      </c>
      <c r="M177" s="38" t="s">
        <v>86</v>
      </c>
      <c r="N177" s="38"/>
      <c r="O177" s="37">
        <v>365</v>
      </c>
      <c r="P177" s="40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7" s="346"/>
      <c r="R177" s="346"/>
      <c r="S177" s="346"/>
      <c r="T177" s="347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IFERROR(IF(X177="","",X177*0.01788),"")</f>
        <v>0</v>
      </c>
      <c r="AA177" s="68" t="s">
        <v>46</v>
      </c>
      <c r="AB177" s="69" t="s">
        <v>46</v>
      </c>
      <c r="AC177" s="203" t="s">
        <v>271</v>
      </c>
      <c r="AG177" s="81"/>
      <c r="AJ177" s="87" t="s">
        <v>110</v>
      </c>
      <c r="AK177" s="87">
        <v>70</v>
      </c>
      <c r="BB177" s="204" t="s">
        <v>107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272</v>
      </c>
      <c r="B178" s="63" t="s">
        <v>273</v>
      </c>
      <c r="C178" s="36">
        <v>4301132182</v>
      </c>
      <c r="D178" s="344">
        <v>4607111035721</v>
      </c>
      <c r="E178" s="344"/>
      <c r="F178" s="62">
        <v>0.25</v>
      </c>
      <c r="G178" s="37">
        <v>12</v>
      </c>
      <c r="H178" s="62">
        <v>3</v>
      </c>
      <c r="I178" s="62">
        <v>3.3879999999999999</v>
      </c>
      <c r="J178" s="37">
        <v>70</v>
      </c>
      <c r="K178" s="37" t="s">
        <v>108</v>
      </c>
      <c r="L178" s="37" t="s">
        <v>109</v>
      </c>
      <c r="M178" s="38" t="s">
        <v>86</v>
      </c>
      <c r="N178" s="38"/>
      <c r="O178" s="37">
        <v>365</v>
      </c>
      <c r="P178" s="41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8" s="346"/>
      <c r="R178" s="346"/>
      <c r="S178" s="346"/>
      <c r="T178" s="347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IFERROR(IF(X178="","",X178*0.01788),"")</f>
        <v>0</v>
      </c>
      <c r="AA178" s="68" t="s">
        <v>46</v>
      </c>
      <c r="AB178" s="69" t="s">
        <v>46</v>
      </c>
      <c r="AC178" s="205" t="s">
        <v>274</v>
      </c>
      <c r="AG178" s="81"/>
      <c r="AJ178" s="87" t="s">
        <v>110</v>
      </c>
      <c r="AK178" s="87">
        <v>70</v>
      </c>
      <c r="BB178" s="206" t="s">
        <v>107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275</v>
      </c>
      <c r="B179" s="63" t="s">
        <v>276</v>
      </c>
      <c r="C179" s="36">
        <v>4301132170</v>
      </c>
      <c r="D179" s="344">
        <v>4607111038487</v>
      </c>
      <c r="E179" s="344"/>
      <c r="F179" s="62">
        <v>0.25</v>
      </c>
      <c r="G179" s="37">
        <v>12</v>
      </c>
      <c r="H179" s="62">
        <v>3</v>
      </c>
      <c r="I179" s="62">
        <v>3.7360000000000002</v>
      </c>
      <c r="J179" s="37">
        <v>70</v>
      </c>
      <c r="K179" s="37" t="s">
        <v>108</v>
      </c>
      <c r="L179" s="37" t="s">
        <v>109</v>
      </c>
      <c r="M179" s="38" t="s">
        <v>86</v>
      </c>
      <c r="N179" s="38"/>
      <c r="O179" s="37">
        <v>180</v>
      </c>
      <c r="P179" s="41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9" s="346"/>
      <c r="R179" s="346"/>
      <c r="S179" s="346"/>
      <c r="T179" s="347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277</v>
      </c>
      <c r="AG179" s="81"/>
      <c r="AJ179" s="87" t="s">
        <v>110</v>
      </c>
      <c r="AK179" s="87">
        <v>70</v>
      </c>
      <c r="BB179" s="208" t="s">
        <v>107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54"/>
      <c r="B180" s="354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5"/>
      <c r="P180" s="351" t="s">
        <v>40</v>
      </c>
      <c r="Q180" s="352"/>
      <c r="R180" s="352"/>
      <c r="S180" s="352"/>
      <c r="T180" s="352"/>
      <c r="U180" s="352"/>
      <c r="V180" s="353"/>
      <c r="W180" s="42" t="s">
        <v>39</v>
      </c>
      <c r="X180" s="43">
        <f>IFERROR(SUM(X177:X179),"0")</f>
        <v>0</v>
      </c>
      <c r="Y180" s="43">
        <f>IFERROR(SUM(Y177:Y179),"0")</f>
        <v>0</v>
      </c>
      <c r="Z180" s="43">
        <f>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354"/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5"/>
      <c r="P181" s="351" t="s">
        <v>40</v>
      </c>
      <c r="Q181" s="352"/>
      <c r="R181" s="352"/>
      <c r="S181" s="352"/>
      <c r="T181" s="352"/>
      <c r="U181" s="352"/>
      <c r="V181" s="353"/>
      <c r="W181" s="42" t="s">
        <v>0</v>
      </c>
      <c r="X181" s="43">
        <f>IFERROR(SUMPRODUCT(X177:X179*H177:H179),"0")</f>
        <v>0</v>
      </c>
      <c r="Y181" s="43">
        <f>IFERROR(SUMPRODUCT(Y177:Y179*H177:H179),"0")</f>
        <v>0</v>
      </c>
      <c r="Z181" s="42"/>
      <c r="AA181" s="67"/>
      <c r="AB181" s="67"/>
      <c r="AC181" s="67"/>
    </row>
    <row r="182" spans="1:68" ht="14.25" customHeight="1" x14ac:dyDescent="0.25">
      <c r="A182" s="343" t="s">
        <v>278</v>
      </c>
      <c r="B182" s="343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66"/>
      <c r="AB182" s="66"/>
      <c r="AC182" s="83"/>
    </row>
    <row r="183" spans="1:68" ht="27" customHeight="1" x14ac:dyDescent="0.25">
      <c r="A183" s="63" t="s">
        <v>279</v>
      </c>
      <c r="B183" s="63" t="s">
        <v>280</v>
      </c>
      <c r="C183" s="36">
        <v>4301051855</v>
      </c>
      <c r="D183" s="344">
        <v>4680115885875</v>
      </c>
      <c r="E183" s="344"/>
      <c r="F183" s="62">
        <v>1</v>
      </c>
      <c r="G183" s="37">
        <v>9</v>
      </c>
      <c r="H183" s="62">
        <v>9</v>
      </c>
      <c r="I183" s="62">
        <v>9.41</v>
      </c>
      <c r="J183" s="37">
        <v>64</v>
      </c>
      <c r="K183" s="37" t="s">
        <v>285</v>
      </c>
      <c r="L183" s="37" t="s">
        <v>88</v>
      </c>
      <c r="M183" s="38" t="s">
        <v>284</v>
      </c>
      <c r="N183" s="38"/>
      <c r="O183" s="37">
        <v>365</v>
      </c>
      <c r="P183" s="412" t="s">
        <v>281</v>
      </c>
      <c r="Q183" s="346"/>
      <c r="R183" s="346"/>
      <c r="S183" s="346"/>
      <c r="T183" s="347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IFERROR(IF(X183="","",X183*0.01898),"")</f>
        <v>0</v>
      </c>
      <c r="AA183" s="68" t="s">
        <v>46</v>
      </c>
      <c r="AB183" s="69" t="s">
        <v>46</v>
      </c>
      <c r="AC183" s="209" t="s">
        <v>282</v>
      </c>
      <c r="AG183" s="81"/>
      <c r="AJ183" s="87" t="s">
        <v>89</v>
      </c>
      <c r="AK183" s="87">
        <v>1</v>
      </c>
      <c r="BB183" s="210" t="s">
        <v>283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54"/>
      <c r="B184" s="354"/>
      <c r="C184" s="354"/>
      <c r="D184" s="354"/>
      <c r="E184" s="354"/>
      <c r="F184" s="354"/>
      <c r="G184" s="354"/>
      <c r="H184" s="354"/>
      <c r="I184" s="354"/>
      <c r="J184" s="354"/>
      <c r="K184" s="354"/>
      <c r="L184" s="354"/>
      <c r="M184" s="354"/>
      <c r="N184" s="354"/>
      <c r="O184" s="355"/>
      <c r="P184" s="351" t="s">
        <v>40</v>
      </c>
      <c r="Q184" s="352"/>
      <c r="R184" s="352"/>
      <c r="S184" s="352"/>
      <c r="T184" s="352"/>
      <c r="U184" s="352"/>
      <c r="V184" s="353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x14ac:dyDescent="0.2">
      <c r="A185" s="354"/>
      <c r="B185" s="354"/>
      <c r="C185" s="354"/>
      <c r="D185" s="354"/>
      <c r="E185" s="354"/>
      <c r="F185" s="354"/>
      <c r="G185" s="354"/>
      <c r="H185" s="354"/>
      <c r="I185" s="354"/>
      <c r="J185" s="354"/>
      <c r="K185" s="354"/>
      <c r="L185" s="354"/>
      <c r="M185" s="354"/>
      <c r="N185" s="354"/>
      <c r="O185" s="355"/>
      <c r="P185" s="351" t="s">
        <v>40</v>
      </c>
      <c r="Q185" s="352"/>
      <c r="R185" s="352"/>
      <c r="S185" s="352"/>
      <c r="T185" s="352"/>
      <c r="U185" s="352"/>
      <c r="V185" s="353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customHeight="1" x14ac:dyDescent="0.2">
      <c r="A186" s="341" t="s">
        <v>286</v>
      </c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54"/>
      <c r="AB186" s="54"/>
      <c r="AC186" s="54"/>
    </row>
    <row r="187" spans="1:68" ht="16.5" customHeight="1" x14ac:dyDescent="0.25">
      <c r="A187" s="342" t="s">
        <v>287</v>
      </c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  <c r="AA187" s="65"/>
      <c r="AB187" s="65"/>
      <c r="AC187" s="82"/>
    </row>
    <row r="188" spans="1:68" ht="14.25" customHeight="1" x14ac:dyDescent="0.25">
      <c r="A188" s="343" t="s">
        <v>103</v>
      </c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66"/>
      <c r="AB188" s="66"/>
      <c r="AC188" s="83"/>
    </row>
    <row r="189" spans="1:68" ht="27" customHeight="1" x14ac:dyDescent="0.25">
      <c r="A189" s="63" t="s">
        <v>288</v>
      </c>
      <c r="B189" s="63" t="s">
        <v>289</v>
      </c>
      <c r="C189" s="36">
        <v>4301132227</v>
      </c>
      <c r="D189" s="344">
        <v>4620207491133</v>
      </c>
      <c r="E189" s="344"/>
      <c r="F189" s="62">
        <v>0.23</v>
      </c>
      <c r="G189" s="37">
        <v>12</v>
      </c>
      <c r="H189" s="62">
        <v>2.76</v>
      </c>
      <c r="I189" s="62">
        <v>2.98</v>
      </c>
      <c r="J189" s="37">
        <v>70</v>
      </c>
      <c r="K189" s="37" t="s">
        <v>108</v>
      </c>
      <c r="L189" s="37" t="s">
        <v>120</v>
      </c>
      <c r="M189" s="38" t="s">
        <v>86</v>
      </c>
      <c r="N189" s="38"/>
      <c r="O189" s="37">
        <v>180</v>
      </c>
      <c r="P189" s="41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9" s="346"/>
      <c r="R189" s="346"/>
      <c r="S189" s="346"/>
      <c r="T189" s="347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11" t="s">
        <v>290</v>
      </c>
      <c r="AG189" s="81"/>
      <c r="AJ189" s="87" t="s">
        <v>121</v>
      </c>
      <c r="AK189" s="87">
        <v>14</v>
      </c>
      <c r="BB189" s="212" t="s">
        <v>107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x14ac:dyDescent="0.2">
      <c r="A190" s="354"/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5"/>
      <c r="P190" s="351" t="s">
        <v>40</v>
      </c>
      <c r="Q190" s="352"/>
      <c r="R190" s="352"/>
      <c r="S190" s="352"/>
      <c r="T190" s="352"/>
      <c r="U190" s="352"/>
      <c r="V190" s="353"/>
      <c r="W190" s="42" t="s">
        <v>39</v>
      </c>
      <c r="X190" s="43">
        <f>IFERROR(SUM(X189:X189),"0")</f>
        <v>0</v>
      </c>
      <c r="Y190" s="43">
        <f>IFERROR(SUM(Y189:Y189),"0")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354"/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5"/>
      <c r="P191" s="351" t="s">
        <v>40</v>
      </c>
      <c r="Q191" s="352"/>
      <c r="R191" s="352"/>
      <c r="S191" s="352"/>
      <c r="T191" s="352"/>
      <c r="U191" s="352"/>
      <c r="V191" s="353"/>
      <c r="W191" s="42" t="s">
        <v>0</v>
      </c>
      <c r="X191" s="43">
        <f>IFERROR(SUMPRODUCT(X189:X189*H189:H189),"0")</f>
        <v>0</v>
      </c>
      <c r="Y191" s="43">
        <f>IFERROR(SUMPRODUCT(Y189:Y189*H189:H189),"0")</f>
        <v>0</v>
      </c>
      <c r="Z191" s="42"/>
      <c r="AA191" s="67"/>
      <c r="AB191" s="67"/>
      <c r="AC191" s="67"/>
    </row>
    <row r="192" spans="1:68" ht="14.25" customHeight="1" x14ac:dyDescent="0.25">
      <c r="A192" s="343" t="s">
        <v>149</v>
      </c>
      <c r="B192" s="343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66"/>
      <c r="AB192" s="66"/>
      <c r="AC192" s="83"/>
    </row>
    <row r="193" spans="1:68" ht="27" customHeight="1" x14ac:dyDescent="0.25">
      <c r="A193" s="63" t="s">
        <v>291</v>
      </c>
      <c r="B193" s="63" t="s">
        <v>292</v>
      </c>
      <c r="C193" s="36">
        <v>4301135707</v>
      </c>
      <c r="D193" s="344">
        <v>4620207490198</v>
      </c>
      <c r="E193" s="344"/>
      <c r="F193" s="62">
        <v>0.2</v>
      </c>
      <c r="G193" s="37">
        <v>12</v>
      </c>
      <c r="H193" s="62">
        <v>2.4</v>
      </c>
      <c r="I193" s="62">
        <v>3.1036000000000001</v>
      </c>
      <c r="J193" s="37">
        <v>70</v>
      </c>
      <c r="K193" s="37" t="s">
        <v>108</v>
      </c>
      <c r="L193" s="37" t="s">
        <v>120</v>
      </c>
      <c r="M193" s="38" t="s">
        <v>86</v>
      </c>
      <c r="N193" s="38"/>
      <c r="O193" s="37">
        <v>180</v>
      </c>
      <c r="P193" s="41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3" s="346"/>
      <c r="R193" s="346"/>
      <c r="S193" s="346"/>
      <c r="T193" s="347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13" t="s">
        <v>293</v>
      </c>
      <c r="AG193" s="81"/>
      <c r="AJ193" s="87" t="s">
        <v>121</v>
      </c>
      <c r="AK193" s="87">
        <v>14</v>
      </c>
      <c r="BB193" s="214" t="s">
        <v>107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294</v>
      </c>
      <c r="B194" s="63" t="s">
        <v>295</v>
      </c>
      <c r="C194" s="36">
        <v>4301135829</v>
      </c>
      <c r="D194" s="344">
        <v>4620207490235</v>
      </c>
      <c r="E194" s="344"/>
      <c r="F194" s="62">
        <v>0.2</v>
      </c>
      <c r="G194" s="37">
        <v>12</v>
      </c>
      <c r="H194" s="62">
        <v>2.4</v>
      </c>
      <c r="I194" s="62">
        <v>3.1036000000000001</v>
      </c>
      <c r="J194" s="37">
        <v>70</v>
      </c>
      <c r="K194" s="37" t="s">
        <v>108</v>
      </c>
      <c r="L194" s="37" t="s">
        <v>88</v>
      </c>
      <c r="M194" s="38" t="s">
        <v>86</v>
      </c>
      <c r="N194" s="38"/>
      <c r="O194" s="37">
        <v>180</v>
      </c>
      <c r="P194" s="415" t="s">
        <v>296</v>
      </c>
      <c r="Q194" s="346"/>
      <c r="R194" s="346"/>
      <c r="S194" s="346"/>
      <c r="T194" s="34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15" t="s">
        <v>297</v>
      </c>
      <c r="AG194" s="81"/>
      <c r="AJ194" s="87" t="s">
        <v>89</v>
      </c>
      <c r="AK194" s="87">
        <v>1</v>
      </c>
      <c r="BB194" s="216" t="s">
        <v>107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4301135697</v>
      </c>
      <c r="D195" s="344">
        <v>4620207490259</v>
      </c>
      <c r="E195" s="344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108</v>
      </c>
      <c r="L195" s="37" t="s">
        <v>120</v>
      </c>
      <c r="M195" s="38" t="s">
        <v>86</v>
      </c>
      <c r="N195" s="38"/>
      <c r="O195" s="37">
        <v>180</v>
      </c>
      <c r="P195" s="41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5" s="346"/>
      <c r="R195" s="346"/>
      <c r="S195" s="346"/>
      <c r="T195" s="34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293</v>
      </c>
      <c r="AG195" s="81"/>
      <c r="AJ195" s="87" t="s">
        <v>121</v>
      </c>
      <c r="AK195" s="87">
        <v>14</v>
      </c>
      <c r="BB195" s="218" t="s">
        <v>107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300</v>
      </c>
      <c r="B196" s="63" t="s">
        <v>301</v>
      </c>
      <c r="C196" s="36">
        <v>4301135681</v>
      </c>
      <c r="D196" s="344">
        <v>4620207490143</v>
      </c>
      <c r="E196" s="344"/>
      <c r="F196" s="62">
        <v>0.22</v>
      </c>
      <c r="G196" s="37">
        <v>12</v>
      </c>
      <c r="H196" s="62">
        <v>2.64</v>
      </c>
      <c r="I196" s="62">
        <v>3.3435999999999999</v>
      </c>
      <c r="J196" s="37">
        <v>70</v>
      </c>
      <c r="K196" s="37" t="s">
        <v>108</v>
      </c>
      <c r="L196" s="37" t="s">
        <v>88</v>
      </c>
      <c r="M196" s="38" t="s">
        <v>86</v>
      </c>
      <c r="N196" s="38"/>
      <c r="O196" s="37">
        <v>180</v>
      </c>
      <c r="P196" s="41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6" s="346"/>
      <c r="R196" s="346"/>
      <c r="S196" s="346"/>
      <c r="T196" s="347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302</v>
      </c>
      <c r="AG196" s="81"/>
      <c r="AJ196" s="87" t="s">
        <v>89</v>
      </c>
      <c r="AK196" s="87">
        <v>1</v>
      </c>
      <c r="BB196" s="220" t="s">
        <v>107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354"/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5"/>
      <c r="P197" s="351" t="s">
        <v>40</v>
      </c>
      <c r="Q197" s="352"/>
      <c r="R197" s="352"/>
      <c r="S197" s="352"/>
      <c r="T197" s="352"/>
      <c r="U197" s="352"/>
      <c r="V197" s="353"/>
      <c r="W197" s="42" t="s">
        <v>39</v>
      </c>
      <c r="X197" s="43">
        <f>IFERROR(SUM(X193:X196),"0")</f>
        <v>0</v>
      </c>
      <c r="Y197" s="43">
        <f>IFERROR(SUM(Y193:Y196),"0")</f>
        <v>0</v>
      </c>
      <c r="Z197" s="43">
        <f>IFERROR(IF(Z193="",0,Z193),"0")+IFERROR(IF(Z194="",0,Z194),"0")+IFERROR(IF(Z195="",0,Z195),"0")+IFERROR(IF(Z196="",0,Z196),"0")</f>
        <v>0</v>
      </c>
      <c r="AA197" s="67"/>
      <c r="AB197" s="67"/>
      <c r="AC197" s="67"/>
    </row>
    <row r="198" spans="1:68" x14ac:dyDescent="0.2">
      <c r="A198" s="354"/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5"/>
      <c r="P198" s="351" t="s">
        <v>40</v>
      </c>
      <c r="Q198" s="352"/>
      <c r="R198" s="352"/>
      <c r="S198" s="352"/>
      <c r="T198" s="352"/>
      <c r="U198" s="352"/>
      <c r="V198" s="353"/>
      <c r="W198" s="42" t="s">
        <v>0</v>
      </c>
      <c r="X198" s="43">
        <f>IFERROR(SUMPRODUCT(X193:X196*H193:H196),"0")</f>
        <v>0</v>
      </c>
      <c r="Y198" s="43">
        <f>IFERROR(SUMPRODUCT(Y193:Y196*H193:H196),"0")</f>
        <v>0</v>
      </c>
      <c r="Z198" s="42"/>
      <c r="AA198" s="67"/>
      <c r="AB198" s="67"/>
      <c r="AC198" s="67"/>
    </row>
    <row r="199" spans="1:68" ht="16.5" customHeight="1" x14ac:dyDescent="0.25">
      <c r="A199" s="342" t="s">
        <v>303</v>
      </c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  <c r="AA199" s="65"/>
      <c r="AB199" s="65"/>
      <c r="AC199" s="82"/>
    </row>
    <row r="200" spans="1:68" ht="14.25" customHeight="1" x14ac:dyDescent="0.25">
      <c r="A200" s="343" t="s">
        <v>82</v>
      </c>
      <c r="B200" s="343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66"/>
      <c r="AB200" s="66"/>
      <c r="AC200" s="83"/>
    </row>
    <row r="201" spans="1:68" ht="27" customHeight="1" x14ac:dyDescent="0.25">
      <c r="A201" s="63" t="s">
        <v>304</v>
      </c>
      <c r="B201" s="63" t="s">
        <v>305</v>
      </c>
      <c r="C201" s="36">
        <v>4301071097</v>
      </c>
      <c r="D201" s="344">
        <v>4620207491096</v>
      </c>
      <c r="E201" s="344"/>
      <c r="F201" s="62">
        <v>1</v>
      </c>
      <c r="G201" s="37">
        <v>5</v>
      </c>
      <c r="H201" s="62">
        <v>5</v>
      </c>
      <c r="I201" s="62">
        <v>5.23</v>
      </c>
      <c r="J201" s="37">
        <v>84</v>
      </c>
      <c r="K201" s="37" t="s">
        <v>87</v>
      </c>
      <c r="L201" s="37" t="s">
        <v>120</v>
      </c>
      <c r="M201" s="38" t="s">
        <v>86</v>
      </c>
      <c r="N201" s="38"/>
      <c r="O201" s="37">
        <v>180</v>
      </c>
      <c r="P201" s="41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1" s="346"/>
      <c r="R201" s="346"/>
      <c r="S201" s="346"/>
      <c r="T201" s="34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IFERROR(IF(X201="","",X201*0.0155),"")</f>
        <v>0</v>
      </c>
      <c r="AA201" s="68" t="s">
        <v>46</v>
      </c>
      <c r="AB201" s="69" t="s">
        <v>46</v>
      </c>
      <c r="AC201" s="221" t="s">
        <v>306</v>
      </c>
      <c r="AG201" s="81"/>
      <c r="AJ201" s="87" t="s">
        <v>121</v>
      </c>
      <c r="AK201" s="87">
        <v>12</v>
      </c>
      <c r="BB201" s="222" t="s">
        <v>70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x14ac:dyDescent="0.2">
      <c r="A202" s="354"/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5"/>
      <c r="P202" s="351" t="s">
        <v>40</v>
      </c>
      <c r="Q202" s="352"/>
      <c r="R202" s="352"/>
      <c r="S202" s="352"/>
      <c r="T202" s="352"/>
      <c r="U202" s="352"/>
      <c r="V202" s="353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354"/>
      <c r="B203" s="354"/>
      <c r="C203" s="354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5"/>
      <c r="P203" s="351" t="s">
        <v>40</v>
      </c>
      <c r="Q203" s="352"/>
      <c r="R203" s="352"/>
      <c r="S203" s="352"/>
      <c r="T203" s="352"/>
      <c r="U203" s="352"/>
      <c r="V203" s="353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6.5" customHeight="1" x14ac:dyDescent="0.25">
      <c r="A204" s="342" t="s">
        <v>307</v>
      </c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  <c r="AA204" s="65"/>
      <c r="AB204" s="65"/>
      <c r="AC204" s="82"/>
    </row>
    <row r="205" spans="1:68" ht="14.25" customHeight="1" x14ac:dyDescent="0.25">
      <c r="A205" s="343" t="s">
        <v>82</v>
      </c>
      <c r="B205" s="343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66"/>
      <c r="AB205" s="66"/>
      <c r="AC205" s="83"/>
    </row>
    <row r="206" spans="1:68" ht="27" customHeight="1" x14ac:dyDescent="0.25">
      <c r="A206" s="63" t="s">
        <v>308</v>
      </c>
      <c r="B206" s="63" t="s">
        <v>309</v>
      </c>
      <c r="C206" s="36">
        <v>4301071093</v>
      </c>
      <c r="D206" s="344">
        <v>4620207490709</v>
      </c>
      <c r="E206" s="344"/>
      <c r="F206" s="62">
        <v>0.65</v>
      </c>
      <c r="G206" s="37">
        <v>8</v>
      </c>
      <c r="H206" s="62">
        <v>5.2</v>
      </c>
      <c r="I206" s="62">
        <v>5.47</v>
      </c>
      <c r="J206" s="37">
        <v>84</v>
      </c>
      <c r="K206" s="37" t="s">
        <v>87</v>
      </c>
      <c r="L206" s="37" t="s">
        <v>88</v>
      </c>
      <c r="M206" s="38" t="s">
        <v>86</v>
      </c>
      <c r="N206" s="38"/>
      <c r="O206" s="37">
        <v>180</v>
      </c>
      <c r="P206" s="41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346"/>
      <c r="R206" s="346"/>
      <c r="S206" s="346"/>
      <c r="T206" s="34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IFERROR(IF(X206="","",X206*0.0155),"")</f>
        <v>0</v>
      </c>
      <c r="AA206" s="68" t="s">
        <v>46</v>
      </c>
      <c r="AB206" s="69" t="s">
        <v>46</v>
      </c>
      <c r="AC206" s="223" t="s">
        <v>310</v>
      </c>
      <c r="AG206" s="81"/>
      <c r="AJ206" s="87" t="s">
        <v>89</v>
      </c>
      <c r="AK206" s="87">
        <v>1</v>
      </c>
      <c r="BB206" s="224" t="s">
        <v>70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54"/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5"/>
      <c r="P207" s="351" t="s">
        <v>40</v>
      </c>
      <c r="Q207" s="352"/>
      <c r="R207" s="352"/>
      <c r="S207" s="352"/>
      <c r="T207" s="352"/>
      <c r="U207" s="352"/>
      <c r="V207" s="353"/>
      <c r="W207" s="42" t="s">
        <v>39</v>
      </c>
      <c r="X207" s="43">
        <f>IFERROR(SUM(X206:X206),"0")</f>
        <v>0</v>
      </c>
      <c r="Y207" s="43">
        <f>IFERROR(SUM(Y206:Y206),"0")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354"/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5"/>
      <c r="P208" s="351" t="s">
        <v>40</v>
      </c>
      <c r="Q208" s="352"/>
      <c r="R208" s="352"/>
      <c r="S208" s="352"/>
      <c r="T208" s="352"/>
      <c r="U208" s="352"/>
      <c r="V208" s="353"/>
      <c r="W208" s="42" t="s">
        <v>0</v>
      </c>
      <c r="X208" s="43">
        <f>IFERROR(SUMPRODUCT(X206:X206*H206:H206),"0")</f>
        <v>0</v>
      </c>
      <c r="Y208" s="43">
        <f>IFERROR(SUMPRODUCT(Y206:Y206*H206:H206),"0")</f>
        <v>0</v>
      </c>
      <c r="Z208" s="42"/>
      <c r="AA208" s="67"/>
      <c r="AB208" s="67"/>
      <c r="AC208" s="67"/>
    </row>
    <row r="209" spans="1:68" ht="14.25" customHeight="1" x14ac:dyDescent="0.25">
      <c r="A209" s="343" t="s">
        <v>149</v>
      </c>
      <c r="B209" s="343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66"/>
      <c r="AB209" s="66"/>
      <c r="AC209" s="83"/>
    </row>
    <row r="210" spans="1:68" ht="27" customHeight="1" x14ac:dyDescent="0.25">
      <c r="A210" s="63" t="s">
        <v>311</v>
      </c>
      <c r="B210" s="63" t="s">
        <v>312</v>
      </c>
      <c r="C210" s="36">
        <v>4301135692</v>
      </c>
      <c r="D210" s="344">
        <v>4620207490570</v>
      </c>
      <c r="E210" s="344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108</v>
      </c>
      <c r="L210" s="37" t="s">
        <v>88</v>
      </c>
      <c r="M210" s="38" t="s">
        <v>86</v>
      </c>
      <c r="N210" s="38"/>
      <c r="O210" s="37">
        <v>180</v>
      </c>
      <c r="P210" s="420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346"/>
      <c r="R210" s="346"/>
      <c r="S210" s="346"/>
      <c r="T210" s="347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313</v>
      </c>
      <c r="AG210" s="81"/>
      <c r="AJ210" s="87" t="s">
        <v>89</v>
      </c>
      <c r="AK210" s="87">
        <v>1</v>
      </c>
      <c r="BB210" s="226" t="s">
        <v>107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4301135691</v>
      </c>
      <c r="D211" s="344">
        <v>4620207490549</v>
      </c>
      <c r="E211" s="344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108</v>
      </c>
      <c r="L211" s="37" t="s">
        <v>88</v>
      </c>
      <c r="M211" s="38" t="s">
        <v>86</v>
      </c>
      <c r="N211" s="38"/>
      <c r="O211" s="37">
        <v>180</v>
      </c>
      <c r="P211" s="42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346"/>
      <c r="R211" s="346"/>
      <c r="S211" s="346"/>
      <c r="T211" s="347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313</v>
      </c>
      <c r="AG211" s="81"/>
      <c r="AJ211" s="87" t="s">
        <v>89</v>
      </c>
      <c r="AK211" s="87">
        <v>1</v>
      </c>
      <c r="BB211" s="228" t="s">
        <v>107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316</v>
      </c>
      <c r="B212" s="63" t="s">
        <v>317</v>
      </c>
      <c r="C212" s="36">
        <v>4301135694</v>
      </c>
      <c r="D212" s="344">
        <v>4620207490501</v>
      </c>
      <c r="E212" s="344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108</v>
      </c>
      <c r="L212" s="37" t="s">
        <v>88</v>
      </c>
      <c r="M212" s="38" t="s">
        <v>86</v>
      </c>
      <c r="N212" s="38"/>
      <c r="O212" s="37">
        <v>180</v>
      </c>
      <c r="P212" s="42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346"/>
      <c r="R212" s="346"/>
      <c r="S212" s="346"/>
      <c r="T212" s="34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29" t="s">
        <v>313</v>
      </c>
      <c r="AG212" s="81"/>
      <c r="AJ212" s="87" t="s">
        <v>89</v>
      </c>
      <c r="AK212" s="87">
        <v>1</v>
      </c>
      <c r="BB212" s="230" t="s">
        <v>107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54"/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5"/>
      <c r="P213" s="351" t="s">
        <v>40</v>
      </c>
      <c r="Q213" s="352"/>
      <c r="R213" s="352"/>
      <c r="S213" s="352"/>
      <c r="T213" s="352"/>
      <c r="U213" s="352"/>
      <c r="V213" s="353"/>
      <c r="W213" s="42" t="s">
        <v>39</v>
      </c>
      <c r="X213" s="43">
        <f>IFERROR(SUM(X210:X212),"0")</f>
        <v>0</v>
      </c>
      <c r="Y213" s="43">
        <f>IFERROR(SUM(Y210:Y212),"0")</f>
        <v>0</v>
      </c>
      <c r="Z213" s="43">
        <f>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354"/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5"/>
      <c r="P214" s="351" t="s">
        <v>40</v>
      </c>
      <c r="Q214" s="352"/>
      <c r="R214" s="352"/>
      <c r="S214" s="352"/>
      <c r="T214" s="352"/>
      <c r="U214" s="352"/>
      <c r="V214" s="353"/>
      <c r="W214" s="42" t="s">
        <v>0</v>
      </c>
      <c r="X214" s="43">
        <f>IFERROR(SUMPRODUCT(X210:X212*H210:H212),"0")</f>
        <v>0</v>
      </c>
      <c r="Y214" s="43">
        <f>IFERROR(SUMPRODUCT(Y210:Y212*H210:H212),"0")</f>
        <v>0</v>
      </c>
      <c r="Z214" s="42"/>
      <c r="AA214" s="67"/>
      <c r="AB214" s="67"/>
      <c r="AC214" s="67"/>
    </row>
    <row r="215" spans="1:68" ht="27.75" customHeight="1" x14ac:dyDescent="0.2">
      <c r="A215" s="341" t="s">
        <v>318</v>
      </c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54"/>
      <c r="AB215" s="54"/>
      <c r="AC215" s="54"/>
    </row>
    <row r="216" spans="1:68" ht="16.5" customHeight="1" x14ac:dyDescent="0.25">
      <c r="A216" s="342" t="s">
        <v>319</v>
      </c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  <c r="AA216" s="65"/>
      <c r="AB216" s="65"/>
      <c r="AC216" s="82"/>
    </row>
    <row r="217" spans="1:68" ht="14.25" customHeight="1" x14ac:dyDescent="0.25">
      <c r="A217" s="343" t="s">
        <v>82</v>
      </c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66"/>
      <c r="AB217" s="66"/>
      <c r="AC217" s="83"/>
    </row>
    <row r="218" spans="1:68" ht="27" customHeight="1" x14ac:dyDescent="0.25">
      <c r="A218" s="63" t="s">
        <v>320</v>
      </c>
      <c r="B218" s="63" t="s">
        <v>321</v>
      </c>
      <c r="C218" s="36">
        <v>4301071036</v>
      </c>
      <c r="D218" s="344">
        <v>4607111036162</v>
      </c>
      <c r="E218" s="344"/>
      <c r="F218" s="62">
        <v>0.8</v>
      </c>
      <c r="G218" s="37">
        <v>8</v>
      </c>
      <c r="H218" s="62">
        <v>6.4</v>
      </c>
      <c r="I218" s="62">
        <v>6.6811999999999996</v>
      </c>
      <c r="J218" s="37">
        <v>84</v>
      </c>
      <c r="K218" s="37" t="s">
        <v>87</v>
      </c>
      <c r="L218" s="37" t="s">
        <v>88</v>
      </c>
      <c r="M218" s="38" t="s">
        <v>86</v>
      </c>
      <c r="N218" s="38"/>
      <c r="O218" s="37">
        <v>90</v>
      </c>
      <c r="P218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346"/>
      <c r="R218" s="346"/>
      <c r="S218" s="346"/>
      <c r="T218" s="34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IFERROR(IF(X218="","",X218*0.0155),"")</f>
        <v>0</v>
      </c>
      <c r="AA218" s="68" t="s">
        <v>46</v>
      </c>
      <c r="AB218" s="69" t="s">
        <v>46</v>
      </c>
      <c r="AC218" s="231" t="s">
        <v>322</v>
      </c>
      <c r="AG218" s="81"/>
      <c r="AJ218" s="87" t="s">
        <v>89</v>
      </c>
      <c r="AK218" s="87">
        <v>1</v>
      </c>
      <c r="BB218" s="232" t="s">
        <v>70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354"/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5"/>
      <c r="P219" s="351" t="s">
        <v>40</v>
      </c>
      <c r="Q219" s="352"/>
      <c r="R219" s="352"/>
      <c r="S219" s="352"/>
      <c r="T219" s="352"/>
      <c r="U219" s="352"/>
      <c r="V219" s="353"/>
      <c r="W219" s="42" t="s">
        <v>39</v>
      </c>
      <c r="X219" s="43">
        <f>IFERROR(SUM(X218:X218),"0")</f>
        <v>0</v>
      </c>
      <c r="Y219" s="43">
        <f>IFERROR(SUM(Y218:Y218),"0")</f>
        <v>0</v>
      </c>
      <c r="Z219" s="43">
        <f>IFERROR(IF(Z218="",0,Z218),"0")</f>
        <v>0</v>
      </c>
      <c r="AA219" s="67"/>
      <c r="AB219" s="67"/>
      <c r="AC219" s="67"/>
    </row>
    <row r="220" spans="1:68" x14ac:dyDescent="0.2">
      <c r="A220" s="354"/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5"/>
      <c r="P220" s="351" t="s">
        <v>40</v>
      </c>
      <c r="Q220" s="352"/>
      <c r="R220" s="352"/>
      <c r="S220" s="352"/>
      <c r="T220" s="352"/>
      <c r="U220" s="352"/>
      <c r="V220" s="353"/>
      <c r="W220" s="42" t="s">
        <v>0</v>
      </c>
      <c r="X220" s="43">
        <f>IFERROR(SUMPRODUCT(X218:X218*H218:H218),"0")</f>
        <v>0</v>
      </c>
      <c r="Y220" s="43">
        <f>IFERROR(SUMPRODUCT(Y218:Y218*H218:H218),"0")</f>
        <v>0</v>
      </c>
      <c r="Z220" s="42"/>
      <c r="AA220" s="67"/>
      <c r="AB220" s="67"/>
      <c r="AC220" s="67"/>
    </row>
    <row r="221" spans="1:68" ht="27.75" customHeight="1" x14ac:dyDescent="0.2">
      <c r="A221" s="341" t="s">
        <v>323</v>
      </c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54"/>
      <c r="AB221" s="54"/>
      <c r="AC221" s="54"/>
    </row>
    <row r="222" spans="1:68" ht="16.5" customHeight="1" x14ac:dyDescent="0.25">
      <c r="A222" s="342" t="s">
        <v>324</v>
      </c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  <c r="AA222" s="65"/>
      <c r="AB222" s="65"/>
      <c r="AC222" s="82"/>
    </row>
    <row r="223" spans="1:68" ht="14.25" customHeight="1" x14ac:dyDescent="0.25">
      <c r="A223" s="343" t="s">
        <v>82</v>
      </c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66"/>
      <c r="AB223" s="66"/>
      <c r="AC223" s="83"/>
    </row>
    <row r="224" spans="1:68" ht="27" customHeight="1" x14ac:dyDescent="0.25">
      <c r="A224" s="63" t="s">
        <v>325</v>
      </c>
      <c r="B224" s="63" t="s">
        <v>326</v>
      </c>
      <c r="C224" s="36">
        <v>4301071029</v>
      </c>
      <c r="D224" s="344">
        <v>4607111035899</v>
      </c>
      <c r="E224" s="344"/>
      <c r="F224" s="62">
        <v>1</v>
      </c>
      <c r="G224" s="37">
        <v>5</v>
      </c>
      <c r="H224" s="62">
        <v>5</v>
      </c>
      <c r="I224" s="62">
        <v>5.2619999999999996</v>
      </c>
      <c r="J224" s="37">
        <v>84</v>
      </c>
      <c r="K224" s="37" t="s">
        <v>87</v>
      </c>
      <c r="L224" s="37" t="s">
        <v>109</v>
      </c>
      <c r="M224" s="38" t="s">
        <v>86</v>
      </c>
      <c r="N224" s="38"/>
      <c r="O224" s="37">
        <v>180</v>
      </c>
      <c r="P224" s="42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346"/>
      <c r="R224" s="346"/>
      <c r="S224" s="346"/>
      <c r="T224" s="347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33" t="s">
        <v>266</v>
      </c>
      <c r="AG224" s="81"/>
      <c r="AJ224" s="87" t="s">
        <v>110</v>
      </c>
      <c r="AK224" s="87">
        <v>84</v>
      </c>
      <c r="BB224" s="234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354"/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5"/>
      <c r="P225" s="351" t="s">
        <v>40</v>
      </c>
      <c r="Q225" s="352"/>
      <c r="R225" s="352"/>
      <c r="S225" s="352"/>
      <c r="T225" s="352"/>
      <c r="U225" s="352"/>
      <c r="V225" s="353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354"/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5"/>
      <c r="P226" s="351" t="s">
        <v>40</v>
      </c>
      <c r="Q226" s="352"/>
      <c r="R226" s="352"/>
      <c r="S226" s="352"/>
      <c r="T226" s="352"/>
      <c r="U226" s="352"/>
      <c r="V226" s="353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41" t="s">
        <v>327</v>
      </c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54"/>
      <c r="AB227" s="54"/>
      <c r="AC227" s="54"/>
    </row>
    <row r="228" spans="1:68" ht="16.5" customHeight="1" x14ac:dyDescent="0.25">
      <c r="A228" s="342" t="s">
        <v>328</v>
      </c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  <c r="AA228" s="65"/>
      <c r="AB228" s="65"/>
      <c r="AC228" s="82"/>
    </row>
    <row r="229" spans="1:68" ht="14.25" customHeight="1" x14ac:dyDescent="0.25">
      <c r="A229" s="343" t="s">
        <v>329</v>
      </c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66"/>
      <c r="AB229" s="66"/>
      <c r="AC229" s="83"/>
    </row>
    <row r="230" spans="1:68" ht="27" customHeight="1" x14ac:dyDescent="0.25">
      <c r="A230" s="63" t="s">
        <v>330</v>
      </c>
      <c r="B230" s="63" t="s">
        <v>331</v>
      </c>
      <c r="C230" s="36">
        <v>4301133004</v>
      </c>
      <c r="D230" s="344">
        <v>4607111039774</v>
      </c>
      <c r="E230" s="344"/>
      <c r="F230" s="62">
        <v>0.25</v>
      </c>
      <c r="G230" s="37">
        <v>12</v>
      </c>
      <c r="H230" s="62">
        <v>3</v>
      </c>
      <c r="I230" s="62">
        <v>3.22</v>
      </c>
      <c r="J230" s="37">
        <v>70</v>
      </c>
      <c r="K230" s="37" t="s">
        <v>108</v>
      </c>
      <c r="L230" s="37" t="s">
        <v>88</v>
      </c>
      <c r="M230" s="38" t="s">
        <v>86</v>
      </c>
      <c r="N230" s="38"/>
      <c r="O230" s="37">
        <v>180</v>
      </c>
      <c r="P230" s="4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346"/>
      <c r="R230" s="346"/>
      <c r="S230" s="346"/>
      <c r="T230" s="347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35" t="s">
        <v>332</v>
      </c>
      <c r="AG230" s="81"/>
      <c r="AJ230" s="87" t="s">
        <v>89</v>
      </c>
      <c r="AK230" s="87">
        <v>1</v>
      </c>
      <c r="BB230" s="236" t="s">
        <v>107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54"/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5"/>
      <c r="P231" s="351" t="s">
        <v>40</v>
      </c>
      <c r="Q231" s="352"/>
      <c r="R231" s="352"/>
      <c r="S231" s="352"/>
      <c r="T231" s="352"/>
      <c r="U231" s="352"/>
      <c r="V231" s="353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354"/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5"/>
      <c r="P232" s="351" t="s">
        <v>40</v>
      </c>
      <c r="Q232" s="352"/>
      <c r="R232" s="352"/>
      <c r="S232" s="352"/>
      <c r="T232" s="352"/>
      <c r="U232" s="352"/>
      <c r="V232" s="353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14.25" customHeight="1" x14ac:dyDescent="0.25">
      <c r="A233" s="343" t="s">
        <v>149</v>
      </c>
      <c r="B233" s="343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3"/>
      <c r="W233" s="343"/>
      <c r="X233" s="343"/>
      <c r="Y233" s="343"/>
      <c r="Z233" s="343"/>
      <c r="AA233" s="66"/>
      <c r="AB233" s="66"/>
      <c r="AC233" s="83"/>
    </row>
    <row r="234" spans="1:68" ht="37.5" customHeight="1" x14ac:dyDescent="0.25">
      <c r="A234" s="63" t="s">
        <v>333</v>
      </c>
      <c r="B234" s="63" t="s">
        <v>334</v>
      </c>
      <c r="C234" s="36">
        <v>4301135400</v>
      </c>
      <c r="D234" s="344">
        <v>4607111039361</v>
      </c>
      <c r="E234" s="344"/>
      <c r="F234" s="62">
        <v>0.25</v>
      </c>
      <c r="G234" s="37">
        <v>12</v>
      </c>
      <c r="H234" s="62">
        <v>3</v>
      </c>
      <c r="I234" s="62">
        <v>3.7035999999999998</v>
      </c>
      <c r="J234" s="37">
        <v>70</v>
      </c>
      <c r="K234" s="37" t="s">
        <v>108</v>
      </c>
      <c r="L234" s="37" t="s">
        <v>88</v>
      </c>
      <c r="M234" s="38" t="s">
        <v>86</v>
      </c>
      <c r="N234" s="38"/>
      <c r="O234" s="37">
        <v>180</v>
      </c>
      <c r="P234" s="42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346"/>
      <c r="R234" s="346"/>
      <c r="S234" s="346"/>
      <c r="T234" s="347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37" t="s">
        <v>332</v>
      </c>
      <c r="AG234" s="81"/>
      <c r="AJ234" s="87" t="s">
        <v>89</v>
      </c>
      <c r="AK234" s="87">
        <v>1</v>
      </c>
      <c r="BB234" s="238" t="s">
        <v>107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54"/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5"/>
      <c r="P235" s="351" t="s">
        <v>40</v>
      </c>
      <c r="Q235" s="352"/>
      <c r="R235" s="352"/>
      <c r="S235" s="352"/>
      <c r="T235" s="352"/>
      <c r="U235" s="352"/>
      <c r="V235" s="353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54"/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5"/>
      <c r="P236" s="351" t="s">
        <v>40</v>
      </c>
      <c r="Q236" s="352"/>
      <c r="R236" s="352"/>
      <c r="S236" s="352"/>
      <c r="T236" s="352"/>
      <c r="U236" s="352"/>
      <c r="V236" s="353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customHeight="1" x14ac:dyDescent="0.2">
      <c r="A237" s="341" t="s">
        <v>335</v>
      </c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54"/>
      <c r="AB237" s="54"/>
      <c r="AC237" s="54"/>
    </row>
    <row r="238" spans="1:68" ht="16.5" customHeight="1" x14ac:dyDescent="0.25">
      <c r="A238" s="342" t="s">
        <v>335</v>
      </c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  <c r="AA238" s="65"/>
      <c r="AB238" s="65"/>
      <c r="AC238" s="82"/>
    </row>
    <row r="239" spans="1:68" ht="14.25" customHeight="1" x14ac:dyDescent="0.25">
      <c r="A239" s="343" t="s">
        <v>82</v>
      </c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66"/>
      <c r="AB239" s="66"/>
      <c r="AC239" s="83"/>
    </row>
    <row r="240" spans="1:68" ht="27" customHeight="1" x14ac:dyDescent="0.25">
      <c r="A240" s="63" t="s">
        <v>336</v>
      </c>
      <c r="B240" s="63" t="s">
        <v>337</v>
      </c>
      <c r="C240" s="36">
        <v>4301071014</v>
      </c>
      <c r="D240" s="344">
        <v>4640242181264</v>
      </c>
      <c r="E240" s="344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88</v>
      </c>
      <c r="M240" s="38" t="s">
        <v>86</v>
      </c>
      <c r="N240" s="38"/>
      <c r="O240" s="37">
        <v>180</v>
      </c>
      <c r="P240" s="42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346"/>
      <c r="R240" s="346"/>
      <c r="S240" s="346"/>
      <c r="T240" s="347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39" t="s">
        <v>338</v>
      </c>
      <c r="AG240" s="81"/>
      <c r="AJ240" s="87" t="s">
        <v>89</v>
      </c>
      <c r="AK240" s="87">
        <v>1</v>
      </c>
      <c r="BB240" s="240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ht="27" customHeight="1" x14ac:dyDescent="0.25">
      <c r="A241" s="63" t="s">
        <v>339</v>
      </c>
      <c r="B241" s="63" t="s">
        <v>340</v>
      </c>
      <c r="C241" s="36">
        <v>4301071021</v>
      </c>
      <c r="D241" s="344">
        <v>4640242181325</v>
      </c>
      <c r="E241" s="344"/>
      <c r="F241" s="62">
        <v>0.7</v>
      </c>
      <c r="G241" s="37">
        <v>10</v>
      </c>
      <c r="H241" s="62">
        <v>7</v>
      </c>
      <c r="I241" s="62">
        <v>7.28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180</v>
      </c>
      <c r="P241" s="42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346"/>
      <c r="R241" s="346"/>
      <c r="S241" s="346"/>
      <c r="T241" s="34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41" t="s">
        <v>338</v>
      </c>
      <c r="AG241" s="81"/>
      <c r="AJ241" s="87" t="s">
        <v>89</v>
      </c>
      <c r="AK241" s="87">
        <v>1</v>
      </c>
      <c r="BB241" s="24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354"/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5"/>
      <c r="P242" s="351" t="s">
        <v>40</v>
      </c>
      <c r="Q242" s="352"/>
      <c r="R242" s="352"/>
      <c r="S242" s="352"/>
      <c r="T242" s="352"/>
      <c r="U242" s="352"/>
      <c r="V242" s="353"/>
      <c r="W242" s="42" t="s">
        <v>39</v>
      </c>
      <c r="X242" s="43">
        <f>IFERROR(SUM(X240:X241),"0")</f>
        <v>0</v>
      </c>
      <c r="Y242" s="43">
        <f>IFERROR(SUM(Y240:Y241),"0")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354"/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5"/>
      <c r="P243" s="351" t="s">
        <v>40</v>
      </c>
      <c r="Q243" s="352"/>
      <c r="R243" s="352"/>
      <c r="S243" s="352"/>
      <c r="T243" s="352"/>
      <c r="U243" s="352"/>
      <c r="V243" s="353"/>
      <c r="W243" s="42" t="s">
        <v>0</v>
      </c>
      <c r="X243" s="43">
        <f>IFERROR(SUMPRODUCT(X240:X241*H240:H241),"0")</f>
        <v>0</v>
      </c>
      <c r="Y243" s="43">
        <f>IFERROR(SUMPRODUCT(Y240:Y241*H240:H241),"0")</f>
        <v>0</v>
      </c>
      <c r="Z243" s="42"/>
      <c r="AA243" s="67"/>
      <c r="AB243" s="67"/>
      <c r="AC243" s="67"/>
    </row>
    <row r="244" spans="1:68" ht="14.25" customHeight="1" x14ac:dyDescent="0.25">
      <c r="A244" s="343" t="s">
        <v>103</v>
      </c>
      <c r="B244" s="343"/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  <c r="O244" s="343"/>
      <c r="P244" s="343"/>
      <c r="Q244" s="343"/>
      <c r="R244" s="343"/>
      <c r="S244" s="343"/>
      <c r="T244" s="343"/>
      <c r="U244" s="343"/>
      <c r="V244" s="343"/>
      <c r="W244" s="343"/>
      <c r="X244" s="343"/>
      <c r="Y244" s="343"/>
      <c r="Z244" s="343"/>
      <c r="AA244" s="66"/>
      <c r="AB244" s="66"/>
      <c r="AC244" s="83"/>
    </row>
    <row r="245" spans="1:68" ht="27" customHeight="1" x14ac:dyDescent="0.25">
      <c r="A245" s="63" t="s">
        <v>341</v>
      </c>
      <c r="B245" s="63" t="s">
        <v>342</v>
      </c>
      <c r="C245" s="36">
        <v>4301132080</v>
      </c>
      <c r="D245" s="344">
        <v>4640242180397</v>
      </c>
      <c r="E245" s="344"/>
      <c r="F245" s="62">
        <v>1</v>
      </c>
      <c r="G245" s="37">
        <v>6</v>
      </c>
      <c r="H245" s="62">
        <v>6</v>
      </c>
      <c r="I245" s="62">
        <v>6.26</v>
      </c>
      <c r="J245" s="37">
        <v>84</v>
      </c>
      <c r="K245" s="37" t="s">
        <v>87</v>
      </c>
      <c r="L245" s="37" t="s">
        <v>109</v>
      </c>
      <c r="M245" s="38" t="s">
        <v>86</v>
      </c>
      <c r="N245" s="38"/>
      <c r="O245" s="37">
        <v>180</v>
      </c>
      <c r="P245" s="42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346"/>
      <c r="R245" s="346"/>
      <c r="S245" s="346"/>
      <c r="T245" s="347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3" t="s">
        <v>343</v>
      </c>
      <c r="AG245" s="81"/>
      <c r="AJ245" s="87" t="s">
        <v>110</v>
      </c>
      <c r="AK245" s="87">
        <v>84</v>
      </c>
      <c r="BB245" s="244" t="s">
        <v>107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344</v>
      </c>
      <c r="B246" s="63" t="s">
        <v>345</v>
      </c>
      <c r="C246" s="36">
        <v>4301132104</v>
      </c>
      <c r="D246" s="344">
        <v>4640242181219</v>
      </c>
      <c r="E246" s="344"/>
      <c r="F246" s="62">
        <v>0.3</v>
      </c>
      <c r="G246" s="37">
        <v>9</v>
      </c>
      <c r="H246" s="62">
        <v>2.7</v>
      </c>
      <c r="I246" s="62">
        <v>2.8450000000000002</v>
      </c>
      <c r="J246" s="37">
        <v>234</v>
      </c>
      <c r="K246" s="37" t="s">
        <v>161</v>
      </c>
      <c r="L246" s="37" t="s">
        <v>120</v>
      </c>
      <c r="M246" s="38" t="s">
        <v>86</v>
      </c>
      <c r="N246" s="38"/>
      <c r="O246" s="37">
        <v>180</v>
      </c>
      <c r="P246" s="430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6" s="346"/>
      <c r="R246" s="346"/>
      <c r="S246" s="346"/>
      <c r="T246" s="347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IFERROR(IF(X246="","",X246*0.00502),"")</f>
        <v>0</v>
      </c>
      <c r="AA246" s="68" t="s">
        <v>46</v>
      </c>
      <c r="AB246" s="69" t="s">
        <v>46</v>
      </c>
      <c r="AC246" s="245" t="s">
        <v>343</v>
      </c>
      <c r="AG246" s="81"/>
      <c r="AJ246" s="87" t="s">
        <v>121</v>
      </c>
      <c r="AK246" s="87">
        <v>18</v>
      </c>
      <c r="BB246" s="246" t="s">
        <v>107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354"/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5"/>
      <c r="P247" s="351" t="s">
        <v>40</v>
      </c>
      <c r="Q247" s="352"/>
      <c r="R247" s="352"/>
      <c r="S247" s="352"/>
      <c r="T247" s="352"/>
      <c r="U247" s="352"/>
      <c r="V247" s="353"/>
      <c r="W247" s="42" t="s">
        <v>39</v>
      </c>
      <c r="X247" s="43">
        <f>IFERROR(SUM(X245:X246),"0")</f>
        <v>0</v>
      </c>
      <c r="Y247" s="43">
        <f>IFERROR(SUM(Y245:Y246),"0")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">
      <c r="A248" s="354"/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5"/>
      <c r="P248" s="351" t="s">
        <v>40</v>
      </c>
      <c r="Q248" s="352"/>
      <c r="R248" s="352"/>
      <c r="S248" s="352"/>
      <c r="T248" s="352"/>
      <c r="U248" s="352"/>
      <c r="V248" s="353"/>
      <c r="W248" s="42" t="s">
        <v>0</v>
      </c>
      <c r="X248" s="43">
        <f>IFERROR(SUMPRODUCT(X245:X246*H245:H246),"0")</f>
        <v>0</v>
      </c>
      <c r="Y248" s="43">
        <f>IFERROR(SUMPRODUCT(Y245:Y246*H245:H246),"0")</f>
        <v>0</v>
      </c>
      <c r="Z248" s="42"/>
      <c r="AA248" s="67"/>
      <c r="AB248" s="67"/>
      <c r="AC248" s="67"/>
    </row>
    <row r="249" spans="1:68" ht="14.25" customHeight="1" x14ac:dyDescent="0.25">
      <c r="A249" s="343" t="s">
        <v>143</v>
      </c>
      <c r="B249" s="343"/>
      <c r="C249" s="343"/>
      <c r="D249" s="343"/>
      <c r="E249" s="343"/>
      <c r="F249" s="343"/>
      <c r="G249" s="343"/>
      <c r="H249" s="343"/>
      <c r="I249" s="343"/>
      <c r="J249" s="343"/>
      <c r="K249" s="343"/>
      <c r="L249" s="343"/>
      <c r="M249" s="343"/>
      <c r="N249" s="343"/>
      <c r="O249" s="343"/>
      <c r="P249" s="343"/>
      <c r="Q249" s="343"/>
      <c r="R249" s="343"/>
      <c r="S249" s="343"/>
      <c r="T249" s="343"/>
      <c r="U249" s="343"/>
      <c r="V249" s="343"/>
      <c r="W249" s="343"/>
      <c r="X249" s="343"/>
      <c r="Y249" s="343"/>
      <c r="Z249" s="343"/>
      <c r="AA249" s="66"/>
      <c r="AB249" s="66"/>
      <c r="AC249" s="83"/>
    </row>
    <row r="250" spans="1:68" ht="27" customHeight="1" x14ac:dyDescent="0.25">
      <c r="A250" s="63" t="s">
        <v>346</v>
      </c>
      <c r="B250" s="63" t="s">
        <v>347</v>
      </c>
      <c r="C250" s="36">
        <v>4301136051</v>
      </c>
      <c r="D250" s="344">
        <v>4640242180304</v>
      </c>
      <c r="E250" s="344"/>
      <c r="F250" s="62">
        <v>2.7</v>
      </c>
      <c r="G250" s="37">
        <v>1</v>
      </c>
      <c r="H250" s="62">
        <v>2.7</v>
      </c>
      <c r="I250" s="62">
        <v>2.8906000000000001</v>
      </c>
      <c r="J250" s="37">
        <v>126</v>
      </c>
      <c r="K250" s="37" t="s">
        <v>108</v>
      </c>
      <c r="L250" s="37" t="s">
        <v>120</v>
      </c>
      <c r="M250" s="38" t="s">
        <v>86</v>
      </c>
      <c r="N250" s="38"/>
      <c r="O250" s="37">
        <v>180</v>
      </c>
      <c r="P250" s="43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0" s="346"/>
      <c r="R250" s="346"/>
      <c r="S250" s="346"/>
      <c r="T250" s="347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47" t="s">
        <v>348</v>
      </c>
      <c r="AG250" s="81"/>
      <c r="AJ250" s="87" t="s">
        <v>121</v>
      </c>
      <c r="AK250" s="87">
        <v>14</v>
      </c>
      <c r="BB250" s="248" t="s">
        <v>107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customHeight="1" x14ac:dyDescent="0.25">
      <c r="A251" s="63" t="s">
        <v>349</v>
      </c>
      <c r="B251" s="63" t="s">
        <v>350</v>
      </c>
      <c r="C251" s="36">
        <v>4301136053</v>
      </c>
      <c r="D251" s="344">
        <v>4640242180236</v>
      </c>
      <c r="E251" s="344"/>
      <c r="F251" s="62">
        <v>5</v>
      </c>
      <c r="G251" s="37">
        <v>1</v>
      </c>
      <c r="H251" s="62">
        <v>5</v>
      </c>
      <c r="I251" s="62">
        <v>5.2350000000000003</v>
      </c>
      <c r="J251" s="37">
        <v>84</v>
      </c>
      <c r="K251" s="37" t="s">
        <v>87</v>
      </c>
      <c r="L251" s="37" t="s">
        <v>109</v>
      </c>
      <c r="M251" s="38" t="s">
        <v>86</v>
      </c>
      <c r="N251" s="38"/>
      <c r="O251" s="37">
        <v>180</v>
      </c>
      <c r="P251" s="43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1" s="346"/>
      <c r="R251" s="346"/>
      <c r="S251" s="346"/>
      <c r="T251" s="347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9" t="s">
        <v>348</v>
      </c>
      <c r="AG251" s="81"/>
      <c r="AJ251" s="87" t="s">
        <v>110</v>
      </c>
      <c r="AK251" s="87">
        <v>84</v>
      </c>
      <c r="BB251" s="250" t="s">
        <v>107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4301136052</v>
      </c>
      <c r="D252" s="344">
        <v>4640242180410</v>
      </c>
      <c r="E252" s="344"/>
      <c r="F252" s="62">
        <v>2.2400000000000002</v>
      </c>
      <c r="G252" s="37">
        <v>1</v>
      </c>
      <c r="H252" s="62">
        <v>2.2400000000000002</v>
      </c>
      <c r="I252" s="62">
        <v>2.4319999999999999</v>
      </c>
      <c r="J252" s="37">
        <v>126</v>
      </c>
      <c r="K252" s="37" t="s">
        <v>108</v>
      </c>
      <c r="L252" s="37" t="s">
        <v>120</v>
      </c>
      <c r="M252" s="38" t="s">
        <v>86</v>
      </c>
      <c r="N252" s="38"/>
      <c r="O252" s="37">
        <v>180</v>
      </c>
      <c r="P252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2" s="346"/>
      <c r="R252" s="346"/>
      <c r="S252" s="346"/>
      <c r="T252" s="347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348</v>
      </c>
      <c r="AG252" s="81"/>
      <c r="AJ252" s="87" t="s">
        <v>121</v>
      </c>
      <c r="AK252" s="87">
        <v>14</v>
      </c>
      <c r="BB252" s="252" t="s">
        <v>107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4"/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5"/>
      <c r="P253" s="351" t="s">
        <v>40</v>
      </c>
      <c r="Q253" s="352"/>
      <c r="R253" s="352"/>
      <c r="S253" s="352"/>
      <c r="T253" s="352"/>
      <c r="U253" s="352"/>
      <c r="V253" s="353"/>
      <c r="W253" s="42" t="s">
        <v>39</v>
      </c>
      <c r="X253" s="43">
        <f>IFERROR(SUM(X250:X252),"0")</f>
        <v>0</v>
      </c>
      <c r="Y253" s="43">
        <f>IFERROR(SUM(Y250:Y252),"0")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354"/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5"/>
      <c r="P254" s="351" t="s">
        <v>40</v>
      </c>
      <c r="Q254" s="352"/>
      <c r="R254" s="352"/>
      <c r="S254" s="352"/>
      <c r="T254" s="352"/>
      <c r="U254" s="352"/>
      <c r="V254" s="353"/>
      <c r="W254" s="42" t="s">
        <v>0</v>
      </c>
      <c r="X254" s="43">
        <f>IFERROR(SUMPRODUCT(X250:X252*H250:H252),"0")</f>
        <v>0</v>
      </c>
      <c r="Y254" s="43">
        <f>IFERROR(SUMPRODUCT(Y250:Y252*H250:H252),"0")</f>
        <v>0</v>
      </c>
      <c r="Z254" s="42"/>
      <c r="AA254" s="67"/>
      <c r="AB254" s="67"/>
      <c r="AC254" s="67"/>
    </row>
    <row r="255" spans="1:68" ht="14.25" customHeight="1" x14ac:dyDescent="0.25">
      <c r="A255" s="343" t="s">
        <v>149</v>
      </c>
      <c r="B255" s="343"/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  <c r="O255" s="343"/>
      <c r="P255" s="343"/>
      <c r="Q255" s="343"/>
      <c r="R255" s="343"/>
      <c r="S255" s="343"/>
      <c r="T255" s="343"/>
      <c r="U255" s="343"/>
      <c r="V255" s="343"/>
      <c r="W255" s="343"/>
      <c r="X255" s="343"/>
      <c r="Y255" s="343"/>
      <c r="Z255" s="343"/>
      <c r="AA255" s="66"/>
      <c r="AB255" s="66"/>
      <c r="AC255" s="83"/>
    </row>
    <row r="256" spans="1:68" ht="37.5" customHeight="1" x14ac:dyDescent="0.25">
      <c r="A256" s="63" t="s">
        <v>353</v>
      </c>
      <c r="B256" s="63" t="s">
        <v>354</v>
      </c>
      <c r="C256" s="36">
        <v>4301135504</v>
      </c>
      <c r="D256" s="344">
        <v>4640242181554</v>
      </c>
      <c r="E256" s="344"/>
      <c r="F256" s="62">
        <v>3</v>
      </c>
      <c r="G256" s="37">
        <v>1</v>
      </c>
      <c r="H256" s="62">
        <v>3</v>
      </c>
      <c r="I256" s="62">
        <v>3.1920000000000002</v>
      </c>
      <c r="J256" s="37">
        <v>126</v>
      </c>
      <c r="K256" s="37" t="s">
        <v>108</v>
      </c>
      <c r="L256" s="37" t="s">
        <v>88</v>
      </c>
      <c r="M256" s="38" t="s">
        <v>86</v>
      </c>
      <c r="N256" s="38"/>
      <c r="O256" s="37">
        <v>180</v>
      </c>
      <c r="P256" s="43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6" s="346"/>
      <c r="R256" s="346"/>
      <c r="S256" s="346"/>
      <c r="T256" s="347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ref="Y256:Y265" si="12"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3" t="s">
        <v>355</v>
      </c>
      <c r="AG256" s="81"/>
      <c r="AJ256" s="87" t="s">
        <v>89</v>
      </c>
      <c r="AK256" s="87">
        <v>1</v>
      </c>
      <c r="BB256" s="254" t="s">
        <v>107</v>
      </c>
      <c r="BM256" s="81">
        <f t="shared" ref="BM256:BM265" si="13">IFERROR(X256*I256,"0")</f>
        <v>0</v>
      </c>
      <c r="BN256" s="81">
        <f t="shared" ref="BN256:BN265" si="14">IFERROR(Y256*I256,"0")</f>
        <v>0</v>
      </c>
      <c r="BO256" s="81">
        <f t="shared" ref="BO256:BO265" si="15">IFERROR(X256/J256,"0")</f>
        <v>0</v>
      </c>
      <c r="BP256" s="81">
        <f t="shared" ref="BP256:BP265" si="16"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4301135518</v>
      </c>
      <c r="D257" s="344">
        <v>4640242181561</v>
      </c>
      <c r="E257" s="344"/>
      <c r="F257" s="62">
        <v>3.7</v>
      </c>
      <c r="G257" s="37">
        <v>1</v>
      </c>
      <c r="H257" s="62">
        <v>3.7</v>
      </c>
      <c r="I257" s="62">
        <v>3.8919999999999999</v>
      </c>
      <c r="J257" s="37">
        <v>126</v>
      </c>
      <c r="K257" s="37" t="s">
        <v>108</v>
      </c>
      <c r="L257" s="37" t="s">
        <v>120</v>
      </c>
      <c r="M257" s="38" t="s">
        <v>86</v>
      </c>
      <c r="N257" s="38"/>
      <c r="O257" s="37">
        <v>180</v>
      </c>
      <c r="P257" s="43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7" s="346"/>
      <c r="R257" s="346"/>
      <c r="S257" s="346"/>
      <c r="T257" s="347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2"/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358</v>
      </c>
      <c r="AG257" s="81"/>
      <c r="AJ257" s="87" t="s">
        <v>121</v>
      </c>
      <c r="AK257" s="87">
        <v>14</v>
      </c>
      <c r="BB257" s="256" t="s">
        <v>107</v>
      </c>
      <c r="BM257" s="81">
        <f t="shared" si="13"/>
        <v>0</v>
      </c>
      <c r="BN257" s="81">
        <f t="shared" si="14"/>
        <v>0</v>
      </c>
      <c r="BO257" s="81">
        <f t="shared" si="15"/>
        <v>0</v>
      </c>
      <c r="BP257" s="81">
        <f t="shared" si="16"/>
        <v>0</v>
      </c>
    </row>
    <row r="258" spans="1:68" ht="27" customHeight="1" x14ac:dyDescent="0.25">
      <c r="A258" s="63" t="s">
        <v>359</v>
      </c>
      <c r="B258" s="63" t="s">
        <v>360</v>
      </c>
      <c r="C258" s="36">
        <v>4301135374</v>
      </c>
      <c r="D258" s="344">
        <v>4640242181424</v>
      </c>
      <c r="E258" s="344"/>
      <c r="F258" s="62">
        <v>5.5</v>
      </c>
      <c r="G258" s="37">
        <v>1</v>
      </c>
      <c r="H258" s="62">
        <v>5.5</v>
      </c>
      <c r="I258" s="62">
        <v>5.7350000000000003</v>
      </c>
      <c r="J258" s="37">
        <v>84</v>
      </c>
      <c r="K258" s="37" t="s">
        <v>87</v>
      </c>
      <c r="L258" s="37" t="s">
        <v>120</v>
      </c>
      <c r="M258" s="38" t="s">
        <v>86</v>
      </c>
      <c r="N258" s="38"/>
      <c r="O258" s="37">
        <v>180</v>
      </c>
      <c r="P258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8" s="346"/>
      <c r="R258" s="346"/>
      <c r="S258" s="346"/>
      <c r="T258" s="347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2"/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7" t="s">
        <v>355</v>
      </c>
      <c r="AG258" s="81"/>
      <c r="AJ258" s="87" t="s">
        <v>121</v>
      </c>
      <c r="AK258" s="87">
        <v>12</v>
      </c>
      <c r="BB258" s="258" t="s">
        <v>107</v>
      </c>
      <c r="BM258" s="81">
        <f t="shared" si="13"/>
        <v>0</v>
      </c>
      <c r="BN258" s="81">
        <f t="shared" si="14"/>
        <v>0</v>
      </c>
      <c r="BO258" s="81">
        <f t="shared" si="15"/>
        <v>0</v>
      </c>
      <c r="BP258" s="81">
        <f t="shared" si="16"/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4301135405</v>
      </c>
      <c r="D259" s="344">
        <v>4640242181523</v>
      </c>
      <c r="E259" s="344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108</v>
      </c>
      <c r="L259" s="37" t="s">
        <v>120</v>
      </c>
      <c r="M259" s="38" t="s">
        <v>86</v>
      </c>
      <c r="N259" s="38"/>
      <c r="O259" s="37">
        <v>180</v>
      </c>
      <c r="P259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9" s="346"/>
      <c r="R259" s="346"/>
      <c r="S259" s="346"/>
      <c r="T259" s="347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2"/>
        <v>0</v>
      </c>
      <c r="Z259" s="41">
        <f t="shared" ref="Z259:Z264" si="17">IFERROR(IF(X259="","",X259*0.00936),"")</f>
        <v>0</v>
      </c>
      <c r="AA259" s="68" t="s">
        <v>46</v>
      </c>
      <c r="AB259" s="69" t="s">
        <v>46</v>
      </c>
      <c r="AC259" s="259" t="s">
        <v>358</v>
      </c>
      <c r="AG259" s="81"/>
      <c r="AJ259" s="87" t="s">
        <v>121</v>
      </c>
      <c r="AK259" s="87">
        <v>14</v>
      </c>
      <c r="BB259" s="260" t="s">
        <v>107</v>
      </c>
      <c r="BM259" s="81">
        <f t="shared" si="13"/>
        <v>0</v>
      </c>
      <c r="BN259" s="81">
        <f t="shared" si="14"/>
        <v>0</v>
      </c>
      <c r="BO259" s="81">
        <f t="shared" si="15"/>
        <v>0</v>
      </c>
      <c r="BP259" s="81">
        <f t="shared" si="16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4301135375</v>
      </c>
      <c r="D260" s="344">
        <v>4640242181486</v>
      </c>
      <c r="E260" s="344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108</v>
      </c>
      <c r="L260" s="37" t="s">
        <v>120</v>
      </c>
      <c r="M260" s="38" t="s">
        <v>86</v>
      </c>
      <c r="N260" s="38"/>
      <c r="O260" s="37">
        <v>180</v>
      </c>
      <c r="P260" s="43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0" s="346"/>
      <c r="R260" s="346"/>
      <c r="S260" s="346"/>
      <c r="T260" s="347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2"/>
        <v>0</v>
      </c>
      <c r="Z260" s="41">
        <f t="shared" si="17"/>
        <v>0</v>
      </c>
      <c r="AA260" s="68" t="s">
        <v>46</v>
      </c>
      <c r="AB260" s="69" t="s">
        <v>46</v>
      </c>
      <c r="AC260" s="261" t="s">
        <v>355</v>
      </c>
      <c r="AG260" s="81"/>
      <c r="AJ260" s="87" t="s">
        <v>121</v>
      </c>
      <c r="AK260" s="87">
        <v>14</v>
      </c>
      <c r="BB260" s="262" t="s">
        <v>107</v>
      </c>
      <c r="BM260" s="81">
        <f t="shared" si="13"/>
        <v>0</v>
      </c>
      <c r="BN260" s="81">
        <f t="shared" si="14"/>
        <v>0</v>
      </c>
      <c r="BO260" s="81">
        <f t="shared" si="15"/>
        <v>0</v>
      </c>
      <c r="BP260" s="81">
        <f t="shared" si="16"/>
        <v>0</v>
      </c>
    </row>
    <row r="261" spans="1:68" ht="37.5" customHeight="1" x14ac:dyDescent="0.25">
      <c r="A261" s="63" t="s">
        <v>365</v>
      </c>
      <c r="B261" s="63" t="s">
        <v>366</v>
      </c>
      <c r="C261" s="36">
        <v>4301135402</v>
      </c>
      <c r="D261" s="344">
        <v>4640242181493</v>
      </c>
      <c r="E261" s="344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108</v>
      </c>
      <c r="L261" s="37" t="s">
        <v>88</v>
      </c>
      <c r="M261" s="38" t="s">
        <v>86</v>
      </c>
      <c r="N261" s="38"/>
      <c r="O261" s="37">
        <v>180</v>
      </c>
      <c r="P261" s="43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1" s="346"/>
      <c r="R261" s="346"/>
      <c r="S261" s="346"/>
      <c r="T261" s="347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2"/>
        <v>0</v>
      </c>
      <c r="Z261" s="41">
        <f t="shared" si="17"/>
        <v>0</v>
      </c>
      <c r="AA261" s="68" t="s">
        <v>46</v>
      </c>
      <c r="AB261" s="69" t="s">
        <v>46</v>
      </c>
      <c r="AC261" s="263" t="s">
        <v>355</v>
      </c>
      <c r="AG261" s="81"/>
      <c r="AJ261" s="87" t="s">
        <v>89</v>
      </c>
      <c r="AK261" s="87">
        <v>1</v>
      </c>
      <c r="BB261" s="264" t="s">
        <v>107</v>
      </c>
      <c r="BM261" s="81">
        <f t="shared" si="13"/>
        <v>0</v>
      </c>
      <c r="BN261" s="81">
        <f t="shared" si="14"/>
        <v>0</v>
      </c>
      <c r="BO261" s="81">
        <f t="shared" si="15"/>
        <v>0</v>
      </c>
      <c r="BP261" s="81">
        <f t="shared" si="16"/>
        <v>0</v>
      </c>
    </row>
    <row r="262" spans="1:68" ht="37.5" customHeight="1" x14ac:dyDescent="0.25">
      <c r="A262" s="63" t="s">
        <v>367</v>
      </c>
      <c r="B262" s="63" t="s">
        <v>368</v>
      </c>
      <c r="C262" s="36">
        <v>4301135403</v>
      </c>
      <c r="D262" s="344">
        <v>4640242181509</v>
      </c>
      <c r="E262" s="344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108</v>
      </c>
      <c r="L262" s="37" t="s">
        <v>88</v>
      </c>
      <c r="M262" s="38" t="s">
        <v>86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2" s="346"/>
      <c r="R262" s="346"/>
      <c r="S262" s="346"/>
      <c r="T262" s="34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2"/>
        <v>0</v>
      </c>
      <c r="Z262" s="41">
        <f t="shared" si="17"/>
        <v>0</v>
      </c>
      <c r="AA262" s="68" t="s">
        <v>46</v>
      </c>
      <c r="AB262" s="69" t="s">
        <v>46</v>
      </c>
      <c r="AC262" s="265" t="s">
        <v>355</v>
      </c>
      <c r="AG262" s="81"/>
      <c r="AJ262" s="87" t="s">
        <v>89</v>
      </c>
      <c r="AK262" s="87">
        <v>1</v>
      </c>
      <c r="BB262" s="266" t="s">
        <v>107</v>
      </c>
      <c r="BM262" s="81">
        <f t="shared" si="13"/>
        <v>0</v>
      </c>
      <c r="BN262" s="81">
        <f t="shared" si="14"/>
        <v>0</v>
      </c>
      <c r="BO262" s="81">
        <f t="shared" si="15"/>
        <v>0</v>
      </c>
      <c r="BP262" s="81">
        <f t="shared" si="16"/>
        <v>0</v>
      </c>
    </row>
    <row r="263" spans="1:68" ht="27" customHeight="1" x14ac:dyDescent="0.25">
      <c r="A263" s="63" t="s">
        <v>369</v>
      </c>
      <c r="B263" s="63" t="s">
        <v>370</v>
      </c>
      <c r="C263" s="36">
        <v>4301135304</v>
      </c>
      <c r="D263" s="344">
        <v>4640242181240</v>
      </c>
      <c r="E263" s="344"/>
      <c r="F263" s="62">
        <v>0.3</v>
      </c>
      <c r="G263" s="37">
        <v>9</v>
      </c>
      <c r="H263" s="62">
        <v>2.7</v>
      </c>
      <c r="I263" s="62">
        <v>2.88</v>
      </c>
      <c r="J263" s="37">
        <v>126</v>
      </c>
      <c r="K263" s="37" t="s">
        <v>108</v>
      </c>
      <c r="L263" s="37" t="s">
        <v>88</v>
      </c>
      <c r="M263" s="38" t="s">
        <v>86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3" s="346"/>
      <c r="R263" s="346"/>
      <c r="S263" s="346"/>
      <c r="T263" s="347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 t="shared" si="17"/>
        <v>0</v>
      </c>
      <c r="AA263" s="68" t="s">
        <v>46</v>
      </c>
      <c r="AB263" s="69" t="s">
        <v>46</v>
      </c>
      <c r="AC263" s="267" t="s">
        <v>355</v>
      </c>
      <c r="AG263" s="81"/>
      <c r="AJ263" s="87" t="s">
        <v>89</v>
      </c>
      <c r="AK263" s="87">
        <v>1</v>
      </c>
      <c r="BB263" s="268" t="s">
        <v>107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371</v>
      </c>
      <c r="B264" s="63" t="s">
        <v>372</v>
      </c>
      <c r="C264" s="36">
        <v>4301135610</v>
      </c>
      <c r="D264" s="344">
        <v>4640242181318</v>
      </c>
      <c r="E264" s="344"/>
      <c r="F264" s="62">
        <v>0.3</v>
      </c>
      <c r="G264" s="37">
        <v>9</v>
      </c>
      <c r="H264" s="62">
        <v>2.7</v>
      </c>
      <c r="I264" s="62">
        <v>2.988</v>
      </c>
      <c r="J264" s="37">
        <v>126</v>
      </c>
      <c r="K264" s="37" t="s">
        <v>108</v>
      </c>
      <c r="L264" s="37" t="s">
        <v>88</v>
      </c>
      <c r="M264" s="38" t="s">
        <v>86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4" s="346"/>
      <c r="R264" s="346"/>
      <c r="S264" s="346"/>
      <c r="T264" s="347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 t="shared" si="17"/>
        <v>0</v>
      </c>
      <c r="AA264" s="68" t="s">
        <v>46</v>
      </c>
      <c r="AB264" s="69" t="s">
        <v>46</v>
      </c>
      <c r="AC264" s="269" t="s">
        <v>358</v>
      </c>
      <c r="AG264" s="81"/>
      <c r="AJ264" s="87" t="s">
        <v>89</v>
      </c>
      <c r="AK264" s="87">
        <v>1</v>
      </c>
      <c r="BB264" s="270" t="s">
        <v>107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4301135306</v>
      </c>
      <c r="D265" s="344">
        <v>4640242181387</v>
      </c>
      <c r="E265" s="344"/>
      <c r="F265" s="62">
        <v>0.3</v>
      </c>
      <c r="G265" s="37">
        <v>9</v>
      </c>
      <c r="H265" s="62">
        <v>2.7</v>
      </c>
      <c r="I265" s="62">
        <v>2.8450000000000002</v>
      </c>
      <c r="J265" s="37">
        <v>234</v>
      </c>
      <c r="K265" s="37" t="s">
        <v>161</v>
      </c>
      <c r="L265" s="37" t="s">
        <v>88</v>
      </c>
      <c r="M265" s="38" t="s">
        <v>86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5" s="346"/>
      <c r="R265" s="346"/>
      <c r="S265" s="346"/>
      <c r="T265" s="347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>IFERROR(IF(X265="","",X265*0.00502),"")</f>
        <v>0</v>
      </c>
      <c r="AA265" s="68" t="s">
        <v>46</v>
      </c>
      <c r="AB265" s="69" t="s">
        <v>46</v>
      </c>
      <c r="AC265" s="271" t="s">
        <v>355</v>
      </c>
      <c r="AG265" s="81"/>
      <c r="AJ265" s="87" t="s">
        <v>89</v>
      </c>
      <c r="AK265" s="87">
        <v>1</v>
      </c>
      <c r="BB265" s="272" t="s">
        <v>107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x14ac:dyDescent="0.2">
      <c r="A266" s="354"/>
      <c r="B266" s="354"/>
      <c r="C266" s="354"/>
      <c r="D266" s="354"/>
      <c r="E266" s="354"/>
      <c r="F266" s="354"/>
      <c r="G266" s="354"/>
      <c r="H266" s="354"/>
      <c r="I266" s="354"/>
      <c r="J266" s="354"/>
      <c r="K266" s="354"/>
      <c r="L266" s="354"/>
      <c r="M266" s="354"/>
      <c r="N266" s="354"/>
      <c r="O266" s="355"/>
      <c r="P266" s="351" t="s">
        <v>40</v>
      </c>
      <c r="Q266" s="352"/>
      <c r="R266" s="352"/>
      <c r="S266" s="352"/>
      <c r="T266" s="352"/>
      <c r="U266" s="352"/>
      <c r="V266" s="353"/>
      <c r="W266" s="42" t="s">
        <v>39</v>
      </c>
      <c r="X266" s="43">
        <f>IFERROR(SUM(X256:X265),"0")</f>
        <v>0</v>
      </c>
      <c r="Y266" s="43">
        <f>IFERROR(SUM(Y256:Y265),"0")</f>
        <v>0</v>
      </c>
      <c r="Z266" s="43">
        <f>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354"/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5"/>
      <c r="P267" s="351" t="s">
        <v>40</v>
      </c>
      <c r="Q267" s="352"/>
      <c r="R267" s="352"/>
      <c r="S267" s="352"/>
      <c r="T267" s="352"/>
      <c r="U267" s="352"/>
      <c r="V267" s="353"/>
      <c r="W267" s="42" t="s">
        <v>0</v>
      </c>
      <c r="X267" s="43">
        <f>IFERROR(SUMPRODUCT(X256:X265*H256:H265),"0")</f>
        <v>0</v>
      </c>
      <c r="Y267" s="43">
        <f>IFERROR(SUMPRODUCT(Y256:Y265*H256:H265),"0")</f>
        <v>0</v>
      </c>
      <c r="Z267" s="42"/>
      <c r="AA267" s="67"/>
      <c r="AB267" s="67"/>
      <c r="AC267" s="67"/>
    </row>
    <row r="268" spans="1:68" ht="15" customHeight="1" x14ac:dyDescent="0.2">
      <c r="A268" s="354"/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354"/>
      <c r="M268" s="354"/>
      <c r="N268" s="354"/>
      <c r="O268" s="447"/>
      <c r="P268" s="444" t="s">
        <v>33</v>
      </c>
      <c r="Q268" s="445"/>
      <c r="R268" s="445"/>
      <c r="S268" s="445"/>
      <c r="T268" s="445"/>
      <c r="U268" s="445"/>
      <c r="V268" s="446"/>
      <c r="W268" s="42" t="s">
        <v>0</v>
      </c>
      <c r="X268" s="43">
        <f>IFERROR(X25+X32+X40+X45+X49+X54+X60+X66+X71+X77+X87+X93+X105+X109+X113+X119+X125+X131+X136+X141+X146+X151+X158+X166+X170+X176+X183+X188+X193+X199+X205+X211+X217+X221+X228+X233+X239+X252+X261+X267,"0")</f>
        <v>0</v>
      </c>
      <c r="Y268" s="43">
        <f>IFERROR(Y25+Y32+Y40+Y45+Y49+Y54+Y60+Y66+Y71+Y77+Y87+Y93+Y105+Y109+Y113+Y119+Y125+Y131+Y136+Y141+Y146+Y151+Y158+Y166+Y170+Y176+Y183+Y188+Y193+Y199+Y205+Y211+Y217+Y221+Y228+Y233+Y239+Y252+Y261+Y267,"0")</f>
        <v>0</v>
      </c>
      <c r="Z268" s="42"/>
      <c r="AA268" s="67"/>
      <c r="AB268" s="67"/>
      <c r="AC268" s="67"/>
    </row>
    <row r="269" spans="1:68" x14ac:dyDescent="0.2">
      <c r="A269" s="354"/>
      <c r="B269" s="354"/>
      <c r="C269" s="354"/>
      <c r="D269" s="354"/>
      <c r="E269" s="354"/>
      <c r="F269" s="354"/>
      <c r="G269" s="354"/>
      <c r="H269" s="354"/>
      <c r="I269" s="354"/>
      <c r="J269" s="354"/>
      <c r="K269" s="354"/>
      <c r="L269" s="354"/>
      <c r="M269" s="354"/>
      <c r="N269" s="354"/>
      <c r="O269" s="447"/>
      <c r="P269" s="444" t="s">
        <v>34</v>
      </c>
      <c r="Q269" s="445"/>
      <c r="R269" s="445"/>
      <c r="S269" s="445"/>
      <c r="T269" s="445"/>
      <c r="U269" s="445"/>
      <c r="V269" s="446"/>
      <c r="W269" s="42" t="s">
        <v>0</v>
      </c>
      <c r="X269" s="43">
        <f>IFERROR(SUM(BM22:BM265),"0")</f>
        <v>0</v>
      </c>
      <c r="Y269" s="43">
        <f>IFERROR(SUM(BN22:BN265),"0")</f>
        <v>0</v>
      </c>
      <c r="Z269" s="42"/>
      <c r="AA269" s="67"/>
      <c r="AB269" s="67"/>
      <c r="AC269" s="67"/>
    </row>
    <row r="270" spans="1:68" x14ac:dyDescent="0.2">
      <c r="A270" s="354"/>
      <c r="B270" s="354"/>
      <c r="C270" s="354"/>
      <c r="D270" s="354"/>
      <c r="E270" s="354"/>
      <c r="F270" s="354"/>
      <c r="G270" s="354"/>
      <c r="H270" s="354"/>
      <c r="I270" s="354"/>
      <c r="J270" s="354"/>
      <c r="K270" s="354"/>
      <c r="L270" s="354"/>
      <c r="M270" s="354"/>
      <c r="N270" s="354"/>
      <c r="O270" s="447"/>
      <c r="P270" s="444" t="s">
        <v>35</v>
      </c>
      <c r="Q270" s="445"/>
      <c r="R270" s="445"/>
      <c r="S270" s="445"/>
      <c r="T270" s="445"/>
      <c r="U270" s="445"/>
      <c r="V270" s="446"/>
      <c r="W270" s="42" t="s">
        <v>20</v>
      </c>
      <c r="X270" s="44">
        <f>ROUNDUP(SUM(BO22:BO265),0)</f>
        <v>0</v>
      </c>
      <c r="Y270" s="44">
        <f>ROUNDUP(SUM(BP22:BP265),0)</f>
        <v>0</v>
      </c>
      <c r="Z270" s="42"/>
      <c r="AA270" s="67"/>
      <c r="AB270" s="67"/>
      <c r="AC270" s="67"/>
    </row>
    <row r="271" spans="1:68" x14ac:dyDescent="0.2">
      <c r="A271" s="354"/>
      <c r="B271" s="354"/>
      <c r="C271" s="354"/>
      <c r="D271" s="354"/>
      <c r="E271" s="354"/>
      <c r="F271" s="354"/>
      <c r="G271" s="354"/>
      <c r="H271" s="354"/>
      <c r="I271" s="354"/>
      <c r="J271" s="354"/>
      <c r="K271" s="354"/>
      <c r="L271" s="354"/>
      <c r="M271" s="354"/>
      <c r="N271" s="354"/>
      <c r="O271" s="447"/>
      <c r="P271" s="444" t="s">
        <v>36</v>
      </c>
      <c r="Q271" s="445"/>
      <c r="R271" s="445"/>
      <c r="S271" s="445"/>
      <c r="T271" s="445"/>
      <c r="U271" s="445"/>
      <c r="V271" s="446"/>
      <c r="W271" s="42" t="s">
        <v>0</v>
      </c>
      <c r="X271" s="43">
        <f>GrossWeightTotal+PalletQtyTotal*25</f>
        <v>0</v>
      </c>
      <c r="Y271" s="43">
        <f>GrossWeightTotalR+PalletQtyTotalR*25</f>
        <v>0</v>
      </c>
      <c r="Z271" s="42"/>
      <c r="AA271" s="67"/>
      <c r="AB271" s="67"/>
      <c r="AC271" s="67"/>
    </row>
    <row r="272" spans="1:68" x14ac:dyDescent="0.2">
      <c r="A272" s="354"/>
      <c r="B272" s="354"/>
      <c r="C272" s="354"/>
      <c r="D272" s="354"/>
      <c r="E272" s="354"/>
      <c r="F272" s="354"/>
      <c r="G272" s="354"/>
      <c r="H272" s="354"/>
      <c r="I272" s="354"/>
      <c r="J272" s="354"/>
      <c r="K272" s="354"/>
      <c r="L272" s="354"/>
      <c r="M272" s="354"/>
      <c r="N272" s="354"/>
      <c r="O272" s="447"/>
      <c r="P272" s="444" t="s">
        <v>37</v>
      </c>
      <c r="Q272" s="445"/>
      <c r="R272" s="445"/>
      <c r="S272" s="445"/>
      <c r="T272" s="445"/>
      <c r="U272" s="445"/>
      <c r="V272" s="446"/>
      <c r="W272" s="42" t="s">
        <v>20</v>
      </c>
      <c r="X272" s="43">
        <f>IFERROR(X24+X31+X39+X44+X48+X53+X59+X65+X70+X76+X86+X92+X104+X108+X112+X118+X124+X130+X135+X140+X145+X150+X157+X165+X169+X175+X182+X187+X192+X198+X204+X210+X216+X220+X227+X232+X238+X251+X260+X266,"0")</f>
        <v>0</v>
      </c>
      <c r="Y272" s="43">
        <f>IFERROR(Y24+Y31+Y39+Y44+Y48+Y53+Y59+Y65+Y70+Y76+Y86+Y92+Y104+Y108+Y112+Y118+Y124+Y130+Y135+Y140+Y145+Y150+Y157+Y165+Y169+Y175+Y182+Y187+Y192+Y198+Y204+Y210+Y216+Y220+Y227+Y232+Y238+Y251+Y260+Y266,"0")</f>
        <v>0</v>
      </c>
      <c r="Z272" s="42"/>
      <c r="AA272" s="67"/>
      <c r="AB272" s="67"/>
      <c r="AC272" s="67"/>
    </row>
    <row r="273" spans="1:32" ht="14.25" x14ac:dyDescent="0.2">
      <c r="A273" s="354"/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354"/>
      <c r="M273" s="354"/>
      <c r="N273" s="354"/>
      <c r="O273" s="447"/>
      <c r="P273" s="444" t="s">
        <v>38</v>
      </c>
      <c r="Q273" s="445"/>
      <c r="R273" s="445"/>
      <c r="S273" s="445"/>
      <c r="T273" s="445"/>
      <c r="U273" s="445"/>
      <c r="V273" s="446"/>
      <c r="W273" s="45" t="s">
        <v>52</v>
      </c>
      <c r="X273" s="42"/>
      <c r="Y273" s="42"/>
      <c r="Z273" s="42">
        <f>IFERROR(Z24+Z31+Z39+Z44+Z48+Z53+Z59+Z65+Z70+Z76+Z86+Z92+Z104+Z108+Z112+Z118+Z124+Z130+Z135+Z140+Z145+Z150+Z157+Z165+Z169+Z175+Z182+Z187+Z192+Z198+Z204+Z210+Z216+Z220+Z227+Z232+Z238+Z251+Z260+Z266,"0")</f>
        <v>0</v>
      </c>
      <c r="AA273" s="67"/>
      <c r="AB273" s="67"/>
      <c r="AC273" s="67"/>
    </row>
    <row r="274" spans="1:32" ht="13.5" thickBot="1" x14ac:dyDescent="0.25"/>
    <row r="275" spans="1:32" ht="27" thickTop="1" thickBot="1" x14ac:dyDescent="0.25">
      <c r="A275" s="46" t="s">
        <v>9</v>
      </c>
      <c r="B275" s="450" t="s">
        <v>45</v>
      </c>
      <c r="C275" s="450" t="s">
        <v>45</v>
      </c>
      <c r="D275" s="450" t="s">
        <v>45</v>
      </c>
      <c r="E275" s="450" t="s">
        <v>45</v>
      </c>
      <c r="F275" s="450" t="s">
        <v>45</v>
      </c>
      <c r="G275" s="450" t="s">
        <v>45</v>
      </c>
      <c r="H275" s="450" t="s">
        <v>45</v>
      </c>
      <c r="I275" s="450" t="s">
        <v>45</v>
      </c>
      <c r="J275" s="450" t="s">
        <v>45</v>
      </c>
      <c r="K275" s="450" t="s">
        <v>45</v>
      </c>
      <c r="L275" s="450" t="s">
        <v>45</v>
      </c>
      <c r="M275" s="450" t="s">
        <v>45</v>
      </c>
      <c r="N275" s="451"/>
      <c r="O275" s="450" t="s">
        <v>45</v>
      </c>
      <c r="P275" s="450" t="s">
        <v>45</v>
      </c>
      <c r="Q275" s="450" t="s">
        <v>45</v>
      </c>
      <c r="R275" s="450" t="s">
        <v>45</v>
      </c>
      <c r="S275" s="450" t="s">
        <v>45</v>
      </c>
      <c r="T275" s="88" t="s">
        <v>259</v>
      </c>
      <c r="U275" s="88" t="s">
        <v>267</v>
      </c>
      <c r="V275" s="450" t="s">
        <v>286</v>
      </c>
      <c r="W275" s="450" t="s">
        <v>286</v>
      </c>
      <c r="X275" s="450" t="s">
        <v>286</v>
      </c>
      <c r="Y275" s="88" t="s">
        <v>318</v>
      </c>
      <c r="Z275" s="88" t="s">
        <v>323</v>
      </c>
      <c r="AA275" s="88" t="s">
        <v>327</v>
      </c>
      <c r="AB275" s="88" t="s">
        <v>335</v>
      </c>
      <c r="AC275" s="450" t="s">
        <v>81</v>
      </c>
      <c r="AD275" s="450" t="s">
        <v>81</v>
      </c>
      <c r="AF275" s="1"/>
    </row>
    <row r="276" spans="1:32" ht="14.25" customHeight="1" thickTop="1" x14ac:dyDescent="0.2">
      <c r="A276" s="448" t="s">
        <v>10</v>
      </c>
      <c r="B276" s="450" t="s">
        <v>102</v>
      </c>
      <c r="C276" s="450" t="s">
        <v>113</v>
      </c>
      <c r="D276" s="450" t="s">
        <v>125</v>
      </c>
      <c r="E276" s="450" t="s">
        <v>136</v>
      </c>
      <c r="F276" s="450" t="s">
        <v>157</v>
      </c>
      <c r="G276" s="450" t="s">
        <v>164</v>
      </c>
      <c r="H276" s="450" t="s">
        <v>168</v>
      </c>
      <c r="I276" s="450" t="s">
        <v>176</v>
      </c>
      <c r="J276" s="450" t="s">
        <v>191</v>
      </c>
      <c r="K276" s="450" t="s">
        <v>197</v>
      </c>
      <c r="L276" s="450" t="s">
        <v>225</v>
      </c>
      <c r="M276" s="450" t="s">
        <v>231</v>
      </c>
      <c r="N276" s="1"/>
      <c r="O276" s="450" t="s">
        <v>238</v>
      </c>
      <c r="P276" s="450" t="s">
        <v>243</v>
      </c>
      <c r="Q276" s="450" t="s">
        <v>247</v>
      </c>
      <c r="R276" s="450" t="s">
        <v>250</v>
      </c>
      <c r="S276" s="450" t="s">
        <v>255</v>
      </c>
      <c r="T276" s="450" t="s">
        <v>260</v>
      </c>
      <c r="U276" s="450" t="s">
        <v>268</v>
      </c>
      <c r="V276" s="450" t="s">
        <v>287</v>
      </c>
      <c r="W276" s="450" t="s">
        <v>303</v>
      </c>
      <c r="X276" s="450" t="s">
        <v>307</v>
      </c>
      <c r="Y276" s="450" t="s">
        <v>319</v>
      </c>
      <c r="Z276" s="450" t="s">
        <v>324</v>
      </c>
      <c r="AA276" s="450" t="s">
        <v>328</v>
      </c>
      <c r="AB276" s="450" t="s">
        <v>335</v>
      </c>
      <c r="AC276" s="450" t="s">
        <v>81</v>
      </c>
      <c r="AD276" s="450" t="s">
        <v>96</v>
      </c>
      <c r="AF276" s="1"/>
    </row>
    <row r="277" spans="1:32" ht="13.5" thickBot="1" x14ac:dyDescent="0.25">
      <c r="A277" s="449"/>
      <c r="B277" s="450"/>
      <c r="C277" s="450"/>
      <c r="D277" s="450"/>
      <c r="E277" s="450"/>
      <c r="F277" s="450"/>
      <c r="G277" s="450"/>
      <c r="H277" s="450"/>
      <c r="I277" s="450"/>
      <c r="J277" s="450"/>
      <c r="K277" s="450"/>
      <c r="L277" s="450"/>
      <c r="M277" s="450"/>
      <c r="N277" s="1"/>
      <c r="O277" s="450"/>
      <c r="P277" s="450"/>
      <c r="Q277" s="450"/>
      <c r="R277" s="450"/>
      <c r="S277" s="450"/>
      <c r="T277" s="450"/>
      <c r="U277" s="450"/>
      <c r="V277" s="450"/>
      <c r="W277" s="450"/>
      <c r="X277" s="450"/>
      <c r="Y277" s="450"/>
      <c r="Z277" s="450"/>
      <c r="AA277" s="450"/>
      <c r="AB277" s="450"/>
      <c r="AC277" s="450"/>
      <c r="AD277" s="450"/>
      <c r="AF277" s="1"/>
    </row>
    <row r="278" spans="1:32" ht="18" thickTop="1" thickBot="1" x14ac:dyDescent="0.25">
      <c r="A278" s="46" t="s">
        <v>13</v>
      </c>
      <c r="B278" s="52">
        <f>IFERROR(X22*H22,"0")+IFERROR(X23*H23,"0")</f>
        <v>0</v>
      </c>
      <c r="C278" s="52">
        <f>IFERROR(X28*H28,"0")+IFERROR(X29*H29,"0")+IFERROR(X30*H30,"0")</f>
        <v>0</v>
      </c>
      <c r="D278" s="52">
        <f>IFERROR(X35*H35,"0")+IFERROR(X36*H36,"0")+IFERROR(X37*H37,"0")+IFERROR(X38*H38,"0")</f>
        <v>0</v>
      </c>
      <c r="E278" s="52">
        <f>IFERROR(X43*H43,"0")+IFERROR(X47*H47,"0")+IFERROR(X51*H51,"0")+IFERROR(X52*H52,"0")+IFERROR(X56*H56,"0")+IFERROR(X57*H57,"0")+IFERROR(X58*H58,"0")</f>
        <v>0</v>
      </c>
      <c r="F278" s="52">
        <f>IFERROR(X63*H63,"0")+IFERROR(X64*H64,"0")</f>
        <v>0</v>
      </c>
      <c r="G278" s="52">
        <f>IFERROR(X69*H69,"0")</f>
        <v>0</v>
      </c>
      <c r="H278" s="52">
        <f>IFERROR(X74*H74,"0")+IFERROR(X75*H75,"0")</f>
        <v>0</v>
      </c>
      <c r="I278" s="52">
        <f>IFERROR(X80*H80,"0")+IFERROR(X81*H81,"0")+IFERROR(X82*H82,"0")+IFERROR(X83*H83,"0")+IFERROR(X84*H84,"0")+IFERROR(X85*H85,"0")</f>
        <v>0</v>
      </c>
      <c r="J278" s="52">
        <f>IFERROR(X90*H90,"0")+IFERROR(X91*H91,"0")</f>
        <v>0</v>
      </c>
      <c r="K278" s="52">
        <f>IFERROR(X96*H96,"0")+IFERROR(X97*H97,"0")+IFERROR(X98*H98,"0")+IFERROR(X99*H99,"0")+IFERROR(X100*H100,"0")+IFERROR(X101*H101,"0")+IFERROR(X102*H102,"0")+IFERROR(X103*H103,"0")+IFERROR(X107*H107,"0")+IFERROR(X111*H111,"0")</f>
        <v>0</v>
      </c>
      <c r="L278" s="52">
        <f>IFERROR(X116*H116,"0")+IFERROR(X117*H117,"0")</f>
        <v>0</v>
      </c>
      <c r="M278" s="52">
        <f>IFERROR(X122*H122,"0")+IFERROR(X123*H123,"0")</f>
        <v>0</v>
      </c>
      <c r="N278" s="1"/>
      <c r="O278" s="52">
        <f>IFERROR(X128*H128,"0")+IFERROR(X129*H129,"0")</f>
        <v>0</v>
      </c>
      <c r="P278" s="52">
        <f>IFERROR(X134*H134,"0")</f>
        <v>0</v>
      </c>
      <c r="Q278" s="52">
        <f>IFERROR(X139*H139,"0")</f>
        <v>0</v>
      </c>
      <c r="R278" s="52">
        <f>IFERROR(X144*H144,"0")</f>
        <v>0</v>
      </c>
      <c r="S278" s="52">
        <f>IFERROR(X149*H149,"0")</f>
        <v>0</v>
      </c>
      <c r="T278" s="52">
        <f>IFERROR(X155*H155,"0")+IFERROR(X156*H156,"0")</f>
        <v>0</v>
      </c>
      <c r="U278" s="52">
        <f>IFERROR(X162*H162,"0")+IFERROR(X163*H163,"0")+IFERROR(X164*H164,"0")+IFERROR(X168*H168,"0")</f>
        <v>0</v>
      </c>
      <c r="V278" s="52">
        <f>IFERROR(X174*H174,"0")+IFERROR(X178*H178,"0")+IFERROR(X179*H179,"0")+IFERROR(X180*H180,"0")+IFERROR(X181*H181,"0")</f>
        <v>0</v>
      </c>
      <c r="W278" s="52">
        <f>IFERROR(X186*H186,"0")</f>
        <v>0</v>
      </c>
      <c r="X278" s="52">
        <f>IFERROR(X191*H191,"0")+IFERROR(X195*H195,"0")+IFERROR(X196*H196,"0")+IFERROR(X197*H197,"0")</f>
        <v>0</v>
      </c>
      <c r="Y278" s="52">
        <f>IFERROR(X203*H203,"0")</f>
        <v>0</v>
      </c>
      <c r="Z278" s="52">
        <f>IFERROR(X209*H209,"0")</f>
        <v>0</v>
      </c>
      <c r="AA278" s="52">
        <f>IFERROR(X215*H215,"0")+IFERROR(X219*H219,"0")</f>
        <v>0</v>
      </c>
      <c r="AB278" s="52">
        <f>IFERROR(X225*H225,"0")+IFERROR(X226*H226,"0")+IFERROR(X230*H230,"0")+IFERROR(X231*H231,"0")+IFERROR(X235*H235,"0")+IFERROR(X236*H236,"0")+IFERROR(X237*H237,"0")+IFERROR(X241*H241,"0")+IFERROR(X242*H242,"0")+IFERROR(X243*H243,"0")+IFERROR(X244*H244,"0")+IFERROR(X245*H245,"0")+IFERROR(X246*H246,"0")+IFERROR(X247*H247,"0")+IFERROR(X248*H248,"0")+IFERROR(X249*H249,"0")+IFERROR(X250*H250,"0")</f>
        <v>0</v>
      </c>
      <c r="AC278" s="52">
        <f>IFERROR(X256*H256,"0")+IFERROR(X257*H257,"0")+IFERROR(X258*H258,"0")+IFERROR(X259*H259,"0")</f>
        <v>0</v>
      </c>
      <c r="AD278" s="52">
        <f>IFERROR(X264*H264,"0")+IFERROR(X265*H265,"0")</f>
        <v>0</v>
      </c>
      <c r="AF278" s="1"/>
    </row>
    <row r="279" spans="1:32" ht="13.5" thickTop="1" x14ac:dyDescent="0.2">
      <c r="C279" s="1"/>
    </row>
    <row r="280" spans="1:32" ht="19.5" customHeight="1" x14ac:dyDescent="0.2">
      <c r="A280" s="70" t="s">
        <v>62</v>
      </c>
      <c r="B280" s="70" t="s">
        <v>63</v>
      </c>
      <c r="C280" s="70" t="s">
        <v>65</v>
      </c>
    </row>
    <row r="281" spans="1:32" x14ac:dyDescent="0.2">
      <c r="A281" s="71">
        <f>SUMPRODUCT(--(BB:BB="ЗПФ"),--(W:W="кор"),H:H,Y:Y)+SUMPRODUCT(--(BB:BB="ЗПФ"),--(W:W="кг"),Y:Y)</f>
        <v>0</v>
      </c>
      <c r="B281" s="72">
        <f>SUMPRODUCT(--(BB:BB="ПГП"),--(W:W="кор"),H:H,Y:Y)+SUMPRODUCT(--(BB:BB="ПГП"),--(W:W="кг"),Y:Y)</f>
        <v>0</v>
      </c>
      <c r="C281" s="72">
        <f>SUMPRODUCT(--(BB:BB="КИЗ"),--(W:W="кор"),H:H,Y:Y)+SUMPRODUCT(--(BB:BB="КИЗ"),--(W:W="кг"),Y:Y)</f>
        <v>0</v>
      </c>
    </row>
  </sheetData>
  <sheetProtection algorithmName="SHA-512" hashValue="HviBbFjJVQji6YGpVDzXsNeLgKdD6FyEFfwgjVPGmXyNijTgGDuMtpWPCRtZD3ymNTjLALtUkpXNKSpNRB/CKQ==" saltValue="Ak3pNVr9rrTXxUL34mjRC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6"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B275:S275"/>
    <mergeCell ref="V275:X275"/>
    <mergeCell ref="AC275:AD275"/>
    <mergeCell ref="J276:J277"/>
    <mergeCell ref="K276:K277"/>
    <mergeCell ref="L276:L277"/>
    <mergeCell ref="M276:M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D264:E264"/>
    <mergeCell ref="P264:T264"/>
    <mergeCell ref="D265:E265"/>
    <mergeCell ref="P265:T265"/>
    <mergeCell ref="P266:V266"/>
    <mergeCell ref="A266:O267"/>
    <mergeCell ref="P267:V267"/>
    <mergeCell ref="P268:V268"/>
    <mergeCell ref="A268:O273"/>
    <mergeCell ref="P269:V269"/>
    <mergeCell ref="P270:V270"/>
    <mergeCell ref="P271:V271"/>
    <mergeCell ref="P272:V272"/>
    <mergeCell ref="P273:V273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34:E234"/>
    <mergeCell ref="P234:T234"/>
    <mergeCell ref="P235:V235"/>
    <mergeCell ref="A235:O236"/>
    <mergeCell ref="P236:V236"/>
    <mergeCell ref="A237:Z237"/>
    <mergeCell ref="A238:Z238"/>
    <mergeCell ref="A239:Z239"/>
    <mergeCell ref="D240:E240"/>
    <mergeCell ref="P240:T240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P219:V219"/>
    <mergeCell ref="A219:O220"/>
    <mergeCell ref="P220:V220"/>
    <mergeCell ref="A221:Z221"/>
    <mergeCell ref="A222:Z222"/>
    <mergeCell ref="A223:Z223"/>
    <mergeCell ref="D224:E224"/>
    <mergeCell ref="P224:T224"/>
    <mergeCell ref="P225:V225"/>
    <mergeCell ref="A225:O226"/>
    <mergeCell ref="P226:V226"/>
    <mergeCell ref="D212:E212"/>
    <mergeCell ref="P212:T212"/>
    <mergeCell ref="P213:V213"/>
    <mergeCell ref="A213:O214"/>
    <mergeCell ref="P214:V214"/>
    <mergeCell ref="A215:Z215"/>
    <mergeCell ref="A216:Z216"/>
    <mergeCell ref="A217:Z217"/>
    <mergeCell ref="D218:E218"/>
    <mergeCell ref="P218:T218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A186:Z186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P180:V180"/>
    <mergeCell ref="A180:O181"/>
    <mergeCell ref="P181:V181"/>
    <mergeCell ref="A182:Z182"/>
    <mergeCell ref="D183:E183"/>
    <mergeCell ref="P183:T183"/>
    <mergeCell ref="P184:V184"/>
    <mergeCell ref="A184:O185"/>
    <mergeCell ref="P185:V185"/>
    <mergeCell ref="A174:Z174"/>
    <mergeCell ref="A175:Z175"/>
    <mergeCell ref="A176:Z176"/>
    <mergeCell ref="D177:E177"/>
    <mergeCell ref="P177:T177"/>
    <mergeCell ref="D178:E178"/>
    <mergeCell ref="P178:T178"/>
    <mergeCell ref="D179:E179"/>
    <mergeCell ref="P179:T179"/>
    <mergeCell ref="A167:Z167"/>
    <mergeCell ref="A168:Z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A147:Z147"/>
    <mergeCell ref="A148:Z148"/>
    <mergeCell ref="D149:E149"/>
    <mergeCell ref="P149:T149"/>
    <mergeCell ref="P150:V150"/>
    <mergeCell ref="A150:O151"/>
    <mergeCell ref="P151:V151"/>
    <mergeCell ref="A152:Z152"/>
    <mergeCell ref="A153:Z153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6:E106"/>
    <mergeCell ref="P106:T106"/>
    <mergeCell ref="P107:V107"/>
    <mergeCell ref="A107:O108"/>
    <mergeCell ref="P108:V108"/>
    <mergeCell ref="A109:Z109"/>
    <mergeCell ref="A110:Z110"/>
    <mergeCell ref="D111:E111"/>
    <mergeCell ref="P111:T111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P91:V91"/>
    <mergeCell ref="A91:O92"/>
    <mergeCell ref="P92:V92"/>
    <mergeCell ref="A93:Z93"/>
    <mergeCell ref="A94:Z94"/>
    <mergeCell ref="A82:Z82"/>
    <mergeCell ref="A83:Z83"/>
    <mergeCell ref="D84:E84"/>
    <mergeCell ref="P84:T84"/>
    <mergeCell ref="P85:V85"/>
    <mergeCell ref="A85:O86"/>
    <mergeCell ref="P86:V86"/>
    <mergeCell ref="A87:Z87"/>
    <mergeCell ref="A88:Z88"/>
    <mergeCell ref="A76:Z76"/>
    <mergeCell ref="A77:Z77"/>
    <mergeCell ref="D78:E78"/>
    <mergeCell ref="P78:T78"/>
    <mergeCell ref="D79:E79"/>
    <mergeCell ref="P79:T79"/>
    <mergeCell ref="P80:V80"/>
    <mergeCell ref="A80:O81"/>
    <mergeCell ref="P81:V81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56:Z56"/>
    <mergeCell ref="A57:Z57"/>
    <mergeCell ref="D58:E58"/>
    <mergeCell ref="P58:T58"/>
    <mergeCell ref="P59:V59"/>
    <mergeCell ref="A59:O60"/>
    <mergeCell ref="P60:V60"/>
    <mergeCell ref="A61:Z61"/>
    <mergeCell ref="D62:E62"/>
    <mergeCell ref="P62:T62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D45:E45"/>
    <mergeCell ref="P45:T45"/>
    <mergeCell ref="P46:V46"/>
    <mergeCell ref="A46:O47"/>
    <mergeCell ref="P47:V47"/>
    <mergeCell ref="A48:Z48"/>
    <mergeCell ref="A49:Z49"/>
    <mergeCell ref="D50:E50"/>
    <mergeCell ref="P50:T50"/>
    <mergeCell ref="P39:V39"/>
    <mergeCell ref="A39:O40"/>
    <mergeCell ref="P40:V40"/>
    <mergeCell ref="A41:Z41"/>
    <mergeCell ref="A42:Z42"/>
    <mergeCell ref="D43:E43"/>
    <mergeCell ref="P43:T43"/>
    <mergeCell ref="D44:E44"/>
    <mergeCell ref="P44:T44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P26:V26"/>
    <mergeCell ref="A26:O27"/>
    <mergeCell ref="P27:V27"/>
    <mergeCell ref="A28:Z28"/>
    <mergeCell ref="A29:Z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1:X265 X256 X240:X241 X234 X230 X218 X210:X212 X206 X196 X194 X183 X164 X159 X143 X137 X126 X122 X117:X118 X114 X106 X99 X97 X71 X66:X67 X62 X58 X45 X43 X38 X30:X31 X22:X25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7 X251 X245 X224 X177:X179 X138 X131:X132 X116 X113 X98 X96 X79 X53" xr:uid="{00000000-0002-0000-0000-000017000000}">
      <formula1>IF(AK37&gt;0,OR(X37=0,AND(IF(X37-AK37&gt;=0,TRUE,FALSE),X37&gt;0,IF(X37/J37=ROUND(X37/J37,0),TRUE,FALSE))),FALSE)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 X257:X260 X252 X250 X246 X201 X195 X193 X189 X170:X171 X154 X149 X144 X115 X111:X112 X105 X100 X95 X89:X90 X84 X78 X72:X73 X50:X52" xr:uid="{00000000-0002-0000-0000-00001A000000}">
      <formula1>IF(AK44&gt;0,OR(X44=0,AND(IF(X44-AK44&gt;=0,TRUE,FALSE),X44&gt;0,IF(X44/K44=ROUND(X44/K44,0),TRUE,FALSE))),FALSE)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375</v>
      </c>
      <c r="H1" s="9"/>
    </row>
    <row r="3" spans="2:8" x14ac:dyDescent="0.2">
      <c r="B3" s="53" t="s">
        <v>376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378</v>
      </c>
      <c r="D6" s="53" t="s">
        <v>379</v>
      </c>
      <c r="E6" s="53" t="s">
        <v>46</v>
      </c>
    </row>
    <row r="8" spans="2:8" x14ac:dyDescent="0.2">
      <c r="B8" s="53" t="s">
        <v>80</v>
      </c>
      <c r="C8" s="53" t="s">
        <v>378</v>
      </c>
      <c r="D8" s="53" t="s">
        <v>46</v>
      </c>
      <c r="E8" s="53" t="s">
        <v>46</v>
      </c>
    </row>
    <row r="10" spans="2:8" x14ac:dyDescent="0.2">
      <c r="B10" s="53" t="s">
        <v>380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390</v>
      </c>
      <c r="C20" s="53" t="s">
        <v>46</v>
      </c>
      <c r="D20" s="53" t="s">
        <v>46</v>
      </c>
      <c r="E20" s="53" t="s">
        <v>46</v>
      </c>
    </row>
  </sheetData>
  <sheetProtection algorithmName="SHA-512" hashValue="aafncSHMJ+DvHhyfE6IVjGtqnrX1/bVZ1Mcgy74A3zCfs6Z+5exyeHif+0hNqbno7Y/ruvcvjzHWRZMTdt7TWw==" saltValue="1P8abinnxse3UoPh2cxA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410</vt:i4>
      </vt:variant>
    </vt:vector>
  </HeadingPairs>
  <TitlesOfParts>
    <vt:vector size="41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2025-11-26T06:08:44Z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