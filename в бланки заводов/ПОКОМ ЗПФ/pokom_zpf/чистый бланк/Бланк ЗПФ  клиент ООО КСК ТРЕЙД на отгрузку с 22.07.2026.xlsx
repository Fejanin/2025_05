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6CEC26-5B05-4C71-96A8-9C2604B8D902}" xr6:coauthVersionLast="47" xr6:coauthVersionMax="47" xr10:uidLastSave="{00000000-0000-0000-0000-000000000000}"/>
  <bookViews>
    <workbookView xWindow="45" yWindow="60" windowWidth="22410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N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Z266" i="2" s="1"/>
  <c r="Y264" i="2"/>
  <c r="BN264" i="2" s="1"/>
  <c r="P264" i="2"/>
  <c r="BO263" i="2"/>
  <c r="BM263" i="2"/>
  <c r="Z263" i="2"/>
  <c r="Y263" i="2"/>
  <c r="BN263" i="2" s="1"/>
  <c r="P263" i="2"/>
  <c r="Y261" i="2"/>
  <c r="X261" i="2"/>
  <c r="Y260" i="2"/>
  <c r="X260" i="2"/>
  <c r="BO259" i="2"/>
  <c r="BM259" i="2"/>
  <c r="Z259" i="2"/>
  <c r="Z260" i="2" s="1"/>
  <c r="Y259" i="2"/>
  <c r="BN259" i="2" s="1"/>
  <c r="P259" i="2"/>
  <c r="X257" i="2"/>
  <c r="X256" i="2"/>
  <c r="BO255" i="2"/>
  <c r="BM255" i="2"/>
  <c r="Z255" i="2"/>
  <c r="Z256" i="2" s="1"/>
  <c r="Y255" i="2"/>
  <c r="BP255" i="2" s="1"/>
  <c r="P255" i="2"/>
  <c r="BO254" i="2"/>
  <c r="BM254" i="2"/>
  <c r="Z254" i="2"/>
  <c r="Y254" i="2"/>
  <c r="BN254" i="2" s="1"/>
  <c r="P254" i="2"/>
  <c r="X250" i="2"/>
  <c r="X249" i="2"/>
  <c r="BO248" i="2"/>
  <c r="BM248" i="2"/>
  <c r="Z248" i="2"/>
  <c r="Z249" i="2" s="1"/>
  <c r="Y248" i="2"/>
  <c r="Y250" i="2" s="1"/>
  <c r="P248" i="2"/>
  <c r="X244" i="2"/>
  <c r="X243" i="2"/>
  <c r="BO242" i="2"/>
  <c r="BM242" i="2"/>
  <c r="Z242" i="2"/>
  <c r="Z243" i="2" s="1"/>
  <c r="Y242" i="2"/>
  <c r="BN242" i="2" s="1"/>
  <c r="P242" i="2"/>
  <c r="X240" i="2"/>
  <c r="X239" i="2"/>
  <c r="BO238" i="2"/>
  <c r="BM238" i="2"/>
  <c r="Z238" i="2"/>
  <c r="Z239" i="2" s="1"/>
  <c r="Y238" i="2"/>
  <c r="Y240" i="2" s="1"/>
  <c r="P238" i="2"/>
  <c r="Y234" i="2"/>
  <c r="X234" i="2"/>
  <c r="Z233" i="2"/>
  <c r="Y233" i="2"/>
  <c r="X233" i="2"/>
  <c r="BO232" i="2"/>
  <c r="BM232" i="2"/>
  <c r="Z232" i="2"/>
  <c r="Y232" i="2"/>
  <c r="BN232" i="2" s="1"/>
  <c r="P232" i="2"/>
  <c r="X228" i="2"/>
  <c r="X227" i="2"/>
  <c r="BO226" i="2"/>
  <c r="BM226" i="2"/>
  <c r="Z226" i="2"/>
  <c r="Z227" i="2" s="1"/>
  <c r="Y226" i="2"/>
  <c r="BN226" i="2" s="1"/>
  <c r="P226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BN216" i="2" s="1"/>
  <c r="P216" i="2"/>
  <c r="BO215" i="2"/>
  <c r="BM215" i="2"/>
  <c r="Z215" i="2"/>
  <c r="Z217" i="2" s="1"/>
  <c r="Y215" i="2"/>
  <c r="BN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Y211" i="2" s="1"/>
  <c r="P209" i="2"/>
  <c r="BO208" i="2"/>
  <c r="BN208" i="2"/>
  <c r="BM208" i="2"/>
  <c r="Z208" i="2"/>
  <c r="Y208" i="2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BO198" i="2"/>
  <c r="BN198" i="2"/>
  <c r="BM198" i="2"/>
  <c r="Z198" i="2"/>
  <c r="Y198" i="2"/>
  <c r="BP198" i="2" s="1"/>
  <c r="P198" i="2"/>
  <c r="BP197" i="2"/>
  <c r="BO197" i="2"/>
  <c r="BN197" i="2"/>
  <c r="BM197" i="2"/>
  <c r="Z197" i="2"/>
  <c r="Y197" i="2"/>
  <c r="P197" i="2"/>
  <c r="BO196" i="2"/>
  <c r="BM196" i="2"/>
  <c r="Z196" i="2"/>
  <c r="Y196" i="2"/>
  <c r="BN196" i="2" s="1"/>
  <c r="P196" i="2"/>
  <c r="BO195" i="2"/>
  <c r="BM195" i="2"/>
  <c r="Z195" i="2"/>
  <c r="Z199" i="2" s="1"/>
  <c r="Y195" i="2"/>
  <c r="BN195" i="2" s="1"/>
  <c r="P195" i="2"/>
  <c r="X191" i="2"/>
  <c r="X190" i="2"/>
  <c r="BO189" i="2"/>
  <c r="BM189" i="2"/>
  <c r="Z189" i="2"/>
  <c r="Z190" i="2" s="1"/>
  <c r="Y189" i="2"/>
  <c r="Y190" i="2" s="1"/>
  <c r="P189" i="2"/>
  <c r="X186" i="2"/>
  <c r="X185" i="2"/>
  <c r="BO184" i="2"/>
  <c r="BM184" i="2"/>
  <c r="Z184" i="2"/>
  <c r="Z185" i="2" s="1"/>
  <c r="Y184" i="2"/>
  <c r="BP184" i="2" s="1"/>
  <c r="P184" i="2"/>
  <c r="BO183" i="2"/>
  <c r="BN183" i="2"/>
  <c r="BM183" i="2"/>
  <c r="Z183" i="2"/>
  <c r="Y183" i="2"/>
  <c r="BP183" i="2" s="1"/>
  <c r="P183" i="2"/>
  <c r="X179" i="2"/>
  <c r="X178" i="2"/>
  <c r="BO177" i="2"/>
  <c r="BM177" i="2"/>
  <c r="Z177" i="2"/>
  <c r="Z178" i="2" s="1"/>
  <c r="Y177" i="2"/>
  <c r="BP177" i="2" s="1"/>
  <c r="P177" i="2"/>
  <c r="Y174" i="2"/>
  <c r="X174" i="2"/>
  <c r="Y173" i="2"/>
  <c r="X173" i="2"/>
  <c r="BP172" i="2"/>
  <c r="BO172" i="2"/>
  <c r="BN172" i="2"/>
  <c r="BM172" i="2"/>
  <c r="Z172" i="2"/>
  <c r="Z173" i="2" s="1"/>
  <c r="Y172" i="2"/>
  <c r="P172" i="2"/>
  <c r="X169" i="2"/>
  <c r="X168" i="2"/>
  <c r="BO167" i="2"/>
  <c r="BM167" i="2"/>
  <c r="Z167" i="2"/>
  <c r="Z168" i="2" s="1"/>
  <c r="Y167" i="2"/>
  <c r="BN167" i="2" s="1"/>
  <c r="P167" i="2"/>
  <c r="Y164" i="2"/>
  <c r="X164" i="2"/>
  <c r="X163" i="2"/>
  <c r="BP162" i="2"/>
  <c r="BO162" i="2"/>
  <c r="BM162" i="2"/>
  <c r="Z162" i="2"/>
  <c r="Y162" i="2"/>
  <c r="BN162" i="2" s="1"/>
  <c r="P162" i="2"/>
  <c r="BO161" i="2"/>
  <c r="BM161" i="2"/>
  <c r="Z161" i="2"/>
  <c r="Z163" i="2" s="1"/>
  <c r="Y161" i="2"/>
  <c r="BP161" i="2" s="1"/>
  <c r="P161" i="2"/>
  <c r="X158" i="2"/>
  <c r="X157" i="2"/>
  <c r="BO156" i="2"/>
  <c r="BM156" i="2"/>
  <c r="Z156" i="2"/>
  <c r="Z157" i="2" s="1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Y151" i="2" s="1"/>
  <c r="P150" i="2"/>
  <c r="BP149" i="2"/>
  <c r="BO149" i="2"/>
  <c r="BN149" i="2"/>
  <c r="BM149" i="2"/>
  <c r="Z149" i="2"/>
  <c r="Y149" i="2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N136" i="2"/>
  <c r="BM136" i="2"/>
  <c r="Z136" i="2"/>
  <c r="Y136" i="2"/>
  <c r="BP136" i="2" s="1"/>
  <c r="P136" i="2"/>
  <c r="BO135" i="2"/>
  <c r="BM135" i="2"/>
  <c r="Z135" i="2"/>
  <c r="Y135" i="2"/>
  <c r="P135" i="2"/>
  <c r="Y132" i="2"/>
  <c r="X132" i="2"/>
  <c r="Y131" i="2"/>
  <c r="X131" i="2"/>
  <c r="BP130" i="2"/>
  <c r="BO130" i="2"/>
  <c r="BN130" i="2"/>
  <c r="BM130" i="2"/>
  <c r="Z130" i="2"/>
  <c r="Z131" i="2" s="1"/>
  <c r="Y130" i="2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P122" i="2"/>
  <c r="BO122" i="2"/>
  <c r="BN122" i="2"/>
  <c r="BM122" i="2"/>
  <c r="Z122" i="2"/>
  <c r="Y122" i="2"/>
  <c r="P122" i="2"/>
  <c r="BP121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P117" i="2" s="1"/>
  <c r="P117" i="2"/>
  <c r="BO116" i="2"/>
  <c r="BM116" i="2"/>
  <c r="Z116" i="2"/>
  <c r="Z123" i="2" s="1"/>
  <c r="Y116" i="2"/>
  <c r="BP116" i="2" s="1"/>
  <c r="P116" i="2"/>
  <c r="BO115" i="2"/>
  <c r="BN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Y112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Y96" i="2"/>
  <c r="X96" i="2"/>
  <c r="X95" i="2"/>
  <c r="BP94" i="2"/>
  <c r="BO94" i="2"/>
  <c r="BM94" i="2"/>
  <c r="Z94" i="2"/>
  <c r="Y94" i="2"/>
  <c r="BN94" i="2" s="1"/>
  <c r="P94" i="2"/>
  <c r="BO93" i="2"/>
  <c r="BM93" i="2"/>
  <c r="Z93" i="2"/>
  <c r="Z95" i="2" s="1"/>
  <c r="Y93" i="2"/>
  <c r="P93" i="2"/>
  <c r="Y90" i="2"/>
  <c r="X90" i="2"/>
  <c r="Y89" i="2"/>
  <c r="X89" i="2"/>
  <c r="BP88" i="2"/>
  <c r="BO88" i="2"/>
  <c r="BN88" i="2"/>
  <c r="BM88" i="2"/>
  <c r="Z88" i="2"/>
  <c r="Z89" i="2" s="1"/>
  <c r="Y88" i="2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Z78" i="2" s="1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Z72" i="2" s="1"/>
  <c r="Y70" i="2"/>
  <c r="Y73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P57" i="2"/>
  <c r="BO57" i="2"/>
  <c r="BN57" i="2"/>
  <c r="BM57" i="2"/>
  <c r="Z57" i="2"/>
  <c r="Y57" i="2"/>
  <c r="P57" i="2"/>
  <c r="BO56" i="2"/>
  <c r="BM56" i="2"/>
  <c r="Z56" i="2"/>
  <c r="Y56" i="2"/>
  <c r="BN56" i="2" s="1"/>
  <c r="P56" i="2"/>
  <c r="BO55" i="2"/>
  <c r="BM55" i="2"/>
  <c r="Z55" i="2"/>
  <c r="Y55" i="2"/>
  <c r="Y59" i="2" s="1"/>
  <c r="P55" i="2"/>
  <c r="BO54" i="2"/>
  <c r="BM54" i="2"/>
  <c r="Z54" i="2"/>
  <c r="Z58" i="2" s="1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Y43" i="2" s="1"/>
  <c r="P42" i="2"/>
  <c r="BP41" i="2"/>
  <c r="BO41" i="2"/>
  <c r="BN41" i="2"/>
  <c r="BM41" i="2"/>
  <c r="Z41" i="2"/>
  <c r="Z43" i="2" s="1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Y37" i="2" s="1"/>
  <c r="P34" i="2"/>
  <c r="X31" i="2"/>
  <c r="X30" i="2"/>
  <c r="X285" i="2" s="1"/>
  <c r="BP29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N23" i="2"/>
  <c r="BM23" i="2"/>
  <c r="Z23" i="2"/>
  <c r="Y23" i="2"/>
  <c r="BP23" i="2" s="1"/>
  <c r="P23" i="2"/>
  <c r="BO22" i="2"/>
  <c r="BM22" i="2"/>
  <c r="Z22" i="2"/>
  <c r="Z30" i="2" s="1"/>
  <c r="Y22" i="2"/>
  <c r="P22" i="2"/>
  <c r="H10" i="2"/>
  <c r="A9" i="2"/>
  <c r="J9" i="2" s="1"/>
  <c r="D7" i="2"/>
  <c r="Q6" i="2"/>
  <c r="P2" i="2"/>
  <c r="Y30" i="2" l="1"/>
  <c r="BP22" i="2"/>
  <c r="X282" i="2"/>
  <c r="X284" i="2" s="1"/>
  <c r="X281" i="2"/>
  <c r="Z36" i="2"/>
  <c r="BN47" i="2"/>
  <c r="BN66" i="2"/>
  <c r="Y67" i="2"/>
  <c r="Z84" i="2"/>
  <c r="Z105" i="2"/>
  <c r="BN101" i="2"/>
  <c r="Y106" i="2"/>
  <c r="BN155" i="2"/>
  <c r="BP259" i="2"/>
  <c r="BN265" i="2"/>
  <c r="Y266" i="2"/>
  <c r="Y31" i="2"/>
  <c r="Y79" i="2"/>
  <c r="BP104" i="2"/>
  <c r="BP142" i="2"/>
  <c r="BP221" i="2"/>
  <c r="BP242" i="2"/>
  <c r="X283" i="2"/>
  <c r="Y58" i="2"/>
  <c r="BP66" i="2"/>
  <c r="Y140" i="2"/>
  <c r="Z145" i="2"/>
  <c r="Y212" i="2"/>
  <c r="Y223" i="2"/>
  <c r="Y244" i="2"/>
  <c r="Z279" i="2"/>
  <c r="Z50" i="2"/>
  <c r="Y44" i="2"/>
  <c r="BP54" i="2"/>
  <c r="Y95" i="2"/>
  <c r="Y105" i="2"/>
  <c r="Z111" i="2"/>
  <c r="Z139" i="2"/>
  <c r="Y152" i="2"/>
  <c r="Z151" i="2"/>
  <c r="Y163" i="2"/>
  <c r="Y191" i="2"/>
  <c r="Z211" i="2"/>
  <c r="BP208" i="2"/>
  <c r="Y222" i="2"/>
  <c r="BP232" i="2"/>
  <c r="Y243" i="2"/>
  <c r="BP254" i="2"/>
  <c r="BP278" i="2"/>
  <c r="Z286" i="2"/>
  <c r="BN137" i="2"/>
  <c r="BN27" i="2"/>
  <c r="BP48" i="2"/>
  <c r="BP109" i="2"/>
  <c r="BN150" i="2"/>
  <c r="H9" i="2"/>
  <c r="Y200" i="2"/>
  <c r="BP150" i="2"/>
  <c r="BN273" i="2"/>
  <c r="BN100" i="2"/>
  <c r="BN135" i="2"/>
  <c r="Y178" i="2"/>
  <c r="BP196" i="2"/>
  <c r="Y64" i="2"/>
  <c r="BN117" i="2"/>
  <c r="BN161" i="2"/>
  <c r="Y217" i="2"/>
  <c r="Y227" i="2"/>
  <c r="Y239" i="2"/>
  <c r="Y249" i="2"/>
  <c r="BP264" i="2"/>
  <c r="BN270" i="2"/>
  <c r="BN156" i="2"/>
  <c r="BN102" i="2"/>
  <c r="BN82" i="2"/>
  <c r="BN55" i="2"/>
  <c r="BP215" i="2"/>
  <c r="BN255" i="2"/>
  <c r="BN34" i="2"/>
  <c r="BN99" i="2"/>
  <c r="Y157" i="2"/>
  <c r="BP195" i="2"/>
  <c r="BP263" i="2"/>
  <c r="BN209" i="2"/>
  <c r="BN276" i="2"/>
  <c r="BP24" i="2"/>
  <c r="BP70" i="2"/>
  <c r="Y63" i="2"/>
  <c r="BN83" i="2"/>
  <c r="BN120" i="2"/>
  <c r="Y186" i="2"/>
  <c r="BP138" i="2"/>
  <c r="BN144" i="2"/>
  <c r="BP216" i="2"/>
  <c r="BP226" i="2"/>
  <c r="BP248" i="2"/>
  <c r="BN25" i="2"/>
  <c r="Y50" i="2"/>
  <c r="BP56" i="2"/>
  <c r="BN71" i="2"/>
  <c r="BP110" i="2"/>
  <c r="Y139" i="2"/>
  <c r="BP35" i="2"/>
  <c r="Y84" i="2"/>
  <c r="BP126" i="2"/>
  <c r="BP135" i="2"/>
  <c r="BP204" i="2"/>
  <c r="BN210" i="2"/>
  <c r="BN277" i="2"/>
  <c r="Y199" i="2"/>
  <c r="BN62" i="2"/>
  <c r="BN42" i="2"/>
  <c r="BP99" i="2"/>
  <c r="Y185" i="2"/>
  <c r="BP209" i="2"/>
  <c r="BN238" i="2"/>
  <c r="BN248" i="2"/>
  <c r="BP167" i="2"/>
  <c r="BP49" i="2"/>
  <c r="BP238" i="2"/>
  <c r="BP28" i="2"/>
  <c r="BN126" i="2"/>
  <c r="Y168" i="2"/>
  <c r="BN204" i="2"/>
  <c r="Y111" i="2"/>
  <c r="Y145" i="2"/>
  <c r="Y169" i="2"/>
  <c r="Y179" i="2"/>
  <c r="BN189" i="2"/>
  <c r="BN184" i="2"/>
  <c r="BN143" i="2"/>
  <c r="Y280" i="2"/>
  <c r="BP119" i="2"/>
  <c r="BN177" i="2"/>
  <c r="A10" i="2"/>
  <c r="BP42" i="2"/>
  <c r="F10" i="2"/>
  <c r="BN93" i="2"/>
  <c r="BN22" i="2"/>
  <c r="Y51" i="2"/>
  <c r="Y127" i="2"/>
  <c r="Y205" i="2"/>
  <c r="Y218" i="2"/>
  <c r="Y228" i="2"/>
  <c r="Y257" i="2"/>
  <c r="BP93" i="2"/>
  <c r="BN77" i="2"/>
  <c r="Y36" i="2"/>
  <c r="Y72" i="2"/>
  <c r="Y85" i="2"/>
  <c r="BP189" i="2"/>
  <c r="BN75" i="2"/>
  <c r="Y267" i="2"/>
  <c r="BN272" i="2"/>
  <c r="BN109" i="2"/>
  <c r="BN116" i="2"/>
  <c r="Y158" i="2"/>
  <c r="Y256" i="2"/>
  <c r="BP269" i="2"/>
  <c r="BN103" i="2"/>
  <c r="Y146" i="2"/>
  <c r="BP55" i="2"/>
  <c r="BP34" i="2"/>
  <c r="Y124" i="2"/>
  <c r="BP76" i="2"/>
  <c r="Y78" i="2"/>
  <c r="Y279" i="2"/>
  <c r="Y123" i="2"/>
  <c r="F9" i="2"/>
  <c r="BN70" i="2"/>
  <c r="Y283" i="2" l="1"/>
  <c r="Y282" i="2"/>
  <c r="Y285" i="2"/>
  <c r="Y281" i="2"/>
  <c r="Y284" i="2"/>
  <c r="C294" i="2"/>
  <c r="B294" i="2"/>
  <c r="A294" i="2"/>
</calcChain>
</file>

<file path=xl/sharedStrings.xml><?xml version="1.0" encoding="utf-8"?>
<sst xmlns="http://schemas.openxmlformats.org/spreadsheetml/2006/main" count="1748" uniqueCount="405">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</sst>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4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46227</v>
      </c>
      <c r="R5" s="471"/>
      <c r="T5" s="472" t="s">
        <v>3</v>
      </c>
      <c r="U5" s="473"/>
      <c r="V5" s="474" t="s">
        <v>391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customHeight="1" x14ac:dyDescent="0.25">
      <c r="A21" s="311" t="s">
        <v>82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3">
        <v>4620207491508</v>
      </c>
      <c r="E22" s="293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3">
        <v>4620207491256</v>
      </c>
      <c r="E23" s="293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3">
        <v>4620207491713</v>
      </c>
      <c r="E24" s="293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3">
        <v>4620207491720</v>
      </c>
      <c r="E25" s="293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3">
        <v>4607111035912</v>
      </c>
      <c r="E26" s="293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3">
        <v>4607111035929</v>
      </c>
      <c r="E27" s="293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3">
        <v>4607111035882</v>
      </c>
      <c r="E28" s="293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3">
        <v>4607111035905</v>
      </c>
      <c r="E29" s="293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0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1"/>
      <c r="P30" s="297" t="s">
        <v>40</v>
      </c>
      <c r="Q30" s="298"/>
      <c r="R30" s="298"/>
      <c r="S30" s="298"/>
      <c r="T30" s="298"/>
      <c r="U30" s="298"/>
      <c r="V30" s="29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0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1"/>
      <c r="P31" s="297" t="s">
        <v>40</v>
      </c>
      <c r="Q31" s="298"/>
      <c r="R31" s="298"/>
      <c r="S31" s="298"/>
      <c r="T31" s="298"/>
      <c r="U31" s="298"/>
      <c r="V31" s="29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customHeight="1" x14ac:dyDescent="0.25">
      <c r="A33" s="311" t="s">
        <v>82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3">
        <v>4607111039019</v>
      </c>
      <c r="E34" s="293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3">
        <v>4607111038708</v>
      </c>
      <c r="E35" s="293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0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1"/>
      <c r="P36" s="297" t="s">
        <v>40</v>
      </c>
      <c r="Q36" s="298"/>
      <c r="R36" s="298"/>
      <c r="S36" s="298"/>
      <c r="T36" s="298"/>
      <c r="U36" s="298"/>
      <c r="V36" s="29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0"/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1"/>
      <c r="P37" s="297" t="s">
        <v>40</v>
      </c>
      <c r="Q37" s="298"/>
      <c r="R37" s="298"/>
      <c r="S37" s="298"/>
      <c r="T37" s="298"/>
      <c r="U37" s="298"/>
      <c r="V37" s="29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customHeight="1" x14ac:dyDescent="0.25">
      <c r="A40" s="311" t="s">
        <v>113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3">
        <v>4607111036537</v>
      </c>
      <c r="E41" s="293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3">
        <v>4607111036605</v>
      </c>
      <c r="E42" s="293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1"/>
      <c r="P43" s="297" t="s">
        <v>40</v>
      </c>
      <c r="Q43" s="298"/>
      <c r="R43" s="298"/>
      <c r="S43" s="298"/>
      <c r="T43" s="298"/>
      <c r="U43" s="298"/>
      <c r="V43" s="29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1"/>
      <c r="P44" s="297" t="s">
        <v>40</v>
      </c>
      <c r="Q44" s="298"/>
      <c r="R44" s="298"/>
      <c r="S44" s="298"/>
      <c r="T44" s="298"/>
      <c r="U44" s="298"/>
      <c r="V44" s="29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customHeight="1" x14ac:dyDescent="0.25">
      <c r="A46" s="311" t="s">
        <v>82</v>
      </c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3">
        <v>4620207490075</v>
      </c>
      <c r="E47" s="293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3">
        <v>4620207490174</v>
      </c>
      <c r="E48" s="293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130</v>
      </c>
      <c r="B49" s="63" t="s">
        <v>131</v>
      </c>
      <c r="C49" s="36">
        <v>4301071091</v>
      </c>
      <c r="D49" s="293">
        <v>4620207490044</v>
      </c>
      <c r="E49" s="293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9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1"/>
      <c r="P50" s="297" t="s">
        <v>40</v>
      </c>
      <c r="Q50" s="298"/>
      <c r="R50" s="298"/>
      <c r="S50" s="298"/>
      <c r="T50" s="298"/>
      <c r="U50" s="298"/>
      <c r="V50" s="299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1"/>
      <c r="P51" s="297" t="s">
        <v>40</v>
      </c>
      <c r="Q51" s="298"/>
      <c r="R51" s="298"/>
      <c r="S51" s="298"/>
      <c r="T51" s="298"/>
      <c r="U51" s="298"/>
      <c r="V51" s="299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23" t="s">
        <v>133</v>
      </c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65"/>
      <c r="AB52" s="65"/>
      <c r="AC52" s="82"/>
    </row>
    <row r="53" spans="1:68" ht="14.25" customHeight="1" x14ac:dyDescent="0.25">
      <c r="A53" s="311" t="s">
        <v>82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293">
        <v>4607111039385</v>
      </c>
      <c r="E54" s="293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293">
        <v>4607111038982</v>
      </c>
      <c r="E55" s="293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4301071046</v>
      </c>
      <c r="D56" s="293">
        <v>4607111039354</v>
      </c>
      <c r="E56" s="293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293">
        <v>4607111039330</v>
      </c>
      <c r="E57" s="293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9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1"/>
      <c r="P58" s="297" t="s">
        <v>40</v>
      </c>
      <c r="Q58" s="298"/>
      <c r="R58" s="298"/>
      <c r="S58" s="298"/>
      <c r="T58" s="298"/>
      <c r="U58" s="298"/>
      <c r="V58" s="299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1"/>
      <c r="P59" s="297" t="s">
        <v>40</v>
      </c>
      <c r="Q59" s="298"/>
      <c r="R59" s="298"/>
      <c r="S59" s="298"/>
      <c r="T59" s="298"/>
      <c r="U59" s="298"/>
      <c r="V59" s="299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23" t="s">
        <v>144</v>
      </c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65"/>
      <c r="AB60" s="65"/>
      <c r="AC60" s="82"/>
    </row>
    <row r="61" spans="1:68" ht="14.25" customHeight="1" x14ac:dyDescent="0.25">
      <c r="A61" s="311" t="s">
        <v>82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66"/>
      <c r="AB61" s="66"/>
      <c r="AC61" s="83"/>
    </row>
    <row r="62" spans="1:68" ht="16.5" customHeight="1" x14ac:dyDescent="0.25">
      <c r="A62" s="63" t="s">
        <v>145</v>
      </c>
      <c r="B62" s="63" t="s">
        <v>146</v>
      </c>
      <c r="C62" s="36">
        <v>4301071073</v>
      </c>
      <c r="D62" s="293">
        <v>4620207490822</v>
      </c>
      <c r="E62" s="293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1"/>
      <c r="P63" s="297" t="s">
        <v>40</v>
      </c>
      <c r="Q63" s="298"/>
      <c r="R63" s="298"/>
      <c r="S63" s="298"/>
      <c r="T63" s="298"/>
      <c r="U63" s="298"/>
      <c r="V63" s="299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1"/>
      <c r="P64" s="297" t="s">
        <v>40</v>
      </c>
      <c r="Q64" s="298"/>
      <c r="R64" s="298"/>
      <c r="S64" s="298"/>
      <c r="T64" s="298"/>
      <c r="U64" s="298"/>
      <c r="V64" s="299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11" t="s">
        <v>113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66"/>
      <c r="AB65" s="66"/>
      <c r="AC65" s="83"/>
    </row>
    <row r="66" spans="1:68" ht="27" customHeight="1" x14ac:dyDescent="0.25">
      <c r="A66" s="63" t="s">
        <v>148</v>
      </c>
      <c r="B66" s="63" t="s">
        <v>149</v>
      </c>
      <c r="C66" s="36">
        <v>4301132194</v>
      </c>
      <c r="D66" s="293">
        <v>4607111039712</v>
      </c>
      <c r="E66" s="293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1"/>
      <c r="P67" s="297" t="s">
        <v>40</v>
      </c>
      <c r="Q67" s="298"/>
      <c r="R67" s="298"/>
      <c r="S67" s="298"/>
      <c r="T67" s="298"/>
      <c r="U67" s="298"/>
      <c r="V67" s="299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1"/>
      <c r="P68" s="297" t="s">
        <v>40</v>
      </c>
      <c r="Q68" s="298"/>
      <c r="R68" s="298"/>
      <c r="S68" s="298"/>
      <c r="T68" s="298"/>
      <c r="U68" s="298"/>
      <c r="V68" s="299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11" t="s">
        <v>151</v>
      </c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66"/>
      <c r="AB69" s="66"/>
      <c r="AC69" s="83"/>
    </row>
    <row r="70" spans="1:68" ht="16.5" customHeight="1" x14ac:dyDescent="0.25">
      <c r="A70" s="63" t="s">
        <v>152</v>
      </c>
      <c r="B70" s="63" t="s">
        <v>153</v>
      </c>
      <c r="C70" s="36">
        <v>4301136018</v>
      </c>
      <c r="D70" s="293">
        <v>4607111037008</v>
      </c>
      <c r="E70" s="293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155</v>
      </c>
      <c r="B71" s="63" t="s">
        <v>156</v>
      </c>
      <c r="C71" s="36">
        <v>4301136015</v>
      </c>
      <c r="D71" s="293">
        <v>4607111037398</v>
      </c>
      <c r="E71" s="293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1"/>
      <c r="P72" s="297" t="s">
        <v>40</v>
      </c>
      <c r="Q72" s="298"/>
      <c r="R72" s="298"/>
      <c r="S72" s="298"/>
      <c r="T72" s="298"/>
      <c r="U72" s="298"/>
      <c r="V72" s="299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1"/>
      <c r="P73" s="297" t="s">
        <v>40</v>
      </c>
      <c r="Q73" s="298"/>
      <c r="R73" s="298"/>
      <c r="S73" s="298"/>
      <c r="T73" s="298"/>
      <c r="U73" s="298"/>
      <c r="V73" s="299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11" t="s">
        <v>157</v>
      </c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66"/>
      <c r="AB74" s="66"/>
      <c r="AC74" s="83"/>
    </row>
    <row r="75" spans="1:68" ht="27" customHeight="1" x14ac:dyDescent="0.25">
      <c r="A75" s="63" t="s">
        <v>158</v>
      </c>
      <c r="B75" s="63" t="s">
        <v>159</v>
      </c>
      <c r="C75" s="36">
        <v>4301135664</v>
      </c>
      <c r="D75" s="293">
        <v>4607111039705</v>
      </c>
      <c r="E75" s="293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293">
        <v>4607111039729</v>
      </c>
      <c r="E76" s="293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293">
        <v>4620207490228</v>
      </c>
      <c r="E77" s="293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1"/>
      <c r="P78" s="297" t="s">
        <v>40</v>
      </c>
      <c r="Q78" s="298"/>
      <c r="R78" s="298"/>
      <c r="S78" s="298"/>
      <c r="T78" s="298"/>
      <c r="U78" s="298"/>
      <c r="V78" s="299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1"/>
      <c r="P79" s="297" t="s">
        <v>40</v>
      </c>
      <c r="Q79" s="298"/>
      <c r="R79" s="298"/>
      <c r="S79" s="298"/>
      <c r="T79" s="298"/>
      <c r="U79" s="298"/>
      <c r="V79" s="299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23" t="s">
        <v>165</v>
      </c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65"/>
      <c r="AB80" s="65"/>
      <c r="AC80" s="82"/>
    </row>
    <row r="81" spans="1:68" ht="14.25" customHeight="1" x14ac:dyDescent="0.25">
      <c r="A81" s="311" t="s">
        <v>82</v>
      </c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66"/>
      <c r="AB81" s="66"/>
      <c r="AC81" s="83"/>
    </row>
    <row r="82" spans="1:68" ht="27" customHeight="1" x14ac:dyDescent="0.25">
      <c r="A82" s="63" t="s">
        <v>166</v>
      </c>
      <c r="B82" s="63" t="s">
        <v>167</v>
      </c>
      <c r="C82" s="36">
        <v>4301070977</v>
      </c>
      <c r="D82" s="293">
        <v>4607111037411</v>
      </c>
      <c r="E82" s="293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293">
        <v>4607111036728</v>
      </c>
      <c r="E83" s="293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1"/>
      <c r="P84" s="297" t="s">
        <v>40</v>
      </c>
      <c r="Q84" s="298"/>
      <c r="R84" s="298"/>
      <c r="S84" s="298"/>
      <c r="T84" s="298"/>
      <c r="U84" s="298"/>
      <c r="V84" s="299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1"/>
      <c r="P85" s="297" t="s">
        <v>40</v>
      </c>
      <c r="Q85" s="298"/>
      <c r="R85" s="298"/>
      <c r="S85" s="298"/>
      <c r="T85" s="298"/>
      <c r="U85" s="298"/>
      <c r="V85" s="299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23" t="s">
        <v>172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customHeight="1" x14ac:dyDescent="0.25">
      <c r="A87" s="311" t="s">
        <v>157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293">
        <v>4607111033659</v>
      </c>
      <c r="E88" s="293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1"/>
      <c r="P89" s="297" t="s">
        <v>40</v>
      </c>
      <c r="Q89" s="298"/>
      <c r="R89" s="298"/>
      <c r="S89" s="298"/>
      <c r="T89" s="298"/>
      <c r="U89" s="298"/>
      <c r="V89" s="299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1"/>
      <c r="P90" s="297" t="s">
        <v>40</v>
      </c>
      <c r="Q90" s="298"/>
      <c r="R90" s="298"/>
      <c r="S90" s="298"/>
      <c r="T90" s="298"/>
      <c r="U90" s="298"/>
      <c r="V90" s="299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23" t="s">
        <v>176</v>
      </c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65"/>
      <c r="AB91" s="65"/>
      <c r="AC91" s="82"/>
    </row>
    <row r="92" spans="1:68" ht="14.25" customHeight="1" x14ac:dyDescent="0.25">
      <c r="A92" s="311" t="s">
        <v>177</v>
      </c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293">
        <v>4607111034120</v>
      </c>
      <c r="E93" s="293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293">
        <v>4607111034137</v>
      </c>
      <c r="E94" s="293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1"/>
      <c r="P95" s="297" t="s">
        <v>40</v>
      </c>
      <c r="Q95" s="298"/>
      <c r="R95" s="298"/>
      <c r="S95" s="298"/>
      <c r="T95" s="298"/>
      <c r="U95" s="298"/>
      <c r="V95" s="299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1"/>
      <c r="P96" s="297" t="s">
        <v>40</v>
      </c>
      <c r="Q96" s="298"/>
      <c r="R96" s="298"/>
      <c r="S96" s="298"/>
      <c r="T96" s="298"/>
      <c r="U96" s="298"/>
      <c r="V96" s="299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23" t="s">
        <v>184</v>
      </c>
      <c r="B97" s="323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65"/>
      <c r="AB97" s="65"/>
      <c r="AC97" s="82"/>
    </row>
    <row r="98" spans="1:68" ht="14.25" customHeight="1" x14ac:dyDescent="0.25">
      <c r="A98" s="311" t="s">
        <v>157</v>
      </c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293">
        <v>4620207491027</v>
      </c>
      <c r="E99" s="293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293">
        <v>4620207491003</v>
      </c>
      <c r="E100" s="293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4301135768</v>
      </c>
      <c r="D101" s="293">
        <v>4620207491034</v>
      </c>
      <c r="E101" s="293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37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293">
        <v>4620207491010</v>
      </c>
      <c r="E102" s="293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37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194</v>
      </c>
      <c r="B103" s="63" t="s">
        <v>195</v>
      </c>
      <c r="C103" s="36">
        <v>4301135571</v>
      </c>
      <c r="D103" s="293">
        <v>4607111035028</v>
      </c>
      <c r="E103" s="293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37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293">
        <v>4607111036407</v>
      </c>
      <c r="E104" s="293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1"/>
      <c r="P105" s="297" t="s">
        <v>40</v>
      </c>
      <c r="Q105" s="298"/>
      <c r="R105" s="298"/>
      <c r="S105" s="298"/>
      <c r="T105" s="298"/>
      <c r="U105" s="298"/>
      <c r="V105" s="299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1"/>
      <c r="P106" s="297" t="s">
        <v>40</v>
      </c>
      <c r="Q106" s="298"/>
      <c r="R106" s="298"/>
      <c r="S106" s="298"/>
      <c r="T106" s="298"/>
      <c r="U106" s="298"/>
      <c r="V106" s="299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23" t="s">
        <v>199</v>
      </c>
      <c r="B107" s="323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65"/>
      <c r="AB107" s="65"/>
      <c r="AC107" s="82"/>
    </row>
    <row r="108" spans="1:68" ht="14.25" customHeight="1" x14ac:dyDescent="0.25">
      <c r="A108" s="311" t="s">
        <v>151</v>
      </c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293">
        <v>4607025784012</v>
      </c>
      <c r="E109" s="293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36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203</v>
      </c>
      <c r="B110" s="63" t="s">
        <v>204</v>
      </c>
      <c r="C110" s="36">
        <v>4301136079</v>
      </c>
      <c r="D110" s="293">
        <v>4607025784319</v>
      </c>
      <c r="E110" s="293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37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1"/>
      <c r="P111" s="297" t="s">
        <v>40</v>
      </c>
      <c r="Q111" s="298"/>
      <c r="R111" s="298"/>
      <c r="S111" s="298"/>
      <c r="T111" s="298"/>
      <c r="U111" s="298"/>
      <c r="V111" s="299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1"/>
      <c r="P112" s="297" t="s">
        <v>40</v>
      </c>
      <c r="Q112" s="298"/>
      <c r="R112" s="298"/>
      <c r="S112" s="298"/>
      <c r="T112" s="298"/>
      <c r="U112" s="298"/>
      <c r="V112" s="299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23" t="s">
        <v>205</v>
      </c>
      <c r="B113" s="323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65"/>
      <c r="AB113" s="65"/>
      <c r="AC113" s="82"/>
    </row>
    <row r="114" spans="1:68" ht="14.25" customHeight="1" x14ac:dyDescent="0.25">
      <c r="A114" s="311" t="s">
        <v>82</v>
      </c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293">
        <v>4620207491157</v>
      </c>
      <c r="E115" s="293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293">
        <v>4620207491393</v>
      </c>
      <c r="E116" s="293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293">
        <v>4607111039262</v>
      </c>
      <c r="E117" s="293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293">
        <v>4607111039248</v>
      </c>
      <c r="E118" s="293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4301070979</v>
      </c>
      <c r="D119" s="293">
        <v>4607111037145</v>
      </c>
      <c r="E119" s="293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293">
        <v>4620207491102</v>
      </c>
      <c r="E120" s="293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5"/>
      <c r="R120" s="295"/>
      <c r="S120" s="295"/>
      <c r="T120" s="296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293">
        <v>4607111039293</v>
      </c>
      <c r="E121" s="293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5"/>
      <c r="R121" s="295"/>
      <c r="S121" s="295"/>
      <c r="T121" s="296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293">
        <v>4607111039279</v>
      </c>
      <c r="E122" s="293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5"/>
      <c r="R122" s="295"/>
      <c r="S122" s="295"/>
      <c r="T122" s="296"/>
      <c r="U122" s="39" t="s">
        <v>46</v>
      </c>
      <c r="V122" s="39" t="s">
        <v>46</v>
      </c>
      <c r="W122" s="40" t="s">
        <v>39</v>
      </c>
      <c r="X122" s="58">
        <v>0</v>
      </c>
      <c r="Y122" s="55">
        <f t="shared" si="12"/>
        <v>0</v>
      </c>
      <c r="Z122" s="41">
        <f t="shared" si="13"/>
        <v>0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0</v>
      </c>
      <c r="BN122" s="81">
        <f t="shared" si="15"/>
        <v>0</v>
      </c>
      <c r="BO122" s="81">
        <f t="shared" si="16"/>
        <v>0</v>
      </c>
      <c r="BP122" s="81">
        <f t="shared" si="17"/>
        <v>0</v>
      </c>
    </row>
    <row r="123" spans="1:68" x14ac:dyDescent="0.2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1"/>
      <c r="P123" s="297" t="s">
        <v>40</v>
      </c>
      <c r="Q123" s="298"/>
      <c r="R123" s="298"/>
      <c r="S123" s="298"/>
      <c r="T123" s="298"/>
      <c r="U123" s="298"/>
      <c r="V123" s="299"/>
      <c r="W123" s="42" t="s">
        <v>39</v>
      </c>
      <c r="X123" s="43">
        <f>IFERROR(SUM(X115:X122),"0")</f>
        <v>0</v>
      </c>
      <c r="Y123" s="43">
        <f>IFERROR(SUM(Y115:Y122),"0")</f>
        <v>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1"/>
      <c r="P124" s="297" t="s">
        <v>40</v>
      </c>
      <c r="Q124" s="298"/>
      <c r="R124" s="298"/>
      <c r="S124" s="298"/>
      <c r="T124" s="298"/>
      <c r="U124" s="298"/>
      <c r="V124" s="299"/>
      <c r="W124" s="42" t="s">
        <v>0</v>
      </c>
      <c r="X124" s="43">
        <f>IFERROR(SUMPRODUCT(X115:X122*H115:H122),"0")</f>
        <v>0</v>
      </c>
      <c r="Y124" s="43">
        <f>IFERROR(SUMPRODUCT(Y115:Y122*H115:H122),"0")</f>
        <v>0</v>
      </c>
      <c r="Z124" s="42"/>
      <c r="AA124" s="67"/>
      <c r="AB124" s="67"/>
      <c r="AC124" s="67"/>
    </row>
    <row r="125" spans="1:68" ht="14.25" customHeight="1" x14ac:dyDescent="0.25">
      <c r="A125" s="311" t="s">
        <v>157</v>
      </c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4301135826</v>
      </c>
      <c r="D126" s="293">
        <v>4620207490983</v>
      </c>
      <c r="E126" s="293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5"/>
      <c r="R126" s="295"/>
      <c r="S126" s="295"/>
      <c r="T126" s="296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1"/>
      <c r="P127" s="297" t="s">
        <v>40</v>
      </c>
      <c r="Q127" s="298"/>
      <c r="R127" s="298"/>
      <c r="S127" s="298"/>
      <c r="T127" s="298"/>
      <c r="U127" s="298"/>
      <c r="V127" s="299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1"/>
      <c r="P128" s="297" t="s">
        <v>40</v>
      </c>
      <c r="Q128" s="298"/>
      <c r="R128" s="298"/>
      <c r="S128" s="298"/>
      <c r="T128" s="298"/>
      <c r="U128" s="298"/>
      <c r="V128" s="299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11" t="s">
        <v>229</v>
      </c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4301071094</v>
      </c>
      <c r="D130" s="293">
        <v>4620207491140</v>
      </c>
      <c r="E130" s="293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6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5"/>
      <c r="R130" s="295"/>
      <c r="S130" s="295"/>
      <c r="T130" s="296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1"/>
      <c r="P131" s="297" t="s">
        <v>40</v>
      </c>
      <c r="Q131" s="298"/>
      <c r="R131" s="298"/>
      <c r="S131" s="298"/>
      <c r="T131" s="298"/>
      <c r="U131" s="298"/>
      <c r="V131" s="299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1"/>
      <c r="P132" s="297" t="s">
        <v>40</v>
      </c>
      <c r="Q132" s="298"/>
      <c r="R132" s="298"/>
      <c r="S132" s="298"/>
      <c r="T132" s="298"/>
      <c r="U132" s="298"/>
      <c r="V132" s="299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23" t="s">
        <v>233</v>
      </c>
      <c r="B133" s="323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65"/>
      <c r="AB133" s="65"/>
      <c r="AC133" s="82"/>
    </row>
    <row r="134" spans="1:68" ht="14.25" customHeight="1" x14ac:dyDescent="0.25">
      <c r="A134" s="311" t="s">
        <v>157</v>
      </c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4301135848</v>
      </c>
      <c r="D135" s="293">
        <v>4620207491799</v>
      </c>
      <c r="E135" s="293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5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295"/>
      <c r="R135" s="295"/>
      <c r="S135" s="295"/>
      <c r="T135" s="296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237</v>
      </c>
      <c r="B136" s="63" t="s">
        <v>238</v>
      </c>
      <c r="C136" s="36">
        <v>4301135850</v>
      </c>
      <c r="D136" s="293">
        <v>4620207491492</v>
      </c>
      <c r="E136" s="293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5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295"/>
      <c r="R136" s="295"/>
      <c r="S136" s="295"/>
      <c r="T136" s="296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4301190118</v>
      </c>
      <c r="D137" s="293">
        <v>4620207491461</v>
      </c>
      <c r="E137" s="293"/>
      <c r="F137" s="62">
        <v>0.22</v>
      </c>
      <c r="G137" s="37">
        <v>6</v>
      </c>
      <c r="H137" s="62">
        <v>1.32</v>
      </c>
      <c r="I137" s="62">
        <v>1.74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5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295"/>
      <c r="R137" s="295"/>
      <c r="S137" s="295"/>
      <c r="T137" s="296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241</v>
      </c>
      <c r="B138" s="63" t="s">
        <v>242</v>
      </c>
      <c r="C138" s="36">
        <v>4301135865</v>
      </c>
      <c r="D138" s="293">
        <v>4620207491485</v>
      </c>
      <c r="E138" s="293"/>
      <c r="F138" s="62">
        <v>0.23</v>
      </c>
      <c r="G138" s="37">
        <v>6</v>
      </c>
      <c r="H138" s="62">
        <v>1.38</v>
      </c>
      <c r="I138" s="62">
        <v>1.8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295"/>
      <c r="R138" s="295"/>
      <c r="S138" s="295"/>
      <c r="T138" s="296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236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1"/>
      <c r="P139" s="297" t="s">
        <v>40</v>
      </c>
      <c r="Q139" s="298"/>
      <c r="R139" s="298"/>
      <c r="S139" s="298"/>
      <c r="T139" s="298"/>
      <c r="U139" s="298"/>
      <c r="V139" s="299"/>
      <c r="W139" s="42" t="s">
        <v>39</v>
      </c>
      <c r="X139" s="43">
        <f>IFERROR(SUM(X135:X138),"0")</f>
        <v>0</v>
      </c>
      <c r="Y139" s="43">
        <f>IFERROR(SUM(Y135:Y138),"0")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1"/>
      <c r="P140" s="297" t="s">
        <v>40</v>
      </c>
      <c r="Q140" s="298"/>
      <c r="R140" s="298"/>
      <c r="S140" s="298"/>
      <c r="T140" s="298"/>
      <c r="U140" s="298"/>
      <c r="V140" s="299"/>
      <c r="W140" s="42" t="s">
        <v>0</v>
      </c>
      <c r="X140" s="43">
        <f>IFERROR(SUMPRODUCT(X135:X138*H135:H138),"0")</f>
        <v>0</v>
      </c>
      <c r="Y140" s="43">
        <f>IFERROR(SUMPRODUCT(Y135:Y138*H135:H138),"0")</f>
        <v>0</v>
      </c>
      <c r="Z140" s="42"/>
      <c r="AA140" s="67"/>
      <c r="AB140" s="67"/>
      <c r="AC140" s="67"/>
    </row>
    <row r="141" spans="1:68" ht="14.25" customHeight="1" x14ac:dyDescent="0.25">
      <c r="A141" s="311" t="s">
        <v>243</v>
      </c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66"/>
      <c r="AB141" s="66"/>
      <c r="AC141" s="83"/>
    </row>
    <row r="142" spans="1:68" ht="27" customHeight="1" x14ac:dyDescent="0.25">
      <c r="A142" s="63" t="s">
        <v>244</v>
      </c>
      <c r="B142" s="63" t="s">
        <v>245</v>
      </c>
      <c r="C142" s="36">
        <v>4301190117</v>
      </c>
      <c r="D142" s="293">
        <v>4620207491386</v>
      </c>
      <c r="E142" s="293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295"/>
      <c r="R142" s="295"/>
      <c r="S142" s="295"/>
      <c r="T142" s="296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247</v>
      </c>
      <c r="B143" s="63" t="s">
        <v>248</v>
      </c>
      <c r="C143" s="36">
        <v>4301190115</v>
      </c>
      <c r="D143" s="293">
        <v>4620207491362</v>
      </c>
      <c r="E143" s="293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295"/>
      <c r="R143" s="295"/>
      <c r="S143" s="295"/>
      <c r="T143" s="296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249</v>
      </c>
      <c r="B144" s="63" t="s">
        <v>250</v>
      </c>
      <c r="C144" s="36">
        <v>4301190116</v>
      </c>
      <c r="D144" s="293">
        <v>4620207491379</v>
      </c>
      <c r="E144" s="293"/>
      <c r="F144" s="62">
        <v>0.18</v>
      </c>
      <c r="G144" s="37">
        <v>6</v>
      </c>
      <c r="H144" s="62">
        <v>1.08</v>
      </c>
      <c r="I144" s="62">
        <v>1.3979999999999999</v>
      </c>
      <c r="J144" s="37">
        <v>140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295"/>
      <c r="R144" s="295"/>
      <c r="S144" s="295"/>
      <c r="T144" s="296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IFERROR(IF(X144="","",X144*0.00941),"")</f>
        <v>0</v>
      </c>
      <c r="AA144" s="68" t="s">
        <v>46</v>
      </c>
      <c r="AB144" s="69" t="s">
        <v>46</v>
      </c>
      <c r="AC144" s="199" t="s">
        <v>246</v>
      </c>
      <c r="AG144" s="81"/>
      <c r="AJ144" s="87" t="s">
        <v>89</v>
      </c>
      <c r="AK144" s="87">
        <v>1</v>
      </c>
      <c r="BB144" s="200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1"/>
      <c r="P145" s="297" t="s">
        <v>40</v>
      </c>
      <c r="Q145" s="298"/>
      <c r="R145" s="298"/>
      <c r="S145" s="298"/>
      <c r="T145" s="298"/>
      <c r="U145" s="298"/>
      <c r="V145" s="299"/>
      <c r="W145" s="42" t="s">
        <v>39</v>
      </c>
      <c r="X145" s="43">
        <f>IFERROR(SUM(X142:X144),"0")</f>
        <v>0</v>
      </c>
      <c r="Y145" s="43">
        <f>IFERROR(SUM(Y142:Y144),"0")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1"/>
      <c r="P146" s="297" t="s">
        <v>40</v>
      </c>
      <c r="Q146" s="298"/>
      <c r="R146" s="298"/>
      <c r="S146" s="298"/>
      <c r="T146" s="298"/>
      <c r="U146" s="298"/>
      <c r="V146" s="299"/>
      <c r="W146" s="42" t="s">
        <v>0</v>
      </c>
      <c r="X146" s="43">
        <f>IFERROR(SUMPRODUCT(X142:X144*H142:H144),"0")</f>
        <v>0</v>
      </c>
      <c r="Y146" s="43">
        <f>IFERROR(SUMPRODUCT(Y142:Y144*H142:H144),"0")</f>
        <v>0</v>
      </c>
      <c r="Z146" s="42"/>
      <c r="AA146" s="67"/>
      <c r="AB146" s="67"/>
      <c r="AC146" s="67"/>
    </row>
    <row r="147" spans="1:68" ht="16.5" customHeight="1" x14ac:dyDescent="0.25">
      <c r="A147" s="323" t="s">
        <v>251</v>
      </c>
      <c r="B147" s="323"/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65"/>
      <c r="AB147" s="65"/>
      <c r="AC147" s="82"/>
    </row>
    <row r="148" spans="1:68" ht="14.25" customHeight="1" x14ac:dyDescent="0.25">
      <c r="A148" s="311" t="s">
        <v>157</v>
      </c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4301135555</v>
      </c>
      <c r="D149" s="293">
        <v>4607111034014</v>
      </c>
      <c r="E149" s="293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3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295"/>
      <c r="R149" s="295"/>
      <c r="S149" s="295"/>
      <c r="T149" s="296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254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27" customHeight="1" x14ac:dyDescent="0.25">
      <c r="A150" s="63" t="s">
        <v>255</v>
      </c>
      <c r="B150" s="63" t="s">
        <v>256</v>
      </c>
      <c r="C150" s="36">
        <v>4301135532</v>
      </c>
      <c r="D150" s="293">
        <v>4607111033994</v>
      </c>
      <c r="E150" s="293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119</v>
      </c>
      <c r="M150" s="38" t="s">
        <v>86</v>
      </c>
      <c r="N150" s="38"/>
      <c r="O150" s="37">
        <v>180</v>
      </c>
      <c r="P150" s="3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295"/>
      <c r="R150" s="295"/>
      <c r="S150" s="295"/>
      <c r="T150" s="296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3" t="s">
        <v>175</v>
      </c>
      <c r="AG150" s="81"/>
      <c r="AJ150" s="87" t="s">
        <v>120</v>
      </c>
      <c r="AK150" s="87">
        <v>14</v>
      </c>
      <c r="BB150" s="204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1"/>
      <c r="P151" s="297" t="s">
        <v>40</v>
      </c>
      <c r="Q151" s="298"/>
      <c r="R151" s="298"/>
      <c r="S151" s="298"/>
      <c r="T151" s="298"/>
      <c r="U151" s="298"/>
      <c r="V151" s="299"/>
      <c r="W151" s="42" t="s">
        <v>39</v>
      </c>
      <c r="X151" s="43">
        <f>IFERROR(SUM(X149:X150),"0")</f>
        <v>0</v>
      </c>
      <c r="Y151" s="43">
        <f>IFERROR(SUM(Y149:Y150),"0")</f>
        <v>0</v>
      </c>
      <c r="Z151" s="43">
        <f>IFERROR(IF(Z149="",0,Z149),"0")+IFERROR(IF(Z150="",0,Z150),"0")</f>
        <v>0</v>
      </c>
      <c r="AA151" s="67"/>
      <c r="AB151" s="67"/>
      <c r="AC151" s="67"/>
    </row>
    <row r="152" spans="1:68" x14ac:dyDescent="0.2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1"/>
      <c r="P152" s="297" t="s">
        <v>40</v>
      </c>
      <c r="Q152" s="298"/>
      <c r="R152" s="298"/>
      <c r="S152" s="298"/>
      <c r="T152" s="298"/>
      <c r="U152" s="298"/>
      <c r="V152" s="299"/>
      <c r="W152" s="42" t="s">
        <v>0</v>
      </c>
      <c r="X152" s="43">
        <f>IFERROR(SUMPRODUCT(X149:X150*H149:H150),"0")</f>
        <v>0</v>
      </c>
      <c r="Y152" s="43">
        <f>IFERROR(SUMPRODUCT(Y149:Y150*H149:H150),"0")</f>
        <v>0</v>
      </c>
      <c r="Z152" s="42"/>
      <c r="AA152" s="67"/>
      <c r="AB152" s="67"/>
      <c r="AC152" s="67"/>
    </row>
    <row r="153" spans="1:68" ht="16.5" customHeight="1" x14ac:dyDescent="0.25">
      <c r="A153" s="323" t="s">
        <v>257</v>
      </c>
      <c r="B153" s="323"/>
      <c r="C153" s="323"/>
      <c r="D153" s="323"/>
      <c r="E153" s="323"/>
      <c r="F153" s="323"/>
      <c r="G153" s="323"/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65"/>
      <c r="AB153" s="65"/>
      <c r="AC153" s="82"/>
    </row>
    <row r="154" spans="1:68" ht="14.25" customHeight="1" x14ac:dyDescent="0.25">
      <c r="A154" s="311" t="s">
        <v>157</v>
      </c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4301135824</v>
      </c>
      <c r="D155" s="293">
        <v>4607111039095</v>
      </c>
      <c r="E155" s="293"/>
      <c r="F155" s="62">
        <v>0.25</v>
      </c>
      <c r="G155" s="37">
        <v>12</v>
      </c>
      <c r="H155" s="62">
        <v>3</v>
      </c>
      <c r="I155" s="62">
        <v>3.7480000000000002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4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295"/>
      <c r="R155" s="295"/>
      <c r="S155" s="295"/>
      <c r="T155" s="296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16.5" customHeight="1" x14ac:dyDescent="0.25">
      <c r="A156" s="63" t="s">
        <v>261</v>
      </c>
      <c r="B156" s="63" t="s">
        <v>262</v>
      </c>
      <c r="C156" s="36">
        <v>4301135550</v>
      </c>
      <c r="D156" s="293">
        <v>4607111034199</v>
      </c>
      <c r="E156" s="293"/>
      <c r="F156" s="62">
        <v>0.25</v>
      </c>
      <c r="G156" s="37">
        <v>12</v>
      </c>
      <c r="H156" s="62">
        <v>3</v>
      </c>
      <c r="I156" s="62">
        <v>3.7035999999999998</v>
      </c>
      <c r="J156" s="37">
        <v>70</v>
      </c>
      <c r="K156" s="37" t="s">
        <v>118</v>
      </c>
      <c r="L156" s="37" t="s">
        <v>119</v>
      </c>
      <c r="M156" s="38" t="s">
        <v>86</v>
      </c>
      <c r="N156" s="38"/>
      <c r="O156" s="37">
        <v>180</v>
      </c>
      <c r="P156" s="34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295"/>
      <c r="R156" s="295"/>
      <c r="S156" s="295"/>
      <c r="T156" s="296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7" t="s">
        <v>263</v>
      </c>
      <c r="AG156" s="81"/>
      <c r="AJ156" s="87" t="s">
        <v>120</v>
      </c>
      <c r="AK156" s="87">
        <v>14</v>
      </c>
      <c r="BB156" s="208" t="s">
        <v>117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1"/>
      <c r="P157" s="297" t="s">
        <v>40</v>
      </c>
      <c r="Q157" s="298"/>
      <c r="R157" s="298"/>
      <c r="S157" s="298"/>
      <c r="T157" s="298"/>
      <c r="U157" s="298"/>
      <c r="V157" s="299"/>
      <c r="W157" s="42" t="s">
        <v>39</v>
      </c>
      <c r="X157" s="43">
        <f>IFERROR(SUM(X155:X156),"0")</f>
        <v>0</v>
      </c>
      <c r="Y157" s="43">
        <f>IFERROR(SUM(Y155:Y156),"0")</f>
        <v>0</v>
      </c>
      <c r="Z157" s="43">
        <f>IFERROR(IF(Z155="",0,Z155),"0")+IFERROR(IF(Z156="",0,Z156),"0")</f>
        <v>0</v>
      </c>
      <c r="AA157" s="67"/>
      <c r="AB157" s="67"/>
      <c r="AC157" s="67"/>
    </row>
    <row r="158" spans="1:68" x14ac:dyDescent="0.2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1"/>
      <c r="P158" s="297" t="s">
        <v>40</v>
      </c>
      <c r="Q158" s="298"/>
      <c r="R158" s="298"/>
      <c r="S158" s="298"/>
      <c r="T158" s="298"/>
      <c r="U158" s="298"/>
      <c r="V158" s="299"/>
      <c r="W158" s="42" t="s">
        <v>0</v>
      </c>
      <c r="X158" s="43">
        <f>IFERROR(SUMPRODUCT(X155:X156*H155:H156),"0")</f>
        <v>0</v>
      </c>
      <c r="Y158" s="43">
        <f>IFERROR(SUMPRODUCT(Y155:Y156*H155:H156),"0")</f>
        <v>0</v>
      </c>
      <c r="Z158" s="42"/>
      <c r="AA158" s="67"/>
      <c r="AB158" s="67"/>
      <c r="AC158" s="67"/>
    </row>
    <row r="159" spans="1:68" ht="16.5" customHeight="1" x14ac:dyDescent="0.25">
      <c r="A159" s="323" t="s">
        <v>264</v>
      </c>
      <c r="B159" s="323"/>
      <c r="C159" s="323"/>
      <c r="D159" s="323"/>
      <c r="E159" s="323"/>
      <c r="F159" s="323"/>
      <c r="G159" s="323"/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65"/>
      <c r="AB159" s="65"/>
      <c r="AC159" s="82"/>
    </row>
    <row r="160" spans="1:68" ht="14.25" customHeight="1" x14ac:dyDescent="0.25">
      <c r="A160" s="311" t="s">
        <v>157</v>
      </c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66"/>
      <c r="AB160" s="66"/>
      <c r="AC160" s="83"/>
    </row>
    <row r="161" spans="1:68" ht="27" customHeight="1" x14ac:dyDescent="0.25">
      <c r="A161" s="63" t="s">
        <v>265</v>
      </c>
      <c r="B161" s="63" t="s">
        <v>266</v>
      </c>
      <c r="C161" s="36">
        <v>4301135753</v>
      </c>
      <c r="D161" s="293">
        <v>4620207490914</v>
      </c>
      <c r="E161" s="293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3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295"/>
      <c r="R161" s="295"/>
      <c r="S161" s="295"/>
      <c r="T161" s="296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254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267</v>
      </c>
      <c r="B162" s="63" t="s">
        <v>268</v>
      </c>
      <c r="C162" s="36">
        <v>4301135778</v>
      </c>
      <c r="D162" s="293">
        <v>4620207490853</v>
      </c>
      <c r="E162" s="293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119</v>
      </c>
      <c r="M162" s="38" t="s">
        <v>86</v>
      </c>
      <c r="N162" s="38"/>
      <c r="O162" s="37">
        <v>180</v>
      </c>
      <c r="P162" s="34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295"/>
      <c r="R162" s="295"/>
      <c r="S162" s="295"/>
      <c r="T162" s="296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11" t="s">
        <v>254</v>
      </c>
      <c r="AG162" s="81"/>
      <c r="AJ162" s="87" t="s">
        <v>120</v>
      </c>
      <c r="AK162" s="87">
        <v>14</v>
      </c>
      <c r="BB162" s="212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1"/>
      <c r="P163" s="297" t="s">
        <v>40</v>
      </c>
      <c r="Q163" s="298"/>
      <c r="R163" s="298"/>
      <c r="S163" s="298"/>
      <c r="T163" s="298"/>
      <c r="U163" s="298"/>
      <c r="V163" s="299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1"/>
      <c r="P164" s="297" t="s">
        <v>40</v>
      </c>
      <c r="Q164" s="298"/>
      <c r="R164" s="298"/>
      <c r="S164" s="298"/>
      <c r="T164" s="298"/>
      <c r="U164" s="298"/>
      <c r="V164" s="299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16.5" customHeight="1" x14ac:dyDescent="0.25">
      <c r="A165" s="323" t="s">
        <v>269</v>
      </c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65"/>
      <c r="AB165" s="65"/>
      <c r="AC165" s="82"/>
    </row>
    <row r="166" spans="1:68" ht="14.25" customHeight="1" x14ac:dyDescent="0.25">
      <c r="A166" s="311" t="s">
        <v>157</v>
      </c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66"/>
      <c r="AB166" s="66"/>
      <c r="AC166" s="83"/>
    </row>
    <row r="167" spans="1:68" ht="27" customHeight="1" x14ac:dyDescent="0.25">
      <c r="A167" s="63" t="s">
        <v>270</v>
      </c>
      <c r="B167" s="63" t="s">
        <v>271</v>
      </c>
      <c r="C167" s="36">
        <v>4301135570</v>
      </c>
      <c r="D167" s="293">
        <v>4607111035806</v>
      </c>
      <c r="E167" s="293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295"/>
      <c r="R167" s="295"/>
      <c r="S167" s="295"/>
      <c r="T167" s="296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272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1"/>
      <c r="P168" s="297" t="s">
        <v>40</v>
      </c>
      <c r="Q168" s="298"/>
      <c r="R168" s="298"/>
      <c r="S168" s="298"/>
      <c r="T168" s="298"/>
      <c r="U168" s="298"/>
      <c r="V168" s="299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1"/>
      <c r="P169" s="297" t="s">
        <v>40</v>
      </c>
      <c r="Q169" s="298"/>
      <c r="R169" s="298"/>
      <c r="S169" s="298"/>
      <c r="T169" s="298"/>
      <c r="U169" s="298"/>
      <c r="V169" s="299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23" t="s">
        <v>273</v>
      </c>
      <c r="B170" s="323"/>
      <c r="C170" s="323"/>
      <c r="D170" s="323"/>
      <c r="E170" s="323"/>
      <c r="F170" s="323"/>
      <c r="G170" s="323"/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65"/>
      <c r="AB170" s="65"/>
      <c r="AC170" s="82"/>
    </row>
    <row r="171" spans="1:68" ht="14.25" customHeight="1" x14ac:dyDescent="0.25">
      <c r="A171" s="311" t="s">
        <v>157</v>
      </c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66"/>
      <c r="AB171" s="66"/>
      <c r="AC171" s="83"/>
    </row>
    <row r="172" spans="1:68" ht="16.5" customHeight="1" x14ac:dyDescent="0.25">
      <c r="A172" s="63" t="s">
        <v>274</v>
      </c>
      <c r="B172" s="63" t="s">
        <v>275</v>
      </c>
      <c r="C172" s="36">
        <v>4301135607</v>
      </c>
      <c r="D172" s="293">
        <v>4607111039613</v>
      </c>
      <c r="E172" s="293"/>
      <c r="F172" s="62">
        <v>0.09</v>
      </c>
      <c r="G172" s="37">
        <v>30</v>
      </c>
      <c r="H172" s="62">
        <v>2.7</v>
      </c>
      <c r="I172" s="62">
        <v>3.09</v>
      </c>
      <c r="J172" s="37">
        <v>126</v>
      </c>
      <c r="K172" s="37" t="s">
        <v>118</v>
      </c>
      <c r="L172" s="37" t="s">
        <v>119</v>
      </c>
      <c r="M172" s="38" t="s">
        <v>86</v>
      </c>
      <c r="N172" s="38"/>
      <c r="O172" s="37">
        <v>180</v>
      </c>
      <c r="P172" s="34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295"/>
      <c r="R172" s="295"/>
      <c r="S172" s="295"/>
      <c r="T172" s="296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IFERROR(IF(X172="","",X172*0.00936),"")</f>
        <v>0</v>
      </c>
      <c r="AA172" s="68" t="s">
        <v>46</v>
      </c>
      <c r="AB172" s="69" t="s">
        <v>46</v>
      </c>
      <c r="AC172" s="215" t="s">
        <v>260</v>
      </c>
      <c r="AG172" s="81"/>
      <c r="AJ172" s="87" t="s">
        <v>120</v>
      </c>
      <c r="AK172" s="87">
        <v>14</v>
      </c>
      <c r="BB172" s="216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1"/>
      <c r="P173" s="297" t="s">
        <v>40</v>
      </c>
      <c r="Q173" s="298"/>
      <c r="R173" s="298"/>
      <c r="S173" s="298"/>
      <c r="T173" s="298"/>
      <c r="U173" s="298"/>
      <c r="V173" s="299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1"/>
      <c r="P174" s="297" t="s">
        <v>40</v>
      </c>
      <c r="Q174" s="298"/>
      <c r="R174" s="298"/>
      <c r="S174" s="298"/>
      <c r="T174" s="298"/>
      <c r="U174" s="298"/>
      <c r="V174" s="299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16.5" customHeight="1" x14ac:dyDescent="0.25">
      <c r="A175" s="323" t="s">
        <v>276</v>
      </c>
      <c r="B175" s="323"/>
      <c r="C175" s="323"/>
      <c r="D175" s="323"/>
      <c r="E175" s="323"/>
      <c r="F175" s="323"/>
      <c r="G175" s="323"/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65"/>
      <c r="AB175" s="65"/>
      <c r="AC175" s="82"/>
    </row>
    <row r="176" spans="1:68" ht="14.25" customHeight="1" x14ac:dyDescent="0.25">
      <c r="A176" s="311" t="s">
        <v>157</v>
      </c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66"/>
      <c r="AB176" s="66"/>
      <c r="AC176" s="83"/>
    </row>
    <row r="177" spans="1:68" ht="27" customHeight="1" x14ac:dyDescent="0.25">
      <c r="A177" s="63" t="s">
        <v>277</v>
      </c>
      <c r="B177" s="63" t="s">
        <v>278</v>
      </c>
      <c r="C177" s="36">
        <v>4301135591</v>
      </c>
      <c r="D177" s="293">
        <v>4607111036568</v>
      </c>
      <c r="E177" s="293"/>
      <c r="F177" s="62">
        <v>0.28000000000000003</v>
      </c>
      <c r="G177" s="37">
        <v>6</v>
      </c>
      <c r="H177" s="62">
        <v>1.68</v>
      </c>
      <c r="I177" s="62">
        <v>2.1017999999999999</v>
      </c>
      <c r="J177" s="37">
        <v>140</v>
      </c>
      <c r="K177" s="37" t="s">
        <v>118</v>
      </c>
      <c r="L177" s="37" t="s">
        <v>88</v>
      </c>
      <c r="M177" s="38" t="s">
        <v>86</v>
      </c>
      <c r="N177" s="38"/>
      <c r="O177" s="37">
        <v>180</v>
      </c>
      <c r="P177" s="34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295"/>
      <c r="R177" s="295"/>
      <c r="S177" s="295"/>
      <c r="T177" s="296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IFERROR(IF(X177="","",X177*0.00941),"")</f>
        <v>0</v>
      </c>
      <c r="AA177" s="68" t="s">
        <v>46</v>
      </c>
      <c r="AB177" s="69" t="s">
        <v>46</v>
      </c>
      <c r="AC177" s="217" t="s">
        <v>279</v>
      </c>
      <c r="AG177" s="81"/>
      <c r="AJ177" s="87" t="s">
        <v>89</v>
      </c>
      <c r="AK177" s="87">
        <v>1</v>
      </c>
      <c r="BB177" s="218" t="s">
        <v>117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1"/>
      <c r="P178" s="297" t="s">
        <v>40</v>
      </c>
      <c r="Q178" s="298"/>
      <c r="R178" s="298"/>
      <c r="S178" s="298"/>
      <c r="T178" s="298"/>
      <c r="U178" s="298"/>
      <c r="V178" s="299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x14ac:dyDescent="0.2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1"/>
      <c r="P179" s="297" t="s">
        <v>40</v>
      </c>
      <c r="Q179" s="298"/>
      <c r="R179" s="298"/>
      <c r="S179" s="298"/>
      <c r="T179" s="298"/>
      <c r="U179" s="298"/>
      <c r="V179" s="299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27.75" customHeight="1" x14ac:dyDescent="0.2">
      <c r="A180" s="322" t="s">
        <v>280</v>
      </c>
      <c r="B180" s="322"/>
      <c r="C180" s="322"/>
      <c r="D180" s="322"/>
      <c r="E180" s="322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54"/>
      <c r="AB180" s="54"/>
      <c r="AC180" s="54"/>
    </row>
    <row r="181" spans="1:68" ht="16.5" customHeight="1" x14ac:dyDescent="0.25">
      <c r="A181" s="323" t="s">
        <v>281</v>
      </c>
      <c r="B181" s="323"/>
      <c r="C181" s="323"/>
      <c r="D181" s="323"/>
      <c r="E181" s="323"/>
      <c r="F181" s="323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65"/>
      <c r="AB181" s="65"/>
      <c r="AC181" s="82"/>
    </row>
    <row r="182" spans="1:68" ht="14.25" customHeight="1" x14ac:dyDescent="0.25">
      <c r="A182" s="311" t="s">
        <v>82</v>
      </c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66"/>
      <c r="AB182" s="66"/>
      <c r="AC182" s="83"/>
    </row>
    <row r="183" spans="1:68" ht="16.5" customHeight="1" x14ac:dyDescent="0.25">
      <c r="A183" s="63" t="s">
        <v>282</v>
      </c>
      <c r="B183" s="63" t="s">
        <v>283</v>
      </c>
      <c r="C183" s="36">
        <v>4301071062</v>
      </c>
      <c r="D183" s="293">
        <v>4607111036384</v>
      </c>
      <c r="E183" s="293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34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295"/>
      <c r="R183" s="295"/>
      <c r="S183" s="295"/>
      <c r="T183" s="296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284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285</v>
      </c>
      <c r="B184" s="63" t="s">
        <v>286</v>
      </c>
      <c r="C184" s="36">
        <v>4301071050</v>
      </c>
      <c r="D184" s="293">
        <v>4607111036216</v>
      </c>
      <c r="E184" s="293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87</v>
      </c>
      <c r="L184" s="37" t="s">
        <v>119</v>
      </c>
      <c r="M184" s="38" t="s">
        <v>86</v>
      </c>
      <c r="N184" s="38"/>
      <c r="O184" s="37">
        <v>180</v>
      </c>
      <c r="P184" s="3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295"/>
      <c r="R184" s="295"/>
      <c r="S184" s="295"/>
      <c r="T184" s="296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21" t="s">
        <v>287</v>
      </c>
      <c r="AG184" s="81"/>
      <c r="AJ184" s="87" t="s">
        <v>120</v>
      </c>
      <c r="AK184" s="87">
        <v>12</v>
      </c>
      <c r="BB184" s="222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1"/>
      <c r="P185" s="297" t="s">
        <v>40</v>
      </c>
      <c r="Q185" s="298"/>
      <c r="R185" s="298"/>
      <c r="S185" s="298"/>
      <c r="T185" s="298"/>
      <c r="U185" s="298"/>
      <c r="V185" s="299"/>
      <c r="W185" s="42" t="s">
        <v>39</v>
      </c>
      <c r="X185" s="43">
        <f>IFERROR(SUM(X183:X184),"0")</f>
        <v>0</v>
      </c>
      <c r="Y185" s="43">
        <f>IFERROR(SUM(Y183:Y184),"0")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x14ac:dyDescent="0.2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1"/>
      <c r="P186" s="297" t="s">
        <v>40</v>
      </c>
      <c r="Q186" s="298"/>
      <c r="R186" s="298"/>
      <c r="S186" s="298"/>
      <c r="T186" s="298"/>
      <c r="U186" s="298"/>
      <c r="V186" s="299"/>
      <c r="W186" s="42" t="s">
        <v>0</v>
      </c>
      <c r="X186" s="43">
        <f>IFERROR(SUMPRODUCT(X183:X184*H183:H184),"0")</f>
        <v>0</v>
      </c>
      <c r="Y186" s="43">
        <f>IFERROR(SUMPRODUCT(Y183:Y184*H183:H184),"0")</f>
        <v>0</v>
      </c>
      <c r="Z186" s="42"/>
      <c r="AA186" s="67"/>
      <c r="AB186" s="67"/>
      <c r="AC186" s="67"/>
    </row>
    <row r="187" spans="1:68" ht="16.5" customHeight="1" x14ac:dyDescent="0.25">
      <c r="A187" s="323" t="s">
        <v>288</v>
      </c>
      <c r="B187" s="323"/>
      <c r="C187" s="323"/>
      <c r="D187" s="323"/>
      <c r="E187" s="323"/>
      <c r="F187" s="323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65"/>
      <c r="AB187" s="65"/>
      <c r="AC187" s="82"/>
    </row>
    <row r="188" spans="1:68" ht="14.25" customHeight="1" x14ac:dyDescent="0.25">
      <c r="A188" s="311" t="s">
        <v>82</v>
      </c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66"/>
      <c r="AB188" s="66"/>
      <c r="AC188" s="83"/>
    </row>
    <row r="189" spans="1:68" ht="27" customHeight="1" x14ac:dyDescent="0.25">
      <c r="A189" s="63" t="s">
        <v>289</v>
      </c>
      <c r="B189" s="63" t="s">
        <v>290</v>
      </c>
      <c r="C189" s="36">
        <v>4301071117</v>
      </c>
      <c r="D189" s="293">
        <v>4620207491737</v>
      </c>
      <c r="E189" s="293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295"/>
      <c r="R189" s="295"/>
      <c r="S189" s="295"/>
      <c r="T189" s="296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23" t="s">
        <v>287</v>
      </c>
      <c r="AG189" s="81"/>
      <c r="AJ189" s="87" t="s">
        <v>89</v>
      </c>
      <c r="AK189" s="87">
        <v>1</v>
      </c>
      <c r="BB189" s="224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1"/>
      <c r="P190" s="297" t="s">
        <v>40</v>
      </c>
      <c r="Q190" s="298"/>
      <c r="R190" s="298"/>
      <c r="S190" s="298"/>
      <c r="T190" s="298"/>
      <c r="U190" s="298"/>
      <c r="V190" s="299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1"/>
      <c r="P191" s="297" t="s">
        <v>40</v>
      </c>
      <c r="Q191" s="298"/>
      <c r="R191" s="298"/>
      <c r="S191" s="298"/>
      <c r="T191" s="298"/>
      <c r="U191" s="298"/>
      <c r="V191" s="299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27.75" customHeight="1" x14ac:dyDescent="0.2">
      <c r="A192" s="322" t="s">
        <v>291</v>
      </c>
      <c r="B192" s="322"/>
      <c r="C192" s="322"/>
      <c r="D192" s="322"/>
      <c r="E192" s="322"/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54"/>
      <c r="AB192" s="54"/>
      <c r="AC192" s="54"/>
    </row>
    <row r="193" spans="1:68" ht="16.5" customHeight="1" x14ac:dyDescent="0.25">
      <c r="A193" s="323" t="s">
        <v>292</v>
      </c>
      <c r="B193" s="323"/>
      <c r="C193" s="323"/>
      <c r="D193" s="323"/>
      <c r="E193" s="323"/>
      <c r="F193" s="323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65"/>
      <c r="AB193" s="65"/>
      <c r="AC193" s="82"/>
    </row>
    <row r="194" spans="1:68" ht="14.25" customHeight="1" x14ac:dyDescent="0.25">
      <c r="A194" s="311" t="s">
        <v>113</v>
      </c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66"/>
      <c r="AB194" s="66"/>
      <c r="AC194" s="83"/>
    </row>
    <row r="195" spans="1:68" ht="16.5" customHeight="1" x14ac:dyDescent="0.25">
      <c r="A195" s="63" t="s">
        <v>293</v>
      </c>
      <c r="B195" s="63" t="s">
        <v>294</v>
      </c>
      <c r="C195" s="36">
        <v>4301132179</v>
      </c>
      <c r="D195" s="293">
        <v>4607111035691</v>
      </c>
      <c r="E195" s="293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3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295"/>
      <c r="R195" s="295"/>
      <c r="S195" s="295"/>
      <c r="T195" s="296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295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296</v>
      </c>
      <c r="B196" s="63" t="s">
        <v>297</v>
      </c>
      <c r="C196" s="36">
        <v>4301132182</v>
      </c>
      <c r="D196" s="293">
        <v>4607111035721</v>
      </c>
      <c r="E196" s="293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365</v>
      </c>
      <c r="P196" s="3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295"/>
      <c r="R196" s="295"/>
      <c r="S196" s="295"/>
      <c r="T196" s="296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298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299</v>
      </c>
      <c r="B197" s="63" t="s">
        <v>300</v>
      </c>
      <c r="C197" s="36">
        <v>4301132170</v>
      </c>
      <c r="D197" s="293">
        <v>4607111038487</v>
      </c>
      <c r="E197" s="293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118</v>
      </c>
      <c r="L197" s="37" t="s">
        <v>119</v>
      </c>
      <c r="M197" s="38" t="s">
        <v>86</v>
      </c>
      <c r="N197" s="38"/>
      <c r="O197" s="37">
        <v>180</v>
      </c>
      <c r="P197" s="3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295"/>
      <c r="R197" s="295"/>
      <c r="S197" s="295"/>
      <c r="T197" s="296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301</v>
      </c>
      <c r="AG197" s="81"/>
      <c r="AJ197" s="87" t="s">
        <v>120</v>
      </c>
      <c r="AK197" s="87">
        <v>14</v>
      </c>
      <c r="BB197" s="230" t="s">
        <v>117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302</v>
      </c>
      <c r="B198" s="63" t="s">
        <v>303</v>
      </c>
      <c r="C198" s="36">
        <v>4301132243</v>
      </c>
      <c r="D198" s="293">
        <v>4620207491195</v>
      </c>
      <c r="E198" s="293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118</v>
      </c>
      <c r="L198" s="37" t="s">
        <v>88</v>
      </c>
      <c r="M198" s="38" t="s">
        <v>86</v>
      </c>
      <c r="N198" s="38"/>
      <c r="O198" s="37">
        <v>180</v>
      </c>
      <c r="P198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295"/>
      <c r="R198" s="295"/>
      <c r="S198" s="295"/>
      <c r="T198" s="296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31" t="s">
        <v>304</v>
      </c>
      <c r="AG198" s="81"/>
      <c r="AJ198" s="87" t="s">
        <v>89</v>
      </c>
      <c r="AK198" s="87">
        <v>1</v>
      </c>
      <c r="BB198" s="232" t="s">
        <v>117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1"/>
      <c r="P199" s="297" t="s">
        <v>40</v>
      </c>
      <c r="Q199" s="298"/>
      <c r="R199" s="298"/>
      <c r="S199" s="298"/>
      <c r="T199" s="298"/>
      <c r="U199" s="298"/>
      <c r="V199" s="299"/>
      <c r="W199" s="42" t="s">
        <v>39</v>
      </c>
      <c r="X199" s="43">
        <f>IFERROR(SUM(X195:X198),"0")</f>
        <v>0</v>
      </c>
      <c r="Y199" s="43">
        <f>IFERROR(SUM(Y195:Y198),"0")</f>
        <v>0</v>
      </c>
      <c r="Z199" s="43">
        <f>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1"/>
      <c r="P200" s="297" t="s">
        <v>40</v>
      </c>
      <c r="Q200" s="298"/>
      <c r="R200" s="298"/>
      <c r="S200" s="298"/>
      <c r="T200" s="298"/>
      <c r="U200" s="298"/>
      <c r="V200" s="299"/>
      <c r="W200" s="42" t="s">
        <v>0</v>
      </c>
      <c r="X200" s="43">
        <f>IFERROR(SUMPRODUCT(X195:X198*H195:H198),"0")</f>
        <v>0</v>
      </c>
      <c r="Y200" s="43">
        <f>IFERROR(SUMPRODUCT(Y195:Y198*H195:H198),"0")</f>
        <v>0</v>
      </c>
      <c r="Z200" s="42"/>
      <c r="AA200" s="67"/>
      <c r="AB200" s="67"/>
      <c r="AC200" s="67"/>
    </row>
    <row r="201" spans="1:68" ht="27.75" customHeight="1" x14ac:dyDescent="0.2">
      <c r="A201" s="322" t="s">
        <v>305</v>
      </c>
      <c r="B201" s="322"/>
      <c r="C201" s="322"/>
      <c r="D201" s="322"/>
      <c r="E201" s="322"/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54"/>
      <c r="AB201" s="54"/>
      <c r="AC201" s="54"/>
    </row>
    <row r="202" spans="1:68" ht="16.5" customHeight="1" x14ac:dyDescent="0.25">
      <c r="A202" s="323" t="s">
        <v>306</v>
      </c>
      <c r="B202" s="323"/>
      <c r="C202" s="323"/>
      <c r="D202" s="323"/>
      <c r="E202" s="323"/>
      <c r="F202" s="323"/>
      <c r="G202" s="323"/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65"/>
      <c r="AB202" s="65"/>
      <c r="AC202" s="82"/>
    </row>
    <row r="203" spans="1:68" ht="14.25" customHeight="1" x14ac:dyDescent="0.25">
      <c r="A203" s="311" t="s">
        <v>113</v>
      </c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4301132227</v>
      </c>
      <c r="D204" s="293">
        <v>4620207491133</v>
      </c>
      <c r="E204" s="293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3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295"/>
      <c r="R204" s="295"/>
      <c r="S204" s="295"/>
      <c r="T204" s="296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1"/>
      <c r="P205" s="297" t="s">
        <v>40</v>
      </c>
      <c r="Q205" s="298"/>
      <c r="R205" s="298"/>
      <c r="S205" s="298"/>
      <c r="T205" s="298"/>
      <c r="U205" s="298"/>
      <c r="V205" s="29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1"/>
      <c r="P206" s="297" t="s">
        <v>40</v>
      </c>
      <c r="Q206" s="298"/>
      <c r="R206" s="298"/>
      <c r="S206" s="298"/>
      <c r="T206" s="298"/>
      <c r="U206" s="298"/>
      <c r="V206" s="29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customHeight="1" x14ac:dyDescent="0.25">
      <c r="A207" s="311" t="s">
        <v>157</v>
      </c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66"/>
      <c r="AB207" s="66"/>
      <c r="AC207" s="83"/>
    </row>
    <row r="208" spans="1:68" ht="27" customHeight="1" x14ac:dyDescent="0.25">
      <c r="A208" s="63" t="s">
        <v>310</v>
      </c>
      <c r="B208" s="63" t="s">
        <v>311</v>
      </c>
      <c r="C208" s="36">
        <v>4301135834</v>
      </c>
      <c r="D208" s="293">
        <v>4620207491188</v>
      </c>
      <c r="E208" s="293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3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295"/>
      <c r="R208" s="295"/>
      <c r="S208" s="295"/>
      <c r="T208" s="296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312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313</v>
      </c>
      <c r="B209" s="63" t="s">
        <v>314</v>
      </c>
      <c r="C209" s="36">
        <v>4301135829</v>
      </c>
      <c r="D209" s="293">
        <v>4620207490235</v>
      </c>
      <c r="E209" s="293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88</v>
      </c>
      <c r="M209" s="38" t="s">
        <v>86</v>
      </c>
      <c r="N209" s="38"/>
      <c r="O209" s="37">
        <v>180</v>
      </c>
      <c r="P209" s="3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295"/>
      <c r="R209" s="295"/>
      <c r="S209" s="295"/>
      <c r="T209" s="296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315</v>
      </c>
      <c r="AG209" s="81"/>
      <c r="AJ209" s="87" t="s">
        <v>89</v>
      </c>
      <c r="AK209" s="87">
        <v>1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316</v>
      </c>
      <c r="B210" s="63" t="s">
        <v>317</v>
      </c>
      <c r="C210" s="36">
        <v>4301135697</v>
      </c>
      <c r="D210" s="293">
        <v>4620207490259</v>
      </c>
      <c r="E210" s="293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119</v>
      </c>
      <c r="M210" s="38" t="s">
        <v>86</v>
      </c>
      <c r="N210" s="38"/>
      <c r="O210" s="37">
        <v>180</v>
      </c>
      <c r="P210" s="3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295"/>
      <c r="R210" s="295"/>
      <c r="S210" s="295"/>
      <c r="T210" s="296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120</v>
      </c>
      <c r="AK210" s="87">
        <v>14</v>
      </c>
      <c r="BB210" s="240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1"/>
      <c r="P211" s="297" t="s">
        <v>40</v>
      </c>
      <c r="Q211" s="298"/>
      <c r="R211" s="298"/>
      <c r="S211" s="298"/>
      <c r="T211" s="298"/>
      <c r="U211" s="298"/>
      <c r="V211" s="299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1"/>
      <c r="P212" s="297" t="s">
        <v>40</v>
      </c>
      <c r="Q212" s="298"/>
      <c r="R212" s="298"/>
      <c r="S212" s="298"/>
      <c r="T212" s="298"/>
      <c r="U212" s="298"/>
      <c r="V212" s="299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customHeight="1" x14ac:dyDescent="0.25">
      <c r="A213" s="323" t="s">
        <v>319</v>
      </c>
      <c r="B213" s="323"/>
      <c r="C213" s="323"/>
      <c r="D213" s="323"/>
      <c r="E213" s="323"/>
      <c r="F213" s="323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65"/>
      <c r="AB213" s="65"/>
      <c r="AC213" s="82"/>
    </row>
    <row r="214" spans="1:68" ht="14.25" customHeight="1" x14ac:dyDescent="0.25">
      <c r="A214" s="311" t="s">
        <v>157</v>
      </c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66"/>
      <c r="AB214" s="66"/>
      <c r="AC214" s="83"/>
    </row>
    <row r="215" spans="1:68" ht="27" customHeight="1" x14ac:dyDescent="0.25">
      <c r="A215" s="63" t="s">
        <v>320</v>
      </c>
      <c r="B215" s="63" t="s">
        <v>321</v>
      </c>
      <c r="C215" s="36">
        <v>4301135854</v>
      </c>
      <c r="D215" s="293">
        <v>4620207491706</v>
      </c>
      <c r="E215" s="293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33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295"/>
      <c r="R215" s="295"/>
      <c r="S215" s="295"/>
      <c r="T215" s="296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323</v>
      </c>
      <c r="B216" s="63" t="s">
        <v>324</v>
      </c>
      <c r="C216" s="36">
        <v>4301135895</v>
      </c>
      <c r="D216" s="293">
        <v>4620207491522</v>
      </c>
      <c r="E216" s="293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118</v>
      </c>
      <c r="L216" s="37" t="s">
        <v>88</v>
      </c>
      <c r="M216" s="38" t="s">
        <v>86</v>
      </c>
      <c r="N216" s="38"/>
      <c r="O216" s="37">
        <v>180</v>
      </c>
      <c r="P216" s="33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295"/>
      <c r="R216" s="295"/>
      <c r="S216" s="295"/>
      <c r="T216" s="296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325</v>
      </c>
      <c r="AG216" s="81"/>
      <c r="AJ216" s="87" t="s">
        <v>89</v>
      </c>
      <c r="AK216" s="87">
        <v>1</v>
      </c>
      <c r="BB216" s="244" t="s">
        <v>117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1"/>
      <c r="P217" s="297" t="s">
        <v>40</v>
      </c>
      <c r="Q217" s="298"/>
      <c r="R217" s="298"/>
      <c r="S217" s="298"/>
      <c r="T217" s="298"/>
      <c r="U217" s="298"/>
      <c r="V217" s="299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1"/>
      <c r="P218" s="297" t="s">
        <v>40</v>
      </c>
      <c r="Q218" s="298"/>
      <c r="R218" s="298"/>
      <c r="S218" s="298"/>
      <c r="T218" s="298"/>
      <c r="U218" s="298"/>
      <c r="V218" s="299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customHeight="1" x14ac:dyDescent="0.25">
      <c r="A219" s="323" t="s">
        <v>326</v>
      </c>
      <c r="B219" s="323"/>
      <c r="C219" s="323"/>
      <c r="D219" s="323"/>
      <c r="E219" s="323"/>
      <c r="F219" s="323"/>
      <c r="G219" s="323"/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65"/>
      <c r="AB219" s="65"/>
      <c r="AC219" s="82"/>
    </row>
    <row r="220" spans="1:68" ht="14.25" customHeight="1" x14ac:dyDescent="0.25">
      <c r="A220" s="311" t="s">
        <v>82</v>
      </c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4301071097</v>
      </c>
      <c r="D221" s="293">
        <v>4620207491096</v>
      </c>
      <c r="E221" s="293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87</v>
      </c>
      <c r="L221" s="37" t="s">
        <v>119</v>
      </c>
      <c r="M221" s="38" t="s">
        <v>86</v>
      </c>
      <c r="N221" s="38"/>
      <c r="O221" s="37">
        <v>180</v>
      </c>
      <c r="P221" s="32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295"/>
      <c r="R221" s="295"/>
      <c r="S221" s="295"/>
      <c r="T221" s="296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45" t="s">
        <v>329</v>
      </c>
      <c r="AG221" s="81"/>
      <c r="AJ221" s="87" t="s">
        <v>120</v>
      </c>
      <c r="AK221" s="87">
        <v>12</v>
      </c>
      <c r="BB221" s="246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1"/>
      <c r="P222" s="297" t="s">
        <v>40</v>
      </c>
      <c r="Q222" s="298"/>
      <c r="R222" s="298"/>
      <c r="S222" s="298"/>
      <c r="T222" s="298"/>
      <c r="U222" s="298"/>
      <c r="V222" s="29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1"/>
      <c r="P223" s="297" t="s">
        <v>40</v>
      </c>
      <c r="Q223" s="298"/>
      <c r="R223" s="298"/>
      <c r="S223" s="298"/>
      <c r="T223" s="298"/>
      <c r="U223" s="298"/>
      <c r="V223" s="29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16.5" customHeight="1" x14ac:dyDescent="0.25">
      <c r="A224" s="323" t="s">
        <v>330</v>
      </c>
      <c r="B224" s="323"/>
      <c r="C224" s="323"/>
      <c r="D224" s="323"/>
      <c r="E224" s="323"/>
      <c r="F224" s="323"/>
      <c r="G224" s="323"/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65"/>
      <c r="AB224" s="65"/>
      <c r="AC224" s="82"/>
    </row>
    <row r="225" spans="1:68" ht="14.25" customHeight="1" x14ac:dyDescent="0.25">
      <c r="A225" s="311" t="s">
        <v>157</v>
      </c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66"/>
      <c r="AB225" s="66"/>
      <c r="AC225" s="83"/>
    </row>
    <row r="226" spans="1:68" ht="27" customHeight="1" x14ac:dyDescent="0.25">
      <c r="A226" s="63" t="s">
        <v>331</v>
      </c>
      <c r="B226" s="63" t="s">
        <v>332</v>
      </c>
      <c r="C226" s="36">
        <v>4301135694</v>
      </c>
      <c r="D226" s="293">
        <v>4620207490501</v>
      </c>
      <c r="E226" s="293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3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295"/>
      <c r="R226" s="295"/>
      <c r="S226" s="295"/>
      <c r="T226" s="296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7" t="s">
        <v>333</v>
      </c>
      <c r="AG226" s="81"/>
      <c r="AJ226" s="87" t="s">
        <v>89</v>
      </c>
      <c r="AK226" s="87">
        <v>1</v>
      </c>
      <c r="BB226" s="248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1"/>
      <c r="P227" s="297" t="s">
        <v>40</v>
      </c>
      <c r="Q227" s="298"/>
      <c r="R227" s="298"/>
      <c r="S227" s="298"/>
      <c r="T227" s="298"/>
      <c r="U227" s="298"/>
      <c r="V227" s="29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1"/>
      <c r="P228" s="297" t="s">
        <v>40</v>
      </c>
      <c r="Q228" s="298"/>
      <c r="R228" s="298"/>
      <c r="S228" s="298"/>
      <c r="T228" s="298"/>
      <c r="U228" s="298"/>
      <c r="V228" s="29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22" t="s">
        <v>334</v>
      </c>
      <c r="B229" s="322"/>
      <c r="C229" s="322"/>
      <c r="D229" s="322"/>
      <c r="E229" s="322"/>
      <c r="F229" s="322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54"/>
      <c r="AB229" s="54"/>
      <c r="AC229" s="54"/>
    </row>
    <row r="230" spans="1:68" ht="16.5" customHeight="1" x14ac:dyDescent="0.25">
      <c r="A230" s="323" t="s">
        <v>335</v>
      </c>
      <c r="B230" s="323"/>
      <c r="C230" s="323"/>
      <c r="D230" s="323"/>
      <c r="E230" s="323"/>
      <c r="F230" s="323"/>
      <c r="G230" s="323"/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65"/>
      <c r="AB230" s="65"/>
      <c r="AC230" s="82"/>
    </row>
    <row r="231" spans="1:68" ht="14.25" customHeight="1" x14ac:dyDescent="0.25">
      <c r="A231" s="311" t="s">
        <v>82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66"/>
      <c r="AB231" s="66"/>
      <c r="AC231" s="83"/>
    </row>
    <row r="232" spans="1:68" ht="27" customHeight="1" x14ac:dyDescent="0.25">
      <c r="A232" s="63" t="s">
        <v>336</v>
      </c>
      <c r="B232" s="63" t="s">
        <v>337</v>
      </c>
      <c r="C232" s="36">
        <v>4301071036</v>
      </c>
      <c r="D232" s="293">
        <v>4607111036162</v>
      </c>
      <c r="E232" s="293"/>
      <c r="F232" s="62">
        <v>0.8</v>
      </c>
      <c r="G232" s="37">
        <v>8</v>
      </c>
      <c r="H232" s="62">
        <v>6.4</v>
      </c>
      <c r="I232" s="62">
        <v>6.6811999999999996</v>
      </c>
      <c r="J232" s="37">
        <v>84</v>
      </c>
      <c r="K232" s="37" t="s">
        <v>87</v>
      </c>
      <c r="L232" s="37" t="s">
        <v>88</v>
      </c>
      <c r="M232" s="38" t="s">
        <v>86</v>
      </c>
      <c r="N232" s="38"/>
      <c r="O232" s="37">
        <v>90</v>
      </c>
      <c r="P232" s="3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295"/>
      <c r="R232" s="295"/>
      <c r="S232" s="295"/>
      <c r="T232" s="296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9" t="s">
        <v>338</v>
      </c>
      <c r="AG232" s="81"/>
      <c r="AJ232" s="87" t="s">
        <v>89</v>
      </c>
      <c r="AK232" s="87">
        <v>1</v>
      </c>
      <c r="BB232" s="25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1"/>
      <c r="P233" s="297" t="s">
        <v>40</v>
      </c>
      <c r="Q233" s="298"/>
      <c r="R233" s="298"/>
      <c r="S233" s="298"/>
      <c r="T233" s="298"/>
      <c r="U233" s="298"/>
      <c r="V233" s="29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1"/>
      <c r="P234" s="297" t="s">
        <v>40</v>
      </c>
      <c r="Q234" s="298"/>
      <c r="R234" s="298"/>
      <c r="S234" s="298"/>
      <c r="T234" s="298"/>
      <c r="U234" s="298"/>
      <c r="V234" s="29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customHeight="1" x14ac:dyDescent="0.2">
      <c r="A235" s="322" t="s">
        <v>339</v>
      </c>
      <c r="B235" s="322"/>
      <c r="C235" s="322"/>
      <c r="D235" s="322"/>
      <c r="E235" s="322"/>
      <c r="F235" s="322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54"/>
      <c r="AB235" s="54"/>
      <c r="AC235" s="54"/>
    </row>
    <row r="236" spans="1:68" ht="16.5" customHeight="1" x14ac:dyDescent="0.25">
      <c r="A236" s="323" t="s">
        <v>340</v>
      </c>
      <c r="B236" s="323"/>
      <c r="C236" s="323"/>
      <c r="D236" s="323"/>
      <c r="E236" s="323"/>
      <c r="F236" s="323"/>
      <c r="G236" s="323"/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65"/>
      <c r="AB236" s="65"/>
      <c r="AC236" s="82"/>
    </row>
    <row r="237" spans="1:68" ht="14.25" customHeight="1" x14ac:dyDescent="0.25">
      <c r="A237" s="311" t="s">
        <v>341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66"/>
      <c r="AB237" s="66"/>
      <c r="AC237" s="83"/>
    </row>
    <row r="238" spans="1:68" ht="27" customHeight="1" x14ac:dyDescent="0.25">
      <c r="A238" s="63" t="s">
        <v>342</v>
      </c>
      <c r="B238" s="63" t="s">
        <v>343</v>
      </c>
      <c r="C238" s="36">
        <v>4301133004</v>
      </c>
      <c r="D238" s="293">
        <v>4607111039774</v>
      </c>
      <c r="E238" s="293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5"/>
      <c r="R238" s="295"/>
      <c r="S238" s="295"/>
      <c r="T238" s="296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344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1"/>
      <c r="P239" s="297" t="s">
        <v>40</v>
      </c>
      <c r="Q239" s="298"/>
      <c r="R239" s="298"/>
      <c r="S239" s="298"/>
      <c r="T239" s="298"/>
      <c r="U239" s="298"/>
      <c r="V239" s="299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1"/>
      <c r="P240" s="297" t="s">
        <v>40</v>
      </c>
      <c r="Q240" s="298"/>
      <c r="R240" s="298"/>
      <c r="S240" s="298"/>
      <c r="T240" s="298"/>
      <c r="U240" s="298"/>
      <c r="V240" s="299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customHeight="1" x14ac:dyDescent="0.25">
      <c r="A241" s="311" t="s">
        <v>157</v>
      </c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66"/>
      <c r="AB241" s="66"/>
      <c r="AC241" s="83"/>
    </row>
    <row r="242" spans="1:68" ht="37.5" customHeight="1" x14ac:dyDescent="0.25">
      <c r="A242" s="63" t="s">
        <v>345</v>
      </c>
      <c r="B242" s="63" t="s">
        <v>346</v>
      </c>
      <c r="C242" s="36">
        <v>4301135400</v>
      </c>
      <c r="D242" s="293">
        <v>4607111039361</v>
      </c>
      <c r="E242" s="293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5"/>
      <c r="R242" s="295"/>
      <c r="S242" s="295"/>
      <c r="T242" s="296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3" t="s">
        <v>344</v>
      </c>
      <c r="AG242" s="81"/>
      <c r="AJ242" s="87" t="s">
        <v>89</v>
      </c>
      <c r="AK242" s="87">
        <v>1</v>
      </c>
      <c r="BB242" s="254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1"/>
      <c r="P243" s="297" t="s">
        <v>40</v>
      </c>
      <c r="Q243" s="298"/>
      <c r="R243" s="298"/>
      <c r="S243" s="298"/>
      <c r="T243" s="298"/>
      <c r="U243" s="298"/>
      <c r="V243" s="29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1"/>
      <c r="P244" s="297" t="s">
        <v>40</v>
      </c>
      <c r="Q244" s="298"/>
      <c r="R244" s="298"/>
      <c r="S244" s="298"/>
      <c r="T244" s="298"/>
      <c r="U244" s="298"/>
      <c r="V244" s="29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customHeight="1" x14ac:dyDescent="0.2">
      <c r="A245" s="322" t="s">
        <v>347</v>
      </c>
      <c r="B245" s="322"/>
      <c r="C245" s="322"/>
      <c r="D245" s="322"/>
      <c r="E245" s="322"/>
      <c r="F245" s="322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54"/>
      <c r="AB245" s="54"/>
      <c r="AC245" s="54"/>
    </row>
    <row r="246" spans="1:68" ht="16.5" customHeight="1" x14ac:dyDescent="0.25">
      <c r="A246" s="323" t="s">
        <v>347</v>
      </c>
      <c r="B246" s="323"/>
      <c r="C246" s="323"/>
      <c r="D246" s="323"/>
      <c r="E246" s="323"/>
      <c r="F246" s="323"/>
      <c r="G246" s="323"/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65"/>
      <c r="AB246" s="65"/>
      <c r="AC246" s="82"/>
    </row>
    <row r="247" spans="1:68" ht="14.25" customHeight="1" x14ac:dyDescent="0.25">
      <c r="A247" s="311" t="s">
        <v>151</v>
      </c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293">
        <v>4640242181943</v>
      </c>
      <c r="E248" s="293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5"/>
      <c r="R248" s="295"/>
      <c r="S248" s="295"/>
      <c r="T248" s="296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1"/>
      <c r="P249" s="297" t="s">
        <v>40</v>
      </c>
      <c r="Q249" s="298"/>
      <c r="R249" s="298"/>
      <c r="S249" s="298"/>
      <c r="T249" s="298"/>
      <c r="U249" s="298"/>
      <c r="V249" s="29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1"/>
      <c r="P250" s="297" t="s">
        <v>40</v>
      </c>
      <c r="Q250" s="298"/>
      <c r="R250" s="298"/>
      <c r="S250" s="298"/>
      <c r="T250" s="298"/>
      <c r="U250" s="298"/>
      <c r="V250" s="29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customHeight="1" x14ac:dyDescent="0.25">
      <c r="A253" s="311" t="s">
        <v>82</v>
      </c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293">
        <v>4640242181264</v>
      </c>
      <c r="E254" s="293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5"/>
      <c r="R254" s="295"/>
      <c r="S254" s="295"/>
      <c r="T254" s="296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293">
        <v>4640242181325</v>
      </c>
      <c r="E255" s="293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1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5"/>
      <c r="R255" s="295"/>
      <c r="S255" s="295"/>
      <c r="T255" s="296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1"/>
      <c r="P256" s="297" t="s">
        <v>40</v>
      </c>
      <c r="Q256" s="298"/>
      <c r="R256" s="298"/>
      <c r="S256" s="298"/>
      <c r="T256" s="298"/>
      <c r="U256" s="298"/>
      <c r="V256" s="299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1"/>
      <c r="P257" s="297" t="s">
        <v>40</v>
      </c>
      <c r="Q257" s="298"/>
      <c r="R257" s="298"/>
      <c r="S257" s="298"/>
      <c r="T257" s="298"/>
      <c r="U257" s="298"/>
      <c r="V257" s="299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customHeight="1" x14ac:dyDescent="0.25">
      <c r="A258" s="311" t="s">
        <v>113</v>
      </c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66"/>
      <c r="AB258" s="66"/>
      <c r="AC258" s="83"/>
    </row>
    <row r="259" spans="1:68" ht="27" customHeight="1" x14ac:dyDescent="0.25">
      <c r="A259" s="63" t="s">
        <v>357</v>
      </c>
      <c r="B259" s="63" t="s">
        <v>358</v>
      </c>
      <c r="C259" s="36">
        <v>4301132080</v>
      </c>
      <c r="D259" s="293">
        <v>4640242180397</v>
      </c>
      <c r="E259" s="293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2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295"/>
      <c r="R259" s="295"/>
      <c r="S259" s="295"/>
      <c r="T259" s="296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359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1"/>
      <c r="P260" s="297" t="s">
        <v>40</v>
      </c>
      <c r="Q260" s="298"/>
      <c r="R260" s="298"/>
      <c r="S260" s="298"/>
      <c r="T260" s="298"/>
      <c r="U260" s="298"/>
      <c r="V260" s="299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x14ac:dyDescent="0.2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1"/>
      <c r="P261" s="297" t="s">
        <v>40</v>
      </c>
      <c r="Q261" s="298"/>
      <c r="R261" s="298"/>
      <c r="S261" s="298"/>
      <c r="T261" s="298"/>
      <c r="U261" s="298"/>
      <c r="V261" s="299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customHeight="1" x14ac:dyDescent="0.25">
      <c r="A262" s="311" t="s">
        <v>151</v>
      </c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66"/>
      <c r="AB262" s="66"/>
      <c r="AC262" s="83"/>
    </row>
    <row r="263" spans="1:68" ht="27" customHeight="1" x14ac:dyDescent="0.25">
      <c r="A263" s="63" t="s">
        <v>360</v>
      </c>
      <c r="B263" s="63" t="s">
        <v>361</v>
      </c>
      <c r="C263" s="36">
        <v>4301136051</v>
      </c>
      <c r="D263" s="293">
        <v>4640242180304</v>
      </c>
      <c r="E263" s="293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295"/>
      <c r="R263" s="295"/>
      <c r="S263" s="295"/>
      <c r="T263" s="296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363</v>
      </c>
      <c r="B264" s="63" t="s">
        <v>364</v>
      </c>
      <c r="C264" s="36">
        <v>4301136053</v>
      </c>
      <c r="D264" s="293">
        <v>4640242180236</v>
      </c>
      <c r="E264" s="293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295"/>
      <c r="R264" s="295"/>
      <c r="S264" s="295"/>
      <c r="T264" s="296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4301136052</v>
      </c>
      <c r="D265" s="293">
        <v>4640242180410</v>
      </c>
      <c r="E265" s="293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295"/>
      <c r="R265" s="295"/>
      <c r="S265" s="295"/>
      <c r="T265" s="296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1"/>
      <c r="P266" s="297" t="s">
        <v>40</v>
      </c>
      <c r="Q266" s="298"/>
      <c r="R266" s="298"/>
      <c r="S266" s="298"/>
      <c r="T266" s="298"/>
      <c r="U266" s="298"/>
      <c r="V266" s="299"/>
      <c r="W266" s="42" t="s">
        <v>39</v>
      </c>
      <c r="X266" s="43">
        <f>IFERROR(SUM(X263:X265),"0")</f>
        <v>0</v>
      </c>
      <c r="Y266" s="43">
        <f>IFERROR(SUM(Y263:Y265),"0")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1"/>
      <c r="P267" s="297" t="s">
        <v>40</v>
      </c>
      <c r="Q267" s="298"/>
      <c r="R267" s="298"/>
      <c r="S267" s="298"/>
      <c r="T267" s="298"/>
      <c r="U267" s="298"/>
      <c r="V267" s="299"/>
      <c r="W267" s="42" t="s">
        <v>0</v>
      </c>
      <c r="X267" s="43">
        <f>IFERROR(SUMPRODUCT(X263:X265*H263:H265),"0")</f>
        <v>0</v>
      </c>
      <c r="Y267" s="43">
        <f>IFERROR(SUMPRODUCT(Y263:Y265*H263:H265),"0")</f>
        <v>0</v>
      </c>
      <c r="Z267" s="42"/>
      <c r="AA267" s="67"/>
      <c r="AB267" s="67"/>
      <c r="AC267" s="67"/>
    </row>
    <row r="268" spans="1:68" ht="14.25" customHeight="1" x14ac:dyDescent="0.25">
      <c r="A268" s="311" t="s">
        <v>157</v>
      </c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66"/>
      <c r="AB268" s="66"/>
      <c r="AC268" s="83"/>
    </row>
    <row r="269" spans="1:68" ht="37.5" customHeight="1" x14ac:dyDescent="0.25">
      <c r="A269" s="63" t="s">
        <v>367</v>
      </c>
      <c r="B269" s="63" t="s">
        <v>368</v>
      </c>
      <c r="C269" s="36">
        <v>4301135504</v>
      </c>
      <c r="D269" s="293">
        <v>4640242181554</v>
      </c>
      <c r="E269" s="293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295"/>
      <c r="R269" s="295"/>
      <c r="S269" s="295"/>
      <c r="T269" s="296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369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370</v>
      </c>
      <c r="B270" s="63" t="s">
        <v>371</v>
      </c>
      <c r="C270" s="36">
        <v>4301135518</v>
      </c>
      <c r="D270" s="293">
        <v>4640242181561</v>
      </c>
      <c r="E270" s="293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1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295"/>
      <c r="R270" s="295"/>
      <c r="S270" s="295"/>
      <c r="T270" s="296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4301135374</v>
      </c>
      <c r="D271" s="293">
        <v>4640242181424</v>
      </c>
      <c r="E271" s="293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295"/>
      <c r="R271" s="295"/>
      <c r="S271" s="295"/>
      <c r="T271" s="296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369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4301135405</v>
      </c>
      <c r="D272" s="293">
        <v>4640242181523</v>
      </c>
      <c r="E272" s="293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295"/>
      <c r="R272" s="295"/>
      <c r="S272" s="295"/>
      <c r="T272" s="296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4301135375</v>
      </c>
      <c r="D273" s="293">
        <v>4640242181486</v>
      </c>
      <c r="E273" s="293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0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295"/>
      <c r="R273" s="295"/>
      <c r="S273" s="295"/>
      <c r="T273" s="296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379</v>
      </c>
      <c r="B274" s="63" t="s">
        <v>380</v>
      </c>
      <c r="C274" s="36">
        <v>4301135402</v>
      </c>
      <c r="D274" s="293">
        <v>4640242181493</v>
      </c>
      <c r="E274" s="293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0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295"/>
      <c r="R274" s="295"/>
      <c r="S274" s="295"/>
      <c r="T274" s="296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4301135403</v>
      </c>
      <c r="D275" s="293">
        <v>4640242181509</v>
      </c>
      <c r="E275" s="293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0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295"/>
      <c r="R275" s="295"/>
      <c r="S275" s="295"/>
      <c r="T275" s="296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4301135304</v>
      </c>
      <c r="D276" s="293">
        <v>4640242181240</v>
      </c>
      <c r="E276" s="293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295"/>
      <c r="R276" s="295"/>
      <c r="S276" s="295"/>
      <c r="T276" s="296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369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4301135610</v>
      </c>
      <c r="D277" s="293">
        <v>4640242181318</v>
      </c>
      <c r="E277" s="293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295"/>
      <c r="R277" s="295"/>
      <c r="S277" s="295"/>
      <c r="T277" s="296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4301135306</v>
      </c>
      <c r="D278" s="293">
        <v>4640242181387</v>
      </c>
      <c r="E278" s="293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169</v>
      </c>
      <c r="L278" s="37" t="s">
        <v>88</v>
      </c>
      <c r="M278" s="38" t="s">
        <v>86</v>
      </c>
      <c r="N278" s="38"/>
      <c r="O278" s="37">
        <v>180</v>
      </c>
      <c r="P278" s="29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295"/>
      <c r="R278" s="295"/>
      <c r="S278" s="295"/>
      <c r="T278" s="296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369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1"/>
      <c r="P279" s="297" t="s">
        <v>40</v>
      </c>
      <c r="Q279" s="298"/>
      <c r="R279" s="298"/>
      <c r="S279" s="298"/>
      <c r="T279" s="298"/>
      <c r="U279" s="298"/>
      <c r="V279" s="299"/>
      <c r="W279" s="42" t="s">
        <v>39</v>
      </c>
      <c r="X279" s="43">
        <f>IFERROR(SUM(X269:X278),"0")</f>
        <v>0</v>
      </c>
      <c r="Y279" s="43">
        <f>IFERROR(SUM(Y269:Y278),"0")</f>
        <v>0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1"/>
      <c r="P280" s="297" t="s">
        <v>40</v>
      </c>
      <c r="Q280" s="298"/>
      <c r="R280" s="298"/>
      <c r="S280" s="298"/>
      <c r="T280" s="298"/>
      <c r="U280" s="298"/>
      <c r="V280" s="299"/>
      <c r="W280" s="42" t="s">
        <v>0</v>
      </c>
      <c r="X280" s="43">
        <f>IFERROR(SUMPRODUCT(X269:X278*H269:H278),"0")</f>
        <v>0</v>
      </c>
      <c r="Y280" s="43">
        <f>IFERROR(SUMPRODUCT(Y269:Y278*H269:H278),"0")</f>
        <v>0</v>
      </c>
      <c r="Z280" s="42"/>
      <c r="AA280" s="67"/>
      <c r="AB280" s="67"/>
      <c r="AC280" s="67"/>
    </row>
    <row r="281" spans="1:68" ht="15" customHeight="1" x14ac:dyDescent="0.2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5"/>
      <c r="P281" s="302" t="s">
        <v>33</v>
      </c>
      <c r="Q281" s="303"/>
      <c r="R281" s="303"/>
      <c r="S281" s="303"/>
      <c r="T281" s="303"/>
      <c r="U281" s="303"/>
      <c r="V281" s="304"/>
      <c r="W281" s="42" t="s">
        <v>0</v>
      </c>
      <c r="X281" s="43">
        <f>IFERROR(X31+X37+X44+X51+X59+X64+X68+X73+X79+X85+X90+X96+X106+X112+X124+X128+X132+X140+X146+X152+X158+X164+X169+X174+X179+X186+X191+X200+X206+X212+X218+X223+X228+X234+X240+X244+X250+X257+X261+X267+X280,"0")</f>
        <v>0</v>
      </c>
      <c r="Y281" s="43">
        <f>IFERROR(Y31+Y37+Y44+Y51+Y59+Y64+Y68+Y73+Y79+Y85+Y90+Y96+Y106+Y112+Y124+Y128+Y132+Y140+Y146+Y152+Y158+Y164+Y169+Y174+Y179+Y186+Y191+Y200+Y206+Y212+Y218+Y223+Y228+Y234+Y240+Y244+Y250+Y257+Y261+Y267+Y280,"0")</f>
        <v>0</v>
      </c>
      <c r="Z281" s="42"/>
      <c r="AA281" s="67"/>
      <c r="AB281" s="67"/>
      <c r="AC281" s="67"/>
    </row>
    <row r="282" spans="1:68" x14ac:dyDescent="0.2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5"/>
      <c r="P282" s="302" t="s">
        <v>34</v>
      </c>
      <c r="Q282" s="303"/>
      <c r="R282" s="303"/>
      <c r="S282" s="303"/>
      <c r="T282" s="303"/>
      <c r="U282" s="303"/>
      <c r="V282" s="304"/>
      <c r="W282" s="42" t="s">
        <v>0</v>
      </c>
      <c r="X282" s="43">
        <f>IFERROR(SUM(BM22:BM278),"0")</f>
        <v>0</v>
      </c>
      <c r="Y282" s="43">
        <f>IFERROR(SUM(BN22:BN278),"0")</f>
        <v>0</v>
      </c>
      <c r="Z282" s="42"/>
      <c r="AA282" s="67"/>
      <c r="AB282" s="67"/>
      <c r="AC282" s="67"/>
    </row>
    <row r="283" spans="1:68" x14ac:dyDescent="0.2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5"/>
      <c r="P283" s="302" t="s">
        <v>35</v>
      </c>
      <c r="Q283" s="303"/>
      <c r="R283" s="303"/>
      <c r="S283" s="303"/>
      <c r="T283" s="303"/>
      <c r="U283" s="303"/>
      <c r="V283" s="304"/>
      <c r="W283" s="42" t="s">
        <v>20</v>
      </c>
      <c r="X283" s="44">
        <f>ROUNDUP(SUM(BO22:BO278),0)</f>
        <v>0</v>
      </c>
      <c r="Y283" s="44">
        <f>ROUNDUP(SUM(BP22:BP278),0)</f>
        <v>0</v>
      </c>
      <c r="Z283" s="42"/>
      <c r="AA283" s="67"/>
      <c r="AB283" s="67"/>
      <c r="AC283" s="67"/>
    </row>
    <row r="284" spans="1:68" x14ac:dyDescent="0.2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5"/>
      <c r="P284" s="302" t="s">
        <v>36</v>
      </c>
      <c r="Q284" s="303"/>
      <c r="R284" s="303"/>
      <c r="S284" s="303"/>
      <c r="T284" s="303"/>
      <c r="U284" s="303"/>
      <c r="V284" s="304"/>
      <c r="W284" s="42" t="s">
        <v>0</v>
      </c>
      <c r="X284" s="43">
        <f>GrossWeightTotal+PalletQtyTotal*25</f>
        <v>0</v>
      </c>
      <c r="Y284" s="43">
        <f>GrossWeightTotalR+PalletQtyTotalR*25</f>
        <v>0</v>
      </c>
      <c r="Z284" s="42"/>
      <c r="AA284" s="67"/>
      <c r="AB284" s="67"/>
      <c r="AC284" s="67"/>
    </row>
    <row r="285" spans="1:68" x14ac:dyDescent="0.2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5"/>
      <c r="P285" s="302" t="s">
        <v>37</v>
      </c>
      <c r="Q285" s="303"/>
      <c r="R285" s="303"/>
      <c r="S285" s="303"/>
      <c r="T285" s="303"/>
      <c r="U285" s="303"/>
      <c r="V285" s="304"/>
      <c r="W285" s="42" t="s">
        <v>20</v>
      </c>
      <c r="X285" s="43">
        <f>IFERROR(X30+X36+X43+X50+X58+X63+X67+X72+X78+X84+X89+X95+X105+X111+X123+X127+X131+X139+X145+X151+X157+X163+X168+X173+X178+X185+X190+X199+X205+X211+X217+X222+X227+X233+X239+X243+X249+X256+X260+X266+X279,"0")</f>
        <v>0</v>
      </c>
      <c r="Y285" s="43">
        <f>IFERROR(Y30+Y36+Y43+Y50+Y58+Y63+Y67+Y72+Y78+Y84+Y89+Y95+Y105+Y111+Y123+Y127+Y131+Y139+Y145+Y151+Y157+Y163+Y168+Y173+Y178+Y185+Y190+Y199+Y205+Y211+Y217+Y222+Y227+Y233+Y239+Y243+Y249+Y256+Y260+Y266+Y279,"0")</f>
        <v>0</v>
      </c>
      <c r="Z285" s="42"/>
      <c r="AA285" s="67"/>
      <c r="AB285" s="67"/>
      <c r="AC285" s="67"/>
    </row>
    <row r="286" spans="1:68" ht="14.25" x14ac:dyDescent="0.2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5"/>
      <c r="P286" s="302" t="s">
        <v>38</v>
      </c>
      <c r="Q286" s="303"/>
      <c r="R286" s="303"/>
      <c r="S286" s="303"/>
      <c r="T286" s="303"/>
      <c r="U286" s="303"/>
      <c r="V286" s="304"/>
      <c r="W286" s="45" t="s">
        <v>52</v>
      </c>
      <c r="X286" s="42"/>
      <c r="Y286" s="42"/>
      <c r="Z286" s="42">
        <f>IFERROR(Z30+Z36+Z43+Z50+Z58+Z63+Z67+Z72+Z78+Z84+Z89+Z95+Z105+Z111+Z123+Z127+Z131+Z139+Z145+Z151+Z157+Z163+Z168+Z173+Z178+Z185+Z190+Z199+Z205+Z211+Z217+Z222+Z227+Z233+Z239+Z243+Z249+Z256+Z260+Z266+Z279,"0")</f>
        <v>0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0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280</v>
      </c>
      <c r="W288" s="289" t="s">
        <v>280</v>
      </c>
      <c r="X288" s="88" t="s">
        <v>291</v>
      </c>
      <c r="Y288" s="289" t="s">
        <v>305</v>
      </c>
      <c r="Z288" s="289" t="s">
        <v>305</v>
      </c>
      <c r="AA288" s="289" t="s">
        <v>305</v>
      </c>
      <c r="AB288" s="289" t="s">
        <v>305</v>
      </c>
      <c r="AC288" s="88" t="s">
        <v>334</v>
      </c>
      <c r="AD288" s="88" t="s">
        <v>339</v>
      </c>
      <c r="AE288" s="88" t="s">
        <v>347</v>
      </c>
      <c r="AF288" s="88" t="s">
        <v>351</v>
      </c>
    </row>
    <row r="289" spans="1:32" ht="14.25" customHeight="1" thickTop="1" x14ac:dyDescent="0.2">
      <c r="A289" s="291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133</v>
      </c>
      <c r="G289" s="289" t="s">
        <v>144</v>
      </c>
      <c r="H289" s="289" t="s">
        <v>165</v>
      </c>
      <c r="I289" s="289" t="s">
        <v>172</v>
      </c>
      <c r="J289" s="289" t="s">
        <v>176</v>
      </c>
      <c r="K289" s="289" t="s">
        <v>184</v>
      </c>
      <c r="L289" s="289" t="s">
        <v>199</v>
      </c>
      <c r="M289" s="289" t="s">
        <v>205</v>
      </c>
      <c r="N289" s="1"/>
      <c r="O289" s="289" t="s">
        <v>233</v>
      </c>
      <c r="P289" s="289" t="s">
        <v>251</v>
      </c>
      <c r="Q289" s="289" t="s">
        <v>257</v>
      </c>
      <c r="R289" s="289" t="s">
        <v>264</v>
      </c>
      <c r="S289" s="289" t="s">
        <v>269</v>
      </c>
      <c r="T289" s="289" t="s">
        <v>273</v>
      </c>
      <c r="U289" s="289" t="s">
        <v>276</v>
      </c>
      <c r="V289" s="289" t="s">
        <v>281</v>
      </c>
      <c r="W289" s="289" t="s">
        <v>288</v>
      </c>
      <c r="X289" s="289" t="s">
        <v>292</v>
      </c>
      <c r="Y289" s="289" t="s">
        <v>306</v>
      </c>
      <c r="Z289" s="289" t="s">
        <v>319</v>
      </c>
      <c r="AA289" s="289" t="s">
        <v>326</v>
      </c>
      <c r="AB289" s="289" t="s">
        <v>330</v>
      </c>
      <c r="AC289" s="289" t="s">
        <v>335</v>
      </c>
      <c r="AD289" s="289" t="s">
        <v>340</v>
      </c>
      <c r="AE289" s="289" t="s">
        <v>347</v>
      </c>
      <c r="AF289" s="289" t="s">
        <v>351</v>
      </c>
    </row>
    <row r="290" spans="1:32" ht="13.5" thickBot="1" x14ac:dyDescent="0.25">
      <c r="A290" s="292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0</v>
      </c>
      <c r="C291" s="52">
        <f>IFERROR(X34*H34,"0")+IFERROR(X35*H35,"0")</f>
        <v>0</v>
      </c>
      <c r="D291" s="52">
        <f>IFERROR(X41*H41,"0")+IFERROR(X42*H42,"0")</f>
        <v>0</v>
      </c>
      <c r="E291" s="52">
        <f>IFERROR(X47*H47,"0")+IFERROR(X48*H48,"0")+IFERROR(X49*H49,"0")</f>
        <v>0</v>
      </c>
      <c r="F291" s="52">
        <f>IFERROR(X54*H54,"0")+IFERROR(X55*H55,"0")+IFERROR(X56*H56,"0")+IFERROR(X57*H57,"0")</f>
        <v>0</v>
      </c>
      <c r="G291" s="52">
        <f>IFERROR(X62*H62,"0")+IFERROR(X66*H66,"0")+IFERROR(X70*H70,"0")+IFERROR(X71*H71,"0")+IFERROR(X75*H75,"0")+IFERROR(X76*H76,"0")+IFERROR(X77*H77,"0")</f>
        <v>0</v>
      </c>
      <c r="H291" s="52">
        <f>IFERROR(X82*H82,"0")+IFERROR(X83*H83,"0")</f>
        <v>0</v>
      </c>
      <c r="I291" s="52">
        <f>IFERROR(X88*H88,"0")</f>
        <v>0</v>
      </c>
      <c r="J291" s="52">
        <f>IFERROR(X93*H93,"0")+IFERROR(X94*H94,"0")</f>
        <v>0</v>
      </c>
      <c r="K291" s="52">
        <f>IFERROR(X99*H99,"0")+IFERROR(X100*H100,"0")+IFERROR(X101*H101,"0")+IFERROR(X102*H102,"0")+IFERROR(X103*H103,"0")+IFERROR(X104*H104,"0")</f>
        <v>0</v>
      </c>
      <c r="L291" s="52">
        <f>IFERROR(X109*H109,"0")+IFERROR(X110*H110,"0")</f>
        <v>0</v>
      </c>
      <c r="M291" s="52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91" s="1"/>
      <c r="O291" s="52">
        <f>IFERROR(X135*H135,"0")+IFERROR(X136*H136,"0")+IFERROR(X137*H137,"0")+IFERROR(X138*H138,"0")+IFERROR(X142*H142,"0")+IFERROR(X143*H143,"0")+IFERROR(X144*H144,"0")</f>
        <v>0</v>
      </c>
      <c r="P291" s="52">
        <f>IFERROR(X149*H149,"0")+IFERROR(X150*H150,"0")</f>
        <v>0</v>
      </c>
      <c r="Q291" s="52">
        <f>IFERROR(X155*H155,"0")+IFERROR(X156*H156,"0")</f>
        <v>0</v>
      </c>
      <c r="R291" s="52">
        <f>IFERROR(X161*H161,"0")+IFERROR(X162*H162,"0")</f>
        <v>0</v>
      </c>
      <c r="S291" s="52">
        <f>IFERROR(X167*H167,"0")</f>
        <v>0</v>
      </c>
      <c r="T291" s="52">
        <f>IFERROR(X172*H172,"0")</f>
        <v>0</v>
      </c>
      <c r="U291" s="52">
        <f>IFERROR(X177*H177,"0")</f>
        <v>0</v>
      </c>
      <c r="V291" s="52">
        <f>IFERROR(X183*H183,"0")+IFERROR(X184*H184,"0")</f>
        <v>0</v>
      </c>
      <c r="W291" s="52">
        <f>IFERROR(X189*H189,"0")</f>
        <v>0</v>
      </c>
      <c r="X291" s="52">
        <f>IFERROR(X195*H195,"0")+IFERROR(X196*H196,"0")+IFERROR(X197*H197,"0")+IFERROR(X198*H198,"0")</f>
        <v>0</v>
      </c>
      <c r="Y291" s="52">
        <f>IFERROR(X204*H204,"0")+IFERROR(X208*H208,"0")+IFERROR(X209*H209,"0")+IFERROR(X210*H210,"0")</f>
        <v>0</v>
      </c>
      <c r="Z291" s="52">
        <f>IFERROR(X215*H215,"0")+IFERROR(X216*H216,"0")</f>
        <v>0</v>
      </c>
      <c r="AA291" s="52">
        <f>IFERROR(X221*H221,"0")</f>
        <v>0</v>
      </c>
      <c r="AB291" s="52">
        <f>IFERROR(X226*H226,"0")</f>
        <v>0</v>
      </c>
      <c r="AC291" s="52">
        <f>IFERROR(X232*H232,"0")</f>
        <v>0</v>
      </c>
      <c r="AD291" s="52">
        <f>IFERROR(X238*H238,"0")+IFERROR(X242*H242,"0")</f>
        <v>0</v>
      </c>
      <c r="AE291" s="52">
        <f>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0</v>
      </c>
      <c r="B294" s="72">
        <f>SUMPRODUCT(--(BB:BB="ПГП"),--(W:W="кор"),H:H,Y:Y)+SUMPRODUCT(--(BB:BB="ПГП"),--(W:W="кг"),Y:Y)</f>
        <v>0</v>
      </c>
      <c r="C294" s="72">
        <f>SUMPRODUCT(--(BB:BB="КИЗ"),--(W:W="кор"),H:H,Y:Y)+SUMPRODUCT(--(BB:BB="КИЗ"),--(W:W="кг"),Y:Y)</f>
        <v>0</v>
      </c>
    </row>
  </sheetData>
  <sheetProtection algorithmName="SHA-512" hashValue="yBTJD9CE7oB1sfTWoZFkFnfzBHWv6PrUB3lMxceSyjlqyNuCuX4IxxL/yLOR3n6P19TNKEDYMxo9Re2bI0fCnw==" saltValue="PW16HthrRMXy+VyQrCA1C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2 X238 X232 X226 X215:X216 X208:X209 X198 X189 X177 X161 X155 X142:X144 X135:X138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21 X210 X204 X195:X197 X183:X184 X172 X167 X162 X156 X149:X150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3" t="s">
        <v>390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392</v>
      </c>
      <c r="D6" s="53" t="s">
        <v>393</v>
      </c>
      <c r="E6" s="53" t="s">
        <v>46</v>
      </c>
    </row>
    <row r="8" spans="2:8" x14ac:dyDescent="0.2">
      <c r="B8" s="53" t="s">
        <v>80</v>
      </c>
      <c r="C8" s="53" t="s">
        <v>392</v>
      </c>
      <c r="D8" s="53" t="s">
        <v>46</v>
      </c>
      <c r="E8" s="53" t="s">
        <v>46</v>
      </c>
    </row>
    <row r="10" spans="2:8" x14ac:dyDescent="0.2">
      <c r="B10" s="53" t="s">
        <v>394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404</v>
      </c>
      <c r="C20" s="53" t="s">
        <v>46</v>
      </c>
      <c r="D20" s="53" t="s">
        <v>46</v>
      </c>
      <c r="E20" s="53" t="s">
        <v>46</v>
      </c>
    </row>
  </sheetData>
  <sheetProtection algorithmName="SHA-512" hashValue="llODjJZW1L7hID09Bt7GkAOF9tMkeJ47K+kgDhPGDS70IlzUOpTkcMCRjOpA6uupUIfK4sLL+UiX5BvgLOfYeg==" saltValue="0cyKqUnY5NzluShyxPBh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2026-07-20T13:33:51Z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