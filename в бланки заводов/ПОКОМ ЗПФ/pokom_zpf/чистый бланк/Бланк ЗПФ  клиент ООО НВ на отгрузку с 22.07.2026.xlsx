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48A102A-ED39-4914-ADF1-111C983A2F09}" xr6:coauthVersionLast="47" xr6:coauthVersionMax="47" xr10:uidLastSave="{00000000-0000-0000-0000-000000000000}"/>
  <bookViews>
    <workbookView xWindow="-135" yWindow="75" windowWidth="22410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N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Z265" i="2" s="1"/>
  <c r="Y262" i="2"/>
  <c r="BP262" i="2" s="1"/>
  <c r="P262" i="2"/>
  <c r="Y260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Z255" i="2" s="1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Y243" i="2"/>
  <c r="X243" i="2"/>
  <c r="Y242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Z232" i="2"/>
  <c r="X232" i="2"/>
  <c r="BO231" i="2"/>
  <c r="BM231" i="2"/>
  <c r="Z231" i="2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Y222" i="2"/>
  <c r="X222" i="2"/>
  <c r="Y221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Z216" i="2" s="1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Y211" i="2" s="1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P182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Z172" i="2"/>
  <c r="X172" i="2"/>
  <c r="BO171" i="2"/>
  <c r="BM171" i="2"/>
  <c r="Z171" i="2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N161" i="2"/>
  <c r="BM161" i="2"/>
  <c r="Z161" i="2"/>
  <c r="Y161" i="2"/>
  <c r="BP161" i="2" s="1"/>
  <c r="P161" i="2"/>
  <c r="BO160" i="2"/>
  <c r="BM160" i="2"/>
  <c r="Z160" i="2"/>
  <c r="Z162" i="2" s="1"/>
  <c r="Y160" i="2"/>
  <c r="BN160" i="2" s="1"/>
  <c r="P160" i="2"/>
  <c r="X157" i="2"/>
  <c r="X156" i="2"/>
  <c r="BO155" i="2"/>
  <c r="BM155" i="2"/>
  <c r="Z155" i="2"/>
  <c r="Y155" i="2"/>
  <c r="Y156" i="2" s="1"/>
  <c r="P155" i="2"/>
  <c r="BP154" i="2"/>
  <c r="BO154" i="2"/>
  <c r="BN154" i="2"/>
  <c r="BM154" i="2"/>
  <c r="Z154" i="2"/>
  <c r="Y154" i="2"/>
  <c r="P154" i="2"/>
  <c r="X151" i="2"/>
  <c r="X150" i="2"/>
  <c r="BO149" i="2"/>
  <c r="BM149" i="2"/>
  <c r="Z149" i="2"/>
  <c r="Z150" i="2" s="1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Z144" i="2" s="1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Z138" i="2" s="1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Z111" i="2" s="1"/>
  <c r="Y109" i="2"/>
  <c r="BN109" i="2" s="1"/>
  <c r="P109" i="2"/>
  <c r="X106" i="2"/>
  <c r="X105" i="2"/>
  <c r="BP104" i="2"/>
  <c r="BO104" i="2"/>
  <c r="BN104" i="2"/>
  <c r="BM104" i="2"/>
  <c r="Z104" i="2"/>
  <c r="Y104" i="2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Z105" i="2" s="1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N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Z84" i="2" s="1"/>
  <c r="Y82" i="2"/>
  <c r="P82" i="2"/>
  <c r="X79" i="2"/>
  <c r="X78" i="2"/>
  <c r="BP77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Z78" i="2" s="1"/>
  <c r="Y75" i="2"/>
  <c r="BP75" i="2" s="1"/>
  <c r="P75" i="2"/>
  <c r="X73" i="2"/>
  <c r="X72" i="2"/>
  <c r="BO71" i="2"/>
  <c r="BN71" i="2"/>
  <c r="BM71" i="2"/>
  <c r="Z71" i="2"/>
  <c r="Y71" i="2"/>
  <c r="BP71" i="2" s="1"/>
  <c r="P71" i="2"/>
  <c r="BO70" i="2"/>
  <c r="BM70" i="2"/>
  <c r="Z70" i="2"/>
  <c r="Z72" i="2" s="1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Z50" i="2" s="1"/>
  <c r="Y47" i="2"/>
  <c r="Y50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Z43" i="2" s="1"/>
  <c r="Y41" i="2"/>
  <c r="Y44" i="2" s="1"/>
  <c r="P41" i="2"/>
  <c r="X37" i="2"/>
  <c r="Z36" i="2"/>
  <c r="X36" i="2"/>
  <c r="BO35" i="2"/>
  <c r="BM35" i="2"/>
  <c r="Z35" i="2"/>
  <c r="Y35" i="2"/>
  <c r="BN35" i="2" s="1"/>
  <c r="P35" i="2"/>
  <c r="BO34" i="2"/>
  <c r="BM34" i="2"/>
  <c r="Z34" i="2"/>
  <c r="Y34" i="2"/>
  <c r="BP34" i="2" s="1"/>
  <c r="P34" i="2"/>
  <c r="X31" i="2"/>
  <c r="X30" i="2"/>
  <c r="BP29" i="2"/>
  <c r="BO29" i="2"/>
  <c r="BN29" i="2"/>
  <c r="BM29" i="2"/>
  <c r="Z29" i="2"/>
  <c r="Y29" i="2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Z30" i="2" s="1"/>
  <c r="Y23" i="2"/>
  <c r="P23" i="2"/>
  <c r="BO22" i="2"/>
  <c r="X282" i="2" s="1"/>
  <c r="BM22" i="2"/>
  <c r="Z22" i="2"/>
  <c r="Y22" i="2"/>
  <c r="BN22" i="2" s="1"/>
  <c r="P22" i="2"/>
  <c r="H10" i="2"/>
  <c r="A9" i="2"/>
  <c r="F9" i="2" s="1"/>
  <c r="D7" i="2"/>
  <c r="Q6" i="2"/>
  <c r="P2" i="2"/>
  <c r="Y51" i="2" l="1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Z285" i="2" s="1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X283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Y282" i="2" l="1"/>
  <c r="Y280" i="2"/>
  <c r="Y281" i="2"/>
  <c r="Y283" i="2" s="1"/>
  <c r="Y284" i="2"/>
  <c r="C293" i="2"/>
  <c r="B293" i="2"/>
  <c r="A293" i="2"/>
</calcChain>
</file>

<file path=xl/sharedStrings.xml><?xml version="1.0" encoding="utf-8"?>
<sst xmlns="http://schemas.openxmlformats.org/spreadsheetml/2006/main" count="1765" uniqueCount="418">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</sst>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0" fillId="0" borderId="31" xfId="0" applyBorder="1" applyProtection="1"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>
        <v>46230</v>
      </c>
      <c r="R5" s="473"/>
      <c r="T5" s="469" t="s">
        <v>3</v>
      </c>
      <c r="U5" s="470"/>
      <c r="V5" s="471" t="s">
        <v>386</v>
      </c>
      <c r="W5" s="472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0.41666666666666669</v>
      </c>
      <c r="R8" s="474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20" t="s">
        <v>79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54"/>
      <c r="AB19" s="54"/>
      <c r="AC19" s="54"/>
    </row>
    <row r="20" spans="1:68" ht="16.5" customHeight="1" x14ac:dyDescent="0.25">
      <c r="A20" s="321" t="s">
        <v>79</v>
      </c>
      <c r="B20" s="321"/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65"/>
      <c r="AB20" s="65"/>
      <c r="AC20" s="82"/>
    </row>
    <row r="21" spans="1:68" ht="14.25" customHeight="1" x14ac:dyDescent="0.25">
      <c r="A21" s="309" t="s">
        <v>80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21" t="s">
        <v>104</v>
      </c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65"/>
      <c r="AB32" s="65"/>
      <c r="AC32" s="82"/>
    </row>
    <row r="33" spans="1:68" ht="14.25" customHeight="1" x14ac:dyDescent="0.25">
      <c r="A33" s="309" t="s">
        <v>80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20" t="s">
        <v>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  <c r="AA38" s="54"/>
      <c r="AB38" s="54"/>
      <c r="AC38" s="54"/>
    </row>
    <row r="39" spans="1:68" ht="16.5" customHeight="1" x14ac:dyDescent="0.25">
      <c r="A39" s="321" t="s">
        <v>110</v>
      </c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65"/>
      <c r="AB39" s="65"/>
      <c r="AC39" s="82"/>
    </row>
    <row r="40" spans="1:68" ht="14.25" customHeight="1" x14ac:dyDescent="0.25">
      <c r="A40" s="309" t="s">
        <v>111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21" t="s">
        <v>121</v>
      </c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65"/>
      <c r="AB45" s="65"/>
      <c r="AC45" s="82"/>
    </row>
    <row r="46" spans="1:68" ht="14.25" customHeight="1" x14ac:dyDescent="0.25">
      <c r="A46" s="309" t="s">
        <v>80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291">
        <v>4620207490044</v>
      </c>
      <c r="E49" s="291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9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9"/>
      <c r="P51" s="295" t="s">
        <v>40</v>
      </c>
      <c r="Q51" s="296"/>
      <c r="R51" s="296"/>
      <c r="S51" s="296"/>
      <c r="T51" s="296"/>
      <c r="U51" s="296"/>
      <c r="V51" s="297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21" t="s">
        <v>131</v>
      </c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65"/>
      <c r="AB52" s="65"/>
      <c r="AC52" s="82"/>
    </row>
    <row r="53" spans="1:68" ht="14.25" customHeight="1" x14ac:dyDescent="0.25">
      <c r="A53" s="309" t="s">
        <v>80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291">
        <v>4607111039385</v>
      </c>
      <c r="E54" s="291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291">
        <v>4607111038982</v>
      </c>
      <c r="E55" s="291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291">
        <v>4607111039354</v>
      </c>
      <c r="E56" s="291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291">
        <v>4607111039330</v>
      </c>
      <c r="E57" s="291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9"/>
      <c r="P59" s="295" t="s">
        <v>40</v>
      </c>
      <c r="Q59" s="296"/>
      <c r="R59" s="296"/>
      <c r="S59" s="296"/>
      <c r="T59" s="296"/>
      <c r="U59" s="296"/>
      <c r="V59" s="297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21" t="s">
        <v>142</v>
      </c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65"/>
      <c r="AB60" s="65"/>
      <c r="AC60" s="82"/>
    </row>
    <row r="61" spans="1:68" ht="14.25" customHeight="1" x14ac:dyDescent="0.25">
      <c r="A61" s="309" t="s">
        <v>80</v>
      </c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291">
        <v>4620207490822</v>
      </c>
      <c r="E62" s="291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9"/>
      <c r="P64" s="295" t="s">
        <v>40</v>
      </c>
      <c r="Q64" s="296"/>
      <c r="R64" s="296"/>
      <c r="S64" s="296"/>
      <c r="T64" s="296"/>
      <c r="U64" s="296"/>
      <c r="V64" s="29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09" t="s">
        <v>111</v>
      </c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291">
        <v>4607111039712</v>
      </c>
      <c r="E66" s="291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09" t="s">
        <v>149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291">
        <v>4607111037008</v>
      </c>
      <c r="E70" s="291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291">
        <v>4607111037398</v>
      </c>
      <c r="E71" s="291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9"/>
      <c r="P72" s="295" t="s">
        <v>40</v>
      </c>
      <c r="Q72" s="296"/>
      <c r="R72" s="296"/>
      <c r="S72" s="296"/>
      <c r="T72" s="296"/>
      <c r="U72" s="296"/>
      <c r="V72" s="29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09" t="s">
        <v>155</v>
      </c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291">
        <v>4607111039705</v>
      </c>
      <c r="E75" s="29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291">
        <v>4607111039729</v>
      </c>
      <c r="E76" s="291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291">
        <v>4620207490228</v>
      </c>
      <c r="E77" s="291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9"/>
      <c r="P78" s="295" t="s">
        <v>40</v>
      </c>
      <c r="Q78" s="296"/>
      <c r="R78" s="296"/>
      <c r="S78" s="296"/>
      <c r="T78" s="296"/>
      <c r="U78" s="296"/>
      <c r="V78" s="29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21" t="s">
        <v>163</v>
      </c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65"/>
      <c r="AB80" s="65"/>
      <c r="AC80" s="82"/>
    </row>
    <row r="81" spans="1:68" ht="14.25" customHeight="1" x14ac:dyDescent="0.25">
      <c r="A81" s="309" t="s">
        <v>80</v>
      </c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291">
        <v>4607111037411</v>
      </c>
      <c r="E82" s="291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291">
        <v>4607111036728</v>
      </c>
      <c r="E83" s="291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7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21" t="s">
        <v>170</v>
      </c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65"/>
      <c r="AB86" s="65"/>
      <c r="AC86" s="82"/>
    </row>
    <row r="87" spans="1:68" ht="14.25" customHeight="1" x14ac:dyDescent="0.25">
      <c r="A87" s="309" t="s">
        <v>155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291">
        <v>4607111033659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9"/>
      <c r="P89" s="295" t="s">
        <v>40</v>
      </c>
      <c r="Q89" s="296"/>
      <c r="R89" s="296"/>
      <c r="S89" s="296"/>
      <c r="T89" s="296"/>
      <c r="U89" s="296"/>
      <c r="V89" s="297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21" t="s">
        <v>174</v>
      </c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65"/>
      <c r="AB91" s="65"/>
      <c r="AC91" s="82"/>
    </row>
    <row r="92" spans="1:68" ht="14.25" customHeight="1" x14ac:dyDescent="0.25">
      <c r="A92" s="309" t="s">
        <v>175</v>
      </c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291">
        <v>4607111034120</v>
      </c>
      <c r="E93" s="291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291">
        <v>4607111034137</v>
      </c>
      <c r="E94" s="291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9"/>
      <c r="P95" s="295" t="s">
        <v>40</v>
      </c>
      <c r="Q95" s="296"/>
      <c r="R95" s="296"/>
      <c r="S95" s="296"/>
      <c r="T95" s="296"/>
      <c r="U95" s="296"/>
      <c r="V95" s="297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9"/>
      <c r="P96" s="295" t="s">
        <v>40</v>
      </c>
      <c r="Q96" s="296"/>
      <c r="R96" s="296"/>
      <c r="S96" s="296"/>
      <c r="T96" s="296"/>
      <c r="U96" s="296"/>
      <c r="V96" s="297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21" t="s">
        <v>182</v>
      </c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65"/>
      <c r="AB97" s="65"/>
      <c r="AC97" s="82"/>
    </row>
    <row r="98" spans="1:68" ht="14.25" customHeight="1" x14ac:dyDescent="0.25">
      <c r="A98" s="309" t="s">
        <v>155</v>
      </c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291">
        <v>4620207491027</v>
      </c>
      <c r="E99" s="29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291">
        <v>4620207491003</v>
      </c>
      <c r="E100" s="29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291">
        <v>4620207491034</v>
      </c>
      <c r="E101" s="291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291">
        <v>4620207491010</v>
      </c>
      <c r="E102" s="291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36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291">
        <v>4607111035028</v>
      </c>
      <c r="E103" s="291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291">
        <v>4607111036407</v>
      </c>
      <c r="E104" s="291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9"/>
      <c r="P105" s="295" t="s">
        <v>40</v>
      </c>
      <c r="Q105" s="296"/>
      <c r="R105" s="296"/>
      <c r="S105" s="296"/>
      <c r="T105" s="296"/>
      <c r="U105" s="296"/>
      <c r="V105" s="297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21" t="s">
        <v>197</v>
      </c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65"/>
      <c r="AB107" s="65"/>
      <c r="AC107" s="82"/>
    </row>
    <row r="108" spans="1:68" ht="14.25" customHeight="1" x14ac:dyDescent="0.25">
      <c r="A108" s="309" t="s">
        <v>149</v>
      </c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291">
        <v>4607025784012</v>
      </c>
      <c r="E109" s="291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291">
        <v>4607025784319</v>
      </c>
      <c r="E110" s="291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9"/>
      <c r="P111" s="295" t="s">
        <v>40</v>
      </c>
      <c r="Q111" s="296"/>
      <c r="R111" s="296"/>
      <c r="S111" s="296"/>
      <c r="T111" s="296"/>
      <c r="U111" s="296"/>
      <c r="V111" s="29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9"/>
      <c r="P112" s="295" t="s">
        <v>40</v>
      </c>
      <c r="Q112" s="296"/>
      <c r="R112" s="296"/>
      <c r="S112" s="296"/>
      <c r="T112" s="296"/>
      <c r="U112" s="296"/>
      <c r="V112" s="29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21" t="s">
        <v>203</v>
      </c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65"/>
      <c r="AB113" s="65"/>
      <c r="AC113" s="82"/>
    </row>
    <row r="114" spans="1:68" ht="14.25" customHeight="1" x14ac:dyDescent="0.25">
      <c r="A114" s="309" t="s">
        <v>80</v>
      </c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291">
        <v>4620207491157</v>
      </c>
      <c r="E115" s="291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291">
        <v>4620207491393</v>
      </c>
      <c r="E116" s="291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291">
        <v>4607111039262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291">
        <v>4607111039248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291">
        <v>4607111037145</v>
      </c>
      <c r="E119" s="291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291">
        <v>4607111039293</v>
      </c>
      <c r="E120" s="291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291">
        <v>4607111039279</v>
      </c>
      <c r="E121" s="291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9"/>
      <c r="P122" s="295" t="s">
        <v>40</v>
      </c>
      <c r="Q122" s="296"/>
      <c r="R122" s="296"/>
      <c r="S122" s="296"/>
      <c r="T122" s="296"/>
      <c r="U122" s="296"/>
      <c r="V122" s="297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0</v>
      </c>
      <c r="X123" s="43">
        <f>IFERROR(SUMPRODUCT(X115:X121*H115:H121),"0")</f>
        <v>0</v>
      </c>
      <c r="Y123" s="43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09" t="s">
        <v>155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291">
        <v>4620207490983</v>
      </c>
      <c r="E125" s="291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9"/>
      <c r="P126" s="295" t="s">
        <v>40</v>
      </c>
      <c r="Q126" s="296"/>
      <c r="R126" s="296"/>
      <c r="S126" s="296"/>
      <c r="T126" s="296"/>
      <c r="U126" s="296"/>
      <c r="V126" s="29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9" t="s">
        <v>224</v>
      </c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291">
        <v>4620207491140</v>
      </c>
      <c r="E129" s="291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9"/>
      <c r="P130" s="295" t="s">
        <v>40</v>
      </c>
      <c r="Q130" s="296"/>
      <c r="R130" s="296"/>
      <c r="S130" s="296"/>
      <c r="T130" s="296"/>
      <c r="U130" s="296"/>
      <c r="V130" s="29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9"/>
      <c r="P131" s="295" t="s">
        <v>40</v>
      </c>
      <c r="Q131" s="296"/>
      <c r="R131" s="296"/>
      <c r="S131" s="296"/>
      <c r="T131" s="296"/>
      <c r="U131" s="296"/>
      <c r="V131" s="29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21" t="s">
        <v>228</v>
      </c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65"/>
      <c r="AB132" s="65"/>
      <c r="AC132" s="82"/>
    </row>
    <row r="133" spans="1:68" ht="14.25" customHeight="1" x14ac:dyDescent="0.25">
      <c r="A133" s="309" t="s">
        <v>155</v>
      </c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4301135848</v>
      </c>
      <c r="D134" s="291">
        <v>4620207491799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232</v>
      </c>
      <c r="B135" s="63" t="s">
        <v>233</v>
      </c>
      <c r="C135" s="36">
        <v>4301135850</v>
      </c>
      <c r="D135" s="291">
        <v>4620207491492</v>
      </c>
      <c r="E135" s="291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3"/>
      <c r="R135" s="293"/>
      <c r="S135" s="293"/>
      <c r="T135" s="29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4301190118</v>
      </c>
      <c r="D136" s="291">
        <v>4620207491461</v>
      </c>
      <c r="E136" s="291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3"/>
      <c r="R136" s="293"/>
      <c r="S136" s="293"/>
      <c r="T136" s="294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236</v>
      </c>
      <c r="B137" s="63" t="s">
        <v>237</v>
      </c>
      <c r="C137" s="36">
        <v>4301135865</v>
      </c>
      <c r="D137" s="291">
        <v>4620207491485</v>
      </c>
      <c r="E137" s="291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3"/>
      <c r="R137" s="293"/>
      <c r="S137" s="293"/>
      <c r="T137" s="294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9"/>
      <c r="P138" s="295" t="s">
        <v>40</v>
      </c>
      <c r="Q138" s="296"/>
      <c r="R138" s="296"/>
      <c r="S138" s="296"/>
      <c r="T138" s="296"/>
      <c r="U138" s="296"/>
      <c r="V138" s="297"/>
      <c r="W138" s="42" t="s">
        <v>39</v>
      </c>
      <c r="X138" s="43">
        <f>IFERROR(SUM(X134:X137),"0")</f>
        <v>0</v>
      </c>
      <c r="Y138" s="43">
        <f>IFERROR(SUM(Y134:Y137),"0")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9"/>
      <c r="P139" s="295" t="s">
        <v>40</v>
      </c>
      <c r="Q139" s="296"/>
      <c r="R139" s="296"/>
      <c r="S139" s="296"/>
      <c r="T139" s="296"/>
      <c r="U139" s="296"/>
      <c r="V139" s="297"/>
      <c r="W139" s="42" t="s">
        <v>0</v>
      </c>
      <c r="X139" s="43">
        <f>IFERROR(SUMPRODUCT(X134:X137*H134:H137),"0")</f>
        <v>0</v>
      </c>
      <c r="Y139" s="43">
        <f>IFERROR(SUMPRODUCT(Y134:Y137*H134:H137),"0")</f>
        <v>0</v>
      </c>
      <c r="Z139" s="42"/>
      <c r="AA139" s="67"/>
      <c r="AB139" s="67"/>
      <c r="AC139" s="67"/>
    </row>
    <row r="140" spans="1:68" ht="14.25" customHeight="1" x14ac:dyDescent="0.25">
      <c r="A140" s="309" t="s">
        <v>238</v>
      </c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66"/>
      <c r="AB140" s="66"/>
      <c r="AC140" s="83"/>
    </row>
    <row r="141" spans="1:68" ht="27" customHeight="1" x14ac:dyDescent="0.25">
      <c r="A141" s="63" t="s">
        <v>239</v>
      </c>
      <c r="B141" s="63" t="s">
        <v>240</v>
      </c>
      <c r="C141" s="36">
        <v>4301190117</v>
      </c>
      <c r="D141" s="291">
        <v>4620207491386</v>
      </c>
      <c r="E141" s="291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3"/>
      <c r="R141" s="293"/>
      <c r="S141" s="293"/>
      <c r="T141" s="294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4301190115</v>
      </c>
      <c r="D142" s="291">
        <v>4620207491362</v>
      </c>
      <c r="E142" s="291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3"/>
      <c r="R142" s="293"/>
      <c r="S142" s="293"/>
      <c r="T142" s="294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244</v>
      </c>
      <c r="B143" s="63" t="s">
        <v>245</v>
      </c>
      <c r="C143" s="36">
        <v>4301190116</v>
      </c>
      <c r="D143" s="291">
        <v>4620207491379</v>
      </c>
      <c r="E143" s="291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3"/>
      <c r="R143" s="293"/>
      <c r="S143" s="293"/>
      <c r="T143" s="294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9"/>
      <c r="P144" s="295" t="s">
        <v>40</v>
      </c>
      <c r="Q144" s="296"/>
      <c r="R144" s="296"/>
      <c r="S144" s="296"/>
      <c r="T144" s="296"/>
      <c r="U144" s="296"/>
      <c r="V144" s="297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9"/>
      <c r="P145" s="295" t="s">
        <v>40</v>
      </c>
      <c r="Q145" s="296"/>
      <c r="R145" s="296"/>
      <c r="S145" s="296"/>
      <c r="T145" s="296"/>
      <c r="U145" s="296"/>
      <c r="V145" s="297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21" t="s">
        <v>246</v>
      </c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65"/>
      <c r="AB146" s="65"/>
      <c r="AC146" s="82"/>
    </row>
    <row r="147" spans="1:68" ht="14.25" customHeight="1" x14ac:dyDescent="0.25">
      <c r="A147" s="309" t="s">
        <v>155</v>
      </c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4301135555</v>
      </c>
      <c r="D148" s="291">
        <v>4607111034014</v>
      </c>
      <c r="E148" s="291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3"/>
      <c r="R148" s="293"/>
      <c r="S148" s="293"/>
      <c r="T148" s="294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250</v>
      </c>
      <c r="B149" s="63" t="s">
        <v>251</v>
      </c>
      <c r="C149" s="36">
        <v>4301135532</v>
      </c>
      <c r="D149" s="291">
        <v>4607111033994</v>
      </c>
      <c r="E149" s="291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3"/>
      <c r="R149" s="293"/>
      <c r="S149" s="293"/>
      <c r="T149" s="294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9"/>
      <c r="P150" s="295" t="s">
        <v>40</v>
      </c>
      <c r="Q150" s="296"/>
      <c r="R150" s="296"/>
      <c r="S150" s="296"/>
      <c r="T150" s="296"/>
      <c r="U150" s="296"/>
      <c r="V150" s="297"/>
      <c r="W150" s="42" t="s">
        <v>39</v>
      </c>
      <c r="X150" s="43">
        <f>IFERROR(SUM(X148:X149),"0")</f>
        <v>0</v>
      </c>
      <c r="Y150" s="43">
        <f>IFERROR(SUM(Y148:Y149),"0")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9"/>
      <c r="P151" s="295" t="s">
        <v>40</v>
      </c>
      <c r="Q151" s="296"/>
      <c r="R151" s="296"/>
      <c r="S151" s="296"/>
      <c r="T151" s="296"/>
      <c r="U151" s="296"/>
      <c r="V151" s="297"/>
      <c r="W151" s="42" t="s">
        <v>0</v>
      </c>
      <c r="X151" s="43">
        <f>IFERROR(SUMPRODUCT(X148:X149*H148:H149),"0")</f>
        <v>0</v>
      </c>
      <c r="Y151" s="43">
        <f>IFERROR(SUMPRODUCT(Y148:Y149*H148:H149),"0")</f>
        <v>0</v>
      </c>
      <c r="Z151" s="42"/>
      <c r="AA151" s="67"/>
      <c r="AB151" s="67"/>
      <c r="AC151" s="67"/>
    </row>
    <row r="152" spans="1:68" ht="16.5" customHeight="1" x14ac:dyDescent="0.25">
      <c r="A152" s="321" t="s">
        <v>252</v>
      </c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65"/>
      <c r="AB152" s="65"/>
      <c r="AC152" s="82"/>
    </row>
    <row r="153" spans="1:68" ht="14.25" customHeight="1" x14ac:dyDescent="0.25">
      <c r="A153" s="309" t="s">
        <v>155</v>
      </c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4301135824</v>
      </c>
      <c r="D154" s="291">
        <v>4607111039095</v>
      </c>
      <c r="E154" s="291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3"/>
      <c r="R154" s="293"/>
      <c r="S154" s="293"/>
      <c r="T154" s="294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291">
        <v>4607111034199</v>
      </c>
      <c r="E155" s="291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34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3"/>
      <c r="R155" s="293"/>
      <c r="S155" s="293"/>
      <c r="T155" s="294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9"/>
      <c r="P156" s="295" t="s">
        <v>40</v>
      </c>
      <c r="Q156" s="296"/>
      <c r="R156" s="296"/>
      <c r="S156" s="296"/>
      <c r="T156" s="296"/>
      <c r="U156" s="296"/>
      <c r="V156" s="297"/>
      <c r="W156" s="42" t="s">
        <v>39</v>
      </c>
      <c r="X156" s="43">
        <f>IFERROR(SUM(X154:X155),"0")</f>
        <v>0</v>
      </c>
      <c r="Y156" s="43">
        <f>IFERROR(SUM(Y154:Y155),"0")</f>
        <v>0</v>
      </c>
      <c r="Z156" s="43">
        <f>IFERROR(IF(Z154="",0,Z154),"0")+IFERROR(IF(Z155="",0,Z155),"0")</f>
        <v>0</v>
      </c>
      <c r="AA156" s="67"/>
      <c r="AB156" s="67"/>
      <c r="AC156" s="67"/>
    </row>
    <row r="157" spans="1:68" x14ac:dyDescent="0.2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9"/>
      <c r="P157" s="295" t="s">
        <v>40</v>
      </c>
      <c r="Q157" s="296"/>
      <c r="R157" s="296"/>
      <c r="S157" s="296"/>
      <c r="T157" s="296"/>
      <c r="U157" s="296"/>
      <c r="V157" s="297"/>
      <c r="W157" s="42" t="s">
        <v>0</v>
      </c>
      <c r="X157" s="43">
        <f>IFERROR(SUMPRODUCT(X154:X155*H154:H155),"0")</f>
        <v>0</v>
      </c>
      <c r="Y157" s="43">
        <f>IFERROR(SUMPRODUCT(Y154:Y155*H154:H155),"0")</f>
        <v>0</v>
      </c>
      <c r="Z157" s="42"/>
      <c r="AA157" s="67"/>
      <c r="AB157" s="67"/>
      <c r="AC157" s="67"/>
    </row>
    <row r="158" spans="1:68" ht="16.5" customHeight="1" x14ac:dyDescent="0.25">
      <c r="A158" s="321" t="s">
        <v>259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65"/>
      <c r="AB158" s="65"/>
      <c r="AC158" s="82"/>
    </row>
    <row r="159" spans="1:68" ht="14.25" customHeight="1" x14ac:dyDescent="0.25">
      <c r="A159" s="309" t="s">
        <v>155</v>
      </c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291">
        <v>4620207490914</v>
      </c>
      <c r="E160" s="291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3"/>
      <c r="R160" s="293"/>
      <c r="S160" s="293"/>
      <c r="T160" s="294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291">
        <v>4620207490853</v>
      </c>
      <c r="E161" s="291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34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3"/>
      <c r="R161" s="293"/>
      <c r="S161" s="293"/>
      <c r="T161" s="294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9"/>
      <c r="P162" s="295" t="s">
        <v>40</v>
      </c>
      <c r="Q162" s="296"/>
      <c r="R162" s="296"/>
      <c r="S162" s="296"/>
      <c r="T162" s="296"/>
      <c r="U162" s="296"/>
      <c r="V162" s="297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9"/>
      <c r="P163" s="295" t="s">
        <v>40</v>
      </c>
      <c r="Q163" s="296"/>
      <c r="R163" s="296"/>
      <c r="S163" s="296"/>
      <c r="T163" s="296"/>
      <c r="U163" s="296"/>
      <c r="V163" s="297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16.5" customHeight="1" x14ac:dyDescent="0.25">
      <c r="A164" s="321" t="s">
        <v>264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65"/>
      <c r="AB164" s="65"/>
      <c r="AC164" s="82"/>
    </row>
    <row r="165" spans="1:68" ht="14.25" customHeight="1" x14ac:dyDescent="0.25">
      <c r="A165" s="309" t="s">
        <v>155</v>
      </c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291">
        <v>4607111035806</v>
      </c>
      <c r="E166" s="291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3"/>
      <c r="R166" s="293"/>
      <c r="S166" s="293"/>
      <c r="T166" s="294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IFERROR(IF(X166="","",X166*0.01788),"")</f>
        <v>0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9"/>
      <c r="P167" s="295" t="s">
        <v>40</v>
      </c>
      <c r="Q167" s="296"/>
      <c r="R167" s="296"/>
      <c r="S167" s="296"/>
      <c r="T167" s="296"/>
      <c r="U167" s="296"/>
      <c r="V167" s="297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9"/>
      <c r="P168" s="295" t="s">
        <v>40</v>
      </c>
      <c r="Q168" s="296"/>
      <c r="R168" s="296"/>
      <c r="S168" s="296"/>
      <c r="T168" s="296"/>
      <c r="U168" s="296"/>
      <c r="V168" s="297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21" t="s">
        <v>268</v>
      </c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65"/>
      <c r="AB169" s="65"/>
      <c r="AC169" s="82"/>
    </row>
    <row r="170" spans="1:68" ht="14.25" customHeight="1" x14ac:dyDescent="0.25">
      <c r="A170" s="309" t="s">
        <v>155</v>
      </c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66"/>
      <c r="AB170" s="66"/>
      <c r="AC170" s="83"/>
    </row>
    <row r="171" spans="1:68" ht="16.5" customHeight="1" x14ac:dyDescent="0.25">
      <c r="A171" s="63" t="s">
        <v>269</v>
      </c>
      <c r="B171" s="63" t="s">
        <v>270</v>
      </c>
      <c r="C171" s="36">
        <v>4301135607</v>
      </c>
      <c r="D171" s="291">
        <v>4607111039613</v>
      </c>
      <c r="E171" s="291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3"/>
      <c r="R171" s="293"/>
      <c r="S171" s="293"/>
      <c r="T171" s="294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9"/>
      <c r="P172" s="295" t="s">
        <v>40</v>
      </c>
      <c r="Q172" s="296"/>
      <c r="R172" s="296"/>
      <c r="S172" s="296"/>
      <c r="T172" s="296"/>
      <c r="U172" s="296"/>
      <c r="V172" s="297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9"/>
      <c r="P173" s="295" t="s">
        <v>40</v>
      </c>
      <c r="Q173" s="296"/>
      <c r="R173" s="296"/>
      <c r="S173" s="296"/>
      <c r="T173" s="296"/>
      <c r="U173" s="296"/>
      <c r="V173" s="297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21" t="s">
        <v>271</v>
      </c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65"/>
      <c r="AB174" s="65"/>
      <c r="AC174" s="82"/>
    </row>
    <row r="175" spans="1:68" ht="14.25" customHeight="1" x14ac:dyDescent="0.25">
      <c r="A175" s="309" t="s">
        <v>155</v>
      </c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291">
        <v>4607111036568</v>
      </c>
      <c r="E176" s="291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3"/>
      <c r="R176" s="293"/>
      <c r="S176" s="293"/>
      <c r="T176" s="294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IFERROR(IF(X176="","",X176*0.00941),"")</f>
        <v>0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x14ac:dyDescent="0.2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9"/>
      <c r="P177" s="295" t="s">
        <v>40</v>
      </c>
      <c r="Q177" s="296"/>
      <c r="R177" s="296"/>
      <c r="S177" s="296"/>
      <c r="T177" s="296"/>
      <c r="U177" s="296"/>
      <c r="V177" s="297"/>
      <c r="W177" s="42" t="s">
        <v>39</v>
      </c>
      <c r="X177" s="43">
        <f>IFERROR(SUM(X176:X176),"0")</f>
        <v>0</v>
      </c>
      <c r="Y177" s="43">
        <f>IFERROR(SUM(Y176:Y176),"0")</f>
        <v>0</v>
      </c>
      <c r="Z177" s="43">
        <f>IFERROR(IF(Z176="",0,Z176),"0")</f>
        <v>0</v>
      </c>
      <c r="AA177" s="67"/>
      <c r="AB177" s="67"/>
      <c r="AC177" s="67"/>
    </row>
    <row r="178" spans="1:68" x14ac:dyDescent="0.2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9"/>
      <c r="P178" s="295" t="s">
        <v>40</v>
      </c>
      <c r="Q178" s="296"/>
      <c r="R178" s="296"/>
      <c r="S178" s="296"/>
      <c r="T178" s="296"/>
      <c r="U178" s="296"/>
      <c r="V178" s="297"/>
      <c r="W178" s="42" t="s">
        <v>0</v>
      </c>
      <c r="X178" s="43">
        <f>IFERROR(SUMPRODUCT(X176:X176*H176:H176),"0")</f>
        <v>0</v>
      </c>
      <c r="Y178" s="43">
        <f>IFERROR(SUMPRODUCT(Y176:Y176*H176:H176),"0")</f>
        <v>0</v>
      </c>
      <c r="Z178" s="42"/>
      <c r="AA178" s="67"/>
      <c r="AB178" s="67"/>
      <c r="AC178" s="67"/>
    </row>
    <row r="179" spans="1:68" ht="27.75" customHeight="1" x14ac:dyDescent="0.2">
      <c r="A179" s="320" t="s">
        <v>275</v>
      </c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0"/>
      <c r="P179" s="320"/>
      <c r="Q179" s="320"/>
      <c r="R179" s="320"/>
      <c r="S179" s="320"/>
      <c r="T179" s="320"/>
      <c r="U179" s="320"/>
      <c r="V179" s="320"/>
      <c r="W179" s="320"/>
      <c r="X179" s="320"/>
      <c r="Y179" s="320"/>
      <c r="Z179" s="320"/>
      <c r="AA179" s="54"/>
      <c r="AB179" s="54"/>
      <c r="AC179" s="54"/>
    </row>
    <row r="180" spans="1:68" ht="16.5" customHeight="1" x14ac:dyDescent="0.25">
      <c r="A180" s="321" t="s">
        <v>276</v>
      </c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65"/>
      <c r="AB180" s="65"/>
      <c r="AC180" s="82"/>
    </row>
    <row r="181" spans="1:68" ht="14.25" customHeight="1" x14ac:dyDescent="0.25">
      <c r="A181" s="309" t="s">
        <v>80</v>
      </c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66"/>
      <c r="AB181" s="66"/>
      <c r="AC181" s="83"/>
    </row>
    <row r="182" spans="1:68" ht="16.5" customHeight="1" x14ac:dyDescent="0.25">
      <c r="A182" s="63" t="s">
        <v>277</v>
      </c>
      <c r="B182" s="63" t="s">
        <v>278</v>
      </c>
      <c r="C182" s="36">
        <v>4301071062</v>
      </c>
      <c r="D182" s="291">
        <v>4607111036384</v>
      </c>
      <c r="E182" s="291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33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3"/>
      <c r="R182" s="293"/>
      <c r="S182" s="293"/>
      <c r="T182" s="294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280</v>
      </c>
      <c r="B183" s="63" t="s">
        <v>281</v>
      </c>
      <c r="C183" s="36">
        <v>4301071050</v>
      </c>
      <c r="D183" s="291">
        <v>4607111036216</v>
      </c>
      <c r="E183" s="291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3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3"/>
      <c r="R183" s="293"/>
      <c r="S183" s="293"/>
      <c r="T183" s="294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9"/>
      <c r="P184" s="295" t="s">
        <v>40</v>
      </c>
      <c r="Q184" s="296"/>
      <c r="R184" s="296"/>
      <c r="S184" s="296"/>
      <c r="T184" s="296"/>
      <c r="U184" s="296"/>
      <c r="V184" s="297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9"/>
      <c r="P185" s="295" t="s">
        <v>40</v>
      </c>
      <c r="Q185" s="296"/>
      <c r="R185" s="296"/>
      <c r="S185" s="296"/>
      <c r="T185" s="296"/>
      <c r="U185" s="296"/>
      <c r="V185" s="297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6.5" customHeight="1" x14ac:dyDescent="0.25">
      <c r="A186" s="321" t="s">
        <v>283</v>
      </c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65"/>
      <c r="AB186" s="65"/>
      <c r="AC186" s="82"/>
    </row>
    <row r="187" spans="1:68" ht="14.25" customHeight="1" x14ac:dyDescent="0.25">
      <c r="A187" s="309" t="s">
        <v>80</v>
      </c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66"/>
      <c r="AB187" s="66"/>
      <c r="AC187" s="83"/>
    </row>
    <row r="188" spans="1:68" ht="27" customHeight="1" x14ac:dyDescent="0.25">
      <c r="A188" s="63" t="s">
        <v>284</v>
      </c>
      <c r="B188" s="63" t="s">
        <v>285</v>
      </c>
      <c r="C188" s="36">
        <v>4301071117</v>
      </c>
      <c r="D188" s="291">
        <v>4620207491737</v>
      </c>
      <c r="E188" s="291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3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3"/>
      <c r="R188" s="293"/>
      <c r="S188" s="293"/>
      <c r="T188" s="294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9"/>
      <c r="P189" s="295" t="s">
        <v>40</v>
      </c>
      <c r="Q189" s="296"/>
      <c r="R189" s="296"/>
      <c r="S189" s="296"/>
      <c r="T189" s="296"/>
      <c r="U189" s="296"/>
      <c r="V189" s="297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9"/>
      <c r="P190" s="295" t="s">
        <v>40</v>
      </c>
      <c r="Q190" s="296"/>
      <c r="R190" s="296"/>
      <c r="S190" s="296"/>
      <c r="T190" s="296"/>
      <c r="U190" s="296"/>
      <c r="V190" s="297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27.75" customHeight="1" x14ac:dyDescent="0.2">
      <c r="A191" s="320" t="s">
        <v>286</v>
      </c>
      <c r="B191" s="320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320"/>
      <c r="W191" s="320"/>
      <c r="X191" s="320"/>
      <c r="Y191" s="320"/>
      <c r="Z191" s="320"/>
      <c r="AA191" s="54"/>
      <c r="AB191" s="54"/>
      <c r="AC191" s="54"/>
    </row>
    <row r="192" spans="1:68" ht="16.5" customHeight="1" x14ac:dyDescent="0.25">
      <c r="A192" s="321" t="s">
        <v>287</v>
      </c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65"/>
      <c r="AB192" s="65"/>
      <c r="AC192" s="82"/>
    </row>
    <row r="193" spans="1:68" ht="14.25" customHeight="1" x14ac:dyDescent="0.25">
      <c r="A193" s="309" t="s">
        <v>111</v>
      </c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66"/>
      <c r="AB193" s="66"/>
      <c r="AC193" s="83"/>
    </row>
    <row r="194" spans="1:68" ht="16.5" customHeight="1" x14ac:dyDescent="0.25">
      <c r="A194" s="63" t="s">
        <v>288</v>
      </c>
      <c r="B194" s="63" t="s">
        <v>289</v>
      </c>
      <c r="C194" s="36">
        <v>4301132179</v>
      </c>
      <c r="D194" s="291">
        <v>4607111035691</v>
      </c>
      <c r="E194" s="291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3"/>
      <c r="R194" s="293"/>
      <c r="S194" s="293"/>
      <c r="T194" s="294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291</v>
      </c>
      <c r="B195" s="63" t="s">
        <v>292</v>
      </c>
      <c r="C195" s="36">
        <v>4301132182</v>
      </c>
      <c r="D195" s="291">
        <v>4607111035721</v>
      </c>
      <c r="E195" s="291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3"/>
      <c r="R195" s="293"/>
      <c r="S195" s="293"/>
      <c r="T195" s="29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294</v>
      </c>
      <c r="B196" s="63" t="s">
        <v>295</v>
      </c>
      <c r="C196" s="36">
        <v>4301132170</v>
      </c>
      <c r="D196" s="291">
        <v>4607111038487</v>
      </c>
      <c r="E196" s="291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3"/>
      <c r="R196" s="293"/>
      <c r="S196" s="293"/>
      <c r="T196" s="294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297</v>
      </c>
      <c r="B197" s="63" t="s">
        <v>298</v>
      </c>
      <c r="C197" s="36">
        <v>4301132243</v>
      </c>
      <c r="D197" s="291">
        <v>4620207491195</v>
      </c>
      <c r="E197" s="291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33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3"/>
      <c r="R197" s="293"/>
      <c r="S197" s="293"/>
      <c r="T197" s="294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9"/>
      <c r="P198" s="295" t="s">
        <v>40</v>
      </c>
      <c r="Q198" s="296"/>
      <c r="R198" s="296"/>
      <c r="S198" s="296"/>
      <c r="T198" s="296"/>
      <c r="U198" s="296"/>
      <c r="V198" s="297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9"/>
      <c r="P199" s="295" t="s">
        <v>40</v>
      </c>
      <c r="Q199" s="296"/>
      <c r="R199" s="296"/>
      <c r="S199" s="296"/>
      <c r="T199" s="296"/>
      <c r="U199" s="296"/>
      <c r="V199" s="297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customHeight="1" x14ac:dyDescent="0.2">
      <c r="A200" s="320" t="s">
        <v>300</v>
      </c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  <c r="M200" s="320"/>
      <c r="N200" s="320"/>
      <c r="O200" s="320"/>
      <c r="P200" s="320"/>
      <c r="Q200" s="320"/>
      <c r="R200" s="320"/>
      <c r="S200" s="320"/>
      <c r="T200" s="320"/>
      <c r="U200" s="320"/>
      <c r="V200" s="320"/>
      <c r="W200" s="320"/>
      <c r="X200" s="320"/>
      <c r="Y200" s="320"/>
      <c r="Z200" s="320"/>
      <c r="AA200" s="54"/>
      <c r="AB200" s="54"/>
      <c r="AC200" s="54"/>
    </row>
    <row r="201" spans="1:68" ht="16.5" customHeight="1" x14ac:dyDescent="0.25">
      <c r="A201" s="321" t="s">
        <v>301</v>
      </c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65"/>
      <c r="AB201" s="65"/>
      <c r="AC201" s="82"/>
    </row>
    <row r="202" spans="1:68" ht="14.25" customHeight="1" x14ac:dyDescent="0.25">
      <c r="A202" s="309" t="s">
        <v>111</v>
      </c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4301132227</v>
      </c>
      <c r="D203" s="291">
        <v>4620207491133</v>
      </c>
      <c r="E203" s="291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3"/>
      <c r="R203" s="293"/>
      <c r="S203" s="293"/>
      <c r="T203" s="294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9"/>
      <c r="P204" s="295" t="s">
        <v>40</v>
      </c>
      <c r="Q204" s="296"/>
      <c r="R204" s="296"/>
      <c r="S204" s="296"/>
      <c r="T204" s="296"/>
      <c r="U204" s="296"/>
      <c r="V204" s="297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9"/>
      <c r="P205" s="295" t="s">
        <v>40</v>
      </c>
      <c r="Q205" s="296"/>
      <c r="R205" s="296"/>
      <c r="S205" s="296"/>
      <c r="T205" s="296"/>
      <c r="U205" s="296"/>
      <c r="V205" s="297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4.25" customHeight="1" x14ac:dyDescent="0.25">
      <c r="A206" s="309" t="s">
        <v>155</v>
      </c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66"/>
      <c r="AB206" s="66"/>
      <c r="AC206" s="83"/>
    </row>
    <row r="207" spans="1:68" ht="27" customHeight="1" x14ac:dyDescent="0.25">
      <c r="A207" s="63" t="s">
        <v>305</v>
      </c>
      <c r="B207" s="63" t="s">
        <v>306</v>
      </c>
      <c r="C207" s="36">
        <v>4301135834</v>
      </c>
      <c r="D207" s="291">
        <v>4620207491188</v>
      </c>
      <c r="E207" s="291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33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3"/>
      <c r="R207" s="293"/>
      <c r="S207" s="293"/>
      <c r="T207" s="294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308</v>
      </c>
      <c r="B208" s="63" t="s">
        <v>309</v>
      </c>
      <c r="C208" s="36">
        <v>4301135829</v>
      </c>
      <c r="D208" s="291">
        <v>4620207490235</v>
      </c>
      <c r="E208" s="291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33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3"/>
      <c r="R208" s="293"/>
      <c r="S208" s="293"/>
      <c r="T208" s="294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311</v>
      </c>
      <c r="B209" s="63" t="s">
        <v>312</v>
      </c>
      <c r="C209" s="36">
        <v>4301135697</v>
      </c>
      <c r="D209" s="291">
        <v>4620207490259</v>
      </c>
      <c r="E209" s="291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3"/>
      <c r="R209" s="293"/>
      <c r="S209" s="293"/>
      <c r="T209" s="29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9"/>
      <c r="P210" s="295" t="s">
        <v>40</v>
      </c>
      <c r="Q210" s="296"/>
      <c r="R210" s="296"/>
      <c r="S210" s="296"/>
      <c r="T210" s="296"/>
      <c r="U210" s="296"/>
      <c r="V210" s="297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9"/>
      <c r="P211" s="295" t="s">
        <v>40</v>
      </c>
      <c r="Q211" s="296"/>
      <c r="R211" s="296"/>
      <c r="S211" s="296"/>
      <c r="T211" s="296"/>
      <c r="U211" s="296"/>
      <c r="V211" s="297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21" t="s">
        <v>314</v>
      </c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65"/>
      <c r="AB212" s="65"/>
      <c r="AC212" s="82"/>
    </row>
    <row r="213" spans="1:68" ht="14.25" customHeight="1" x14ac:dyDescent="0.25">
      <c r="A213" s="309" t="s">
        <v>155</v>
      </c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66"/>
      <c r="AB213" s="66"/>
      <c r="AC213" s="83"/>
    </row>
    <row r="214" spans="1:68" ht="27" customHeight="1" x14ac:dyDescent="0.25">
      <c r="A214" s="63" t="s">
        <v>315</v>
      </c>
      <c r="B214" s="63" t="s">
        <v>316</v>
      </c>
      <c r="C214" s="36">
        <v>4301135854</v>
      </c>
      <c r="D214" s="291">
        <v>4620207491706</v>
      </c>
      <c r="E214" s="291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32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3"/>
      <c r="R214" s="293"/>
      <c r="S214" s="293"/>
      <c r="T214" s="294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318</v>
      </c>
      <c r="B215" s="63" t="s">
        <v>319</v>
      </c>
      <c r="C215" s="36">
        <v>4301135895</v>
      </c>
      <c r="D215" s="291">
        <v>4620207491522</v>
      </c>
      <c r="E215" s="291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32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3"/>
      <c r="R215" s="293"/>
      <c r="S215" s="293"/>
      <c r="T215" s="294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9"/>
      <c r="P216" s="295" t="s">
        <v>40</v>
      </c>
      <c r="Q216" s="296"/>
      <c r="R216" s="296"/>
      <c r="S216" s="296"/>
      <c r="T216" s="296"/>
      <c r="U216" s="296"/>
      <c r="V216" s="297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9"/>
      <c r="P217" s="295" t="s">
        <v>40</v>
      </c>
      <c r="Q217" s="296"/>
      <c r="R217" s="296"/>
      <c r="S217" s="296"/>
      <c r="T217" s="296"/>
      <c r="U217" s="296"/>
      <c r="V217" s="297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21" t="s">
        <v>321</v>
      </c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65"/>
      <c r="AB218" s="65"/>
      <c r="AC218" s="82"/>
    </row>
    <row r="219" spans="1:68" ht="14.25" customHeight="1" x14ac:dyDescent="0.25">
      <c r="A219" s="309" t="s">
        <v>80</v>
      </c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66"/>
      <c r="AB219" s="66"/>
      <c r="AC219" s="83"/>
    </row>
    <row r="220" spans="1:68" ht="27" customHeight="1" x14ac:dyDescent="0.25">
      <c r="A220" s="63" t="s">
        <v>322</v>
      </c>
      <c r="B220" s="63" t="s">
        <v>323</v>
      </c>
      <c r="C220" s="36">
        <v>4301071097</v>
      </c>
      <c r="D220" s="291">
        <v>4620207491096</v>
      </c>
      <c r="E220" s="291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3"/>
      <c r="R220" s="293"/>
      <c r="S220" s="293"/>
      <c r="T220" s="294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9"/>
      <c r="P221" s="295" t="s">
        <v>40</v>
      </c>
      <c r="Q221" s="296"/>
      <c r="R221" s="296"/>
      <c r="S221" s="296"/>
      <c r="T221" s="296"/>
      <c r="U221" s="296"/>
      <c r="V221" s="297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9"/>
      <c r="P222" s="295" t="s">
        <v>40</v>
      </c>
      <c r="Q222" s="296"/>
      <c r="R222" s="296"/>
      <c r="S222" s="296"/>
      <c r="T222" s="296"/>
      <c r="U222" s="296"/>
      <c r="V222" s="297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customHeight="1" x14ac:dyDescent="0.25">
      <c r="A223" s="321" t="s">
        <v>325</v>
      </c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65"/>
      <c r="AB223" s="65"/>
      <c r="AC223" s="82"/>
    </row>
    <row r="224" spans="1:68" ht="14.25" customHeight="1" x14ac:dyDescent="0.25">
      <c r="A224" s="309" t="s">
        <v>155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66"/>
      <c r="AB224" s="66"/>
      <c r="AC224" s="83"/>
    </row>
    <row r="225" spans="1:68" ht="27" customHeight="1" x14ac:dyDescent="0.25">
      <c r="A225" s="63" t="s">
        <v>326</v>
      </c>
      <c r="B225" s="63" t="s">
        <v>327</v>
      </c>
      <c r="C225" s="36">
        <v>4301135694</v>
      </c>
      <c r="D225" s="291">
        <v>4620207490501</v>
      </c>
      <c r="E225" s="291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3"/>
      <c r="R225" s="293"/>
      <c r="S225" s="293"/>
      <c r="T225" s="294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9"/>
      <c r="P226" s="295" t="s">
        <v>40</v>
      </c>
      <c r="Q226" s="296"/>
      <c r="R226" s="296"/>
      <c r="S226" s="296"/>
      <c r="T226" s="296"/>
      <c r="U226" s="296"/>
      <c r="V226" s="29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9"/>
      <c r="P227" s="295" t="s">
        <v>40</v>
      </c>
      <c r="Q227" s="296"/>
      <c r="R227" s="296"/>
      <c r="S227" s="296"/>
      <c r="T227" s="296"/>
      <c r="U227" s="296"/>
      <c r="V227" s="29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20" t="s">
        <v>329</v>
      </c>
      <c r="B228" s="320"/>
      <c r="C228" s="320"/>
      <c r="D228" s="320"/>
      <c r="E228" s="320"/>
      <c r="F228" s="320"/>
      <c r="G228" s="320"/>
      <c r="H228" s="320"/>
      <c r="I228" s="320"/>
      <c r="J228" s="320"/>
      <c r="K228" s="320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  <c r="AA228" s="54"/>
      <c r="AB228" s="54"/>
      <c r="AC228" s="54"/>
    </row>
    <row r="229" spans="1:68" ht="16.5" customHeight="1" x14ac:dyDescent="0.25">
      <c r="A229" s="321" t="s">
        <v>330</v>
      </c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65"/>
      <c r="AB229" s="65"/>
      <c r="AC229" s="82"/>
    </row>
    <row r="230" spans="1:68" ht="14.25" customHeight="1" x14ac:dyDescent="0.25">
      <c r="A230" s="309" t="s">
        <v>80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66"/>
      <c r="AB230" s="66"/>
      <c r="AC230" s="83"/>
    </row>
    <row r="231" spans="1:68" ht="27" customHeight="1" x14ac:dyDescent="0.25">
      <c r="A231" s="63" t="s">
        <v>331</v>
      </c>
      <c r="B231" s="63" t="s">
        <v>332</v>
      </c>
      <c r="C231" s="36">
        <v>4301071036</v>
      </c>
      <c r="D231" s="291">
        <v>4607111036162</v>
      </c>
      <c r="E231" s="291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3"/>
      <c r="R231" s="293"/>
      <c r="S231" s="293"/>
      <c r="T231" s="294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9"/>
      <c r="P232" s="295" t="s">
        <v>40</v>
      </c>
      <c r="Q232" s="296"/>
      <c r="R232" s="296"/>
      <c r="S232" s="296"/>
      <c r="T232" s="296"/>
      <c r="U232" s="296"/>
      <c r="V232" s="29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9"/>
      <c r="P233" s="295" t="s">
        <v>40</v>
      </c>
      <c r="Q233" s="296"/>
      <c r="R233" s="296"/>
      <c r="S233" s="296"/>
      <c r="T233" s="296"/>
      <c r="U233" s="296"/>
      <c r="V233" s="29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20" t="s">
        <v>334</v>
      </c>
      <c r="B234" s="320"/>
      <c r="C234" s="320"/>
      <c r="D234" s="320"/>
      <c r="E234" s="320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320"/>
      <c r="S234" s="320"/>
      <c r="T234" s="320"/>
      <c r="U234" s="320"/>
      <c r="V234" s="320"/>
      <c r="W234" s="320"/>
      <c r="X234" s="320"/>
      <c r="Y234" s="320"/>
      <c r="Z234" s="320"/>
      <c r="AA234" s="54"/>
      <c r="AB234" s="54"/>
      <c r="AC234" s="54"/>
    </row>
    <row r="235" spans="1:68" ht="16.5" customHeight="1" x14ac:dyDescent="0.25">
      <c r="A235" s="321" t="s">
        <v>335</v>
      </c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65"/>
      <c r="AB235" s="65"/>
      <c r="AC235" s="82"/>
    </row>
    <row r="236" spans="1:68" ht="14.25" customHeight="1" x14ac:dyDescent="0.25">
      <c r="A236" s="309" t="s">
        <v>336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66"/>
      <c r="AB236" s="66"/>
      <c r="AC236" s="83"/>
    </row>
    <row r="237" spans="1:68" ht="27" customHeight="1" x14ac:dyDescent="0.25">
      <c r="A237" s="63" t="s">
        <v>337</v>
      </c>
      <c r="B237" s="63" t="s">
        <v>338</v>
      </c>
      <c r="C237" s="36">
        <v>4301133004</v>
      </c>
      <c r="D237" s="291">
        <v>4607111039774</v>
      </c>
      <c r="E237" s="291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3"/>
      <c r="R237" s="293"/>
      <c r="S237" s="293"/>
      <c r="T237" s="294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9"/>
      <c r="P238" s="295" t="s">
        <v>40</v>
      </c>
      <c r="Q238" s="296"/>
      <c r="R238" s="296"/>
      <c r="S238" s="296"/>
      <c r="T238" s="296"/>
      <c r="U238" s="296"/>
      <c r="V238" s="29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9"/>
      <c r="P239" s="295" t="s">
        <v>40</v>
      </c>
      <c r="Q239" s="296"/>
      <c r="R239" s="296"/>
      <c r="S239" s="296"/>
      <c r="T239" s="296"/>
      <c r="U239" s="296"/>
      <c r="V239" s="29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09" t="s">
        <v>155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66"/>
      <c r="AB240" s="66"/>
      <c r="AC240" s="83"/>
    </row>
    <row r="241" spans="1:68" ht="37.5" customHeight="1" x14ac:dyDescent="0.25">
      <c r="A241" s="63" t="s">
        <v>340</v>
      </c>
      <c r="B241" s="63" t="s">
        <v>341</v>
      </c>
      <c r="C241" s="36">
        <v>4301135400</v>
      </c>
      <c r="D241" s="291">
        <v>4607111039361</v>
      </c>
      <c r="E241" s="291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3"/>
      <c r="R241" s="293"/>
      <c r="S241" s="293"/>
      <c r="T241" s="294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9"/>
      <c r="P242" s="295" t="s">
        <v>40</v>
      </c>
      <c r="Q242" s="296"/>
      <c r="R242" s="296"/>
      <c r="S242" s="296"/>
      <c r="T242" s="296"/>
      <c r="U242" s="296"/>
      <c r="V242" s="29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9"/>
      <c r="P243" s="295" t="s">
        <v>40</v>
      </c>
      <c r="Q243" s="296"/>
      <c r="R243" s="296"/>
      <c r="S243" s="296"/>
      <c r="T243" s="296"/>
      <c r="U243" s="296"/>
      <c r="V243" s="29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20" t="s">
        <v>342</v>
      </c>
      <c r="B244" s="320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  <c r="AA244" s="54"/>
      <c r="AB244" s="54"/>
      <c r="AC244" s="54"/>
    </row>
    <row r="245" spans="1:68" ht="16.5" customHeight="1" x14ac:dyDescent="0.25">
      <c r="A245" s="321" t="s">
        <v>342</v>
      </c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65"/>
      <c r="AB245" s="65"/>
      <c r="AC245" s="82"/>
    </row>
    <row r="246" spans="1:68" ht="14.25" customHeight="1" x14ac:dyDescent="0.25">
      <c r="A246" s="309" t="s">
        <v>149</v>
      </c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66"/>
      <c r="AB246" s="66"/>
      <c r="AC246" s="83"/>
    </row>
    <row r="247" spans="1:68" ht="27" customHeight="1" x14ac:dyDescent="0.25">
      <c r="A247" s="63" t="s">
        <v>343</v>
      </c>
      <c r="B247" s="63" t="s">
        <v>344</v>
      </c>
      <c r="C247" s="36">
        <v>4301136098</v>
      </c>
      <c r="D247" s="291">
        <v>4640242181943</v>
      </c>
      <c r="E247" s="291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31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3"/>
      <c r="R247" s="293"/>
      <c r="S247" s="293"/>
      <c r="T247" s="29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9"/>
      <c r="P248" s="295" t="s">
        <v>40</v>
      </c>
      <c r="Q248" s="296"/>
      <c r="R248" s="296"/>
      <c r="S248" s="296"/>
      <c r="T248" s="296"/>
      <c r="U248" s="296"/>
      <c r="V248" s="297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9"/>
      <c r="P249" s="295" t="s">
        <v>40</v>
      </c>
      <c r="Q249" s="296"/>
      <c r="R249" s="296"/>
      <c r="S249" s="296"/>
      <c r="T249" s="296"/>
      <c r="U249" s="296"/>
      <c r="V249" s="297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20" t="s">
        <v>346</v>
      </c>
      <c r="B250" s="320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  <c r="AA250" s="54"/>
      <c r="AB250" s="54"/>
      <c r="AC250" s="54"/>
    </row>
    <row r="251" spans="1:68" ht="16.5" customHeight="1" x14ac:dyDescent="0.25">
      <c r="A251" s="321" t="s">
        <v>346</v>
      </c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65"/>
      <c r="AB251" s="65"/>
      <c r="AC251" s="82"/>
    </row>
    <row r="252" spans="1:68" ht="14.25" customHeight="1" x14ac:dyDescent="0.25">
      <c r="A252" s="309" t="s">
        <v>80</v>
      </c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66"/>
      <c r="AB252" s="66"/>
      <c r="AC252" s="83"/>
    </row>
    <row r="253" spans="1:68" ht="27" customHeight="1" x14ac:dyDescent="0.25">
      <c r="A253" s="63" t="s">
        <v>347</v>
      </c>
      <c r="B253" s="63" t="s">
        <v>348</v>
      </c>
      <c r="C253" s="36">
        <v>4301071014</v>
      </c>
      <c r="D253" s="291">
        <v>4640242181264</v>
      </c>
      <c r="E253" s="291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2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3"/>
      <c r="R253" s="293"/>
      <c r="S253" s="293"/>
      <c r="T253" s="294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350</v>
      </c>
      <c r="B254" s="63" t="s">
        <v>351</v>
      </c>
      <c r="C254" s="36">
        <v>4301071021</v>
      </c>
      <c r="D254" s="291">
        <v>4640242181325</v>
      </c>
      <c r="E254" s="291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3"/>
      <c r="R254" s="293"/>
      <c r="S254" s="293"/>
      <c r="T254" s="294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9"/>
      <c r="P255" s="295" t="s">
        <v>40</v>
      </c>
      <c r="Q255" s="296"/>
      <c r="R255" s="296"/>
      <c r="S255" s="296"/>
      <c r="T255" s="296"/>
      <c r="U255" s="296"/>
      <c r="V255" s="297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9"/>
      <c r="P256" s="295" t="s">
        <v>40</v>
      </c>
      <c r="Q256" s="296"/>
      <c r="R256" s="296"/>
      <c r="S256" s="296"/>
      <c r="T256" s="296"/>
      <c r="U256" s="296"/>
      <c r="V256" s="297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09" t="s">
        <v>111</v>
      </c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66"/>
      <c r="AB257" s="66"/>
      <c r="AC257" s="83"/>
    </row>
    <row r="258" spans="1:68" ht="27" customHeight="1" x14ac:dyDescent="0.25">
      <c r="A258" s="63" t="s">
        <v>352</v>
      </c>
      <c r="B258" s="63" t="s">
        <v>353</v>
      </c>
      <c r="C258" s="36">
        <v>4301132080</v>
      </c>
      <c r="D258" s="291">
        <v>4640242180397</v>
      </c>
      <c r="E258" s="291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3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3"/>
      <c r="R258" s="293"/>
      <c r="S258" s="293"/>
      <c r="T258" s="29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9"/>
      <c r="P259" s="295" t="s">
        <v>40</v>
      </c>
      <c r="Q259" s="296"/>
      <c r="R259" s="296"/>
      <c r="S259" s="296"/>
      <c r="T259" s="296"/>
      <c r="U259" s="296"/>
      <c r="V259" s="297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9"/>
      <c r="P260" s="295" t="s">
        <v>40</v>
      </c>
      <c r="Q260" s="296"/>
      <c r="R260" s="296"/>
      <c r="S260" s="296"/>
      <c r="T260" s="296"/>
      <c r="U260" s="296"/>
      <c r="V260" s="297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09" t="s">
        <v>149</v>
      </c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66"/>
      <c r="AB261" s="66"/>
      <c r="AC261" s="83"/>
    </row>
    <row r="262" spans="1:68" ht="27" customHeight="1" x14ac:dyDescent="0.25">
      <c r="A262" s="63" t="s">
        <v>355</v>
      </c>
      <c r="B262" s="63" t="s">
        <v>356</v>
      </c>
      <c r="C262" s="36">
        <v>4301136051</v>
      </c>
      <c r="D262" s="291">
        <v>4640242180304</v>
      </c>
      <c r="E262" s="291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3"/>
      <c r="R262" s="293"/>
      <c r="S262" s="293"/>
      <c r="T262" s="294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358</v>
      </c>
      <c r="B263" s="63" t="s">
        <v>359</v>
      </c>
      <c r="C263" s="36">
        <v>4301136053</v>
      </c>
      <c r="D263" s="291">
        <v>4640242180236</v>
      </c>
      <c r="E263" s="291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3"/>
      <c r="R263" s="293"/>
      <c r="S263" s="293"/>
      <c r="T263" s="294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360</v>
      </c>
      <c r="B264" s="63" t="s">
        <v>361</v>
      </c>
      <c r="C264" s="36">
        <v>4301136052</v>
      </c>
      <c r="D264" s="291">
        <v>4640242180410</v>
      </c>
      <c r="E264" s="291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3"/>
      <c r="R264" s="293"/>
      <c r="S264" s="293"/>
      <c r="T264" s="294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9"/>
      <c r="P265" s="295" t="s">
        <v>40</v>
      </c>
      <c r="Q265" s="296"/>
      <c r="R265" s="296"/>
      <c r="S265" s="296"/>
      <c r="T265" s="296"/>
      <c r="U265" s="296"/>
      <c r="V265" s="297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9"/>
      <c r="P266" s="295" t="s">
        <v>40</v>
      </c>
      <c r="Q266" s="296"/>
      <c r="R266" s="296"/>
      <c r="S266" s="296"/>
      <c r="T266" s="296"/>
      <c r="U266" s="296"/>
      <c r="V266" s="297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09" t="s">
        <v>155</v>
      </c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66"/>
      <c r="AB267" s="66"/>
      <c r="AC267" s="83"/>
    </row>
    <row r="268" spans="1:68" ht="37.5" customHeight="1" x14ac:dyDescent="0.25">
      <c r="A268" s="63" t="s">
        <v>362</v>
      </c>
      <c r="B268" s="63" t="s">
        <v>363</v>
      </c>
      <c r="C268" s="36">
        <v>4301135504</v>
      </c>
      <c r="D268" s="291">
        <v>4640242181554</v>
      </c>
      <c r="E268" s="291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3"/>
      <c r="R268" s="293"/>
      <c r="S268" s="293"/>
      <c r="T268" s="29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365</v>
      </c>
      <c r="B269" s="63" t="s">
        <v>366</v>
      </c>
      <c r="C269" s="36">
        <v>4301135873</v>
      </c>
      <c r="D269" s="291">
        <v>4640242182087</v>
      </c>
      <c r="E269" s="291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31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3"/>
      <c r="R269" s="293"/>
      <c r="S269" s="293"/>
      <c r="T269" s="29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368</v>
      </c>
      <c r="B270" s="63" t="s">
        <v>369</v>
      </c>
      <c r="C270" s="36">
        <v>4301135374</v>
      </c>
      <c r="D270" s="291">
        <v>4640242181424</v>
      </c>
      <c r="E270" s="291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3"/>
      <c r="R270" s="293"/>
      <c r="S270" s="293"/>
      <c r="T270" s="29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370</v>
      </c>
      <c r="B271" s="63" t="s">
        <v>371</v>
      </c>
      <c r="C271" s="36">
        <v>4301135405</v>
      </c>
      <c r="D271" s="291">
        <v>4640242181523</v>
      </c>
      <c r="E271" s="291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3"/>
      <c r="R271" s="293"/>
      <c r="S271" s="293"/>
      <c r="T271" s="29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372</v>
      </c>
      <c r="B272" s="63" t="s">
        <v>373</v>
      </c>
      <c r="C272" s="36">
        <v>4301135375</v>
      </c>
      <c r="D272" s="291">
        <v>4640242181486</v>
      </c>
      <c r="E272" s="291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3"/>
      <c r="R272" s="293"/>
      <c r="S272" s="293"/>
      <c r="T272" s="294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374</v>
      </c>
      <c r="B273" s="63" t="s">
        <v>375</v>
      </c>
      <c r="C273" s="36">
        <v>4301135402</v>
      </c>
      <c r="D273" s="291">
        <v>4640242181493</v>
      </c>
      <c r="E273" s="291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376</v>
      </c>
      <c r="B274" s="63" t="s">
        <v>377</v>
      </c>
      <c r="C274" s="36">
        <v>4301135403</v>
      </c>
      <c r="D274" s="291">
        <v>4640242181509</v>
      </c>
      <c r="E274" s="291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378</v>
      </c>
      <c r="B275" s="63" t="s">
        <v>379</v>
      </c>
      <c r="C275" s="36">
        <v>4301135304</v>
      </c>
      <c r="D275" s="291">
        <v>4640242181240</v>
      </c>
      <c r="E275" s="291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3"/>
      <c r="R275" s="293"/>
      <c r="S275" s="293"/>
      <c r="T275" s="294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380</v>
      </c>
      <c r="B276" s="63" t="s">
        <v>381</v>
      </c>
      <c r="C276" s="36">
        <v>4301135610</v>
      </c>
      <c r="D276" s="291">
        <v>4640242181318</v>
      </c>
      <c r="E276" s="291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3"/>
      <c r="R276" s="293"/>
      <c r="S276" s="293"/>
      <c r="T276" s="294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382</v>
      </c>
      <c r="B277" s="63" t="s">
        <v>383</v>
      </c>
      <c r="C277" s="36">
        <v>4301135306</v>
      </c>
      <c r="D277" s="291">
        <v>4640242181387</v>
      </c>
      <c r="E277" s="291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3"/>
      <c r="R277" s="293"/>
      <c r="S277" s="293"/>
      <c r="T277" s="294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9"/>
      <c r="P278" s="295" t="s">
        <v>40</v>
      </c>
      <c r="Q278" s="296"/>
      <c r="R278" s="296"/>
      <c r="S278" s="296"/>
      <c r="T278" s="296"/>
      <c r="U278" s="296"/>
      <c r="V278" s="297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9"/>
      <c r="P279" s="295" t="s">
        <v>40</v>
      </c>
      <c r="Q279" s="296"/>
      <c r="R279" s="296"/>
      <c r="S279" s="296"/>
      <c r="T279" s="296"/>
      <c r="U279" s="296"/>
      <c r="V279" s="297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303"/>
      <c r="P280" s="300" t="s">
        <v>33</v>
      </c>
      <c r="Q280" s="301"/>
      <c r="R280" s="301"/>
      <c r="S280" s="301"/>
      <c r="T280" s="301"/>
      <c r="U280" s="301"/>
      <c r="V280" s="302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0</v>
      </c>
      <c r="Y280" s="43">
        <f>IFERROR(Y31+Y37+Y44+Y51+Y59+Y64+Y68+Y73+Y79+Y85+Y90+Y96+Y106+Y112+Y123+Y127+Y131+Y139+Y145+Y151+Y157+Y163+Y168+Y173+Y178+Y185+Y190+Y199+Y205+Y211+Y217+Y222+Y227+Y233+Y239+Y243+Y249+Y256+Y260+Y266+Y279,"0")</f>
        <v>0</v>
      </c>
      <c r="Z280" s="42"/>
      <c r="AA280" s="67"/>
      <c r="AB280" s="67"/>
      <c r="AC280" s="67"/>
    </row>
    <row r="281" spans="1:68" x14ac:dyDescent="0.2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303"/>
      <c r="P281" s="300" t="s">
        <v>34</v>
      </c>
      <c r="Q281" s="301"/>
      <c r="R281" s="301"/>
      <c r="S281" s="301"/>
      <c r="T281" s="301"/>
      <c r="U281" s="301"/>
      <c r="V281" s="302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303"/>
      <c r="P282" s="300" t="s">
        <v>35</v>
      </c>
      <c r="Q282" s="301"/>
      <c r="R282" s="301"/>
      <c r="S282" s="301"/>
      <c r="T282" s="301"/>
      <c r="U282" s="301"/>
      <c r="V282" s="302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303"/>
      <c r="P283" s="300" t="s">
        <v>36</v>
      </c>
      <c r="Q283" s="301"/>
      <c r="R283" s="301"/>
      <c r="S283" s="301"/>
      <c r="T283" s="301"/>
      <c r="U283" s="301"/>
      <c r="V283" s="302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303"/>
      <c r="P284" s="300" t="s">
        <v>37</v>
      </c>
      <c r="Q284" s="301"/>
      <c r="R284" s="301"/>
      <c r="S284" s="301"/>
      <c r="T284" s="301"/>
      <c r="U284" s="301"/>
      <c r="V284" s="302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0</v>
      </c>
      <c r="Y284" s="43">
        <f>IFERROR(Y30+Y36+Y43+Y50+Y58+Y63+Y67+Y72+Y78+Y84+Y89+Y95+Y105+Y111+Y122+Y126+Y130+Y138+Y144+Y150+Y156+Y162+Y167+Y172+Y177+Y184+Y189+Y198+Y204+Y210+Y216+Y221+Y226+Y232+Y238+Y242+Y248+Y255+Y259+Y265+Y278,"0")</f>
        <v>0</v>
      </c>
      <c r="Z284" s="42"/>
      <c r="AA284" s="67"/>
      <c r="AB284" s="67"/>
      <c r="AC284" s="67"/>
    </row>
    <row r="285" spans="1:68" ht="14.25" x14ac:dyDescent="0.2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303"/>
      <c r="P285" s="300" t="s">
        <v>38</v>
      </c>
      <c r="Q285" s="301"/>
      <c r="R285" s="301"/>
      <c r="S285" s="301"/>
      <c r="T285" s="301"/>
      <c r="U285" s="301"/>
      <c r="V285" s="302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0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79</v>
      </c>
      <c r="C287" s="287" t="s">
        <v>79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88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275</v>
      </c>
      <c r="W287" s="287" t="s">
        <v>275</v>
      </c>
      <c r="X287" s="88" t="s">
        <v>286</v>
      </c>
      <c r="Y287" s="287" t="s">
        <v>300</v>
      </c>
      <c r="Z287" s="287" t="s">
        <v>300</v>
      </c>
      <c r="AA287" s="287" t="s">
        <v>300</v>
      </c>
      <c r="AB287" s="287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289" t="s">
        <v>10</v>
      </c>
      <c r="B288" s="287" t="s">
        <v>79</v>
      </c>
      <c r="C288" s="287" t="s">
        <v>104</v>
      </c>
      <c r="D288" s="287" t="s">
        <v>110</v>
      </c>
      <c r="E288" s="287" t="s">
        <v>121</v>
      </c>
      <c r="F288" s="287" t="s">
        <v>131</v>
      </c>
      <c r="G288" s="287" t="s">
        <v>142</v>
      </c>
      <c r="H288" s="287" t="s">
        <v>163</v>
      </c>
      <c r="I288" s="287" t="s">
        <v>170</v>
      </c>
      <c r="J288" s="287" t="s">
        <v>174</v>
      </c>
      <c r="K288" s="287" t="s">
        <v>182</v>
      </c>
      <c r="L288" s="287" t="s">
        <v>197</v>
      </c>
      <c r="M288" s="287" t="s">
        <v>203</v>
      </c>
      <c r="N288" s="1"/>
      <c r="O288" s="287" t="s">
        <v>228</v>
      </c>
      <c r="P288" s="287" t="s">
        <v>246</v>
      </c>
      <c r="Q288" s="287" t="s">
        <v>252</v>
      </c>
      <c r="R288" s="287" t="s">
        <v>259</v>
      </c>
      <c r="S288" s="287" t="s">
        <v>264</v>
      </c>
      <c r="T288" s="287" t="s">
        <v>268</v>
      </c>
      <c r="U288" s="287" t="s">
        <v>271</v>
      </c>
      <c r="V288" s="287" t="s">
        <v>276</v>
      </c>
      <c r="W288" s="287" t="s">
        <v>283</v>
      </c>
      <c r="X288" s="287" t="s">
        <v>287</v>
      </c>
      <c r="Y288" s="287" t="s">
        <v>301</v>
      </c>
      <c r="Z288" s="287" t="s">
        <v>314</v>
      </c>
      <c r="AA288" s="287" t="s">
        <v>321</v>
      </c>
      <c r="AB288" s="287" t="s">
        <v>325</v>
      </c>
      <c r="AC288" s="287" t="s">
        <v>330</v>
      </c>
      <c r="AD288" s="287" t="s">
        <v>335</v>
      </c>
      <c r="AE288" s="287" t="s">
        <v>342</v>
      </c>
      <c r="AF288" s="287" t="s">
        <v>346</v>
      </c>
    </row>
    <row r="289" spans="1:32" ht="13.5" thickBot="1" x14ac:dyDescent="0.25">
      <c r="A289" s="290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0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0</v>
      </c>
      <c r="G290" s="52">
        <f>IFERROR(X62*H62,"0")+IFERROR(X66*H66,"0")+IFERROR(X70*H70,"0")+IFERROR(X71*H71,"0")+IFERROR(X75*H75,"0")+IFERROR(X76*H76,"0")+IFERROR(X77*H77,"0")</f>
        <v>0</v>
      </c>
      <c r="H290" s="52">
        <f>IFERROR(X82*H82,"0")+IFERROR(X83*H83,"0")</f>
        <v>0</v>
      </c>
      <c r="I290" s="52">
        <f>IFERROR(X88*H88,"0")</f>
        <v>0</v>
      </c>
      <c r="J290" s="52">
        <f>IFERROR(X93*H93,"0")+IFERROR(X94*H94,"0")</f>
        <v>0</v>
      </c>
      <c r="K290" s="52">
        <f>IFERROR(X99*H99,"0")+IFERROR(X100*H100,"0")+IFERROR(X101*H101,"0")+IFERROR(X102*H102,"0")+IFERROR(X103*H103,"0")+IFERROR(X104*H104,"0")</f>
        <v>0</v>
      </c>
      <c r="L290" s="52">
        <f>IFERROR(X109*H109,"0")+IFERROR(X110*H110,"0")</f>
        <v>0</v>
      </c>
      <c r="M290" s="52">
        <f>IFERROR(X115*H115,"0")+IFERROR(X116*H116,"0")+IFERROR(X117*H117,"0")+IFERROR(X118*H118,"0")+IFERROR(X119*H119,"0")+IFERROR(X120*H120,"0")+IFERROR(X121*H121,"0")+IFERROR(X125*H125,"0")+IFERROR(X129*H129,"0")</f>
        <v>0</v>
      </c>
      <c r="N290" s="1"/>
      <c r="O290" s="52">
        <f>IFERROR(X134*H134,"0")+IFERROR(X135*H135,"0")+IFERROR(X136*H136,"0")+IFERROR(X137*H137,"0")+IFERROR(X141*H141,"0")+IFERROR(X142*H142,"0")+IFERROR(X143*H143,"0")</f>
        <v>0</v>
      </c>
      <c r="P290" s="52">
        <f>IFERROR(X148*H148,"0")+IFERROR(X149*H149,"0")</f>
        <v>0</v>
      </c>
      <c r="Q290" s="52">
        <f>IFERROR(X154*H154,"0")+IFERROR(X155*H155,"0")</f>
        <v>0</v>
      </c>
      <c r="R290" s="52">
        <f>IFERROR(X160*H160,"0")+IFERROR(X161*H161,"0")</f>
        <v>0</v>
      </c>
      <c r="S290" s="52">
        <f>IFERROR(X166*H166,"0")</f>
        <v>0</v>
      </c>
      <c r="T290" s="52">
        <f>IFERROR(X171*H171,"0")</f>
        <v>0</v>
      </c>
      <c r="U290" s="52">
        <f>IFERROR(X176*H176,"0")</f>
        <v>0</v>
      </c>
      <c r="V290" s="52">
        <f>IFERROR(X182*H182,"0")+IFERROR(X183*H183,"0")</f>
        <v>0</v>
      </c>
      <c r="W290" s="52">
        <f>IFERROR(X188*H188,"0")</f>
        <v>0</v>
      </c>
      <c r="X290" s="52">
        <f>IFERROR(X194*H194,"0")+IFERROR(X195*H195,"0")+IFERROR(X196*H196,"0")+IFERROR(X197*H197,"0")</f>
        <v>0</v>
      </c>
      <c r="Y290" s="52">
        <f>IFERROR(X203*H203,"0")+IFERROR(X207*H207,"0")+IFERROR(X208*H208,"0")+IFERROR(X209*H209,"0")</f>
        <v>0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2026-07-20T13:34:34Z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