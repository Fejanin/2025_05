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5EEE842-F6EF-4B66-8ED3-17C06B05FBF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заказа'!$X$268:$X$268</definedName>
    <definedName name="GrossWeightTotalR">'Бланк заказа'!$Y$268:$Y$268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заказа'!$X$269:$X$269</definedName>
    <definedName name="PalletQtyTotalR">'Бланк заказа'!$Y$269:$Y$269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заказа'!$B$218:$B$218</definedName>
    <definedName name="ProductId76">'Бланк заказа'!$B$224:$B$224</definedName>
    <definedName name="ProductId77">'Бланк заказа'!$B$230:$B$230</definedName>
    <definedName name="ProductId78">'Бланк заказа'!$B$234:$B$234</definedName>
    <definedName name="ProductId79">'Бланк заказа'!$B$240:$B$240</definedName>
    <definedName name="ProductId8">'Бланк заказа'!$B$33:$B$33</definedName>
    <definedName name="ProductId80">'Бланк заказа'!$B$241:$B$241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заказа'!$X$218:$X$218</definedName>
    <definedName name="SalesQty76">'Бланк заказа'!$X$224:$X$224</definedName>
    <definedName name="SalesQty77">'Бланк заказа'!$X$230:$X$230</definedName>
    <definedName name="SalesQty78">'Бланк заказа'!$X$234:$X$234</definedName>
    <definedName name="SalesQty79">'Бланк заказа'!$X$240:$X$240</definedName>
    <definedName name="SalesQty8">'Бланк заказа'!$X$33:$X$33</definedName>
    <definedName name="SalesQty80">'Бланк заказа'!$X$241:$X$241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заказа'!$Y$218:$Y$218</definedName>
    <definedName name="SalesRoundBox76">'Бланк заказа'!$Y$224:$Y$224</definedName>
    <definedName name="SalesRoundBox77">'Бланк заказа'!$Y$230:$Y$230</definedName>
    <definedName name="SalesRoundBox78">'Бланк заказа'!$Y$234:$Y$234</definedName>
    <definedName name="SalesRoundBox79">'Бланк заказа'!$Y$240:$Y$240</definedName>
    <definedName name="SalesRoundBox8">'Бланк заказа'!$Y$33:$Y$33</definedName>
    <definedName name="SalesRoundBox80">'Бланк заказа'!$Y$241:$Y$241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заказа'!$W$218:$W$218</definedName>
    <definedName name="UnitOfMeasure76">'Бланк заказа'!$W$224:$W$224</definedName>
    <definedName name="UnitOfMeasure77">'Бланк заказа'!$W$230:$W$230</definedName>
    <definedName name="UnitOfMeasure78">'Бланк заказа'!$W$234:$W$234</definedName>
    <definedName name="UnitOfMeasure79">'Бланк заказа'!$W$240:$W$240</definedName>
    <definedName name="UnitOfMeasure8">'Бланк заказа'!$W$33:$W$33</definedName>
    <definedName name="UnitOfMeasure80">'Бланк заказа'!$W$241:$W$241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7" i="2" l="1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X266" i="2"/>
  <c r="X265" i="2"/>
  <c r="BP264" i="2"/>
  <c r="BO264" i="2"/>
  <c r="BN264" i="2"/>
  <c r="BM264" i="2"/>
  <c r="Z264" i="2"/>
  <c r="Y264" i="2"/>
  <c r="P264" i="2"/>
  <c r="BO263" i="2"/>
  <c r="BM263" i="2"/>
  <c r="Z263" i="2"/>
  <c r="Y263" i="2"/>
  <c r="BN263" i="2" s="1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P258" i="2" s="1"/>
  <c r="P258" i="2"/>
  <c r="BO257" i="2"/>
  <c r="BM257" i="2"/>
  <c r="Z257" i="2"/>
  <c r="Y257" i="2"/>
  <c r="BP257" i="2" s="1"/>
  <c r="P257" i="2"/>
  <c r="BO256" i="2"/>
  <c r="BM256" i="2"/>
  <c r="Z256" i="2"/>
  <c r="Y256" i="2"/>
  <c r="BN256" i="2" s="1"/>
  <c r="P256" i="2"/>
  <c r="BO255" i="2"/>
  <c r="BM255" i="2"/>
  <c r="Z255" i="2"/>
  <c r="Y255" i="2"/>
  <c r="BN255" i="2" s="1"/>
  <c r="P255" i="2"/>
  <c r="X253" i="2"/>
  <c r="X252" i="2"/>
  <c r="BO251" i="2"/>
  <c r="BM251" i="2"/>
  <c r="Z251" i="2"/>
  <c r="Y251" i="2"/>
  <c r="BN251" i="2" s="1"/>
  <c r="P251" i="2"/>
  <c r="BO250" i="2"/>
  <c r="BM250" i="2"/>
  <c r="Z250" i="2"/>
  <c r="Y250" i="2"/>
  <c r="BN250" i="2" s="1"/>
  <c r="P250" i="2"/>
  <c r="BO249" i="2"/>
  <c r="BM249" i="2"/>
  <c r="Z249" i="2"/>
  <c r="Z252" i="2" s="1"/>
  <c r="Y249" i="2"/>
  <c r="BP249" i="2" s="1"/>
  <c r="P249" i="2"/>
  <c r="X247" i="2"/>
  <c r="Z246" i="2"/>
  <c r="X246" i="2"/>
  <c r="BO245" i="2"/>
  <c r="BM245" i="2"/>
  <c r="Z245" i="2"/>
  <c r="Y245" i="2"/>
  <c r="BP245" i="2" s="1"/>
  <c r="P245" i="2"/>
  <c r="X243" i="2"/>
  <c r="X242" i="2"/>
  <c r="BO241" i="2"/>
  <c r="BM241" i="2"/>
  <c r="Z241" i="2"/>
  <c r="Z242" i="2" s="1"/>
  <c r="Y241" i="2"/>
  <c r="P241" i="2"/>
  <c r="BO240" i="2"/>
  <c r="BM240" i="2"/>
  <c r="Z240" i="2"/>
  <c r="Y240" i="2"/>
  <c r="BP240" i="2" s="1"/>
  <c r="P240" i="2"/>
  <c r="X236" i="2"/>
  <c r="X235" i="2"/>
  <c r="BO234" i="2"/>
  <c r="BM234" i="2"/>
  <c r="Z234" i="2"/>
  <c r="Z235" i="2" s="1"/>
  <c r="Y234" i="2"/>
  <c r="BN234" i="2" s="1"/>
  <c r="P234" i="2"/>
  <c r="X232" i="2"/>
  <c r="Y231" i="2"/>
  <c r="X231" i="2"/>
  <c r="BP230" i="2"/>
  <c r="BO230" i="2"/>
  <c r="BN230" i="2"/>
  <c r="BM230" i="2"/>
  <c r="Z230" i="2"/>
  <c r="Z231" i="2" s="1"/>
  <c r="Y230" i="2"/>
  <c r="Y232" i="2" s="1"/>
  <c r="P230" i="2"/>
  <c r="X226" i="2"/>
  <c r="X225" i="2"/>
  <c r="BO224" i="2"/>
  <c r="BM224" i="2"/>
  <c r="Z224" i="2"/>
  <c r="Z225" i="2" s="1"/>
  <c r="Y224" i="2"/>
  <c r="Y225" i="2" s="1"/>
  <c r="P224" i="2"/>
  <c r="X220" i="2"/>
  <c r="Z219" i="2"/>
  <c r="X219" i="2"/>
  <c r="BO218" i="2"/>
  <c r="BM218" i="2"/>
  <c r="Z218" i="2"/>
  <c r="Y218" i="2"/>
  <c r="Y220" i="2" s="1"/>
  <c r="P218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Y213" i="2" s="1"/>
  <c r="P211" i="2"/>
  <c r="X208" i="2"/>
  <c r="X207" i="2"/>
  <c r="BO206" i="2"/>
  <c r="BM206" i="2"/>
  <c r="Z206" i="2"/>
  <c r="Z207" i="2" s="1"/>
  <c r="Y206" i="2"/>
  <c r="Y207" i="2" s="1"/>
  <c r="P206" i="2"/>
  <c r="X203" i="2"/>
  <c r="X202" i="2"/>
  <c r="BO201" i="2"/>
  <c r="BM201" i="2"/>
  <c r="Z201" i="2"/>
  <c r="Y201" i="2"/>
  <c r="BP201" i="2" s="1"/>
  <c r="P201" i="2"/>
  <c r="BO200" i="2"/>
  <c r="BM200" i="2"/>
  <c r="Z200" i="2"/>
  <c r="Y200" i="2"/>
  <c r="BN200" i="2" s="1"/>
  <c r="P200" i="2"/>
  <c r="BO199" i="2"/>
  <c r="BM199" i="2"/>
  <c r="Z199" i="2"/>
  <c r="Y199" i="2"/>
  <c r="BP199" i="2" s="1"/>
  <c r="P199" i="2"/>
  <c r="BO198" i="2"/>
  <c r="BM198" i="2"/>
  <c r="Z198" i="2"/>
  <c r="Y198" i="2"/>
  <c r="BP198" i="2" s="1"/>
  <c r="P198" i="2"/>
  <c r="BO197" i="2"/>
  <c r="BM197" i="2"/>
  <c r="Z197" i="2"/>
  <c r="Y197" i="2"/>
  <c r="BP197" i="2" s="1"/>
  <c r="P197" i="2"/>
  <c r="X195" i="2"/>
  <c r="X194" i="2"/>
  <c r="BO193" i="2"/>
  <c r="BM193" i="2"/>
  <c r="Z193" i="2"/>
  <c r="Z194" i="2" s="1"/>
  <c r="Y193" i="2"/>
  <c r="BN193" i="2" s="1"/>
  <c r="P193" i="2"/>
  <c r="X189" i="2"/>
  <c r="X188" i="2"/>
  <c r="BO187" i="2"/>
  <c r="BM187" i="2"/>
  <c r="Z187" i="2"/>
  <c r="Z188" i="2" s="1"/>
  <c r="Y187" i="2"/>
  <c r="Y189" i="2" s="1"/>
  <c r="X185" i="2"/>
  <c r="X184" i="2"/>
  <c r="BO183" i="2"/>
  <c r="BM183" i="2"/>
  <c r="Z183" i="2"/>
  <c r="Y183" i="2"/>
  <c r="BP183" i="2" s="1"/>
  <c r="P183" i="2"/>
  <c r="BO182" i="2"/>
  <c r="BM182" i="2"/>
  <c r="Z182" i="2"/>
  <c r="Y182" i="2"/>
  <c r="BP182" i="2" s="1"/>
  <c r="P182" i="2"/>
  <c r="BO181" i="2"/>
  <c r="BM181" i="2"/>
  <c r="Z181" i="2"/>
  <c r="Y181" i="2"/>
  <c r="BP181" i="2" s="1"/>
  <c r="P181" i="2"/>
  <c r="BO180" i="2"/>
  <c r="BM180" i="2"/>
  <c r="Z180" i="2"/>
  <c r="Z184" i="2" s="1"/>
  <c r="Y180" i="2"/>
  <c r="P180" i="2"/>
  <c r="X176" i="2"/>
  <c r="X175" i="2"/>
  <c r="BO174" i="2"/>
  <c r="BM174" i="2"/>
  <c r="Z174" i="2"/>
  <c r="Y174" i="2"/>
  <c r="P174" i="2"/>
  <c r="BO173" i="2"/>
  <c r="BM173" i="2"/>
  <c r="Z173" i="2"/>
  <c r="Y173" i="2"/>
  <c r="BN173" i="2" s="1"/>
  <c r="P173" i="2"/>
  <c r="X169" i="2"/>
  <c r="X168" i="2"/>
  <c r="BO167" i="2"/>
  <c r="BM167" i="2"/>
  <c r="Z167" i="2"/>
  <c r="Z168" i="2" s="1"/>
  <c r="Y167" i="2"/>
  <c r="BP167" i="2" s="1"/>
  <c r="P167" i="2"/>
  <c r="X164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Z158" i="2" s="1"/>
  <c r="Y157" i="2"/>
  <c r="BN157" i="2" s="1"/>
  <c r="P157" i="2"/>
  <c r="X154" i="2"/>
  <c r="X153" i="2"/>
  <c r="BO152" i="2"/>
  <c r="BM152" i="2"/>
  <c r="Z152" i="2"/>
  <c r="Z153" i="2" s="1"/>
  <c r="Y152" i="2"/>
  <c r="BN152" i="2" s="1"/>
  <c r="P152" i="2"/>
  <c r="X149" i="2"/>
  <c r="X148" i="2"/>
  <c r="BO147" i="2"/>
  <c r="BM147" i="2"/>
  <c r="Z147" i="2"/>
  <c r="Y147" i="2"/>
  <c r="BN147" i="2" s="1"/>
  <c r="P147" i="2"/>
  <c r="BO146" i="2"/>
  <c r="BM146" i="2"/>
  <c r="Z146" i="2"/>
  <c r="Y146" i="2"/>
  <c r="Y149" i="2" s="1"/>
  <c r="P146" i="2"/>
  <c r="X143" i="2"/>
  <c r="X142" i="2"/>
  <c r="BO141" i="2"/>
  <c r="BM141" i="2"/>
  <c r="Z141" i="2"/>
  <c r="Y141" i="2"/>
  <c r="BN141" i="2" s="1"/>
  <c r="P141" i="2"/>
  <c r="BO140" i="2"/>
  <c r="BM140" i="2"/>
  <c r="Z140" i="2"/>
  <c r="Y140" i="2"/>
  <c r="Y143" i="2" s="1"/>
  <c r="P140" i="2"/>
  <c r="X137" i="2"/>
  <c r="X136" i="2"/>
  <c r="BO135" i="2"/>
  <c r="BM135" i="2"/>
  <c r="Z135" i="2"/>
  <c r="Y135" i="2"/>
  <c r="BP135" i="2" s="1"/>
  <c r="P135" i="2"/>
  <c r="BO134" i="2"/>
  <c r="BM134" i="2"/>
  <c r="Z134" i="2"/>
  <c r="Z136" i="2" s="1"/>
  <c r="Y134" i="2"/>
  <c r="BP134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Y125" i="2"/>
  <c r="BN125" i="2" s="1"/>
  <c r="P125" i="2"/>
  <c r="BO124" i="2"/>
  <c r="BM124" i="2"/>
  <c r="Z124" i="2"/>
  <c r="Y124" i="2"/>
  <c r="Y126" i="2" s="1"/>
  <c r="P124" i="2"/>
  <c r="X122" i="2"/>
  <c r="X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P114" i="2"/>
  <c r="BO114" i="2"/>
  <c r="BN114" i="2"/>
  <c r="BM114" i="2"/>
  <c r="Z114" i="2"/>
  <c r="Y114" i="2"/>
  <c r="P114" i="2"/>
  <c r="BO113" i="2"/>
  <c r="BM113" i="2"/>
  <c r="Z113" i="2"/>
  <c r="Z121" i="2" s="1"/>
  <c r="Y113" i="2"/>
  <c r="Y121" i="2" s="1"/>
  <c r="P113" i="2"/>
  <c r="X110" i="2"/>
  <c r="X109" i="2"/>
  <c r="BO108" i="2"/>
  <c r="BM108" i="2"/>
  <c r="Z108" i="2"/>
  <c r="Y108" i="2"/>
  <c r="P108" i="2"/>
  <c r="BO107" i="2"/>
  <c r="BM107" i="2"/>
  <c r="Z107" i="2"/>
  <c r="Y107" i="2"/>
  <c r="BN107" i="2" s="1"/>
  <c r="P107" i="2"/>
  <c r="X104" i="2"/>
  <c r="X103" i="2"/>
  <c r="BO102" i="2"/>
  <c r="BM102" i="2"/>
  <c r="Z102" i="2"/>
  <c r="Y102" i="2"/>
  <c r="BP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P100" i="2" s="1"/>
  <c r="P100" i="2"/>
  <c r="BO99" i="2"/>
  <c r="BM99" i="2"/>
  <c r="Z99" i="2"/>
  <c r="Y99" i="2"/>
  <c r="BN99" i="2" s="1"/>
  <c r="P99" i="2"/>
  <c r="BO98" i="2"/>
  <c r="BM98" i="2"/>
  <c r="Z98" i="2"/>
  <c r="Y98" i="2"/>
  <c r="P98" i="2"/>
  <c r="BP97" i="2"/>
  <c r="BO97" i="2"/>
  <c r="BN97" i="2"/>
  <c r="BM97" i="2"/>
  <c r="Z97" i="2"/>
  <c r="Y97" i="2"/>
  <c r="P97" i="2"/>
  <c r="X94" i="2"/>
  <c r="X93" i="2"/>
  <c r="BO92" i="2"/>
  <c r="BM92" i="2"/>
  <c r="Z92" i="2"/>
  <c r="Y92" i="2"/>
  <c r="BP92" i="2" s="1"/>
  <c r="P92" i="2"/>
  <c r="BO91" i="2"/>
  <c r="BM91" i="2"/>
  <c r="Z91" i="2"/>
  <c r="Z93" i="2" s="1"/>
  <c r="Y91" i="2"/>
  <c r="BP91" i="2" s="1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P81" i="2"/>
  <c r="BO80" i="2"/>
  <c r="BM80" i="2"/>
  <c r="Z80" i="2"/>
  <c r="Y80" i="2"/>
  <c r="BN80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BP74" i="2" s="1"/>
  <c r="P74" i="2"/>
  <c r="BO73" i="2"/>
  <c r="BM73" i="2"/>
  <c r="Z73" i="2"/>
  <c r="Y73" i="2"/>
  <c r="BP73" i="2" s="1"/>
  <c r="P73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P68" i="2" s="1"/>
  <c r="P68" i="2"/>
  <c r="X66" i="2"/>
  <c r="X65" i="2"/>
  <c r="BO64" i="2"/>
  <c r="BM64" i="2"/>
  <c r="Z64" i="2"/>
  <c r="Z65" i="2" s="1"/>
  <c r="Y64" i="2"/>
  <c r="BP64" i="2" s="1"/>
  <c r="P64" i="2"/>
  <c r="X62" i="2"/>
  <c r="Y61" i="2"/>
  <c r="X61" i="2"/>
  <c r="BP60" i="2"/>
  <c r="BO60" i="2"/>
  <c r="BN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BO52" i="2"/>
  <c r="BM52" i="2"/>
  <c r="Z52" i="2"/>
  <c r="Z56" i="2" s="1"/>
  <c r="Y52" i="2"/>
  <c r="Y57" i="2" s="1"/>
  <c r="P52" i="2"/>
  <c r="X49" i="2"/>
  <c r="X48" i="2"/>
  <c r="BO47" i="2"/>
  <c r="BM47" i="2"/>
  <c r="Z47" i="2"/>
  <c r="Y47" i="2"/>
  <c r="P47" i="2"/>
  <c r="BO46" i="2"/>
  <c r="BM46" i="2"/>
  <c r="Z46" i="2"/>
  <c r="Y46" i="2"/>
  <c r="BP46" i="2" s="1"/>
  <c r="P46" i="2"/>
  <c r="BO45" i="2"/>
  <c r="BM45" i="2"/>
  <c r="Z45" i="2"/>
  <c r="Y45" i="2"/>
  <c r="BN45" i="2" s="1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BP39" i="2" s="1"/>
  <c r="P39" i="2"/>
  <c r="X35" i="2"/>
  <c r="X34" i="2"/>
  <c r="BO33" i="2"/>
  <c r="BM33" i="2"/>
  <c r="Z33" i="2"/>
  <c r="Y33" i="2"/>
  <c r="P33" i="2"/>
  <c r="BO32" i="2"/>
  <c r="BM32" i="2"/>
  <c r="Z32" i="2"/>
  <c r="Y32" i="2"/>
  <c r="BP32" i="2" s="1"/>
  <c r="P32" i="2"/>
  <c r="X29" i="2"/>
  <c r="X28" i="2"/>
  <c r="X271" i="2" s="1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Z28" i="2" s="1"/>
  <c r="Y23" i="2"/>
  <c r="P23" i="2"/>
  <c r="BO22" i="2"/>
  <c r="X269" i="2" s="1"/>
  <c r="BM22" i="2"/>
  <c r="X268" i="2" s="1"/>
  <c r="Z22" i="2"/>
  <c r="Y22" i="2"/>
  <c r="BP22" i="2" s="1"/>
  <c r="P22" i="2"/>
  <c r="H10" i="2"/>
  <c r="A9" i="2"/>
  <c r="F9" i="2" s="1"/>
  <c r="D7" i="2"/>
  <c r="Q6" i="2"/>
  <c r="P2" i="2"/>
  <c r="BN32" i="2" l="1"/>
  <c r="Y34" i="2"/>
  <c r="X267" i="2"/>
  <c r="Z48" i="2"/>
  <c r="Z70" i="2"/>
  <c r="Z76" i="2"/>
  <c r="Z82" i="2"/>
  <c r="Y88" i="2"/>
  <c r="Z103" i="2"/>
  <c r="BP107" i="2"/>
  <c r="Y110" i="2"/>
  <c r="Z126" i="2"/>
  <c r="BN129" i="2"/>
  <c r="BP129" i="2"/>
  <c r="Y130" i="2"/>
  <c r="Y136" i="2"/>
  <c r="Z142" i="2"/>
  <c r="Z148" i="2"/>
  <c r="Y154" i="2"/>
  <c r="Y164" i="2"/>
  <c r="Z175" i="2"/>
  <c r="Y185" i="2"/>
  <c r="BN181" i="2"/>
  <c r="BN187" i="2"/>
  <c r="BP187" i="2"/>
  <c r="Y188" i="2"/>
  <c r="Z202" i="2"/>
  <c r="BN197" i="2"/>
  <c r="BP200" i="2"/>
  <c r="Z213" i="2"/>
  <c r="BN218" i="2"/>
  <c r="BP218" i="2"/>
  <c r="Y219" i="2"/>
  <c r="BN240" i="2"/>
  <c r="Y243" i="2"/>
  <c r="Y246" i="2"/>
  <c r="Z265" i="2"/>
  <c r="BN257" i="2"/>
  <c r="BN22" i="2"/>
  <c r="Y29" i="2"/>
  <c r="BP25" i="2"/>
  <c r="Z34" i="2"/>
  <c r="Z41" i="2"/>
  <c r="Z272" i="2" s="1"/>
  <c r="BN40" i="2"/>
  <c r="Y41" i="2"/>
  <c r="Y42" i="2"/>
  <c r="Y49" i="2"/>
  <c r="BP53" i="2"/>
  <c r="BN68" i="2"/>
  <c r="BP80" i="2"/>
  <c r="Y83" i="2"/>
  <c r="Y104" i="2"/>
  <c r="Z109" i="2"/>
  <c r="BP117" i="2"/>
  <c r="Y137" i="2"/>
  <c r="BP152" i="2"/>
  <c r="Y153" i="2"/>
  <c r="BP162" i="2"/>
  <c r="Y163" i="2"/>
  <c r="BP173" i="2"/>
  <c r="Y176" i="2"/>
  <c r="Y208" i="2"/>
  <c r="Y247" i="2"/>
  <c r="BP251" i="2"/>
  <c r="Y252" i="2"/>
  <c r="X270" i="2"/>
  <c r="Y253" i="2"/>
  <c r="Y265" i="2"/>
  <c r="BP47" i="2"/>
  <c r="BN54" i="2"/>
  <c r="BP101" i="2"/>
  <c r="BN108" i="2"/>
  <c r="BP146" i="2"/>
  <c r="BN174" i="2"/>
  <c r="BN201" i="2"/>
  <c r="BN211" i="2"/>
  <c r="BP261" i="2"/>
  <c r="BN33" i="2"/>
  <c r="Y122" i="2"/>
  <c r="BN47" i="2"/>
  <c r="BN146" i="2"/>
  <c r="BN124" i="2"/>
  <c r="BP174" i="2"/>
  <c r="BP124" i="2"/>
  <c r="BN91" i="2"/>
  <c r="BN258" i="2"/>
  <c r="BN69" i="2"/>
  <c r="Y266" i="2"/>
  <c r="BP33" i="2"/>
  <c r="BN26" i="2"/>
  <c r="BP81" i="2"/>
  <c r="BN98" i="2"/>
  <c r="BP118" i="2"/>
  <c r="BN23" i="2"/>
  <c r="Y48" i="2"/>
  <c r="BP108" i="2"/>
  <c r="BP98" i="2"/>
  <c r="BP23" i="2"/>
  <c r="BN75" i="2"/>
  <c r="Y109" i="2"/>
  <c r="BN102" i="2"/>
  <c r="BP140" i="2"/>
  <c r="BN167" i="2"/>
  <c r="Y70" i="2"/>
  <c r="BN92" i="2"/>
  <c r="BP255" i="2"/>
  <c r="Y203" i="2"/>
  <c r="Y35" i="2"/>
  <c r="Y76" i="2"/>
  <c r="BN134" i="2"/>
  <c r="BN24" i="2"/>
  <c r="BP55" i="2"/>
  <c r="Y103" i="2"/>
  <c r="BN116" i="2"/>
  <c r="Y158" i="2"/>
  <c r="Y168" i="2"/>
  <c r="BN183" i="2"/>
  <c r="BP212" i="2"/>
  <c r="BP234" i="2"/>
  <c r="Y28" i="2"/>
  <c r="Y93" i="2"/>
  <c r="BP125" i="2"/>
  <c r="BP193" i="2"/>
  <c r="Y77" i="2"/>
  <c r="BN86" i="2"/>
  <c r="Y235" i="2"/>
  <c r="BP52" i="2"/>
  <c r="Y159" i="2"/>
  <c r="Y194" i="2"/>
  <c r="BP86" i="2"/>
  <c r="BN73" i="2"/>
  <c r="BP113" i="2"/>
  <c r="Y142" i="2"/>
  <c r="BP180" i="2"/>
  <c r="BP206" i="2"/>
  <c r="Y214" i="2"/>
  <c r="Y226" i="2"/>
  <c r="Y236" i="2"/>
  <c r="BN245" i="2"/>
  <c r="BP263" i="2"/>
  <c r="BN74" i="2"/>
  <c r="BN81" i="2"/>
  <c r="BP211" i="2"/>
  <c r="BN249" i="2"/>
  <c r="BN259" i="2"/>
  <c r="Y148" i="2"/>
  <c r="H9" i="2"/>
  <c r="BP45" i="2"/>
  <c r="BP99" i="2"/>
  <c r="BN199" i="2"/>
  <c r="J9" i="2"/>
  <c r="BP141" i="2"/>
  <c r="Y169" i="2"/>
  <c r="BN206" i="2"/>
  <c r="F10" i="2"/>
  <c r="BN39" i="2"/>
  <c r="Y94" i="2"/>
  <c r="BN120" i="2"/>
  <c r="Y184" i="2"/>
  <c r="BP256" i="2"/>
  <c r="Y66" i="2"/>
  <c r="BN100" i="2"/>
  <c r="Y127" i="2"/>
  <c r="BN135" i="2"/>
  <c r="Y195" i="2"/>
  <c r="BN260" i="2"/>
  <c r="BN115" i="2"/>
  <c r="BN182" i="2"/>
  <c r="BN241" i="2"/>
  <c r="BN64" i="2"/>
  <c r="BP147" i="2"/>
  <c r="BP157" i="2"/>
  <c r="BN224" i="2"/>
  <c r="BP262" i="2"/>
  <c r="Y71" i="2"/>
  <c r="BP224" i="2"/>
  <c r="Y65" i="2"/>
  <c r="BP250" i="2"/>
  <c r="A10" i="2"/>
  <c r="BN113" i="2"/>
  <c r="BN180" i="2"/>
  <c r="Y82" i="2"/>
  <c r="BN140" i="2"/>
  <c r="BN198" i="2"/>
  <c r="Y175" i="2"/>
  <c r="Y202" i="2"/>
  <c r="BP241" i="2"/>
  <c r="BN27" i="2"/>
  <c r="BN119" i="2"/>
  <c r="Y242" i="2"/>
  <c r="BN52" i="2"/>
  <c r="Y56" i="2"/>
  <c r="BN46" i="2"/>
  <c r="Y267" i="2" l="1"/>
  <c r="Y269" i="2"/>
  <c r="Y268" i="2"/>
  <c r="Y270" i="2"/>
  <c r="A280" i="2"/>
  <c r="Y271" i="2"/>
  <c r="C280" i="2" s="1"/>
  <c r="B280" i="2" l="1"/>
</calcChain>
</file>

<file path=xl/sharedStrings.xml><?xml version="1.0" encoding="utf-8"?>
<sst xmlns="http://schemas.openxmlformats.org/spreadsheetml/2006/main" count="1655" uniqueCount="396">
  <si>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</si>
  <si>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</si>
  <si>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</si>
  <si>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</si>
  <si>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</si>
  <si>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</si>
  <si>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</si>
  <si>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</si>
  <si>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</si>
  <si>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</si>
  <si>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</si>
  <si>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</si>
  <si>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</si>
  <si>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</si>
  <si>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</si>
  <si>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</si>
  <si>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</si>
  <si>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</si>
  <si>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</si>
  <si>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</si>
  <si>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</si>
  <si>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</si>
  <si>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</si>
  <si>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</si>
  <si>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</si>
  <si>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</si>
  <si>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</si>
  <si>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</si>
  <si>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</si>
  <si>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</si>
  <si>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</si>
  <si>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</si>
  <si>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</si>
  <si>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</si>
  <si>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</si>
  <si>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</si>
  <si>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</si>
  <si>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</si>
  <si>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</si>
  <si>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</si>
  <si>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</si>
  <si>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</si>
  <si>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</si>
  <si>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</si>
  <si>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</si>
  <si>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</si>
  <si>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</si>
  <si>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</si>
  <si>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</si>
  <si>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</si>
  <si>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</si>
  <si>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</si>
  <si>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</si>
  <si>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</si>
  <si>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</si>
  <si>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</si>
  <si>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</si>
  <si>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</si>
  <si>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</si>
  <si>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</si>
  <si>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</si>
  <si>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</si>
  <si>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</si>
  <si>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</si>
  <si>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</si>
  <si>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</si>
  <si>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</si>
  <si>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</si>
  <si>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</si>
  <si>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</si>
  <si>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</si>
  <si>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15.01.2026</t>
  </si>
  <si>
    <t>12.01.2026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</si>
  <si>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</si>
  <si>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</si>
  <si>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</si>
  <si>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</si>
  <si>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</si>
  <si>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</si>
  <si>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</si>
  <si>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</si>
  <si>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</si>
  <si>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</si>
  <si>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</si>
  <si>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</si>
  <si>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</si>
  <si>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</si>
  <si>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</si>
  <si>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</si>
  <si>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</si>
  <si>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</si>
  <si>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</si>
  <si>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</si>
  <si>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</si>
  <si>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</si>
  <si>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</si>
  <si>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</si>
  <si>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</si>
  <si>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</si>
  <si>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</si>
  <si>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</si>
  <si>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</si>
  <si>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</si>
  <si>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</si>
  <si>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</si>
  <si>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</si>
  <si>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</si>
  <si>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</si>
  <si>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</si>
  <si>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</si>
  <si>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</si>
  <si>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</si>
  <si>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</si>
  <si>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Палетта, мин. 1</t>
  </si>
  <si>
    <t>Палетта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</si>
  <si>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</si>
  <si>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</si>
  <si>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</si>
  <si>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</si>
  <si>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</si>
  <si>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</si>
  <si>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</si>
  <si>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</si>
  <si>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</si>
  <si>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Слой, мин. 1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</si>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</sst>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0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46038</v>
      </c>
      <c r="R5" s="284"/>
      <c r="T5" s="285" t="s">
        <v>3</v>
      </c>
      <c r="U5" s="286"/>
      <c r="V5" s="287" t="s">
        <v>382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79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Пятница</v>
      </c>
      <c r="R6" s="290"/>
      <c r="T6" s="291" t="s">
        <v>5</v>
      </c>
      <c r="U6" s="292"/>
      <c r="V6" s="293" t="s">
        <v>73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80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0.375</v>
      </c>
      <c r="R8" s="305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07" t="s">
        <v>46</v>
      </c>
      <c r="E9" s="308"/>
      <c r="F9" s="3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309" t="str">
        <f>IF(AND($A$9="Тип доверенности/получателя при получении в адресе перегруза:",$D$9="Разовая доверенность"),"Введите ФИО","")</f>
        <v/>
      </c>
      <c r="I9" s="309"/>
      <c r="J9" s="3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9"/>
      <c r="L9" s="309"/>
      <c r="M9" s="309"/>
      <c r="N9" s="73"/>
      <c r="P9" s="31" t="s">
        <v>15</v>
      </c>
      <c r="Q9" s="310"/>
      <c r="R9" s="310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07"/>
      <c r="E10" s="308"/>
      <c r="F10" s="3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311" t="str">
        <f>IFERROR(VLOOKUP($D$10,Proxy,2,FALSE),"")</f>
        <v/>
      </c>
      <c r="I10" s="311"/>
      <c r="J10" s="311"/>
      <c r="K10" s="311"/>
      <c r="L10" s="311"/>
      <c r="M10" s="311"/>
      <c r="N10" s="74"/>
      <c r="P10" s="31" t="s">
        <v>32</v>
      </c>
      <c r="Q10" s="312"/>
      <c r="R10" s="312"/>
      <c r="U10" s="29" t="s">
        <v>12</v>
      </c>
      <c r="V10" s="313" t="s">
        <v>74</v>
      </c>
      <c r="W10" s="31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5"/>
      <c r="R11" s="315"/>
      <c r="U11" s="29" t="s">
        <v>28</v>
      </c>
      <c r="V11" s="316" t="s">
        <v>55</v>
      </c>
      <c r="W11" s="31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7" t="s">
        <v>75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79"/>
      <c r="P12" s="27" t="s">
        <v>30</v>
      </c>
      <c r="Q12" s="304"/>
      <c r="R12" s="304"/>
      <c r="S12" s="28"/>
      <c r="T12"/>
      <c r="U12" s="29" t="s">
        <v>46</v>
      </c>
      <c r="V12" s="318"/>
      <c r="W12" s="318"/>
      <c r="X12"/>
      <c r="AB12" s="59"/>
      <c r="AC12" s="59"/>
      <c r="AD12" s="59"/>
      <c r="AE12" s="59"/>
    </row>
    <row r="13" spans="1:32" s="17" customFormat="1" ht="23.25" customHeight="1" x14ac:dyDescent="0.2">
      <c r="A13" s="317" t="s">
        <v>76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79"/>
      <c r="O13" s="31"/>
      <c r="P13" s="31" t="s">
        <v>31</v>
      </c>
      <c r="Q13" s="316"/>
      <c r="R13" s="31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7" t="s">
        <v>77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9" t="s">
        <v>78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80"/>
      <c r="O15"/>
      <c r="P15" s="320" t="s">
        <v>61</v>
      </c>
      <c r="Q15" s="320"/>
      <c r="R15" s="320"/>
      <c r="S15" s="320"/>
      <c r="T15" s="32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1"/>
      <c r="Q16" s="321"/>
      <c r="R16" s="321"/>
      <c r="S16" s="321"/>
      <c r="T16" s="32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4" t="s">
        <v>59</v>
      </c>
      <c r="B17" s="324" t="s">
        <v>49</v>
      </c>
      <c r="C17" s="326" t="s">
        <v>48</v>
      </c>
      <c r="D17" s="328" t="s">
        <v>50</v>
      </c>
      <c r="E17" s="329"/>
      <c r="F17" s="324" t="s">
        <v>21</v>
      </c>
      <c r="G17" s="324" t="s">
        <v>24</v>
      </c>
      <c r="H17" s="324" t="s">
        <v>22</v>
      </c>
      <c r="I17" s="324" t="s">
        <v>23</v>
      </c>
      <c r="J17" s="324" t="s">
        <v>16</v>
      </c>
      <c r="K17" s="324" t="s">
        <v>69</v>
      </c>
      <c r="L17" s="324" t="s">
        <v>67</v>
      </c>
      <c r="M17" s="324" t="s">
        <v>2</v>
      </c>
      <c r="N17" s="324" t="s">
        <v>66</v>
      </c>
      <c r="O17" s="324" t="s">
        <v>25</v>
      </c>
      <c r="P17" s="328" t="s">
        <v>17</v>
      </c>
      <c r="Q17" s="332"/>
      <c r="R17" s="332"/>
      <c r="S17" s="332"/>
      <c r="T17" s="329"/>
      <c r="U17" s="322" t="s">
        <v>56</v>
      </c>
      <c r="V17" s="323"/>
      <c r="W17" s="324" t="s">
        <v>6</v>
      </c>
      <c r="X17" s="324" t="s">
        <v>41</v>
      </c>
      <c r="Y17" s="334" t="s">
        <v>54</v>
      </c>
      <c r="Z17" s="336" t="s">
        <v>18</v>
      </c>
      <c r="AA17" s="338" t="s">
        <v>60</v>
      </c>
      <c r="AB17" s="338" t="s">
        <v>19</v>
      </c>
      <c r="AC17" s="338" t="s">
        <v>68</v>
      </c>
      <c r="AD17" s="340" t="s">
        <v>57</v>
      </c>
      <c r="AE17" s="341"/>
      <c r="AF17" s="342"/>
      <c r="AG17" s="85"/>
      <c r="BD17" s="84" t="s">
        <v>64</v>
      </c>
    </row>
    <row r="18" spans="1:68" ht="14.25" customHeight="1" x14ac:dyDescent="0.2">
      <c r="A18" s="325"/>
      <c r="B18" s="325"/>
      <c r="C18" s="327"/>
      <c r="D18" s="330"/>
      <c r="E18" s="331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30"/>
      <c r="Q18" s="333"/>
      <c r="R18" s="333"/>
      <c r="S18" s="333"/>
      <c r="T18" s="331"/>
      <c r="U18" s="86" t="s">
        <v>44</v>
      </c>
      <c r="V18" s="86" t="s">
        <v>43</v>
      </c>
      <c r="W18" s="325"/>
      <c r="X18" s="325"/>
      <c r="Y18" s="335"/>
      <c r="Z18" s="337"/>
      <c r="AA18" s="339"/>
      <c r="AB18" s="339"/>
      <c r="AC18" s="339"/>
      <c r="AD18" s="343"/>
      <c r="AE18" s="344"/>
      <c r="AF18" s="345"/>
      <c r="AG18" s="85"/>
      <c r="BD18" s="84"/>
    </row>
    <row r="19" spans="1:68" ht="27.75" customHeight="1" x14ac:dyDescent="0.2">
      <c r="A19" s="346" t="s">
        <v>81</v>
      </c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54"/>
      <c r="AB19" s="54"/>
      <c r="AC19" s="54"/>
    </row>
    <row r="20" spans="1:68" ht="16.5" customHeight="1" x14ac:dyDescent="0.25">
      <c r="A20" s="347" t="s">
        <v>81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65"/>
      <c r="AB20" s="65"/>
      <c r="AC20" s="82"/>
    </row>
    <row r="21" spans="1:68" ht="14.25" customHeight="1" x14ac:dyDescent="0.25">
      <c r="A21" s="348" t="s">
        <v>82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9">
        <v>4607111035912</v>
      </c>
      <c r="E22" s="349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1"/>
      <c r="R22" s="351"/>
      <c r="S22" s="351"/>
      <c r="T22" s="35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9">
        <v>4607111035103</v>
      </c>
      <c r="E23" s="349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1"/>
      <c r="R23" s="351"/>
      <c r="S23" s="351"/>
      <c r="T23" s="35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9">
        <v>4607111035929</v>
      </c>
      <c r="E24" s="349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1"/>
      <c r="R24" s="351"/>
      <c r="S24" s="351"/>
      <c r="T24" s="35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9">
        <v>4607111035882</v>
      </c>
      <c r="E25" s="349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1"/>
      <c r="R25" s="351"/>
      <c r="S25" s="351"/>
      <c r="T25" s="35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9">
        <v>4607111035110</v>
      </c>
      <c r="E26" s="349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1"/>
      <c r="R26" s="351"/>
      <c r="S26" s="351"/>
      <c r="T26" s="35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9">
        <v>4607111035905</v>
      </c>
      <c r="E27" s="34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1"/>
      <c r="R27" s="351"/>
      <c r="S27" s="351"/>
      <c r="T27" s="35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1"/>
      <c r="B28" s="361"/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2"/>
      <c r="P28" s="358" t="s">
        <v>40</v>
      </c>
      <c r="Q28" s="359"/>
      <c r="R28" s="359"/>
      <c r="S28" s="359"/>
      <c r="T28" s="359"/>
      <c r="U28" s="359"/>
      <c r="V28" s="360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1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2"/>
      <c r="P29" s="358" t="s">
        <v>40</v>
      </c>
      <c r="Q29" s="359"/>
      <c r="R29" s="359"/>
      <c r="S29" s="359"/>
      <c r="T29" s="359"/>
      <c r="U29" s="359"/>
      <c r="V29" s="360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7" t="s">
        <v>100</v>
      </c>
      <c r="B30" s="347"/>
      <c r="C30" s="347"/>
      <c r="D30" s="347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  <c r="AA30" s="65"/>
      <c r="AB30" s="65"/>
      <c r="AC30" s="82"/>
    </row>
    <row r="31" spans="1:68" ht="14.25" customHeight="1" x14ac:dyDescent="0.25">
      <c r="A31" s="348" t="s">
        <v>82</v>
      </c>
      <c r="B31" s="348"/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9">
        <v>4607111039019</v>
      </c>
      <c r="E32" s="349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1"/>
      <c r="R32" s="351"/>
      <c r="S32" s="351"/>
      <c r="T32" s="352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9">
        <v>4607111038708</v>
      </c>
      <c r="E33" s="349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1"/>
      <c r="R33" s="351"/>
      <c r="S33" s="351"/>
      <c r="T33" s="352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1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2"/>
      <c r="P34" s="358" t="s">
        <v>40</v>
      </c>
      <c r="Q34" s="359"/>
      <c r="R34" s="359"/>
      <c r="S34" s="359"/>
      <c r="T34" s="359"/>
      <c r="U34" s="359"/>
      <c r="V34" s="360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1"/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2"/>
      <c r="P35" s="358" t="s">
        <v>40</v>
      </c>
      <c r="Q35" s="359"/>
      <c r="R35" s="359"/>
      <c r="S35" s="359"/>
      <c r="T35" s="359"/>
      <c r="U35" s="359"/>
      <c r="V35" s="360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6" t="s">
        <v>45</v>
      </c>
      <c r="B36" s="346"/>
      <c r="C36" s="346"/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  <c r="AA36" s="54"/>
      <c r="AB36" s="54"/>
      <c r="AC36" s="54"/>
    </row>
    <row r="37" spans="1:68" ht="16.5" customHeight="1" x14ac:dyDescent="0.25">
      <c r="A37" s="347" t="s">
        <v>106</v>
      </c>
      <c r="B37" s="347"/>
      <c r="C37" s="347"/>
      <c r="D37" s="347"/>
      <c r="E37" s="347"/>
      <c r="F37" s="347"/>
      <c r="G37" s="347"/>
      <c r="H37" s="347"/>
      <c r="I37" s="347"/>
      <c r="J37" s="347"/>
      <c r="K37" s="347"/>
      <c r="L37" s="347"/>
      <c r="M37" s="347"/>
      <c r="N37" s="347"/>
      <c r="O37" s="347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  <c r="AA37" s="65"/>
      <c r="AB37" s="65"/>
      <c r="AC37" s="82"/>
    </row>
    <row r="38" spans="1:68" ht="14.25" customHeight="1" x14ac:dyDescent="0.25">
      <c r="A38" s="348" t="s">
        <v>107</v>
      </c>
      <c r="B38" s="348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9">
        <v>4607111036537</v>
      </c>
      <c r="E39" s="349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1"/>
      <c r="R39" s="351"/>
      <c r="S39" s="351"/>
      <c r="T39" s="352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140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9">
        <v>4607111036605</v>
      </c>
      <c r="E40" s="349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88</v>
      </c>
      <c r="M40" s="38" t="s">
        <v>86</v>
      </c>
      <c r="N40" s="38"/>
      <c r="O40" s="37">
        <v>365</v>
      </c>
      <c r="P40" s="36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1"/>
      <c r="R40" s="351"/>
      <c r="S40" s="351"/>
      <c r="T40" s="352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89</v>
      </c>
      <c r="AK40" s="87">
        <v>1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1"/>
      <c r="B41" s="361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361"/>
      <c r="O41" s="362"/>
      <c r="P41" s="358" t="s">
        <v>40</v>
      </c>
      <c r="Q41" s="359"/>
      <c r="R41" s="359"/>
      <c r="S41" s="359"/>
      <c r="T41" s="359"/>
      <c r="U41" s="359"/>
      <c r="V41" s="360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1"/>
      <c r="B42" s="361"/>
      <c r="C42" s="361"/>
      <c r="D42" s="361"/>
      <c r="E42" s="361"/>
      <c r="F42" s="361"/>
      <c r="G42" s="361"/>
      <c r="H42" s="361"/>
      <c r="I42" s="361"/>
      <c r="J42" s="361"/>
      <c r="K42" s="361"/>
      <c r="L42" s="361"/>
      <c r="M42" s="361"/>
      <c r="N42" s="361"/>
      <c r="O42" s="362"/>
      <c r="P42" s="358" t="s">
        <v>40</v>
      </c>
      <c r="Q42" s="359"/>
      <c r="R42" s="359"/>
      <c r="S42" s="359"/>
      <c r="T42" s="359"/>
      <c r="U42" s="359"/>
      <c r="V42" s="360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7" t="s">
        <v>117</v>
      </c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65"/>
      <c r="AB43" s="65"/>
      <c r="AC43" s="82"/>
    </row>
    <row r="44" spans="1:68" ht="14.25" customHeight="1" x14ac:dyDescent="0.25">
      <c r="A44" s="348" t="s">
        <v>82</v>
      </c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8"/>
      <c r="O44" s="348"/>
      <c r="P44" s="348"/>
      <c r="Q44" s="348"/>
      <c r="R44" s="348"/>
      <c r="S44" s="348"/>
      <c r="T44" s="348"/>
      <c r="U44" s="348"/>
      <c r="V44" s="348"/>
      <c r="W44" s="348"/>
      <c r="X44" s="348"/>
      <c r="Y44" s="348"/>
      <c r="Z44" s="348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9">
        <v>4620207490075</v>
      </c>
      <c r="E45" s="349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88</v>
      </c>
      <c r="M45" s="38" t="s">
        <v>86</v>
      </c>
      <c r="N45" s="38"/>
      <c r="O45" s="37">
        <v>180</v>
      </c>
      <c r="P45" s="36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1"/>
      <c r="R45" s="351"/>
      <c r="S45" s="351"/>
      <c r="T45" s="352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89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9">
        <v>4620207490174</v>
      </c>
      <c r="E46" s="349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124</v>
      </c>
      <c r="M46" s="38" t="s">
        <v>86</v>
      </c>
      <c r="N46" s="38"/>
      <c r="O46" s="37">
        <v>180</v>
      </c>
      <c r="P46" s="36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1"/>
      <c r="R46" s="351"/>
      <c r="S46" s="351"/>
      <c r="T46" s="352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125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126</v>
      </c>
      <c r="B47" s="63" t="s">
        <v>127</v>
      </c>
      <c r="C47" s="36">
        <v>4301071091</v>
      </c>
      <c r="D47" s="349">
        <v>4620207490044</v>
      </c>
      <c r="E47" s="34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6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1"/>
      <c r="R47" s="351"/>
      <c r="S47" s="351"/>
      <c r="T47" s="352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128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1"/>
      <c r="B48" s="361"/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361"/>
      <c r="N48" s="361"/>
      <c r="O48" s="362"/>
      <c r="P48" s="358" t="s">
        <v>40</v>
      </c>
      <c r="Q48" s="359"/>
      <c r="R48" s="359"/>
      <c r="S48" s="359"/>
      <c r="T48" s="359"/>
      <c r="U48" s="359"/>
      <c r="V48" s="360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1"/>
      <c r="B49" s="361"/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2"/>
      <c r="P49" s="358" t="s">
        <v>40</v>
      </c>
      <c r="Q49" s="359"/>
      <c r="R49" s="359"/>
      <c r="S49" s="359"/>
      <c r="T49" s="359"/>
      <c r="U49" s="359"/>
      <c r="V49" s="360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7" t="s">
        <v>129</v>
      </c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  <c r="AA50" s="65"/>
      <c r="AB50" s="65"/>
      <c r="AC50" s="82"/>
    </row>
    <row r="51" spans="1:68" ht="14.25" customHeight="1" x14ac:dyDescent="0.25">
      <c r="A51" s="348" t="s">
        <v>82</v>
      </c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66"/>
      <c r="AB51" s="66"/>
      <c r="AC51" s="83"/>
    </row>
    <row r="52" spans="1:68" ht="27" customHeight="1" x14ac:dyDescent="0.25">
      <c r="A52" s="63" t="s">
        <v>130</v>
      </c>
      <c r="B52" s="63" t="s">
        <v>131</v>
      </c>
      <c r="C52" s="36">
        <v>4301071044</v>
      </c>
      <c r="D52" s="349">
        <v>4607111039385</v>
      </c>
      <c r="E52" s="349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124</v>
      </c>
      <c r="M52" s="38" t="s">
        <v>86</v>
      </c>
      <c r="N52" s="38"/>
      <c r="O52" s="37">
        <v>180</v>
      </c>
      <c r="P52" s="37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1"/>
      <c r="R52" s="351"/>
      <c r="S52" s="351"/>
      <c r="T52" s="352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132</v>
      </c>
      <c r="AG52" s="81"/>
      <c r="AJ52" s="87" t="s">
        <v>125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4301071031</v>
      </c>
      <c r="D53" s="349">
        <v>4607111038982</v>
      </c>
      <c r="E53" s="349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124</v>
      </c>
      <c r="M53" s="38" t="s">
        <v>86</v>
      </c>
      <c r="N53" s="38"/>
      <c r="O53" s="37">
        <v>180</v>
      </c>
      <c r="P53" s="37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1"/>
      <c r="R53" s="351"/>
      <c r="S53" s="351"/>
      <c r="T53" s="35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135</v>
      </c>
      <c r="AG53" s="81"/>
      <c r="AJ53" s="87" t="s">
        <v>125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4301071046</v>
      </c>
      <c r="D54" s="349">
        <v>4607111039354</v>
      </c>
      <c r="E54" s="349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124</v>
      </c>
      <c r="M54" s="38" t="s">
        <v>86</v>
      </c>
      <c r="N54" s="38"/>
      <c r="O54" s="37">
        <v>180</v>
      </c>
      <c r="P54" s="37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1"/>
      <c r="R54" s="351"/>
      <c r="S54" s="351"/>
      <c r="T54" s="35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125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4301071047</v>
      </c>
      <c r="D55" s="349">
        <v>4607111039330</v>
      </c>
      <c r="E55" s="349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1"/>
      <c r="R55" s="351"/>
      <c r="S55" s="351"/>
      <c r="T55" s="352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114</v>
      </c>
      <c r="AK55" s="87">
        <v>84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1"/>
      <c r="B56" s="361"/>
      <c r="C56" s="361"/>
      <c r="D56" s="361"/>
      <c r="E56" s="361"/>
      <c r="F56" s="361"/>
      <c r="G56" s="361"/>
      <c r="H56" s="361"/>
      <c r="I56" s="361"/>
      <c r="J56" s="361"/>
      <c r="K56" s="361"/>
      <c r="L56" s="361"/>
      <c r="M56" s="361"/>
      <c r="N56" s="361"/>
      <c r="O56" s="362"/>
      <c r="P56" s="358" t="s">
        <v>40</v>
      </c>
      <c r="Q56" s="359"/>
      <c r="R56" s="359"/>
      <c r="S56" s="359"/>
      <c r="T56" s="359"/>
      <c r="U56" s="359"/>
      <c r="V56" s="360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1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2"/>
      <c r="P57" s="358" t="s">
        <v>40</v>
      </c>
      <c r="Q57" s="359"/>
      <c r="R57" s="359"/>
      <c r="S57" s="359"/>
      <c r="T57" s="359"/>
      <c r="U57" s="359"/>
      <c r="V57" s="360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7" t="s">
        <v>140</v>
      </c>
      <c r="B58" s="347"/>
      <c r="C58" s="347"/>
      <c r="D58" s="347"/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  <c r="AA58" s="65"/>
      <c r="AB58" s="65"/>
      <c r="AC58" s="82"/>
    </row>
    <row r="59" spans="1:68" ht="14.25" customHeight="1" x14ac:dyDescent="0.25">
      <c r="A59" s="348" t="s">
        <v>82</v>
      </c>
      <c r="B59" s="348"/>
      <c r="C59" s="348"/>
      <c r="D59" s="348"/>
      <c r="E59" s="348"/>
      <c r="F59" s="348"/>
      <c r="G59" s="348"/>
      <c r="H59" s="348"/>
      <c r="I59" s="348"/>
      <c r="J59" s="348"/>
      <c r="K59" s="348"/>
      <c r="L59" s="348"/>
      <c r="M59" s="348"/>
      <c r="N59" s="348"/>
      <c r="O59" s="348"/>
      <c r="P59" s="348"/>
      <c r="Q59" s="348"/>
      <c r="R59" s="348"/>
      <c r="S59" s="348"/>
      <c r="T59" s="348"/>
      <c r="U59" s="348"/>
      <c r="V59" s="348"/>
      <c r="W59" s="348"/>
      <c r="X59" s="348"/>
      <c r="Y59" s="348"/>
      <c r="Z59" s="348"/>
      <c r="AA59" s="66"/>
      <c r="AB59" s="66"/>
      <c r="AC59" s="83"/>
    </row>
    <row r="60" spans="1:68" ht="16.5" customHeight="1" x14ac:dyDescent="0.25">
      <c r="A60" s="63" t="s">
        <v>141</v>
      </c>
      <c r="B60" s="63" t="s">
        <v>142</v>
      </c>
      <c r="C60" s="36">
        <v>4301071073</v>
      </c>
      <c r="D60" s="349">
        <v>4620207490822</v>
      </c>
      <c r="E60" s="349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1"/>
      <c r="R60" s="351"/>
      <c r="S60" s="351"/>
      <c r="T60" s="352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143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1"/>
      <c r="B61" s="361"/>
      <c r="C61" s="361"/>
      <c r="D61" s="361"/>
      <c r="E61" s="361"/>
      <c r="F61" s="361"/>
      <c r="G61" s="361"/>
      <c r="H61" s="361"/>
      <c r="I61" s="361"/>
      <c r="J61" s="361"/>
      <c r="K61" s="361"/>
      <c r="L61" s="361"/>
      <c r="M61" s="361"/>
      <c r="N61" s="361"/>
      <c r="O61" s="362"/>
      <c r="P61" s="358" t="s">
        <v>40</v>
      </c>
      <c r="Q61" s="359"/>
      <c r="R61" s="359"/>
      <c r="S61" s="359"/>
      <c r="T61" s="359"/>
      <c r="U61" s="359"/>
      <c r="V61" s="360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1"/>
      <c r="B62" s="361"/>
      <c r="C62" s="361"/>
      <c r="D62" s="361"/>
      <c r="E62" s="361"/>
      <c r="F62" s="361"/>
      <c r="G62" s="361"/>
      <c r="H62" s="361"/>
      <c r="I62" s="361"/>
      <c r="J62" s="361"/>
      <c r="K62" s="361"/>
      <c r="L62" s="361"/>
      <c r="M62" s="361"/>
      <c r="N62" s="361"/>
      <c r="O62" s="362"/>
      <c r="P62" s="358" t="s">
        <v>40</v>
      </c>
      <c r="Q62" s="359"/>
      <c r="R62" s="359"/>
      <c r="S62" s="359"/>
      <c r="T62" s="359"/>
      <c r="U62" s="359"/>
      <c r="V62" s="360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8" t="s">
        <v>107</v>
      </c>
      <c r="B63" s="348"/>
      <c r="C63" s="348"/>
      <c r="D63" s="348"/>
      <c r="E63" s="348"/>
      <c r="F63" s="348"/>
      <c r="G63" s="348"/>
      <c r="H63" s="348"/>
      <c r="I63" s="348"/>
      <c r="J63" s="348"/>
      <c r="K63" s="348"/>
      <c r="L63" s="348"/>
      <c r="M63" s="348"/>
      <c r="N63" s="348"/>
      <c r="O63" s="348"/>
      <c r="P63" s="348"/>
      <c r="Q63" s="348"/>
      <c r="R63" s="348"/>
      <c r="S63" s="348"/>
      <c r="T63" s="348"/>
      <c r="U63" s="348"/>
      <c r="V63" s="348"/>
      <c r="W63" s="348"/>
      <c r="X63" s="348"/>
      <c r="Y63" s="348"/>
      <c r="Z63" s="348"/>
      <c r="AA63" s="66"/>
      <c r="AB63" s="66"/>
      <c r="AC63" s="83"/>
    </row>
    <row r="64" spans="1:68" ht="27" customHeight="1" x14ac:dyDescent="0.25">
      <c r="A64" s="63" t="s">
        <v>144</v>
      </c>
      <c r="B64" s="63" t="s">
        <v>145</v>
      </c>
      <c r="C64" s="36">
        <v>4301132194</v>
      </c>
      <c r="D64" s="349">
        <v>4607111039712</v>
      </c>
      <c r="E64" s="349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1"/>
      <c r="R64" s="351"/>
      <c r="S64" s="351"/>
      <c r="T64" s="352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146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1"/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2"/>
      <c r="P65" s="358" t="s">
        <v>40</v>
      </c>
      <c r="Q65" s="359"/>
      <c r="R65" s="359"/>
      <c r="S65" s="359"/>
      <c r="T65" s="359"/>
      <c r="U65" s="359"/>
      <c r="V65" s="360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1"/>
      <c r="B66" s="361"/>
      <c r="C66" s="361"/>
      <c r="D66" s="361"/>
      <c r="E66" s="361"/>
      <c r="F66" s="361"/>
      <c r="G66" s="361"/>
      <c r="H66" s="361"/>
      <c r="I66" s="361"/>
      <c r="J66" s="361"/>
      <c r="K66" s="361"/>
      <c r="L66" s="361"/>
      <c r="M66" s="361"/>
      <c r="N66" s="361"/>
      <c r="O66" s="362"/>
      <c r="P66" s="358" t="s">
        <v>40</v>
      </c>
      <c r="Q66" s="359"/>
      <c r="R66" s="359"/>
      <c r="S66" s="359"/>
      <c r="T66" s="359"/>
      <c r="U66" s="359"/>
      <c r="V66" s="360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8" t="s">
        <v>147</v>
      </c>
      <c r="B67" s="348"/>
      <c r="C67" s="348"/>
      <c r="D67" s="348"/>
      <c r="E67" s="348"/>
      <c r="F67" s="348"/>
      <c r="G67" s="348"/>
      <c r="H67" s="348"/>
      <c r="I67" s="348"/>
      <c r="J67" s="348"/>
      <c r="K67" s="348"/>
      <c r="L67" s="348"/>
      <c r="M67" s="348"/>
      <c r="N67" s="348"/>
      <c r="O67" s="348"/>
      <c r="P67" s="348"/>
      <c r="Q67" s="348"/>
      <c r="R67" s="348"/>
      <c r="S67" s="348"/>
      <c r="T67" s="348"/>
      <c r="U67" s="348"/>
      <c r="V67" s="348"/>
      <c r="W67" s="348"/>
      <c r="X67" s="348"/>
      <c r="Y67" s="348"/>
      <c r="Z67" s="348"/>
      <c r="AA67" s="66"/>
      <c r="AB67" s="66"/>
      <c r="AC67" s="83"/>
    </row>
    <row r="68" spans="1:68" ht="16.5" customHeight="1" x14ac:dyDescent="0.25">
      <c r="A68" s="63" t="s">
        <v>148</v>
      </c>
      <c r="B68" s="63" t="s">
        <v>149</v>
      </c>
      <c r="C68" s="36">
        <v>4301136018</v>
      </c>
      <c r="D68" s="349">
        <v>4607111037008</v>
      </c>
      <c r="E68" s="349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1"/>
      <c r="R68" s="351"/>
      <c r="S68" s="351"/>
      <c r="T68" s="352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150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151</v>
      </c>
      <c r="B69" s="63" t="s">
        <v>152</v>
      </c>
      <c r="C69" s="36">
        <v>4301136015</v>
      </c>
      <c r="D69" s="349">
        <v>4607111037398</v>
      </c>
      <c r="E69" s="349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1"/>
      <c r="R69" s="351"/>
      <c r="S69" s="351"/>
      <c r="T69" s="35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150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1"/>
      <c r="B70" s="361"/>
      <c r="C70" s="361"/>
      <c r="D70" s="361"/>
      <c r="E70" s="361"/>
      <c r="F70" s="361"/>
      <c r="G70" s="361"/>
      <c r="H70" s="361"/>
      <c r="I70" s="361"/>
      <c r="J70" s="361"/>
      <c r="K70" s="361"/>
      <c r="L70" s="361"/>
      <c r="M70" s="361"/>
      <c r="N70" s="361"/>
      <c r="O70" s="362"/>
      <c r="P70" s="358" t="s">
        <v>40</v>
      </c>
      <c r="Q70" s="359"/>
      <c r="R70" s="359"/>
      <c r="S70" s="359"/>
      <c r="T70" s="359"/>
      <c r="U70" s="359"/>
      <c r="V70" s="360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1"/>
      <c r="B71" s="361"/>
      <c r="C71" s="361"/>
      <c r="D71" s="361"/>
      <c r="E71" s="361"/>
      <c r="F71" s="361"/>
      <c r="G71" s="361"/>
      <c r="H71" s="361"/>
      <c r="I71" s="361"/>
      <c r="J71" s="361"/>
      <c r="K71" s="361"/>
      <c r="L71" s="361"/>
      <c r="M71" s="361"/>
      <c r="N71" s="361"/>
      <c r="O71" s="362"/>
      <c r="P71" s="358" t="s">
        <v>40</v>
      </c>
      <c r="Q71" s="359"/>
      <c r="R71" s="359"/>
      <c r="S71" s="359"/>
      <c r="T71" s="359"/>
      <c r="U71" s="359"/>
      <c r="V71" s="360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8" t="s">
        <v>153</v>
      </c>
      <c r="B72" s="348"/>
      <c r="C72" s="348"/>
      <c r="D72" s="348"/>
      <c r="E72" s="348"/>
      <c r="F72" s="348"/>
      <c r="G72" s="348"/>
      <c r="H72" s="348"/>
      <c r="I72" s="348"/>
      <c r="J72" s="348"/>
      <c r="K72" s="348"/>
      <c r="L72" s="348"/>
      <c r="M72" s="348"/>
      <c r="N72" s="348"/>
      <c r="O72" s="348"/>
      <c r="P72" s="348"/>
      <c r="Q72" s="348"/>
      <c r="R72" s="348"/>
      <c r="S72" s="348"/>
      <c r="T72" s="348"/>
      <c r="U72" s="348"/>
      <c r="V72" s="348"/>
      <c r="W72" s="348"/>
      <c r="X72" s="348"/>
      <c r="Y72" s="348"/>
      <c r="Z72" s="348"/>
      <c r="AA72" s="66"/>
      <c r="AB72" s="66"/>
      <c r="AC72" s="83"/>
    </row>
    <row r="73" spans="1:68" ht="27" customHeight="1" x14ac:dyDescent="0.25">
      <c r="A73" s="63" t="s">
        <v>154</v>
      </c>
      <c r="B73" s="63" t="s">
        <v>155</v>
      </c>
      <c r="C73" s="36">
        <v>4301135664</v>
      </c>
      <c r="D73" s="349">
        <v>4607111039705</v>
      </c>
      <c r="E73" s="349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1"/>
      <c r="R73" s="351"/>
      <c r="S73" s="351"/>
      <c r="T73" s="352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150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156</v>
      </c>
      <c r="B74" s="63" t="s">
        <v>157</v>
      </c>
      <c r="C74" s="36">
        <v>4301135665</v>
      </c>
      <c r="D74" s="349">
        <v>4607111039729</v>
      </c>
      <c r="E74" s="349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124</v>
      </c>
      <c r="M74" s="38" t="s">
        <v>86</v>
      </c>
      <c r="N74" s="38"/>
      <c r="O74" s="37">
        <v>365</v>
      </c>
      <c r="P74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1"/>
      <c r="R74" s="351"/>
      <c r="S74" s="351"/>
      <c r="T74" s="352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158</v>
      </c>
      <c r="AG74" s="81"/>
      <c r="AJ74" s="87" t="s">
        <v>125</v>
      </c>
      <c r="AK74" s="87">
        <v>14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159</v>
      </c>
      <c r="B75" s="63" t="s">
        <v>160</v>
      </c>
      <c r="C75" s="36">
        <v>4301135702</v>
      </c>
      <c r="D75" s="349">
        <v>4620207490228</v>
      </c>
      <c r="E75" s="349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124</v>
      </c>
      <c r="M75" s="38" t="s">
        <v>86</v>
      </c>
      <c r="N75" s="38"/>
      <c r="O75" s="37">
        <v>365</v>
      </c>
      <c r="P75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1"/>
      <c r="R75" s="351"/>
      <c r="S75" s="351"/>
      <c r="T75" s="352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158</v>
      </c>
      <c r="AG75" s="81"/>
      <c r="AJ75" s="87" t="s">
        <v>125</v>
      </c>
      <c r="AK75" s="87">
        <v>14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1"/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2"/>
      <c r="P76" s="358" t="s">
        <v>40</v>
      </c>
      <c r="Q76" s="359"/>
      <c r="R76" s="359"/>
      <c r="S76" s="359"/>
      <c r="T76" s="359"/>
      <c r="U76" s="359"/>
      <c r="V76" s="360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1"/>
      <c r="B77" s="361"/>
      <c r="C77" s="361"/>
      <c r="D77" s="361"/>
      <c r="E77" s="361"/>
      <c r="F77" s="361"/>
      <c r="G77" s="361"/>
      <c r="H77" s="361"/>
      <c r="I77" s="361"/>
      <c r="J77" s="361"/>
      <c r="K77" s="361"/>
      <c r="L77" s="361"/>
      <c r="M77" s="361"/>
      <c r="N77" s="361"/>
      <c r="O77" s="362"/>
      <c r="P77" s="358" t="s">
        <v>40</v>
      </c>
      <c r="Q77" s="359"/>
      <c r="R77" s="359"/>
      <c r="S77" s="359"/>
      <c r="T77" s="359"/>
      <c r="U77" s="359"/>
      <c r="V77" s="360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7" t="s">
        <v>161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  <c r="AA78" s="65"/>
      <c r="AB78" s="65"/>
      <c r="AC78" s="82"/>
    </row>
    <row r="79" spans="1:68" ht="14.25" customHeight="1" x14ac:dyDescent="0.25">
      <c r="A79" s="348" t="s">
        <v>82</v>
      </c>
      <c r="B79" s="348"/>
      <c r="C79" s="348"/>
      <c r="D79" s="348"/>
      <c r="E79" s="348"/>
      <c r="F79" s="348"/>
      <c r="G79" s="348"/>
      <c r="H79" s="348"/>
      <c r="I79" s="348"/>
      <c r="J79" s="348"/>
      <c r="K79" s="348"/>
      <c r="L79" s="348"/>
      <c r="M79" s="348"/>
      <c r="N79" s="348"/>
      <c r="O79" s="348"/>
      <c r="P79" s="348"/>
      <c r="Q79" s="348"/>
      <c r="R79" s="348"/>
      <c r="S79" s="348"/>
      <c r="T79" s="348"/>
      <c r="U79" s="348"/>
      <c r="V79" s="348"/>
      <c r="W79" s="348"/>
      <c r="X79" s="348"/>
      <c r="Y79" s="348"/>
      <c r="Z79" s="348"/>
      <c r="AA79" s="66"/>
      <c r="AB79" s="66"/>
      <c r="AC79" s="83"/>
    </row>
    <row r="80" spans="1:68" ht="27" customHeight="1" x14ac:dyDescent="0.25">
      <c r="A80" s="63" t="s">
        <v>162</v>
      </c>
      <c r="B80" s="63" t="s">
        <v>163</v>
      </c>
      <c r="C80" s="36">
        <v>4301070977</v>
      </c>
      <c r="D80" s="349">
        <v>4607111037411</v>
      </c>
      <c r="E80" s="349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165</v>
      </c>
      <c r="L80" s="37" t="s">
        <v>124</v>
      </c>
      <c r="M80" s="38" t="s">
        <v>86</v>
      </c>
      <c r="N80" s="38"/>
      <c r="O80" s="37">
        <v>180</v>
      </c>
      <c r="P80" s="38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1"/>
      <c r="R80" s="351"/>
      <c r="S80" s="351"/>
      <c r="T80" s="352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164</v>
      </c>
      <c r="AG80" s="81"/>
      <c r="AJ80" s="87" t="s">
        <v>125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166</v>
      </c>
      <c r="B81" s="63" t="s">
        <v>167</v>
      </c>
      <c r="C81" s="36">
        <v>4301070981</v>
      </c>
      <c r="D81" s="349">
        <v>4607111036728</v>
      </c>
      <c r="E81" s="349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8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1"/>
      <c r="R81" s="351"/>
      <c r="S81" s="351"/>
      <c r="T81" s="352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164</v>
      </c>
      <c r="AG81" s="81"/>
      <c r="AJ81" s="87" t="s">
        <v>114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1"/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2"/>
      <c r="P82" s="358" t="s">
        <v>40</v>
      </c>
      <c r="Q82" s="359"/>
      <c r="R82" s="359"/>
      <c r="S82" s="359"/>
      <c r="T82" s="359"/>
      <c r="U82" s="359"/>
      <c r="V82" s="360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1"/>
      <c r="B83" s="361"/>
      <c r="C83" s="361"/>
      <c r="D83" s="361"/>
      <c r="E83" s="361"/>
      <c r="F83" s="361"/>
      <c r="G83" s="361"/>
      <c r="H83" s="361"/>
      <c r="I83" s="361"/>
      <c r="J83" s="361"/>
      <c r="K83" s="361"/>
      <c r="L83" s="361"/>
      <c r="M83" s="361"/>
      <c r="N83" s="361"/>
      <c r="O83" s="362"/>
      <c r="P83" s="358" t="s">
        <v>40</v>
      </c>
      <c r="Q83" s="359"/>
      <c r="R83" s="359"/>
      <c r="S83" s="359"/>
      <c r="T83" s="359"/>
      <c r="U83" s="359"/>
      <c r="V83" s="360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7" t="s">
        <v>168</v>
      </c>
      <c r="B84" s="347"/>
      <c r="C84" s="347"/>
      <c r="D84" s="347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  <c r="AA84" s="65"/>
      <c r="AB84" s="65"/>
      <c r="AC84" s="82"/>
    </row>
    <row r="85" spans="1:68" ht="14.25" customHeight="1" x14ac:dyDescent="0.25">
      <c r="A85" s="348" t="s">
        <v>153</v>
      </c>
      <c r="B85" s="348"/>
      <c r="C85" s="348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48"/>
      <c r="P85" s="348"/>
      <c r="Q85" s="348"/>
      <c r="R85" s="348"/>
      <c r="S85" s="348"/>
      <c r="T85" s="348"/>
      <c r="U85" s="348"/>
      <c r="V85" s="348"/>
      <c r="W85" s="348"/>
      <c r="X85" s="348"/>
      <c r="Y85" s="348"/>
      <c r="Z85" s="348"/>
      <c r="AA85" s="66"/>
      <c r="AB85" s="66"/>
      <c r="AC85" s="83"/>
    </row>
    <row r="86" spans="1:68" ht="27" customHeight="1" x14ac:dyDescent="0.25">
      <c r="A86" s="63" t="s">
        <v>169</v>
      </c>
      <c r="B86" s="63" t="s">
        <v>170</v>
      </c>
      <c r="C86" s="36">
        <v>4301135574</v>
      </c>
      <c r="D86" s="349">
        <v>4607111033659</v>
      </c>
      <c r="E86" s="349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124</v>
      </c>
      <c r="M86" s="38" t="s">
        <v>86</v>
      </c>
      <c r="N86" s="38"/>
      <c r="O86" s="37">
        <v>180</v>
      </c>
      <c r="P86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1"/>
      <c r="R86" s="351"/>
      <c r="S86" s="351"/>
      <c r="T86" s="352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171</v>
      </c>
      <c r="AG86" s="81"/>
      <c r="AJ86" s="87" t="s">
        <v>125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1"/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2"/>
      <c r="P87" s="358" t="s">
        <v>40</v>
      </c>
      <c r="Q87" s="359"/>
      <c r="R87" s="359"/>
      <c r="S87" s="359"/>
      <c r="T87" s="359"/>
      <c r="U87" s="359"/>
      <c r="V87" s="360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1"/>
      <c r="B88" s="361"/>
      <c r="C88" s="361"/>
      <c r="D88" s="361"/>
      <c r="E88" s="361"/>
      <c r="F88" s="361"/>
      <c r="G88" s="361"/>
      <c r="H88" s="361"/>
      <c r="I88" s="361"/>
      <c r="J88" s="361"/>
      <c r="K88" s="361"/>
      <c r="L88" s="361"/>
      <c r="M88" s="361"/>
      <c r="N88" s="361"/>
      <c r="O88" s="362"/>
      <c r="P88" s="358" t="s">
        <v>40</v>
      </c>
      <c r="Q88" s="359"/>
      <c r="R88" s="359"/>
      <c r="S88" s="359"/>
      <c r="T88" s="359"/>
      <c r="U88" s="359"/>
      <c r="V88" s="360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7" t="s">
        <v>172</v>
      </c>
      <c r="B89" s="347"/>
      <c r="C89" s="347"/>
      <c r="D89" s="347"/>
      <c r="E89" s="347"/>
      <c r="F89" s="347"/>
      <c r="G89" s="347"/>
      <c r="H89" s="347"/>
      <c r="I89" s="347"/>
      <c r="J89" s="347"/>
      <c r="K89" s="347"/>
      <c r="L89" s="347"/>
      <c r="M89" s="347"/>
      <c r="N89" s="347"/>
      <c r="O89" s="347"/>
      <c r="P89" s="347"/>
      <c r="Q89" s="347"/>
      <c r="R89" s="347"/>
      <c r="S89" s="347"/>
      <c r="T89" s="347"/>
      <c r="U89" s="347"/>
      <c r="V89" s="347"/>
      <c r="W89" s="347"/>
      <c r="X89" s="347"/>
      <c r="Y89" s="347"/>
      <c r="Z89" s="347"/>
      <c r="AA89" s="65"/>
      <c r="AB89" s="65"/>
      <c r="AC89" s="82"/>
    </row>
    <row r="90" spans="1:68" ht="14.25" customHeight="1" x14ac:dyDescent="0.25">
      <c r="A90" s="348" t="s">
        <v>173</v>
      </c>
      <c r="B90" s="348"/>
      <c r="C90" s="348"/>
      <c r="D90" s="348"/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8"/>
      <c r="R90" s="348"/>
      <c r="S90" s="348"/>
      <c r="T90" s="348"/>
      <c r="U90" s="348"/>
      <c r="V90" s="348"/>
      <c r="W90" s="348"/>
      <c r="X90" s="348"/>
      <c r="Y90" s="348"/>
      <c r="Z90" s="348"/>
      <c r="AA90" s="66"/>
      <c r="AB90" s="66"/>
      <c r="AC90" s="83"/>
    </row>
    <row r="91" spans="1:68" ht="27" customHeight="1" x14ac:dyDescent="0.25">
      <c r="A91" s="63" t="s">
        <v>174</v>
      </c>
      <c r="B91" s="63" t="s">
        <v>175</v>
      </c>
      <c r="C91" s="36">
        <v>4301131047</v>
      </c>
      <c r="D91" s="349">
        <v>4607111034120</v>
      </c>
      <c r="E91" s="349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124</v>
      </c>
      <c r="M91" s="38" t="s">
        <v>86</v>
      </c>
      <c r="N91" s="38"/>
      <c r="O91" s="37">
        <v>180</v>
      </c>
      <c r="P91" s="38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1"/>
      <c r="R91" s="351"/>
      <c r="S91" s="351"/>
      <c r="T91" s="352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176</v>
      </c>
      <c r="AG91" s="81"/>
      <c r="AJ91" s="87" t="s">
        <v>125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177</v>
      </c>
      <c r="B92" s="63" t="s">
        <v>178</v>
      </c>
      <c r="C92" s="36">
        <v>4301131046</v>
      </c>
      <c r="D92" s="349">
        <v>4607111034137</v>
      </c>
      <c r="E92" s="349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124</v>
      </c>
      <c r="M92" s="38" t="s">
        <v>86</v>
      </c>
      <c r="N92" s="38"/>
      <c r="O92" s="37">
        <v>180</v>
      </c>
      <c r="P92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1"/>
      <c r="R92" s="351"/>
      <c r="S92" s="351"/>
      <c r="T92" s="352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179</v>
      </c>
      <c r="AG92" s="81"/>
      <c r="AJ92" s="87" t="s">
        <v>125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1"/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2"/>
      <c r="P93" s="358" t="s">
        <v>40</v>
      </c>
      <c r="Q93" s="359"/>
      <c r="R93" s="359"/>
      <c r="S93" s="359"/>
      <c r="T93" s="359"/>
      <c r="U93" s="359"/>
      <c r="V93" s="360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1"/>
      <c r="B94" s="361"/>
      <c r="C94" s="361"/>
      <c r="D94" s="361"/>
      <c r="E94" s="361"/>
      <c r="F94" s="361"/>
      <c r="G94" s="361"/>
      <c r="H94" s="361"/>
      <c r="I94" s="361"/>
      <c r="J94" s="361"/>
      <c r="K94" s="361"/>
      <c r="L94" s="361"/>
      <c r="M94" s="361"/>
      <c r="N94" s="361"/>
      <c r="O94" s="362"/>
      <c r="P94" s="358" t="s">
        <v>40</v>
      </c>
      <c r="Q94" s="359"/>
      <c r="R94" s="359"/>
      <c r="S94" s="359"/>
      <c r="T94" s="359"/>
      <c r="U94" s="359"/>
      <c r="V94" s="360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7" t="s">
        <v>180</v>
      </c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65"/>
      <c r="AB95" s="65"/>
      <c r="AC95" s="82"/>
    </row>
    <row r="96" spans="1:68" ht="14.25" customHeight="1" x14ac:dyDescent="0.25">
      <c r="A96" s="348" t="s">
        <v>153</v>
      </c>
      <c r="B96" s="348"/>
      <c r="C96" s="348"/>
      <c r="D96" s="348"/>
      <c r="E96" s="348"/>
      <c r="F96" s="348"/>
      <c r="G96" s="348"/>
      <c r="H96" s="348"/>
      <c r="I96" s="348"/>
      <c r="J96" s="348"/>
      <c r="K96" s="348"/>
      <c r="L96" s="348"/>
      <c r="M96" s="348"/>
      <c r="N96" s="348"/>
      <c r="O96" s="348"/>
      <c r="P96" s="348"/>
      <c r="Q96" s="348"/>
      <c r="R96" s="348"/>
      <c r="S96" s="348"/>
      <c r="T96" s="348"/>
      <c r="U96" s="348"/>
      <c r="V96" s="348"/>
      <c r="W96" s="348"/>
      <c r="X96" s="348"/>
      <c r="Y96" s="348"/>
      <c r="Z96" s="348"/>
      <c r="AA96" s="66"/>
      <c r="AB96" s="66"/>
      <c r="AC96" s="83"/>
    </row>
    <row r="97" spans="1:68" ht="27" customHeight="1" x14ac:dyDescent="0.25">
      <c r="A97" s="63" t="s">
        <v>181</v>
      </c>
      <c r="B97" s="63" t="s">
        <v>182</v>
      </c>
      <c r="C97" s="36">
        <v>4301135763</v>
      </c>
      <c r="D97" s="349">
        <v>4620207491027</v>
      </c>
      <c r="E97" s="349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124</v>
      </c>
      <c r="M97" s="38" t="s">
        <v>86</v>
      </c>
      <c r="N97" s="38"/>
      <c r="O97" s="37">
        <v>180</v>
      </c>
      <c r="P97" s="38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1"/>
      <c r="R97" s="351"/>
      <c r="S97" s="351"/>
      <c r="T97" s="352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171</v>
      </c>
      <c r="AG97" s="81"/>
      <c r="AJ97" s="87" t="s">
        <v>125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183</v>
      </c>
      <c r="B98" s="63" t="s">
        <v>184</v>
      </c>
      <c r="C98" s="36">
        <v>4301135793</v>
      </c>
      <c r="D98" s="349">
        <v>4620207491003</v>
      </c>
      <c r="E98" s="349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1"/>
      <c r="R98" s="351"/>
      <c r="S98" s="351"/>
      <c r="T98" s="352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171</v>
      </c>
      <c r="AG98" s="81"/>
      <c r="AJ98" s="87" t="s">
        <v>114</v>
      </c>
      <c r="AK98" s="87">
        <v>70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4301135768</v>
      </c>
      <c r="D99" s="349">
        <v>4620207491034</v>
      </c>
      <c r="E99" s="349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88</v>
      </c>
      <c r="M99" s="38" t="s">
        <v>86</v>
      </c>
      <c r="N99" s="38"/>
      <c r="O99" s="37">
        <v>180</v>
      </c>
      <c r="P99" s="38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1"/>
      <c r="R99" s="351"/>
      <c r="S99" s="351"/>
      <c r="T99" s="352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187</v>
      </c>
      <c r="AG99" s="81"/>
      <c r="AJ99" s="87" t="s">
        <v>89</v>
      </c>
      <c r="AK99" s="87">
        <v>1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4301135760</v>
      </c>
      <c r="D100" s="349">
        <v>4620207491010</v>
      </c>
      <c r="E100" s="349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8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1"/>
      <c r="R100" s="351"/>
      <c r="S100" s="351"/>
      <c r="T100" s="352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171</v>
      </c>
      <c r="AG100" s="81"/>
      <c r="AJ100" s="87" t="s">
        <v>114</v>
      </c>
      <c r="AK100" s="87">
        <v>70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4301135571</v>
      </c>
      <c r="D101" s="349">
        <v>4607111035028</v>
      </c>
      <c r="E101" s="349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88</v>
      </c>
      <c r="M101" s="38" t="s">
        <v>86</v>
      </c>
      <c r="N101" s="38"/>
      <c r="O101" s="37">
        <v>180</v>
      </c>
      <c r="P101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1"/>
      <c r="R101" s="351"/>
      <c r="S101" s="351"/>
      <c r="T101" s="352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171</v>
      </c>
      <c r="AG101" s="81"/>
      <c r="AJ101" s="87" t="s">
        <v>89</v>
      </c>
      <c r="AK101" s="87">
        <v>1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4301135285</v>
      </c>
      <c r="D102" s="349">
        <v>4607111036407</v>
      </c>
      <c r="E102" s="349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124</v>
      </c>
      <c r="M102" s="38" t="s">
        <v>86</v>
      </c>
      <c r="N102" s="38"/>
      <c r="O102" s="37">
        <v>180</v>
      </c>
      <c r="P102" s="39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1"/>
      <c r="R102" s="351"/>
      <c r="S102" s="351"/>
      <c r="T102" s="352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194</v>
      </c>
      <c r="AG102" s="81"/>
      <c r="AJ102" s="87" t="s">
        <v>125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1"/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2"/>
      <c r="P103" s="358" t="s">
        <v>40</v>
      </c>
      <c r="Q103" s="359"/>
      <c r="R103" s="359"/>
      <c r="S103" s="359"/>
      <c r="T103" s="359"/>
      <c r="U103" s="359"/>
      <c r="V103" s="360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1"/>
      <c r="B104" s="361"/>
      <c r="C104" s="361"/>
      <c r="D104" s="361"/>
      <c r="E104" s="361"/>
      <c r="F104" s="361"/>
      <c r="G104" s="361"/>
      <c r="H104" s="361"/>
      <c r="I104" s="361"/>
      <c r="J104" s="361"/>
      <c r="K104" s="361"/>
      <c r="L104" s="361"/>
      <c r="M104" s="361"/>
      <c r="N104" s="361"/>
      <c r="O104" s="362"/>
      <c r="P104" s="358" t="s">
        <v>40</v>
      </c>
      <c r="Q104" s="359"/>
      <c r="R104" s="359"/>
      <c r="S104" s="359"/>
      <c r="T104" s="359"/>
      <c r="U104" s="359"/>
      <c r="V104" s="360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7" t="s">
        <v>195</v>
      </c>
      <c r="B105" s="347"/>
      <c r="C105" s="347"/>
      <c r="D105" s="347"/>
      <c r="E105" s="347"/>
      <c r="F105" s="347"/>
      <c r="G105" s="347"/>
      <c r="H105" s="347"/>
      <c r="I105" s="347"/>
      <c r="J105" s="347"/>
      <c r="K105" s="347"/>
      <c r="L105" s="347"/>
      <c r="M105" s="347"/>
      <c r="N105" s="347"/>
      <c r="O105" s="347"/>
      <c r="P105" s="347"/>
      <c r="Q105" s="347"/>
      <c r="R105" s="347"/>
      <c r="S105" s="347"/>
      <c r="T105" s="347"/>
      <c r="U105" s="347"/>
      <c r="V105" s="347"/>
      <c r="W105" s="347"/>
      <c r="X105" s="347"/>
      <c r="Y105" s="347"/>
      <c r="Z105" s="347"/>
      <c r="AA105" s="65"/>
      <c r="AB105" s="65"/>
      <c r="AC105" s="82"/>
    </row>
    <row r="106" spans="1:68" ht="14.25" customHeight="1" x14ac:dyDescent="0.25">
      <c r="A106" s="348" t="s">
        <v>147</v>
      </c>
      <c r="B106" s="348"/>
      <c r="C106" s="348"/>
      <c r="D106" s="348"/>
      <c r="E106" s="348"/>
      <c r="F106" s="348"/>
      <c r="G106" s="348"/>
      <c r="H106" s="348"/>
      <c r="I106" s="348"/>
      <c r="J106" s="348"/>
      <c r="K106" s="348"/>
      <c r="L106" s="348"/>
      <c r="M106" s="348"/>
      <c r="N106" s="348"/>
      <c r="O106" s="348"/>
      <c r="P106" s="348"/>
      <c r="Q106" s="348"/>
      <c r="R106" s="348"/>
      <c r="S106" s="348"/>
      <c r="T106" s="348"/>
      <c r="U106" s="348"/>
      <c r="V106" s="348"/>
      <c r="W106" s="348"/>
      <c r="X106" s="348"/>
      <c r="Y106" s="348"/>
      <c r="Z106" s="348"/>
      <c r="AA106" s="66"/>
      <c r="AB106" s="66"/>
      <c r="AC106" s="83"/>
    </row>
    <row r="107" spans="1:68" ht="27" customHeight="1" x14ac:dyDescent="0.25">
      <c r="A107" s="63" t="s">
        <v>196</v>
      </c>
      <c r="B107" s="63" t="s">
        <v>197</v>
      </c>
      <c r="C107" s="36">
        <v>4301136070</v>
      </c>
      <c r="D107" s="349">
        <v>4607025784012</v>
      </c>
      <c r="E107" s="349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124</v>
      </c>
      <c r="M107" s="38" t="s">
        <v>86</v>
      </c>
      <c r="N107" s="38"/>
      <c r="O107" s="37">
        <v>180</v>
      </c>
      <c r="P107" s="39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1"/>
      <c r="R107" s="351"/>
      <c r="S107" s="351"/>
      <c r="T107" s="352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198</v>
      </c>
      <c r="AG107" s="81"/>
      <c r="AJ107" s="87" t="s">
        <v>125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199</v>
      </c>
      <c r="B108" s="63" t="s">
        <v>200</v>
      </c>
      <c r="C108" s="36">
        <v>4301136079</v>
      </c>
      <c r="D108" s="349">
        <v>4607025784319</v>
      </c>
      <c r="E108" s="349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88</v>
      </c>
      <c r="M108" s="38" t="s">
        <v>86</v>
      </c>
      <c r="N108" s="38"/>
      <c r="O108" s="37">
        <v>180</v>
      </c>
      <c r="P108" s="39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1"/>
      <c r="R108" s="351"/>
      <c r="S108" s="351"/>
      <c r="T108" s="352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171</v>
      </c>
      <c r="AG108" s="81"/>
      <c r="AJ108" s="87" t="s">
        <v>89</v>
      </c>
      <c r="AK108" s="87">
        <v>1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1"/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2"/>
      <c r="P109" s="358" t="s">
        <v>40</v>
      </c>
      <c r="Q109" s="359"/>
      <c r="R109" s="359"/>
      <c r="S109" s="359"/>
      <c r="T109" s="359"/>
      <c r="U109" s="359"/>
      <c r="V109" s="360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1"/>
      <c r="B110" s="361"/>
      <c r="C110" s="361"/>
      <c r="D110" s="361"/>
      <c r="E110" s="361"/>
      <c r="F110" s="361"/>
      <c r="G110" s="361"/>
      <c r="H110" s="361"/>
      <c r="I110" s="361"/>
      <c r="J110" s="361"/>
      <c r="K110" s="361"/>
      <c r="L110" s="361"/>
      <c r="M110" s="361"/>
      <c r="N110" s="361"/>
      <c r="O110" s="362"/>
      <c r="P110" s="358" t="s">
        <v>40</v>
      </c>
      <c r="Q110" s="359"/>
      <c r="R110" s="359"/>
      <c r="S110" s="359"/>
      <c r="T110" s="359"/>
      <c r="U110" s="359"/>
      <c r="V110" s="360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7" t="s">
        <v>201</v>
      </c>
      <c r="B111" s="347"/>
      <c r="C111" s="347"/>
      <c r="D111" s="347"/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  <c r="AA111" s="65"/>
      <c r="AB111" s="65"/>
      <c r="AC111" s="82"/>
    </row>
    <row r="112" spans="1:68" ht="14.25" customHeight="1" x14ac:dyDescent="0.25">
      <c r="A112" s="348" t="s">
        <v>82</v>
      </c>
      <c r="B112" s="348"/>
      <c r="C112" s="348"/>
      <c r="D112" s="348"/>
      <c r="E112" s="348"/>
      <c r="F112" s="348"/>
      <c r="G112" s="348"/>
      <c r="H112" s="348"/>
      <c r="I112" s="348"/>
      <c r="J112" s="348"/>
      <c r="K112" s="348"/>
      <c r="L112" s="348"/>
      <c r="M112" s="348"/>
      <c r="N112" s="348"/>
      <c r="O112" s="348"/>
      <c r="P112" s="348"/>
      <c r="Q112" s="348"/>
      <c r="R112" s="348"/>
      <c r="S112" s="348"/>
      <c r="T112" s="348"/>
      <c r="U112" s="348"/>
      <c r="V112" s="348"/>
      <c r="W112" s="348"/>
      <c r="X112" s="348"/>
      <c r="Y112" s="348"/>
      <c r="Z112" s="348"/>
      <c r="AA112" s="66"/>
      <c r="AB112" s="66"/>
      <c r="AC112" s="83"/>
    </row>
    <row r="113" spans="1:68" ht="27" customHeight="1" x14ac:dyDescent="0.25">
      <c r="A113" s="63" t="s">
        <v>202</v>
      </c>
      <c r="B113" s="63" t="s">
        <v>203</v>
      </c>
      <c r="C113" s="36">
        <v>4301071074</v>
      </c>
      <c r="D113" s="349">
        <v>4620207491157</v>
      </c>
      <c r="E113" s="349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124</v>
      </c>
      <c r="M113" s="38" t="s">
        <v>86</v>
      </c>
      <c r="N113" s="38"/>
      <c r="O113" s="37">
        <v>180</v>
      </c>
      <c r="P113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51"/>
      <c r="R113" s="351"/>
      <c r="S113" s="351"/>
      <c r="T113" s="35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46</v>
      </c>
      <c r="AC113" s="163" t="s">
        <v>204</v>
      </c>
      <c r="AG113" s="81"/>
      <c r="AJ113" s="87" t="s">
        <v>125</v>
      </c>
      <c r="AK113" s="87">
        <v>12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4301071121</v>
      </c>
      <c r="D114" s="349">
        <v>4620207491393</v>
      </c>
      <c r="E114" s="349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51"/>
      <c r="R114" s="351"/>
      <c r="S114" s="351"/>
      <c r="T114" s="35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49">
        <v>4607111039262</v>
      </c>
      <c r="E115" s="349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124</v>
      </c>
      <c r="M115" s="38" t="s">
        <v>86</v>
      </c>
      <c r="N115" s="38"/>
      <c r="O115" s="37">
        <v>180</v>
      </c>
      <c r="P115" s="39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1"/>
      <c r="R115" s="351"/>
      <c r="S115" s="351"/>
      <c r="T115" s="352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164</v>
      </c>
      <c r="AG115" s="81"/>
      <c r="AJ115" s="87" t="s">
        <v>125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49">
        <v>4607111039248</v>
      </c>
      <c r="E116" s="349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1"/>
      <c r="R116" s="351"/>
      <c r="S116" s="351"/>
      <c r="T116" s="352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164</v>
      </c>
      <c r="AG116" s="81"/>
      <c r="AJ116" s="87" t="s">
        <v>114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49">
        <v>4607111037145</v>
      </c>
      <c r="E117" s="349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1"/>
      <c r="R117" s="351"/>
      <c r="S117" s="351"/>
      <c r="T117" s="352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49">
        <v>4607111039293</v>
      </c>
      <c r="E118" s="349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124</v>
      </c>
      <c r="M118" s="38" t="s">
        <v>86</v>
      </c>
      <c r="N118" s="38"/>
      <c r="O118" s="37">
        <v>180</v>
      </c>
      <c r="P118" s="39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1"/>
      <c r="R118" s="351"/>
      <c r="S118" s="351"/>
      <c r="T118" s="352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164</v>
      </c>
      <c r="AG118" s="81"/>
      <c r="AJ118" s="87" t="s">
        <v>125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49">
        <v>4607111039279</v>
      </c>
      <c r="E119" s="349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40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1"/>
      <c r="R119" s="351"/>
      <c r="S119" s="351"/>
      <c r="T119" s="352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164</v>
      </c>
      <c r="AG119" s="81"/>
      <c r="AJ119" s="87" t="s">
        <v>114</v>
      </c>
      <c r="AK119" s="87">
        <v>84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349">
        <v>4620207491102</v>
      </c>
      <c r="E120" s="349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401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51"/>
      <c r="R120" s="351"/>
      <c r="S120" s="351"/>
      <c r="T120" s="352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361"/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2"/>
      <c r="P121" s="358" t="s">
        <v>40</v>
      </c>
      <c r="Q121" s="359"/>
      <c r="R121" s="359"/>
      <c r="S121" s="359"/>
      <c r="T121" s="359"/>
      <c r="U121" s="359"/>
      <c r="V121" s="360"/>
      <c r="W121" s="42" t="s">
        <v>39</v>
      </c>
      <c r="X121" s="43">
        <f>IFERROR(SUM(X113:X120),"0")</f>
        <v>0</v>
      </c>
      <c r="Y121" s="43">
        <f>IFERROR(SUM(Y113:Y120),"0")</f>
        <v>0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361"/>
      <c r="B122" s="361"/>
      <c r="C122" s="361"/>
      <c r="D122" s="361"/>
      <c r="E122" s="361"/>
      <c r="F122" s="361"/>
      <c r="G122" s="361"/>
      <c r="H122" s="361"/>
      <c r="I122" s="361"/>
      <c r="J122" s="361"/>
      <c r="K122" s="361"/>
      <c r="L122" s="361"/>
      <c r="M122" s="361"/>
      <c r="N122" s="361"/>
      <c r="O122" s="362"/>
      <c r="P122" s="358" t="s">
        <v>40</v>
      </c>
      <c r="Q122" s="359"/>
      <c r="R122" s="359"/>
      <c r="S122" s="359"/>
      <c r="T122" s="359"/>
      <c r="U122" s="359"/>
      <c r="V122" s="360"/>
      <c r="W122" s="42" t="s">
        <v>0</v>
      </c>
      <c r="X122" s="43">
        <f>IFERROR(SUMPRODUCT(X113:X120*H113:H120),"0")</f>
        <v>0</v>
      </c>
      <c r="Y122" s="43">
        <f>IFERROR(SUMPRODUCT(Y113:Y120*H113:H120),"0")</f>
        <v>0</v>
      </c>
      <c r="Z122" s="42"/>
      <c r="AA122" s="67"/>
      <c r="AB122" s="67"/>
      <c r="AC122" s="67"/>
    </row>
    <row r="123" spans="1:68" ht="14.25" customHeight="1" x14ac:dyDescent="0.25">
      <c r="A123" s="348" t="s">
        <v>153</v>
      </c>
      <c r="B123" s="348"/>
      <c r="C123" s="348"/>
      <c r="D123" s="348"/>
      <c r="E123" s="348"/>
      <c r="F123" s="348"/>
      <c r="G123" s="348"/>
      <c r="H123" s="348"/>
      <c r="I123" s="348"/>
      <c r="J123" s="348"/>
      <c r="K123" s="348"/>
      <c r="L123" s="348"/>
      <c r="M123" s="348"/>
      <c r="N123" s="348"/>
      <c r="O123" s="348"/>
      <c r="P123" s="348"/>
      <c r="Q123" s="348"/>
      <c r="R123" s="348"/>
      <c r="S123" s="348"/>
      <c r="T123" s="348"/>
      <c r="U123" s="348"/>
      <c r="V123" s="348"/>
      <c r="W123" s="348"/>
      <c r="X123" s="348"/>
      <c r="Y123" s="348"/>
      <c r="Z123" s="348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4301135670</v>
      </c>
      <c r="D124" s="349">
        <v>4620207490983</v>
      </c>
      <c r="E124" s="349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124</v>
      </c>
      <c r="M124" s="38" t="s">
        <v>86</v>
      </c>
      <c r="N124" s="38"/>
      <c r="O124" s="37">
        <v>180</v>
      </c>
      <c r="P124" s="402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1"/>
      <c r="R124" s="351"/>
      <c r="S124" s="351"/>
      <c r="T124" s="352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125</v>
      </c>
      <c r="AK124" s="87">
        <v>14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ht="27" customHeight="1" x14ac:dyDescent="0.25">
      <c r="A125" s="63" t="s">
        <v>225</v>
      </c>
      <c r="B125" s="63" t="s">
        <v>226</v>
      </c>
      <c r="C125" s="36">
        <v>4301135826</v>
      </c>
      <c r="D125" s="349">
        <v>4620207490983</v>
      </c>
      <c r="E125" s="349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112</v>
      </c>
      <c r="L125" s="37" t="s">
        <v>88</v>
      </c>
      <c r="M125" s="38" t="s">
        <v>86</v>
      </c>
      <c r="N125" s="38"/>
      <c r="O125" s="37">
        <v>180</v>
      </c>
      <c r="P125" s="40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1"/>
      <c r="R125" s="351"/>
      <c r="S125" s="351"/>
      <c r="T125" s="352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227</v>
      </c>
      <c r="AG125" s="81"/>
      <c r="AJ125" s="87" t="s">
        <v>89</v>
      </c>
      <c r="AK125" s="87">
        <v>1</v>
      </c>
      <c r="BB125" s="182" t="s">
        <v>111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61"/>
      <c r="B126" s="361"/>
      <c r="C126" s="361"/>
      <c r="D126" s="361"/>
      <c r="E126" s="361"/>
      <c r="F126" s="361"/>
      <c r="G126" s="361"/>
      <c r="H126" s="361"/>
      <c r="I126" s="361"/>
      <c r="J126" s="361"/>
      <c r="K126" s="361"/>
      <c r="L126" s="361"/>
      <c r="M126" s="361"/>
      <c r="N126" s="361"/>
      <c r="O126" s="362"/>
      <c r="P126" s="358" t="s">
        <v>40</v>
      </c>
      <c r="Q126" s="359"/>
      <c r="R126" s="359"/>
      <c r="S126" s="359"/>
      <c r="T126" s="359"/>
      <c r="U126" s="359"/>
      <c r="V126" s="360"/>
      <c r="W126" s="42" t="s">
        <v>39</v>
      </c>
      <c r="X126" s="43">
        <f>IFERROR(SUM(X124:X125),"0")</f>
        <v>0</v>
      </c>
      <c r="Y126" s="43">
        <f>IFERROR(SUM(Y124:Y125),"0")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361"/>
      <c r="B127" s="361"/>
      <c r="C127" s="361"/>
      <c r="D127" s="361"/>
      <c r="E127" s="361"/>
      <c r="F127" s="361"/>
      <c r="G127" s="361"/>
      <c r="H127" s="361"/>
      <c r="I127" s="361"/>
      <c r="J127" s="361"/>
      <c r="K127" s="361"/>
      <c r="L127" s="361"/>
      <c r="M127" s="361"/>
      <c r="N127" s="361"/>
      <c r="O127" s="362"/>
      <c r="P127" s="358" t="s">
        <v>40</v>
      </c>
      <c r="Q127" s="359"/>
      <c r="R127" s="359"/>
      <c r="S127" s="359"/>
      <c r="T127" s="359"/>
      <c r="U127" s="359"/>
      <c r="V127" s="360"/>
      <c r="W127" s="42" t="s">
        <v>0</v>
      </c>
      <c r="X127" s="43">
        <f>IFERROR(SUMPRODUCT(X124:X125*H124:H125),"0")</f>
        <v>0</v>
      </c>
      <c r="Y127" s="43">
        <f>IFERROR(SUMPRODUCT(Y124:Y125*H124:H125),"0")</f>
        <v>0</v>
      </c>
      <c r="Z127" s="42"/>
      <c r="AA127" s="67"/>
      <c r="AB127" s="67"/>
      <c r="AC127" s="67"/>
    </row>
    <row r="128" spans="1:68" ht="14.25" customHeight="1" x14ac:dyDescent="0.25">
      <c r="A128" s="348" t="s">
        <v>228</v>
      </c>
      <c r="B128" s="348"/>
      <c r="C128" s="348"/>
      <c r="D128" s="348"/>
      <c r="E128" s="348"/>
      <c r="F128" s="348"/>
      <c r="G128" s="348"/>
      <c r="H128" s="348"/>
      <c r="I128" s="348"/>
      <c r="J128" s="348"/>
      <c r="K128" s="348"/>
      <c r="L128" s="348"/>
      <c r="M128" s="348"/>
      <c r="N128" s="348"/>
      <c r="O128" s="348"/>
      <c r="P128" s="348"/>
      <c r="Q128" s="348"/>
      <c r="R128" s="348"/>
      <c r="S128" s="348"/>
      <c r="T128" s="348"/>
      <c r="U128" s="348"/>
      <c r="V128" s="348"/>
      <c r="W128" s="348"/>
      <c r="X128" s="348"/>
      <c r="Y128" s="348"/>
      <c r="Z128" s="348"/>
      <c r="AA128" s="66"/>
      <c r="AB128" s="66"/>
      <c r="AC128" s="83"/>
    </row>
    <row r="129" spans="1:68" ht="27" customHeight="1" x14ac:dyDescent="0.25">
      <c r="A129" s="63" t="s">
        <v>229</v>
      </c>
      <c r="B129" s="63" t="s">
        <v>230</v>
      </c>
      <c r="C129" s="36">
        <v>4301071094</v>
      </c>
      <c r="D129" s="349">
        <v>4620207491140</v>
      </c>
      <c r="E129" s="349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40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1"/>
      <c r="R129" s="351"/>
      <c r="S129" s="351"/>
      <c r="T129" s="352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231</v>
      </c>
      <c r="AG129" s="81"/>
      <c r="AJ129" s="87" t="s">
        <v>89</v>
      </c>
      <c r="AK129" s="87">
        <v>1</v>
      </c>
      <c r="BB129" s="184" t="s">
        <v>111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61"/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2"/>
      <c r="P130" s="358" t="s">
        <v>40</v>
      </c>
      <c r="Q130" s="359"/>
      <c r="R130" s="359"/>
      <c r="S130" s="359"/>
      <c r="T130" s="359"/>
      <c r="U130" s="359"/>
      <c r="V130" s="360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361"/>
      <c r="B131" s="361"/>
      <c r="C131" s="361"/>
      <c r="D131" s="361"/>
      <c r="E131" s="361"/>
      <c r="F131" s="361"/>
      <c r="G131" s="361"/>
      <c r="H131" s="361"/>
      <c r="I131" s="361"/>
      <c r="J131" s="361"/>
      <c r="K131" s="361"/>
      <c r="L131" s="361"/>
      <c r="M131" s="361"/>
      <c r="N131" s="361"/>
      <c r="O131" s="362"/>
      <c r="P131" s="358" t="s">
        <v>40</v>
      </c>
      <c r="Q131" s="359"/>
      <c r="R131" s="359"/>
      <c r="S131" s="359"/>
      <c r="T131" s="359"/>
      <c r="U131" s="359"/>
      <c r="V131" s="360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47" t="s">
        <v>232</v>
      </c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65"/>
      <c r="AB132" s="65"/>
      <c r="AC132" s="82"/>
    </row>
    <row r="133" spans="1:68" ht="14.25" customHeight="1" x14ac:dyDescent="0.25">
      <c r="A133" s="348" t="s">
        <v>153</v>
      </c>
      <c r="B133" s="348"/>
      <c r="C133" s="348"/>
      <c r="D133" s="348"/>
      <c r="E133" s="348"/>
      <c r="F133" s="348"/>
      <c r="G133" s="348"/>
      <c r="H133" s="348"/>
      <c r="I133" s="348"/>
      <c r="J133" s="348"/>
      <c r="K133" s="348"/>
      <c r="L133" s="348"/>
      <c r="M133" s="348"/>
      <c r="N133" s="348"/>
      <c r="O133" s="348"/>
      <c r="P133" s="348"/>
      <c r="Q133" s="348"/>
      <c r="R133" s="348"/>
      <c r="S133" s="348"/>
      <c r="T133" s="348"/>
      <c r="U133" s="348"/>
      <c r="V133" s="348"/>
      <c r="W133" s="348"/>
      <c r="X133" s="348"/>
      <c r="Y133" s="348"/>
      <c r="Z133" s="348"/>
      <c r="AA133" s="66"/>
      <c r="AB133" s="66"/>
      <c r="AC133" s="83"/>
    </row>
    <row r="134" spans="1:68" ht="27" customHeight="1" x14ac:dyDescent="0.25">
      <c r="A134" s="63" t="s">
        <v>233</v>
      </c>
      <c r="B134" s="63" t="s">
        <v>234</v>
      </c>
      <c r="C134" s="36">
        <v>4301135555</v>
      </c>
      <c r="D134" s="349">
        <v>4607111034014</v>
      </c>
      <c r="E134" s="349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113</v>
      </c>
      <c r="M134" s="38" t="s">
        <v>86</v>
      </c>
      <c r="N134" s="38"/>
      <c r="O134" s="37">
        <v>180</v>
      </c>
      <c r="P134" s="40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351"/>
      <c r="R134" s="351"/>
      <c r="S134" s="351"/>
      <c r="T134" s="352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235</v>
      </c>
      <c r="AG134" s="81"/>
      <c r="AJ134" s="87" t="s">
        <v>114</v>
      </c>
      <c r="AK134" s="87">
        <v>70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236</v>
      </c>
      <c r="B135" s="63" t="s">
        <v>237</v>
      </c>
      <c r="C135" s="36">
        <v>4301135532</v>
      </c>
      <c r="D135" s="349">
        <v>4607111033994</v>
      </c>
      <c r="E135" s="349"/>
      <c r="F135" s="62">
        <v>0.25</v>
      </c>
      <c r="G135" s="37">
        <v>12</v>
      </c>
      <c r="H135" s="62">
        <v>3</v>
      </c>
      <c r="I135" s="62">
        <v>3.7035999999999998</v>
      </c>
      <c r="J135" s="37">
        <v>70</v>
      </c>
      <c r="K135" s="37" t="s">
        <v>112</v>
      </c>
      <c r="L135" s="37" t="s">
        <v>113</v>
      </c>
      <c r="M135" s="38" t="s">
        <v>86</v>
      </c>
      <c r="N135" s="38"/>
      <c r="O135" s="37">
        <v>180</v>
      </c>
      <c r="P135" s="40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351"/>
      <c r="R135" s="351"/>
      <c r="S135" s="351"/>
      <c r="T135" s="352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87" t="s">
        <v>171</v>
      </c>
      <c r="AG135" s="81"/>
      <c r="AJ135" s="87" t="s">
        <v>114</v>
      </c>
      <c r="AK135" s="87">
        <v>70</v>
      </c>
      <c r="BB135" s="188" t="s">
        <v>111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361"/>
      <c r="B136" s="361"/>
      <c r="C136" s="361"/>
      <c r="D136" s="361"/>
      <c r="E136" s="361"/>
      <c r="F136" s="361"/>
      <c r="G136" s="361"/>
      <c r="H136" s="361"/>
      <c r="I136" s="361"/>
      <c r="J136" s="361"/>
      <c r="K136" s="361"/>
      <c r="L136" s="361"/>
      <c r="M136" s="361"/>
      <c r="N136" s="361"/>
      <c r="O136" s="362"/>
      <c r="P136" s="358" t="s">
        <v>40</v>
      </c>
      <c r="Q136" s="359"/>
      <c r="R136" s="359"/>
      <c r="S136" s="359"/>
      <c r="T136" s="359"/>
      <c r="U136" s="359"/>
      <c r="V136" s="360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361"/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2"/>
      <c r="P137" s="358" t="s">
        <v>40</v>
      </c>
      <c r="Q137" s="359"/>
      <c r="R137" s="359"/>
      <c r="S137" s="359"/>
      <c r="T137" s="359"/>
      <c r="U137" s="359"/>
      <c r="V137" s="360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47" t="s">
        <v>238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5"/>
      <c r="AB138" s="65"/>
      <c r="AC138" s="82"/>
    </row>
    <row r="139" spans="1:68" ht="14.25" customHeight="1" x14ac:dyDescent="0.25">
      <c r="A139" s="348" t="s">
        <v>153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348"/>
      <c r="O139" s="348"/>
      <c r="P139" s="348"/>
      <c r="Q139" s="348"/>
      <c r="R139" s="348"/>
      <c r="S139" s="348"/>
      <c r="T139" s="348"/>
      <c r="U139" s="348"/>
      <c r="V139" s="348"/>
      <c r="W139" s="348"/>
      <c r="X139" s="348"/>
      <c r="Y139" s="348"/>
      <c r="Z139" s="348"/>
      <c r="AA139" s="66"/>
      <c r="AB139" s="66"/>
      <c r="AC139" s="83"/>
    </row>
    <row r="140" spans="1:68" ht="27" customHeight="1" x14ac:dyDescent="0.25">
      <c r="A140" s="63" t="s">
        <v>239</v>
      </c>
      <c r="B140" s="63" t="s">
        <v>240</v>
      </c>
      <c r="C140" s="36">
        <v>4301135824</v>
      </c>
      <c r="D140" s="349">
        <v>4607111039095</v>
      </c>
      <c r="E140" s="349"/>
      <c r="F140" s="62">
        <v>0.25</v>
      </c>
      <c r="G140" s="37">
        <v>12</v>
      </c>
      <c r="H140" s="62">
        <v>3</v>
      </c>
      <c r="I140" s="62">
        <v>3.7480000000000002</v>
      </c>
      <c r="J140" s="37">
        <v>70</v>
      </c>
      <c r="K140" s="37" t="s">
        <v>112</v>
      </c>
      <c r="L140" s="37" t="s">
        <v>88</v>
      </c>
      <c r="M140" s="38" t="s">
        <v>86</v>
      </c>
      <c r="N140" s="38"/>
      <c r="O140" s="37">
        <v>180</v>
      </c>
      <c r="P140" s="40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351"/>
      <c r="R140" s="351"/>
      <c r="S140" s="351"/>
      <c r="T140" s="352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89</v>
      </c>
      <c r="AK140" s="87">
        <v>1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16.5" customHeight="1" x14ac:dyDescent="0.25">
      <c r="A141" s="63" t="s">
        <v>242</v>
      </c>
      <c r="B141" s="63" t="s">
        <v>243</v>
      </c>
      <c r="C141" s="36">
        <v>4301135550</v>
      </c>
      <c r="D141" s="349">
        <v>4607111034199</v>
      </c>
      <c r="E141" s="349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112</v>
      </c>
      <c r="L141" s="37" t="s">
        <v>113</v>
      </c>
      <c r="M141" s="38" t="s">
        <v>86</v>
      </c>
      <c r="N141" s="38"/>
      <c r="O141" s="37">
        <v>180</v>
      </c>
      <c r="P141" s="40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351"/>
      <c r="R141" s="351"/>
      <c r="S141" s="351"/>
      <c r="T141" s="352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1" t="s">
        <v>244</v>
      </c>
      <c r="AG141" s="81"/>
      <c r="AJ141" s="87" t="s">
        <v>114</v>
      </c>
      <c r="AK141" s="87">
        <v>70</v>
      </c>
      <c r="BB141" s="192" t="s">
        <v>111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x14ac:dyDescent="0.2">
      <c r="A142" s="361"/>
      <c r="B142" s="361"/>
      <c r="C142" s="361"/>
      <c r="D142" s="361"/>
      <c r="E142" s="361"/>
      <c r="F142" s="361"/>
      <c r="G142" s="361"/>
      <c r="H142" s="361"/>
      <c r="I142" s="361"/>
      <c r="J142" s="361"/>
      <c r="K142" s="361"/>
      <c r="L142" s="361"/>
      <c r="M142" s="361"/>
      <c r="N142" s="361"/>
      <c r="O142" s="362"/>
      <c r="P142" s="358" t="s">
        <v>40</v>
      </c>
      <c r="Q142" s="359"/>
      <c r="R142" s="359"/>
      <c r="S142" s="359"/>
      <c r="T142" s="359"/>
      <c r="U142" s="359"/>
      <c r="V142" s="360"/>
      <c r="W142" s="42" t="s">
        <v>39</v>
      </c>
      <c r="X142" s="43">
        <f>IFERROR(SUM(X140:X141),"0")</f>
        <v>0</v>
      </c>
      <c r="Y142" s="43">
        <f>IFERROR(SUM(Y140:Y141),"0")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361"/>
      <c r="B143" s="361"/>
      <c r="C143" s="361"/>
      <c r="D143" s="361"/>
      <c r="E143" s="361"/>
      <c r="F143" s="361"/>
      <c r="G143" s="361"/>
      <c r="H143" s="361"/>
      <c r="I143" s="361"/>
      <c r="J143" s="361"/>
      <c r="K143" s="361"/>
      <c r="L143" s="361"/>
      <c r="M143" s="361"/>
      <c r="N143" s="361"/>
      <c r="O143" s="362"/>
      <c r="P143" s="358" t="s">
        <v>40</v>
      </c>
      <c r="Q143" s="359"/>
      <c r="R143" s="359"/>
      <c r="S143" s="359"/>
      <c r="T143" s="359"/>
      <c r="U143" s="359"/>
      <c r="V143" s="360"/>
      <c r="W143" s="42" t="s">
        <v>0</v>
      </c>
      <c r="X143" s="43">
        <f>IFERROR(SUMPRODUCT(X140:X141*H140:H141),"0")</f>
        <v>0</v>
      </c>
      <c r="Y143" s="43">
        <f>IFERROR(SUMPRODUCT(Y140:Y141*H140:H141),"0")</f>
        <v>0</v>
      </c>
      <c r="Z143" s="42"/>
      <c r="AA143" s="67"/>
      <c r="AB143" s="67"/>
      <c r="AC143" s="67"/>
    </row>
    <row r="144" spans="1:68" ht="16.5" customHeight="1" x14ac:dyDescent="0.25">
      <c r="A144" s="347" t="s">
        <v>245</v>
      </c>
      <c r="B144" s="347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  <c r="AA144" s="65"/>
      <c r="AB144" s="65"/>
      <c r="AC144" s="82"/>
    </row>
    <row r="145" spans="1:68" ht="14.25" customHeight="1" x14ac:dyDescent="0.25">
      <c r="A145" s="348" t="s">
        <v>153</v>
      </c>
      <c r="B145" s="348"/>
      <c r="C145" s="348"/>
      <c r="D145" s="348"/>
      <c r="E145" s="348"/>
      <c r="F145" s="348"/>
      <c r="G145" s="348"/>
      <c r="H145" s="348"/>
      <c r="I145" s="348"/>
      <c r="J145" s="348"/>
      <c r="K145" s="348"/>
      <c r="L145" s="348"/>
      <c r="M145" s="348"/>
      <c r="N145" s="348"/>
      <c r="O145" s="348"/>
      <c r="P145" s="348"/>
      <c r="Q145" s="348"/>
      <c r="R145" s="348"/>
      <c r="S145" s="348"/>
      <c r="T145" s="348"/>
      <c r="U145" s="348"/>
      <c r="V145" s="348"/>
      <c r="W145" s="348"/>
      <c r="X145" s="348"/>
      <c r="Y145" s="348"/>
      <c r="Z145" s="348"/>
      <c r="AA145" s="66"/>
      <c r="AB145" s="66"/>
      <c r="AC145" s="83"/>
    </row>
    <row r="146" spans="1:68" ht="27" customHeight="1" x14ac:dyDescent="0.25">
      <c r="A146" s="63" t="s">
        <v>246</v>
      </c>
      <c r="B146" s="63" t="s">
        <v>247</v>
      </c>
      <c r="C146" s="36">
        <v>4301135753</v>
      </c>
      <c r="D146" s="349">
        <v>4620207490914</v>
      </c>
      <c r="E146" s="349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88</v>
      </c>
      <c r="M146" s="38" t="s">
        <v>86</v>
      </c>
      <c r="N146" s="38"/>
      <c r="O146" s="37">
        <v>180</v>
      </c>
      <c r="P146" s="40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351"/>
      <c r="R146" s="351"/>
      <c r="S146" s="351"/>
      <c r="T146" s="352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235</v>
      </c>
      <c r="AG146" s="81"/>
      <c r="AJ146" s="87" t="s">
        <v>89</v>
      </c>
      <c r="AK146" s="87">
        <v>1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248</v>
      </c>
      <c r="B147" s="63" t="s">
        <v>249</v>
      </c>
      <c r="C147" s="36">
        <v>4301135778</v>
      </c>
      <c r="D147" s="349">
        <v>4620207490853</v>
      </c>
      <c r="E147" s="349"/>
      <c r="F147" s="62">
        <v>0.2</v>
      </c>
      <c r="G147" s="37">
        <v>12</v>
      </c>
      <c r="H147" s="62">
        <v>2.4</v>
      </c>
      <c r="I147" s="62">
        <v>2.68</v>
      </c>
      <c r="J147" s="37">
        <v>70</v>
      </c>
      <c r="K147" s="37" t="s">
        <v>112</v>
      </c>
      <c r="L147" s="37" t="s">
        <v>124</v>
      </c>
      <c r="M147" s="38" t="s">
        <v>86</v>
      </c>
      <c r="N147" s="38"/>
      <c r="O147" s="37">
        <v>180</v>
      </c>
      <c r="P147" s="41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351"/>
      <c r="R147" s="351"/>
      <c r="S147" s="351"/>
      <c r="T147" s="352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235</v>
      </c>
      <c r="AG147" s="81"/>
      <c r="AJ147" s="87" t="s">
        <v>125</v>
      </c>
      <c r="AK147" s="87">
        <v>14</v>
      </c>
      <c r="BB147" s="196" t="s">
        <v>111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x14ac:dyDescent="0.2">
      <c r="A148" s="361"/>
      <c r="B148" s="361"/>
      <c r="C148" s="361"/>
      <c r="D148" s="361"/>
      <c r="E148" s="361"/>
      <c r="F148" s="361"/>
      <c r="G148" s="361"/>
      <c r="H148" s="361"/>
      <c r="I148" s="361"/>
      <c r="J148" s="361"/>
      <c r="K148" s="361"/>
      <c r="L148" s="361"/>
      <c r="M148" s="361"/>
      <c r="N148" s="361"/>
      <c r="O148" s="362"/>
      <c r="P148" s="358" t="s">
        <v>40</v>
      </c>
      <c r="Q148" s="359"/>
      <c r="R148" s="359"/>
      <c r="S148" s="359"/>
      <c r="T148" s="359"/>
      <c r="U148" s="359"/>
      <c r="V148" s="360"/>
      <c r="W148" s="42" t="s">
        <v>39</v>
      </c>
      <c r="X148" s="43">
        <f>IFERROR(SUM(X146:X147),"0")</f>
        <v>0</v>
      </c>
      <c r="Y148" s="43">
        <f>IFERROR(SUM(Y146:Y147),"0")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361"/>
      <c r="B149" s="361"/>
      <c r="C149" s="361"/>
      <c r="D149" s="361"/>
      <c r="E149" s="361"/>
      <c r="F149" s="361"/>
      <c r="G149" s="361"/>
      <c r="H149" s="361"/>
      <c r="I149" s="361"/>
      <c r="J149" s="361"/>
      <c r="K149" s="361"/>
      <c r="L149" s="361"/>
      <c r="M149" s="361"/>
      <c r="N149" s="361"/>
      <c r="O149" s="362"/>
      <c r="P149" s="358" t="s">
        <v>40</v>
      </c>
      <c r="Q149" s="359"/>
      <c r="R149" s="359"/>
      <c r="S149" s="359"/>
      <c r="T149" s="359"/>
      <c r="U149" s="359"/>
      <c r="V149" s="360"/>
      <c r="W149" s="42" t="s">
        <v>0</v>
      </c>
      <c r="X149" s="43">
        <f>IFERROR(SUMPRODUCT(X146:X147*H146:H147),"0")</f>
        <v>0</v>
      </c>
      <c r="Y149" s="43">
        <f>IFERROR(SUMPRODUCT(Y146:Y147*H146:H147),"0")</f>
        <v>0</v>
      </c>
      <c r="Z149" s="42"/>
      <c r="AA149" s="67"/>
      <c r="AB149" s="67"/>
      <c r="AC149" s="67"/>
    </row>
    <row r="150" spans="1:68" ht="16.5" customHeight="1" x14ac:dyDescent="0.25">
      <c r="A150" s="347" t="s">
        <v>250</v>
      </c>
      <c r="B150" s="347"/>
      <c r="C150" s="347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  <c r="AA150" s="65"/>
      <c r="AB150" s="65"/>
      <c r="AC150" s="82"/>
    </row>
    <row r="151" spans="1:68" ht="14.25" customHeight="1" x14ac:dyDescent="0.25">
      <c r="A151" s="348" t="s">
        <v>153</v>
      </c>
      <c r="B151" s="348"/>
      <c r="C151" s="348"/>
      <c r="D151" s="348"/>
      <c r="E151" s="348"/>
      <c r="F151" s="348"/>
      <c r="G151" s="348"/>
      <c r="H151" s="348"/>
      <c r="I151" s="348"/>
      <c r="J151" s="348"/>
      <c r="K151" s="348"/>
      <c r="L151" s="348"/>
      <c r="M151" s="348"/>
      <c r="N151" s="348"/>
      <c r="O151" s="348"/>
      <c r="P151" s="348"/>
      <c r="Q151" s="348"/>
      <c r="R151" s="348"/>
      <c r="S151" s="348"/>
      <c r="T151" s="348"/>
      <c r="U151" s="348"/>
      <c r="V151" s="348"/>
      <c r="W151" s="348"/>
      <c r="X151" s="348"/>
      <c r="Y151" s="348"/>
      <c r="Z151" s="348"/>
      <c r="AA151" s="66"/>
      <c r="AB151" s="66"/>
      <c r="AC151" s="83"/>
    </row>
    <row r="152" spans="1:68" ht="27" customHeight="1" x14ac:dyDescent="0.25">
      <c r="A152" s="63" t="s">
        <v>251</v>
      </c>
      <c r="B152" s="63" t="s">
        <v>252</v>
      </c>
      <c r="C152" s="36">
        <v>4301135570</v>
      </c>
      <c r="D152" s="349">
        <v>4607111035806</v>
      </c>
      <c r="E152" s="349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112</v>
      </c>
      <c r="L152" s="37" t="s">
        <v>124</v>
      </c>
      <c r="M152" s="38" t="s">
        <v>86</v>
      </c>
      <c r="N152" s="38"/>
      <c r="O152" s="37">
        <v>180</v>
      </c>
      <c r="P152" s="41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351"/>
      <c r="R152" s="351"/>
      <c r="S152" s="351"/>
      <c r="T152" s="352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197" t="s">
        <v>253</v>
      </c>
      <c r="AG152" s="81"/>
      <c r="AJ152" s="87" t="s">
        <v>125</v>
      </c>
      <c r="AK152" s="87">
        <v>14</v>
      </c>
      <c r="BB152" s="198" t="s">
        <v>111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361"/>
      <c r="B153" s="361"/>
      <c r="C153" s="361"/>
      <c r="D153" s="361"/>
      <c r="E153" s="361"/>
      <c r="F153" s="361"/>
      <c r="G153" s="361"/>
      <c r="H153" s="361"/>
      <c r="I153" s="361"/>
      <c r="J153" s="361"/>
      <c r="K153" s="361"/>
      <c r="L153" s="361"/>
      <c r="M153" s="361"/>
      <c r="N153" s="361"/>
      <c r="O153" s="362"/>
      <c r="P153" s="358" t="s">
        <v>40</v>
      </c>
      <c r="Q153" s="359"/>
      <c r="R153" s="359"/>
      <c r="S153" s="359"/>
      <c r="T153" s="359"/>
      <c r="U153" s="359"/>
      <c r="V153" s="360"/>
      <c r="W153" s="42" t="s">
        <v>39</v>
      </c>
      <c r="X153" s="43">
        <f>IFERROR(SUM(X152:X152),"0")</f>
        <v>0</v>
      </c>
      <c r="Y153" s="43">
        <f>IFERROR(SUM(Y152:Y152),"0")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361"/>
      <c r="B154" s="361"/>
      <c r="C154" s="361"/>
      <c r="D154" s="361"/>
      <c r="E154" s="361"/>
      <c r="F154" s="361"/>
      <c r="G154" s="361"/>
      <c r="H154" s="361"/>
      <c r="I154" s="361"/>
      <c r="J154" s="361"/>
      <c r="K154" s="361"/>
      <c r="L154" s="361"/>
      <c r="M154" s="361"/>
      <c r="N154" s="361"/>
      <c r="O154" s="362"/>
      <c r="P154" s="358" t="s">
        <v>40</v>
      </c>
      <c r="Q154" s="359"/>
      <c r="R154" s="359"/>
      <c r="S154" s="359"/>
      <c r="T154" s="359"/>
      <c r="U154" s="359"/>
      <c r="V154" s="360"/>
      <c r="W154" s="42" t="s">
        <v>0</v>
      </c>
      <c r="X154" s="43">
        <f>IFERROR(SUMPRODUCT(X152:X152*H152:H152),"0")</f>
        <v>0</v>
      </c>
      <c r="Y154" s="43">
        <f>IFERROR(SUMPRODUCT(Y152:Y152*H152:H152),"0")</f>
        <v>0</v>
      </c>
      <c r="Z154" s="42"/>
      <c r="AA154" s="67"/>
      <c r="AB154" s="67"/>
      <c r="AC154" s="67"/>
    </row>
    <row r="155" spans="1:68" ht="16.5" customHeight="1" x14ac:dyDescent="0.25">
      <c r="A155" s="347" t="s">
        <v>254</v>
      </c>
      <c r="B155" s="347"/>
      <c r="C155" s="347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  <c r="AA155" s="65"/>
      <c r="AB155" s="65"/>
      <c r="AC155" s="82"/>
    </row>
    <row r="156" spans="1:68" ht="14.25" customHeight="1" x14ac:dyDescent="0.25">
      <c r="A156" s="348" t="s">
        <v>153</v>
      </c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348"/>
      <c r="U156" s="348"/>
      <c r="V156" s="348"/>
      <c r="W156" s="348"/>
      <c r="X156" s="348"/>
      <c r="Y156" s="348"/>
      <c r="Z156" s="348"/>
      <c r="AA156" s="66"/>
      <c r="AB156" s="66"/>
      <c r="AC156" s="83"/>
    </row>
    <row r="157" spans="1:68" ht="16.5" customHeight="1" x14ac:dyDescent="0.25">
      <c r="A157" s="63" t="s">
        <v>255</v>
      </c>
      <c r="B157" s="63" t="s">
        <v>256</v>
      </c>
      <c r="C157" s="36">
        <v>4301135607</v>
      </c>
      <c r="D157" s="349">
        <v>4607111039613</v>
      </c>
      <c r="E157" s="349"/>
      <c r="F157" s="62">
        <v>0.09</v>
      </c>
      <c r="G157" s="37">
        <v>30</v>
      </c>
      <c r="H157" s="62">
        <v>2.7</v>
      </c>
      <c r="I157" s="62">
        <v>3.09</v>
      </c>
      <c r="J157" s="37">
        <v>126</v>
      </c>
      <c r="K157" s="37" t="s">
        <v>112</v>
      </c>
      <c r="L157" s="37" t="s">
        <v>124</v>
      </c>
      <c r="M157" s="38" t="s">
        <v>86</v>
      </c>
      <c r="N157" s="38"/>
      <c r="O157" s="37">
        <v>180</v>
      </c>
      <c r="P157" s="41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351"/>
      <c r="R157" s="351"/>
      <c r="S157" s="351"/>
      <c r="T157" s="352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IFERROR(IF(X157="","",X157*0.00936),"")</f>
        <v>0</v>
      </c>
      <c r="AA157" s="68" t="s">
        <v>46</v>
      </c>
      <c r="AB157" s="69" t="s">
        <v>46</v>
      </c>
      <c r="AC157" s="199" t="s">
        <v>241</v>
      </c>
      <c r="AG157" s="81"/>
      <c r="AJ157" s="87" t="s">
        <v>125</v>
      </c>
      <c r="AK157" s="87">
        <v>14</v>
      </c>
      <c r="BB157" s="200" t="s">
        <v>111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361"/>
      <c r="B158" s="361"/>
      <c r="C158" s="361"/>
      <c r="D158" s="361"/>
      <c r="E158" s="361"/>
      <c r="F158" s="361"/>
      <c r="G158" s="361"/>
      <c r="H158" s="361"/>
      <c r="I158" s="361"/>
      <c r="J158" s="361"/>
      <c r="K158" s="361"/>
      <c r="L158" s="361"/>
      <c r="M158" s="361"/>
      <c r="N158" s="361"/>
      <c r="O158" s="362"/>
      <c r="P158" s="358" t="s">
        <v>40</v>
      </c>
      <c r="Q158" s="359"/>
      <c r="R158" s="359"/>
      <c r="S158" s="359"/>
      <c r="T158" s="359"/>
      <c r="U158" s="359"/>
      <c r="V158" s="360"/>
      <c r="W158" s="42" t="s">
        <v>39</v>
      </c>
      <c r="X158" s="43">
        <f>IFERROR(SUM(X157:X157),"0")</f>
        <v>0</v>
      </c>
      <c r="Y158" s="43">
        <f>IFERROR(SUM(Y157:Y157),"0")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361"/>
      <c r="B159" s="361"/>
      <c r="C159" s="361"/>
      <c r="D159" s="361"/>
      <c r="E159" s="361"/>
      <c r="F159" s="361"/>
      <c r="G159" s="361"/>
      <c r="H159" s="361"/>
      <c r="I159" s="361"/>
      <c r="J159" s="361"/>
      <c r="K159" s="361"/>
      <c r="L159" s="361"/>
      <c r="M159" s="361"/>
      <c r="N159" s="361"/>
      <c r="O159" s="362"/>
      <c r="P159" s="358" t="s">
        <v>40</v>
      </c>
      <c r="Q159" s="359"/>
      <c r="R159" s="359"/>
      <c r="S159" s="359"/>
      <c r="T159" s="359"/>
      <c r="U159" s="359"/>
      <c r="V159" s="360"/>
      <c r="W159" s="42" t="s">
        <v>0</v>
      </c>
      <c r="X159" s="43">
        <f>IFERROR(SUMPRODUCT(X157:X157*H157:H157),"0")</f>
        <v>0</v>
      </c>
      <c r="Y159" s="43">
        <f>IFERROR(SUMPRODUCT(Y157:Y157*H157:H157),"0")</f>
        <v>0</v>
      </c>
      <c r="Z159" s="42"/>
      <c r="AA159" s="67"/>
      <c r="AB159" s="67"/>
      <c r="AC159" s="67"/>
    </row>
    <row r="160" spans="1:68" ht="16.5" customHeight="1" x14ac:dyDescent="0.25">
      <c r="A160" s="347" t="s">
        <v>257</v>
      </c>
      <c r="B160" s="347"/>
      <c r="C160" s="347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  <c r="AA160" s="65"/>
      <c r="AB160" s="65"/>
      <c r="AC160" s="82"/>
    </row>
    <row r="161" spans="1:68" ht="14.25" customHeight="1" x14ac:dyDescent="0.25">
      <c r="A161" s="348" t="s">
        <v>228</v>
      </c>
      <c r="B161" s="348"/>
      <c r="C161" s="348"/>
      <c r="D161" s="348"/>
      <c r="E161" s="348"/>
      <c r="F161" s="348"/>
      <c r="G161" s="348"/>
      <c r="H161" s="348"/>
      <c r="I161" s="348"/>
      <c r="J161" s="348"/>
      <c r="K161" s="348"/>
      <c r="L161" s="348"/>
      <c r="M161" s="348"/>
      <c r="N161" s="348"/>
      <c r="O161" s="348"/>
      <c r="P161" s="348"/>
      <c r="Q161" s="348"/>
      <c r="R161" s="348"/>
      <c r="S161" s="348"/>
      <c r="T161" s="348"/>
      <c r="U161" s="348"/>
      <c r="V161" s="348"/>
      <c r="W161" s="348"/>
      <c r="X161" s="348"/>
      <c r="Y161" s="348"/>
      <c r="Z161" s="348"/>
      <c r="AA161" s="66"/>
      <c r="AB161" s="66"/>
      <c r="AC161" s="83"/>
    </row>
    <row r="162" spans="1:68" ht="27" customHeight="1" x14ac:dyDescent="0.25">
      <c r="A162" s="63" t="s">
        <v>258</v>
      </c>
      <c r="B162" s="63" t="s">
        <v>259</v>
      </c>
      <c r="C162" s="36">
        <v>4301135540</v>
      </c>
      <c r="D162" s="349">
        <v>4607111035646</v>
      </c>
      <c r="E162" s="349"/>
      <c r="F162" s="62">
        <v>0.2</v>
      </c>
      <c r="G162" s="37">
        <v>8</v>
      </c>
      <c r="H162" s="62">
        <v>1.6</v>
      </c>
      <c r="I162" s="62">
        <v>2.12</v>
      </c>
      <c r="J162" s="37">
        <v>72</v>
      </c>
      <c r="K162" s="37" t="s">
        <v>261</v>
      </c>
      <c r="L162" s="37" t="s">
        <v>88</v>
      </c>
      <c r="M162" s="38" t="s">
        <v>86</v>
      </c>
      <c r="N162" s="38"/>
      <c r="O162" s="37">
        <v>180</v>
      </c>
      <c r="P162" s="41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351"/>
      <c r="R162" s="351"/>
      <c r="S162" s="351"/>
      <c r="T162" s="352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IFERROR(IF(X162="","",X162*0.01157),"")</f>
        <v>0</v>
      </c>
      <c r="AA162" s="68" t="s">
        <v>46</v>
      </c>
      <c r="AB162" s="69" t="s">
        <v>46</v>
      </c>
      <c r="AC162" s="201" t="s">
        <v>260</v>
      </c>
      <c r="AG162" s="81"/>
      <c r="AJ162" s="87" t="s">
        <v>89</v>
      </c>
      <c r="AK162" s="87">
        <v>1</v>
      </c>
      <c r="BB162" s="202" t="s">
        <v>111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61"/>
      <c r="B163" s="361"/>
      <c r="C163" s="361"/>
      <c r="D163" s="361"/>
      <c r="E163" s="361"/>
      <c r="F163" s="361"/>
      <c r="G163" s="361"/>
      <c r="H163" s="361"/>
      <c r="I163" s="361"/>
      <c r="J163" s="361"/>
      <c r="K163" s="361"/>
      <c r="L163" s="361"/>
      <c r="M163" s="361"/>
      <c r="N163" s="361"/>
      <c r="O163" s="362"/>
      <c r="P163" s="358" t="s">
        <v>40</v>
      </c>
      <c r="Q163" s="359"/>
      <c r="R163" s="359"/>
      <c r="S163" s="359"/>
      <c r="T163" s="359"/>
      <c r="U163" s="359"/>
      <c r="V163" s="360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61"/>
      <c r="B164" s="361"/>
      <c r="C164" s="361"/>
      <c r="D164" s="361"/>
      <c r="E164" s="361"/>
      <c r="F164" s="361"/>
      <c r="G164" s="361"/>
      <c r="H164" s="361"/>
      <c r="I164" s="361"/>
      <c r="J164" s="361"/>
      <c r="K164" s="361"/>
      <c r="L164" s="361"/>
      <c r="M164" s="361"/>
      <c r="N164" s="361"/>
      <c r="O164" s="362"/>
      <c r="P164" s="358" t="s">
        <v>40</v>
      </c>
      <c r="Q164" s="359"/>
      <c r="R164" s="359"/>
      <c r="S164" s="359"/>
      <c r="T164" s="359"/>
      <c r="U164" s="359"/>
      <c r="V164" s="360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47" t="s">
        <v>262</v>
      </c>
      <c r="B165" s="347"/>
      <c r="C165" s="347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  <c r="AA165" s="65"/>
      <c r="AB165" s="65"/>
      <c r="AC165" s="82"/>
    </row>
    <row r="166" spans="1:68" ht="14.25" customHeight="1" x14ac:dyDescent="0.25">
      <c r="A166" s="348" t="s">
        <v>153</v>
      </c>
      <c r="B166" s="348"/>
      <c r="C166" s="348"/>
      <c r="D166" s="348"/>
      <c r="E166" s="348"/>
      <c r="F166" s="348"/>
      <c r="G166" s="348"/>
      <c r="H166" s="348"/>
      <c r="I166" s="348"/>
      <c r="J166" s="348"/>
      <c r="K166" s="348"/>
      <c r="L166" s="348"/>
      <c r="M166" s="348"/>
      <c r="N166" s="348"/>
      <c r="O166" s="348"/>
      <c r="P166" s="348"/>
      <c r="Q166" s="348"/>
      <c r="R166" s="348"/>
      <c r="S166" s="348"/>
      <c r="T166" s="348"/>
      <c r="U166" s="348"/>
      <c r="V166" s="348"/>
      <c r="W166" s="348"/>
      <c r="X166" s="348"/>
      <c r="Y166" s="348"/>
      <c r="Z166" s="348"/>
      <c r="AA166" s="66"/>
      <c r="AB166" s="66"/>
      <c r="AC166" s="83"/>
    </row>
    <row r="167" spans="1:68" ht="27" customHeight="1" x14ac:dyDescent="0.25">
      <c r="A167" s="63" t="s">
        <v>263</v>
      </c>
      <c r="B167" s="63" t="s">
        <v>264</v>
      </c>
      <c r="C167" s="36">
        <v>4301135591</v>
      </c>
      <c r="D167" s="349">
        <v>4607111036568</v>
      </c>
      <c r="E167" s="349"/>
      <c r="F167" s="62">
        <v>0.28000000000000003</v>
      </c>
      <c r="G167" s="37">
        <v>6</v>
      </c>
      <c r="H167" s="62">
        <v>1.68</v>
      </c>
      <c r="I167" s="62">
        <v>2.1017999999999999</v>
      </c>
      <c r="J167" s="37">
        <v>140</v>
      </c>
      <c r="K167" s="37" t="s">
        <v>112</v>
      </c>
      <c r="L167" s="37" t="s">
        <v>88</v>
      </c>
      <c r="M167" s="38" t="s">
        <v>86</v>
      </c>
      <c r="N167" s="38"/>
      <c r="O167" s="37">
        <v>180</v>
      </c>
      <c r="P167" s="41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351"/>
      <c r="R167" s="351"/>
      <c r="S167" s="351"/>
      <c r="T167" s="352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IFERROR(IF(X167="","",X167*0.00941),"")</f>
        <v>0</v>
      </c>
      <c r="AA167" s="68" t="s">
        <v>46</v>
      </c>
      <c r="AB167" s="69" t="s">
        <v>46</v>
      </c>
      <c r="AC167" s="203" t="s">
        <v>265</v>
      </c>
      <c r="AG167" s="81"/>
      <c r="AJ167" s="87" t="s">
        <v>89</v>
      </c>
      <c r="AK167" s="87">
        <v>1</v>
      </c>
      <c r="BB167" s="204" t="s">
        <v>111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61"/>
      <c r="B168" s="361"/>
      <c r="C168" s="361"/>
      <c r="D168" s="361"/>
      <c r="E168" s="361"/>
      <c r="F168" s="361"/>
      <c r="G168" s="361"/>
      <c r="H168" s="361"/>
      <c r="I168" s="361"/>
      <c r="J168" s="361"/>
      <c r="K168" s="361"/>
      <c r="L168" s="361"/>
      <c r="M168" s="361"/>
      <c r="N168" s="361"/>
      <c r="O168" s="362"/>
      <c r="P168" s="358" t="s">
        <v>40</v>
      </c>
      <c r="Q168" s="359"/>
      <c r="R168" s="359"/>
      <c r="S168" s="359"/>
      <c r="T168" s="359"/>
      <c r="U168" s="359"/>
      <c r="V168" s="360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61"/>
      <c r="B169" s="361"/>
      <c r="C169" s="361"/>
      <c r="D169" s="361"/>
      <c r="E169" s="361"/>
      <c r="F169" s="361"/>
      <c r="G169" s="361"/>
      <c r="H169" s="361"/>
      <c r="I169" s="361"/>
      <c r="J169" s="361"/>
      <c r="K169" s="361"/>
      <c r="L169" s="361"/>
      <c r="M169" s="361"/>
      <c r="N169" s="361"/>
      <c r="O169" s="362"/>
      <c r="P169" s="358" t="s">
        <v>40</v>
      </c>
      <c r="Q169" s="359"/>
      <c r="R169" s="359"/>
      <c r="S169" s="359"/>
      <c r="T169" s="359"/>
      <c r="U169" s="359"/>
      <c r="V169" s="360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27.75" customHeight="1" x14ac:dyDescent="0.2">
      <c r="A170" s="346" t="s">
        <v>266</v>
      </c>
      <c r="B170" s="346"/>
      <c r="C170" s="346"/>
      <c r="D170" s="346"/>
      <c r="E170" s="346"/>
      <c r="F170" s="346"/>
      <c r="G170" s="346"/>
      <c r="H170" s="346"/>
      <c r="I170" s="346"/>
      <c r="J170" s="346"/>
      <c r="K170" s="346"/>
      <c r="L170" s="346"/>
      <c r="M170" s="346"/>
      <c r="N170" s="346"/>
      <c r="O170" s="346"/>
      <c r="P170" s="346"/>
      <c r="Q170" s="346"/>
      <c r="R170" s="346"/>
      <c r="S170" s="346"/>
      <c r="T170" s="346"/>
      <c r="U170" s="346"/>
      <c r="V170" s="346"/>
      <c r="W170" s="346"/>
      <c r="X170" s="346"/>
      <c r="Y170" s="346"/>
      <c r="Z170" s="346"/>
      <c r="AA170" s="54"/>
      <c r="AB170" s="54"/>
      <c r="AC170" s="54"/>
    </row>
    <row r="171" spans="1:68" ht="16.5" customHeight="1" x14ac:dyDescent="0.25">
      <c r="A171" s="347" t="s">
        <v>267</v>
      </c>
      <c r="B171" s="347"/>
      <c r="C171" s="347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  <c r="AA171" s="65"/>
      <c r="AB171" s="65"/>
      <c r="AC171" s="82"/>
    </row>
    <row r="172" spans="1:68" ht="14.25" customHeight="1" x14ac:dyDescent="0.25">
      <c r="A172" s="348" t="s">
        <v>82</v>
      </c>
      <c r="B172" s="348"/>
      <c r="C172" s="348"/>
      <c r="D172" s="348"/>
      <c r="E172" s="348"/>
      <c r="F172" s="348"/>
      <c r="G172" s="348"/>
      <c r="H172" s="348"/>
      <c r="I172" s="348"/>
      <c r="J172" s="348"/>
      <c r="K172" s="348"/>
      <c r="L172" s="348"/>
      <c r="M172" s="348"/>
      <c r="N172" s="348"/>
      <c r="O172" s="348"/>
      <c r="P172" s="348"/>
      <c r="Q172" s="348"/>
      <c r="R172" s="348"/>
      <c r="S172" s="348"/>
      <c r="T172" s="348"/>
      <c r="U172" s="348"/>
      <c r="V172" s="348"/>
      <c r="W172" s="348"/>
      <c r="X172" s="348"/>
      <c r="Y172" s="348"/>
      <c r="Z172" s="348"/>
      <c r="AA172" s="66"/>
      <c r="AB172" s="66"/>
      <c r="AC172" s="83"/>
    </row>
    <row r="173" spans="1:68" ht="16.5" customHeight="1" x14ac:dyDescent="0.25">
      <c r="A173" s="63" t="s">
        <v>268</v>
      </c>
      <c r="B173" s="63" t="s">
        <v>269</v>
      </c>
      <c r="C173" s="36">
        <v>4301071062</v>
      </c>
      <c r="D173" s="349">
        <v>4607111036384</v>
      </c>
      <c r="E173" s="349"/>
      <c r="F173" s="62">
        <v>5</v>
      </c>
      <c r="G173" s="37">
        <v>1</v>
      </c>
      <c r="H173" s="62">
        <v>5</v>
      </c>
      <c r="I173" s="62">
        <v>5.2106000000000003</v>
      </c>
      <c r="J173" s="37">
        <v>144</v>
      </c>
      <c r="K173" s="37" t="s">
        <v>87</v>
      </c>
      <c r="L173" s="37" t="s">
        <v>124</v>
      </c>
      <c r="M173" s="38" t="s">
        <v>86</v>
      </c>
      <c r="N173" s="38"/>
      <c r="O173" s="37">
        <v>180</v>
      </c>
      <c r="P173" s="41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351"/>
      <c r="R173" s="351"/>
      <c r="S173" s="351"/>
      <c r="T173" s="352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125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t="27" customHeight="1" x14ac:dyDescent="0.25">
      <c r="A174" s="63" t="s">
        <v>271</v>
      </c>
      <c r="B174" s="63" t="s">
        <v>272</v>
      </c>
      <c r="C174" s="36">
        <v>4301071050</v>
      </c>
      <c r="D174" s="349">
        <v>4607111036216</v>
      </c>
      <c r="E174" s="349"/>
      <c r="F174" s="62">
        <v>5</v>
      </c>
      <c r="G174" s="37">
        <v>1</v>
      </c>
      <c r="H174" s="62">
        <v>5</v>
      </c>
      <c r="I174" s="62">
        <v>5.2131999999999996</v>
      </c>
      <c r="J174" s="37">
        <v>144</v>
      </c>
      <c r="K174" s="37" t="s">
        <v>87</v>
      </c>
      <c r="L174" s="37" t="s">
        <v>124</v>
      </c>
      <c r="M174" s="38" t="s">
        <v>86</v>
      </c>
      <c r="N174" s="38"/>
      <c r="O174" s="37">
        <v>180</v>
      </c>
      <c r="P174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51"/>
      <c r="R174" s="351"/>
      <c r="S174" s="351"/>
      <c r="T174" s="352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IFERROR(IF(X174="","",X174*0.00866),"")</f>
        <v>0</v>
      </c>
      <c r="AA174" s="68" t="s">
        <v>46</v>
      </c>
      <c r="AB174" s="69" t="s">
        <v>46</v>
      </c>
      <c r="AC174" s="207" t="s">
        <v>273</v>
      </c>
      <c r="AG174" s="81"/>
      <c r="AJ174" s="87" t="s">
        <v>125</v>
      </c>
      <c r="AK174" s="87">
        <v>12</v>
      </c>
      <c r="BB174" s="208" t="s">
        <v>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361"/>
      <c r="B175" s="361"/>
      <c r="C175" s="361"/>
      <c r="D175" s="361"/>
      <c r="E175" s="361"/>
      <c r="F175" s="361"/>
      <c r="G175" s="361"/>
      <c r="H175" s="361"/>
      <c r="I175" s="361"/>
      <c r="J175" s="361"/>
      <c r="K175" s="361"/>
      <c r="L175" s="361"/>
      <c r="M175" s="361"/>
      <c r="N175" s="361"/>
      <c r="O175" s="362"/>
      <c r="P175" s="358" t="s">
        <v>40</v>
      </c>
      <c r="Q175" s="359"/>
      <c r="R175" s="359"/>
      <c r="S175" s="359"/>
      <c r="T175" s="359"/>
      <c r="U175" s="359"/>
      <c r="V175" s="360"/>
      <c r="W175" s="42" t="s">
        <v>39</v>
      </c>
      <c r="X175" s="43">
        <f>IFERROR(SUM(X173:X174),"0")</f>
        <v>0</v>
      </c>
      <c r="Y175" s="43">
        <f>IFERROR(SUM(Y173:Y174),"0")</f>
        <v>0</v>
      </c>
      <c r="Z175" s="43">
        <f>IFERROR(IF(Z173="",0,Z173),"0")+IFERROR(IF(Z174="",0,Z174),"0")</f>
        <v>0</v>
      </c>
      <c r="AA175" s="67"/>
      <c r="AB175" s="67"/>
      <c r="AC175" s="67"/>
    </row>
    <row r="176" spans="1:68" x14ac:dyDescent="0.2">
      <c r="A176" s="361"/>
      <c r="B176" s="361"/>
      <c r="C176" s="361"/>
      <c r="D176" s="361"/>
      <c r="E176" s="361"/>
      <c r="F176" s="361"/>
      <c r="G176" s="361"/>
      <c r="H176" s="361"/>
      <c r="I176" s="361"/>
      <c r="J176" s="361"/>
      <c r="K176" s="361"/>
      <c r="L176" s="361"/>
      <c r="M176" s="361"/>
      <c r="N176" s="361"/>
      <c r="O176" s="362"/>
      <c r="P176" s="358" t="s">
        <v>40</v>
      </c>
      <c r="Q176" s="359"/>
      <c r="R176" s="359"/>
      <c r="S176" s="359"/>
      <c r="T176" s="359"/>
      <c r="U176" s="359"/>
      <c r="V176" s="360"/>
      <c r="W176" s="42" t="s">
        <v>0</v>
      </c>
      <c r="X176" s="43">
        <f>IFERROR(SUMPRODUCT(X173:X174*H173:H174),"0")</f>
        <v>0</v>
      </c>
      <c r="Y176" s="43">
        <f>IFERROR(SUMPRODUCT(Y173:Y174*H173:H174),"0")</f>
        <v>0</v>
      </c>
      <c r="Z176" s="42"/>
      <c r="AA176" s="67"/>
      <c r="AB176" s="67"/>
      <c r="AC176" s="67"/>
    </row>
    <row r="177" spans="1:68" ht="27.75" customHeight="1" x14ac:dyDescent="0.2">
      <c r="A177" s="346" t="s">
        <v>274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54"/>
      <c r="AB177" s="54"/>
      <c r="AC177" s="54"/>
    </row>
    <row r="178" spans="1:68" ht="16.5" customHeight="1" x14ac:dyDescent="0.25">
      <c r="A178" s="347" t="s">
        <v>275</v>
      </c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65"/>
      <c r="AB178" s="65"/>
      <c r="AC178" s="82"/>
    </row>
    <row r="179" spans="1:68" ht="14.25" customHeight="1" x14ac:dyDescent="0.25">
      <c r="A179" s="348" t="s">
        <v>107</v>
      </c>
      <c r="B179" s="348"/>
      <c r="C179" s="348"/>
      <c r="D179" s="348"/>
      <c r="E179" s="348"/>
      <c r="F179" s="348"/>
      <c r="G179" s="348"/>
      <c r="H179" s="348"/>
      <c r="I179" s="348"/>
      <c r="J179" s="348"/>
      <c r="K179" s="348"/>
      <c r="L179" s="348"/>
      <c r="M179" s="348"/>
      <c r="N179" s="348"/>
      <c r="O179" s="348"/>
      <c r="P179" s="348"/>
      <c r="Q179" s="348"/>
      <c r="R179" s="348"/>
      <c r="S179" s="348"/>
      <c r="T179" s="348"/>
      <c r="U179" s="348"/>
      <c r="V179" s="348"/>
      <c r="W179" s="348"/>
      <c r="X179" s="348"/>
      <c r="Y179" s="348"/>
      <c r="Z179" s="348"/>
      <c r="AA179" s="66"/>
      <c r="AB179" s="66"/>
      <c r="AC179" s="83"/>
    </row>
    <row r="180" spans="1:68" ht="16.5" customHeight="1" x14ac:dyDescent="0.25">
      <c r="A180" s="63" t="s">
        <v>276</v>
      </c>
      <c r="B180" s="63" t="s">
        <v>277</v>
      </c>
      <c r="C180" s="36">
        <v>4301132179</v>
      </c>
      <c r="D180" s="349">
        <v>4607111035691</v>
      </c>
      <c r="E180" s="349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112</v>
      </c>
      <c r="L180" s="37" t="s">
        <v>113</v>
      </c>
      <c r="M180" s="38" t="s">
        <v>86</v>
      </c>
      <c r="N180" s="38"/>
      <c r="O180" s="37">
        <v>365</v>
      </c>
      <c r="P180" s="41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351"/>
      <c r="R180" s="351"/>
      <c r="S180" s="351"/>
      <c r="T180" s="352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114</v>
      </c>
      <c r="AK180" s="87">
        <v>70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4301132182</v>
      </c>
      <c r="D181" s="349">
        <v>4607111035721</v>
      </c>
      <c r="E181" s="349"/>
      <c r="F181" s="62">
        <v>0.25</v>
      </c>
      <c r="G181" s="37">
        <v>12</v>
      </c>
      <c r="H181" s="62">
        <v>3</v>
      </c>
      <c r="I181" s="62">
        <v>3.3879999999999999</v>
      </c>
      <c r="J181" s="37">
        <v>70</v>
      </c>
      <c r="K181" s="37" t="s">
        <v>112</v>
      </c>
      <c r="L181" s="37" t="s">
        <v>113</v>
      </c>
      <c r="M181" s="38" t="s">
        <v>86</v>
      </c>
      <c r="N181" s="38"/>
      <c r="O181" s="37">
        <v>365</v>
      </c>
      <c r="P181" s="41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351"/>
      <c r="R181" s="351"/>
      <c r="S181" s="351"/>
      <c r="T181" s="352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114</v>
      </c>
      <c r="AK181" s="87">
        <v>70</v>
      </c>
      <c r="BB181" s="212" t="s">
        <v>111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4301132170</v>
      </c>
      <c r="D182" s="349">
        <v>4607111038487</v>
      </c>
      <c r="E182" s="349"/>
      <c r="F182" s="62">
        <v>0.25</v>
      </c>
      <c r="G182" s="37">
        <v>12</v>
      </c>
      <c r="H182" s="62">
        <v>3</v>
      </c>
      <c r="I182" s="62">
        <v>3.7360000000000002</v>
      </c>
      <c r="J182" s="37">
        <v>70</v>
      </c>
      <c r="K182" s="37" t="s">
        <v>112</v>
      </c>
      <c r="L182" s="37" t="s">
        <v>113</v>
      </c>
      <c r="M182" s="38" t="s">
        <v>86</v>
      </c>
      <c r="N182" s="38"/>
      <c r="O182" s="37">
        <v>180</v>
      </c>
      <c r="P182" s="41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351"/>
      <c r="R182" s="351"/>
      <c r="S182" s="351"/>
      <c r="T182" s="352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284</v>
      </c>
      <c r="AG182" s="81"/>
      <c r="AJ182" s="87" t="s">
        <v>114</v>
      </c>
      <c r="AK182" s="87">
        <v>70</v>
      </c>
      <c r="BB182" s="214" t="s">
        <v>111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285</v>
      </c>
      <c r="B183" s="63" t="s">
        <v>286</v>
      </c>
      <c r="C183" s="36">
        <v>4301132243</v>
      </c>
      <c r="D183" s="349">
        <v>4620207491195</v>
      </c>
      <c r="E183" s="349"/>
      <c r="F183" s="62">
        <v>0.23</v>
      </c>
      <c r="G183" s="37">
        <v>12</v>
      </c>
      <c r="H183" s="62">
        <v>2.76</v>
      </c>
      <c r="I183" s="62">
        <v>3.1480000000000001</v>
      </c>
      <c r="J183" s="37">
        <v>70</v>
      </c>
      <c r="K183" s="37" t="s">
        <v>112</v>
      </c>
      <c r="L183" s="37" t="s">
        <v>88</v>
      </c>
      <c r="M183" s="38" t="s">
        <v>86</v>
      </c>
      <c r="N183" s="38"/>
      <c r="O183" s="37">
        <v>180</v>
      </c>
      <c r="P183" s="42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3" s="351"/>
      <c r="R183" s="351"/>
      <c r="S183" s="351"/>
      <c r="T183" s="352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IFERROR(IF(X183="","",X183*0.01788),"")</f>
        <v>0</v>
      </c>
      <c r="AA183" s="68" t="s">
        <v>46</v>
      </c>
      <c r="AB183" s="69" t="s">
        <v>46</v>
      </c>
      <c r="AC183" s="215" t="s">
        <v>287</v>
      </c>
      <c r="AG183" s="81"/>
      <c r="AJ183" s="87" t="s">
        <v>89</v>
      </c>
      <c r="AK183" s="87">
        <v>1</v>
      </c>
      <c r="BB183" s="216" t="s">
        <v>111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361"/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2"/>
      <c r="P184" s="358" t="s">
        <v>40</v>
      </c>
      <c r="Q184" s="359"/>
      <c r="R184" s="359"/>
      <c r="S184" s="359"/>
      <c r="T184" s="359"/>
      <c r="U184" s="359"/>
      <c r="V184" s="360"/>
      <c r="W184" s="42" t="s">
        <v>39</v>
      </c>
      <c r="X184" s="43">
        <f>IFERROR(SUM(X180:X183),"0")</f>
        <v>0</v>
      </c>
      <c r="Y184" s="43">
        <f>IFERROR(SUM(Y180:Y183),"0")</f>
        <v>0</v>
      </c>
      <c r="Z184" s="43">
        <f>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361"/>
      <c r="B185" s="361"/>
      <c r="C185" s="361"/>
      <c r="D185" s="361"/>
      <c r="E185" s="361"/>
      <c r="F185" s="361"/>
      <c r="G185" s="361"/>
      <c r="H185" s="361"/>
      <c r="I185" s="361"/>
      <c r="J185" s="361"/>
      <c r="K185" s="361"/>
      <c r="L185" s="361"/>
      <c r="M185" s="361"/>
      <c r="N185" s="361"/>
      <c r="O185" s="362"/>
      <c r="P185" s="358" t="s">
        <v>40</v>
      </c>
      <c r="Q185" s="359"/>
      <c r="R185" s="359"/>
      <c r="S185" s="359"/>
      <c r="T185" s="359"/>
      <c r="U185" s="359"/>
      <c r="V185" s="360"/>
      <c r="W185" s="42" t="s">
        <v>0</v>
      </c>
      <c r="X185" s="43">
        <f>IFERROR(SUMPRODUCT(X180:X183*H180:H183),"0")</f>
        <v>0</v>
      </c>
      <c r="Y185" s="43">
        <f>IFERROR(SUMPRODUCT(Y180:Y183*H180:H183),"0")</f>
        <v>0</v>
      </c>
      <c r="Z185" s="42"/>
      <c r="AA185" s="67"/>
      <c r="AB185" s="67"/>
      <c r="AC185" s="67"/>
    </row>
    <row r="186" spans="1:68" ht="14.25" customHeight="1" x14ac:dyDescent="0.25">
      <c r="A186" s="348" t="s">
        <v>288</v>
      </c>
      <c r="B186" s="348"/>
      <c r="C186" s="348"/>
      <c r="D186" s="348"/>
      <c r="E186" s="348"/>
      <c r="F186" s="348"/>
      <c r="G186" s="348"/>
      <c r="H186" s="348"/>
      <c r="I186" s="348"/>
      <c r="J186" s="348"/>
      <c r="K186" s="348"/>
      <c r="L186" s="348"/>
      <c r="M186" s="348"/>
      <c r="N186" s="348"/>
      <c r="O186" s="348"/>
      <c r="P186" s="348"/>
      <c r="Q186" s="348"/>
      <c r="R186" s="348"/>
      <c r="S186" s="348"/>
      <c r="T186" s="348"/>
      <c r="U186" s="348"/>
      <c r="V186" s="348"/>
      <c r="W186" s="348"/>
      <c r="X186" s="348"/>
      <c r="Y186" s="348"/>
      <c r="Z186" s="348"/>
      <c r="AA186" s="66"/>
      <c r="AB186" s="66"/>
      <c r="AC186" s="83"/>
    </row>
    <row r="187" spans="1:68" ht="27" customHeight="1" x14ac:dyDescent="0.25">
      <c r="A187" s="63" t="s">
        <v>289</v>
      </c>
      <c r="B187" s="63" t="s">
        <v>290</v>
      </c>
      <c r="C187" s="36">
        <v>4301051855</v>
      </c>
      <c r="D187" s="349">
        <v>4680115885875</v>
      </c>
      <c r="E187" s="349"/>
      <c r="F187" s="62">
        <v>1</v>
      </c>
      <c r="G187" s="37">
        <v>9</v>
      </c>
      <c r="H187" s="62">
        <v>9</v>
      </c>
      <c r="I187" s="62">
        <v>9.41</v>
      </c>
      <c r="J187" s="37">
        <v>64</v>
      </c>
      <c r="K187" s="37" t="s">
        <v>295</v>
      </c>
      <c r="L187" s="37" t="s">
        <v>88</v>
      </c>
      <c r="M187" s="38" t="s">
        <v>294</v>
      </c>
      <c r="N187" s="38"/>
      <c r="O187" s="37">
        <v>365</v>
      </c>
      <c r="P187" s="421" t="s">
        <v>291</v>
      </c>
      <c r="Q187" s="351"/>
      <c r="R187" s="351"/>
      <c r="S187" s="351"/>
      <c r="T187" s="352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IFERROR(IF(X187="","",X187*0.01898),"")</f>
        <v>0</v>
      </c>
      <c r="AA187" s="68" t="s">
        <v>46</v>
      </c>
      <c r="AB187" s="69" t="s">
        <v>46</v>
      </c>
      <c r="AC187" s="217" t="s">
        <v>292</v>
      </c>
      <c r="AG187" s="81"/>
      <c r="AJ187" s="87" t="s">
        <v>89</v>
      </c>
      <c r="AK187" s="87">
        <v>1</v>
      </c>
      <c r="BB187" s="218" t="s">
        <v>293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61"/>
      <c r="B188" s="361"/>
      <c r="C188" s="361"/>
      <c r="D188" s="361"/>
      <c r="E188" s="361"/>
      <c r="F188" s="361"/>
      <c r="G188" s="361"/>
      <c r="H188" s="361"/>
      <c r="I188" s="361"/>
      <c r="J188" s="361"/>
      <c r="K188" s="361"/>
      <c r="L188" s="361"/>
      <c r="M188" s="361"/>
      <c r="N188" s="361"/>
      <c r="O188" s="362"/>
      <c r="P188" s="358" t="s">
        <v>40</v>
      </c>
      <c r="Q188" s="359"/>
      <c r="R188" s="359"/>
      <c r="S188" s="359"/>
      <c r="T188" s="359"/>
      <c r="U188" s="359"/>
      <c r="V188" s="360"/>
      <c r="W188" s="42" t="s">
        <v>39</v>
      </c>
      <c r="X188" s="43">
        <f>IFERROR(SUM(X187:X187),"0")</f>
        <v>0</v>
      </c>
      <c r="Y188" s="43">
        <f>IFERROR(SUM(Y187:Y187),"0")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361"/>
      <c r="B189" s="361"/>
      <c r="C189" s="361"/>
      <c r="D189" s="361"/>
      <c r="E189" s="361"/>
      <c r="F189" s="361"/>
      <c r="G189" s="361"/>
      <c r="H189" s="361"/>
      <c r="I189" s="361"/>
      <c r="J189" s="361"/>
      <c r="K189" s="361"/>
      <c r="L189" s="361"/>
      <c r="M189" s="361"/>
      <c r="N189" s="361"/>
      <c r="O189" s="362"/>
      <c r="P189" s="358" t="s">
        <v>40</v>
      </c>
      <c r="Q189" s="359"/>
      <c r="R189" s="359"/>
      <c r="S189" s="359"/>
      <c r="T189" s="359"/>
      <c r="U189" s="359"/>
      <c r="V189" s="360"/>
      <c r="W189" s="42" t="s">
        <v>0</v>
      </c>
      <c r="X189" s="43">
        <f>IFERROR(SUMPRODUCT(X187:X187*H187:H187),"0")</f>
        <v>0</v>
      </c>
      <c r="Y189" s="43">
        <f>IFERROR(SUMPRODUCT(Y187:Y187*H187:H187),"0")</f>
        <v>0</v>
      </c>
      <c r="Z189" s="42"/>
      <c r="AA189" s="67"/>
      <c r="AB189" s="67"/>
      <c r="AC189" s="67"/>
    </row>
    <row r="190" spans="1:68" ht="27.75" customHeight="1" x14ac:dyDescent="0.2">
      <c r="A190" s="346" t="s">
        <v>296</v>
      </c>
      <c r="B190" s="346"/>
      <c r="C190" s="346"/>
      <c r="D190" s="346"/>
      <c r="E190" s="346"/>
      <c r="F190" s="346"/>
      <c r="G190" s="346"/>
      <c r="H190" s="346"/>
      <c r="I190" s="346"/>
      <c r="J190" s="346"/>
      <c r="K190" s="346"/>
      <c r="L190" s="346"/>
      <c r="M190" s="346"/>
      <c r="N190" s="346"/>
      <c r="O190" s="346"/>
      <c r="P190" s="346"/>
      <c r="Q190" s="346"/>
      <c r="R190" s="346"/>
      <c r="S190" s="346"/>
      <c r="T190" s="346"/>
      <c r="U190" s="346"/>
      <c r="V190" s="346"/>
      <c r="W190" s="346"/>
      <c r="X190" s="346"/>
      <c r="Y190" s="346"/>
      <c r="Z190" s="346"/>
      <c r="AA190" s="54"/>
      <c r="AB190" s="54"/>
      <c r="AC190" s="54"/>
    </row>
    <row r="191" spans="1:68" ht="16.5" customHeight="1" x14ac:dyDescent="0.25">
      <c r="A191" s="347" t="s">
        <v>297</v>
      </c>
      <c r="B191" s="347"/>
      <c r="C191" s="347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  <c r="AA191" s="65"/>
      <c r="AB191" s="65"/>
      <c r="AC191" s="82"/>
    </row>
    <row r="192" spans="1:68" ht="14.25" customHeight="1" x14ac:dyDescent="0.25">
      <c r="A192" s="348" t="s">
        <v>107</v>
      </c>
      <c r="B192" s="348"/>
      <c r="C192" s="348"/>
      <c r="D192" s="348"/>
      <c r="E192" s="348"/>
      <c r="F192" s="348"/>
      <c r="G192" s="348"/>
      <c r="H192" s="348"/>
      <c r="I192" s="348"/>
      <c r="J192" s="348"/>
      <c r="K192" s="348"/>
      <c r="L192" s="348"/>
      <c r="M192" s="348"/>
      <c r="N192" s="348"/>
      <c r="O192" s="348"/>
      <c r="P192" s="348"/>
      <c r="Q192" s="348"/>
      <c r="R192" s="348"/>
      <c r="S192" s="348"/>
      <c r="T192" s="348"/>
      <c r="U192" s="348"/>
      <c r="V192" s="348"/>
      <c r="W192" s="348"/>
      <c r="X192" s="348"/>
      <c r="Y192" s="348"/>
      <c r="Z192" s="348"/>
      <c r="AA192" s="66"/>
      <c r="AB192" s="66"/>
      <c r="AC192" s="83"/>
    </row>
    <row r="193" spans="1:68" ht="27" customHeight="1" x14ac:dyDescent="0.25">
      <c r="A193" s="63" t="s">
        <v>298</v>
      </c>
      <c r="B193" s="63" t="s">
        <v>299</v>
      </c>
      <c r="C193" s="36">
        <v>4301132227</v>
      </c>
      <c r="D193" s="349">
        <v>4620207491133</v>
      </c>
      <c r="E193" s="349"/>
      <c r="F193" s="62">
        <v>0.23</v>
      </c>
      <c r="G193" s="37">
        <v>12</v>
      </c>
      <c r="H193" s="62">
        <v>2.76</v>
      </c>
      <c r="I193" s="62">
        <v>2.98</v>
      </c>
      <c r="J193" s="37">
        <v>70</v>
      </c>
      <c r="K193" s="37" t="s">
        <v>112</v>
      </c>
      <c r="L193" s="37" t="s">
        <v>124</v>
      </c>
      <c r="M193" s="38" t="s">
        <v>86</v>
      </c>
      <c r="N193" s="38"/>
      <c r="O193" s="37">
        <v>180</v>
      </c>
      <c r="P193" s="42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351"/>
      <c r="R193" s="351"/>
      <c r="S193" s="351"/>
      <c r="T193" s="352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19" t="s">
        <v>300</v>
      </c>
      <c r="AG193" s="81"/>
      <c r="AJ193" s="87" t="s">
        <v>125</v>
      </c>
      <c r="AK193" s="87">
        <v>14</v>
      </c>
      <c r="BB193" s="220" t="s">
        <v>111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361"/>
      <c r="B194" s="361"/>
      <c r="C194" s="361"/>
      <c r="D194" s="361"/>
      <c r="E194" s="361"/>
      <c r="F194" s="361"/>
      <c r="G194" s="361"/>
      <c r="H194" s="361"/>
      <c r="I194" s="361"/>
      <c r="J194" s="361"/>
      <c r="K194" s="361"/>
      <c r="L194" s="361"/>
      <c r="M194" s="361"/>
      <c r="N194" s="361"/>
      <c r="O194" s="362"/>
      <c r="P194" s="358" t="s">
        <v>40</v>
      </c>
      <c r="Q194" s="359"/>
      <c r="R194" s="359"/>
      <c r="S194" s="359"/>
      <c r="T194" s="359"/>
      <c r="U194" s="359"/>
      <c r="V194" s="360"/>
      <c r="W194" s="42" t="s">
        <v>39</v>
      </c>
      <c r="X194" s="43">
        <f>IFERROR(SUM(X193:X193),"0")</f>
        <v>0</v>
      </c>
      <c r="Y194" s="43">
        <f>IFERROR(SUM(Y193:Y193),"0")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361"/>
      <c r="B195" s="361"/>
      <c r="C195" s="361"/>
      <c r="D195" s="361"/>
      <c r="E195" s="361"/>
      <c r="F195" s="361"/>
      <c r="G195" s="361"/>
      <c r="H195" s="361"/>
      <c r="I195" s="361"/>
      <c r="J195" s="361"/>
      <c r="K195" s="361"/>
      <c r="L195" s="361"/>
      <c r="M195" s="361"/>
      <c r="N195" s="361"/>
      <c r="O195" s="362"/>
      <c r="P195" s="358" t="s">
        <v>40</v>
      </c>
      <c r="Q195" s="359"/>
      <c r="R195" s="359"/>
      <c r="S195" s="359"/>
      <c r="T195" s="359"/>
      <c r="U195" s="359"/>
      <c r="V195" s="360"/>
      <c r="W195" s="42" t="s">
        <v>0</v>
      </c>
      <c r="X195" s="43">
        <f>IFERROR(SUMPRODUCT(X193:X193*H193:H193),"0")</f>
        <v>0</v>
      </c>
      <c r="Y195" s="43">
        <f>IFERROR(SUMPRODUCT(Y193:Y193*H193:H193),"0")</f>
        <v>0</v>
      </c>
      <c r="Z195" s="42"/>
      <c r="AA195" s="67"/>
      <c r="AB195" s="67"/>
      <c r="AC195" s="67"/>
    </row>
    <row r="196" spans="1:68" ht="14.25" customHeight="1" x14ac:dyDescent="0.25">
      <c r="A196" s="348" t="s">
        <v>153</v>
      </c>
      <c r="B196" s="348"/>
      <c r="C196" s="348"/>
      <c r="D196" s="348"/>
      <c r="E196" s="348"/>
      <c r="F196" s="348"/>
      <c r="G196" s="348"/>
      <c r="H196" s="348"/>
      <c r="I196" s="348"/>
      <c r="J196" s="348"/>
      <c r="K196" s="348"/>
      <c r="L196" s="348"/>
      <c r="M196" s="348"/>
      <c r="N196" s="348"/>
      <c r="O196" s="348"/>
      <c r="P196" s="348"/>
      <c r="Q196" s="348"/>
      <c r="R196" s="348"/>
      <c r="S196" s="348"/>
      <c r="T196" s="348"/>
      <c r="U196" s="348"/>
      <c r="V196" s="348"/>
      <c r="W196" s="348"/>
      <c r="X196" s="348"/>
      <c r="Y196" s="348"/>
      <c r="Z196" s="348"/>
      <c r="AA196" s="66"/>
      <c r="AB196" s="66"/>
      <c r="AC196" s="83"/>
    </row>
    <row r="197" spans="1:68" ht="27" customHeight="1" x14ac:dyDescent="0.25">
      <c r="A197" s="63" t="s">
        <v>301</v>
      </c>
      <c r="B197" s="63" t="s">
        <v>302</v>
      </c>
      <c r="C197" s="36">
        <v>4301135834</v>
      </c>
      <c r="D197" s="349">
        <v>4620207491188</v>
      </c>
      <c r="E197" s="349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88</v>
      </c>
      <c r="M197" s="38" t="s">
        <v>86</v>
      </c>
      <c r="N197" s="38"/>
      <c r="O197" s="37">
        <v>180</v>
      </c>
      <c r="P197" s="42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351"/>
      <c r="R197" s="351"/>
      <c r="S197" s="351"/>
      <c r="T197" s="352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89</v>
      </c>
      <c r="AK197" s="87">
        <v>1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4301135707</v>
      </c>
      <c r="D198" s="349">
        <v>4620207490198</v>
      </c>
      <c r="E198" s="349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112</v>
      </c>
      <c r="L198" s="37" t="s">
        <v>124</v>
      </c>
      <c r="M198" s="38" t="s">
        <v>86</v>
      </c>
      <c r="N198" s="38"/>
      <c r="O198" s="37">
        <v>180</v>
      </c>
      <c r="P198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351"/>
      <c r="R198" s="351"/>
      <c r="S198" s="351"/>
      <c r="T198" s="352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125</v>
      </c>
      <c r="AK198" s="87">
        <v>14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307</v>
      </c>
      <c r="B199" s="63" t="s">
        <v>308</v>
      </c>
      <c r="C199" s="36">
        <v>4301135829</v>
      </c>
      <c r="D199" s="349">
        <v>4620207490235</v>
      </c>
      <c r="E199" s="349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112</v>
      </c>
      <c r="L199" s="37" t="s">
        <v>88</v>
      </c>
      <c r="M199" s="38" t="s">
        <v>86</v>
      </c>
      <c r="N199" s="38"/>
      <c r="O199" s="37">
        <v>180</v>
      </c>
      <c r="P199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351"/>
      <c r="R199" s="351"/>
      <c r="S199" s="351"/>
      <c r="T199" s="352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309</v>
      </c>
      <c r="AG199" s="81"/>
      <c r="AJ199" s="87" t="s">
        <v>89</v>
      </c>
      <c r="AK199" s="87">
        <v>1</v>
      </c>
      <c r="BB199" s="226" t="s">
        <v>111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310</v>
      </c>
      <c r="B200" s="63" t="s">
        <v>311</v>
      </c>
      <c r="C200" s="36">
        <v>4301135697</v>
      </c>
      <c r="D200" s="349">
        <v>4620207490259</v>
      </c>
      <c r="E200" s="349"/>
      <c r="F200" s="62">
        <v>0.2</v>
      </c>
      <c r="G200" s="37">
        <v>12</v>
      </c>
      <c r="H200" s="62">
        <v>2.4</v>
      </c>
      <c r="I200" s="62">
        <v>3.1036000000000001</v>
      </c>
      <c r="J200" s="37">
        <v>70</v>
      </c>
      <c r="K200" s="37" t="s">
        <v>112</v>
      </c>
      <c r="L200" s="37" t="s">
        <v>124</v>
      </c>
      <c r="M200" s="38" t="s">
        <v>86</v>
      </c>
      <c r="N200" s="38"/>
      <c r="O200" s="37">
        <v>180</v>
      </c>
      <c r="P200" s="4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351"/>
      <c r="R200" s="351"/>
      <c r="S200" s="351"/>
      <c r="T200" s="352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306</v>
      </c>
      <c r="AG200" s="81"/>
      <c r="AJ200" s="87" t="s">
        <v>125</v>
      </c>
      <c r="AK200" s="87">
        <v>14</v>
      </c>
      <c r="BB200" s="228" t="s">
        <v>111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customHeight="1" x14ac:dyDescent="0.25">
      <c r="A201" s="63" t="s">
        <v>312</v>
      </c>
      <c r="B201" s="63" t="s">
        <v>313</v>
      </c>
      <c r="C201" s="36">
        <v>4301135681</v>
      </c>
      <c r="D201" s="349">
        <v>4620207490143</v>
      </c>
      <c r="E201" s="349"/>
      <c r="F201" s="62">
        <v>0.22</v>
      </c>
      <c r="G201" s="37">
        <v>12</v>
      </c>
      <c r="H201" s="62">
        <v>2.64</v>
      </c>
      <c r="I201" s="62">
        <v>3.3435999999999999</v>
      </c>
      <c r="J201" s="37">
        <v>70</v>
      </c>
      <c r="K201" s="37" t="s">
        <v>112</v>
      </c>
      <c r="L201" s="37" t="s">
        <v>88</v>
      </c>
      <c r="M201" s="38" t="s">
        <v>86</v>
      </c>
      <c r="N201" s="38"/>
      <c r="O201" s="37">
        <v>180</v>
      </c>
      <c r="P201" s="42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351"/>
      <c r="R201" s="351"/>
      <c r="S201" s="351"/>
      <c r="T201" s="352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9" t="s">
        <v>314</v>
      </c>
      <c r="AG201" s="81"/>
      <c r="AJ201" s="87" t="s">
        <v>89</v>
      </c>
      <c r="AK201" s="87">
        <v>1</v>
      </c>
      <c r="BB201" s="230" t="s">
        <v>111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x14ac:dyDescent="0.2">
      <c r="A202" s="361"/>
      <c r="B202" s="361"/>
      <c r="C202" s="361"/>
      <c r="D202" s="361"/>
      <c r="E202" s="361"/>
      <c r="F202" s="361"/>
      <c r="G202" s="361"/>
      <c r="H202" s="361"/>
      <c r="I202" s="361"/>
      <c r="J202" s="361"/>
      <c r="K202" s="361"/>
      <c r="L202" s="361"/>
      <c r="M202" s="361"/>
      <c r="N202" s="361"/>
      <c r="O202" s="362"/>
      <c r="P202" s="358" t="s">
        <v>40</v>
      </c>
      <c r="Q202" s="359"/>
      <c r="R202" s="359"/>
      <c r="S202" s="359"/>
      <c r="T202" s="359"/>
      <c r="U202" s="359"/>
      <c r="V202" s="360"/>
      <c r="W202" s="42" t="s">
        <v>39</v>
      </c>
      <c r="X202" s="43">
        <f>IFERROR(SUM(X197:X201),"0")</f>
        <v>0</v>
      </c>
      <c r="Y202" s="43">
        <f>IFERROR(SUM(Y197:Y201),"0")</f>
        <v>0</v>
      </c>
      <c r="Z202" s="43">
        <f>IFERROR(IF(Z197="",0,Z197),"0")+IFERROR(IF(Z198="",0,Z198),"0")+IFERROR(IF(Z199="",0,Z199),"0")+IFERROR(IF(Z200="",0,Z200),"0")+IFERROR(IF(Z201="",0,Z201),"0")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361"/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2"/>
      <c r="P203" s="358" t="s">
        <v>40</v>
      </c>
      <c r="Q203" s="359"/>
      <c r="R203" s="359"/>
      <c r="S203" s="359"/>
      <c r="T203" s="359"/>
      <c r="U203" s="359"/>
      <c r="V203" s="360"/>
      <c r="W203" s="42" t="s">
        <v>0</v>
      </c>
      <c r="X203" s="43">
        <f>IFERROR(SUMPRODUCT(X197:X201*H197:H201),"0")</f>
        <v>0</v>
      </c>
      <c r="Y203" s="43">
        <f>IFERROR(SUMPRODUCT(Y197:Y201*H197:H201),"0")</f>
        <v>0</v>
      </c>
      <c r="Z203" s="42"/>
      <c r="AA203" s="67"/>
      <c r="AB203" s="67"/>
      <c r="AC203" s="67"/>
    </row>
    <row r="204" spans="1:68" ht="16.5" customHeight="1" x14ac:dyDescent="0.25">
      <c r="A204" s="347" t="s">
        <v>315</v>
      </c>
      <c r="B204" s="347"/>
      <c r="C204" s="347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  <c r="AA204" s="65"/>
      <c r="AB204" s="65"/>
      <c r="AC204" s="82"/>
    </row>
    <row r="205" spans="1:68" ht="14.25" customHeight="1" x14ac:dyDescent="0.25">
      <c r="A205" s="348" t="s">
        <v>82</v>
      </c>
      <c r="B205" s="348"/>
      <c r="C205" s="348"/>
      <c r="D205" s="348"/>
      <c r="E205" s="348"/>
      <c r="F205" s="348"/>
      <c r="G205" s="348"/>
      <c r="H205" s="348"/>
      <c r="I205" s="348"/>
      <c r="J205" s="348"/>
      <c r="K205" s="348"/>
      <c r="L205" s="348"/>
      <c r="M205" s="348"/>
      <c r="N205" s="348"/>
      <c r="O205" s="348"/>
      <c r="P205" s="348"/>
      <c r="Q205" s="348"/>
      <c r="R205" s="348"/>
      <c r="S205" s="348"/>
      <c r="T205" s="348"/>
      <c r="U205" s="348"/>
      <c r="V205" s="348"/>
      <c r="W205" s="348"/>
      <c r="X205" s="348"/>
      <c r="Y205" s="348"/>
      <c r="Z205" s="348"/>
      <c r="AA205" s="66"/>
      <c r="AB205" s="66"/>
      <c r="AC205" s="83"/>
    </row>
    <row r="206" spans="1:68" ht="27" customHeight="1" x14ac:dyDescent="0.25">
      <c r="A206" s="63" t="s">
        <v>316</v>
      </c>
      <c r="B206" s="63" t="s">
        <v>317</v>
      </c>
      <c r="C206" s="36">
        <v>4301071097</v>
      </c>
      <c r="D206" s="349">
        <v>4620207491096</v>
      </c>
      <c r="E206" s="349"/>
      <c r="F206" s="62">
        <v>1</v>
      </c>
      <c r="G206" s="37">
        <v>5</v>
      </c>
      <c r="H206" s="62">
        <v>5</v>
      </c>
      <c r="I206" s="62">
        <v>5.23</v>
      </c>
      <c r="J206" s="37">
        <v>84</v>
      </c>
      <c r="K206" s="37" t="s">
        <v>87</v>
      </c>
      <c r="L206" s="37" t="s">
        <v>124</v>
      </c>
      <c r="M206" s="38" t="s">
        <v>86</v>
      </c>
      <c r="N206" s="38"/>
      <c r="O206" s="37">
        <v>180</v>
      </c>
      <c r="P206" s="42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351"/>
      <c r="R206" s="351"/>
      <c r="S206" s="351"/>
      <c r="T206" s="352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IFERROR(IF(X206="","",X206*0.0155),"")</f>
        <v>0</v>
      </c>
      <c r="AA206" s="68" t="s">
        <v>46</v>
      </c>
      <c r="AB206" s="69" t="s">
        <v>46</v>
      </c>
      <c r="AC206" s="231" t="s">
        <v>318</v>
      </c>
      <c r="AG206" s="81"/>
      <c r="AJ206" s="87" t="s">
        <v>125</v>
      </c>
      <c r="AK206" s="87">
        <v>12</v>
      </c>
      <c r="BB206" s="232" t="s">
        <v>70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61"/>
      <c r="B207" s="361"/>
      <c r="C207" s="361"/>
      <c r="D207" s="361"/>
      <c r="E207" s="361"/>
      <c r="F207" s="361"/>
      <c r="G207" s="361"/>
      <c r="H207" s="361"/>
      <c r="I207" s="361"/>
      <c r="J207" s="361"/>
      <c r="K207" s="361"/>
      <c r="L207" s="361"/>
      <c r="M207" s="361"/>
      <c r="N207" s="361"/>
      <c r="O207" s="362"/>
      <c r="P207" s="358" t="s">
        <v>40</v>
      </c>
      <c r="Q207" s="359"/>
      <c r="R207" s="359"/>
      <c r="S207" s="359"/>
      <c r="T207" s="359"/>
      <c r="U207" s="359"/>
      <c r="V207" s="360"/>
      <c r="W207" s="42" t="s">
        <v>39</v>
      </c>
      <c r="X207" s="43">
        <f>IFERROR(SUM(X206:X206),"0")</f>
        <v>0</v>
      </c>
      <c r="Y207" s="43">
        <f>IFERROR(SUM(Y206:Y206),"0")</f>
        <v>0</v>
      </c>
      <c r="Z207" s="43">
        <f>IFERROR(IF(Z206="",0,Z206),"0")</f>
        <v>0</v>
      </c>
      <c r="AA207" s="67"/>
      <c r="AB207" s="67"/>
      <c r="AC207" s="67"/>
    </row>
    <row r="208" spans="1:68" x14ac:dyDescent="0.2">
      <c r="A208" s="361"/>
      <c r="B208" s="361"/>
      <c r="C208" s="361"/>
      <c r="D208" s="361"/>
      <c r="E208" s="361"/>
      <c r="F208" s="361"/>
      <c r="G208" s="361"/>
      <c r="H208" s="361"/>
      <c r="I208" s="361"/>
      <c r="J208" s="361"/>
      <c r="K208" s="361"/>
      <c r="L208" s="361"/>
      <c r="M208" s="361"/>
      <c r="N208" s="361"/>
      <c r="O208" s="362"/>
      <c r="P208" s="358" t="s">
        <v>40</v>
      </c>
      <c r="Q208" s="359"/>
      <c r="R208" s="359"/>
      <c r="S208" s="359"/>
      <c r="T208" s="359"/>
      <c r="U208" s="359"/>
      <c r="V208" s="360"/>
      <c r="W208" s="42" t="s">
        <v>0</v>
      </c>
      <c r="X208" s="43">
        <f>IFERROR(SUMPRODUCT(X206:X206*H206:H206),"0")</f>
        <v>0</v>
      </c>
      <c r="Y208" s="43">
        <f>IFERROR(SUMPRODUCT(Y206:Y206*H206:H206),"0")</f>
        <v>0</v>
      </c>
      <c r="Z208" s="42"/>
      <c r="AA208" s="67"/>
      <c r="AB208" s="67"/>
      <c r="AC208" s="67"/>
    </row>
    <row r="209" spans="1:68" ht="16.5" customHeight="1" x14ac:dyDescent="0.25">
      <c r="A209" s="347" t="s">
        <v>319</v>
      </c>
      <c r="B209" s="347"/>
      <c r="C209" s="347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  <c r="AA209" s="65"/>
      <c r="AB209" s="65"/>
      <c r="AC209" s="82"/>
    </row>
    <row r="210" spans="1:68" ht="14.25" customHeight="1" x14ac:dyDescent="0.25">
      <c r="A210" s="348" t="s">
        <v>153</v>
      </c>
      <c r="B210" s="348"/>
      <c r="C210" s="348"/>
      <c r="D210" s="348"/>
      <c r="E210" s="348"/>
      <c r="F210" s="348"/>
      <c r="G210" s="348"/>
      <c r="H210" s="348"/>
      <c r="I210" s="348"/>
      <c r="J210" s="348"/>
      <c r="K210" s="348"/>
      <c r="L210" s="348"/>
      <c r="M210" s="348"/>
      <c r="N210" s="348"/>
      <c r="O210" s="348"/>
      <c r="P210" s="348"/>
      <c r="Q210" s="348"/>
      <c r="R210" s="348"/>
      <c r="S210" s="348"/>
      <c r="T210" s="348"/>
      <c r="U210" s="348"/>
      <c r="V210" s="348"/>
      <c r="W210" s="348"/>
      <c r="X210" s="348"/>
      <c r="Y210" s="348"/>
      <c r="Z210" s="348"/>
      <c r="AA210" s="66"/>
      <c r="AB210" s="66"/>
      <c r="AC210" s="83"/>
    </row>
    <row r="211" spans="1:68" ht="27" customHeight="1" x14ac:dyDescent="0.25">
      <c r="A211" s="63" t="s">
        <v>320</v>
      </c>
      <c r="B211" s="63" t="s">
        <v>321</v>
      </c>
      <c r="C211" s="36">
        <v>4301135691</v>
      </c>
      <c r="D211" s="349">
        <v>4620207490549</v>
      </c>
      <c r="E211" s="349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112</v>
      </c>
      <c r="L211" s="37" t="s">
        <v>88</v>
      </c>
      <c r="M211" s="38" t="s">
        <v>86</v>
      </c>
      <c r="N211" s="38"/>
      <c r="O211" s="37">
        <v>180</v>
      </c>
      <c r="P211" s="42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351"/>
      <c r="R211" s="351"/>
      <c r="S211" s="351"/>
      <c r="T211" s="352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3" t="s">
        <v>322</v>
      </c>
      <c r="AG211" s="81"/>
      <c r="AJ211" s="87" t="s">
        <v>89</v>
      </c>
      <c r="AK211" s="87">
        <v>1</v>
      </c>
      <c r="BB211" s="234" t="s">
        <v>111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323</v>
      </c>
      <c r="B212" s="63" t="s">
        <v>324</v>
      </c>
      <c r="C212" s="36">
        <v>4301135694</v>
      </c>
      <c r="D212" s="349">
        <v>4620207490501</v>
      </c>
      <c r="E212" s="349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112</v>
      </c>
      <c r="L212" s="37" t="s">
        <v>88</v>
      </c>
      <c r="M212" s="38" t="s">
        <v>86</v>
      </c>
      <c r="N212" s="38"/>
      <c r="O212" s="37">
        <v>180</v>
      </c>
      <c r="P212" s="43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351"/>
      <c r="R212" s="351"/>
      <c r="S212" s="351"/>
      <c r="T212" s="352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5" t="s">
        <v>322</v>
      </c>
      <c r="AG212" s="81"/>
      <c r="AJ212" s="87" t="s">
        <v>89</v>
      </c>
      <c r="AK212" s="87">
        <v>1</v>
      </c>
      <c r="BB212" s="236" t="s">
        <v>111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361"/>
      <c r="B213" s="361"/>
      <c r="C213" s="361"/>
      <c r="D213" s="361"/>
      <c r="E213" s="361"/>
      <c r="F213" s="361"/>
      <c r="G213" s="361"/>
      <c r="H213" s="361"/>
      <c r="I213" s="361"/>
      <c r="J213" s="361"/>
      <c r="K213" s="361"/>
      <c r="L213" s="361"/>
      <c r="M213" s="361"/>
      <c r="N213" s="361"/>
      <c r="O213" s="362"/>
      <c r="P213" s="358" t="s">
        <v>40</v>
      </c>
      <c r="Q213" s="359"/>
      <c r="R213" s="359"/>
      <c r="S213" s="359"/>
      <c r="T213" s="359"/>
      <c r="U213" s="359"/>
      <c r="V213" s="360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361"/>
      <c r="B214" s="361"/>
      <c r="C214" s="361"/>
      <c r="D214" s="361"/>
      <c r="E214" s="361"/>
      <c r="F214" s="361"/>
      <c r="G214" s="361"/>
      <c r="H214" s="361"/>
      <c r="I214" s="361"/>
      <c r="J214" s="361"/>
      <c r="K214" s="361"/>
      <c r="L214" s="361"/>
      <c r="M214" s="361"/>
      <c r="N214" s="361"/>
      <c r="O214" s="362"/>
      <c r="P214" s="358" t="s">
        <v>40</v>
      </c>
      <c r="Q214" s="359"/>
      <c r="R214" s="359"/>
      <c r="S214" s="359"/>
      <c r="T214" s="359"/>
      <c r="U214" s="359"/>
      <c r="V214" s="360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27.75" customHeight="1" x14ac:dyDescent="0.2">
      <c r="A215" s="346" t="s">
        <v>325</v>
      </c>
      <c r="B215" s="346"/>
      <c r="C215" s="346"/>
      <c r="D215" s="346"/>
      <c r="E215" s="346"/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6"/>
      <c r="Q215" s="346"/>
      <c r="R215" s="346"/>
      <c r="S215" s="346"/>
      <c r="T215" s="346"/>
      <c r="U215" s="346"/>
      <c r="V215" s="346"/>
      <c r="W215" s="346"/>
      <c r="X215" s="346"/>
      <c r="Y215" s="346"/>
      <c r="Z215" s="346"/>
      <c r="AA215" s="54"/>
      <c r="AB215" s="54"/>
      <c r="AC215" s="54"/>
    </row>
    <row r="216" spans="1:68" ht="16.5" customHeight="1" x14ac:dyDescent="0.25">
      <c r="A216" s="347" t="s">
        <v>326</v>
      </c>
      <c r="B216" s="347"/>
      <c r="C216" s="347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  <c r="AA216" s="65"/>
      <c r="AB216" s="65"/>
      <c r="AC216" s="82"/>
    </row>
    <row r="217" spans="1:68" ht="14.25" customHeight="1" x14ac:dyDescent="0.25">
      <c r="A217" s="348" t="s">
        <v>82</v>
      </c>
      <c r="B217" s="348"/>
      <c r="C217" s="348"/>
      <c r="D217" s="348"/>
      <c r="E217" s="348"/>
      <c r="F217" s="348"/>
      <c r="G217" s="348"/>
      <c r="H217" s="348"/>
      <c r="I217" s="348"/>
      <c r="J217" s="348"/>
      <c r="K217" s="348"/>
      <c r="L217" s="348"/>
      <c r="M217" s="348"/>
      <c r="N217" s="348"/>
      <c r="O217" s="348"/>
      <c r="P217" s="348"/>
      <c r="Q217" s="348"/>
      <c r="R217" s="348"/>
      <c r="S217" s="348"/>
      <c r="T217" s="348"/>
      <c r="U217" s="348"/>
      <c r="V217" s="348"/>
      <c r="W217" s="348"/>
      <c r="X217" s="348"/>
      <c r="Y217" s="348"/>
      <c r="Z217" s="348"/>
      <c r="AA217" s="66"/>
      <c r="AB217" s="66"/>
      <c r="AC217" s="83"/>
    </row>
    <row r="218" spans="1:68" ht="27" customHeight="1" x14ac:dyDescent="0.25">
      <c r="A218" s="63" t="s">
        <v>327</v>
      </c>
      <c r="B218" s="63" t="s">
        <v>328</v>
      </c>
      <c r="C218" s="36">
        <v>4301071036</v>
      </c>
      <c r="D218" s="349">
        <v>4607111036162</v>
      </c>
      <c r="E218" s="349"/>
      <c r="F218" s="62">
        <v>0.8</v>
      </c>
      <c r="G218" s="37">
        <v>8</v>
      </c>
      <c r="H218" s="62">
        <v>6.4</v>
      </c>
      <c r="I218" s="62">
        <v>6.6811999999999996</v>
      </c>
      <c r="J218" s="37">
        <v>84</v>
      </c>
      <c r="K218" s="37" t="s">
        <v>87</v>
      </c>
      <c r="L218" s="37" t="s">
        <v>88</v>
      </c>
      <c r="M218" s="38" t="s">
        <v>86</v>
      </c>
      <c r="N218" s="38"/>
      <c r="O218" s="37">
        <v>90</v>
      </c>
      <c r="P218" s="43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351"/>
      <c r="R218" s="351"/>
      <c r="S218" s="351"/>
      <c r="T218" s="352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IFERROR(IF(X218="","",X218*0.0155),"")</f>
        <v>0</v>
      </c>
      <c r="AA218" s="68" t="s">
        <v>46</v>
      </c>
      <c r="AB218" s="69" t="s">
        <v>46</v>
      </c>
      <c r="AC218" s="237" t="s">
        <v>329</v>
      </c>
      <c r="AG218" s="81"/>
      <c r="AJ218" s="87" t="s">
        <v>89</v>
      </c>
      <c r="AK218" s="87">
        <v>1</v>
      </c>
      <c r="BB218" s="238" t="s">
        <v>70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x14ac:dyDescent="0.2">
      <c r="A219" s="361"/>
      <c r="B219" s="361"/>
      <c r="C219" s="361"/>
      <c r="D219" s="361"/>
      <c r="E219" s="361"/>
      <c r="F219" s="361"/>
      <c r="G219" s="361"/>
      <c r="H219" s="361"/>
      <c r="I219" s="361"/>
      <c r="J219" s="361"/>
      <c r="K219" s="361"/>
      <c r="L219" s="361"/>
      <c r="M219" s="361"/>
      <c r="N219" s="361"/>
      <c r="O219" s="362"/>
      <c r="P219" s="358" t="s">
        <v>40</v>
      </c>
      <c r="Q219" s="359"/>
      <c r="R219" s="359"/>
      <c r="S219" s="359"/>
      <c r="T219" s="359"/>
      <c r="U219" s="359"/>
      <c r="V219" s="360"/>
      <c r="W219" s="42" t="s">
        <v>39</v>
      </c>
      <c r="X219" s="43">
        <f>IFERROR(SUM(X218:X218),"0")</f>
        <v>0</v>
      </c>
      <c r="Y219" s="43">
        <f>IFERROR(SUM(Y218:Y218),"0")</f>
        <v>0</v>
      </c>
      <c r="Z219" s="43">
        <f>IFERROR(IF(Z218="",0,Z218),"0")</f>
        <v>0</v>
      </c>
      <c r="AA219" s="67"/>
      <c r="AB219" s="67"/>
      <c r="AC219" s="67"/>
    </row>
    <row r="220" spans="1:68" x14ac:dyDescent="0.2">
      <c r="A220" s="361"/>
      <c r="B220" s="361"/>
      <c r="C220" s="361"/>
      <c r="D220" s="361"/>
      <c r="E220" s="361"/>
      <c r="F220" s="361"/>
      <c r="G220" s="361"/>
      <c r="H220" s="361"/>
      <c r="I220" s="361"/>
      <c r="J220" s="361"/>
      <c r="K220" s="361"/>
      <c r="L220" s="361"/>
      <c r="M220" s="361"/>
      <c r="N220" s="361"/>
      <c r="O220" s="362"/>
      <c r="P220" s="358" t="s">
        <v>40</v>
      </c>
      <c r="Q220" s="359"/>
      <c r="R220" s="359"/>
      <c r="S220" s="359"/>
      <c r="T220" s="359"/>
      <c r="U220" s="359"/>
      <c r="V220" s="360"/>
      <c r="W220" s="42" t="s">
        <v>0</v>
      </c>
      <c r="X220" s="43">
        <f>IFERROR(SUMPRODUCT(X218:X218*H218:H218),"0")</f>
        <v>0</v>
      </c>
      <c r="Y220" s="43">
        <f>IFERROR(SUMPRODUCT(Y218:Y218*H218:H218),"0")</f>
        <v>0</v>
      </c>
      <c r="Z220" s="42"/>
      <c r="AA220" s="67"/>
      <c r="AB220" s="67"/>
      <c r="AC220" s="67"/>
    </row>
    <row r="221" spans="1:68" ht="27.75" customHeight="1" x14ac:dyDescent="0.2">
      <c r="A221" s="346" t="s">
        <v>330</v>
      </c>
      <c r="B221" s="346"/>
      <c r="C221" s="346"/>
      <c r="D221" s="346"/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  <c r="Y221" s="346"/>
      <c r="Z221" s="346"/>
      <c r="AA221" s="54"/>
      <c r="AB221" s="54"/>
      <c r="AC221" s="54"/>
    </row>
    <row r="222" spans="1:68" ht="16.5" customHeight="1" x14ac:dyDescent="0.25">
      <c r="A222" s="347" t="s">
        <v>331</v>
      </c>
      <c r="B222" s="347"/>
      <c r="C222" s="347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  <c r="AA222" s="65"/>
      <c r="AB222" s="65"/>
      <c r="AC222" s="82"/>
    </row>
    <row r="223" spans="1:68" ht="14.25" customHeight="1" x14ac:dyDescent="0.25">
      <c r="A223" s="348" t="s">
        <v>82</v>
      </c>
      <c r="B223" s="348"/>
      <c r="C223" s="348"/>
      <c r="D223" s="348"/>
      <c r="E223" s="348"/>
      <c r="F223" s="348"/>
      <c r="G223" s="348"/>
      <c r="H223" s="348"/>
      <c r="I223" s="348"/>
      <c r="J223" s="348"/>
      <c r="K223" s="348"/>
      <c r="L223" s="348"/>
      <c r="M223" s="348"/>
      <c r="N223" s="348"/>
      <c r="O223" s="348"/>
      <c r="P223" s="348"/>
      <c r="Q223" s="348"/>
      <c r="R223" s="348"/>
      <c r="S223" s="348"/>
      <c r="T223" s="348"/>
      <c r="U223" s="348"/>
      <c r="V223" s="348"/>
      <c r="W223" s="348"/>
      <c r="X223" s="348"/>
      <c r="Y223" s="348"/>
      <c r="Z223" s="348"/>
      <c r="AA223" s="66"/>
      <c r="AB223" s="66"/>
      <c r="AC223" s="83"/>
    </row>
    <row r="224" spans="1:68" ht="27" customHeight="1" x14ac:dyDescent="0.25">
      <c r="A224" s="63" t="s">
        <v>332</v>
      </c>
      <c r="B224" s="63" t="s">
        <v>333</v>
      </c>
      <c r="C224" s="36">
        <v>4301071029</v>
      </c>
      <c r="D224" s="349">
        <v>4607111035899</v>
      </c>
      <c r="E224" s="349"/>
      <c r="F224" s="62">
        <v>1</v>
      </c>
      <c r="G224" s="37">
        <v>5</v>
      </c>
      <c r="H224" s="62">
        <v>5</v>
      </c>
      <c r="I224" s="62">
        <v>5.2619999999999996</v>
      </c>
      <c r="J224" s="37">
        <v>84</v>
      </c>
      <c r="K224" s="37" t="s">
        <v>87</v>
      </c>
      <c r="L224" s="37" t="s">
        <v>113</v>
      </c>
      <c r="M224" s="38" t="s">
        <v>86</v>
      </c>
      <c r="N224" s="38"/>
      <c r="O224" s="37">
        <v>180</v>
      </c>
      <c r="P224" s="43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351"/>
      <c r="R224" s="351"/>
      <c r="S224" s="351"/>
      <c r="T224" s="352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39" t="s">
        <v>273</v>
      </c>
      <c r="AG224" s="81"/>
      <c r="AJ224" s="87" t="s">
        <v>114</v>
      </c>
      <c r="AK224" s="87">
        <v>84</v>
      </c>
      <c r="BB224" s="240" t="s">
        <v>70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x14ac:dyDescent="0.2">
      <c r="A225" s="361"/>
      <c r="B225" s="361"/>
      <c r="C225" s="361"/>
      <c r="D225" s="361"/>
      <c r="E225" s="361"/>
      <c r="F225" s="361"/>
      <c r="G225" s="361"/>
      <c r="H225" s="361"/>
      <c r="I225" s="361"/>
      <c r="J225" s="361"/>
      <c r="K225" s="361"/>
      <c r="L225" s="361"/>
      <c r="M225" s="361"/>
      <c r="N225" s="361"/>
      <c r="O225" s="362"/>
      <c r="P225" s="358" t="s">
        <v>40</v>
      </c>
      <c r="Q225" s="359"/>
      <c r="R225" s="359"/>
      <c r="S225" s="359"/>
      <c r="T225" s="359"/>
      <c r="U225" s="359"/>
      <c r="V225" s="360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x14ac:dyDescent="0.2">
      <c r="A226" s="361"/>
      <c r="B226" s="361"/>
      <c r="C226" s="361"/>
      <c r="D226" s="361"/>
      <c r="E226" s="361"/>
      <c r="F226" s="361"/>
      <c r="G226" s="361"/>
      <c r="H226" s="361"/>
      <c r="I226" s="361"/>
      <c r="J226" s="361"/>
      <c r="K226" s="361"/>
      <c r="L226" s="361"/>
      <c r="M226" s="361"/>
      <c r="N226" s="361"/>
      <c r="O226" s="362"/>
      <c r="P226" s="358" t="s">
        <v>40</v>
      </c>
      <c r="Q226" s="359"/>
      <c r="R226" s="359"/>
      <c r="S226" s="359"/>
      <c r="T226" s="359"/>
      <c r="U226" s="359"/>
      <c r="V226" s="360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customHeight="1" x14ac:dyDescent="0.2">
      <c r="A227" s="346" t="s">
        <v>334</v>
      </c>
      <c r="B227" s="346"/>
      <c r="C227" s="346"/>
      <c r="D227" s="346"/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6"/>
      <c r="Q227" s="346"/>
      <c r="R227" s="346"/>
      <c r="S227" s="346"/>
      <c r="T227" s="346"/>
      <c r="U227" s="346"/>
      <c r="V227" s="346"/>
      <c r="W227" s="346"/>
      <c r="X227" s="346"/>
      <c r="Y227" s="346"/>
      <c r="Z227" s="346"/>
      <c r="AA227" s="54"/>
      <c r="AB227" s="54"/>
      <c r="AC227" s="54"/>
    </row>
    <row r="228" spans="1:68" ht="16.5" customHeight="1" x14ac:dyDescent="0.25">
      <c r="A228" s="347" t="s">
        <v>335</v>
      </c>
      <c r="B228" s="347"/>
      <c r="C228" s="347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  <c r="AA228" s="65"/>
      <c r="AB228" s="65"/>
      <c r="AC228" s="82"/>
    </row>
    <row r="229" spans="1:68" ht="14.25" customHeight="1" x14ac:dyDescent="0.25">
      <c r="A229" s="348" t="s">
        <v>336</v>
      </c>
      <c r="B229" s="348"/>
      <c r="C229" s="348"/>
      <c r="D229" s="348"/>
      <c r="E229" s="348"/>
      <c r="F229" s="348"/>
      <c r="G229" s="348"/>
      <c r="H229" s="348"/>
      <c r="I229" s="348"/>
      <c r="J229" s="348"/>
      <c r="K229" s="348"/>
      <c r="L229" s="348"/>
      <c r="M229" s="348"/>
      <c r="N229" s="348"/>
      <c r="O229" s="348"/>
      <c r="P229" s="348"/>
      <c r="Q229" s="348"/>
      <c r="R229" s="348"/>
      <c r="S229" s="348"/>
      <c r="T229" s="348"/>
      <c r="U229" s="348"/>
      <c r="V229" s="348"/>
      <c r="W229" s="348"/>
      <c r="X229" s="348"/>
      <c r="Y229" s="348"/>
      <c r="Z229" s="348"/>
      <c r="AA229" s="66"/>
      <c r="AB229" s="66"/>
      <c r="AC229" s="83"/>
    </row>
    <row r="230" spans="1:68" ht="27" customHeight="1" x14ac:dyDescent="0.25">
      <c r="A230" s="63" t="s">
        <v>337</v>
      </c>
      <c r="B230" s="63" t="s">
        <v>338</v>
      </c>
      <c r="C230" s="36">
        <v>4301133004</v>
      </c>
      <c r="D230" s="349">
        <v>4607111039774</v>
      </c>
      <c r="E230" s="349"/>
      <c r="F230" s="62">
        <v>0.25</v>
      </c>
      <c r="G230" s="37">
        <v>12</v>
      </c>
      <c r="H230" s="62">
        <v>3</v>
      </c>
      <c r="I230" s="62">
        <v>3.22</v>
      </c>
      <c r="J230" s="37">
        <v>70</v>
      </c>
      <c r="K230" s="37" t="s">
        <v>112</v>
      </c>
      <c r="L230" s="37" t="s">
        <v>88</v>
      </c>
      <c r="M230" s="38" t="s">
        <v>86</v>
      </c>
      <c r="N230" s="38"/>
      <c r="O230" s="37">
        <v>180</v>
      </c>
      <c r="P230" s="43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351"/>
      <c r="R230" s="351"/>
      <c r="S230" s="351"/>
      <c r="T230" s="352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IFERROR(IF(X230="","",X230*0.01788),"")</f>
        <v>0</v>
      </c>
      <c r="AA230" s="68" t="s">
        <v>46</v>
      </c>
      <c r="AB230" s="69" t="s">
        <v>46</v>
      </c>
      <c r="AC230" s="241" t="s">
        <v>339</v>
      </c>
      <c r="AG230" s="81"/>
      <c r="AJ230" s="87" t="s">
        <v>89</v>
      </c>
      <c r="AK230" s="87">
        <v>1</v>
      </c>
      <c r="BB230" s="242" t="s">
        <v>111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x14ac:dyDescent="0.2">
      <c r="A231" s="361"/>
      <c r="B231" s="361"/>
      <c r="C231" s="361"/>
      <c r="D231" s="361"/>
      <c r="E231" s="361"/>
      <c r="F231" s="361"/>
      <c r="G231" s="361"/>
      <c r="H231" s="361"/>
      <c r="I231" s="361"/>
      <c r="J231" s="361"/>
      <c r="K231" s="361"/>
      <c r="L231" s="361"/>
      <c r="M231" s="361"/>
      <c r="N231" s="361"/>
      <c r="O231" s="362"/>
      <c r="P231" s="358" t="s">
        <v>40</v>
      </c>
      <c r="Q231" s="359"/>
      <c r="R231" s="359"/>
      <c r="S231" s="359"/>
      <c r="T231" s="359"/>
      <c r="U231" s="359"/>
      <c r="V231" s="360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x14ac:dyDescent="0.2">
      <c r="A232" s="361"/>
      <c r="B232" s="361"/>
      <c r="C232" s="361"/>
      <c r="D232" s="361"/>
      <c r="E232" s="361"/>
      <c r="F232" s="361"/>
      <c r="G232" s="361"/>
      <c r="H232" s="361"/>
      <c r="I232" s="361"/>
      <c r="J232" s="361"/>
      <c r="K232" s="361"/>
      <c r="L232" s="361"/>
      <c r="M232" s="361"/>
      <c r="N232" s="361"/>
      <c r="O232" s="362"/>
      <c r="P232" s="358" t="s">
        <v>40</v>
      </c>
      <c r="Q232" s="359"/>
      <c r="R232" s="359"/>
      <c r="S232" s="359"/>
      <c r="T232" s="359"/>
      <c r="U232" s="359"/>
      <c r="V232" s="360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14.25" customHeight="1" x14ac:dyDescent="0.25">
      <c r="A233" s="348" t="s">
        <v>153</v>
      </c>
      <c r="B233" s="348"/>
      <c r="C233" s="348"/>
      <c r="D233" s="348"/>
      <c r="E233" s="348"/>
      <c r="F233" s="348"/>
      <c r="G233" s="348"/>
      <c r="H233" s="348"/>
      <c r="I233" s="348"/>
      <c r="J233" s="348"/>
      <c r="K233" s="348"/>
      <c r="L233" s="348"/>
      <c r="M233" s="348"/>
      <c r="N233" s="348"/>
      <c r="O233" s="348"/>
      <c r="P233" s="348"/>
      <c r="Q233" s="348"/>
      <c r="R233" s="348"/>
      <c r="S233" s="348"/>
      <c r="T233" s="348"/>
      <c r="U233" s="348"/>
      <c r="V233" s="348"/>
      <c r="W233" s="348"/>
      <c r="X233" s="348"/>
      <c r="Y233" s="348"/>
      <c r="Z233" s="348"/>
      <c r="AA233" s="66"/>
      <c r="AB233" s="66"/>
      <c r="AC233" s="83"/>
    </row>
    <row r="234" spans="1:68" ht="37.5" customHeight="1" x14ac:dyDescent="0.25">
      <c r="A234" s="63" t="s">
        <v>340</v>
      </c>
      <c r="B234" s="63" t="s">
        <v>341</v>
      </c>
      <c r="C234" s="36">
        <v>4301135400</v>
      </c>
      <c r="D234" s="349">
        <v>4607111039361</v>
      </c>
      <c r="E234" s="349"/>
      <c r="F234" s="62">
        <v>0.25</v>
      </c>
      <c r="G234" s="37">
        <v>12</v>
      </c>
      <c r="H234" s="62">
        <v>3</v>
      </c>
      <c r="I234" s="62">
        <v>3.7035999999999998</v>
      </c>
      <c r="J234" s="37">
        <v>70</v>
      </c>
      <c r="K234" s="37" t="s">
        <v>112</v>
      </c>
      <c r="L234" s="37" t="s">
        <v>88</v>
      </c>
      <c r="M234" s="38" t="s">
        <v>86</v>
      </c>
      <c r="N234" s="38"/>
      <c r="O234" s="37">
        <v>180</v>
      </c>
      <c r="P234" s="43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351"/>
      <c r="R234" s="351"/>
      <c r="S234" s="351"/>
      <c r="T234" s="352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3" t="s">
        <v>339</v>
      </c>
      <c r="AG234" s="81"/>
      <c r="AJ234" s="87" t="s">
        <v>89</v>
      </c>
      <c r="AK234" s="87">
        <v>1</v>
      </c>
      <c r="BB234" s="244" t="s">
        <v>111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61"/>
      <c r="B235" s="361"/>
      <c r="C235" s="361"/>
      <c r="D235" s="361"/>
      <c r="E235" s="361"/>
      <c r="F235" s="361"/>
      <c r="G235" s="361"/>
      <c r="H235" s="361"/>
      <c r="I235" s="361"/>
      <c r="J235" s="361"/>
      <c r="K235" s="361"/>
      <c r="L235" s="361"/>
      <c r="M235" s="361"/>
      <c r="N235" s="361"/>
      <c r="O235" s="362"/>
      <c r="P235" s="358" t="s">
        <v>40</v>
      </c>
      <c r="Q235" s="359"/>
      <c r="R235" s="359"/>
      <c r="S235" s="359"/>
      <c r="T235" s="359"/>
      <c r="U235" s="359"/>
      <c r="V235" s="360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61"/>
      <c r="B236" s="361"/>
      <c r="C236" s="361"/>
      <c r="D236" s="361"/>
      <c r="E236" s="361"/>
      <c r="F236" s="361"/>
      <c r="G236" s="361"/>
      <c r="H236" s="361"/>
      <c r="I236" s="361"/>
      <c r="J236" s="361"/>
      <c r="K236" s="361"/>
      <c r="L236" s="361"/>
      <c r="M236" s="361"/>
      <c r="N236" s="361"/>
      <c r="O236" s="362"/>
      <c r="P236" s="358" t="s">
        <v>40</v>
      </c>
      <c r="Q236" s="359"/>
      <c r="R236" s="359"/>
      <c r="S236" s="359"/>
      <c r="T236" s="359"/>
      <c r="U236" s="359"/>
      <c r="V236" s="360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27.75" customHeight="1" x14ac:dyDescent="0.2">
      <c r="A237" s="346" t="s">
        <v>342</v>
      </c>
      <c r="B237" s="346"/>
      <c r="C237" s="346"/>
      <c r="D237" s="346"/>
      <c r="E237" s="346"/>
      <c r="F237" s="346"/>
      <c r="G237" s="346"/>
      <c r="H237" s="346"/>
      <c r="I237" s="346"/>
      <c r="J237" s="346"/>
      <c r="K237" s="346"/>
      <c r="L237" s="346"/>
      <c r="M237" s="346"/>
      <c r="N237" s="346"/>
      <c r="O237" s="346"/>
      <c r="P237" s="346"/>
      <c r="Q237" s="346"/>
      <c r="R237" s="346"/>
      <c r="S237" s="346"/>
      <c r="T237" s="346"/>
      <c r="U237" s="346"/>
      <c r="V237" s="346"/>
      <c r="W237" s="346"/>
      <c r="X237" s="346"/>
      <c r="Y237" s="346"/>
      <c r="Z237" s="346"/>
      <c r="AA237" s="54"/>
      <c r="AB237" s="54"/>
      <c r="AC237" s="54"/>
    </row>
    <row r="238" spans="1:68" ht="16.5" customHeight="1" x14ac:dyDescent="0.25">
      <c r="A238" s="347" t="s">
        <v>342</v>
      </c>
      <c r="B238" s="347"/>
      <c r="C238" s="347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  <c r="AA238" s="65"/>
      <c r="AB238" s="65"/>
      <c r="AC238" s="82"/>
    </row>
    <row r="239" spans="1:68" ht="14.25" customHeight="1" x14ac:dyDescent="0.25">
      <c r="A239" s="348" t="s">
        <v>82</v>
      </c>
      <c r="B239" s="348"/>
      <c r="C239" s="348"/>
      <c r="D239" s="348"/>
      <c r="E239" s="348"/>
      <c r="F239" s="348"/>
      <c r="G239" s="348"/>
      <c r="H239" s="348"/>
      <c r="I239" s="348"/>
      <c r="J239" s="348"/>
      <c r="K239" s="348"/>
      <c r="L239" s="348"/>
      <c r="M239" s="348"/>
      <c r="N239" s="348"/>
      <c r="O239" s="348"/>
      <c r="P239" s="348"/>
      <c r="Q239" s="348"/>
      <c r="R239" s="348"/>
      <c r="S239" s="348"/>
      <c r="T239" s="348"/>
      <c r="U239" s="348"/>
      <c r="V239" s="348"/>
      <c r="W239" s="348"/>
      <c r="X239" s="348"/>
      <c r="Y239" s="348"/>
      <c r="Z239" s="348"/>
      <c r="AA239" s="66"/>
      <c r="AB239" s="66"/>
      <c r="AC239" s="83"/>
    </row>
    <row r="240" spans="1:68" ht="27" customHeight="1" x14ac:dyDescent="0.25">
      <c r="A240" s="63" t="s">
        <v>343</v>
      </c>
      <c r="B240" s="63" t="s">
        <v>344</v>
      </c>
      <c r="C240" s="36">
        <v>4301071014</v>
      </c>
      <c r="D240" s="349">
        <v>4640242181264</v>
      </c>
      <c r="E240" s="349"/>
      <c r="F240" s="62">
        <v>0.7</v>
      </c>
      <c r="G240" s="37">
        <v>10</v>
      </c>
      <c r="H240" s="62">
        <v>7</v>
      </c>
      <c r="I240" s="62">
        <v>7.28</v>
      </c>
      <c r="J240" s="37">
        <v>84</v>
      </c>
      <c r="K240" s="37" t="s">
        <v>87</v>
      </c>
      <c r="L240" s="37" t="s">
        <v>88</v>
      </c>
      <c r="M240" s="38" t="s">
        <v>86</v>
      </c>
      <c r="N240" s="38"/>
      <c r="O240" s="37">
        <v>180</v>
      </c>
      <c r="P240" s="43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351"/>
      <c r="R240" s="351"/>
      <c r="S240" s="351"/>
      <c r="T240" s="352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IFERROR(IF(X240="","",X240*0.0155),"")</f>
        <v>0</v>
      </c>
      <c r="AA240" s="68" t="s">
        <v>46</v>
      </c>
      <c r="AB240" s="69" t="s">
        <v>46</v>
      </c>
      <c r="AC240" s="245" t="s">
        <v>345</v>
      </c>
      <c r="AG240" s="81"/>
      <c r="AJ240" s="87" t="s">
        <v>89</v>
      </c>
      <c r="AK240" s="87">
        <v>1</v>
      </c>
      <c r="BB240" s="246" t="s">
        <v>70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ht="27" customHeight="1" x14ac:dyDescent="0.25">
      <c r="A241" s="63" t="s">
        <v>346</v>
      </c>
      <c r="B241" s="63" t="s">
        <v>347</v>
      </c>
      <c r="C241" s="36">
        <v>4301071021</v>
      </c>
      <c r="D241" s="349">
        <v>4640242181325</v>
      </c>
      <c r="E241" s="349"/>
      <c r="F241" s="62">
        <v>0.7</v>
      </c>
      <c r="G241" s="37">
        <v>10</v>
      </c>
      <c r="H241" s="62">
        <v>7</v>
      </c>
      <c r="I241" s="62">
        <v>7.28</v>
      </c>
      <c r="J241" s="37">
        <v>84</v>
      </c>
      <c r="K241" s="37" t="s">
        <v>87</v>
      </c>
      <c r="L241" s="37" t="s">
        <v>88</v>
      </c>
      <c r="M241" s="38" t="s">
        <v>86</v>
      </c>
      <c r="N241" s="38"/>
      <c r="O241" s="37">
        <v>180</v>
      </c>
      <c r="P241" s="43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351"/>
      <c r="R241" s="351"/>
      <c r="S241" s="351"/>
      <c r="T241" s="352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IFERROR(IF(X241="","",X241*0.0155),"")</f>
        <v>0</v>
      </c>
      <c r="AA241" s="68" t="s">
        <v>46</v>
      </c>
      <c r="AB241" s="69" t="s">
        <v>46</v>
      </c>
      <c r="AC241" s="247" t="s">
        <v>345</v>
      </c>
      <c r="AG241" s="81"/>
      <c r="AJ241" s="87" t="s">
        <v>89</v>
      </c>
      <c r="AK241" s="87">
        <v>1</v>
      </c>
      <c r="BB241" s="248" t="s">
        <v>70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x14ac:dyDescent="0.2">
      <c r="A242" s="361"/>
      <c r="B242" s="361"/>
      <c r="C242" s="361"/>
      <c r="D242" s="361"/>
      <c r="E242" s="361"/>
      <c r="F242" s="361"/>
      <c r="G242" s="361"/>
      <c r="H242" s="361"/>
      <c r="I242" s="361"/>
      <c r="J242" s="361"/>
      <c r="K242" s="361"/>
      <c r="L242" s="361"/>
      <c r="M242" s="361"/>
      <c r="N242" s="361"/>
      <c r="O242" s="362"/>
      <c r="P242" s="358" t="s">
        <v>40</v>
      </c>
      <c r="Q242" s="359"/>
      <c r="R242" s="359"/>
      <c r="S242" s="359"/>
      <c r="T242" s="359"/>
      <c r="U242" s="359"/>
      <c r="V242" s="360"/>
      <c r="W242" s="42" t="s">
        <v>39</v>
      </c>
      <c r="X242" s="43">
        <f>IFERROR(SUM(X240:X241),"0")</f>
        <v>0</v>
      </c>
      <c r="Y242" s="43">
        <f>IFERROR(SUM(Y240:Y241),"0")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x14ac:dyDescent="0.2">
      <c r="A243" s="361"/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2"/>
      <c r="P243" s="358" t="s">
        <v>40</v>
      </c>
      <c r="Q243" s="359"/>
      <c r="R243" s="359"/>
      <c r="S243" s="359"/>
      <c r="T243" s="359"/>
      <c r="U243" s="359"/>
      <c r="V243" s="360"/>
      <c r="W243" s="42" t="s">
        <v>0</v>
      </c>
      <c r="X243" s="43">
        <f>IFERROR(SUMPRODUCT(X240:X241*H240:H241),"0")</f>
        <v>0</v>
      </c>
      <c r="Y243" s="43">
        <f>IFERROR(SUMPRODUCT(Y240:Y241*H240:H241),"0")</f>
        <v>0</v>
      </c>
      <c r="Z243" s="42"/>
      <c r="AA243" s="67"/>
      <c r="AB243" s="67"/>
      <c r="AC243" s="67"/>
    </row>
    <row r="244" spans="1:68" ht="14.25" customHeight="1" x14ac:dyDescent="0.25">
      <c r="A244" s="348" t="s">
        <v>107</v>
      </c>
      <c r="B244" s="348"/>
      <c r="C244" s="348"/>
      <c r="D244" s="348"/>
      <c r="E244" s="348"/>
      <c r="F244" s="348"/>
      <c r="G244" s="348"/>
      <c r="H244" s="348"/>
      <c r="I244" s="348"/>
      <c r="J244" s="348"/>
      <c r="K244" s="348"/>
      <c r="L244" s="348"/>
      <c r="M244" s="348"/>
      <c r="N244" s="348"/>
      <c r="O244" s="348"/>
      <c r="P244" s="348"/>
      <c r="Q244" s="348"/>
      <c r="R244" s="348"/>
      <c r="S244" s="348"/>
      <c r="T244" s="348"/>
      <c r="U244" s="348"/>
      <c r="V244" s="348"/>
      <c r="W244" s="348"/>
      <c r="X244" s="348"/>
      <c r="Y244" s="348"/>
      <c r="Z244" s="348"/>
      <c r="AA244" s="66"/>
      <c r="AB244" s="66"/>
      <c r="AC244" s="83"/>
    </row>
    <row r="245" spans="1:68" ht="27" customHeight="1" x14ac:dyDescent="0.25">
      <c r="A245" s="63" t="s">
        <v>348</v>
      </c>
      <c r="B245" s="63" t="s">
        <v>349</v>
      </c>
      <c r="C245" s="36">
        <v>4301132080</v>
      </c>
      <c r="D245" s="349">
        <v>4640242180397</v>
      </c>
      <c r="E245" s="349"/>
      <c r="F245" s="62">
        <v>1</v>
      </c>
      <c r="G245" s="37">
        <v>6</v>
      </c>
      <c r="H245" s="62">
        <v>6</v>
      </c>
      <c r="I245" s="62">
        <v>6.26</v>
      </c>
      <c r="J245" s="37">
        <v>84</v>
      </c>
      <c r="K245" s="37" t="s">
        <v>87</v>
      </c>
      <c r="L245" s="37" t="s">
        <v>113</v>
      </c>
      <c r="M245" s="38" t="s">
        <v>86</v>
      </c>
      <c r="N245" s="38"/>
      <c r="O245" s="37">
        <v>180</v>
      </c>
      <c r="P245" s="43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351"/>
      <c r="R245" s="351"/>
      <c r="S245" s="351"/>
      <c r="T245" s="352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9" t="s">
        <v>350</v>
      </c>
      <c r="AG245" s="81"/>
      <c r="AJ245" s="87" t="s">
        <v>114</v>
      </c>
      <c r="AK245" s="87">
        <v>84</v>
      </c>
      <c r="BB245" s="250" t="s">
        <v>111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x14ac:dyDescent="0.2">
      <c r="A246" s="361"/>
      <c r="B246" s="361"/>
      <c r="C246" s="361"/>
      <c r="D246" s="361"/>
      <c r="E246" s="361"/>
      <c r="F246" s="361"/>
      <c r="G246" s="361"/>
      <c r="H246" s="361"/>
      <c r="I246" s="361"/>
      <c r="J246" s="361"/>
      <c r="K246" s="361"/>
      <c r="L246" s="361"/>
      <c r="M246" s="361"/>
      <c r="N246" s="361"/>
      <c r="O246" s="362"/>
      <c r="P246" s="358" t="s">
        <v>40</v>
      </c>
      <c r="Q246" s="359"/>
      <c r="R246" s="359"/>
      <c r="S246" s="359"/>
      <c r="T246" s="359"/>
      <c r="U246" s="359"/>
      <c r="V246" s="360"/>
      <c r="W246" s="42" t="s">
        <v>39</v>
      </c>
      <c r="X246" s="43">
        <f>IFERROR(SUM(X245:X245),"0")</f>
        <v>0</v>
      </c>
      <c r="Y246" s="43">
        <f>IFERROR(SUM(Y245:Y245),"0")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361"/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2"/>
      <c r="P247" s="358" t="s">
        <v>40</v>
      </c>
      <c r="Q247" s="359"/>
      <c r="R247" s="359"/>
      <c r="S247" s="359"/>
      <c r="T247" s="359"/>
      <c r="U247" s="359"/>
      <c r="V247" s="360"/>
      <c r="W247" s="42" t="s">
        <v>0</v>
      </c>
      <c r="X247" s="43">
        <f>IFERROR(SUMPRODUCT(X245:X245*H245:H245),"0")</f>
        <v>0</v>
      </c>
      <c r="Y247" s="43">
        <f>IFERROR(SUMPRODUCT(Y245:Y245*H245:H245),"0")</f>
        <v>0</v>
      </c>
      <c r="Z247" s="42"/>
      <c r="AA247" s="67"/>
      <c r="AB247" s="67"/>
      <c r="AC247" s="67"/>
    </row>
    <row r="248" spans="1:68" ht="14.25" customHeight="1" x14ac:dyDescent="0.25">
      <c r="A248" s="348" t="s">
        <v>147</v>
      </c>
      <c r="B248" s="348"/>
      <c r="C248" s="348"/>
      <c r="D248" s="348"/>
      <c r="E248" s="348"/>
      <c r="F248" s="348"/>
      <c r="G248" s="348"/>
      <c r="H248" s="348"/>
      <c r="I248" s="348"/>
      <c r="J248" s="348"/>
      <c r="K248" s="348"/>
      <c r="L248" s="348"/>
      <c r="M248" s="348"/>
      <c r="N248" s="348"/>
      <c r="O248" s="348"/>
      <c r="P248" s="348"/>
      <c r="Q248" s="348"/>
      <c r="R248" s="348"/>
      <c r="S248" s="348"/>
      <c r="T248" s="348"/>
      <c r="U248" s="348"/>
      <c r="V248" s="348"/>
      <c r="W248" s="348"/>
      <c r="X248" s="348"/>
      <c r="Y248" s="348"/>
      <c r="Z248" s="348"/>
      <c r="AA248" s="66"/>
      <c r="AB248" s="66"/>
      <c r="AC248" s="83"/>
    </row>
    <row r="249" spans="1:68" ht="27" customHeight="1" x14ac:dyDescent="0.25">
      <c r="A249" s="63" t="s">
        <v>351</v>
      </c>
      <c r="B249" s="63" t="s">
        <v>352</v>
      </c>
      <c r="C249" s="36">
        <v>4301136051</v>
      </c>
      <c r="D249" s="349">
        <v>4640242180304</v>
      </c>
      <c r="E249" s="349"/>
      <c r="F249" s="62">
        <v>2.7</v>
      </c>
      <c r="G249" s="37">
        <v>1</v>
      </c>
      <c r="H249" s="62">
        <v>2.7</v>
      </c>
      <c r="I249" s="62">
        <v>2.8906000000000001</v>
      </c>
      <c r="J249" s="37">
        <v>126</v>
      </c>
      <c r="K249" s="37" t="s">
        <v>112</v>
      </c>
      <c r="L249" s="37" t="s">
        <v>124</v>
      </c>
      <c r="M249" s="38" t="s">
        <v>86</v>
      </c>
      <c r="N249" s="38"/>
      <c r="O249" s="37">
        <v>180</v>
      </c>
      <c r="P249" s="43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9" s="351"/>
      <c r="R249" s="351"/>
      <c r="S249" s="351"/>
      <c r="T249" s="352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IFERROR(IF(X249="","",X249*0.00936),"")</f>
        <v>0</v>
      </c>
      <c r="AA249" s="68" t="s">
        <v>46</v>
      </c>
      <c r="AB249" s="69" t="s">
        <v>46</v>
      </c>
      <c r="AC249" s="251" t="s">
        <v>353</v>
      </c>
      <c r="AG249" s="81"/>
      <c r="AJ249" s="87" t="s">
        <v>125</v>
      </c>
      <c r="AK249" s="87">
        <v>14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customHeight="1" x14ac:dyDescent="0.25">
      <c r="A250" s="63" t="s">
        <v>354</v>
      </c>
      <c r="B250" s="63" t="s">
        <v>355</v>
      </c>
      <c r="C250" s="36">
        <v>4301136053</v>
      </c>
      <c r="D250" s="349">
        <v>4640242180236</v>
      </c>
      <c r="E250" s="349"/>
      <c r="F250" s="62">
        <v>5</v>
      </c>
      <c r="G250" s="37">
        <v>1</v>
      </c>
      <c r="H250" s="62">
        <v>5</v>
      </c>
      <c r="I250" s="62">
        <v>5.2350000000000003</v>
      </c>
      <c r="J250" s="37">
        <v>84</v>
      </c>
      <c r="K250" s="37" t="s">
        <v>87</v>
      </c>
      <c r="L250" s="37" t="s">
        <v>113</v>
      </c>
      <c r="M250" s="38" t="s">
        <v>86</v>
      </c>
      <c r="N250" s="38"/>
      <c r="O250" s="37">
        <v>180</v>
      </c>
      <c r="P250" s="43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0" s="351"/>
      <c r="R250" s="351"/>
      <c r="S250" s="351"/>
      <c r="T250" s="352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3" t="s">
        <v>353</v>
      </c>
      <c r="AG250" s="81"/>
      <c r="AJ250" s="87" t="s">
        <v>114</v>
      </c>
      <c r="AK250" s="87">
        <v>84</v>
      </c>
      <c r="BB250" s="254" t="s">
        <v>111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t="27" customHeight="1" x14ac:dyDescent="0.25">
      <c r="A251" s="63" t="s">
        <v>356</v>
      </c>
      <c r="B251" s="63" t="s">
        <v>357</v>
      </c>
      <c r="C251" s="36">
        <v>4301136052</v>
      </c>
      <c r="D251" s="349">
        <v>4640242180410</v>
      </c>
      <c r="E251" s="349"/>
      <c r="F251" s="62">
        <v>2.2400000000000002</v>
      </c>
      <c r="G251" s="37">
        <v>1</v>
      </c>
      <c r="H251" s="62">
        <v>2.2400000000000002</v>
      </c>
      <c r="I251" s="62">
        <v>2.4319999999999999</v>
      </c>
      <c r="J251" s="37">
        <v>126</v>
      </c>
      <c r="K251" s="37" t="s">
        <v>112</v>
      </c>
      <c r="L251" s="37" t="s">
        <v>124</v>
      </c>
      <c r="M251" s="38" t="s">
        <v>86</v>
      </c>
      <c r="N251" s="38"/>
      <c r="O251" s="37">
        <v>180</v>
      </c>
      <c r="P251" s="4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1" s="351"/>
      <c r="R251" s="351"/>
      <c r="S251" s="351"/>
      <c r="T251" s="352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IFERROR(IF(X251="","",X251*0.00936),"")</f>
        <v>0</v>
      </c>
      <c r="AA251" s="68" t="s">
        <v>46</v>
      </c>
      <c r="AB251" s="69" t="s">
        <v>46</v>
      </c>
      <c r="AC251" s="255" t="s">
        <v>353</v>
      </c>
      <c r="AG251" s="81"/>
      <c r="AJ251" s="87" t="s">
        <v>125</v>
      </c>
      <c r="AK251" s="87">
        <v>14</v>
      </c>
      <c r="BB251" s="256" t="s">
        <v>111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x14ac:dyDescent="0.2">
      <c r="A252" s="361"/>
      <c r="B252" s="361"/>
      <c r="C252" s="361"/>
      <c r="D252" s="361"/>
      <c r="E252" s="361"/>
      <c r="F252" s="361"/>
      <c r="G252" s="361"/>
      <c r="H252" s="361"/>
      <c r="I252" s="361"/>
      <c r="J252" s="361"/>
      <c r="K252" s="361"/>
      <c r="L252" s="361"/>
      <c r="M252" s="361"/>
      <c r="N252" s="361"/>
      <c r="O252" s="362"/>
      <c r="P252" s="358" t="s">
        <v>40</v>
      </c>
      <c r="Q252" s="359"/>
      <c r="R252" s="359"/>
      <c r="S252" s="359"/>
      <c r="T252" s="359"/>
      <c r="U252" s="359"/>
      <c r="V252" s="360"/>
      <c r="W252" s="42" t="s">
        <v>39</v>
      </c>
      <c r="X252" s="43">
        <f>IFERROR(SUM(X249:X251),"0")</f>
        <v>0</v>
      </c>
      <c r="Y252" s="43">
        <f>IFERROR(SUM(Y249:Y251),"0")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361"/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2"/>
      <c r="P253" s="358" t="s">
        <v>40</v>
      </c>
      <c r="Q253" s="359"/>
      <c r="R253" s="359"/>
      <c r="S253" s="359"/>
      <c r="T253" s="359"/>
      <c r="U253" s="359"/>
      <c r="V253" s="360"/>
      <c r="W253" s="42" t="s">
        <v>0</v>
      </c>
      <c r="X253" s="43">
        <f>IFERROR(SUMPRODUCT(X249:X251*H249:H251),"0")</f>
        <v>0</v>
      </c>
      <c r="Y253" s="43">
        <f>IFERROR(SUMPRODUCT(Y249:Y251*H249:H251),"0")</f>
        <v>0</v>
      </c>
      <c r="Z253" s="42"/>
      <c r="AA253" s="67"/>
      <c r="AB253" s="67"/>
      <c r="AC253" s="67"/>
    </row>
    <row r="254" spans="1:68" ht="14.25" customHeight="1" x14ac:dyDescent="0.25">
      <c r="A254" s="348" t="s">
        <v>153</v>
      </c>
      <c r="B254" s="348"/>
      <c r="C254" s="348"/>
      <c r="D254" s="348"/>
      <c r="E254" s="348"/>
      <c r="F254" s="348"/>
      <c r="G254" s="348"/>
      <c r="H254" s="348"/>
      <c r="I254" s="348"/>
      <c r="J254" s="348"/>
      <c r="K254" s="348"/>
      <c r="L254" s="348"/>
      <c r="M254" s="348"/>
      <c r="N254" s="348"/>
      <c r="O254" s="348"/>
      <c r="P254" s="348"/>
      <c r="Q254" s="348"/>
      <c r="R254" s="348"/>
      <c r="S254" s="348"/>
      <c r="T254" s="348"/>
      <c r="U254" s="348"/>
      <c r="V254" s="348"/>
      <c r="W254" s="348"/>
      <c r="X254" s="348"/>
      <c r="Y254" s="348"/>
      <c r="Z254" s="348"/>
      <c r="AA254" s="66"/>
      <c r="AB254" s="66"/>
      <c r="AC254" s="83"/>
    </row>
    <row r="255" spans="1:68" ht="37.5" customHeight="1" x14ac:dyDescent="0.25">
      <c r="A255" s="63" t="s">
        <v>358</v>
      </c>
      <c r="B255" s="63" t="s">
        <v>359</v>
      </c>
      <c r="C255" s="36">
        <v>4301135504</v>
      </c>
      <c r="D255" s="349">
        <v>4640242181554</v>
      </c>
      <c r="E255" s="349"/>
      <c r="F255" s="62">
        <v>3</v>
      </c>
      <c r="G255" s="37">
        <v>1</v>
      </c>
      <c r="H255" s="62">
        <v>3</v>
      </c>
      <c r="I255" s="62">
        <v>3.1920000000000002</v>
      </c>
      <c r="J255" s="37">
        <v>126</v>
      </c>
      <c r="K255" s="37" t="s">
        <v>112</v>
      </c>
      <c r="L255" s="37" t="s">
        <v>88</v>
      </c>
      <c r="M255" s="38" t="s">
        <v>86</v>
      </c>
      <c r="N255" s="38"/>
      <c r="O255" s="37">
        <v>180</v>
      </c>
      <c r="P255" s="4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5" s="351"/>
      <c r="R255" s="351"/>
      <c r="S255" s="351"/>
      <c r="T255" s="352"/>
      <c r="U255" s="39" t="s">
        <v>46</v>
      </c>
      <c r="V255" s="39" t="s">
        <v>46</v>
      </c>
      <c r="W255" s="40" t="s">
        <v>39</v>
      </c>
      <c r="X255" s="58">
        <v>0</v>
      </c>
      <c r="Y255" s="55">
        <f t="shared" ref="Y255:Y264" si="18"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360</v>
      </c>
      <c r="AG255" s="81"/>
      <c r="AJ255" s="87" t="s">
        <v>89</v>
      </c>
      <c r="AK255" s="87">
        <v>1</v>
      </c>
      <c r="BB255" s="258" t="s">
        <v>111</v>
      </c>
      <c r="BM255" s="81">
        <f t="shared" ref="BM255:BM264" si="19">IFERROR(X255*I255,"0")</f>
        <v>0</v>
      </c>
      <c r="BN255" s="81">
        <f t="shared" ref="BN255:BN264" si="20">IFERROR(Y255*I255,"0")</f>
        <v>0</v>
      </c>
      <c r="BO255" s="81">
        <f t="shared" ref="BO255:BO264" si="21">IFERROR(X255/J255,"0")</f>
        <v>0</v>
      </c>
      <c r="BP255" s="81">
        <f t="shared" ref="BP255:BP264" si="22">IFERROR(Y255/J255,"0")</f>
        <v>0</v>
      </c>
    </row>
    <row r="256" spans="1:68" ht="27" customHeight="1" x14ac:dyDescent="0.25">
      <c r="A256" s="63" t="s">
        <v>361</v>
      </c>
      <c r="B256" s="63" t="s">
        <v>362</v>
      </c>
      <c r="C256" s="36">
        <v>4301135518</v>
      </c>
      <c r="D256" s="349">
        <v>4640242181561</v>
      </c>
      <c r="E256" s="349"/>
      <c r="F256" s="62">
        <v>3.7</v>
      </c>
      <c r="G256" s="37">
        <v>1</v>
      </c>
      <c r="H256" s="62">
        <v>3.7</v>
      </c>
      <c r="I256" s="62">
        <v>3.8919999999999999</v>
      </c>
      <c r="J256" s="37">
        <v>126</v>
      </c>
      <c r="K256" s="37" t="s">
        <v>112</v>
      </c>
      <c r="L256" s="37" t="s">
        <v>124</v>
      </c>
      <c r="M256" s="38" t="s">
        <v>86</v>
      </c>
      <c r="N256" s="38"/>
      <c r="O256" s="37">
        <v>180</v>
      </c>
      <c r="P256" s="44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6" s="351"/>
      <c r="R256" s="351"/>
      <c r="S256" s="351"/>
      <c r="T256" s="352"/>
      <c r="U256" s="39" t="s">
        <v>46</v>
      </c>
      <c r="V256" s="39" t="s">
        <v>46</v>
      </c>
      <c r="W256" s="40" t="s">
        <v>39</v>
      </c>
      <c r="X256" s="58">
        <v>0</v>
      </c>
      <c r="Y256" s="55">
        <f t="shared" si="18"/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9" t="s">
        <v>363</v>
      </c>
      <c r="AG256" s="81"/>
      <c r="AJ256" s="87" t="s">
        <v>125</v>
      </c>
      <c r="AK256" s="87">
        <v>14</v>
      </c>
      <c r="BB256" s="260" t="s">
        <v>111</v>
      </c>
      <c r="BM256" s="81">
        <f t="shared" si="19"/>
        <v>0</v>
      </c>
      <c r="BN256" s="81">
        <f t="shared" si="20"/>
        <v>0</v>
      </c>
      <c r="BO256" s="81">
        <f t="shared" si="21"/>
        <v>0</v>
      </c>
      <c r="BP256" s="81">
        <f t="shared" si="22"/>
        <v>0</v>
      </c>
    </row>
    <row r="257" spans="1:68" ht="27" customHeight="1" x14ac:dyDescent="0.25">
      <c r="A257" s="63" t="s">
        <v>364</v>
      </c>
      <c r="B257" s="63" t="s">
        <v>365</v>
      </c>
      <c r="C257" s="36">
        <v>4301135374</v>
      </c>
      <c r="D257" s="349">
        <v>4640242181424</v>
      </c>
      <c r="E257" s="349"/>
      <c r="F257" s="62">
        <v>5.5</v>
      </c>
      <c r="G257" s="37">
        <v>1</v>
      </c>
      <c r="H257" s="62">
        <v>5.5</v>
      </c>
      <c r="I257" s="62">
        <v>5.7350000000000003</v>
      </c>
      <c r="J257" s="37">
        <v>84</v>
      </c>
      <c r="K257" s="37" t="s">
        <v>87</v>
      </c>
      <c r="L257" s="37" t="s">
        <v>124</v>
      </c>
      <c r="M257" s="38" t="s">
        <v>86</v>
      </c>
      <c r="N257" s="38"/>
      <c r="O257" s="37">
        <v>180</v>
      </c>
      <c r="P257" s="44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7" s="351"/>
      <c r="R257" s="351"/>
      <c r="S257" s="351"/>
      <c r="T257" s="352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si="18"/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61" t="s">
        <v>360</v>
      </c>
      <c r="AG257" s="81"/>
      <c r="AJ257" s="87" t="s">
        <v>125</v>
      </c>
      <c r="AK257" s="87">
        <v>12</v>
      </c>
      <c r="BB257" s="262" t="s">
        <v>111</v>
      </c>
      <c r="BM257" s="81">
        <f t="shared" si="19"/>
        <v>0</v>
      </c>
      <c r="BN257" s="81">
        <f t="shared" si="20"/>
        <v>0</v>
      </c>
      <c r="BO257" s="81">
        <f t="shared" si="21"/>
        <v>0</v>
      </c>
      <c r="BP257" s="81">
        <f t="shared" si="22"/>
        <v>0</v>
      </c>
    </row>
    <row r="258" spans="1:68" ht="27" customHeight="1" x14ac:dyDescent="0.25">
      <c r="A258" s="63" t="s">
        <v>366</v>
      </c>
      <c r="B258" s="63" t="s">
        <v>367</v>
      </c>
      <c r="C258" s="36">
        <v>4301135405</v>
      </c>
      <c r="D258" s="349">
        <v>4640242181523</v>
      </c>
      <c r="E258" s="349"/>
      <c r="F258" s="62">
        <v>3</v>
      </c>
      <c r="G258" s="37">
        <v>1</v>
      </c>
      <c r="H258" s="62">
        <v>3</v>
      </c>
      <c r="I258" s="62">
        <v>3.1920000000000002</v>
      </c>
      <c r="J258" s="37">
        <v>126</v>
      </c>
      <c r="K258" s="37" t="s">
        <v>112</v>
      </c>
      <c r="L258" s="37" t="s">
        <v>124</v>
      </c>
      <c r="M258" s="38" t="s">
        <v>86</v>
      </c>
      <c r="N258" s="38"/>
      <c r="O258" s="37">
        <v>180</v>
      </c>
      <c r="P258" s="44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8" s="351"/>
      <c r="R258" s="351"/>
      <c r="S258" s="351"/>
      <c r="T258" s="352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8"/>
        <v>0</v>
      </c>
      <c r="Z258" s="41">
        <f t="shared" ref="Z258:Z263" si="23">IFERROR(IF(X258="","",X258*0.00936),"")</f>
        <v>0</v>
      </c>
      <c r="AA258" s="68" t="s">
        <v>46</v>
      </c>
      <c r="AB258" s="69" t="s">
        <v>46</v>
      </c>
      <c r="AC258" s="263" t="s">
        <v>363</v>
      </c>
      <c r="AG258" s="81"/>
      <c r="AJ258" s="87" t="s">
        <v>125</v>
      </c>
      <c r="AK258" s="87">
        <v>14</v>
      </c>
      <c r="BB258" s="264" t="s">
        <v>111</v>
      </c>
      <c r="BM258" s="81">
        <f t="shared" si="19"/>
        <v>0</v>
      </c>
      <c r="BN258" s="81">
        <f t="shared" si="20"/>
        <v>0</v>
      </c>
      <c r="BO258" s="81">
        <f t="shared" si="21"/>
        <v>0</v>
      </c>
      <c r="BP258" s="81">
        <f t="shared" si="22"/>
        <v>0</v>
      </c>
    </row>
    <row r="259" spans="1:68" ht="27" customHeight="1" x14ac:dyDescent="0.25">
      <c r="A259" s="63" t="s">
        <v>368</v>
      </c>
      <c r="B259" s="63" t="s">
        <v>369</v>
      </c>
      <c r="C259" s="36">
        <v>4301135375</v>
      </c>
      <c r="D259" s="349">
        <v>4640242181486</v>
      </c>
      <c r="E259" s="349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112</v>
      </c>
      <c r="L259" s="37" t="s">
        <v>124</v>
      </c>
      <c r="M259" s="38" t="s">
        <v>86</v>
      </c>
      <c r="N259" s="38"/>
      <c r="O259" s="37">
        <v>180</v>
      </c>
      <c r="P259" s="44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9" s="351"/>
      <c r="R259" s="351"/>
      <c r="S259" s="351"/>
      <c r="T259" s="352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 t="shared" si="23"/>
        <v>0</v>
      </c>
      <c r="AA259" s="68" t="s">
        <v>46</v>
      </c>
      <c r="AB259" s="69" t="s">
        <v>46</v>
      </c>
      <c r="AC259" s="265" t="s">
        <v>360</v>
      </c>
      <c r="AG259" s="81"/>
      <c r="AJ259" s="87" t="s">
        <v>125</v>
      </c>
      <c r="AK259" s="87">
        <v>14</v>
      </c>
      <c r="BB259" s="266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37.5" customHeight="1" x14ac:dyDescent="0.25">
      <c r="A260" s="63" t="s">
        <v>370</v>
      </c>
      <c r="B260" s="63" t="s">
        <v>371</v>
      </c>
      <c r="C260" s="36">
        <v>4301135402</v>
      </c>
      <c r="D260" s="349">
        <v>4640242181493</v>
      </c>
      <c r="E260" s="349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88</v>
      </c>
      <c r="M260" s="38" t="s">
        <v>86</v>
      </c>
      <c r="N260" s="38"/>
      <c r="O260" s="37">
        <v>180</v>
      </c>
      <c r="P260" s="44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0" s="351"/>
      <c r="R260" s="351"/>
      <c r="S260" s="351"/>
      <c r="T260" s="352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si="23"/>
        <v>0</v>
      </c>
      <c r="AA260" s="68" t="s">
        <v>46</v>
      </c>
      <c r="AB260" s="69" t="s">
        <v>46</v>
      </c>
      <c r="AC260" s="267" t="s">
        <v>360</v>
      </c>
      <c r="AG260" s="81"/>
      <c r="AJ260" s="87" t="s">
        <v>89</v>
      </c>
      <c r="AK260" s="87">
        <v>1</v>
      </c>
      <c r="BB260" s="268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37.5" customHeight="1" x14ac:dyDescent="0.25">
      <c r="A261" s="63" t="s">
        <v>372</v>
      </c>
      <c r="B261" s="63" t="s">
        <v>373</v>
      </c>
      <c r="C261" s="36">
        <v>4301135403</v>
      </c>
      <c r="D261" s="349">
        <v>4640242181509</v>
      </c>
      <c r="E261" s="349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112</v>
      </c>
      <c r="L261" s="37" t="s">
        <v>88</v>
      </c>
      <c r="M261" s="38" t="s">
        <v>86</v>
      </c>
      <c r="N261" s="38"/>
      <c r="O261" s="37">
        <v>180</v>
      </c>
      <c r="P261" s="44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1" s="351"/>
      <c r="R261" s="351"/>
      <c r="S261" s="351"/>
      <c r="T261" s="352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si="23"/>
        <v>0</v>
      </c>
      <c r="AA261" s="68" t="s">
        <v>46</v>
      </c>
      <c r="AB261" s="69" t="s">
        <v>46</v>
      </c>
      <c r="AC261" s="269" t="s">
        <v>360</v>
      </c>
      <c r="AG261" s="81"/>
      <c r="AJ261" s="87" t="s">
        <v>89</v>
      </c>
      <c r="AK261" s="87">
        <v>1</v>
      </c>
      <c r="BB261" s="270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374</v>
      </c>
      <c r="B262" s="63" t="s">
        <v>375</v>
      </c>
      <c r="C262" s="36">
        <v>4301135304</v>
      </c>
      <c r="D262" s="349">
        <v>4640242181240</v>
      </c>
      <c r="E262" s="349"/>
      <c r="F262" s="62">
        <v>0.3</v>
      </c>
      <c r="G262" s="37">
        <v>9</v>
      </c>
      <c r="H262" s="62">
        <v>2.7</v>
      </c>
      <c r="I262" s="62">
        <v>2.88</v>
      </c>
      <c r="J262" s="37">
        <v>126</v>
      </c>
      <c r="K262" s="37" t="s">
        <v>112</v>
      </c>
      <c r="L262" s="37" t="s">
        <v>88</v>
      </c>
      <c r="M262" s="38" t="s">
        <v>86</v>
      </c>
      <c r="N262" s="38"/>
      <c r="O262" s="37">
        <v>180</v>
      </c>
      <c r="P262" s="44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2" s="351"/>
      <c r="R262" s="351"/>
      <c r="S262" s="351"/>
      <c r="T262" s="352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71" t="s">
        <v>360</v>
      </c>
      <c r="AG262" s="81"/>
      <c r="AJ262" s="87" t="s">
        <v>89</v>
      </c>
      <c r="AK262" s="87">
        <v>1</v>
      </c>
      <c r="BB262" s="272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376</v>
      </c>
      <c r="B263" s="63" t="s">
        <v>377</v>
      </c>
      <c r="C263" s="36">
        <v>4301135610</v>
      </c>
      <c r="D263" s="349">
        <v>4640242181318</v>
      </c>
      <c r="E263" s="349"/>
      <c r="F263" s="62">
        <v>0.3</v>
      </c>
      <c r="G263" s="37">
        <v>9</v>
      </c>
      <c r="H263" s="62">
        <v>2.7</v>
      </c>
      <c r="I263" s="62">
        <v>2.988</v>
      </c>
      <c r="J263" s="37">
        <v>126</v>
      </c>
      <c r="K263" s="37" t="s">
        <v>112</v>
      </c>
      <c r="L263" s="37" t="s">
        <v>88</v>
      </c>
      <c r="M263" s="38" t="s">
        <v>86</v>
      </c>
      <c r="N263" s="38"/>
      <c r="O263" s="37">
        <v>180</v>
      </c>
      <c r="P263" s="44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3" s="351"/>
      <c r="R263" s="351"/>
      <c r="S263" s="351"/>
      <c r="T263" s="352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73" t="s">
        <v>363</v>
      </c>
      <c r="AG263" s="81"/>
      <c r="AJ263" s="87" t="s">
        <v>89</v>
      </c>
      <c r="AK263" s="87">
        <v>1</v>
      </c>
      <c r="BB263" s="274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customHeight="1" x14ac:dyDescent="0.25">
      <c r="A264" s="63" t="s">
        <v>378</v>
      </c>
      <c r="B264" s="63" t="s">
        <v>379</v>
      </c>
      <c r="C264" s="36">
        <v>4301135306</v>
      </c>
      <c r="D264" s="349">
        <v>4640242181387</v>
      </c>
      <c r="E264" s="349"/>
      <c r="F264" s="62">
        <v>0.3</v>
      </c>
      <c r="G264" s="37">
        <v>9</v>
      </c>
      <c r="H264" s="62">
        <v>2.7</v>
      </c>
      <c r="I264" s="62">
        <v>2.8450000000000002</v>
      </c>
      <c r="J264" s="37">
        <v>234</v>
      </c>
      <c r="K264" s="37" t="s">
        <v>165</v>
      </c>
      <c r="L264" s="37" t="s">
        <v>88</v>
      </c>
      <c r="M264" s="38" t="s">
        <v>86</v>
      </c>
      <c r="N264" s="38"/>
      <c r="O264" s="37">
        <v>180</v>
      </c>
      <c r="P264" s="45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4" s="351"/>
      <c r="R264" s="351"/>
      <c r="S264" s="351"/>
      <c r="T264" s="352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>IFERROR(IF(X264="","",X264*0.00502),"")</f>
        <v>0</v>
      </c>
      <c r="AA264" s="68" t="s">
        <v>46</v>
      </c>
      <c r="AB264" s="69" t="s">
        <v>46</v>
      </c>
      <c r="AC264" s="275" t="s">
        <v>360</v>
      </c>
      <c r="AG264" s="81"/>
      <c r="AJ264" s="87" t="s">
        <v>89</v>
      </c>
      <c r="AK264" s="87">
        <v>1</v>
      </c>
      <c r="BB264" s="276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x14ac:dyDescent="0.2">
      <c r="A265" s="361"/>
      <c r="B265" s="361"/>
      <c r="C265" s="361"/>
      <c r="D265" s="361"/>
      <c r="E265" s="361"/>
      <c r="F265" s="361"/>
      <c r="G265" s="361"/>
      <c r="H265" s="361"/>
      <c r="I265" s="361"/>
      <c r="J265" s="361"/>
      <c r="K265" s="361"/>
      <c r="L265" s="361"/>
      <c r="M265" s="361"/>
      <c r="N265" s="361"/>
      <c r="O265" s="362"/>
      <c r="P265" s="358" t="s">
        <v>40</v>
      </c>
      <c r="Q265" s="359"/>
      <c r="R265" s="359"/>
      <c r="S265" s="359"/>
      <c r="T265" s="359"/>
      <c r="U265" s="359"/>
      <c r="V265" s="360"/>
      <c r="W265" s="42" t="s">
        <v>39</v>
      </c>
      <c r="X265" s="43">
        <f>IFERROR(SUM(X255:X264),"0")</f>
        <v>0</v>
      </c>
      <c r="Y265" s="43">
        <f>IFERROR(SUM(Y255:Y264),"0")</f>
        <v>0</v>
      </c>
      <c r="Z265" s="43">
        <f>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361"/>
      <c r="B266" s="361"/>
      <c r="C266" s="361"/>
      <c r="D266" s="361"/>
      <c r="E266" s="361"/>
      <c r="F266" s="361"/>
      <c r="G266" s="361"/>
      <c r="H266" s="361"/>
      <c r="I266" s="361"/>
      <c r="J266" s="361"/>
      <c r="K266" s="361"/>
      <c r="L266" s="361"/>
      <c r="M266" s="361"/>
      <c r="N266" s="361"/>
      <c r="O266" s="362"/>
      <c r="P266" s="358" t="s">
        <v>40</v>
      </c>
      <c r="Q266" s="359"/>
      <c r="R266" s="359"/>
      <c r="S266" s="359"/>
      <c r="T266" s="359"/>
      <c r="U266" s="359"/>
      <c r="V266" s="360"/>
      <c r="W266" s="42" t="s">
        <v>0</v>
      </c>
      <c r="X266" s="43">
        <f>IFERROR(SUMPRODUCT(X255:X264*H255:H264),"0")</f>
        <v>0</v>
      </c>
      <c r="Y266" s="43">
        <f>IFERROR(SUMPRODUCT(Y255:Y264*H255:H264),"0")</f>
        <v>0</v>
      </c>
      <c r="Z266" s="42"/>
      <c r="AA266" s="67"/>
      <c r="AB266" s="67"/>
      <c r="AC266" s="67"/>
    </row>
    <row r="267" spans="1:68" ht="15" customHeight="1" x14ac:dyDescent="0.2">
      <c r="A267" s="361"/>
      <c r="B267" s="361"/>
      <c r="C267" s="361"/>
      <c r="D267" s="361"/>
      <c r="E267" s="361"/>
      <c r="F267" s="361"/>
      <c r="G267" s="361"/>
      <c r="H267" s="361"/>
      <c r="I267" s="361"/>
      <c r="J267" s="361"/>
      <c r="K267" s="361"/>
      <c r="L267" s="361"/>
      <c r="M267" s="361"/>
      <c r="N267" s="361"/>
      <c r="O267" s="455"/>
      <c r="P267" s="452" t="s">
        <v>33</v>
      </c>
      <c r="Q267" s="453"/>
      <c r="R267" s="453"/>
      <c r="S267" s="453"/>
      <c r="T267" s="453"/>
      <c r="U267" s="453"/>
      <c r="V267" s="454"/>
      <c r="W267" s="42" t="s">
        <v>0</v>
      </c>
      <c r="X267" s="43">
        <f>IFERROR(X29+X35+X42+X49+X57+X62+X66+X71+X77+X83+X88+X94+X104+X110+X122+X127+X131+X137+X143+X149+X154+X159+X164+X169+X176+X185+X189+X195+X203+X208+X214+X220+X226+X232+X236+X243+X247+X253+X266,"0")</f>
        <v>0</v>
      </c>
      <c r="Y267" s="43">
        <f>IFERROR(Y29+Y35+Y42+Y49+Y57+Y62+Y66+Y71+Y77+Y83+Y88+Y94+Y104+Y110+Y122+Y127+Y131+Y137+Y143+Y149+Y154+Y159+Y164+Y169+Y176+Y185+Y189+Y195+Y203+Y208+Y214+Y220+Y226+Y232+Y236+Y243+Y247+Y253+Y266,"0")</f>
        <v>0</v>
      </c>
      <c r="Z267" s="42"/>
      <c r="AA267" s="67"/>
      <c r="AB267" s="67"/>
      <c r="AC267" s="67"/>
    </row>
    <row r="268" spans="1:68" x14ac:dyDescent="0.2">
      <c r="A268" s="361"/>
      <c r="B268" s="361"/>
      <c r="C268" s="361"/>
      <c r="D268" s="361"/>
      <c r="E268" s="361"/>
      <c r="F268" s="361"/>
      <c r="G268" s="361"/>
      <c r="H268" s="361"/>
      <c r="I268" s="361"/>
      <c r="J268" s="361"/>
      <c r="K268" s="361"/>
      <c r="L268" s="361"/>
      <c r="M268" s="361"/>
      <c r="N268" s="361"/>
      <c r="O268" s="455"/>
      <c r="P268" s="452" t="s">
        <v>34</v>
      </c>
      <c r="Q268" s="453"/>
      <c r="R268" s="453"/>
      <c r="S268" s="453"/>
      <c r="T268" s="453"/>
      <c r="U268" s="453"/>
      <c r="V268" s="454"/>
      <c r="W268" s="42" t="s">
        <v>0</v>
      </c>
      <c r="X268" s="43">
        <f>IFERROR(SUM(BM22:BM264),"0")</f>
        <v>0</v>
      </c>
      <c r="Y268" s="43">
        <f>IFERROR(SUM(BN22:BN264),"0")</f>
        <v>0</v>
      </c>
      <c r="Z268" s="42"/>
      <c r="AA268" s="67"/>
      <c r="AB268" s="67"/>
      <c r="AC268" s="67"/>
    </row>
    <row r="269" spans="1:68" x14ac:dyDescent="0.2">
      <c r="A269" s="361"/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455"/>
      <c r="P269" s="452" t="s">
        <v>35</v>
      </c>
      <c r="Q269" s="453"/>
      <c r="R269" s="453"/>
      <c r="S269" s="453"/>
      <c r="T269" s="453"/>
      <c r="U269" s="453"/>
      <c r="V269" s="454"/>
      <c r="W269" s="42" t="s">
        <v>20</v>
      </c>
      <c r="X269" s="44">
        <f>ROUNDUP(SUM(BO22:BO264),0)</f>
        <v>0</v>
      </c>
      <c r="Y269" s="44">
        <f>ROUNDUP(SUM(BP22:BP264),0)</f>
        <v>0</v>
      </c>
      <c r="Z269" s="42"/>
      <c r="AA269" s="67"/>
      <c r="AB269" s="67"/>
      <c r="AC269" s="67"/>
    </row>
    <row r="270" spans="1:68" x14ac:dyDescent="0.2">
      <c r="A270" s="361"/>
      <c r="B270" s="361"/>
      <c r="C270" s="361"/>
      <c r="D270" s="361"/>
      <c r="E270" s="361"/>
      <c r="F270" s="361"/>
      <c r="G270" s="361"/>
      <c r="H270" s="361"/>
      <c r="I270" s="361"/>
      <c r="J270" s="361"/>
      <c r="K270" s="361"/>
      <c r="L270" s="361"/>
      <c r="M270" s="361"/>
      <c r="N270" s="361"/>
      <c r="O270" s="455"/>
      <c r="P270" s="452" t="s">
        <v>36</v>
      </c>
      <c r="Q270" s="453"/>
      <c r="R270" s="453"/>
      <c r="S270" s="453"/>
      <c r="T270" s="453"/>
      <c r="U270" s="453"/>
      <c r="V270" s="454"/>
      <c r="W270" s="42" t="s">
        <v>0</v>
      </c>
      <c r="X270" s="43">
        <f>GrossWeightTotal+PalletQtyTotal*25</f>
        <v>0</v>
      </c>
      <c r="Y270" s="43">
        <f>GrossWeightTotalR+PalletQtyTotalR*25</f>
        <v>0</v>
      </c>
      <c r="Z270" s="42"/>
      <c r="AA270" s="67"/>
      <c r="AB270" s="67"/>
      <c r="AC270" s="67"/>
    </row>
    <row r="271" spans="1:68" x14ac:dyDescent="0.2">
      <c r="A271" s="361"/>
      <c r="B271" s="361"/>
      <c r="C271" s="361"/>
      <c r="D271" s="361"/>
      <c r="E271" s="361"/>
      <c r="F271" s="361"/>
      <c r="G271" s="361"/>
      <c r="H271" s="361"/>
      <c r="I271" s="361"/>
      <c r="J271" s="361"/>
      <c r="K271" s="361"/>
      <c r="L271" s="361"/>
      <c r="M271" s="361"/>
      <c r="N271" s="361"/>
      <c r="O271" s="455"/>
      <c r="P271" s="452" t="s">
        <v>37</v>
      </c>
      <c r="Q271" s="453"/>
      <c r="R271" s="453"/>
      <c r="S271" s="453"/>
      <c r="T271" s="453"/>
      <c r="U271" s="453"/>
      <c r="V271" s="454"/>
      <c r="W271" s="42" t="s">
        <v>20</v>
      </c>
      <c r="X271" s="43">
        <f>IFERROR(X28+X34+X41+X48+X56+X61+X65+X70+X76+X82+X87+X93+X103+X109+X121+X126+X130+X136+X142+X148+X153+X158+X163+X168+X175+X184+X188+X194+X202+X207+X213+X219+X225+X231+X235+X242+X246+X252+X265,"0")</f>
        <v>0</v>
      </c>
      <c r="Y271" s="43">
        <f>IFERROR(Y28+Y34+Y41+Y48+Y56+Y61+Y65+Y70+Y76+Y82+Y87+Y93+Y103+Y109+Y121+Y126+Y130+Y136+Y142+Y148+Y153+Y158+Y163+Y168+Y175+Y184+Y188+Y194+Y202+Y207+Y213+Y219+Y225+Y231+Y235+Y242+Y246+Y252+Y265,"0")</f>
        <v>0</v>
      </c>
      <c r="Z271" s="42"/>
      <c r="AA271" s="67"/>
      <c r="AB271" s="67"/>
      <c r="AC271" s="67"/>
    </row>
    <row r="272" spans="1:68" ht="14.25" x14ac:dyDescent="0.2">
      <c r="A272" s="361"/>
      <c r="B272" s="361"/>
      <c r="C272" s="361"/>
      <c r="D272" s="361"/>
      <c r="E272" s="361"/>
      <c r="F272" s="361"/>
      <c r="G272" s="361"/>
      <c r="H272" s="361"/>
      <c r="I272" s="361"/>
      <c r="J272" s="361"/>
      <c r="K272" s="361"/>
      <c r="L272" s="361"/>
      <c r="M272" s="361"/>
      <c r="N272" s="361"/>
      <c r="O272" s="455"/>
      <c r="P272" s="452" t="s">
        <v>38</v>
      </c>
      <c r="Q272" s="453"/>
      <c r="R272" s="453"/>
      <c r="S272" s="453"/>
      <c r="T272" s="453"/>
      <c r="U272" s="453"/>
      <c r="V272" s="454"/>
      <c r="W272" s="45" t="s">
        <v>52</v>
      </c>
      <c r="X272" s="42"/>
      <c r="Y272" s="42"/>
      <c r="Z272" s="42">
        <f>IFERROR(Z28+Z34+Z41+Z48+Z56+Z61+Z65+Z70+Z76+Z82+Z87+Z93+Z103+Z109+Z121+Z126+Z130+Z136+Z142+Z148+Z153+Z158+Z163+Z168+Z175+Z184+Z188+Z194+Z202+Z207+Z213+Z219+Z225+Z231+Z235+Z242+Z246+Z252+Z265,"0")</f>
        <v>0</v>
      </c>
      <c r="AA272" s="67"/>
      <c r="AB272" s="67"/>
      <c r="AC272" s="67"/>
    </row>
    <row r="273" spans="1:32" ht="13.5" thickBot="1" x14ac:dyDescent="0.25"/>
    <row r="274" spans="1:32" ht="27" thickTop="1" thickBot="1" x14ac:dyDescent="0.25">
      <c r="A274" s="46" t="s">
        <v>9</v>
      </c>
      <c r="B274" s="451" t="s">
        <v>81</v>
      </c>
      <c r="C274" s="451" t="s">
        <v>81</v>
      </c>
      <c r="D274" s="451" t="s">
        <v>45</v>
      </c>
      <c r="E274" s="451" t="s">
        <v>45</v>
      </c>
      <c r="F274" s="451" t="s">
        <v>45</v>
      </c>
      <c r="G274" s="451" t="s">
        <v>45</v>
      </c>
      <c r="H274" s="451" t="s">
        <v>45</v>
      </c>
      <c r="I274" s="451" t="s">
        <v>45</v>
      </c>
      <c r="J274" s="451" t="s">
        <v>45</v>
      </c>
      <c r="K274" s="451" t="s">
        <v>45</v>
      </c>
      <c r="L274" s="451" t="s">
        <v>45</v>
      </c>
      <c r="M274" s="451" t="s">
        <v>45</v>
      </c>
      <c r="N274" s="456"/>
      <c r="O274" s="451" t="s">
        <v>45</v>
      </c>
      <c r="P274" s="451" t="s">
        <v>45</v>
      </c>
      <c r="Q274" s="451" t="s">
        <v>45</v>
      </c>
      <c r="R274" s="451" t="s">
        <v>45</v>
      </c>
      <c r="S274" s="451" t="s">
        <v>45</v>
      </c>
      <c r="T274" s="451" t="s">
        <v>45</v>
      </c>
      <c r="U274" s="451" t="s">
        <v>45</v>
      </c>
      <c r="V274" s="88" t="s">
        <v>266</v>
      </c>
      <c r="W274" s="88" t="s">
        <v>274</v>
      </c>
      <c r="X274" s="451" t="s">
        <v>296</v>
      </c>
      <c r="Y274" s="451" t="s">
        <v>296</v>
      </c>
      <c r="Z274" s="451" t="s">
        <v>296</v>
      </c>
      <c r="AA274" s="88" t="s">
        <v>325</v>
      </c>
      <c r="AB274" s="88" t="s">
        <v>330</v>
      </c>
      <c r="AC274" s="88" t="s">
        <v>334</v>
      </c>
      <c r="AD274" s="88" t="s">
        <v>342</v>
      </c>
      <c r="AF274" s="1"/>
    </row>
    <row r="275" spans="1:32" ht="14.25" customHeight="1" thickTop="1" x14ac:dyDescent="0.2">
      <c r="A275" s="457" t="s">
        <v>10</v>
      </c>
      <c r="B275" s="451" t="s">
        <v>81</v>
      </c>
      <c r="C275" s="451" t="s">
        <v>100</v>
      </c>
      <c r="D275" s="451" t="s">
        <v>106</v>
      </c>
      <c r="E275" s="451" t="s">
        <v>117</v>
      </c>
      <c r="F275" s="451" t="s">
        <v>129</v>
      </c>
      <c r="G275" s="451" t="s">
        <v>140</v>
      </c>
      <c r="H275" s="451" t="s">
        <v>161</v>
      </c>
      <c r="I275" s="451" t="s">
        <v>168</v>
      </c>
      <c r="J275" s="451" t="s">
        <v>172</v>
      </c>
      <c r="K275" s="451" t="s">
        <v>180</v>
      </c>
      <c r="L275" s="451" t="s">
        <v>195</v>
      </c>
      <c r="M275" s="451" t="s">
        <v>201</v>
      </c>
      <c r="N275" s="1"/>
      <c r="O275" s="451" t="s">
        <v>232</v>
      </c>
      <c r="P275" s="451" t="s">
        <v>238</v>
      </c>
      <c r="Q275" s="451" t="s">
        <v>245</v>
      </c>
      <c r="R275" s="451" t="s">
        <v>250</v>
      </c>
      <c r="S275" s="451" t="s">
        <v>254</v>
      </c>
      <c r="T275" s="451" t="s">
        <v>257</v>
      </c>
      <c r="U275" s="451" t="s">
        <v>262</v>
      </c>
      <c r="V275" s="451" t="s">
        <v>267</v>
      </c>
      <c r="W275" s="451" t="s">
        <v>275</v>
      </c>
      <c r="X275" s="451" t="s">
        <v>297</v>
      </c>
      <c r="Y275" s="451" t="s">
        <v>315</v>
      </c>
      <c r="Z275" s="451" t="s">
        <v>319</v>
      </c>
      <c r="AA275" s="451" t="s">
        <v>326</v>
      </c>
      <c r="AB275" s="451" t="s">
        <v>331</v>
      </c>
      <c r="AC275" s="451" t="s">
        <v>335</v>
      </c>
      <c r="AD275" s="451" t="s">
        <v>342</v>
      </c>
      <c r="AF275" s="1"/>
    </row>
    <row r="276" spans="1:32" ht="13.5" thickBot="1" x14ac:dyDescent="0.25">
      <c r="A276" s="458"/>
      <c r="B276" s="451"/>
      <c r="C276" s="451"/>
      <c r="D276" s="451"/>
      <c r="E276" s="451"/>
      <c r="F276" s="451"/>
      <c r="G276" s="451"/>
      <c r="H276" s="451"/>
      <c r="I276" s="451"/>
      <c r="J276" s="451"/>
      <c r="K276" s="451"/>
      <c r="L276" s="451"/>
      <c r="M276" s="451"/>
      <c r="N276" s="1"/>
      <c r="O276" s="451"/>
      <c r="P276" s="451"/>
      <c r="Q276" s="451"/>
      <c r="R276" s="451"/>
      <c r="S276" s="451"/>
      <c r="T276" s="451"/>
      <c r="U276" s="451"/>
      <c r="V276" s="451"/>
      <c r="W276" s="451"/>
      <c r="X276" s="451"/>
      <c r="Y276" s="451"/>
      <c r="Z276" s="451"/>
      <c r="AA276" s="451"/>
      <c r="AB276" s="451"/>
      <c r="AC276" s="451"/>
      <c r="AD276" s="451"/>
      <c r="AF276" s="1"/>
    </row>
    <row r="277" spans="1:32" ht="18" thickTop="1" thickBot="1" x14ac:dyDescent="0.25">
      <c r="A277" s="46" t="s">
        <v>13</v>
      </c>
      <c r="B277" s="52">
        <f>IFERROR(X22*H22,"0")+IFERROR(X23*H23,"0")+IFERROR(X24*H24,"0")+IFERROR(X25*H25,"0")+IFERROR(X26*H26,"0")+IFERROR(X27*H27,"0")</f>
        <v>0</v>
      </c>
      <c r="C277" s="52">
        <f>IFERROR(X32*H32,"0")+IFERROR(X33*H33,"0")</f>
        <v>0</v>
      </c>
      <c r="D277" s="52">
        <f>IFERROR(X39*H39,"0")+IFERROR(X40*H40,"0")</f>
        <v>0</v>
      </c>
      <c r="E277" s="52">
        <f>IFERROR(X45*H45,"0")+IFERROR(X46*H46,"0")+IFERROR(X47*H47,"0")</f>
        <v>0</v>
      </c>
      <c r="F277" s="52">
        <f>IFERROR(X52*H52,"0")+IFERROR(X53*H53,"0")+IFERROR(X54*H54,"0")+IFERROR(X55*H55,"0")</f>
        <v>0</v>
      </c>
      <c r="G277" s="52">
        <f>IFERROR(X60*H60,"0")+IFERROR(X64*H64,"0")+IFERROR(X68*H68,"0")+IFERROR(X69*H69,"0")+IFERROR(X73*H73,"0")+IFERROR(X74*H74,"0")+IFERROR(X75*H75,"0")</f>
        <v>0</v>
      </c>
      <c r="H277" s="52">
        <f>IFERROR(X80*H80,"0")+IFERROR(X81*H81,"0")</f>
        <v>0</v>
      </c>
      <c r="I277" s="52">
        <f>IFERROR(X86*H86,"0")</f>
        <v>0</v>
      </c>
      <c r="J277" s="52">
        <f>IFERROR(X91*H91,"0")+IFERROR(X92*H92,"0")</f>
        <v>0</v>
      </c>
      <c r="K277" s="52">
        <f>IFERROR(X97*H97,"0")+IFERROR(X98*H98,"0")+IFERROR(X99*H99,"0")+IFERROR(X100*H100,"0")+IFERROR(X101*H101,"0")+IFERROR(X102*H102,"0")</f>
        <v>0</v>
      </c>
      <c r="L277" s="52">
        <f>IFERROR(X107*H107,"0")+IFERROR(X108*H108,"0")</f>
        <v>0</v>
      </c>
      <c r="M277" s="52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0</v>
      </c>
      <c r="N277" s="1"/>
      <c r="O277" s="52">
        <f>IFERROR(X134*H134,"0")+IFERROR(X135*H135,"0")</f>
        <v>0</v>
      </c>
      <c r="P277" s="52">
        <f>IFERROR(X140*H140,"0")+IFERROR(X141*H141,"0")</f>
        <v>0</v>
      </c>
      <c r="Q277" s="52">
        <f>IFERROR(X146*H146,"0")+IFERROR(X147*H147,"0")</f>
        <v>0</v>
      </c>
      <c r="R277" s="52">
        <f>IFERROR(X152*H152,"0")</f>
        <v>0</v>
      </c>
      <c r="S277" s="52">
        <f>IFERROR(X157*H157,"0")</f>
        <v>0</v>
      </c>
      <c r="T277" s="52">
        <f>IFERROR(X162*H162,"0")</f>
        <v>0</v>
      </c>
      <c r="U277" s="52">
        <f>IFERROR(X167*H167,"0")</f>
        <v>0</v>
      </c>
      <c r="V277" s="52">
        <f>IFERROR(X173*H173,"0")+IFERROR(X174*H174,"0")</f>
        <v>0</v>
      </c>
      <c r="W277" s="52">
        <f>IFERROR(X180*H180,"0")+IFERROR(X181*H181,"0")+IFERROR(X182*H182,"0")+IFERROR(X183*H183,"0")+IFERROR(X187*H187,"0")</f>
        <v>0</v>
      </c>
      <c r="X277" s="52">
        <f>IFERROR(X193*H193,"0")+IFERROR(X197*H197,"0")+IFERROR(X198*H198,"0")+IFERROR(X199*H199,"0")+IFERROR(X200*H200,"0")+IFERROR(X201*H201,"0")</f>
        <v>0</v>
      </c>
      <c r="Y277" s="52">
        <f>IFERROR(X206*H206,"0")</f>
        <v>0</v>
      </c>
      <c r="Z277" s="52">
        <f>IFERROR(X211*H211,"0")+IFERROR(X212*H212,"0")</f>
        <v>0</v>
      </c>
      <c r="AA277" s="52">
        <f>IFERROR(X218*H218,"0")</f>
        <v>0</v>
      </c>
      <c r="AB277" s="52">
        <f>IFERROR(X224*H224,"0")</f>
        <v>0</v>
      </c>
      <c r="AC277" s="52">
        <f>IFERROR(X230*H230,"0")+IFERROR(X234*H234,"0")</f>
        <v>0</v>
      </c>
      <c r="AD277" s="52">
        <f>IFERROR(X240*H240,"0")+IFERROR(X241*H241,"0")+IFERROR(X245*H245,"0")+IFERROR(X249*H249,"0")+IFERROR(X250*H250,"0")+IFERROR(X251*H251,"0")+IFERROR(X255*H255,"0")+IFERROR(X256*H256,"0")+IFERROR(X257*H257,"0")+IFERROR(X258*H258,"0")+IFERROR(X259*H259,"0")+IFERROR(X260*H260,"0")+IFERROR(X261*H261,"0")+IFERROR(X262*H262,"0")+IFERROR(X263*H263,"0")+IFERROR(X264*H264,"0")</f>
        <v>0</v>
      </c>
      <c r="AF277" s="1"/>
    </row>
    <row r="278" spans="1:32" ht="13.5" thickTop="1" x14ac:dyDescent="0.2">
      <c r="C278" s="1"/>
    </row>
    <row r="279" spans="1:32" ht="19.5" customHeight="1" x14ac:dyDescent="0.2">
      <c r="A279" s="70" t="s">
        <v>62</v>
      </c>
      <c r="B279" s="70" t="s">
        <v>63</v>
      </c>
      <c r="C279" s="70" t="s">
        <v>65</v>
      </c>
    </row>
    <row r="280" spans="1:32" x14ac:dyDescent="0.2">
      <c r="A280" s="71">
        <f>SUMPRODUCT(--(BB:BB="ЗПФ"),--(W:W="кор"),H:H,Y:Y)+SUMPRODUCT(--(BB:BB="ЗПФ"),--(W:W="кг"),Y:Y)</f>
        <v>0</v>
      </c>
      <c r="B280" s="72">
        <f>SUMPRODUCT(--(BB:BB="ПГП"),--(W:W="кор"),H:H,Y:Y)+SUMPRODUCT(--(BB:BB="ПГП"),--(W:W="кг"),Y:Y)</f>
        <v>0</v>
      </c>
      <c r="C280" s="72">
        <f>SUMPRODUCT(--(BB:BB="КИЗ"),--(W:W="кор"),H:H,Y:Y)+SUMPRODUCT(--(BB:BB="КИЗ"),--(W:W="кг"),Y:Y)</f>
        <v>0</v>
      </c>
    </row>
  </sheetData>
  <sheetProtection algorithmName="SHA-512" hashValue="TRpqM8dX4SwdF2OAiWDwmAUMml53OPdmomJHjEJafMyankdsPXDbKoUUGoqQ+9TAbPksN2cm2V4m10MDJOmlEQ==" saltValue="25TPb3N9mve5WdTnf+0k6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6">
    <mergeCell ref="Y275:Y276"/>
    <mergeCell ref="Z275:Z276"/>
    <mergeCell ref="AA275:AA276"/>
    <mergeCell ref="AB275:AB276"/>
    <mergeCell ref="AC275:AC276"/>
    <mergeCell ref="AD275:AD276"/>
    <mergeCell ref="X274:Z274"/>
    <mergeCell ref="A275:A276"/>
    <mergeCell ref="B275:B276"/>
    <mergeCell ref="C275:C276"/>
    <mergeCell ref="D275:D276"/>
    <mergeCell ref="E275:E276"/>
    <mergeCell ref="F275:F276"/>
    <mergeCell ref="G275:G276"/>
    <mergeCell ref="H275:H276"/>
    <mergeCell ref="I275:I276"/>
    <mergeCell ref="J275:J276"/>
    <mergeCell ref="K275:K276"/>
    <mergeCell ref="L275:L276"/>
    <mergeCell ref="M275:M276"/>
    <mergeCell ref="O275:O276"/>
    <mergeCell ref="P275:P276"/>
    <mergeCell ref="Q275:Q276"/>
    <mergeCell ref="R275:R276"/>
    <mergeCell ref="S275:S276"/>
    <mergeCell ref="T275:T276"/>
    <mergeCell ref="U275:U276"/>
    <mergeCell ref="V275:V276"/>
    <mergeCell ref="W275:W276"/>
    <mergeCell ref="X275:X276"/>
    <mergeCell ref="P267:V267"/>
    <mergeCell ref="A267:O272"/>
    <mergeCell ref="P268:V268"/>
    <mergeCell ref="P269:V269"/>
    <mergeCell ref="P270:V270"/>
    <mergeCell ref="P271:V271"/>
    <mergeCell ref="P272:V272"/>
    <mergeCell ref="B274:C274"/>
    <mergeCell ref="D274:U274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A237:Z237"/>
    <mergeCell ref="A238:Z238"/>
    <mergeCell ref="A239:Z239"/>
    <mergeCell ref="D240:E240"/>
    <mergeCell ref="P240:T240"/>
    <mergeCell ref="D241:E241"/>
    <mergeCell ref="P241:T241"/>
    <mergeCell ref="P242:V242"/>
    <mergeCell ref="A242:O243"/>
    <mergeCell ref="P243:V243"/>
    <mergeCell ref="P231:V231"/>
    <mergeCell ref="A231:O232"/>
    <mergeCell ref="P232:V232"/>
    <mergeCell ref="A233:Z233"/>
    <mergeCell ref="D234:E234"/>
    <mergeCell ref="P234:T234"/>
    <mergeCell ref="P235:V235"/>
    <mergeCell ref="A235:O236"/>
    <mergeCell ref="P236:V236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A217:Z217"/>
    <mergeCell ref="D218:E218"/>
    <mergeCell ref="P218:T218"/>
    <mergeCell ref="P219:V219"/>
    <mergeCell ref="A219:O220"/>
    <mergeCell ref="P220:V220"/>
    <mergeCell ref="A221:Z221"/>
    <mergeCell ref="A222:Z222"/>
    <mergeCell ref="A223:Z223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A210:Z210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A192:Z192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67:E167"/>
    <mergeCell ref="P167:T167"/>
    <mergeCell ref="P168:V168"/>
    <mergeCell ref="A168:O169"/>
    <mergeCell ref="P169:V169"/>
    <mergeCell ref="A170:Z170"/>
    <mergeCell ref="A171:Z171"/>
    <mergeCell ref="A172:Z172"/>
    <mergeCell ref="D173:E173"/>
    <mergeCell ref="P173:T173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P153:V153"/>
    <mergeCell ref="A153:O154"/>
    <mergeCell ref="P154:V154"/>
    <mergeCell ref="A155:Z155"/>
    <mergeCell ref="A156:Z156"/>
    <mergeCell ref="D157:E157"/>
    <mergeCell ref="P157:T157"/>
    <mergeCell ref="P158:V158"/>
    <mergeCell ref="A158:O159"/>
    <mergeCell ref="P159:V159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0:X264 X255 X240:X241 X234 X230 X218 X211:X212 X201 X199 X197 X187 X183 X167 X162 X146 X140 X129 X125 X120 X117 X114 X108 X101 X99 X73 X68:X69 X64 X60 X47 X45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50 X245 X224 X180:X182 X141 X134:X135 X119 X116 X100 X98 X81 X55" xr:uid="{00000000-0002-0000-0000-000019000000}">
      <formula1>IF(AK39&gt;0,OR(X39=0,AND(IF(X39-AK39&gt;=0,TRUE,FALSE),X39&gt;0,IF(X39/J39=ROUND(X39/J39,0),TRUE,FALSE))),FALSE)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256:X259 X251 X249 X206 X200 X198 X193 X173:X174 X157 X152 X147 X124 X118 X115 X113 X107 X102 X97 X91:X92 X86 X80 X74:X75 X52:X54" xr:uid="{00000000-0002-0000-0000-00001C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3" t="s">
        <v>381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383</v>
      </c>
      <c r="D6" s="53" t="s">
        <v>384</v>
      </c>
      <c r="E6" s="53" t="s">
        <v>46</v>
      </c>
    </row>
    <row r="8" spans="2:8" x14ac:dyDescent="0.2">
      <c r="B8" s="53" t="s">
        <v>80</v>
      </c>
      <c r="C8" s="53" t="s">
        <v>383</v>
      </c>
      <c r="D8" s="53" t="s">
        <v>46</v>
      </c>
      <c r="E8" s="53" t="s">
        <v>46</v>
      </c>
    </row>
    <row r="10" spans="2:8" x14ac:dyDescent="0.2">
      <c r="B10" s="53" t="s">
        <v>385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395</v>
      </c>
      <c r="C20" s="53" t="s">
        <v>46</v>
      </c>
      <c r="D20" s="53" t="s">
        <v>46</v>
      </c>
      <c r="E20" s="53" t="s">
        <v>46</v>
      </c>
    </row>
  </sheetData>
  <sheetProtection algorithmName="SHA-512" hashValue="RlaRSTvIqy3hMXHlmCfd9yy7fsD6oAU6hmEuuSuGE6jxlvE9zxO6+HvawZhycWS7Ggq80IQy9nJ0gU5okAHtPw==" saltValue="vHolAaTOA0m6Ag439XS4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2026-01-13T07:40:20Z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