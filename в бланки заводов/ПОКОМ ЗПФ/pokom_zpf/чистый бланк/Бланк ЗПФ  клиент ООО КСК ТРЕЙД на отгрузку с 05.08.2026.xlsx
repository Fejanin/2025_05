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8280A0C-CE56-4745-9897-CDC6F54DE072}" xr6:coauthVersionLast="47" xr6:coauthVersionMax="47" xr10:uidLastSave="{00000000-0000-0000-0000-000000000000}"/>
  <bookViews>
    <workbookView xWindow="75" yWindow="0" windowWidth="2157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заказа'!$X$292:$X$292</definedName>
    <definedName name="GrossWeightTotalR">'Бланк заказа'!$Y$292:$Y$292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заказа'!$X$293:$X$293</definedName>
    <definedName name="PalletQtyTotalR">'Бланк заказа'!$Y$293:$Y$293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заказа'!$B$100:$B$100</definedName>
    <definedName name="ProductId37">'Бланк заказа'!$B$105:$B$105</definedName>
    <definedName name="ProductId38">'Бланк заказа'!$B$106:$B$106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заказа'!$B$153:$B$153</definedName>
    <definedName name="ProductId61">'Бланк заказа'!$B$158:$B$158</definedName>
    <definedName name="ProductId62">'Бланк заказа'!$B$159:$B$159</definedName>
    <definedName name="ProductId63">'Бланк заказа'!$B$164:$B$164</definedName>
    <definedName name="ProductId64">'Бланк заказа'!$B$169:$B$169</definedName>
    <definedName name="ProductId65">'Бланк заказа'!$B$174:$B$174</definedName>
    <definedName name="ProductId66">'Бланк заказа'!$B$175:$B$175</definedName>
    <definedName name="ProductId67">'Бланк заказа'!$B$181:$B$181</definedName>
    <definedName name="ProductId68">'Бланк заказа'!$B$186:$B$186</definedName>
    <definedName name="ProductId69">'Бланк заказа'!$B$187:$B$187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заказа'!$B$199:$B$199</definedName>
    <definedName name="ProductId73">'Бланк заказа'!$B$200:$B$200</definedName>
    <definedName name="ProductId74">'Бланк заказа'!$B$201:$B$201</definedName>
    <definedName name="ProductId75">'Бланк заказа'!$B$202:$B$202</definedName>
    <definedName name="ProductId76">'Бланк заказа'!$B$208:$B$208</definedName>
    <definedName name="ProductId77">'Бланк заказа'!$B$212:$B$212</definedName>
    <definedName name="ProductId78">'Бланк заказа'!$B$213:$B$213</definedName>
    <definedName name="ProductId79">'Бланк заказа'!$B$214:$B$214</definedName>
    <definedName name="ProductId8">'Бланк заказа'!$B$29:$B$29</definedName>
    <definedName name="ProductId80">'Бланк заказа'!$B$219:$B$219</definedName>
    <definedName name="ProductId81">'Бланк заказа'!$B$220:$B$220</definedName>
    <definedName name="ProductId82">'Бланк заказа'!$B$225:$B$225</definedName>
    <definedName name="ProductId83">'Бланк заказа'!$B$230:$B$230</definedName>
    <definedName name="ProductId84">'Бланк заказа'!$B$236:$B$236</definedName>
    <definedName name="ProductId85">'Бланк заказа'!$B$242:$B$242</definedName>
    <definedName name="ProductId86">'Бланк заказа'!$B$248:$B$248</definedName>
    <definedName name="ProductId87">'Бланк заказа'!$B$252:$B$252</definedName>
    <definedName name="ProductId88">'Бланк заказа'!$B$258:$B$258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заказа'!$B$279:$B$279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заказа'!$X$100:$X$100</definedName>
    <definedName name="SalesQty37">'Бланк заказа'!$X$105:$X$105</definedName>
    <definedName name="SalesQty38">'Бланк заказа'!$X$106:$X$106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заказа'!$X$153:$X$153</definedName>
    <definedName name="SalesQty61">'Бланк заказа'!$X$158:$X$158</definedName>
    <definedName name="SalesQty62">'Бланк заказа'!$X$159:$X$159</definedName>
    <definedName name="SalesQty63">'Бланк заказа'!$X$164:$X$164</definedName>
    <definedName name="SalesQty64">'Бланк заказа'!$X$169:$X$169</definedName>
    <definedName name="SalesQty65">'Бланк заказа'!$X$174:$X$174</definedName>
    <definedName name="SalesQty66">'Бланк заказа'!$X$175:$X$175</definedName>
    <definedName name="SalesQty67">'Бланк заказа'!$X$181:$X$181</definedName>
    <definedName name="SalesQty68">'Бланк заказа'!$X$186:$X$186</definedName>
    <definedName name="SalesQty69">'Бланк заказа'!$X$187:$X$187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заказа'!$X$199:$X$199</definedName>
    <definedName name="SalesQty73">'Бланк заказа'!$X$200:$X$200</definedName>
    <definedName name="SalesQty74">'Бланк заказа'!$X$201:$X$201</definedName>
    <definedName name="SalesQty75">'Бланк заказа'!$X$202:$X$202</definedName>
    <definedName name="SalesQty76">'Бланк заказа'!$X$208:$X$208</definedName>
    <definedName name="SalesQty77">'Бланк заказа'!$X$212:$X$212</definedName>
    <definedName name="SalesQty78">'Бланк заказа'!$X$213:$X$213</definedName>
    <definedName name="SalesQty79">'Бланк заказа'!$X$214:$X$214</definedName>
    <definedName name="SalesQty8">'Бланк заказа'!$X$29:$X$29</definedName>
    <definedName name="SalesQty80">'Бланк заказа'!$X$219:$X$219</definedName>
    <definedName name="SalesQty81">'Бланк заказа'!$X$220:$X$220</definedName>
    <definedName name="SalesQty82">'Бланк заказа'!$X$225:$X$225</definedName>
    <definedName name="SalesQty83">'Бланк заказа'!$X$230:$X$230</definedName>
    <definedName name="SalesQty84">'Бланк заказа'!$X$236:$X$236</definedName>
    <definedName name="SalesQty85">'Бланк заказа'!$X$242:$X$242</definedName>
    <definedName name="SalesQty86">'Бланк заказа'!$X$248:$X$248</definedName>
    <definedName name="SalesQty87">'Бланк заказа'!$X$252:$X$252</definedName>
    <definedName name="SalesQty88">'Бланк заказа'!$X$258:$X$258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заказа'!$X$279:$X$279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заказа'!$Y$100:$Y$100</definedName>
    <definedName name="SalesRoundBox37">'Бланк заказа'!$Y$105:$Y$105</definedName>
    <definedName name="SalesRoundBox38">'Бланк заказа'!$Y$106:$Y$106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заказа'!$Y$153:$Y$153</definedName>
    <definedName name="SalesRoundBox61">'Бланк заказа'!$Y$158:$Y$158</definedName>
    <definedName name="SalesRoundBox62">'Бланк заказа'!$Y$159:$Y$159</definedName>
    <definedName name="SalesRoundBox63">'Бланк заказа'!$Y$164:$Y$164</definedName>
    <definedName name="SalesRoundBox64">'Бланк заказа'!$Y$169:$Y$169</definedName>
    <definedName name="SalesRoundBox65">'Бланк заказа'!$Y$174:$Y$174</definedName>
    <definedName name="SalesRoundBox66">'Бланк заказа'!$Y$175:$Y$175</definedName>
    <definedName name="SalesRoundBox67">'Бланк заказа'!$Y$181:$Y$181</definedName>
    <definedName name="SalesRoundBox68">'Бланк заказа'!$Y$186:$Y$186</definedName>
    <definedName name="SalesRoundBox69">'Бланк заказа'!$Y$187:$Y$187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заказа'!$Y$199:$Y$199</definedName>
    <definedName name="SalesRoundBox73">'Бланк заказа'!$Y$200:$Y$200</definedName>
    <definedName name="SalesRoundBox74">'Бланк заказа'!$Y$201:$Y$201</definedName>
    <definedName name="SalesRoundBox75">'Бланк заказа'!$Y$202:$Y$202</definedName>
    <definedName name="SalesRoundBox76">'Бланк заказа'!$Y$208:$Y$208</definedName>
    <definedName name="SalesRoundBox77">'Бланк заказа'!$Y$212:$Y$212</definedName>
    <definedName name="SalesRoundBox78">'Бланк заказа'!$Y$213:$Y$213</definedName>
    <definedName name="SalesRoundBox79">'Бланк заказа'!$Y$214:$Y$214</definedName>
    <definedName name="SalesRoundBox8">'Бланк заказа'!$Y$29:$Y$29</definedName>
    <definedName name="SalesRoundBox80">'Бланк заказа'!$Y$219:$Y$219</definedName>
    <definedName name="SalesRoundBox81">'Бланк заказа'!$Y$220:$Y$220</definedName>
    <definedName name="SalesRoundBox82">'Бланк заказа'!$Y$225:$Y$225</definedName>
    <definedName name="SalesRoundBox83">'Бланк заказа'!$Y$230:$Y$230</definedName>
    <definedName name="SalesRoundBox84">'Бланк заказа'!$Y$236:$Y$236</definedName>
    <definedName name="SalesRoundBox85">'Бланк заказа'!$Y$242:$Y$242</definedName>
    <definedName name="SalesRoundBox86">'Бланк заказа'!$Y$248:$Y$248</definedName>
    <definedName name="SalesRoundBox87">'Бланк заказа'!$Y$252:$Y$252</definedName>
    <definedName name="SalesRoundBox88">'Бланк заказа'!$Y$258:$Y$258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заказа'!$Y$279:$Y$279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заказа'!$W$100:$W$100</definedName>
    <definedName name="UnitOfMeasure37">'Бланк заказа'!$W$105:$W$105</definedName>
    <definedName name="UnitOfMeasure38">'Бланк заказа'!$W$106:$W$106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заказа'!$W$153:$W$153</definedName>
    <definedName name="UnitOfMeasure61">'Бланк заказа'!$W$158:$W$158</definedName>
    <definedName name="UnitOfMeasure62">'Бланк заказа'!$W$159:$W$159</definedName>
    <definedName name="UnitOfMeasure63">'Бланк заказа'!$W$164:$W$164</definedName>
    <definedName name="UnitOfMeasure64">'Бланк заказа'!$W$169:$W$169</definedName>
    <definedName name="UnitOfMeasure65">'Бланк заказа'!$W$174:$W$174</definedName>
    <definedName name="UnitOfMeasure66">'Бланк заказа'!$W$175:$W$175</definedName>
    <definedName name="UnitOfMeasure67">'Бланк заказа'!$W$181:$W$181</definedName>
    <definedName name="UnitOfMeasure68">'Бланк заказа'!$W$186:$W$186</definedName>
    <definedName name="UnitOfMeasure69">'Бланк заказа'!$W$187:$W$187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заказа'!$W$199:$W$199</definedName>
    <definedName name="UnitOfMeasure73">'Бланк заказа'!$W$200:$W$200</definedName>
    <definedName name="UnitOfMeasure74">'Бланк заказа'!$W$201:$W$201</definedName>
    <definedName name="UnitOfMeasure75">'Бланк заказа'!$W$202:$W$202</definedName>
    <definedName name="UnitOfMeasure76">'Бланк заказа'!$W$208:$W$208</definedName>
    <definedName name="UnitOfMeasure77">'Бланк заказа'!$W$212:$W$212</definedName>
    <definedName name="UnitOfMeasure78">'Бланк заказа'!$W$213:$W$213</definedName>
    <definedName name="UnitOfMeasure79">'Бланк заказа'!$W$214:$W$214</definedName>
    <definedName name="UnitOfMeasure8">'Бланк заказа'!$W$29:$W$29</definedName>
    <definedName name="UnitOfMeasure80">'Бланк заказа'!$W$219:$W$219</definedName>
    <definedName name="UnitOfMeasure81">'Бланк заказа'!$W$220:$W$220</definedName>
    <definedName name="UnitOfMeasure82">'Бланк заказа'!$W$225:$W$225</definedName>
    <definedName name="UnitOfMeasure83">'Бланк заказа'!$W$230:$W$230</definedName>
    <definedName name="UnitOfMeasure84">'Бланк заказа'!$W$236:$W$236</definedName>
    <definedName name="UnitOfMeasure85">'Бланк заказа'!$W$242:$W$242</definedName>
    <definedName name="UnitOfMeasure86">'Бланк заказа'!$W$248:$W$248</definedName>
    <definedName name="UnitOfMeasure87">'Бланк заказа'!$W$252:$W$252</definedName>
    <definedName name="UnitOfMeasure88">'Бланк заказа'!$W$258:$W$258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заказа'!$W$279:$W$279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301" i="2" l="1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X290" i="2"/>
  <c r="X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N284" i="2"/>
  <c r="BM284" i="2"/>
  <c r="Z284" i="2"/>
  <c r="Y284" i="2"/>
  <c r="BP284" i="2" s="1"/>
  <c r="P284" i="2"/>
  <c r="BP283" i="2"/>
  <c r="BO283" i="2"/>
  <c r="BN283" i="2"/>
  <c r="BM283" i="2"/>
  <c r="Z283" i="2"/>
  <c r="Y283" i="2"/>
  <c r="P283" i="2"/>
  <c r="BO282" i="2"/>
  <c r="BM282" i="2"/>
  <c r="Z282" i="2"/>
  <c r="Y282" i="2"/>
  <c r="P282" i="2"/>
  <c r="BP281" i="2"/>
  <c r="BO281" i="2"/>
  <c r="BN281" i="2"/>
  <c r="BM281" i="2"/>
  <c r="Z281" i="2"/>
  <c r="Y281" i="2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X277" i="2"/>
  <c r="X276" i="2"/>
  <c r="BO275" i="2"/>
  <c r="BN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P273" i="2"/>
  <c r="X271" i="2"/>
  <c r="X270" i="2"/>
  <c r="BO269" i="2"/>
  <c r="BM269" i="2"/>
  <c r="Z269" i="2"/>
  <c r="Z270" i="2" s="1"/>
  <c r="Y269" i="2"/>
  <c r="Y271" i="2" s="1"/>
  <c r="P269" i="2"/>
  <c r="X267" i="2"/>
  <c r="X266" i="2"/>
  <c r="BO265" i="2"/>
  <c r="BM265" i="2"/>
  <c r="Z265" i="2"/>
  <c r="Y265" i="2"/>
  <c r="P265" i="2"/>
  <c r="BO264" i="2"/>
  <c r="BM264" i="2"/>
  <c r="Z264" i="2"/>
  <c r="Y264" i="2"/>
  <c r="BN264" i="2" s="1"/>
  <c r="P264" i="2"/>
  <c r="X260" i="2"/>
  <c r="Z259" i="2"/>
  <c r="X259" i="2"/>
  <c r="BO258" i="2"/>
  <c r="BM258" i="2"/>
  <c r="Z258" i="2"/>
  <c r="Y258" i="2"/>
  <c r="BN258" i="2" s="1"/>
  <c r="P258" i="2"/>
  <c r="X254" i="2"/>
  <c r="Z253" i="2"/>
  <c r="Y253" i="2"/>
  <c r="X253" i="2"/>
  <c r="BO252" i="2"/>
  <c r="BN252" i="2"/>
  <c r="BM252" i="2"/>
  <c r="Z252" i="2"/>
  <c r="Y252" i="2"/>
  <c r="Y254" i="2" s="1"/>
  <c r="P252" i="2"/>
  <c r="Y250" i="2"/>
  <c r="X250" i="2"/>
  <c r="Z249" i="2"/>
  <c r="Y249" i="2"/>
  <c r="X249" i="2"/>
  <c r="BO248" i="2"/>
  <c r="BM248" i="2"/>
  <c r="Z248" i="2"/>
  <c r="Y248" i="2"/>
  <c r="BN248" i="2" s="1"/>
  <c r="P248" i="2"/>
  <c r="Y244" i="2"/>
  <c r="X244" i="2"/>
  <c r="Y243" i="2"/>
  <c r="X243" i="2"/>
  <c r="BP242" i="2"/>
  <c r="BO242" i="2"/>
  <c r="BN242" i="2"/>
  <c r="BM242" i="2"/>
  <c r="Z242" i="2"/>
  <c r="Z243" i="2" s="1"/>
  <c r="Y242" i="2"/>
  <c r="P242" i="2"/>
  <c r="Y238" i="2"/>
  <c r="X238" i="2"/>
  <c r="Y237" i="2"/>
  <c r="X237" i="2"/>
  <c r="BO236" i="2"/>
  <c r="BM236" i="2"/>
  <c r="Z236" i="2"/>
  <c r="Z237" i="2" s="1"/>
  <c r="Y236" i="2"/>
  <c r="BN236" i="2" s="1"/>
  <c r="P236" i="2"/>
  <c r="Y232" i="2"/>
  <c r="X232" i="2"/>
  <c r="X231" i="2"/>
  <c r="BP230" i="2"/>
  <c r="BO230" i="2"/>
  <c r="BM230" i="2"/>
  <c r="Z230" i="2"/>
  <c r="Z231" i="2" s="1"/>
  <c r="Y230" i="2"/>
  <c r="Y231" i="2" s="1"/>
  <c r="P230" i="2"/>
  <c r="X227" i="2"/>
  <c r="X226" i="2"/>
  <c r="BO225" i="2"/>
  <c r="BM225" i="2"/>
  <c r="Z225" i="2"/>
  <c r="Z226" i="2" s="1"/>
  <c r="Y225" i="2"/>
  <c r="BN225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Z221" i="2" s="1"/>
  <c r="Y219" i="2"/>
  <c r="BP219" i="2" s="1"/>
  <c r="P219" i="2"/>
  <c r="X216" i="2"/>
  <c r="X215" i="2"/>
  <c r="BP214" i="2"/>
  <c r="BO214" i="2"/>
  <c r="BN214" i="2"/>
  <c r="BM214" i="2"/>
  <c r="Z214" i="2"/>
  <c r="Y214" i="2"/>
  <c r="P214" i="2"/>
  <c r="BO213" i="2"/>
  <c r="BM213" i="2"/>
  <c r="Z213" i="2"/>
  <c r="Y213" i="2"/>
  <c r="BN213" i="2" s="1"/>
  <c r="P213" i="2"/>
  <c r="BO212" i="2"/>
  <c r="BN212" i="2"/>
  <c r="BM212" i="2"/>
  <c r="Z212" i="2"/>
  <c r="Y212" i="2"/>
  <c r="P212" i="2"/>
  <c r="X210" i="2"/>
  <c r="X209" i="2"/>
  <c r="BP208" i="2"/>
  <c r="BO208" i="2"/>
  <c r="BM208" i="2"/>
  <c r="Z208" i="2"/>
  <c r="Z209" i="2" s="1"/>
  <c r="Y208" i="2"/>
  <c r="Y210" i="2" s="1"/>
  <c r="P208" i="2"/>
  <c r="X204" i="2"/>
  <c r="X203" i="2"/>
  <c r="BP202" i="2"/>
  <c r="BO202" i="2"/>
  <c r="BN202" i="2"/>
  <c r="BM202" i="2"/>
  <c r="Z202" i="2"/>
  <c r="Y202" i="2"/>
  <c r="P202" i="2"/>
  <c r="BO201" i="2"/>
  <c r="BM201" i="2"/>
  <c r="Z201" i="2"/>
  <c r="Y201" i="2"/>
  <c r="BP201" i="2" s="1"/>
  <c r="P201" i="2"/>
  <c r="BP200" i="2"/>
  <c r="BO200" i="2"/>
  <c r="BN200" i="2"/>
  <c r="BM200" i="2"/>
  <c r="Z200" i="2"/>
  <c r="Y200" i="2"/>
  <c r="P200" i="2"/>
  <c r="BO199" i="2"/>
  <c r="BM199" i="2"/>
  <c r="Z199" i="2"/>
  <c r="Y199" i="2"/>
  <c r="Y204" i="2" s="1"/>
  <c r="P199" i="2"/>
  <c r="BO198" i="2"/>
  <c r="BN198" i="2"/>
  <c r="BM198" i="2"/>
  <c r="Z198" i="2"/>
  <c r="Y198" i="2"/>
  <c r="BP198" i="2" s="1"/>
  <c r="P198" i="2"/>
  <c r="Y194" i="2"/>
  <c r="X194" i="2"/>
  <c r="Y193" i="2"/>
  <c r="X193" i="2"/>
  <c r="BP192" i="2"/>
  <c r="BO192" i="2"/>
  <c r="BN192" i="2"/>
  <c r="BM192" i="2"/>
  <c r="Z192" i="2"/>
  <c r="Z193" i="2" s="1"/>
  <c r="Y192" i="2"/>
  <c r="P192" i="2"/>
  <c r="X189" i="2"/>
  <c r="X188" i="2"/>
  <c r="BO187" i="2"/>
  <c r="BN187" i="2"/>
  <c r="BM187" i="2"/>
  <c r="Z187" i="2"/>
  <c r="Y187" i="2"/>
  <c r="BP187" i="2" s="1"/>
  <c r="P187" i="2"/>
  <c r="BO186" i="2"/>
  <c r="BM186" i="2"/>
  <c r="Z186" i="2"/>
  <c r="Y186" i="2"/>
  <c r="BN186" i="2" s="1"/>
  <c r="P186" i="2"/>
  <c r="X183" i="2"/>
  <c r="Z182" i="2"/>
  <c r="X182" i="2"/>
  <c r="BO181" i="2"/>
  <c r="BN181" i="2"/>
  <c r="BM181" i="2"/>
  <c r="Z181" i="2"/>
  <c r="Y181" i="2"/>
  <c r="Y183" i="2" s="1"/>
  <c r="P181" i="2"/>
  <c r="X177" i="2"/>
  <c r="X176" i="2"/>
  <c r="BO175" i="2"/>
  <c r="BM175" i="2"/>
  <c r="Z175" i="2"/>
  <c r="Y175" i="2"/>
  <c r="BP175" i="2" s="1"/>
  <c r="P175" i="2"/>
  <c r="BO174" i="2"/>
  <c r="BN174" i="2"/>
  <c r="BM174" i="2"/>
  <c r="Z174" i="2"/>
  <c r="Z176" i="2" s="1"/>
  <c r="Y174" i="2"/>
  <c r="BP174" i="2" s="1"/>
  <c r="P174" i="2"/>
  <c r="Y171" i="2"/>
  <c r="X171" i="2"/>
  <c r="X170" i="2"/>
  <c r="BO169" i="2"/>
  <c r="BN169" i="2"/>
  <c r="BM169" i="2"/>
  <c r="Z169" i="2"/>
  <c r="Z170" i="2" s="1"/>
  <c r="Y169" i="2"/>
  <c r="Y170" i="2" s="1"/>
  <c r="P169" i="2"/>
  <c r="Y166" i="2"/>
  <c r="X166" i="2"/>
  <c r="Z165" i="2"/>
  <c r="Y165" i="2"/>
  <c r="X165" i="2"/>
  <c r="BO164" i="2"/>
  <c r="BN164" i="2"/>
  <c r="BM164" i="2"/>
  <c r="Z164" i="2"/>
  <c r="Y164" i="2"/>
  <c r="BP164" i="2" s="1"/>
  <c r="P164" i="2"/>
  <c r="Y161" i="2"/>
  <c r="X161" i="2"/>
  <c r="X160" i="2"/>
  <c r="BO159" i="2"/>
  <c r="BN159" i="2"/>
  <c r="BM159" i="2"/>
  <c r="Z159" i="2"/>
  <c r="Y159" i="2"/>
  <c r="Y160" i="2" s="1"/>
  <c r="P159" i="2"/>
  <c r="BP158" i="2"/>
  <c r="BO158" i="2"/>
  <c r="BN158" i="2"/>
  <c r="BM158" i="2"/>
  <c r="Z158" i="2"/>
  <c r="Z160" i="2" s="1"/>
  <c r="Y158" i="2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BP152" i="2" s="1"/>
  <c r="P152" i="2"/>
  <c r="BO151" i="2"/>
  <c r="BM151" i="2"/>
  <c r="Z151" i="2"/>
  <c r="Z154" i="2" s="1"/>
  <c r="Y151" i="2"/>
  <c r="BP151" i="2" s="1"/>
  <c r="P151" i="2"/>
  <c r="X148" i="2"/>
  <c r="X147" i="2"/>
  <c r="BO146" i="2"/>
  <c r="BM146" i="2"/>
  <c r="Z146" i="2"/>
  <c r="Y146" i="2"/>
  <c r="Y147" i="2" s="1"/>
  <c r="P146" i="2"/>
  <c r="BO145" i="2"/>
  <c r="BN145" i="2"/>
  <c r="BM145" i="2"/>
  <c r="Z145" i="2"/>
  <c r="Y145" i="2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P139" i="2" s="1"/>
  <c r="P139" i="2"/>
  <c r="BO138" i="2"/>
  <c r="BM138" i="2"/>
  <c r="Z138" i="2"/>
  <c r="Z141" i="2" s="1"/>
  <c r="Y138" i="2"/>
  <c r="P138" i="2"/>
  <c r="X136" i="2"/>
  <c r="X135" i="2"/>
  <c r="BP134" i="2"/>
  <c r="BO134" i="2"/>
  <c r="BN134" i="2"/>
  <c r="BM134" i="2"/>
  <c r="Z134" i="2"/>
  <c r="Y134" i="2"/>
  <c r="P134" i="2"/>
  <c r="BO133" i="2"/>
  <c r="BM133" i="2"/>
  <c r="Z133" i="2"/>
  <c r="Y133" i="2"/>
  <c r="BP133" i="2" s="1"/>
  <c r="P133" i="2"/>
  <c r="BP132" i="2"/>
  <c r="BO132" i="2"/>
  <c r="BN132" i="2"/>
  <c r="BM132" i="2"/>
  <c r="Z132" i="2"/>
  <c r="Y132" i="2"/>
  <c r="P132" i="2"/>
  <c r="BO131" i="2"/>
  <c r="BM131" i="2"/>
  <c r="Z131" i="2"/>
  <c r="Z135" i="2" s="1"/>
  <c r="Y131" i="2"/>
  <c r="BP131" i="2" s="1"/>
  <c r="P131" i="2"/>
  <c r="X128" i="2"/>
  <c r="X127" i="2"/>
  <c r="BO126" i="2"/>
  <c r="BM126" i="2"/>
  <c r="Z126" i="2"/>
  <c r="Z127" i="2" s="1"/>
  <c r="Y126" i="2"/>
  <c r="Y128" i="2" s="1"/>
  <c r="P126" i="2"/>
  <c r="X124" i="2"/>
  <c r="Y123" i="2"/>
  <c r="X123" i="2"/>
  <c r="BO122" i="2"/>
  <c r="BM122" i="2"/>
  <c r="Z122" i="2"/>
  <c r="Z123" i="2" s="1"/>
  <c r="Y122" i="2"/>
  <c r="BP122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P116" i="2"/>
  <c r="BO116" i="2"/>
  <c r="BM116" i="2"/>
  <c r="Z116" i="2"/>
  <c r="Y116" i="2"/>
  <c r="BN116" i="2" s="1"/>
  <c r="P116" i="2"/>
  <c r="BO115" i="2"/>
  <c r="BN115" i="2"/>
  <c r="BM115" i="2"/>
  <c r="Z115" i="2"/>
  <c r="Y115" i="2"/>
  <c r="BP115" i="2" s="1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Y120" i="2" s="1"/>
  <c r="P111" i="2"/>
  <c r="X108" i="2"/>
  <c r="Z107" i="2"/>
  <c r="X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X102" i="2"/>
  <c r="X101" i="2"/>
  <c r="BP100" i="2"/>
  <c r="BO100" i="2"/>
  <c r="BN100" i="2"/>
  <c r="BM100" i="2"/>
  <c r="Z100" i="2"/>
  <c r="Y100" i="2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N96" i="2"/>
  <c r="BM96" i="2"/>
  <c r="Z96" i="2"/>
  <c r="Y96" i="2"/>
  <c r="BP96" i="2" s="1"/>
  <c r="P96" i="2"/>
  <c r="BP95" i="2"/>
  <c r="BO95" i="2"/>
  <c r="BM95" i="2"/>
  <c r="Z95" i="2"/>
  <c r="Z101" i="2" s="1"/>
  <c r="Y95" i="2"/>
  <c r="BN95" i="2" s="1"/>
  <c r="P95" i="2"/>
  <c r="BO94" i="2"/>
  <c r="BM94" i="2"/>
  <c r="Z94" i="2"/>
  <c r="Y94" i="2"/>
  <c r="P94" i="2"/>
  <c r="X91" i="2"/>
  <c r="X90" i="2"/>
  <c r="BP89" i="2"/>
  <c r="BO89" i="2"/>
  <c r="BM89" i="2"/>
  <c r="Z89" i="2"/>
  <c r="Z90" i="2" s="1"/>
  <c r="Y89" i="2"/>
  <c r="BN89" i="2" s="1"/>
  <c r="P89" i="2"/>
  <c r="BO88" i="2"/>
  <c r="BN88" i="2"/>
  <c r="BM88" i="2"/>
  <c r="Z88" i="2"/>
  <c r="Y88" i="2"/>
  <c r="Y91" i="2" s="1"/>
  <c r="P88" i="2"/>
  <c r="Y85" i="2"/>
  <c r="X85" i="2"/>
  <c r="Z84" i="2"/>
  <c r="Y84" i="2"/>
  <c r="X84" i="2"/>
  <c r="BO83" i="2"/>
  <c r="BN83" i="2"/>
  <c r="BM83" i="2"/>
  <c r="Z83" i="2"/>
  <c r="Y83" i="2"/>
  <c r="BP83" i="2" s="1"/>
  <c r="P83" i="2"/>
  <c r="Y80" i="2"/>
  <c r="X80" i="2"/>
  <c r="X79" i="2"/>
  <c r="BO78" i="2"/>
  <c r="BN78" i="2"/>
  <c r="BM78" i="2"/>
  <c r="Z78" i="2"/>
  <c r="Y78" i="2"/>
  <c r="Y79" i="2" s="1"/>
  <c r="P78" i="2"/>
  <c r="BP77" i="2"/>
  <c r="BO77" i="2"/>
  <c r="BN77" i="2"/>
  <c r="BM77" i="2"/>
  <c r="Z77" i="2"/>
  <c r="Z79" i="2" s="1"/>
  <c r="Y77" i="2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N70" i="2"/>
  <c r="BM70" i="2"/>
  <c r="Z70" i="2"/>
  <c r="Y70" i="2"/>
  <c r="BP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Y68" i="2" s="1"/>
  <c r="P65" i="2"/>
  <c r="X63" i="2"/>
  <c r="Z62" i="2"/>
  <c r="Y62" i="2"/>
  <c r="X62" i="2"/>
  <c r="BO61" i="2"/>
  <c r="BM61" i="2"/>
  <c r="Z61" i="2"/>
  <c r="Y61" i="2"/>
  <c r="BP61" i="2" s="1"/>
  <c r="P61" i="2"/>
  <c r="X58" i="2"/>
  <c r="X57" i="2"/>
  <c r="BO56" i="2"/>
  <c r="BN56" i="2"/>
  <c r="BM56" i="2"/>
  <c r="Z56" i="2"/>
  <c r="Y56" i="2"/>
  <c r="BP56" i="2" s="1"/>
  <c r="P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P48" i="2"/>
  <c r="BO48" i="2"/>
  <c r="BM48" i="2"/>
  <c r="Z48" i="2"/>
  <c r="Z49" i="2" s="1"/>
  <c r="Y48" i="2"/>
  <c r="BN48" i="2" s="1"/>
  <c r="P48" i="2"/>
  <c r="BO47" i="2"/>
  <c r="BM47" i="2"/>
  <c r="Z47" i="2"/>
  <c r="Y47" i="2"/>
  <c r="BN47" i="2" s="1"/>
  <c r="P47" i="2"/>
  <c r="X44" i="2"/>
  <c r="X43" i="2"/>
  <c r="BP42" i="2"/>
  <c r="BO42" i="2"/>
  <c r="BM42" i="2"/>
  <c r="Z42" i="2"/>
  <c r="Y42" i="2"/>
  <c r="BN42" i="2" s="1"/>
  <c r="P42" i="2"/>
  <c r="BO41" i="2"/>
  <c r="BN41" i="2"/>
  <c r="BM41" i="2"/>
  <c r="Z41" i="2"/>
  <c r="Y41" i="2"/>
  <c r="BP41" i="2" s="1"/>
  <c r="P41" i="2"/>
  <c r="X37" i="2"/>
  <c r="X36" i="2"/>
  <c r="BO35" i="2"/>
  <c r="BM35" i="2"/>
  <c r="Z35" i="2"/>
  <c r="Y35" i="2"/>
  <c r="P35" i="2"/>
  <c r="BO34" i="2"/>
  <c r="BM34" i="2"/>
  <c r="Z34" i="2"/>
  <c r="Z36" i="2" s="1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N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Z30" i="2" s="1"/>
  <c r="Y22" i="2"/>
  <c r="P22" i="2"/>
  <c r="H10" i="2"/>
  <c r="A9" i="2"/>
  <c r="J9" i="2" s="1"/>
  <c r="D7" i="2"/>
  <c r="Q6" i="2"/>
  <c r="P2" i="2"/>
  <c r="X292" i="2" l="1"/>
  <c r="Y50" i="2"/>
  <c r="BP65" i="2"/>
  <c r="BP97" i="2"/>
  <c r="Z119" i="2"/>
  <c r="BP111" i="2"/>
  <c r="Y148" i="2"/>
  <c r="Y216" i="2"/>
  <c r="BP220" i="2"/>
  <c r="Y227" i="2"/>
  <c r="BP258" i="2"/>
  <c r="Z266" i="2"/>
  <c r="BP264" i="2"/>
  <c r="Y277" i="2"/>
  <c r="Y289" i="2"/>
  <c r="BP285" i="2"/>
  <c r="BP23" i="2"/>
  <c r="BP34" i="2"/>
  <c r="BP113" i="2"/>
  <c r="F9" i="2"/>
  <c r="X293" i="2"/>
  <c r="X291" i="2"/>
  <c r="Y36" i="2"/>
  <c r="Z43" i="2"/>
  <c r="Y43" i="2"/>
  <c r="Y49" i="2"/>
  <c r="Z57" i="2"/>
  <c r="Y63" i="2"/>
  <c r="Y90" i="2"/>
  <c r="Y101" i="2"/>
  <c r="Y108" i="2"/>
  <c r="BP117" i="2"/>
  <c r="BN122" i="2"/>
  <c r="Y136" i="2"/>
  <c r="Z147" i="2"/>
  <c r="BP145" i="2"/>
  <c r="BN151" i="2"/>
  <c r="BP153" i="2"/>
  <c r="BP181" i="2"/>
  <c r="Z188" i="2"/>
  <c r="Z203" i="2"/>
  <c r="BN208" i="2"/>
  <c r="Y209" i="2"/>
  <c r="Z215" i="2"/>
  <c r="BP212" i="2"/>
  <c r="Y222" i="2"/>
  <c r="Y226" i="2"/>
  <c r="BN230" i="2"/>
  <c r="BP248" i="2"/>
  <c r="BP252" i="2"/>
  <c r="Y260" i="2"/>
  <c r="Y276" i="2"/>
  <c r="Z289" i="2"/>
  <c r="A10" i="2"/>
  <c r="BP26" i="2"/>
  <c r="Y74" i="2"/>
  <c r="BP213" i="2"/>
  <c r="BP225" i="2"/>
  <c r="BP287" i="2"/>
  <c r="X295" i="2"/>
  <c r="BP47" i="2"/>
  <c r="Z67" i="2"/>
  <c r="BP72" i="2"/>
  <c r="H9" i="2"/>
  <c r="Y30" i="2"/>
  <c r="Y44" i="2"/>
  <c r="BN54" i="2"/>
  <c r="BN65" i="2"/>
  <c r="Y67" i="2"/>
  <c r="Z73" i="2"/>
  <c r="BN99" i="2"/>
  <c r="BN105" i="2"/>
  <c r="Y107" i="2"/>
  <c r="BN111" i="2"/>
  <c r="Y124" i="2"/>
  <c r="BN131" i="2"/>
  <c r="Y141" i="2"/>
  <c r="BN139" i="2"/>
  <c r="BN175" i="2"/>
  <c r="Y189" i="2"/>
  <c r="BN199" i="2"/>
  <c r="Y221" i="2"/>
  <c r="BP236" i="2"/>
  <c r="Y259" i="2"/>
  <c r="Y267" i="2"/>
  <c r="Z276" i="2"/>
  <c r="BP274" i="2"/>
  <c r="BN280" i="2"/>
  <c r="Z296" i="2"/>
  <c r="X294" i="2"/>
  <c r="Y102" i="2"/>
  <c r="BP28" i="2"/>
  <c r="BN35" i="2"/>
  <c r="BP94" i="2"/>
  <c r="BN118" i="2"/>
  <c r="BN126" i="2"/>
  <c r="BP186" i="2"/>
  <c r="BN282" i="2"/>
  <c r="BN71" i="2"/>
  <c r="BN152" i="2"/>
  <c r="BN265" i="2"/>
  <c r="BN273" i="2"/>
  <c r="Y290" i="2"/>
  <c r="BN98" i="2"/>
  <c r="BP126" i="2"/>
  <c r="BN133" i="2"/>
  <c r="Y176" i="2"/>
  <c r="BN201" i="2"/>
  <c r="BP282" i="2"/>
  <c r="BN138" i="2"/>
  <c r="Y57" i="2"/>
  <c r="Y215" i="2"/>
  <c r="BP265" i="2"/>
  <c r="BP273" i="2"/>
  <c r="BN279" i="2"/>
  <c r="BN94" i="2"/>
  <c r="BP35" i="2"/>
  <c r="BN286" i="2"/>
  <c r="Y119" i="2"/>
  <c r="Y127" i="2"/>
  <c r="BN29" i="2"/>
  <c r="BP78" i="2"/>
  <c r="BP88" i="2"/>
  <c r="BP159" i="2"/>
  <c r="BP169" i="2"/>
  <c r="Y177" i="2"/>
  <c r="Y266" i="2"/>
  <c r="BN112" i="2"/>
  <c r="BN146" i="2"/>
  <c r="Y142" i="2"/>
  <c r="BN53" i="2"/>
  <c r="BP25" i="2"/>
  <c r="BP22" i="2"/>
  <c r="Y58" i="2"/>
  <c r="BN66" i="2"/>
  <c r="BN22" i="2"/>
  <c r="Y37" i="2"/>
  <c r="BP66" i="2"/>
  <c r="BP146" i="2"/>
  <c r="Y188" i="2"/>
  <c r="BP138" i="2"/>
  <c r="BN61" i="2"/>
  <c r="BN106" i="2"/>
  <c r="BN140" i="2"/>
  <c r="BN219" i="2"/>
  <c r="BN24" i="2"/>
  <c r="F10" i="2"/>
  <c r="Y31" i="2"/>
  <c r="Y73" i="2"/>
  <c r="Y154" i="2"/>
  <c r="Y135" i="2"/>
  <c r="Y203" i="2"/>
  <c r="BN269" i="2"/>
  <c r="Y182" i="2"/>
  <c r="BP199" i="2"/>
  <c r="Y155" i="2"/>
  <c r="BP269" i="2"/>
  <c r="Y270" i="2"/>
  <c r="BN288" i="2"/>
  <c r="Y295" i="2" l="1"/>
  <c r="Y292" i="2"/>
  <c r="Y294" i="2" s="1"/>
  <c r="Y291" i="2"/>
  <c r="Y293" i="2"/>
  <c r="C304" i="2" l="1"/>
  <c r="B304" i="2"/>
  <c r="A304" i="2"/>
</calcChain>
</file>

<file path=xl/sharedStrings.xml><?xml version="1.0" encoding="utf-8"?>
<sst xmlns="http://schemas.openxmlformats.org/spreadsheetml/2006/main" count="1812" uniqueCount="413">
  <si>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</si>
  <si>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</si>
  <si>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</si>
  <si>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</si>
  <si>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</si>
  <si>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</si>
  <si>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</si>
  <si>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</si>
  <si>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</si>
  <si>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</si>
  <si>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</si>
  <si>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</si>
  <si>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</si>
  <si>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</si>
  <si>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</si>
  <si>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</si>
  <si>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</si>
  <si>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</si>
  <si>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</si>
  <si>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</si>
  <si>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</si>
  <si>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</si>
  <si>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</si>
  <si>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</si>
  <si>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</si>
  <si>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</si>
  <si>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</si>
  <si>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</si>
  <si>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</si>
  <si>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</si>
  <si>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</si>
  <si>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</si>
  <si>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</si>
  <si>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</si>
  <si>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</si>
  <si>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</si>
  <si>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</si>
  <si>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</si>
  <si>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</si>
  <si>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</si>
  <si>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</si>
  <si>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</si>
  <si>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</si>
  <si>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</si>
  <si>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</si>
  <si>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</si>
  <si>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</si>
  <si>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</si>
  <si>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</si>
  <si>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</si>
  <si>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</si>
  <si>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</si>
  <si>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</si>
  <si>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</si>
  <si>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</si>
  <si>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</si>
  <si>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</si>
  <si>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</si>
  <si>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</si>
  <si>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</si>
  <si>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</si>
  <si>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</si>
  <si>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</si>
  <si>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</si>
  <si>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</si>
  <si>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</si>
  <si>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</si>
  <si>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</si>
  <si>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</si>
  <si>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</si>
  <si>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</si>
  <si>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</si>
  <si>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</si>
  <si>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</si>
  <si>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</si>
  <si>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</si>
  <si>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</si>
  <si>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</si>
  <si>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</si>
  <si>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</si>
  <si>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</si>
  <si>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</si>
  <si>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</si>
  <si>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</si>
  <si>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</si>
  <si>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</si>
  <si>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</si>
  <si>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</si>
  <si>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</si>
  <si>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</si>
  <si>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</si>
  <si>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</si>
  <si>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</si>
  <si>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</si>
  <si>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</si>
  <si>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</si>
  <si>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</si>
  <si>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</si>
  <si>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</si>
  <si>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</si>
  <si>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</si>
  <si>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</si>
  <si>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</si>
  <si>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</si>
  <si>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</si>
  <si>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</si>
  <si>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</si>
  <si>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</si>
  <si>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</si>
  <si>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</si>
  <si>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</si>
  <si>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</si>
  <si>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</si>
  <si>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</si>
  <si>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</si>
  <si>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</si>
  <si>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</si>
  <si>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</si>
  <si>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</si>
  <si>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</si>
  <si>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</si>
  <si>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</si>
  <si>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</si>
  <si>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</si>
  <si>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</si>
  <si>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</si>
  <si>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</si>
  <si>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</si>
  <si>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</si>
  <si>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</si>
  <si>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</si>
  <si>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</si>
  <si>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</si>
  <si>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</si>
  <si>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</si>
  <si>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</si>
  <si>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</si>
  <si>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</si>
  <si>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</si>
  <si>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</si>
  <si>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</si>
  <si>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</si>
  <si>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</si>
  <si>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</si>
  <si>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</si>
  <si>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</si>
  <si>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</si>
  <si>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</si>
  <si>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</si>
  <si>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</si>
  <si>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</si>
  <si>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</si>
  <si>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</si>
  <si>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</si>
  <si>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</si>
  <si>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</si>
  <si>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</si>
  <si>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</si>
  <si>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</si>
  <si>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</si>
  <si>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</si>
  <si>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</si>
  <si>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</si>
  <si>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</si>
  <si>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</si>
  <si>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</si>
  <si>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</si>
  <si>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</si>
  <si>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</si>
  <si>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</si>
  <si>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</si>
  <si>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</si>
  <si>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</si>
  <si>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</si>
  <si>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</si>
  <si>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</si>
  <si>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</si>
  <si>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</si>
  <si>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</si>
  <si>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</si>
  <si>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</si>
  <si>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</si>
  <si>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SU003891</t>
  </si>
  <si>
    <t>P004973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</si>
  <si>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</si>
  <si>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</si>
  <si>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</si>
  <si>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</si>
  <si>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</si>
  <si>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</si>
  <si>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</si>
  <si>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</si>
  <si>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</si>
  <si>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</si>
  <si>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</si>
  <si>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</si>
  <si>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</si>
  <si>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</si>
  <si>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</si>
  <si>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</si>
  <si>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</si>
  <si>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</si>
  <si>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</si>
  <si>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</si>
  <si>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</si>
  <si>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</si>
  <si>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</si>
  <si>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</si>
  <si>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</si>
  <si>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</si>
  <si>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</si>
  <si>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</si>
  <si>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</si>
  <si>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</si>
  <si>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</si>
  <si>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</si>
  <si>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</si>
  <si>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</si>
  <si>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</si>
  <si>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</si>
  <si>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</si>
  <si>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</si>
  <si>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</si>
  <si>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</si>
  <si>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</si>
  <si>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</si>
  <si>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</si>
  <si>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</si>
  <si>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</si>
  <si>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</si>
  <si>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</si>
  <si>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</si>
  <si>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</si>
  <si>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</si>
  <si>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</si>
  <si>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</si>
  <si>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</si>
  <si>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</si>
  <si>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</si>
  <si>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</si>
  <si>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</si>
  <si>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</si>
  <si>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</si>
  <si>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</si>
  <si>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</si>
  <si>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</si>
  <si>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</si>
  <si>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</si>
  <si>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</si>
  <si>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</si>
  <si>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</si>
  <si>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</si>
  <si>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</si>
  <si>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</si>
  <si>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</si>
  <si>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</si>
  <si>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</si>
  <si>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</si>
  <si>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</si>
  <si>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SU003574</t>
  </si>
  <si>
    <t>P004492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</si>
  <si>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</si>
  <si>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</si>
  <si>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</si>
  <si>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</si>
  <si>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</si>
  <si>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</si>
  <si>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</si>
  <si>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</si>
  <si>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</si>
  <si>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</si>
  <si>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</si>
  <si>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</si>
  <si>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</si>
  <si>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</si>
  <si>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</si>
  <si>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</si>
  <si>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SU003601</t>
  </si>
  <si>
    <t>P004597</t>
  </si>
  <si>
    <t>ЕАЭС N RU Д-RU.РА02.В.49579/23, ЕАЭС N RU Д-RU.РА07.В.66009/22</t>
  </si>
  <si>
    <t>No Name</t>
  </si>
  <si>
    <t>Зареченские продукты</t>
  </si>
  <si>
    <t>SU002045</t>
  </si>
  <si>
    <t>P002166</t>
  </si>
  <si>
    <t>ЕАЭС N RU Д-RU.РА01.В.28494/20, ЕАЭС N RU Д-RU.РА09.В.52744/22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</si>
  <si>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</si>
  <si>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</si>
  <si>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</si>
  <si>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</si>
  <si>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</si>
  <si>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</si>
  <si>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</si>
  <si>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</si>
  <si>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</si>
  <si>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</si>
  <si>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</si>
  <si>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</si>
  <si>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</si>
  <si>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</si>
  <si>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</si>
  <si>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</si>
  <si>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</si>
  <si>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</si>
  <si>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</si>
  <si>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</si>
  <si>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</si>
  <si>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</si>
  <si>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</si>
  <si>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</si>
  <si>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SU004117</t>
  </si>
  <si>
    <t>P005380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</si>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</sst>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45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04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77" t="s">
        <v>26</v>
      </c>
      <c r="E1" s="477"/>
      <c r="F1" s="477"/>
      <c r="G1" s="14" t="s">
        <v>70</v>
      </c>
      <c r="H1" s="477" t="s">
        <v>47</v>
      </c>
      <c r="I1" s="477"/>
      <c r="J1" s="477"/>
      <c r="K1" s="477"/>
      <c r="L1" s="477"/>
      <c r="M1" s="477"/>
      <c r="N1" s="477"/>
      <c r="O1" s="477"/>
      <c r="P1" s="477"/>
      <c r="Q1" s="477"/>
      <c r="R1" s="478" t="s">
        <v>71</v>
      </c>
      <c r="S1" s="479"/>
      <c r="T1" s="4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0"/>
      <c r="R2" s="480"/>
      <c r="S2" s="480"/>
      <c r="T2" s="480"/>
      <c r="U2" s="480"/>
      <c r="V2" s="480"/>
      <c r="W2" s="4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0"/>
      <c r="Q3" s="480"/>
      <c r="R3" s="480"/>
      <c r="S3" s="480"/>
      <c r="T3" s="480"/>
      <c r="U3" s="480"/>
      <c r="V3" s="480"/>
      <c r="W3" s="4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9" t="s">
        <v>8</v>
      </c>
      <c r="B5" s="459"/>
      <c r="C5" s="459"/>
      <c r="D5" s="481"/>
      <c r="E5" s="481"/>
      <c r="F5" s="482" t="s">
        <v>14</v>
      </c>
      <c r="G5" s="482"/>
      <c r="H5" s="481"/>
      <c r="I5" s="481"/>
      <c r="J5" s="481"/>
      <c r="K5" s="481"/>
      <c r="L5" s="481"/>
      <c r="M5" s="481"/>
      <c r="N5" s="75"/>
      <c r="P5" s="27" t="s">
        <v>4</v>
      </c>
      <c r="Q5" s="483">
        <v>46242</v>
      </c>
      <c r="R5" s="483"/>
      <c r="T5" s="484" t="s">
        <v>3</v>
      </c>
      <c r="U5" s="485"/>
      <c r="V5" s="486" t="s">
        <v>399</v>
      </c>
      <c r="W5" s="487"/>
      <c r="AB5" s="59"/>
      <c r="AC5" s="59"/>
      <c r="AD5" s="59"/>
      <c r="AE5" s="59"/>
    </row>
    <row r="6" spans="1:32" s="17" customFormat="1" ht="24" customHeight="1" x14ac:dyDescent="0.2">
      <c r="A6" s="459" t="s">
        <v>1</v>
      </c>
      <c r="B6" s="459"/>
      <c r="C6" s="459"/>
      <c r="D6" s="460" t="s">
        <v>78</v>
      </c>
      <c r="E6" s="460"/>
      <c r="F6" s="460"/>
      <c r="G6" s="460"/>
      <c r="H6" s="460"/>
      <c r="I6" s="460"/>
      <c r="J6" s="460"/>
      <c r="K6" s="460"/>
      <c r="L6" s="460"/>
      <c r="M6" s="460"/>
      <c r="N6" s="76"/>
      <c r="P6" s="27" t="s">
        <v>27</v>
      </c>
      <c r="Q6" s="461" t="str">
        <f>IF(Q5=0," ",CHOOSE(WEEKDAY(Q5,2),"Понедельник","Вторник","Среда","Четверг","Пятница","Суббота","Воскресенье"))</f>
        <v>Суббота</v>
      </c>
      <c r="R6" s="461"/>
      <c r="T6" s="462" t="s">
        <v>5</v>
      </c>
      <c r="U6" s="463"/>
      <c r="V6" s="464" t="s">
        <v>72</v>
      </c>
      <c r="W6" s="4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0" t="str">
        <f>IFERROR(VLOOKUP(DeliveryAddress,Table,3,0),1)</f>
        <v>1</v>
      </c>
      <c r="E7" s="471"/>
      <c r="F7" s="471"/>
      <c r="G7" s="471"/>
      <c r="H7" s="471"/>
      <c r="I7" s="471"/>
      <c r="J7" s="471"/>
      <c r="K7" s="471"/>
      <c r="L7" s="471"/>
      <c r="M7" s="472"/>
      <c r="N7" s="77"/>
      <c r="P7" s="29"/>
      <c r="Q7" s="48"/>
      <c r="R7" s="48"/>
      <c r="T7" s="462"/>
      <c r="U7" s="463"/>
      <c r="V7" s="466"/>
      <c r="W7" s="467"/>
      <c r="AB7" s="59"/>
      <c r="AC7" s="59"/>
      <c r="AD7" s="59"/>
      <c r="AE7" s="59"/>
    </row>
    <row r="8" spans="1:32" s="17" customFormat="1" ht="25.5" customHeight="1" x14ac:dyDescent="0.2">
      <c r="A8" s="473" t="s">
        <v>58</v>
      </c>
      <c r="B8" s="473"/>
      <c r="C8" s="473"/>
      <c r="D8" s="474" t="s">
        <v>79</v>
      </c>
      <c r="E8" s="474"/>
      <c r="F8" s="474"/>
      <c r="G8" s="474"/>
      <c r="H8" s="474"/>
      <c r="I8" s="474"/>
      <c r="J8" s="474"/>
      <c r="K8" s="474"/>
      <c r="L8" s="474"/>
      <c r="M8" s="474"/>
      <c r="N8" s="78"/>
      <c r="P8" s="27" t="s">
        <v>11</v>
      </c>
      <c r="Q8" s="457">
        <v>0.375</v>
      </c>
      <c r="R8" s="457"/>
      <c r="T8" s="462"/>
      <c r="U8" s="463"/>
      <c r="V8" s="466"/>
      <c r="W8" s="467"/>
      <c r="AB8" s="59"/>
      <c r="AC8" s="59"/>
      <c r="AD8" s="59"/>
      <c r="AE8" s="59"/>
    </row>
    <row r="9" spans="1:32" s="17" customFormat="1" ht="39.950000000000003" customHeight="1" x14ac:dyDescent="0.2">
      <c r="A9" s="4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9"/>
      <c r="C9" s="449"/>
      <c r="D9" s="450" t="s">
        <v>46</v>
      </c>
      <c r="E9" s="451"/>
      <c r="F9" s="4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9"/>
      <c r="H9" s="475" t="str">
        <f>IF(AND($A$9="Тип доверенности/получателя при получении в адресе перегруза:",$D$9="Разовая доверенность"),"Введите ФИО","")</f>
        <v/>
      </c>
      <c r="I9" s="475"/>
      <c r="J9" s="4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75"/>
      <c r="L9" s="475"/>
      <c r="M9" s="475"/>
      <c r="N9" s="73"/>
      <c r="P9" s="31" t="s">
        <v>15</v>
      </c>
      <c r="Q9" s="476"/>
      <c r="R9" s="476"/>
      <c r="T9" s="462"/>
      <c r="U9" s="463"/>
      <c r="V9" s="468"/>
      <c r="W9" s="4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9"/>
      <c r="C10" s="449"/>
      <c r="D10" s="450"/>
      <c r="E10" s="451"/>
      <c r="F10" s="4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9"/>
      <c r="H10" s="452" t="str">
        <f>IFERROR(VLOOKUP($D$10,Proxy,2,FALSE),"")</f>
        <v/>
      </c>
      <c r="I10" s="452"/>
      <c r="J10" s="452"/>
      <c r="K10" s="452"/>
      <c r="L10" s="452"/>
      <c r="M10" s="452"/>
      <c r="N10" s="74"/>
      <c r="P10" s="31" t="s">
        <v>32</v>
      </c>
      <c r="Q10" s="453"/>
      <c r="R10" s="453"/>
      <c r="U10" s="29" t="s">
        <v>12</v>
      </c>
      <c r="V10" s="454" t="s">
        <v>73</v>
      </c>
      <c r="W10" s="45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56"/>
      <c r="R11" s="456"/>
      <c r="U11" s="29" t="s">
        <v>28</v>
      </c>
      <c r="V11" s="435" t="s">
        <v>55</v>
      </c>
      <c r="W11" s="43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34" t="s">
        <v>74</v>
      </c>
      <c r="B12" s="434"/>
      <c r="C12" s="434"/>
      <c r="D12" s="434"/>
      <c r="E12" s="434"/>
      <c r="F12" s="434"/>
      <c r="G12" s="434"/>
      <c r="H12" s="434"/>
      <c r="I12" s="434"/>
      <c r="J12" s="434"/>
      <c r="K12" s="434"/>
      <c r="L12" s="434"/>
      <c r="M12" s="434"/>
      <c r="N12" s="79"/>
      <c r="P12" s="27" t="s">
        <v>30</v>
      </c>
      <c r="Q12" s="457"/>
      <c r="R12" s="457"/>
      <c r="S12" s="28"/>
      <c r="T12"/>
      <c r="U12" s="29" t="s">
        <v>46</v>
      </c>
      <c r="V12" s="458"/>
      <c r="W12" s="458"/>
      <c r="X12"/>
      <c r="AB12" s="59"/>
      <c r="AC12" s="59"/>
      <c r="AD12" s="59"/>
      <c r="AE12" s="59"/>
    </row>
    <row r="13" spans="1:32" s="17" customFormat="1" ht="23.25" customHeight="1" x14ac:dyDescent="0.2">
      <c r="A13" s="434" t="s">
        <v>75</v>
      </c>
      <c r="B13" s="434"/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79"/>
      <c r="O13" s="31"/>
      <c r="P13" s="31" t="s">
        <v>31</v>
      </c>
      <c r="Q13" s="435"/>
      <c r="R13" s="43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34" t="s">
        <v>76</v>
      </c>
      <c r="B14" s="434"/>
      <c r="C14" s="434"/>
      <c r="D14" s="434"/>
      <c r="E14" s="434"/>
      <c r="F14" s="434"/>
      <c r="G14" s="434"/>
      <c r="H14" s="434"/>
      <c r="I14" s="434"/>
      <c r="J14" s="434"/>
      <c r="K14" s="434"/>
      <c r="L14" s="434"/>
      <c r="M14" s="43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36" t="s">
        <v>77</v>
      </c>
      <c r="B15" s="436"/>
      <c r="C15" s="436"/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80"/>
      <c r="O15"/>
      <c r="P15" s="437" t="s">
        <v>61</v>
      </c>
      <c r="Q15" s="437"/>
      <c r="R15" s="437"/>
      <c r="S15" s="437"/>
      <c r="T15" s="43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38"/>
      <c r="Q16" s="438"/>
      <c r="R16" s="438"/>
      <c r="S16" s="438"/>
      <c r="T16" s="43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0" t="s">
        <v>59</v>
      </c>
      <c r="B17" s="420" t="s">
        <v>49</v>
      </c>
      <c r="C17" s="441" t="s">
        <v>48</v>
      </c>
      <c r="D17" s="443" t="s">
        <v>50</v>
      </c>
      <c r="E17" s="444"/>
      <c r="F17" s="420" t="s">
        <v>21</v>
      </c>
      <c r="G17" s="420" t="s">
        <v>24</v>
      </c>
      <c r="H17" s="420" t="s">
        <v>22</v>
      </c>
      <c r="I17" s="420" t="s">
        <v>23</v>
      </c>
      <c r="J17" s="420" t="s">
        <v>16</v>
      </c>
      <c r="K17" s="420" t="s">
        <v>69</v>
      </c>
      <c r="L17" s="420" t="s">
        <v>67</v>
      </c>
      <c r="M17" s="420" t="s">
        <v>2</v>
      </c>
      <c r="N17" s="420" t="s">
        <v>66</v>
      </c>
      <c r="O17" s="420" t="s">
        <v>25</v>
      </c>
      <c r="P17" s="443" t="s">
        <v>17</v>
      </c>
      <c r="Q17" s="447"/>
      <c r="R17" s="447"/>
      <c r="S17" s="447"/>
      <c r="T17" s="444"/>
      <c r="U17" s="439" t="s">
        <v>56</v>
      </c>
      <c r="V17" s="440"/>
      <c r="W17" s="420" t="s">
        <v>6</v>
      </c>
      <c r="X17" s="420" t="s">
        <v>41</v>
      </c>
      <c r="Y17" s="422" t="s">
        <v>54</v>
      </c>
      <c r="Z17" s="424" t="s">
        <v>18</v>
      </c>
      <c r="AA17" s="426" t="s">
        <v>60</v>
      </c>
      <c r="AB17" s="426" t="s">
        <v>19</v>
      </c>
      <c r="AC17" s="426" t="s">
        <v>68</v>
      </c>
      <c r="AD17" s="428" t="s">
        <v>57</v>
      </c>
      <c r="AE17" s="429"/>
      <c r="AF17" s="430"/>
      <c r="AG17" s="85"/>
      <c r="BD17" s="84" t="s">
        <v>64</v>
      </c>
    </row>
    <row r="18" spans="1:68" ht="14.25" customHeight="1" x14ac:dyDescent="0.2">
      <c r="A18" s="421"/>
      <c r="B18" s="421"/>
      <c r="C18" s="442"/>
      <c r="D18" s="445"/>
      <c r="E18" s="446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45"/>
      <c r="Q18" s="448"/>
      <c r="R18" s="448"/>
      <c r="S18" s="448"/>
      <c r="T18" s="446"/>
      <c r="U18" s="86" t="s">
        <v>44</v>
      </c>
      <c r="V18" s="86" t="s">
        <v>43</v>
      </c>
      <c r="W18" s="421"/>
      <c r="X18" s="421"/>
      <c r="Y18" s="423"/>
      <c r="Z18" s="425"/>
      <c r="AA18" s="427"/>
      <c r="AB18" s="427"/>
      <c r="AC18" s="427"/>
      <c r="AD18" s="431"/>
      <c r="AE18" s="432"/>
      <c r="AF18" s="433"/>
      <c r="AG18" s="85"/>
      <c r="BD18" s="84"/>
    </row>
    <row r="19" spans="1:68" ht="27.75" customHeight="1" x14ac:dyDescent="0.2">
      <c r="A19" s="328" t="s">
        <v>80</v>
      </c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54"/>
      <c r="AB19" s="54"/>
      <c r="AC19" s="54"/>
    </row>
    <row r="20" spans="1:68" ht="16.5" customHeight="1" x14ac:dyDescent="0.25">
      <c r="A20" s="329" t="s">
        <v>80</v>
      </c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65"/>
      <c r="AB20" s="65"/>
      <c r="AC20" s="82"/>
    </row>
    <row r="21" spans="1:68" ht="14.25" customHeight="1" x14ac:dyDescent="0.25">
      <c r="A21" s="324" t="s">
        <v>81</v>
      </c>
      <c r="B21" s="324"/>
      <c r="C21" s="324"/>
      <c r="D21" s="324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306">
        <v>4620207491508</v>
      </c>
      <c r="E22" s="30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8"/>
      <c r="R22" s="308"/>
      <c r="S22" s="308"/>
      <c r="T22" s="30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06">
        <v>4620207491256</v>
      </c>
      <c r="E23" s="30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41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8"/>
      <c r="R23" s="308"/>
      <c r="S23" s="308"/>
      <c r="T23" s="30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4301071135</v>
      </c>
      <c r="D24" s="306">
        <v>4620207491713</v>
      </c>
      <c r="E24" s="30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41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8"/>
      <c r="R24" s="308"/>
      <c r="S24" s="308"/>
      <c r="T24" s="30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4301071134</v>
      </c>
      <c r="D25" s="306">
        <v>4620207491720</v>
      </c>
      <c r="E25" s="30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41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8"/>
      <c r="R25" s="308"/>
      <c r="S25" s="308"/>
      <c r="T25" s="30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4301071108</v>
      </c>
      <c r="D26" s="306">
        <v>4607111035912</v>
      </c>
      <c r="E26" s="30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8"/>
      <c r="R26" s="308"/>
      <c r="S26" s="308"/>
      <c r="T26" s="30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06">
        <v>4607111035929</v>
      </c>
      <c r="E27" s="30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41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8"/>
      <c r="R27" s="308"/>
      <c r="S27" s="308"/>
      <c r="T27" s="30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4301071106</v>
      </c>
      <c r="D28" s="306">
        <v>4607111035882</v>
      </c>
      <c r="E28" s="30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41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8"/>
      <c r="R28" s="308"/>
      <c r="S28" s="308"/>
      <c r="T28" s="30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06">
        <v>4607111035905</v>
      </c>
      <c r="E29" s="30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8"/>
      <c r="R29" s="308"/>
      <c r="S29" s="308"/>
      <c r="T29" s="30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3"/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16"/>
      <c r="P30" s="313" t="s">
        <v>40</v>
      </c>
      <c r="Q30" s="314"/>
      <c r="R30" s="314"/>
      <c r="S30" s="314"/>
      <c r="T30" s="314"/>
      <c r="U30" s="314"/>
      <c r="V30" s="31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3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16"/>
      <c r="P31" s="313" t="s">
        <v>40</v>
      </c>
      <c r="Q31" s="314"/>
      <c r="R31" s="314"/>
      <c r="S31" s="314"/>
      <c r="T31" s="314"/>
      <c r="U31" s="314"/>
      <c r="V31" s="31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9" t="s">
        <v>105</v>
      </c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V32" s="329"/>
      <c r="W32" s="329"/>
      <c r="X32" s="329"/>
      <c r="Y32" s="329"/>
      <c r="Z32" s="329"/>
      <c r="AA32" s="65"/>
      <c r="AB32" s="65"/>
      <c r="AC32" s="82"/>
    </row>
    <row r="33" spans="1:68" ht="14.25" customHeight="1" x14ac:dyDescent="0.25">
      <c r="A33" s="324" t="s">
        <v>81</v>
      </c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06">
        <v>4607111039019</v>
      </c>
      <c r="E34" s="30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41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8"/>
      <c r="R34" s="308"/>
      <c r="S34" s="308"/>
      <c r="T34" s="30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06">
        <v>4607111038708</v>
      </c>
      <c r="E35" s="30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41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8"/>
      <c r="R35" s="308"/>
      <c r="S35" s="308"/>
      <c r="T35" s="30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3"/>
      <c r="B36" s="303"/>
      <c r="C36" s="303"/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16"/>
      <c r="P36" s="313" t="s">
        <v>40</v>
      </c>
      <c r="Q36" s="314"/>
      <c r="R36" s="314"/>
      <c r="S36" s="314"/>
      <c r="T36" s="314"/>
      <c r="U36" s="314"/>
      <c r="V36" s="31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3"/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16"/>
      <c r="P37" s="313" t="s">
        <v>40</v>
      </c>
      <c r="Q37" s="314"/>
      <c r="R37" s="314"/>
      <c r="S37" s="314"/>
      <c r="T37" s="314"/>
      <c r="U37" s="314"/>
      <c r="V37" s="31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8" t="s">
        <v>45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54"/>
      <c r="AB38" s="54"/>
      <c r="AC38" s="54"/>
    </row>
    <row r="39" spans="1:68" ht="16.5" customHeight="1" x14ac:dyDescent="0.25">
      <c r="A39" s="329" t="s">
        <v>111</v>
      </c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  <c r="AA39" s="65"/>
      <c r="AB39" s="65"/>
      <c r="AC39" s="82"/>
    </row>
    <row r="40" spans="1:68" ht="14.25" customHeight="1" x14ac:dyDescent="0.25">
      <c r="A40" s="324" t="s">
        <v>112</v>
      </c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06">
        <v>4607111036537</v>
      </c>
      <c r="E41" s="30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40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8"/>
      <c r="R41" s="308"/>
      <c r="S41" s="308"/>
      <c r="T41" s="30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06">
        <v>4607111036605</v>
      </c>
      <c r="E42" s="30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4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8"/>
      <c r="R42" s="308"/>
      <c r="S42" s="308"/>
      <c r="T42" s="30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3"/>
      <c r="B43" s="303"/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16"/>
      <c r="P43" s="313" t="s">
        <v>40</v>
      </c>
      <c r="Q43" s="314"/>
      <c r="R43" s="314"/>
      <c r="S43" s="314"/>
      <c r="T43" s="314"/>
      <c r="U43" s="314"/>
      <c r="V43" s="31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3"/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16"/>
      <c r="P44" s="313" t="s">
        <v>40</v>
      </c>
      <c r="Q44" s="314"/>
      <c r="R44" s="314"/>
      <c r="S44" s="314"/>
      <c r="T44" s="314"/>
      <c r="U44" s="314"/>
      <c r="V44" s="31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9" t="s">
        <v>122</v>
      </c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29"/>
      <c r="Y45" s="329"/>
      <c r="Z45" s="329"/>
      <c r="AA45" s="65"/>
      <c r="AB45" s="65"/>
      <c r="AC45" s="82"/>
    </row>
    <row r="46" spans="1:68" ht="14.25" customHeight="1" x14ac:dyDescent="0.25">
      <c r="A46" s="324" t="s">
        <v>81</v>
      </c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06">
        <v>4620207490075</v>
      </c>
      <c r="E47" s="30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8"/>
      <c r="R47" s="308"/>
      <c r="S47" s="308"/>
      <c r="T47" s="30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06">
        <v>4620207490174</v>
      </c>
      <c r="E48" s="30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40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8"/>
      <c r="R48" s="308"/>
      <c r="S48" s="308"/>
      <c r="T48" s="30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03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16"/>
      <c r="P49" s="313" t="s">
        <v>40</v>
      </c>
      <c r="Q49" s="314"/>
      <c r="R49" s="314"/>
      <c r="S49" s="314"/>
      <c r="T49" s="314"/>
      <c r="U49" s="314"/>
      <c r="V49" s="31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03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16"/>
      <c r="P50" s="313" t="s">
        <v>40</v>
      </c>
      <c r="Q50" s="314"/>
      <c r="R50" s="314"/>
      <c r="S50" s="314"/>
      <c r="T50" s="314"/>
      <c r="U50" s="314"/>
      <c r="V50" s="31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9" t="s">
        <v>129</v>
      </c>
      <c r="B51" s="329"/>
      <c r="C51" s="329"/>
      <c r="D51" s="329"/>
      <c r="E51" s="329"/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329"/>
      <c r="W51" s="329"/>
      <c r="X51" s="329"/>
      <c r="Y51" s="329"/>
      <c r="Z51" s="329"/>
      <c r="AA51" s="65"/>
      <c r="AB51" s="65"/>
      <c r="AC51" s="82"/>
    </row>
    <row r="52" spans="1:68" ht="14.25" customHeight="1" x14ac:dyDescent="0.25">
      <c r="A52" s="324" t="s">
        <v>81</v>
      </c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06">
        <v>4607111039385</v>
      </c>
      <c r="E53" s="30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40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8"/>
      <c r="R53" s="308"/>
      <c r="S53" s="308"/>
      <c r="T53" s="30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06">
        <v>4607111038982</v>
      </c>
      <c r="E54" s="30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40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8"/>
      <c r="R54" s="308"/>
      <c r="S54" s="308"/>
      <c r="T54" s="30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306">
        <v>4607111039354</v>
      </c>
      <c r="E55" s="30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8"/>
      <c r="R55" s="308"/>
      <c r="S55" s="308"/>
      <c r="T55" s="30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06">
        <v>4607111039330</v>
      </c>
      <c r="E56" s="30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40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8"/>
      <c r="R56" s="308"/>
      <c r="S56" s="308"/>
      <c r="T56" s="30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03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16"/>
      <c r="P57" s="313" t="s">
        <v>40</v>
      </c>
      <c r="Q57" s="314"/>
      <c r="R57" s="314"/>
      <c r="S57" s="314"/>
      <c r="T57" s="314"/>
      <c r="U57" s="314"/>
      <c r="V57" s="31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16"/>
      <c r="P58" s="313" t="s">
        <v>40</v>
      </c>
      <c r="Q58" s="314"/>
      <c r="R58" s="314"/>
      <c r="S58" s="314"/>
      <c r="T58" s="314"/>
      <c r="U58" s="314"/>
      <c r="V58" s="31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9" t="s">
        <v>140</v>
      </c>
      <c r="B59" s="329"/>
      <c r="C59" s="329"/>
      <c r="D59" s="329"/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329"/>
      <c r="W59" s="329"/>
      <c r="X59" s="329"/>
      <c r="Y59" s="329"/>
      <c r="Z59" s="329"/>
      <c r="AA59" s="65"/>
      <c r="AB59" s="65"/>
      <c r="AC59" s="82"/>
    </row>
    <row r="60" spans="1:68" ht="14.25" customHeight="1" x14ac:dyDescent="0.25">
      <c r="A60" s="324" t="s">
        <v>112</v>
      </c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66"/>
      <c r="AB60" s="66"/>
      <c r="AC60" s="83"/>
    </row>
    <row r="61" spans="1:68" ht="27" customHeight="1" x14ac:dyDescent="0.25">
      <c r="A61" s="63" t="s">
        <v>141</v>
      </c>
      <c r="B61" s="63" t="s">
        <v>142</v>
      </c>
      <c r="C61" s="36">
        <v>4301132194</v>
      </c>
      <c r="D61" s="306">
        <v>4607111039712</v>
      </c>
      <c r="E61" s="30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40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8"/>
      <c r="R61" s="308"/>
      <c r="S61" s="308"/>
      <c r="T61" s="30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03"/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  <c r="N62" s="303"/>
      <c r="O62" s="316"/>
      <c r="P62" s="313" t="s">
        <v>40</v>
      </c>
      <c r="Q62" s="314"/>
      <c r="R62" s="314"/>
      <c r="S62" s="314"/>
      <c r="T62" s="314"/>
      <c r="U62" s="314"/>
      <c r="V62" s="31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03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16"/>
      <c r="P63" s="313" t="s">
        <v>40</v>
      </c>
      <c r="Q63" s="314"/>
      <c r="R63" s="314"/>
      <c r="S63" s="314"/>
      <c r="T63" s="314"/>
      <c r="U63" s="314"/>
      <c r="V63" s="31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24" t="s">
        <v>144</v>
      </c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66"/>
      <c r="AB64" s="66"/>
      <c r="AC64" s="83"/>
    </row>
    <row r="65" spans="1:68" ht="16.5" customHeight="1" x14ac:dyDescent="0.25">
      <c r="A65" s="63" t="s">
        <v>145</v>
      </c>
      <c r="B65" s="63" t="s">
        <v>146</v>
      </c>
      <c r="C65" s="36">
        <v>4301136018</v>
      </c>
      <c r="D65" s="306">
        <v>4607111037008</v>
      </c>
      <c r="E65" s="30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9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08"/>
      <c r="R65" s="308"/>
      <c r="S65" s="308"/>
      <c r="T65" s="30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148</v>
      </c>
      <c r="B66" s="63" t="s">
        <v>149</v>
      </c>
      <c r="C66" s="36">
        <v>4301136015</v>
      </c>
      <c r="D66" s="306">
        <v>4607111037398</v>
      </c>
      <c r="E66" s="30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40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08"/>
      <c r="R66" s="308"/>
      <c r="S66" s="308"/>
      <c r="T66" s="30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03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16"/>
      <c r="P67" s="313" t="s">
        <v>40</v>
      </c>
      <c r="Q67" s="314"/>
      <c r="R67" s="314"/>
      <c r="S67" s="314"/>
      <c r="T67" s="314"/>
      <c r="U67" s="314"/>
      <c r="V67" s="31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03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16"/>
      <c r="P68" s="313" t="s">
        <v>40</v>
      </c>
      <c r="Q68" s="314"/>
      <c r="R68" s="314"/>
      <c r="S68" s="314"/>
      <c r="T68" s="314"/>
      <c r="U68" s="314"/>
      <c r="V68" s="31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24" t="s">
        <v>150</v>
      </c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66"/>
      <c r="AB69" s="66"/>
      <c r="AC69" s="83"/>
    </row>
    <row r="70" spans="1:68" ht="27" customHeight="1" x14ac:dyDescent="0.25">
      <c r="A70" s="63" t="s">
        <v>151</v>
      </c>
      <c r="B70" s="63" t="s">
        <v>152</v>
      </c>
      <c r="C70" s="36">
        <v>4301135664</v>
      </c>
      <c r="D70" s="306">
        <v>4607111039705</v>
      </c>
      <c r="E70" s="30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08"/>
      <c r="R70" s="308"/>
      <c r="S70" s="308"/>
      <c r="T70" s="30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306">
        <v>4607111039729</v>
      </c>
      <c r="E71" s="30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08"/>
      <c r="R71" s="308"/>
      <c r="S71" s="308"/>
      <c r="T71" s="30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306">
        <v>4620207490228</v>
      </c>
      <c r="E72" s="30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9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08"/>
      <c r="R72" s="308"/>
      <c r="S72" s="308"/>
      <c r="T72" s="30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03"/>
      <c r="B73" s="303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16"/>
      <c r="P73" s="313" t="s">
        <v>40</v>
      </c>
      <c r="Q73" s="314"/>
      <c r="R73" s="314"/>
      <c r="S73" s="314"/>
      <c r="T73" s="314"/>
      <c r="U73" s="314"/>
      <c r="V73" s="31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03"/>
      <c r="B74" s="303"/>
      <c r="C74" s="303"/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16"/>
      <c r="P74" s="313" t="s">
        <v>40</v>
      </c>
      <c r="Q74" s="314"/>
      <c r="R74" s="314"/>
      <c r="S74" s="314"/>
      <c r="T74" s="314"/>
      <c r="U74" s="314"/>
      <c r="V74" s="31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29" t="s">
        <v>158</v>
      </c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  <c r="AA75" s="65"/>
      <c r="AB75" s="65"/>
      <c r="AC75" s="82"/>
    </row>
    <row r="76" spans="1:68" ht="14.25" customHeight="1" x14ac:dyDescent="0.25">
      <c r="A76" s="324" t="s">
        <v>81</v>
      </c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66"/>
      <c r="AB76" s="66"/>
      <c r="AC76" s="83"/>
    </row>
    <row r="77" spans="1:68" ht="27" customHeight="1" x14ac:dyDescent="0.25">
      <c r="A77" s="63" t="s">
        <v>159</v>
      </c>
      <c r="B77" s="63" t="s">
        <v>160</v>
      </c>
      <c r="C77" s="36">
        <v>4301070977</v>
      </c>
      <c r="D77" s="306">
        <v>4607111037411</v>
      </c>
      <c r="E77" s="30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08"/>
      <c r="R77" s="308"/>
      <c r="S77" s="308"/>
      <c r="T77" s="30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06">
        <v>4607111036728</v>
      </c>
      <c r="E78" s="30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08"/>
      <c r="R78" s="308"/>
      <c r="S78" s="308"/>
      <c r="T78" s="30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03"/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16"/>
      <c r="P79" s="313" t="s">
        <v>40</v>
      </c>
      <c r="Q79" s="314"/>
      <c r="R79" s="314"/>
      <c r="S79" s="314"/>
      <c r="T79" s="314"/>
      <c r="U79" s="314"/>
      <c r="V79" s="31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03"/>
      <c r="B80" s="303"/>
      <c r="C80" s="303"/>
      <c r="D80" s="303"/>
      <c r="E80" s="303"/>
      <c r="F80" s="303"/>
      <c r="G80" s="303"/>
      <c r="H80" s="303"/>
      <c r="I80" s="303"/>
      <c r="J80" s="303"/>
      <c r="K80" s="303"/>
      <c r="L80" s="303"/>
      <c r="M80" s="303"/>
      <c r="N80" s="303"/>
      <c r="O80" s="316"/>
      <c r="P80" s="313" t="s">
        <v>40</v>
      </c>
      <c r="Q80" s="314"/>
      <c r="R80" s="314"/>
      <c r="S80" s="314"/>
      <c r="T80" s="314"/>
      <c r="U80" s="314"/>
      <c r="V80" s="31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29" t="s">
        <v>165</v>
      </c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  <c r="R81" s="329"/>
      <c r="S81" s="329"/>
      <c r="T81" s="329"/>
      <c r="U81" s="329"/>
      <c r="V81" s="329"/>
      <c r="W81" s="329"/>
      <c r="X81" s="329"/>
      <c r="Y81" s="329"/>
      <c r="Z81" s="329"/>
      <c r="AA81" s="65"/>
      <c r="AB81" s="65"/>
      <c r="AC81" s="82"/>
    </row>
    <row r="82" spans="1:68" ht="14.25" customHeight="1" x14ac:dyDescent="0.25">
      <c r="A82" s="324" t="s">
        <v>150</v>
      </c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306">
        <v>4607111033659</v>
      </c>
      <c r="E83" s="30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08"/>
      <c r="R83" s="308"/>
      <c r="S83" s="308"/>
      <c r="T83" s="30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03"/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16"/>
      <c r="P84" s="313" t="s">
        <v>40</v>
      </c>
      <c r="Q84" s="314"/>
      <c r="R84" s="314"/>
      <c r="S84" s="314"/>
      <c r="T84" s="314"/>
      <c r="U84" s="314"/>
      <c r="V84" s="31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03"/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16"/>
      <c r="P85" s="313" t="s">
        <v>40</v>
      </c>
      <c r="Q85" s="314"/>
      <c r="R85" s="314"/>
      <c r="S85" s="314"/>
      <c r="T85" s="314"/>
      <c r="U85" s="314"/>
      <c r="V85" s="31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29" t="s">
        <v>169</v>
      </c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  <c r="R86" s="329"/>
      <c r="S86" s="329"/>
      <c r="T86" s="329"/>
      <c r="U86" s="329"/>
      <c r="V86" s="329"/>
      <c r="W86" s="329"/>
      <c r="X86" s="329"/>
      <c r="Y86" s="329"/>
      <c r="Z86" s="329"/>
      <c r="AA86" s="65"/>
      <c r="AB86" s="65"/>
      <c r="AC86" s="82"/>
    </row>
    <row r="87" spans="1:68" ht="14.25" customHeight="1" x14ac:dyDescent="0.25">
      <c r="A87" s="324" t="s">
        <v>170</v>
      </c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06">
        <v>4607111034120</v>
      </c>
      <c r="E88" s="30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08"/>
      <c r="R88" s="308"/>
      <c r="S88" s="308"/>
      <c r="T88" s="30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306">
        <v>4607111034137</v>
      </c>
      <c r="E89" s="30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08"/>
      <c r="R89" s="308"/>
      <c r="S89" s="308"/>
      <c r="T89" s="30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03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16"/>
      <c r="P90" s="313" t="s">
        <v>40</v>
      </c>
      <c r="Q90" s="314"/>
      <c r="R90" s="314"/>
      <c r="S90" s="314"/>
      <c r="T90" s="314"/>
      <c r="U90" s="314"/>
      <c r="V90" s="31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03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16"/>
      <c r="P91" s="313" t="s">
        <v>40</v>
      </c>
      <c r="Q91" s="314"/>
      <c r="R91" s="314"/>
      <c r="S91" s="314"/>
      <c r="T91" s="314"/>
      <c r="U91" s="314"/>
      <c r="V91" s="31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29" t="s">
        <v>177</v>
      </c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  <c r="R92" s="329"/>
      <c r="S92" s="329"/>
      <c r="T92" s="329"/>
      <c r="U92" s="329"/>
      <c r="V92" s="329"/>
      <c r="W92" s="329"/>
      <c r="X92" s="329"/>
      <c r="Y92" s="329"/>
      <c r="Z92" s="329"/>
      <c r="AA92" s="65"/>
      <c r="AB92" s="65"/>
      <c r="AC92" s="82"/>
    </row>
    <row r="93" spans="1:68" ht="14.25" customHeight="1" x14ac:dyDescent="0.25">
      <c r="A93" s="324" t="s">
        <v>150</v>
      </c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06">
        <v>4620207491027</v>
      </c>
      <c r="E94" s="30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08"/>
      <c r="R94" s="308"/>
      <c r="S94" s="308"/>
      <c r="T94" s="30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100" si="6"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100" si="7">IFERROR(X94*I94,"0")</f>
        <v>0</v>
      </c>
      <c r="BN94" s="81">
        <f t="shared" ref="BN94:BN100" si="8">IFERROR(Y94*I94,"0")</f>
        <v>0</v>
      </c>
      <c r="BO94" s="81">
        <f t="shared" ref="BO94:BO100" si="9">IFERROR(X94/J94,"0")</f>
        <v>0</v>
      </c>
      <c r="BP94" s="81">
        <f t="shared" ref="BP94:BP100" si="10">IFERROR(Y94/J94,"0")</f>
        <v>0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06">
        <v>4620207491003</v>
      </c>
      <c r="E95" s="30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08"/>
      <c r="R95" s="308"/>
      <c r="S95" s="308"/>
      <c r="T95" s="30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>IFERROR(IF(X95="","",X95*0.01788),"")</f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7"/>
        <v>0</v>
      </c>
      <c r="BN95" s="81">
        <f t="shared" si="8"/>
        <v>0</v>
      </c>
      <c r="BO95" s="81">
        <f t="shared" si="9"/>
        <v>0</v>
      </c>
      <c r="BP95" s="81">
        <f t="shared" si="10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4301135767</v>
      </c>
      <c r="D96" s="306">
        <v>4620207491003</v>
      </c>
      <c r="E96" s="306"/>
      <c r="F96" s="62">
        <v>0.24</v>
      </c>
      <c r="G96" s="37">
        <v>6</v>
      </c>
      <c r="H96" s="62">
        <v>1.44</v>
      </c>
      <c r="I96" s="62">
        <v>1.8617999999999999</v>
      </c>
      <c r="J96" s="37">
        <v>140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88" t="str">
        <f>HYPERLINK("https://abi.ru/products/Замороженные/Горячая штучка/Чебупели/Снеки/P004973/","Снеки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08"/>
      <c r="R96" s="308"/>
      <c r="S96" s="308"/>
      <c r="T96" s="30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>IFERROR(IF(X96="","",X96*0.00941),"")</f>
        <v>0</v>
      </c>
      <c r="AA96" s="68" t="s">
        <v>46</v>
      </c>
      <c r="AB96" s="69" t="s">
        <v>46</v>
      </c>
      <c r="AC96" s="151" t="s">
        <v>168</v>
      </c>
      <c r="AG96" s="81"/>
      <c r="AJ96" s="87" t="s">
        <v>88</v>
      </c>
      <c r="AK96" s="87">
        <v>1</v>
      </c>
      <c r="BB96" s="152" t="s">
        <v>116</v>
      </c>
      <c r="BM96" s="81">
        <f t="shared" si="7"/>
        <v>0</v>
      </c>
      <c r="BN96" s="81">
        <f t="shared" si="8"/>
        <v>0</v>
      </c>
      <c r="BO96" s="81">
        <f t="shared" si="9"/>
        <v>0</v>
      </c>
      <c r="BP96" s="81">
        <f t="shared" si="10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4301135768</v>
      </c>
      <c r="D97" s="306">
        <v>4620207491034</v>
      </c>
      <c r="E97" s="30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87</v>
      </c>
      <c r="M97" s="38" t="s">
        <v>85</v>
      </c>
      <c r="N97" s="38"/>
      <c r="O97" s="37">
        <v>180</v>
      </c>
      <c r="P97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08"/>
      <c r="R97" s="308"/>
      <c r="S97" s="308"/>
      <c r="T97" s="30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53" t="s">
        <v>186</v>
      </c>
      <c r="AG97" s="81"/>
      <c r="AJ97" s="87" t="s">
        <v>88</v>
      </c>
      <c r="AK97" s="87">
        <v>1</v>
      </c>
      <c r="BB97" s="154" t="s">
        <v>116</v>
      </c>
      <c r="BM97" s="81">
        <f t="shared" si="7"/>
        <v>0</v>
      </c>
      <c r="BN97" s="81">
        <f t="shared" si="8"/>
        <v>0</v>
      </c>
      <c r="BO97" s="81">
        <f t="shared" si="9"/>
        <v>0</v>
      </c>
      <c r="BP97" s="81">
        <f t="shared" si="10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4301135760</v>
      </c>
      <c r="D98" s="306">
        <v>4620207491010</v>
      </c>
      <c r="E98" s="30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08"/>
      <c r="R98" s="308"/>
      <c r="S98" s="308"/>
      <c r="T98" s="30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>IFERROR(IF(X98="","",X98*0.01788),"")</f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7"/>
        <v>0</v>
      </c>
      <c r="BN98" s="81">
        <f t="shared" si="8"/>
        <v>0</v>
      </c>
      <c r="BO98" s="81">
        <f t="shared" si="9"/>
        <v>0</v>
      </c>
      <c r="BP98" s="81">
        <f t="shared" si="10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4301135571</v>
      </c>
      <c r="D99" s="306">
        <v>4607111035028</v>
      </c>
      <c r="E99" s="306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117</v>
      </c>
      <c r="L99" s="37" t="s">
        <v>87</v>
      </c>
      <c r="M99" s="38" t="s">
        <v>85</v>
      </c>
      <c r="N99" s="38"/>
      <c r="O99" s="37">
        <v>180</v>
      </c>
      <c r="P99" s="38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08"/>
      <c r="R99" s="308"/>
      <c r="S99" s="308"/>
      <c r="T99" s="30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>IFERROR(IF(X99="","",X99*0.01788),"")</f>
        <v>0</v>
      </c>
      <c r="AA99" s="68" t="s">
        <v>46</v>
      </c>
      <c r="AB99" s="69" t="s">
        <v>46</v>
      </c>
      <c r="AC99" s="157" t="s">
        <v>168</v>
      </c>
      <c r="AG99" s="81"/>
      <c r="AJ99" s="87" t="s">
        <v>88</v>
      </c>
      <c r="AK99" s="87">
        <v>1</v>
      </c>
      <c r="BB99" s="158" t="s">
        <v>116</v>
      </c>
      <c r="BM99" s="81">
        <f t="shared" si="7"/>
        <v>0</v>
      </c>
      <c r="BN99" s="81">
        <f t="shared" si="8"/>
        <v>0</v>
      </c>
      <c r="BO99" s="81">
        <f t="shared" si="9"/>
        <v>0</v>
      </c>
      <c r="BP99" s="81">
        <f t="shared" si="10"/>
        <v>0</v>
      </c>
    </row>
    <row r="100" spans="1:68" ht="27" customHeight="1" x14ac:dyDescent="0.25">
      <c r="A100" s="63" t="s">
        <v>191</v>
      </c>
      <c r="B100" s="63" t="s">
        <v>192</v>
      </c>
      <c r="C100" s="36">
        <v>4301135285</v>
      </c>
      <c r="D100" s="306">
        <v>4607111036407</v>
      </c>
      <c r="E100" s="306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117</v>
      </c>
      <c r="L100" s="37" t="s">
        <v>118</v>
      </c>
      <c r="M100" s="38" t="s">
        <v>85</v>
      </c>
      <c r="N100" s="38"/>
      <c r="O100" s="37">
        <v>180</v>
      </c>
      <c r="P100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08"/>
      <c r="R100" s="308"/>
      <c r="S100" s="308"/>
      <c r="T100" s="30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>IFERROR(IF(X100="","",X100*0.01788),"")</f>
        <v>0</v>
      </c>
      <c r="AA100" s="68" t="s">
        <v>46</v>
      </c>
      <c r="AB100" s="69" t="s">
        <v>46</v>
      </c>
      <c r="AC100" s="159" t="s">
        <v>193</v>
      </c>
      <c r="AG100" s="81"/>
      <c r="AJ100" s="87" t="s">
        <v>119</v>
      </c>
      <c r="AK100" s="87">
        <v>14</v>
      </c>
      <c r="BB100" s="160" t="s">
        <v>116</v>
      </c>
      <c r="BM100" s="81">
        <f t="shared" si="7"/>
        <v>0</v>
      </c>
      <c r="BN100" s="81">
        <f t="shared" si="8"/>
        <v>0</v>
      </c>
      <c r="BO100" s="81">
        <f t="shared" si="9"/>
        <v>0</v>
      </c>
      <c r="BP100" s="81">
        <f t="shared" si="10"/>
        <v>0</v>
      </c>
    </row>
    <row r="101" spans="1:68" x14ac:dyDescent="0.2">
      <c r="A101" s="303"/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16"/>
      <c r="P101" s="313" t="s">
        <v>40</v>
      </c>
      <c r="Q101" s="314"/>
      <c r="R101" s="314"/>
      <c r="S101" s="314"/>
      <c r="T101" s="314"/>
      <c r="U101" s="314"/>
      <c r="V101" s="315"/>
      <c r="W101" s="42" t="s">
        <v>39</v>
      </c>
      <c r="X101" s="43">
        <f>IFERROR(SUM(X94:X100),"0")</f>
        <v>0</v>
      </c>
      <c r="Y101" s="43">
        <f>IFERROR(SUM(Y94:Y100),"0")</f>
        <v>0</v>
      </c>
      <c r="Z101" s="43">
        <f>IFERROR(IF(Z94="",0,Z94),"0")+IFERROR(IF(Z95="",0,Z95),"0")+IFERROR(IF(Z96="",0,Z96),"0")+IFERROR(IF(Z97="",0,Z97),"0")+IFERROR(IF(Z98="",0,Z98),"0")+IFERROR(IF(Z99="",0,Z99),"0")+IFERROR(IF(Z100="",0,Z100),"0")</f>
        <v>0</v>
      </c>
      <c r="AA101" s="67"/>
      <c r="AB101" s="67"/>
      <c r="AC101" s="67"/>
    </row>
    <row r="102" spans="1:68" x14ac:dyDescent="0.2">
      <c r="A102" s="303"/>
      <c r="B102" s="303"/>
      <c r="C102" s="303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16"/>
      <c r="P102" s="313" t="s">
        <v>40</v>
      </c>
      <c r="Q102" s="314"/>
      <c r="R102" s="314"/>
      <c r="S102" s="314"/>
      <c r="T102" s="314"/>
      <c r="U102" s="314"/>
      <c r="V102" s="315"/>
      <c r="W102" s="42" t="s">
        <v>0</v>
      </c>
      <c r="X102" s="43">
        <f>IFERROR(SUMPRODUCT(X94:X100*H94:H100),"0")</f>
        <v>0</v>
      </c>
      <c r="Y102" s="43">
        <f>IFERROR(SUMPRODUCT(Y94:Y100*H94:H100),"0")</f>
        <v>0</v>
      </c>
      <c r="Z102" s="42"/>
      <c r="AA102" s="67"/>
      <c r="AB102" s="67"/>
      <c r="AC102" s="67"/>
    </row>
    <row r="103" spans="1:68" ht="16.5" customHeight="1" x14ac:dyDescent="0.25">
      <c r="A103" s="329" t="s">
        <v>194</v>
      </c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  <c r="AA103" s="65"/>
      <c r="AB103" s="65"/>
      <c r="AC103" s="82"/>
    </row>
    <row r="104" spans="1:68" ht="14.25" customHeight="1" x14ac:dyDescent="0.25">
      <c r="A104" s="324" t="s">
        <v>144</v>
      </c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66"/>
      <c r="AB104" s="66"/>
      <c r="AC104" s="83"/>
    </row>
    <row r="105" spans="1:68" ht="27" customHeight="1" x14ac:dyDescent="0.25">
      <c r="A105" s="63" t="s">
        <v>195</v>
      </c>
      <c r="B105" s="63" t="s">
        <v>196</v>
      </c>
      <c r="C105" s="36">
        <v>4301136070</v>
      </c>
      <c r="D105" s="306">
        <v>4607025784012</v>
      </c>
      <c r="E105" s="306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38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08"/>
      <c r="R105" s="308"/>
      <c r="S105" s="308"/>
      <c r="T105" s="30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IFERROR(IF(X105="","",X105*0.00936),"")</f>
        <v>0</v>
      </c>
      <c r="AA105" s="68" t="s">
        <v>46</v>
      </c>
      <c r="AB105" s="69" t="s">
        <v>46</v>
      </c>
      <c r="AC105" s="161" t="s">
        <v>197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t="27" customHeight="1" x14ac:dyDescent="0.25">
      <c r="A106" s="63" t="s">
        <v>198</v>
      </c>
      <c r="B106" s="63" t="s">
        <v>199</v>
      </c>
      <c r="C106" s="36">
        <v>4301136079</v>
      </c>
      <c r="D106" s="306">
        <v>4607025784319</v>
      </c>
      <c r="E106" s="306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117</v>
      </c>
      <c r="L106" s="37" t="s">
        <v>87</v>
      </c>
      <c r="M106" s="38" t="s">
        <v>85</v>
      </c>
      <c r="N106" s="38"/>
      <c r="O106" s="37">
        <v>180</v>
      </c>
      <c r="P106" s="38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08"/>
      <c r="R106" s="308"/>
      <c r="S106" s="308"/>
      <c r="T106" s="309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63" t="s">
        <v>168</v>
      </c>
      <c r="AG106" s="81"/>
      <c r="AJ106" s="87" t="s">
        <v>88</v>
      </c>
      <c r="AK106" s="87">
        <v>1</v>
      </c>
      <c r="BB106" s="164" t="s">
        <v>116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03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16"/>
      <c r="P107" s="313" t="s">
        <v>40</v>
      </c>
      <c r="Q107" s="314"/>
      <c r="R107" s="314"/>
      <c r="S107" s="314"/>
      <c r="T107" s="314"/>
      <c r="U107" s="314"/>
      <c r="V107" s="315"/>
      <c r="W107" s="42" t="s">
        <v>39</v>
      </c>
      <c r="X107" s="43">
        <f>IFERROR(SUM(X105:X106),"0")</f>
        <v>0</v>
      </c>
      <c r="Y107" s="43">
        <f>IFERROR(SUM(Y105:Y106),"0")</f>
        <v>0</v>
      </c>
      <c r="Z107" s="43">
        <f>IFERROR(IF(Z105="",0,Z105),"0")+IFERROR(IF(Z106="",0,Z106),"0")</f>
        <v>0</v>
      </c>
      <c r="AA107" s="67"/>
      <c r="AB107" s="67"/>
      <c r="AC107" s="67"/>
    </row>
    <row r="108" spans="1:68" x14ac:dyDescent="0.2">
      <c r="A108" s="303"/>
      <c r="B108" s="303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316"/>
      <c r="P108" s="313" t="s">
        <v>40</v>
      </c>
      <c r="Q108" s="314"/>
      <c r="R108" s="314"/>
      <c r="S108" s="314"/>
      <c r="T108" s="314"/>
      <c r="U108" s="314"/>
      <c r="V108" s="315"/>
      <c r="W108" s="42" t="s">
        <v>0</v>
      </c>
      <c r="X108" s="43">
        <f>IFERROR(SUMPRODUCT(X105:X106*H105:H106),"0")</f>
        <v>0</v>
      </c>
      <c r="Y108" s="43">
        <f>IFERROR(SUMPRODUCT(Y105:Y106*H105:H106),"0")</f>
        <v>0</v>
      </c>
      <c r="Z108" s="42"/>
      <c r="AA108" s="67"/>
      <c r="AB108" s="67"/>
      <c r="AC108" s="67"/>
    </row>
    <row r="109" spans="1:68" ht="16.5" customHeight="1" x14ac:dyDescent="0.25">
      <c r="A109" s="329" t="s">
        <v>200</v>
      </c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  <c r="AA109" s="65"/>
      <c r="AB109" s="65"/>
      <c r="AC109" s="82"/>
    </row>
    <row r="110" spans="1:68" ht="14.25" customHeight="1" x14ac:dyDescent="0.25">
      <c r="A110" s="324" t="s">
        <v>81</v>
      </c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66"/>
      <c r="AB110" s="66"/>
      <c r="AC110" s="83"/>
    </row>
    <row r="111" spans="1:68" ht="27" customHeight="1" x14ac:dyDescent="0.25">
      <c r="A111" s="63" t="s">
        <v>201</v>
      </c>
      <c r="B111" s="63" t="s">
        <v>202</v>
      </c>
      <c r="C111" s="36">
        <v>4301071074</v>
      </c>
      <c r="D111" s="306">
        <v>4620207491157</v>
      </c>
      <c r="E111" s="306"/>
      <c r="F111" s="62">
        <v>0.7</v>
      </c>
      <c r="G111" s="37">
        <v>10</v>
      </c>
      <c r="H111" s="62">
        <v>7</v>
      </c>
      <c r="I111" s="62">
        <v>7.28</v>
      </c>
      <c r="J111" s="37">
        <v>84</v>
      </c>
      <c r="K111" s="37" t="s">
        <v>86</v>
      </c>
      <c r="L111" s="37" t="s">
        <v>118</v>
      </c>
      <c r="M111" s="38" t="s">
        <v>85</v>
      </c>
      <c r="N111" s="38"/>
      <c r="O111" s="37">
        <v>180</v>
      </c>
      <c r="P111" s="37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1" s="308"/>
      <c r="R111" s="308"/>
      <c r="S111" s="308"/>
      <c r="T111" s="30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ref="Y111:Y118" si="11">IFERROR(IF(X111="","",X111),"")</f>
        <v>0</v>
      </c>
      <c r="Z111" s="41">
        <f t="shared" ref="Z111:Z118" si="12">IFERROR(IF(X111="","",X111*0.0155),"")</f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119</v>
      </c>
      <c r="AK111" s="87">
        <v>12</v>
      </c>
      <c r="BB111" s="166" t="s">
        <v>70</v>
      </c>
      <c r="BM111" s="81">
        <f t="shared" ref="BM111:BM118" si="13">IFERROR(X111*I111,"0")</f>
        <v>0</v>
      </c>
      <c r="BN111" s="81">
        <f t="shared" ref="BN111:BN118" si="14">IFERROR(Y111*I111,"0")</f>
        <v>0</v>
      </c>
      <c r="BO111" s="81">
        <f t="shared" ref="BO111:BO118" si="15">IFERROR(X111/J111,"0")</f>
        <v>0</v>
      </c>
      <c r="BP111" s="81">
        <f t="shared" ref="BP111:BP118" si="16">IFERROR(Y111/J111,"0")</f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4301071121</v>
      </c>
      <c r="D112" s="306">
        <v>4620207491393</v>
      </c>
      <c r="E112" s="306"/>
      <c r="F112" s="62">
        <v>0.4</v>
      </c>
      <c r="G112" s="37">
        <v>16</v>
      </c>
      <c r="H112" s="62">
        <v>6.4</v>
      </c>
      <c r="I112" s="62">
        <v>6.71</v>
      </c>
      <c r="J112" s="37">
        <v>84</v>
      </c>
      <c r="K112" s="37" t="s">
        <v>86</v>
      </c>
      <c r="L112" s="37" t="s">
        <v>87</v>
      </c>
      <c r="M112" s="38" t="s">
        <v>85</v>
      </c>
      <c r="N112" s="38"/>
      <c r="O112" s="37">
        <v>180</v>
      </c>
      <c r="P112" s="37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2" s="308"/>
      <c r="R112" s="308"/>
      <c r="S112" s="308"/>
      <c r="T112" s="30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1"/>
        <v>0</v>
      </c>
      <c r="Z112" s="41">
        <f t="shared" si="12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88</v>
      </c>
      <c r="AK112" s="87">
        <v>1</v>
      </c>
      <c r="BB112" s="168" t="s">
        <v>70</v>
      </c>
      <c r="BM112" s="81">
        <f t="shared" si="13"/>
        <v>0</v>
      </c>
      <c r="BN112" s="81">
        <f t="shared" si="14"/>
        <v>0</v>
      </c>
      <c r="BO112" s="81">
        <f t="shared" si="15"/>
        <v>0</v>
      </c>
      <c r="BP112" s="81">
        <f t="shared" si="16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4301071051</v>
      </c>
      <c r="D113" s="306">
        <v>4607111039262</v>
      </c>
      <c r="E113" s="30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37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08"/>
      <c r="R113" s="308"/>
      <c r="S113" s="308"/>
      <c r="T113" s="30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1"/>
        <v>0</v>
      </c>
      <c r="Z113" s="41">
        <f t="shared" si="12"/>
        <v>0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3"/>
        <v>0</v>
      </c>
      <c r="BN113" s="81">
        <f t="shared" si="14"/>
        <v>0</v>
      </c>
      <c r="BO113" s="81">
        <f t="shared" si="15"/>
        <v>0</v>
      </c>
      <c r="BP113" s="81">
        <f t="shared" si="16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4301071038</v>
      </c>
      <c r="D114" s="306">
        <v>4607111039248</v>
      </c>
      <c r="E114" s="30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86</v>
      </c>
      <c r="L114" s="37" t="s">
        <v>118</v>
      </c>
      <c r="M114" s="38" t="s">
        <v>85</v>
      </c>
      <c r="N114" s="38"/>
      <c r="O114" s="37">
        <v>180</v>
      </c>
      <c r="P114" s="38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08"/>
      <c r="R114" s="308"/>
      <c r="S114" s="308"/>
      <c r="T114" s="30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1"/>
        <v>0</v>
      </c>
      <c r="Z114" s="41">
        <f t="shared" si="12"/>
        <v>0</v>
      </c>
      <c r="AA114" s="68" t="s">
        <v>46</v>
      </c>
      <c r="AB114" s="69" t="s">
        <v>46</v>
      </c>
      <c r="AC114" s="171" t="s">
        <v>161</v>
      </c>
      <c r="AG114" s="81"/>
      <c r="AJ114" s="87" t="s">
        <v>119</v>
      </c>
      <c r="AK114" s="87">
        <v>12</v>
      </c>
      <c r="BB114" s="172" t="s">
        <v>70</v>
      </c>
      <c r="BM114" s="81">
        <f t="shared" si="13"/>
        <v>0</v>
      </c>
      <c r="BN114" s="81">
        <f t="shared" si="14"/>
        <v>0</v>
      </c>
      <c r="BO114" s="81">
        <f t="shared" si="15"/>
        <v>0</v>
      </c>
      <c r="BP114" s="81">
        <f t="shared" si="16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4301070979</v>
      </c>
      <c r="D115" s="306">
        <v>4607111037145</v>
      </c>
      <c r="E115" s="30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38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08"/>
      <c r="R115" s="308"/>
      <c r="S115" s="308"/>
      <c r="T115" s="30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1"/>
        <v>0</v>
      </c>
      <c r="Z115" s="41">
        <f t="shared" si="12"/>
        <v>0</v>
      </c>
      <c r="AA115" s="68" t="s">
        <v>46</v>
      </c>
      <c r="AB115" s="69" t="s">
        <v>46</v>
      </c>
      <c r="AC115" s="173" t="s">
        <v>213</v>
      </c>
      <c r="AG115" s="81"/>
      <c r="AJ115" s="87" t="s">
        <v>88</v>
      </c>
      <c r="AK115" s="87">
        <v>1</v>
      </c>
      <c r="BB115" s="174" t="s">
        <v>70</v>
      </c>
      <c r="BM115" s="81">
        <f t="shared" si="13"/>
        <v>0</v>
      </c>
      <c r="BN115" s="81">
        <f t="shared" si="14"/>
        <v>0</v>
      </c>
      <c r="BO115" s="81">
        <f t="shared" si="15"/>
        <v>0</v>
      </c>
      <c r="BP115" s="81">
        <f t="shared" si="16"/>
        <v>0</v>
      </c>
    </row>
    <row r="116" spans="1:68" ht="27" customHeight="1" x14ac:dyDescent="0.25">
      <c r="A116" s="63" t="s">
        <v>214</v>
      </c>
      <c r="B116" s="63" t="s">
        <v>215</v>
      </c>
      <c r="C116" s="36">
        <v>4301071075</v>
      </c>
      <c r="D116" s="306">
        <v>4620207491102</v>
      </c>
      <c r="E116" s="306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7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08"/>
      <c r="R116" s="308"/>
      <c r="S116" s="308"/>
      <c r="T116" s="30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1"/>
        <v>0</v>
      </c>
      <c r="Z116" s="41">
        <f t="shared" si="12"/>
        <v>0</v>
      </c>
      <c r="AA116" s="68" t="s">
        <v>46</v>
      </c>
      <c r="AB116" s="69" t="s">
        <v>46</v>
      </c>
      <c r="AC116" s="175" t="s">
        <v>216</v>
      </c>
      <c r="AG116" s="81"/>
      <c r="AJ116" s="87" t="s">
        <v>88</v>
      </c>
      <c r="AK116" s="87">
        <v>1</v>
      </c>
      <c r="BB116" s="176" t="s">
        <v>70</v>
      </c>
      <c r="BM116" s="81">
        <f t="shared" si="13"/>
        <v>0</v>
      </c>
      <c r="BN116" s="81">
        <f t="shared" si="14"/>
        <v>0</v>
      </c>
      <c r="BO116" s="81">
        <f t="shared" si="15"/>
        <v>0</v>
      </c>
      <c r="BP116" s="81">
        <f t="shared" si="16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4301071049</v>
      </c>
      <c r="D117" s="306">
        <v>4607111039293</v>
      </c>
      <c r="E117" s="306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37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08"/>
      <c r="R117" s="308"/>
      <c r="S117" s="308"/>
      <c r="T117" s="30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1"/>
        <v>0</v>
      </c>
      <c r="Z117" s="41">
        <f t="shared" si="12"/>
        <v>0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3"/>
        <v>0</v>
      </c>
      <c r="BN117" s="81">
        <f t="shared" si="14"/>
        <v>0</v>
      </c>
      <c r="BO117" s="81">
        <f t="shared" si="15"/>
        <v>0</v>
      </c>
      <c r="BP117" s="81">
        <f t="shared" si="16"/>
        <v>0</v>
      </c>
    </row>
    <row r="118" spans="1:68" ht="27" customHeight="1" x14ac:dyDescent="0.25">
      <c r="A118" s="63" t="s">
        <v>219</v>
      </c>
      <c r="B118" s="63" t="s">
        <v>220</v>
      </c>
      <c r="C118" s="36">
        <v>4301071039</v>
      </c>
      <c r="D118" s="306">
        <v>4607111039279</v>
      </c>
      <c r="E118" s="306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86</v>
      </c>
      <c r="L118" s="37" t="s">
        <v>118</v>
      </c>
      <c r="M118" s="38" t="s">
        <v>85</v>
      </c>
      <c r="N118" s="38"/>
      <c r="O118" s="37">
        <v>180</v>
      </c>
      <c r="P118" s="37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08"/>
      <c r="R118" s="308"/>
      <c r="S118" s="308"/>
      <c r="T118" s="30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1"/>
        <v>0</v>
      </c>
      <c r="Z118" s="41">
        <f t="shared" si="12"/>
        <v>0</v>
      </c>
      <c r="AA118" s="68" t="s">
        <v>46</v>
      </c>
      <c r="AB118" s="69" t="s">
        <v>46</v>
      </c>
      <c r="AC118" s="179" t="s">
        <v>161</v>
      </c>
      <c r="AG118" s="81"/>
      <c r="AJ118" s="87" t="s">
        <v>119</v>
      </c>
      <c r="AK118" s="87">
        <v>12</v>
      </c>
      <c r="BB118" s="180" t="s">
        <v>70</v>
      </c>
      <c r="BM118" s="81">
        <f t="shared" si="13"/>
        <v>0</v>
      </c>
      <c r="BN118" s="81">
        <f t="shared" si="14"/>
        <v>0</v>
      </c>
      <c r="BO118" s="81">
        <f t="shared" si="15"/>
        <v>0</v>
      </c>
      <c r="BP118" s="81">
        <f t="shared" si="16"/>
        <v>0</v>
      </c>
    </row>
    <row r="119" spans="1:68" x14ac:dyDescent="0.2">
      <c r="A119" s="303"/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16"/>
      <c r="P119" s="313" t="s">
        <v>40</v>
      </c>
      <c r="Q119" s="314"/>
      <c r="R119" s="314"/>
      <c r="S119" s="314"/>
      <c r="T119" s="314"/>
      <c r="U119" s="314"/>
      <c r="V119" s="315"/>
      <c r="W119" s="42" t="s">
        <v>39</v>
      </c>
      <c r="X119" s="43">
        <f>IFERROR(SUM(X111:X118),"0")</f>
        <v>0</v>
      </c>
      <c r="Y119" s="43">
        <f>IFERROR(SUM(Y111:Y118),"0")</f>
        <v>0</v>
      </c>
      <c r="Z119" s="43">
        <f>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03"/>
      <c r="B120" s="303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16"/>
      <c r="P120" s="313" t="s">
        <v>40</v>
      </c>
      <c r="Q120" s="314"/>
      <c r="R120" s="314"/>
      <c r="S120" s="314"/>
      <c r="T120" s="314"/>
      <c r="U120" s="314"/>
      <c r="V120" s="315"/>
      <c r="W120" s="42" t="s">
        <v>0</v>
      </c>
      <c r="X120" s="43">
        <f>IFERROR(SUMPRODUCT(X111:X118*H111:H118),"0")</f>
        <v>0</v>
      </c>
      <c r="Y120" s="43">
        <f>IFERROR(SUMPRODUCT(Y111:Y118*H111:H118),"0")</f>
        <v>0</v>
      </c>
      <c r="Z120" s="42"/>
      <c r="AA120" s="67"/>
      <c r="AB120" s="67"/>
      <c r="AC120" s="67"/>
    </row>
    <row r="121" spans="1:68" ht="14.25" customHeight="1" x14ac:dyDescent="0.25">
      <c r="A121" s="324" t="s">
        <v>150</v>
      </c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66"/>
      <c r="AB121" s="66"/>
      <c r="AC121" s="83"/>
    </row>
    <row r="122" spans="1:68" ht="27" customHeight="1" x14ac:dyDescent="0.25">
      <c r="A122" s="63" t="s">
        <v>221</v>
      </c>
      <c r="B122" s="63" t="s">
        <v>222</v>
      </c>
      <c r="C122" s="36">
        <v>4301135826</v>
      </c>
      <c r="D122" s="306">
        <v>4620207490983</v>
      </c>
      <c r="E122" s="306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117</v>
      </c>
      <c r="L122" s="37" t="s">
        <v>87</v>
      </c>
      <c r="M122" s="38" t="s">
        <v>85</v>
      </c>
      <c r="N122" s="38"/>
      <c r="O122" s="37">
        <v>180</v>
      </c>
      <c r="P122" s="37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08"/>
      <c r="R122" s="308"/>
      <c r="S122" s="308"/>
      <c r="T122" s="309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223</v>
      </c>
      <c r="AG122" s="81"/>
      <c r="AJ122" s="87" t="s">
        <v>88</v>
      </c>
      <c r="AK122" s="87">
        <v>1</v>
      </c>
      <c r="BB122" s="182" t="s">
        <v>116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03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16"/>
      <c r="P123" s="313" t="s">
        <v>40</v>
      </c>
      <c r="Q123" s="314"/>
      <c r="R123" s="314"/>
      <c r="S123" s="314"/>
      <c r="T123" s="314"/>
      <c r="U123" s="314"/>
      <c r="V123" s="31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03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16"/>
      <c r="P124" s="313" t="s">
        <v>40</v>
      </c>
      <c r="Q124" s="314"/>
      <c r="R124" s="314"/>
      <c r="S124" s="314"/>
      <c r="T124" s="314"/>
      <c r="U124" s="314"/>
      <c r="V124" s="31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24" t="s">
        <v>224</v>
      </c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66"/>
      <c r="AB125" s="66"/>
      <c r="AC125" s="83"/>
    </row>
    <row r="126" spans="1:68" ht="27" customHeight="1" x14ac:dyDescent="0.25">
      <c r="A126" s="63" t="s">
        <v>225</v>
      </c>
      <c r="B126" s="63" t="s">
        <v>226</v>
      </c>
      <c r="C126" s="36">
        <v>4301071094</v>
      </c>
      <c r="D126" s="306">
        <v>4620207491140</v>
      </c>
      <c r="E126" s="306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86</v>
      </c>
      <c r="L126" s="37" t="s">
        <v>87</v>
      </c>
      <c r="M126" s="38" t="s">
        <v>85</v>
      </c>
      <c r="N126" s="38"/>
      <c r="O126" s="37">
        <v>180</v>
      </c>
      <c r="P126" s="37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08"/>
      <c r="R126" s="308"/>
      <c r="S126" s="308"/>
      <c r="T126" s="309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227</v>
      </c>
      <c r="AG126" s="81"/>
      <c r="AJ126" s="87" t="s">
        <v>88</v>
      </c>
      <c r="AK126" s="87">
        <v>1</v>
      </c>
      <c r="BB126" s="184" t="s">
        <v>116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03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16"/>
      <c r="P127" s="313" t="s">
        <v>40</v>
      </c>
      <c r="Q127" s="314"/>
      <c r="R127" s="314"/>
      <c r="S127" s="314"/>
      <c r="T127" s="314"/>
      <c r="U127" s="314"/>
      <c r="V127" s="31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03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16"/>
      <c r="P128" s="313" t="s">
        <v>40</v>
      </c>
      <c r="Q128" s="314"/>
      <c r="R128" s="314"/>
      <c r="S128" s="314"/>
      <c r="T128" s="314"/>
      <c r="U128" s="314"/>
      <c r="V128" s="31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29" t="s">
        <v>228</v>
      </c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  <c r="AA129" s="65"/>
      <c r="AB129" s="65"/>
      <c r="AC129" s="82"/>
    </row>
    <row r="130" spans="1:68" ht="14.25" customHeight="1" x14ac:dyDescent="0.25">
      <c r="A130" s="324" t="s">
        <v>150</v>
      </c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66"/>
      <c r="AB130" s="66"/>
      <c r="AC130" s="83"/>
    </row>
    <row r="131" spans="1:68" ht="27" customHeight="1" x14ac:dyDescent="0.25">
      <c r="A131" s="63" t="s">
        <v>229</v>
      </c>
      <c r="B131" s="63" t="s">
        <v>230</v>
      </c>
      <c r="C131" s="36">
        <v>4301135848</v>
      </c>
      <c r="D131" s="306">
        <v>4620207491799</v>
      </c>
      <c r="E131" s="30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37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08"/>
      <c r="R131" s="308"/>
      <c r="S131" s="308"/>
      <c r="T131" s="30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231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232</v>
      </c>
      <c r="B132" s="63" t="s">
        <v>233</v>
      </c>
      <c r="C132" s="36">
        <v>4301135850</v>
      </c>
      <c r="D132" s="306">
        <v>4620207491492</v>
      </c>
      <c r="E132" s="306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37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8"/>
      <c r="R132" s="308"/>
      <c r="S132" s="308"/>
      <c r="T132" s="30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231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4301190118</v>
      </c>
      <c r="D133" s="306">
        <v>4620207491461</v>
      </c>
      <c r="E133" s="306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3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8"/>
      <c r="R133" s="308"/>
      <c r="S133" s="308"/>
      <c r="T133" s="30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231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236</v>
      </c>
      <c r="B134" s="63" t="s">
        <v>237</v>
      </c>
      <c r="C134" s="36">
        <v>4301135865</v>
      </c>
      <c r="D134" s="306">
        <v>4620207491485</v>
      </c>
      <c r="E134" s="306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117</v>
      </c>
      <c r="L134" s="37" t="s">
        <v>87</v>
      </c>
      <c r="M134" s="38" t="s">
        <v>85</v>
      </c>
      <c r="N134" s="38"/>
      <c r="O134" s="37">
        <v>180</v>
      </c>
      <c r="P134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8"/>
      <c r="R134" s="308"/>
      <c r="S134" s="308"/>
      <c r="T134" s="30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231</v>
      </c>
      <c r="AG134" s="81"/>
      <c r="AJ134" s="87" t="s">
        <v>88</v>
      </c>
      <c r="AK134" s="87">
        <v>1</v>
      </c>
      <c r="BB134" s="192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03"/>
      <c r="B135" s="303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16"/>
      <c r="P135" s="313" t="s">
        <v>40</v>
      </c>
      <c r="Q135" s="314"/>
      <c r="R135" s="314"/>
      <c r="S135" s="314"/>
      <c r="T135" s="314"/>
      <c r="U135" s="314"/>
      <c r="V135" s="315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303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16"/>
      <c r="P136" s="313" t="s">
        <v>40</v>
      </c>
      <c r="Q136" s="314"/>
      <c r="R136" s="314"/>
      <c r="S136" s="314"/>
      <c r="T136" s="314"/>
      <c r="U136" s="314"/>
      <c r="V136" s="315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24" t="s">
        <v>238</v>
      </c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66"/>
      <c r="AB137" s="66"/>
      <c r="AC137" s="83"/>
    </row>
    <row r="138" spans="1:68" ht="27" customHeight="1" x14ac:dyDescent="0.25">
      <c r="A138" s="63" t="s">
        <v>239</v>
      </c>
      <c r="B138" s="63" t="s">
        <v>240</v>
      </c>
      <c r="C138" s="36">
        <v>4301190117</v>
      </c>
      <c r="D138" s="306">
        <v>4620207491386</v>
      </c>
      <c r="E138" s="30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36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8"/>
      <c r="R138" s="308"/>
      <c r="S138" s="308"/>
      <c r="T138" s="30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241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242</v>
      </c>
      <c r="B139" s="63" t="s">
        <v>243</v>
      </c>
      <c r="C139" s="36">
        <v>4301190115</v>
      </c>
      <c r="D139" s="306">
        <v>4620207491362</v>
      </c>
      <c r="E139" s="30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36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8"/>
      <c r="R139" s="308"/>
      <c r="S139" s="308"/>
      <c r="T139" s="30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241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244</v>
      </c>
      <c r="B140" s="63" t="s">
        <v>245</v>
      </c>
      <c r="C140" s="36">
        <v>4301190116</v>
      </c>
      <c r="D140" s="306">
        <v>4620207491379</v>
      </c>
      <c r="E140" s="306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117</v>
      </c>
      <c r="L140" s="37" t="s">
        <v>87</v>
      </c>
      <c r="M140" s="38" t="s">
        <v>85</v>
      </c>
      <c r="N140" s="38"/>
      <c r="O140" s="37">
        <v>180</v>
      </c>
      <c r="P140" s="36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8"/>
      <c r="R140" s="308"/>
      <c r="S140" s="308"/>
      <c r="T140" s="30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241</v>
      </c>
      <c r="AG140" s="81"/>
      <c r="AJ140" s="87" t="s">
        <v>88</v>
      </c>
      <c r="AK140" s="87">
        <v>1</v>
      </c>
      <c r="BB140" s="198" t="s">
        <v>116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03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316"/>
      <c r="P141" s="313" t="s">
        <v>40</v>
      </c>
      <c r="Q141" s="314"/>
      <c r="R141" s="314"/>
      <c r="S141" s="314"/>
      <c r="T141" s="314"/>
      <c r="U141" s="314"/>
      <c r="V141" s="31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03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316"/>
      <c r="P142" s="313" t="s">
        <v>40</v>
      </c>
      <c r="Q142" s="314"/>
      <c r="R142" s="314"/>
      <c r="S142" s="314"/>
      <c r="T142" s="314"/>
      <c r="U142" s="314"/>
      <c r="V142" s="31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29" t="s">
        <v>246</v>
      </c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  <c r="AA143" s="65"/>
      <c r="AB143" s="65"/>
      <c r="AC143" s="82"/>
    </row>
    <row r="144" spans="1:68" ht="14.25" customHeight="1" x14ac:dyDescent="0.25">
      <c r="A144" s="324" t="s">
        <v>150</v>
      </c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66"/>
      <c r="AB144" s="66"/>
      <c r="AC144" s="83"/>
    </row>
    <row r="145" spans="1:68" ht="27" customHeight="1" x14ac:dyDescent="0.25">
      <c r="A145" s="63" t="s">
        <v>247</v>
      </c>
      <c r="B145" s="63" t="s">
        <v>248</v>
      </c>
      <c r="C145" s="36">
        <v>4301135555</v>
      </c>
      <c r="D145" s="306">
        <v>4607111034014</v>
      </c>
      <c r="E145" s="30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3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8"/>
      <c r="R145" s="308"/>
      <c r="S145" s="308"/>
      <c r="T145" s="30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249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250</v>
      </c>
      <c r="B146" s="63" t="s">
        <v>251</v>
      </c>
      <c r="C146" s="36">
        <v>4301135532</v>
      </c>
      <c r="D146" s="306">
        <v>4607111033994</v>
      </c>
      <c r="E146" s="306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117</v>
      </c>
      <c r="L146" s="37" t="s">
        <v>118</v>
      </c>
      <c r="M146" s="38" t="s">
        <v>85</v>
      </c>
      <c r="N146" s="38"/>
      <c r="O146" s="37">
        <v>180</v>
      </c>
      <c r="P146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8"/>
      <c r="R146" s="308"/>
      <c r="S146" s="308"/>
      <c r="T146" s="30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201" t="s">
        <v>168</v>
      </c>
      <c r="AG146" s="81"/>
      <c r="AJ146" s="87" t="s">
        <v>119</v>
      </c>
      <c r="AK146" s="87">
        <v>14</v>
      </c>
      <c r="BB146" s="202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03"/>
      <c r="B147" s="303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16"/>
      <c r="P147" s="313" t="s">
        <v>40</v>
      </c>
      <c r="Q147" s="314"/>
      <c r="R147" s="314"/>
      <c r="S147" s="314"/>
      <c r="T147" s="314"/>
      <c r="U147" s="314"/>
      <c r="V147" s="31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03"/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16"/>
      <c r="P148" s="313" t="s">
        <v>40</v>
      </c>
      <c r="Q148" s="314"/>
      <c r="R148" s="314"/>
      <c r="S148" s="314"/>
      <c r="T148" s="314"/>
      <c r="U148" s="314"/>
      <c r="V148" s="315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29" t="s">
        <v>252</v>
      </c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  <c r="R149" s="329"/>
      <c r="S149" s="329"/>
      <c r="T149" s="329"/>
      <c r="U149" s="329"/>
      <c r="V149" s="329"/>
      <c r="W149" s="329"/>
      <c r="X149" s="329"/>
      <c r="Y149" s="329"/>
      <c r="Z149" s="329"/>
      <c r="AA149" s="65"/>
      <c r="AB149" s="65"/>
      <c r="AC149" s="82"/>
    </row>
    <row r="150" spans="1:68" ht="14.25" customHeight="1" x14ac:dyDescent="0.25">
      <c r="A150" s="324" t="s">
        <v>150</v>
      </c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66"/>
      <c r="AB150" s="66"/>
      <c r="AC150" s="83"/>
    </row>
    <row r="151" spans="1:68" ht="27" customHeight="1" x14ac:dyDescent="0.25">
      <c r="A151" s="63" t="s">
        <v>253</v>
      </c>
      <c r="B151" s="63" t="s">
        <v>254</v>
      </c>
      <c r="C151" s="36">
        <v>4301135824</v>
      </c>
      <c r="D151" s="306">
        <v>4607111039095</v>
      </c>
      <c r="E151" s="306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117</v>
      </c>
      <c r="L151" s="37" t="s">
        <v>87</v>
      </c>
      <c r="M151" s="38" t="s">
        <v>85</v>
      </c>
      <c r="N151" s="38"/>
      <c r="O151" s="37">
        <v>180</v>
      </c>
      <c r="P151" s="3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8"/>
      <c r="R151" s="308"/>
      <c r="S151" s="308"/>
      <c r="T151" s="30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255</v>
      </c>
      <c r="AG151" s="81"/>
      <c r="AJ151" s="87" t="s">
        <v>88</v>
      </c>
      <c r="AK151" s="87">
        <v>1</v>
      </c>
      <c r="BB151" s="204" t="s">
        <v>116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256</v>
      </c>
      <c r="B152" s="63" t="s">
        <v>257</v>
      </c>
      <c r="C152" s="36">
        <v>4301135550</v>
      </c>
      <c r="D152" s="306">
        <v>4607111034199</v>
      </c>
      <c r="E152" s="306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117</v>
      </c>
      <c r="L152" s="37" t="s">
        <v>118</v>
      </c>
      <c r="M152" s="38" t="s">
        <v>85</v>
      </c>
      <c r="N152" s="38"/>
      <c r="O152" s="37">
        <v>180</v>
      </c>
      <c r="P152" s="36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08"/>
      <c r="R152" s="308"/>
      <c r="S152" s="308"/>
      <c r="T152" s="309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258</v>
      </c>
      <c r="AG152" s="81"/>
      <c r="AJ152" s="87" t="s">
        <v>119</v>
      </c>
      <c r="AK152" s="87">
        <v>14</v>
      </c>
      <c r="BB152" s="206" t="s">
        <v>116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ht="16.5" customHeight="1" x14ac:dyDescent="0.25">
      <c r="A153" s="63" t="s">
        <v>259</v>
      </c>
      <c r="B153" s="63" t="s">
        <v>260</v>
      </c>
      <c r="C153" s="36">
        <v>4301135556</v>
      </c>
      <c r="D153" s="306">
        <v>4607111034199</v>
      </c>
      <c r="E153" s="306"/>
      <c r="F153" s="62">
        <v>0.25</v>
      </c>
      <c r="G153" s="37">
        <v>6</v>
      </c>
      <c r="H153" s="62">
        <v>1.5</v>
      </c>
      <c r="I153" s="62">
        <v>1.9218</v>
      </c>
      <c r="J153" s="37">
        <v>140</v>
      </c>
      <c r="K153" s="37" t="s">
        <v>117</v>
      </c>
      <c r="L153" s="37" t="s">
        <v>87</v>
      </c>
      <c r="M153" s="38" t="s">
        <v>85</v>
      </c>
      <c r="N153" s="38"/>
      <c r="O153" s="37">
        <v>180</v>
      </c>
      <c r="P153" s="362" t="str">
        <f>HYPERLINK("https://abi.ru/products/Замороженные/Горячая штучка/Хотстеры/Снеки/P004492/","Снеки «Хотстеры» Фикс.вес 0,25 Пакет ТМ «Горячая штучка»")</f>
        <v>Снеки «Хотстеры» Фикс.вес 0,25 Пакет ТМ «Горячая штучка»</v>
      </c>
      <c r="Q153" s="308"/>
      <c r="R153" s="308"/>
      <c r="S153" s="308"/>
      <c r="T153" s="309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IFERROR(IF(X153="","",X153*0.00941),"")</f>
        <v>0</v>
      </c>
      <c r="AA153" s="68" t="s">
        <v>46</v>
      </c>
      <c r="AB153" s="69" t="s">
        <v>46</v>
      </c>
      <c r="AC153" s="207" t="s">
        <v>258</v>
      </c>
      <c r="AG153" s="81"/>
      <c r="AJ153" s="87" t="s">
        <v>88</v>
      </c>
      <c r="AK153" s="87">
        <v>1</v>
      </c>
      <c r="BB153" s="208" t="s">
        <v>116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16"/>
      <c r="P154" s="313" t="s">
        <v>40</v>
      </c>
      <c r="Q154" s="314"/>
      <c r="R154" s="314"/>
      <c r="S154" s="314"/>
      <c r="T154" s="314"/>
      <c r="U154" s="314"/>
      <c r="V154" s="315"/>
      <c r="W154" s="42" t="s">
        <v>39</v>
      </c>
      <c r="X154" s="43">
        <f>IFERROR(SUM(X151:X153),"0")</f>
        <v>0</v>
      </c>
      <c r="Y154" s="43">
        <f>IFERROR(SUM(Y151:Y153),"0")</f>
        <v>0</v>
      </c>
      <c r="Z154" s="43">
        <f>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16"/>
      <c r="P155" s="313" t="s">
        <v>40</v>
      </c>
      <c r="Q155" s="314"/>
      <c r="R155" s="314"/>
      <c r="S155" s="314"/>
      <c r="T155" s="314"/>
      <c r="U155" s="314"/>
      <c r="V155" s="315"/>
      <c r="W155" s="42" t="s">
        <v>0</v>
      </c>
      <c r="X155" s="43">
        <f>IFERROR(SUMPRODUCT(X151:X153*H151:H153),"0")</f>
        <v>0</v>
      </c>
      <c r="Y155" s="43">
        <f>IFERROR(SUMPRODUCT(Y151:Y153*H151:H153),"0")</f>
        <v>0</v>
      </c>
      <c r="Z155" s="42"/>
      <c r="AA155" s="67"/>
      <c r="AB155" s="67"/>
      <c r="AC155" s="67"/>
    </row>
    <row r="156" spans="1:68" ht="16.5" customHeight="1" x14ac:dyDescent="0.25">
      <c r="A156" s="329" t="s">
        <v>261</v>
      </c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  <c r="R156" s="329"/>
      <c r="S156" s="329"/>
      <c r="T156" s="329"/>
      <c r="U156" s="329"/>
      <c r="V156" s="329"/>
      <c r="W156" s="329"/>
      <c r="X156" s="329"/>
      <c r="Y156" s="329"/>
      <c r="Z156" s="329"/>
      <c r="AA156" s="65"/>
      <c r="AB156" s="65"/>
      <c r="AC156" s="82"/>
    </row>
    <row r="157" spans="1:68" ht="14.25" customHeight="1" x14ac:dyDescent="0.25">
      <c r="A157" s="324" t="s">
        <v>150</v>
      </c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66"/>
      <c r="AB157" s="66"/>
      <c r="AC157" s="83"/>
    </row>
    <row r="158" spans="1:68" ht="27" customHeight="1" x14ac:dyDescent="0.25">
      <c r="A158" s="63" t="s">
        <v>262</v>
      </c>
      <c r="B158" s="63" t="s">
        <v>263</v>
      </c>
      <c r="C158" s="36">
        <v>4301135753</v>
      </c>
      <c r="D158" s="306">
        <v>4620207490914</v>
      </c>
      <c r="E158" s="306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117</v>
      </c>
      <c r="L158" s="37" t="s">
        <v>87</v>
      </c>
      <c r="M158" s="38" t="s">
        <v>85</v>
      </c>
      <c r="N158" s="38"/>
      <c r="O158" s="37">
        <v>180</v>
      </c>
      <c r="P158" s="35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8"/>
      <c r="R158" s="308"/>
      <c r="S158" s="308"/>
      <c r="T158" s="309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249</v>
      </c>
      <c r="AG158" s="81"/>
      <c r="AJ158" s="87" t="s">
        <v>88</v>
      </c>
      <c r="AK158" s="87">
        <v>1</v>
      </c>
      <c r="BB158" s="210" t="s">
        <v>116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t="27" customHeight="1" x14ac:dyDescent="0.25">
      <c r="A159" s="63" t="s">
        <v>264</v>
      </c>
      <c r="B159" s="63" t="s">
        <v>265</v>
      </c>
      <c r="C159" s="36">
        <v>4301135778</v>
      </c>
      <c r="D159" s="306">
        <v>4620207490853</v>
      </c>
      <c r="E159" s="306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117</v>
      </c>
      <c r="L159" s="37" t="s">
        <v>118</v>
      </c>
      <c r="M159" s="38" t="s">
        <v>85</v>
      </c>
      <c r="N159" s="38"/>
      <c r="O159" s="37">
        <v>180</v>
      </c>
      <c r="P159" s="35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9" s="308"/>
      <c r="R159" s="308"/>
      <c r="S159" s="308"/>
      <c r="T159" s="309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11" t="s">
        <v>249</v>
      </c>
      <c r="AG159" s="81"/>
      <c r="AJ159" s="87" t="s">
        <v>119</v>
      </c>
      <c r="AK159" s="87">
        <v>14</v>
      </c>
      <c r="BB159" s="212" t="s">
        <v>116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x14ac:dyDescent="0.2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316"/>
      <c r="P160" s="313" t="s">
        <v>40</v>
      </c>
      <c r="Q160" s="314"/>
      <c r="R160" s="314"/>
      <c r="S160" s="314"/>
      <c r="T160" s="314"/>
      <c r="U160" s="314"/>
      <c r="V160" s="315"/>
      <c r="W160" s="42" t="s">
        <v>39</v>
      </c>
      <c r="X160" s="43">
        <f>IFERROR(SUM(X158:X159),"0")</f>
        <v>0</v>
      </c>
      <c r="Y160" s="43">
        <f>IFERROR(SUM(Y158:Y159),"0")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16"/>
      <c r="P161" s="313" t="s">
        <v>40</v>
      </c>
      <c r="Q161" s="314"/>
      <c r="R161" s="314"/>
      <c r="S161" s="314"/>
      <c r="T161" s="314"/>
      <c r="U161" s="314"/>
      <c r="V161" s="315"/>
      <c r="W161" s="42" t="s">
        <v>0</v>
      </c>
      <c r="X161" s="43">
        <f>IFERROR(SUMPRODUCT(X158:X159*H158:H159),"0")</f>
        <v>0</v>
      </c>
      <c r="Y161" s="43">
        <f>IFERROR(SUMPRODUCT(Y158:Y159*H158:H159),"0")</f>
        <v>0</v>
      </c>
      <c r="Z161" s="42"/>
      <c r="AA161" s="67"/>
      <c r="AB161" s="67"/>
      <c r="AC161" s="67"/>
    </row>
    <row r="162" spans="1:68" ht="16.5" customHeight="1" x14ac:dyDescent="0.25">
      <c r="A162" s="329" t="s">
        <v>266</v>
      </c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  <c r="R162" s="329"/>
      <c r="S162" s="329"/>
      <c r="T162" s="329"/>
      <c r="U162" s="329"/>
      <c r="V162" s="329"/>
      <c r="W162" s="329"/>
      <c r="X162" s="329"/>
      <c r="Y162" s="329"/>
      <c r="Z162" s="329"/>
      <c r="AA162" s="65"/>
      <c r="AB162" s="65"/>
      <c r="AC162" s="82"/>
    </row>
    <row r="163" spans="1:68" ht="14.25" customHeight="1" x14ac:dyDescent="0.25">
      <c r="A163" s="324" t="s">
        <v>150</v>
      </c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66"/>
      <c r="AB163" s="66"/>
      <c r="AC163" s="83"/>
    </row>
    <row r="164" spans="1:68" ht="27" customHeight="1" x14ac:dyDescent="0.25">
      <c r="A164" s="63" t="s">
        <v>267</v>
      </c>
      <c r="B164" s="63" t="s">
        <v>268</v>
      </c>
      <c r="C164" s="36">
        <v>4301135570</v>
      </c>
      <c r="D164" s="306">
        <v>4607111035806</v>
      </c>
      <c r="E164" s="306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117</v>
      </c>
      <c r="L164" s="37" t="s">
        <v>118</v>
      </c>
      <c r="M164" s="38" t="s">
        <v>85</v>
      </c>
      <c r="N164" s="38"/>
      <c r="O164" s="37">
        <v>180</v>
      </c>
      <c r="P164" s="3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4" s="308"/>
      <c r="R164" s="308"/>
      <c r="S164" s="308"/>
      <c r="T164" s="309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IFERROR(IF(X164="","",X164*0.01788),"")</f>
        <v>0</v>
      </c>
      <c r="AA164" s="68" t="s">
        <v>46</v>
      </c>
      <c r="AB164" s="69" t="s">
        <v>46</v>
      </c>
      <c r="AC164" s="213" t="s">
        <v>269</v>
      </c>
      <c r="AG164" s="81"/>
      <c r="AJ164" s="87" t="s">
        <v>119</v>
      </c>
      <c r="AK164" s="87">
        <v>14</v>
      </c>
      <c r="BB164" s="214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x14ac:dyDescent="0.2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16"/>
      <c r="P165" s="313" t="s">
        <v>40</v>
      </c>
      <c r="Q165" s="314"/>
      <c r="R165" s="314"/>
      <c r="S165" s="314"/>
      <c r="T165" s="314"/>
      <c r="U165" s="314"/>
      <c r="V165" s="315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16"/>
      <c r="P166" s="313" t="s">
        <v>40</v>
      </c>
      <c r="Q166" s="314"/>
      <c r="R166" s="314"/>
      <c r="S166" s="314"/>
      <c r="T166" s="314"/>
      <c r="U166" s="314"/>
      <c r="V166" s="315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29" t="s">
        <v>270</v>
      </c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  <c r="R167" s="329"/>
      <c r="S167" s="329"/>
      <c r="T167" s="329"/>
      <c r="U167" s="329"/>
      <c r="V167" s="329"/>
      <c r="W167" s="329"/>
      <c r="X167" s="329"/>
      <c r="Y167" s="329"/>
      <c r="Z167" s="329"/>
      <c r="AA167" s="65"/>
      <c r="AB167" s="65"/>
      <c r="AC167" s="82"/>
    </row>
    <row r="168" spans="1:68" ht="14.25" customHeight="1" x14ac:dyDescent="0.25">
      <c r="A168" s="324" t="s">
        <v>150</v>
      </c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66"/>
      <c r="AB168" s="66"/>
      <c r="AC168" s="83"/>
    </row>
    <row r="169" spans="1:68" ht="16.5" customHeight="1" x14ac:dyDescent="0.25">
      <c r="A169" s="63" t="s">
        <v>271</v>
      </c>
      <c r="B169" s="63" t="s">
        <v>272</v>
      </c>
      <c r="C169" s="36">
        <v>4301135607</v>
      </c>
      <c r="D169" s="306">
        <v>4607111039613</v>
      </c>
      <c r="E169" s="306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117</v>
      </c>
      <c r="L169" s="37" t="s">
        <v>118</v>
      </c>
      <c r="M169" s="38" t="s">
        <v>85</v>
      </c>
      <c r="N169" s="38"/>
      <c r="O169" s="37">
        <v>180</v>
      </c>
      <c r="P169" s="3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8"/>
      <c r="R169" s="308"/>
      <c r="S169" s="308"/>
      <c r="T169" s="309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IFERROR(IF(X169="","",X169*0.00936),"")</f>
        <v>0</v>
      </c>
      <c r="AA169" s="68" t="s">
        <v>46</v>
      </c>
      <c r="AB169" s="69" t="s">
        <v>46</v>
      </c>
      <c r="AC169" s="215" t="s">
        <v>255</v>
      </c>
      <c r="AG169" s="81"/>
      <c r="AJ169" s="87" t="s">
        <v>119</v>
      </c>
      <c r="AK169" s="87">
        <v>14</v>
      </c>
      <c r="BB169" s="216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316"/>
      <c r="P170" s="313" t="s">
        <v>40</v>
      </c>
      <c r="Q170" s="314"/>
      <c r="R170" s="314"/>
      <c r="S170" s="314"/>
      <c r="T170" s="314"/>
      <c r="U170" s="314"/>
      <c r="V170" s="315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x14ac:dyDescent="0.2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16"/>
      <c r="P171" s="313" t="s">
        <v>40</v>
      </c>
      <c r="Q171" s="314"/>
      <c r="R171" s="314"/>
      <c r="S171" s="314"/>
      <c r="T171" s="314"/>
      <c r="U171" s="314"/>
      <c r="V171" s="315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29" t="s">
        <v>273</v>
      </c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29"/>
      <c r="W172" s="329"/>
      <c r="X172" s="329"/>
      <c r="Y172" s="329"/>
      <c r="Z172" s="329"/>
      <c r="AA172" s="65"/>
      <c r="AB172" s="65"/>
      <c r="AC172" s="82"/>
    </row>
    <row r="173" spans="1:68" ht="14.25" customHeight="1" x14ac:dyDescent="0.25">
      <c r="A173" s="324" t="s">
        <v>150</v>
      </c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66"/>
      <c r="AB173" s="66"/>
      <c r="AC173" s="83"/>
    </row>
    <row r="174" spans="1:68" ht="27" customHeight="1" x14ac:dyDescent="0.25">
      <c r="A174" s="63" t="s">
        <v>274</v>
      </c>
      <c r="B174" s="63" t="s">
        <v>275</v>
      </c>
      <c r="C174" s="36">
        <v>4301135184</v>
      </c>
      <c r="D174" s="306">
        <v>4607111036568</v>
      </c>
      <c r="E174" s="306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87</v>
      </c>
      <c r="M174" s="38" t="s">
        <v>85</v>
      </c>
      <c r="N174" s="38"/>
      <c r="O174" s="37">
        <v>180</v>
      </c>
      <c r="P174" s="35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4" s="308"/>
      <c r="R174" s="308"/>
      <c r="S174" s="308"/>
      <c r="T174" s="309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IFERROR(IF(X174="","",X174*0.00941),"")</f>
        <v>0</v>
      </c>
      <c r="AA174" s="68" t="s">
        <v>46</v>
      </c>
      <c r="AB174" s="69" t="s">
        <v>46</v>
      </c>
      <c r="AC174" s="217" t="s">
        <v>276</v>
      </c>
      <c r="AG174" s="81"/>
      <c r="AJ174" s="87" t="s">
        <v>88</v>
      </c>
      <c r="AK174" s="87">
        <v>1</v>
      </c>
      <c r="BB174" s="218" t="s">
        <v>116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ht="27" customHeight="1" x14ac:dyDescent="0.25">
      <c r="A175" s="63" t="s">
        <v>277</v>
      </c>
      <c r="B175" s="63" t="s">
        <v>278</v>
      </c>
      <c r="C175" s="36">
        <v>4301135591</v>
      </c>
      <c r="D175" s="306">
        <v>4607111036568</v>
      </c>
      <c r="E175" s="306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117</v>
      </c>
      <c r="L175" s="37" t="s">
        <v>87</v>
      </c>
      <c r="M175" s="38" t="s">
        <v>85</v>
      </c>
      <c r="N175" s="38"/>
      <c r="O175" s="37">
        <v>180</v>
      </c>
      <c r="P175" s="35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308"/>
      <c r="R175" s="308"/>
      <c r="S175" s="308"/>
      <c r="T175" s="309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9" t="s">
        <v>279</v>
      </c>
      <c r="AG175" s="81"/>
      <c r="AJ175" s="87" t="s">
        <v>88</v>
      </c>
      <c r="AK175" s="87">
        <v>1</v>
      </c>
      <c r="BB175" s="220" t="s">
        <v>116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16"/>
      <c r="P176" s="313" t="s">
        <v>40</v>
      </c>
      <c r="Q176" s="314"/>
      <c r="R176" s="314"/>
      <c r="S176" s="314"/>
      <c r="T176" s="314"/>
      <c r="U176" s="314"/>
      <c r="V176" s="315"/>
      <c r="W176" s="42" t="s">
        <v>39</v>
      </c>
      <c r="X176" s="43">
        <f>IFERROR(SUM(X174:X175),"0")</f>
        <v>0</v>
      </c>
      <c r="Y176" s="43">
        <f>IFERROR(SUM(Y174:Y175),"0")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x14ac:dyDescent="0.2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16"/>
      <c r="P177" s="313" t="s">
        <v>40</v>
      </c>
      <c r="Q177" s="314"/>
      <c r="R177" s="314"/>
      <c r="S177" s="314"/>
      <c r="T177" s="314"/>
      <c r="U177" s="314"/>
      <c r="V177" s="315"/>
      <c r="W177" s="42" t="s">
        <v>0</v>
      </c>
      <c r="X177" s="43">
        <f>IFERROR(SUMPRODUCT(X174:X175*H174:H175),"0")</f>
        <v>0</v>
      </c>
      <c r="Y177" s="43">
        <f>IFERROR(SUMPRODUCT(Y174:Y175*H174:H175),"0")</f>
        <v>0</v>
      </c>
      <c r="Z177" s="42"/>
      <c r="AA177" s="67"/>
      <c r="AB177" s="67"/>
      <c r="AC177" s="67"/>
    </row>
    <row r="178" spans="1:68" ht="27.75" customHeight="1" x14ac:dyDescent="0.2">
      <c r="A178" s="328" t="s">
        <v>280</v>
      </c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54"/>
      <c r="AB178" s="54"/>
      <c r="AC178" s="54"/>
    </row>
    <row r="179" spans="1:68" ht="16.5" customHeight="1" x14ac:dyDescent="0.25">
      <c r="A179" s="329" t="s">
        <v>281</v>
      </c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29"/>
      <c r="W179" s="329"/>
      <c r="X179" s="329"/>
      <c r="Y179" s="329"/>
      <c r="Z179" s="329"/>
      <c r="AA179" s="65"/>
      <c r="AB179" s="65"/>
      <c r="AC179" s="82"/>
    </row>
    <row r="180" spans="1:68" ht="14.25" customHeight="1" x14ac:dyDescent="0.25">
      <c r="A180" s="324" t="s">
        <v>144</v>
      </c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66"/>
      <c r="AB180" s="66"/>
      <c r="AC180" s="83"/>
    </row>
    <row r="181" spans="1:68" ht="27" customHeight="1" x14ac:dyDescent="0.25">
      <c r="A181" s="63" t="s">
        <v>282</v>
      </c>
      <c r="B181" s="63" t="s">
        <v>283</v>
      </c>
      <c r="C181" s="36">
        <v>4301136001</v>
      </c>
      <c r="D181" s="306">
        <v>4607111035714</v>
      </c>
      <c r="E181" s="306"/>
      <c r="F181" s="62">
        <v>5</v>
      </c>
      <c r="G181" s="37">
        <v>1</v>
      </c>
      <c r="H181" s="62">
        <v>5</v>
      </c>
      <c r="I181" s="62">
        <v>5.2350000000000003</v>
      </c>
      <c r="J181" s="37">
        <v>84</v>
      </c>
      <c r="K181" s="37" t="s">
        <v>86</v>
      </c>
      <c r="L181" s="37" t="s">
        <v>87</v>
      </c>
      <c r="M181" s="38" t="s">
        <v>85</v>
      </c>
      <c r="N181" s="38"/>
      <c r="O181" s="37">
        <v>180</v>
      </c>
      <c r="P181" s="354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1" s="308"/>
      <c r="R181" s="308"/>
      <c r="S181" s="308"/>
      <c r="T181" s="30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IFERROR(IF(X181="","",X181*0.0155),"")</f>
        <v>0</v>
      </c>
      <c r="AA181" s="68" t="s">
        <v>46</v>
      </c>
      <c r="AB181" s="69" t="s">
        <v>46</v>
      </c>
      <c r="AC181" s="221" t="s">
        <v>284</v>
      </c>
      <c r="AG181" s="81"/>
      <c r="AJ181" s="87" t="s">
        <v>88</v>
      </c>
      <c r="AK181" s="87">
        <v>1</v>
      </c>
      <c r="BB181" s="222" t="s">
        <v>116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16"/>
      <c r="P182" s="313" t="s">
        <v>40</v>
      </c>
      <c r="Q182" s="314"/>
      <c r="R182" s="314"/>
      <c r="S182" s="314"/>
      <c r="T182" s="314"/>
      <c r="U182" s="314"/>
      <c r="V182" s="315"/>
      <c r="W182" s="42" t="s">
        <v>39</v>
      </c>
      <c r="X182" s="43">
        <f>IFERROR(SUM(X181:X181),"0")</f>
        <v>0</v>
      </c>
      <c r="Y182" s="43">
        <f>IFERROR(SUM(Y181:Y181),"0")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16"/>
      <c r="P183" s="313" t="s">
        <v>40</v>
      </c>
      <c r="Q183" s="314"/>
      <c r="R183" s="314"/>
      <c r="S183" s="314"/>
      <c r="T183" s="314"/>
      <c r="U183" s="314"/>
      <c r="V183" s="315"/>
      <c r="W183" s="42" t="s">
        <v>0</v>
      </c>
      <c r="X183" s="43">
        <f>IFERROR(SUMPRODUCT(X181:X181*H181:H181),"0")</f>
        <v>0</v>
      </c>
      <c r="Y183" s="43">
        <f>IFERROR(SUMPRODUCT(Y181:Y181*H181:H181),"0")</f>
        <v>0</v>
      </c>
      <c r="Z183" s="42"/>
      <c r="AA183" s="67"/>
      <c r="AB183" s="67"/>
      <c r="AC183" s="67"/>
    </row>
    <row r="184" spans="1:68" ht="16.5" customHeight="1" x14ac:dyDescent="0.25">
      <c r="A184" s="329" t="s">
        <v>285</v>
      </c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  <c r="R184" s="329"/>
      <c r="S184" s="329"/>
      <c r="T184" s="329"/>
      <c r="U184" s="329"/>
      <c r="V184" s="329"/>
      <c r="W184" s="329"/>
      <c r="X184" s="329"/>
      <c r="Y184" s="329"/>
      <c r="Z184" s="329"/>
      <c r="AA184" s="65"/>
      <c r="AB184" s="65"/>
      <c r="AC184" s="82"/>
    </row>
    <row r="185" spans="1:68" ht="14.25" customHeight="1" x14ac:dyDescent="0.25">
      <c r="A185" s="324" t="s">
        <v>81</v>
      </c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66"/>
      <c r="AB185" s="66"/>
      <c r="AC185" s="83"/>
    </row>
    <row r="186" spans="1:68" ht="16.5" customHeight="1" x14ac:dyDescent="0.25">
      <c r="A186" s="63" t="s">
        <v>286</v>
      </c>
      <c r="B186" s="63" t="s">
        <v>287</v>
      </c>
      <c r="C186" s="36">
        <v>4301071062</v>
      </c>
      <c r="D186" s="306">
        <v>4607111036384</v>
      </c>
      <c r="E186" s="306"/>
      <c r="F186" s="62">
        <v>5</v>
      </c>
      <c r="G186" s="37">
        <v>1</v>
      </c>
      <c r="H186" s="62">
        <v>5</v>
      </c>
      <c r="I186" s="62">
        <v>5.2106000000000003</v>
      </c>
      <c r="J186" s="37">
        <v>144</v>
      </c>
      <c r="K186" s="37" t="s">
        <v>86</v>
      </c>
      <c r="L186" s="37" t="s">
        <v>118</v>
      </c>
      <c r="M186" s="38" t="s">
        <v>85</v>
      </c>
      <c r="N186" s="38"/>
      <c r="O186" s="37">
        <v>180</v>
      </c>
      <c r="P186" s="3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6" s="308"/>
      <c r="R186" s="308"/>
      <c r="S186" s="308"/>
      <c r="T186" s="309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23" t="s">
        <v>288</v>
      </c>
      <c r="AG186" s="81"/>
      <c r="AJ186" s="87" t="s">
        <v>119</v>
      </c>
      <c r="AK186" s="87">
        <v>12</v>
      </c>
      <c r="BB186" s="224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289</v>
      </c>
      <c r="B187" s="63" t="s">
        <v>290</v>
      </c>
      <c r="C187" s="36">
        <v>4301071050</v>
      </c>
      <c r="D187" s="306">
        <v>4607111036216</v>
      </c>
      <c r="E187" s="306"/>
      <c r="F187" s="62">
        <v>5</v>
      </c>
      <c r="G187" s="37">
        <v>1</v>
      </c>
      <c r="H187" s="62">
        <v>5</v>
      </c>
      <c r="I187" s="62">
        <v>5.2131999999999996</v>
      </c>
      <c r="J187" s="37">
        <v>144</v>
      </c>
      <c r="K187" s="37" t="s">
        <v>86</v>
      </c>
      <c r="L187" s="37" t="s">
        <v>118</v>
      </c>
      <c r="M187" s="38" t="s">
        <v>85</v>
      </c>
      <c r="N187" s="38"/>
      <c r="O187" s="37">
        <v>180</v>
      </c>
      <c r="P187" s="3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7" s="308"/>
      <c r="R187" s="308"/>
      <c r="S187" s="308"/>
      <c r="T187" s="309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5" t="s">
        <v>291</v>
      </c>
      <c r="AG187" s="81"/>
      <c r="AJ187" s="87" t="s">
        <v>119</v>
      </c>
      <c r="AK187" s="87">
        <v>12</v>
      </c>
      <c r="BB187" s="226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16"/>
      <c r="P188" s="313" t="s">
        <v>40</v>
      </c>
      <c r="Q188" s="314"/>
      <c r="R188" s="314"/>
      <c r="S188" s="314"/>
      <c r="T188" s="314"/>
      <c r="U188" s="314"/>
      <c r="V188" s="315"/>
      <c r="W188" s="42" t="s">
        <v>39</v>
      </c>
      <c r="X188" s="43">
        <f>IFERROR(SUM(X186:X187),"0")</f>
        <v>0</v>
      </c>
      <c r="Y188" s="43">
        <f>IFERROR(SUM(Y186:Y187),"0")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16"/>
      <c r="P189" s="313" t="s">
        <v>40</v>
      </c>
      <c r="Q189" s="314"/>
      <c r="R189" s="314"/>
      <c r="S189" s="314"/>
      <c r="T189" s="314"/>
      <c r="U189" s="314"/>
      <c r="V189" s="315"/>
      <c r="W189" s="42" t="s">
        <v>0</v>
      </c>
      <c r="X189" s="43">
        <f>IFERROR(SUMPRODUCT(X186:X187*H186:H187),"0")</f>
        <v>0</v>
      </c>
      <c r="Y189" s="43">
        <f>IFERROR(SUMPRODUCT(Y186:Y187*H186:H187),"0")</f>
        <v>0</v>
      </c>
      <c r="Z189" s="42"/>
      <c r="AA189" s="67"/>
      <c r="AB189" s="67"/>
      <c r="AC189" s="67"/>
    </row>
    <row r="190" spans="1:68" ht="16.5" customHeight="1" x14ac:dyDescent="0.25">
      <c r="A190" s="329" t="s">
        <v>292</v>
      </c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  <c r="R190" s="329"/>
      <c r="S190" s="329"/>
      <c r="T190" s="329"/>
      <c r="U190" s="329"/>
      <c r="V190" s="329"/>
      <c r="W190" s="329"/>
      <c r="X190" s="329"/>
      <c r="Y190" s="329"/>
      <c r="Z190" s="329"/>
      <c r="AA190" s="65"/>
      <c r="AB190" s="65"/>
      <c r="AC190" s="82"/>
    </row>
    <row r="191" spans="1:68" ht="14.25" customHeight="1" x14ac:dyDescent="0.25">
      <c r="A191" s="324" t="s">
        <v>81</v>
      </c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66"/>
      <c r="AB191" s="66"/>
      <c r="AC191" s="83"/>
    </row>
    <row r="192" spans="1:68" ht="27" customHeight="1" x14ac:dyDescent="0.25">
      <c r="A192" s="63" t="s">
        <v>293</v>
      </c>
      <c r="B192" s="63" t="s">
        <v>294</v>
      </c>
      <c r="C192" s="36">
        <v>4301071117</v>
      </c>
      <c r="D192" s="306">
        <v>4620207491737</v>
      </c>
      <c r="E192" s="306"/>
      <c r="F192" s="62">
        <v>1</v>
      </c>
      <c r="G192" s="37">
        <v>5</v>
      </c>
      <c r="H192" s="62">
        <v>5</v>
      </c>
      <c r="I192" s="62">
        <v>5.2619999999999996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35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2" s="308"/>
      <c r="R192" s="308"/>
      <c r="S192" s="308"/>
      <c r="T192" s="30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27" t="s">
        <v>291</v>
      </c>
      <c r="AG192" s="81"/>
      <c r="AJ192" s="87" t="s">
        <v>88</v>
      </c>
      <c r="AK192" s="87">
        <v>1</v>
      </c>
      <c r="BB192" s="228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03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  <c r="N193" s="303"/>
      <c r="O193" s="316"/>
      <c r="P193" s="313" t="s">
        <v>40</v>
      </c>
      <c r="Q193" s="314"/>
      <c r="R193" s="314"/>
      <c r="S193" s="314"/>
      <c r="T193" s="314"/>
      <c r="U193" s="314"/>
      <c r="V193" s="315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03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  <c r="N194" s="303"/>
      <c r="O194" s="316"/>
      <c r="P194" s="313" t="s">
        <v>40</v>
      </c>
      <c r="Q194" s="314"/>
      <c r="R194" s="314"/>
      <c r="S194" s="314"/>
      <c r="T194" s="314"/>
      <c r="U194" s="314"/>
      <c r="V194" s="315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27.75" customHeight="1" x14ac:dyDescent="0.2">
      <c r="A195" s="328" t="s">
        <v>295</v>
      </c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54"/>
      <c r="AB195" s="54"/>
      <c r="AC195" s="54"/>
    </row>
    <row r="196" spans="1:68" ht="16.5" customHeight="1" x14ac:dyDescent="0.25">
      <c r="A196" s="329" t="s">
        <v>296</v>
      </c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  <c r="R196" s="329"/>
      <c r="S196" s="329"/>
      <c r="T196" s="329"/>
      <c r="U196" s="329"/>
      <c r="V196" s="329"/>
      <c r="W196" s="329"/>
      <c r="X196" s="329"/>
      <c r="Y196" s="329"/>
      <c r="Z196" s="329"/>
      <c r="AA196" s="65"/>
      <c r="AB196" s="65"/>
      <c r="AC196" s="82"/>
    </row>
    <row r="197" spans="1:68" ht="14.25" customHeight="1" x14ac:dyDescent="0.25">
      <c r="A197" s="324" t="s">
        <v>112</v>
      </c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66"/>
      <c r="AB197" s="66"/>
      <c r="AC197" s="83"/>
    </row>
    <row r="198" spans="1:68" ht="16.5" customHeight="1" x14ac:dyDescent="0.25">
      <c r="A198" s="63" t="s">
        <v>297</v>
      </c>
      <c r="B198" s="63" t="s">
        <v>298</v>
      </c>
      <c r="C198" s="36">
        <v>4301132179</v>
      </c>
      <c r="D198" s="306">
        <v>4607111035691</v>
      </c>
      <c r="E198" s="306"/>
      <c r="F198" s="62">
        <v>0.25</v>
      </c>
      <c r="G198" s="37">
        <v>12</v>
      </c>
      <c r="H198" s="62">
        <v>3</v>
      </c>
      <c r="I198" s="62">
        <v>3.3879999999999999</v>
      </c>
      <c r="J198" s="37">
        <v>70</v>
      </c>
      <c r="K198" s="37" t="s">
        <v>117</v>
      </c>
      <c r="L198" s="37" t="s">
        <v>118</v>
      </c>
      <c r="M198" s="38" t="s">
        <v>85</v>
      </c>
      <c r="N198" s="38"/>
      <c r="O198" s="37">
        <v>365</v>
      </c>
      <c r="P198" s="3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8" s="308"/>
      <c r="R198" s="308"/>
      <c r="S198" s="308"/>
      <c r="T198" s="30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9" t="s">
        <v>299</v>
      </c>
      <c r="AG198" s="81"/>
      <c r="AJ198" s="87" t="s">
        <v>119</v>
      </c>
      <c r="AK198" s="87">
        <v>14</v>
      </c>
      <c r="BB198" s="230" t="s">
        <v>116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300</v>
      </c>
      <c r="B199" s="63" t="s">
        <v>301</v>
      </c>
      <c r="C199" s="36">
        <v>4301132182</v>
      </c>
      <c r="D199" s="306">
        <v>4607111035721</v>
      </c>
      <c r="E199" s="306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365</v>
      </c>
      <c r="P199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9" s="308"/>
      <c r="R199" s="308"/>
      <c r="S199" s="308"/>
      <c r="T199" s="30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31" t="s">
        <v>302</v>
      </c>
      <c r="AG199" s="81"/>
      <c r="AJ199" s="87" t="s">
        <v>119</v>
      </c>
      <c r="AK199" s="87">
        <v>14</v>
      </c>
      <c r="BB199" s="232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303</v>
      </c>
      <c r="B200" s="63" t="s">
        <v>304</v>
      </c>
      <c r="C200" s="36">
        <v>4301132170</v>
      </c>
      <c r="D200" s="306">
        <v>4607111038487</v>
      </c>
      <c r="E200" s="306"/>
      <c r="F200" s="62">
        <v>0.25</v>
      </c>
      <c r="G200" s="37">
        <v>12</v>
      </c>
      <c r="H200" s="62">
        <v>3</v>
      </c>
      <c r="I200" s="62">
        <v>3.7360000000000002</v>
      </c>
      <c r="J200" s="37">
        <v>70</v>
      </c>
      <c r="K200" s="37" t="s">
        <v>117</v>
      </c>
      <c r="L200" s="37" t="s">
        <v>118</v>
      </c>
      <c r="M200" s="38" t="s">
        <v>85</v>
      </c>
      <c r="N200" s="38"/>
      <c r="O200" s="37">
        <v>180</v>
      </c>
      <c r="P200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0" s="308"/>
      <c r="R200" s="308"/>
      <c r="S200" s="308"/>
      <c r="T200" s="30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3" t="s">
        <v>305</v>
      </c>
      <c r="AG200" s="81"/>
      <c r="AJ200" s="87" t="s">
        <v>119</v>
      </c>
      <c r="AK200" s="87">
        <v>14</v>
      </c>
      <c r="BB200" s="234" t="s">
        <v>116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306</v>
      </c>
      <c r="B201" s="63" t="s">
        <v>307</v>
      </c>
      <c r="C201" s="36">
        <v>4301132243</v>
      </c>
      <c r="D201" s="306">
        <v>4620207491195</v>
      </c>
      <c r="E201" s="306"/>
      <c r="F201" s="62">
        <v>0.23</v>
      </c>
      <c r="G201" s="37">
        <v>12</v>
      </c>
      <c r="H201" s="62">
        <v>2.76</v>
      </c>
      <c r="I201" s="62">
        <v>3.1480000000000001</v>
      </c>
      <c r="J201" s="37">
        <v>70</v>
      </c>
      <c r="K201" s="37" t="s">
        <v>117</v>
      </c>
      <c r="L201" s="37" t="s">
        <v>87</v>
      </c>
      <c r="M201" s="38" t="s">
        <v>85</v>
      </c>
      <c r="N201" s="38"/>
      <c r="O201" s="37">
        <v>180</v>
      </c>
      <c r="P201" s="34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1" s="308"/>
      <c r="R201" s="308"/>
      <c r="S201" s="308"/>
      <c r="T201" s="309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35" t="s">
        <v>308</v>
      </c>
      <c r="AG201" s="81"/>
      <c r="AJ201" s="87" t="s">
        <v>88</v>
      </c>
      <c r="AK201" s="87">
        <v>1</v>
      </c>
      <c r="BB201" s="236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309</v>
      </c>
      <c r="B202" s="63" t="s">
        <v>310</v>
      </c>
      <c r="C202" s="36">
        <v>4301132253</v>
      </c>
      <c r="D202" s="306">
        <v>4620207491195</v>
      </c>
      <c r="E202" s="306"/>
      <c r="F202" s="62">
        <v>0.23</v>
      </c>
      <c r="G202" s="37">
        <v>6</v>
      </c>
      <c r="H202" s="62">
        <v>1.38</v>
      </c>
      <c r="I202" s="62">
        <v>1.6439999999999999</v>
      </c>
      <c r="J202" s="37">
        <v>140</v>
      </c>
      <c r="K202" s="37" t="s">
        <v>117</v>
      </c>
      <c r="L202" s="37" t="s">
        <v>87</v>
      </c>
      <c r="M202" s="38" t="s">
        <v>85</v>
      </c>
      <c r="N202" s="38"/>
      <c r="O202" s="37">
        <v>180</v>
      </c>
      <c r="P202" s="346" t="str">
        <f>HYPERLINK("https://abi.ru/products/Замороженные/Вязанка/Сливушка/Наггетсы/P005380/","Наггетсы «Сливушки в темпуре» Фикс.вес 0,23 ТМ «Вязанка»")</f>
        <v>Наггетсы «Сливушки в темпуре» Фикс.вес 0,23 ТМ «Вязанка»</v>
      </c>
      <c r="Q202" s="308"/>
      <c r="R202" s="308"/>
      <c r="S202" s="308"/>
      <c r="T202" s="30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IFERROR(IF(X202="","",X202*0.00941),"")</f>
        <v>0</v>
      </c>
      <c r="AA202" s="68" t="s">
        <v>46</v>
      </c>
      <c r="AB202" s="69" t="s">
        <v>46</v>
      </c>
      <c r="AC202" s="237" t="s">
        <v>308</v>
      </c>
      <c r="AG202" s="81"/>
      <c r="AJ202" s="87" t="s">
        <v>88</v>
      </c>
      <c r="AK202" s="87">
        <v>1</v>
      </c>
      <c r="BB202" s="238" t="s">
        <v>116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03"/>
      <c r="B203" s="303"/>
      <c r="C203" s="303"/>
      <c r="D203" s="303"/>
      <c r="E203" s="303"/>
      <c r="F203" s="303"/>
      <c r="G203" s="303"/>
      <c r="H203" s="303"/>
      <c r="I203" s="303"/>
      <c r="J203" s="303"/>
      <c r="K203" s="303"/>
      <c r="L203" s="303"/>
      <c r="M203" s="303"/>
      <c r="N203" s="303"/>
      <c r="O203" s="316"/>
      <c r="P203" s="313" t="s">
        <v>40</v>
      </c>
      <c r="Q203" s="314"/>
      <c r="R203" s="314"/>
      <c r="S203" s="314"/>
      <c r="T203" s="314"/>
      <c r="U203" s="314"/>
      <c r="V203" s="315"/>
      <c r="W203" s="42" t="s">
        <v>39</v>
      </c>
      <c r="X203" s="43">
        <f>IFERROR(SUM(X198:X202),"0")</f>
        <v>0</v>
      </c>
      <c r="Y203" s="43">
        <f>IFERROR(SUM(Y198:Y202),"0")</f>
        <v>0</v>
      </c>
      <c r="Z203" s="43">
        <f>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303"/>
      <c r="B204" s="303"/>
      <c r="C204" s="303"/>
      <c r="D204" s="303"/>
      <c r="E204" s="303"/>
      <c r="F204" s="303"/>
      <c r="G204" s="303"/>
      <c r="H204" s="303"/>
      <c r="I204" s="303"/>
      <c r="J204" s="303"/>
      <c r="K204" s="303"/>
      <c r="L204" s="303"/>
      <c r="M204" s="303"/>
      <c r="N204" s="303"/>
      <c r="O204" s="316"/>
      <c r="P204" s="313" t="s">
        <v>40</v>
      </c>
      <c r="Q204" s="314"/>
      <c r="R204" s="314"/>
      <c r="S204" s="314"/>
      <c r="T204" s="314"/>
      <c r="U204" s="314"/>
      <c r="V204" s="315"/>
      <c r="W204" s="42" t="s">
        <v>0</v>
      </c>
      <c r="X204" s="43">
        <f>IFERROR(SUMPRODUCT(X198:X202*H198:H202),"0")</f>
        <v>0</v>
      </c>
      <c r="Y204" s="43">
        <f>IFERROR(SUMPRODUCT(Y198:Y202*H198:H202),"0")</f>
        <v>0</v>
      </c>
      <c r="Z204" s="42"/>
      <c r="AA204" s="67"/>
      <c r="AB204" s="67"/>
      <c r="AC204" s="67"/>
    </row>
    <row r="205" spans="1:68" ht="27.75" customHeight="1" x14ac:dyDescent="0.2">
      <c r="A205" s="328" t="s">
        <v>311</v>
      </c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54"/>
      <c r="AB205" s="54"/>
      <c r="AC205" s="54"/>
    </row>
    <row r="206" spans="1:68" ht="16.5" customHeight="1" x14ac:dyDescent="0.25">
      <c r="A206" s="329" t="s">
        <v>312</v>
      </c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65"/>
      <c r="AB206" s="65"/>
      <c r="AC206" s="82"/>
    </row>
    <row r="207" spans="1:68" ht="14.25" customHeight="1" x14ac:dyDescent="0.25">
      <c r="A207" s="324" t="s">
        <v>112</v>
      </c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66"/>
      <c r="AB207" s="66"/>
      <c r="AC207" s="83"/>
    </row>
    <row r="208" spans="1:68" ht="27" customHeight="1" x14ac:dyDescent="0.25">
      <c r="A208" s="63" t="s">
        <v>313</v>
      </c>
      <c r="B208" s="63" t="s">
        <v>314</v>
      </c>
      <c r="C208" s="36">
        <v>4301132227</v>
      </c>
      <c r="D208" s="306">
        <v>4620207491133</v>
      </c>
      <c r="E208" s="306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117</v>
      </c>
      <c r="L208" s="37" t="s">
        <v>118</v>
      </c>
      <c r="M208" s="38" t="s">
        <v>85</v>
      </c>
      <c r="N208" s="38"/>
      <c r="O208" s="37">
        <v>180</v>
      </c>
      <c r="P208" s="34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08"/>
      <c r="R208" s="308"/>
      <c r="S208" s="308"/>
      <c r="T208" s="309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9" t="s">
        <v>315</v>
      </c>
      <c r="AG208" s="81"/>
      <c r="AJ208" s="87" t="s">
        <v>119</v>
      </c>
      <c r="AK208" s="87">
        <v>14</v>
      </c>
      <c r="BB208" s="240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03"/>
      <c r="B209" s="303"/>
      <c r="C209" s="303"/>
      <c r="D209" s="303"/>
      <c r="E209" s="303"/>
      <c r="F209" s="303"/>
      <c r="G209" s="303"/>
      <c r="H209" s="303"/>
      <c r="I209" s="303"/>
      <c r="J209" s="303"/>
      <c r="K209" s="303"/>
      <c r="L209" s="303"/>
      <c r="M209" s="303"/>
      <c r="N209" s="303"/>
      <c r="O209" s="316"/>
      <c r="P209" s="313" t="s">
        <v>40</v>
      </c>
      <c r="Q209" s="314"/>
      <c r="R209" s="314"/>
      <c r="S209" s="314"/>
      <c r="T209" s="314"/>
      <c r="U209" s="314"/>
      <c r="V209" s="315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03"/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16"/>
      <c r="P210" s="313" t="s">
        <v>40</v>
      </c>
      <c r="Q210" s="314"/>
      <c r="R210" s="314"/>
      <c r="S210" s="314"/>
      <c r="T210" s="314"/>
      <c r="U210" s="314"/>
      <c r="V210" s="315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24" t="s">
        <v>150</v>
      </c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66"/>
      <c r="AB211" s="66"/>
      <c r="AC211" s="83"/>
    </row>
    <row r="212" spans="1:68" ht="27" customHeight="1" x14ac:dyDescent="0.25">
      <c r="A212" s="63" t="s">
        <v>316</v>
      </c>
      <c r="B212" s="63" t="s">
        <v>317</v>
      </c>
      <c r="C212" s="36">
        <v>4301135834</v>
      </c>
      <c r="D212" s="306">
        <v>4620207491188</v>
      </c>
      <c r="E212" s="306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117</v>
      </c>
      <c r="L212" s="37" t="s">
        <v>87</v>
      </c>
      <c r="M212" s="38" t="s">
        <v>85</v>
      </c>
      <c r="N212" s="38"/>
      <c r="O212" s="37">
        <v>180</v>
      </c>
      <c r="P212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08"/>
      <c r="R212" s="308"/>
      <c r="S212" s="308"/>
      <c r="T212" s="30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318</v>
      </c>
      <c r="AG212" s="81"/>
      <c r="AJ212" s="87" t="s">
        <v>88</v>
      </c>
      <c r="AK212" s="87">
        <v>1</v>
      </c>
      <c r="BB212" s="242" t="s">
        <v>116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319</v>
      </c>
      <c r="B213" s="63" t="s">
        <v>320</v>
      </c>
      <c r="C213" s="36">
        <v>4301135829</v>
      </c>
      <c r="D213" s="306">
        <v>4620207490235</v>
      </c>
      <c r="E213" s="306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117</v>
      </c>
      <c r="L213" s="37" t="s">
        <v>87</v>
      </c>
      <c r="M213" s="38" t="s">
        <v>85</v>
      </c>
      <c r="N213" s="38"/>
      <c r="O213" s="37">
        <v>180</v>
      </c>
      <c r="P213" s="34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3" s="308"/>
      <c r="R213" s="308"/>
      <c r="S213" s="308"/>
      <c r="T213" s="30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43" t="s">
        <v>321</v>
      </c>
      <c r="AG213" s="81"/>
      <c r="AJ213" s="87" t="s">
        <v>88</v>
      </c>
      <c r="AK213" s="87">
        <v>1</v>
      </c>
      <c r="BB213" s="244" t="s">
        <v>116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322</v>
      </c>
      <c r="B214" s="63" t="s">
        <v>323</v>
      </c>
      <c r="C214" s="36">
        <v>4301135697</v>
      </c>
      <c r="D214" s="306">
        <v>4620207490259</v>
      </c>
      <c r="E214" s="306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117</v>
      </c>
      <c r="L214" s="37" t="s">
        <v>118</v>
      </c>
      <c r="M214" s="38" t="s">
        <v>85</v>
      </c>
      <c r="N214" s="38"/>
      <c r="O214" s="37">
        <v>180</v>
      </c>
      <c r="P214" s="3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308"/>
      <c r="R214" s="308"/>
      <c r="S214" s="308"/>
      <c r="T214" s="309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5" t="s">
        <v>324</v>
      </c>
      <c r="AG214" s="81"/>
      <c r="AJ214" s="87" t="s">
        <v>119</v>
      </c>
      <c r="AK214" s="87">
        <v>14</v>
      </c>
      <c r="BB214" s="246" t="s">
        <v>116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03"/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16"/>
      <c r="P215" s="313" t="s">
        <v>40</v>
      </c>
      <c r="Q215" s="314"/>
      <c r="R215" s="314"/>
      <c r="S215" s="314"/>
      <c r="T215" s="314"/>
      <c r="U215" s="314"/>
      <c r="V215" s="315"/>
      <c r="W215" s="42" t="s">
        <v>39</v>
      </c>
      <c r="X215" s="43">
        <f>IFERROR(SUM(X212:X214),"0")</f>
        <v>0</v>
      </c>
      <c r="Y215" s="43">
        <f>IFERROR(SUM(Y212:Y214),"0")</f>
        <v>0</v>
      </c>
      <c r="Z215" s="43">
        <f>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303"/>
      <c r="B216" s="303"/>
      <c r="C216" s="303"/>
      <c r="D216" s="303"/>
      <c r="E216" s="303"/>
      <c r="F216" s="303"/>
      <c r="G216" s="303"/>
      <c r="H216" s="303"/>
      <c r="I216" s="303"/>
      <c r="J216" s="303"/>
      <c r="K216" s="303"/>
      <c r="L216" s="303"/>
      <c r="M216" s="303"/>
      <c r="N216" s="303"/>
      <c r="O216" s="316"/>
      <c r="P216" s="313" t="s">
        <v>40</v>
      </c>
      <c r="Q216" s="314"/>
      <c r="R216" s="314"/>
      <c r="S216" s="314"/>
      <c r="T216" s="314"/>
      <c r="U216" s="314"/>
      <c r="V216" s="315"/>
      <c r="W216" s="42" t="s">
        <v>0</v>
      </c>
      <c r="X216" s="43">
        <f>IFERROR(SUMPRODUCT(X212:X214*H212:H214),"0")</f>
        <v>0</v>
      </c>
      <c r="Y216" s="43">
        <f>IFERROR(SUMPRODUCT(Y212:Y214*H212:H214),"0")</f>
        <v>0</v>
      </c>
      <c r="Z216" s="42"/>
      <c r="AA216" s="67"/>
      <c r="AB216" s="67"/>
      <c r="AC216" s="67"/>
    </row>
    <row r="217" spans="1:68" ht="16.5" customHeight="1" x14ac:dyDescent="0.25">
      <c r="A217" s="329" t="s">
        <v>325</v>
      </c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  <c r="AA217" s="65"/>
      <c r="AB217" s="65"/>
      <c r="AC217" s="82"/>
    </row>
    <row r="218" spans="1:68" ht="14.25" customHeight="1" x14ac:dyDescent="0.25">
      <c r="A218" s="324" t="s">
        <v>150</v>
      </c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66"/>
      <c r="AB218" s="66"/>
      <c r="AC218" s="83"/>
    </row>
    <row r="219" spans="1:68" ht="27" customHeight="1" x14ac:dyDescent="0.25">
      <c r="A219" s="63" t="s">
        <v>326</v>
      </c>
      <c r="B219" s="63" t="s">
        <v>327</v>
      </c>
      <c r="C219" s="36">
        <v>4301135854</v>
      </c>
      <c r="D219" s="306">
        <v>4620207491706</v>
      </c>
      <c r="E219" s="306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87</v>
      </c>
      <c r="M219" s="38" t="s">
        <v>85</v>
      </c>
      <c r="N219" s="38"/>
      <c r="O219" s="37">
        <v>180</v>
      </c>
      <c r="P219" s="3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308"/>
      <c r="R219" s="308"/>
      <c r="S219" s="308"/>
      <c r="T219" s="309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7" t="s">
        <v>328</v>
      </c>
      <c r="AG219" s="81"/>
      <c r="AJ219" s="87" t="s">
        <v>88</v>
      </c>
      <c r="AK219" s="87">
        <v>1</v>
      </c>
      <c r="BB219" s="248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customHeight="1" x14ac:dyDescent="0.25">
      <c r="A220" s="63" t="s">
        <v>329</v>
      </c>
      <c r="B220" s="63" t="s">
        <v>330</v>
      </c>
      <c r="C220" s="36">
        <v>4301135895</v>
      </c>
      <c r="D220" s="306">
        <v>4620207491522</v>
      </c>
      <c r="E220" s="306"/>
      <c r="F220" s="62">
        <v>0.28000000000000003</v>
      </c>
      <c r="G220" s="37">
        <v>12</v>
      </c>
      <c r="H220" s="62">
        <v>3.36</v>
      </c>
      <c r="I220" s="62">
        <v>4.0636000000000001</v>
      </c>
      <c r="J220" s="37">
        <v>70</v>
      </c>
      <c r="K220" s="37" t="s">
        <v>117</v>
      </c>
      <c r="L220" s="37" t="s">
        <v>87</v>
      </c>
      <c r="M220" s="38" t="s">
        <v>85</v>
      </c>
      <c r="N220" s="38"/>
      <c r="O220" s="37">
        <v>180</v>
      </c>
      <c r="P220" s="3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308"/>
      <c r="R220" s="308"/>
      <c r="S220" s="308"/>
      <c r="T220" s="30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9" t="s">
        <v>331</v>
      </c>
      <c r="AG220" s="81"/>
      <c r="AJ220" s="87" t="s">
        <v>88</v>
      </c>
      <c r="AK220" s="87">
        <v>1</v>
      </c>
      <c r="BB220" s="250" t="s">
        <v>116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03"/>
      <c r="B221" s="303"/>
      <c r="C221" s="303"/>
      <c r="D221" s="303"/>
      <c r="E221" s="303"/>
      <c r="F221" s="303"/>
      <c r="G221" s="303"/>
      <c r="H221" s="303"/>
      <c r="I221" s="303"/>
      <c r="J221" s="303"/>
      <c r="K221" s="303"/>
      <c r="L221" s="303"/>
      <c r="M221" s="303"/>
      <c r="N221" s="303"/>
      <c r="O221" s="316"/>
      <c r="P221" s="313" t="s">
        <v>40</v>
      </c>
      <c r="Q221" s="314"/>
      <c r="R221" s="314"/>
      <c r="S221" s="314"/>
      <c r="T221" s="314"/>
      <c r="U221" s="314"/>
      <c r="V221" s="315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303"/>
      <c r="B222" s="303"/>
      <c r="C222" s="303"/>
      <c r="D222" s="303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16"/>
      <c r="P222" s="313" t="s">
        <v>40</v>
      </c>
      <c r="Q222" s="314"/>
      <c r="R222" s="314"/>
      <c r="S222" s="314"/>
      <c r="T222" s="314"/>
      <c r="U222" s="314"/>
      <c r="V222" s="315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16.5" customHeight="1" x14ac:dyDescent="0.25">
      <c r="A223" s="329" t="s">
        <v>332</v>
      </c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  <c r="AA223" s="65"/>
      <c r="AB223" s="65"/>
      <c r="AC223" s="82"/>
    </row>
    <row r="224" spans="1:68" ht="14.25" customHeight="1" x14ac:dyDescent="0.25">
      <c r="A224" s="324" t="s">
        <v>81</v>
      </c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66"/>
      <c r="AB224" s="66"/>
      <c r="AC224" s="83"/>
    </row>
    <row r="225" spans="1:68" ht="27" customHeight="1" x14ac:dyDescent="0.25">
      <c r="A225" s="63" t="s">
        <v>333</v>
      </c>
      <c r="B225" s="63" t="s">
        <v>334</v>
      </c>
      <c r="C225" s="36">
        <v>4301071097</v>
      </c>
      <c r="D225" s="306">
        <v>4620207491096</v>
      </c>
      <c r="E225" s="306"/>
      <c r="F225" s="62">
        <v>1</v>
      </c>
      <c r="G225" s="37">
        <v>5</v>
      </c>
      <c r="H225" s="62">
        <v>5</v>
      </c>
      <c r="I225" s="62">
        <v>5.23</v>
      </c>
      <c r="J225" s="37">
        <v>84</v>
      </c>
      <c r="K225" s="37" t="s">
        <v>86</v>
      </c>
      <c r="L225" s="37" t="s">
        <v>118</v>
      </c>
      <c r="M225" s="38" t="s">
        <v>85</v>
      </c>
      <c r="N225" s="38"/>
      <c r="O225" s="37">
        <v>180</v>
      </c>
      <c r="P225" s="33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308"/>
      <c r="R225" s="308"/>
      <c r="S225" s="308"/>
      <c r="T225" s="309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51" t="s">
        <v>335</v>
      </c>
      <c r="AG225" s="81"/>
      <c r="AJ225" s="87" t="s">
        <v>119</v>
      </c>
      <c r="AK225" s="87">
        <v>12</v>
      </c>
      <c r="BB225" s="252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03"/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16"/>
      <c r="P226" s="313" t="s">
        <v>40</v>
      </c>
      <c r="Q226" s="314"/>
      <c r="R226" s="314"/>
      <c r="S226" s="314"/>
      <c r="T226" s="314"/>
      <c r="U226" s="314"/>
      <c r="V226" s="315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03"/>
      <c r="B227" s="303"/>
      <c r="C227" s="303"/>
      <c r="D227" s="303"/>
      <c r="E227" s="303"/>
      <c r="F227" s="303"/>
      <c r="G227" s="303"/>
      <c r="H227" s="303"/>
      <c r="I227" s="303"/>
      <c r="J227" s="303"/>
      <c r="K227" s="303"/>
      <c r="L227" s="303"/>
      <c r="M227" s="303"/>
      <c r="N227" s="303"/>
      <c r="O227" s="316"/>
      <c r="P227" s="313" t="s">
        <v>40</v>
      </c>
      <c r="Q227" s="314"/>
      <c r="R227" s="314"/>
      <c r="S227" s="314"/>
      <c r="T227" s="314"/>
      <c r="U227" s="314"/>
      <c r="V227" s="315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16.5" customHeight="1" x14ac:dyDescent="0.25">
      <c r="A228" s="329" t="s">
        <v>336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65"/>
      <c r="AB228" s="65"/>
      <c r="AC228" s="82"/>
    </row>
    <row r="229" spans="1:68" ht="14.25" customHeight="1" x14ac:dyDescent="0.25">
      <c r="A229" s="324" t="s">
        <v>150</v>
      </c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66"/>
      <c r="AB229" s="66"/>
      <c r="AC229" s="83"/>
    </row>
    <row r="230" spans="1:68" ht="27" customHeight="1" x14ac:dyDescent="0.25">
      <c r="A230" s="63" t="s">
        <v>337</v>
      </c>
      <c r="B230" s="63" t="s">
        <v>338</v>
      </c>
      <c r="C230" s="36">
        <v>4301135694</v>
      </c>
      <c r="D230" s="306">
        <v>4620207490501</v>
      </c>
      <c r="E230" s="306"/>
      <c r="F230" s="62">
        <v>0.2</v>
      </c>
      <c r="G230" s="37">
        <v>12</v>
      </c>
      <c r="H230" s="62">
        <v>2.4</v>
      </c>
      <c r="I230" s="62">
        <v>3.1036000000000001</v>
      </c>
      <c r="J230" s="37">
        <v>70</v>
      </c>
      <c r="K230" s="37" t="s">
        <v>117</v>
      </c>
      <c r="L230" s="37" t="s">
        <v>87</v>
      </c>
      <c r="M230" s="38" t="s">
        <v>85</v>
      </c>
      <c r="N230" s="38"/>
      <c r="O230" s="37">
        <v>180</v>
      </c>
      <c r="P230" s="3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30" s="308"/>
      <c r="R230" s="308"/>
      <c r="S230" s="308"/>
      <c r="T230" s="309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53" t="s">
        <v>339</v>
      </c>
      <c r="AG230" s="81"/>
      <c r="AJ230" s="87" t="s">
        <v>88</v>
      </c>
      <c r="AK230" s="87">
        <v>1</v>
      </c>
      <c r="BB230" s="254" t="s">
        <v>116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03"/>
      <c r="B231" s="303"/>
      <c r="C231" s="303"/>
      <c r="D231" s="303"/>
      <c r="E231" s="303"/>
      <c r="F231" s="303"/>
      <c r="G231" s="303"/>
      <c r="H231" s="303"/>
      <c r="I231" s="303"/>
      <c r="J231" s="303"/>
      <c r="K231" s="303"/>
      <c r="L231" s="303"/>
      <c r="M231" s="303"/>
      <c r="N231" s="303"/>
      <c r="O231" s="316"/>
      <c r="P231" s="313" t="s">
        <v>40</v>
      </c>
      <c r="Q231" s="314"/>
      <c r="R231" s="314"/>
      <c r="S231" s="314"/>
      <c r="T231" s="314"/>
      <c r="U231" s="314"/>
      <c r="V231" s="315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03"/>
      <c r="B232" s="303"/>
      <c r="C232" s="303"/>
      <c r="D232" s="303"/>
      <c r="E232" s="303"/>
      <c r="F232" s="303"/>
      <c r="G232" s="303"/>
      <c r="H232" s="303"/>
      <c r="I232" s="303"/>
      <c r="J232" s="303"/>
      <c r="K232" s="303"/>
      <c r="L232" s="303"/>
      <c r="M232" s="303"/>
      <c r="N232" s="303"/>
      <c r="O232" s="316"/>
      <c r="P232" s="313" t="s">
        <v>40</v>
      </c>
      <c r="Q232" s="314"/>
      <c r="R232" s="314"/>
      <c r="S232" s="314"/>
      <c r="T232" s="314"/>
      <c r="U232" s="314"/>
      <c r="V232" s="315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28" t="s">
        <v>340</v>
      </c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54"/>
      <c r="AB233" s="54"/>
      <c r="AC233" s="54"/>
    </row>
    <row r="234" spans="1:68" ht="16.5" customHeight="1" x14ac:dyDescent="0.25">
      <c r="A234" s="329" t="s">
        <v>341</v>
      </c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  <c r="AA234" s="65"/>
      <c r="AB234" s="65"/>
      <c r="AC234" s="82"/>
    </row>
    <row r="235" spans="1:68" ht="14.25" customHeight="1" x14ac:dyDescent="0.25">
      <c r="A235" s="324" t="s">
        <v>81</v>
      </c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66"/>
      <c r="AB235" s="66"/>
      <c r="AC235" s="83"/>
    </row>
    <row r="236" spans="1:68" ht="27" customHeight="1" x14ac:dyDescent="0.25">
      <c r="A236" s="63" t="s">
        <v>342</v>
      </c>
      <c r="B236" s="63" t="s">
        <v>343</v>
      </c>
      <c r="C236" s="36">
        <v>4301071036</v>
      </c>
      <c r="D236" s="306">
        <v>4607111036162</v>
      </c>
      <c r="E236" s="306"/>
      <c r="F236" s="62">
        <v>0.8</v>
      </c>
      <c r="G236" s="37">
        <v>8</v>
      </c>
      <c r="H236" s="62">
        <v>6.4</v>
      </c>
      <c r="I236" s="62">
        <v>6.6811999999999996</v>
      </c>
      <c r="J236" s="37">
        <v>84</v>
      </c>
      <c r="K236" s="37" t="s">
        <v>86</v>
      </c>
      <c r="L236" s="37" t="s">
        <v>87</v>
      </c>
      <c r="M236" s="38" t="s">
        <v>85</v>
      </c>
      <c r="N236" s="38"/>
      <c r="O236" s="37">
        <v>90</v>
      </c>
      <c r="P236" s="3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6" s="308"/>
      <c r="R236" s="308"/>
      <c r="S236" s="308"/>
      <c r="T236" s="30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IFERROR(IF(X236="","",X236*0.0155),"")</f>
        <v>0</v>
      </c>
      <c r="AA236" s="68" t="s">
        <v>46</v>
      </c>
      <c r="AB236" s="69" t="s">
        <v>46</v>
      </c>
      <c r="AC236" s="255" t="s">
        <v>344</v>
      </c>
      <c r="AG236" s="81"/>
      <c r="AJ236" s="87" t="s">
        <v>88</v>
      </c>
      <c r="AK236" s="87">
        <v>1</v>
      </c>
      <c r="BB236" s="256" t="s">
        <v>70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03"/>
      <c r="B237" s="303"/>
      <c r="C237" s="303"/>
      <c r="D237" s="303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16"/>
      <c r="P237" s="313" t="s">
        <v>40</v>
      </c>
      <c r="Q237" s="314"/>
      <c r="R237" s="314"/>
      <c r="S237" s="314"/>
      <c r="T237" s="314"/>
      <c r="U237" s="314"/>
      <c r="V237" s="315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03"/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16"/>
      <c r="P238" s="313" t="s">
        <v>40</v>
      </c>
      <c r="Q238" s="314"/>
      <c r="R238" s="314"/>
      <c r="S238" s="314"/>
      <c r="T238" s="314"/>
      <c r="U238" s="314"/>
      <c r="V238" s="315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28" t="s">
        <v>345</v>
      </c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54"/>
      <c r="AB239" s="54"/>
      <c r="AC239" s="54"/>
    </row>
    <row r="240" spans="1:68" ht="16.5" customHeight="1" x14ac:dyDescent="0.25">
      <c r="A240" s="329" t="s">
        <v>292</v>
      </c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  <c r="AA240" s="65"/>
      <c r="AB240" s="65"/>
      <c r="AC240" s="82"/>
    </row>
    <row r="241" spans="1:68" ht="14.25" customHeight="1" x14ac:dyDescent="0.25">
      <c r="A241" s="324" t="s">
        <v>81</v>
      </c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66"/>
      <c r="AB241" s="66"/>
      <c r="AC241" s="83"/>
    </row>
    <row r="242" spans="1:68" ht="27" customHeight="1" x14ac:dyDescent="0.25">
      <c r="A242" s="63" t="s">
        <v>346</v>
      </c>
      <c r="B242" s="63" t="s">
        <v>347</v>
      </c>
      <c r="C242" s="36">
        <v>4301071029</v>
      </c>
      <c r="D242" s="306">
        <v>4607111035899</v>
      </c>
      <c r="E242" s="306"/>
      <c r="F242" s="62">
        <v>1</v>
      </c>
      <c r="G242" s="37">
        <v>5</v>
      </c>
      <c r="H242" s="62">
        <v>5</v>
      </c>
      <c r="I242" s="62">
        <v>5.2619999999999996</v>
      </c>
      <c r="J242" s="37">
        <v>84</v>
      </c>
      <c r="K242" s="37" t="s">
        <v>86</v>
      </c>
      <c r="L242" s="37" t="s">
        <v>118</v>
      </c>
      <c r="M242" s="38" t="s">
        <v>85</v>
      </c>
      <c r="N242" s="38"/>
      <c r="O242" s="37">
        <v>180</v>
      </c>
      <c r="P242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2" s="308"/>
      <c r="R242" s="308"/>
      <c r="S242" s="308"/>
      <c r="T242" s="30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57" t="s">
        <v>291</v>
      </c>
      <c r="AG242" s="81"/>
      <c r="AJ242" s="87" t="s">
        <v>119</v>
      </c>
      <c r="AK242" s="87">
        <v>12</v>
      </c>
      <c r="BB242" s="258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03"/>
      <c r="B243" s="303"/>
      <c r="C243" s="303"/>
      <c r="D243" s="303"/>
      <c r="E243" s="303"/>
      <c r="F243" s="303"/>
      <c r="G243" s="303"/>
      <c r="H243" s="303"/>
      <c r="I243" s="303"/>
      <c r="J243" s="303"/>
      <c r="K243" s="303"/>
      <c r="L243" s="303"/>
      <c r="M243" s="303"/>
      <c r="N243" s="303"/>
      <c r="O243" s="316"/>
      <c r="P243" s="313" t="s">
        <v>40</v>
      </c>
      <c r="Q243" s="314"/>
      <c r="R243" s="314"/>
      <c r="S243" s="314"/>
      <c r="T243" s="314"/>
      <c r="U243" s="314"/>
      <c r="V243" s="31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303"/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16"/>
      <c r="P244" s="313" t="s">
        <v>40</v>
      </c>
      <c r="Q244" s="314"/>
      <c r="R244" s="314"/>
      <c r="S244" s="314"/>
      <c r="T244" s="314"/>
      <c r="U244" s="314"/>
      <c r="V244" s="31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customHeight="1" x14ac:dyDescent="0.2">
      <c r="A245" s="328" t="s">
        <v>348</v>
      </c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54"/>
      <c r="AB245" s="54"/>
      <c r="AC245" s="54"/>
    </row>
    <row r="246" spans="1:68" ht="16.5" customHeight="1" x14ac:dyDescent="0.25">
      <c r="A246" s="329" t="s">
        <v>349</v>
      </c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  <c r="AA246" s="65"/>
      <c r="AB246" s="65"/>
      <c r="AC246" s="82"/>
    </row>
    <row r="247" spans="1:68" ht="14.25" customHeight="1" x14ac:dyDescent="0.25">
      <c r="A247" s="324" t="s">
        <v>350</v>
      </c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66"/>
      <c r="AB247" s="66"/>
      <c r="AC247" s="83"/>
    </row>
    <row r="248" spans="1:68" ht="27" customHeight="1" x14ac:dyDescent="0.25">
      <c r="A248" s="63" t="s">
        <v>351</v>
      </c>
      <c r="B248" s="63" t="s">
        <v>352</v>
      </c>
      <c r="C248" s="36">
        <v>4301133004</v>
      </c>
      <c r="D248" s="306">
        <v>4607111039774</v>
      </c>
      <c r="E248" s="306"/>
      <c r="F248" s="62">
        <v>0.25</v>
      </c>
      <c r="G248" s="37">
        <v>12</v>
      </c>
      <c r="H248" s="62">
        <v>3</v>
      </c>
      <c r="I248" s="62">
        <v>3.22</v>
      </c>
      <c r="J248" s="37">
        <v>70</v>
      </c>
      <c r="K248" s="37" t="s">
        <v>117</v>
      </c>
      <c r="L248" s="37" t="s">
        <v>87</v>
      </c>
      <c r="M248" s="38" t="s">
        <v>85</v>
      </c>
      <c r="N248" s="38"/>
      <c r="O248" s="37">
        <v>180</v>
      </c>
      <c r="P248" s="3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8" s="308"/>
      <c r="R248" s="308"/>
      <c r="S248" s="308"/>
      <c r="T248" s="309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IFERROR(IF(X248="","",X248*0.01788),"")</f>
        <v>0</v>
      </c>
      <c r="AA248" s="68" t="s">
        <v>46</v>
      </c>
      <c r="AB248" s="69" t="s">
        <v>46</v>
      </c>
      <c r="AC248" s="259" t="s">
        <v>353</v>
      </c>
      <c r="AG248" s="81"/>
      <c r="AJ248" s="87" t="s">
        <v>88</v>
      </c>
      <c r="AK248" s="87">
        <v>1</v>
      </c>
      <c r="BB248" s="260" t="s">
        <v>116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03"/>
      <c r="B249" s="303"/>
      <c r="C249" s="303"/>
      <c r="D249" s="303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16"/>
      <c r="P249" s="313" t="s">
        <v>40</v>
      </c>
      <c r="Q249" s="314"/>
      <c r="R249" s="314"/>
      <c r="S249" s="314"/>
      <c r="T249" s="314"/>
      <c r="U249" s="314"/>
      <c r="V249" s="31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03"/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16"/>
      <c r="P250" s="313" t="s">
        <v>40</v>
      </c>
      <c r="Q250" s="314"/>
      <c r="R250" s="314"/>
      <c r="S250" s="314"/>
      <c r="T250" s="314"/>
      <c r="U250" s="314"/>
      <c r="V250" s="31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customHeight="1" x14ac:dyDescent="0.25">
      <c r="A251" s="324" t="s">
        <v>150</v>
      </c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66"/>
      <c r="AB251" s="66"/>
      <c r="AC251" s="83"/>
    </row>
    <row r="252" spans="1:68" ht="37.5" customHeight="1" x14ac:dyDescent="0.25">
      <c r="A252" s="63" t="s">
        <v>354</v>
      </c>
      <c r="B252" s="63" t="s">
        <v>355</v>
      </c>
      <c r="C252" s="36">
        <v>4301135400</v>
      </c>
      <c r="D252" s="306">
        <v>4607111039361</v>
      </c>
      <c r="E252" s="306"/>
      <c r="F252" s="62">
        <v>0.25</v>
      </c>
      <c r="G252" s="37">
        <v>12</v>
      </c>
      <c r="H252" s="62">
        <v>3</v>
      </c>
      <c r="I252" s="62">
        <v>3.7035999999999998</v>
      </c>
      <c r="J252" s="37">
        <v>70</v>
      </c>
      <c r="K252" s="37" t="s">
        <v>117</v>
      </c>
      <c r="L252" s="37" t="s">
        <v>87</v>
      </c>
      <c r="M252" s="38" t="s">
        <v>85</v>
      </c>
      <c r="N252" s="38"/>
      <c r="O252" s="37">
        <v>180</v>
      </c>
      <c r="P252" s="33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2" s="308"/>
      <c r="R252" s="308"/>
      <c r="S252" s="308"/>
      <c r="T252" s="30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IFERROR(IF(X252="","",X252*0.01788),"")</f>
        <v>0</v>
      </c>
      <c r="AA252" s="68" t="s">
        <v>46</v>
      </c>
      <c r="AB252" s="69" t="s">
        <v>46</v>
      </c>
      <c r="AC252" s="261" t="s">
        <v>353</v>
      </c>
      <c r="AG252" s="81"/>
      <c r="AJ252" s="87" t="s">
        <v>88</v>
      </c>
      <c r="AK252" s="87">
        <v>1</v>
      </c>
      <c r="BB252" s="262" t="s">
        <v>116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03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16"/>
      <c r="P253" s="313" t="s">
        <v>40</v>
      </c>
      <c r="Q253" s="314"/>
      <c r="R253" s="314"/>
      <c r="S253" s="314"/>
      <c r="T253" s="314"/>
      <c r="U253" s="314"/>
      <c r="V253" s="315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303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  <c r="N254" s="303"/>
      <c r="O254" s="316"/>
      <c r="P254" s="313" t="s">
        <v>40</v>
      </c>
      <c r="Q254" s="314"/>
      <c r="R254" s="314"/>
      <c r="S254" s="314"/>
      <c r="T254" s="314"/>
      <c r="U254" s="314"/>
      <c r="V254" s="315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27.75" customHeight="1" x14ac:dyDescent="0.2">
      <c r="A255" s="328" t="s">
        <v>356</v>
      </c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54"/>
      <c r="AB255" s="54"/>
      <c r="AC255" s="54"/>
    </row>
    <row r="256" spans="1:68" ht="16.5" customHeight="1" x14ac:dyDescent="0.25">
      <c r="A256" s="329" t="s">
        <v>356</v>
      </c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  <c r="AA256" s="65"/>
      <c r="AB256" s="65"/>
      <c r="AC256" s="82"/>
    </row>
    <row r="257" spans="1:68" ht="14.25" customHeight="1" x14ac:dyDescent="0.25">
      <c r="A257" s="324" t="s">
        <v>144</v>
      </c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66"/>
      <c r="AB257" s="66"/>
      <c r="AC257" s="83"/>
    </row>
    <row r="258" spans="1:68" ht="27" customHeight="1" x14ac:dyDescent="0.25">
      <c r="A258" s="63" t="s">
        <v>357</v>
      </c>
      <c r="B258" s="63" t="s">
        <v>358</v>
      </c>
      <c r="C258" s="36">
        <v>4301136098</v>
      </c>
      <c r="D258" s="306">
        <v>4640242181943</v>
      </c>
      <c r="E258" s="306"/>
      <c r="F258" s="62">
        <v>0.09</v>
      </c>
      <c r="G258" s="37">
        <v>24</v>
      </c>
      <c r="H258" s="62">
        <v>2.16</v>
      </c>
      <c r="I258" s="62">
        <v>2.34</v>
      </c>
      <c r="J258" s="37">
        <v>126</v>
      </c>
      <c r="K258" s="37" t="s">
        <v>117</v>
      </c>
      <c r="L258" s="37" t="s">
        <v>87</v>
      </c>
      <c r="M258" s="38" t="s">
        <v>85</v>
      </c>
      <c r="N258" s="38"/>
      <c r="O258" s="37">
        <v>180</v>
      </c>
      <c r="P258" s="33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8" s="308"/>
      <c r="R258" s="308"/>
      <c r="S258" s="308"/>
      <c r="T258" s="30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3" t="s">
        <v>359</v>
      </c>
      <c r="AG258" s="81"/>
      <c r="AJ258" s="87" t="s">
        <v>88</v>
      </c>
      <c r="AK258" s="87">
        <v>1</v>
      </c>
      <c r="BB258" s="264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03"/>
      <c r="B259" s="303"/>
      <c r="C259" s="303"/>
      <c r="D259" s="303"/>
      <c r="E259" s="303"/>
      <c r="F259" s="303"/>
      <c r="G259" s="303"/>
      <c r="H259" s="303"/>
      <c r="I259" s="303"/>
      <c r="J259" s="303"/>
      <c r="K259" s="303"/>
      <c r="L259" s="303"/>
      <c r="M259" s="303"/>
      <c r="N259" s="303"/>
      <c r="O259" s="316"/>
      <c r="P259" s="313" t="s">
        <v>40</v>
      </c>
      <c r="Q259" s="314"/>
      <c r="R259" s="314"/>
      <c r="S259" s="314"/>
      <c r="T259" s="314"/>
      <c r="U259" s="314"/>
      <c r="V259" s="31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03"/>
      <c r="B260" s="303"/>
      <c r="C260" s="303"/>
      <c r="D260" s="303"/>
      <c r="E260" s="303"/>
      <c r="F260" s="303"/>
      <c r="G260" s="303"/>
      <c r="H260" s="303"/>
      <c r="I260" s="303"/>
      <c r="J260" s="303"/>
      <c r="K260" s="303"/>
      <c r="L260" s="303"/>
      <c r="M260" s="303"/>
      <c r="N260" s="303"/>
      <c r="O260" s="316"/>
      <c r="P260" s="313" t="s">
        <v>40</v>
      </c>
      <c r="Q260" s="314"/>
      <c r="R260" s="314"/>
      <c r="S260" s="314"/>
      <c r="T260" s="314"/>
      <c r="U260" s="314"/>
      <c r="V260" s="31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27.75" customHeight="1" x14ac:dyDescent="0.2">
      <c r="A261" s="328" t="s">
        <v>281</v>
      </c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54"/>
      <c r="AB261" s="54"/>
      <c r="AC261" s="54"/>
    </row>
    <row r="262" spans="1:68" ht="16.5" customHeight="1" x14ac:dyDescent="0.25">
      <c r="A262" s="329" t="s">
        <v>281</v>
      </c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329"/>
      <c r="S262" s="329"/>
      <c r="T262" s="329"/>
      <c r="U262" s="329"/>
      <c r="V262" s="329"/>
      <c r="W262" s="329"/>
      <c r="X262" s="329"/>
      <c r="Y262" s="329"/>
      <c r="Z262" s="329"/>
      <c r="AA262" s="65"/>
      <c r="AB262" s="65"/>
      <c r="AC262" s="82"/>
    </row>
    <row r="263" spans="1:68" ht="14.25" customHeight="1" x14ac:dyDescent="0.25">
      <c r="A263" s="324" t="s">
        <v>81</v>
      </c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66"/>
      <c r="AB263" s="66"/>
      <c r="AC263" s="83"/>
    </row>
    <row r="264" spans="1:68" ht="27" customHeight="1" x14ac:dyDescent="0.25">
      <c r="A264" s="63" t="s">
        <v>360</v>
      </c>
      <c r="B264" s="63" t="s">
        <v>361</v>
      </c>
      <c r="C264" s="36">
        <v>4301071014</v>
      </c>
      <c r="D264" s="306">
        <v>4640242181264</v>
      </c>
      <c r="E264" s="306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86</v>
      </c>
      <c r="L264" s="37" t="s">
        <v>87</v>
      </c>
      <c r="M264" s="38" t="s">
        <v>85</v>
      </c>
      <c r="N264" s="38"/>
      <c r="O264" s="37">
        <v>180</v>
      </c>
      <c r="P264" s="33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4" s="308"/>
      <c r="R264" s="308"/>
      <c r="S264" s="308"/>
      <c r="T264" s="309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88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363</v>
      </c>
      <c r="B265" s="63" t="s">
        <v>364</v>
      </c>
      <c r="C265" s="36">
        <v>4301071021</v>
      </c>
      <c r="D265" s="306">
        <v>4640242181325</v>
      </c>
      <c r="E265" s="306"/>
      <c r="F265" s="62">
        <v>0.7</v>
      </c>
      <c r="G265" s="37">
        <v>10</v>
      </c>
      <c r="H265" s="62">
        <v>7</v>
      </c>
      <c r="I265" s="62">
        <v>7.28</v>
      </c>
      <c r="J265" s="37">
        <v>84</v>
      </c>
      <c r="K265" s="37" t="s">
        <v>86</v>
      </c>
      <c r="L265" s="37" t="s">
        <v>87</v>
      </c>
      <c r="M265" s="38" t="s">
        <v>85</v>
      </c>
      <c r="N265" s="38"/>
      <c r="O265" s="37">
        <v>180</v>
      </c>
      <c r="P265" s="33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5" s="308"/>
      <c r="R265" s="308"/>
      <c r="S265" s="308"/>
      <c r="T265" s="309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362</v>
      </c>
      <c r="AG265" s="81"/>
      <c r="AJ265" s="87" t="s">
        <v>88</v>
      </c>
      <c r="AK265" s="87">
        <v>1</v>
      </c>
      <c r="BB265" s="268" t="s">
        <v>70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303"/>
      <c r="B266" s="303"/>
      <c r="C266" s="303"/>
      <c r="D266" s="303"/>
      <c r="E266" s="303"/>
      <c r="F266" s="303"/>
      <c r="G266" s="303"/>
      <c r="H266" s="303"/>
      <c r="I266" s="303"/>
      <c r="J266" s="303"/>
      <c r="K266" s="303"/>
      <c r="L266" s="303"/>
      <c r="M266" s="303"/>
      <c r="N266" s="303"/>
      <c r="O266" s="316"/>
      <c r="P266" s="313" t="s">
        <v>40</v>
      </c>
      <c r="Q266" s="314"/>
      <c r="R266" s="314"/>
      <c r="S266" s="314"/>
      <c r="T266" s="314"/>
      <c r="U266" s="314"/>
      <c r="V266" s="315"/>
      <c r="W266" s="42" t="s">
        <v>39</v>
      </c>
      <c r="X266" s="43">
        <f>IFERROR(SUM(X264:X265),"0")</f>
        <v>0</v>
      </c>
      <c r="Y266" s="43">
        <f>IFERROR(SUM(Y264:Y265),"0")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303"/>
      <c r="B267" s="303"/>
      <c r="C267" s="303"/>
      <c r="D267" s="303"/>
      <c r="E267" s="303"/>
      <c r="F267" s="303"/>
      <c r="G267" s="303"/>
      <c r="H267" s="303"/>
      <c r="I267" s="303"/>
      <c r="J267" s="303"/>
      <c r="K267" s="303"/>
      <c r="L267" s="303"/>
      <c r="M267" s="303"/>
      <c r="N267" s="303"/>
      <c r="O267" s="316"/>
      <c r="P267" s="313" t="s">
        <v>40</v>
      </c>
      <c r="Q267" s="314"/>
      <c r="R267" s="314"/>
      <c r="S267" s="314"/>
      <c r="T267" s="314"/>
      <c r="U267" s="314"/>
      <c r="V267" s="315"/>
      <c r="W267" s="42" t="s">
        <v>0</v>
      </c>
      <c r="X267" s="43">
        <f>IFERROR(SUMPRODUCT(X264:X265*H264:H265),"0")</f>
        <v>0</v>
      </c>
      <c r="Y267" s="43">
        <f>IFERROR(SUMPRODUCT(Y264:Y265*H264:H265),"0")</f>
        <v>0</v>
      </c>
      <c r="Z267" s="42"/>
      <c r="AA267" s="67"/>
      <c r="AB267" s="67"/>
      <c r="AC267" s="67"/>
    </row>
    <row r="268" spans="1:68" ht="14.25" customHeight="1" x14ac:dyDescent="0.25">
      <c r="A268" s="324" t="s">
        <v>112</v>
      </c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66"/>
      <c r="AB268" s="66"/>
      <c r="AC268" s="83"/>
    </row>
    <row r="269" spans="1:68" ht="27" customHeight="1" x14ac:dyDescent="0.25">
      <c r="A269" s="63" t="s">
        <v>365</v>
      </c>
      <c r="B269" s="63" t="s">
        <v>366</v>
      </c>
      <c r="C269" s="36">
        <v>4301132080</v>
      </c>
      <c r="D269" s="306">
        <v>4640242180397</v>
      </c>
      <c r="E269" s="306"/>
      <c r="F269" s="62">
        <v>1</v>
      </c>
      <c r="G269" s="37">
        <v>6</v>
      </c>
      <c r="H269" s="62">
        <v>6</v>
      </c>
      <c r="I269" s="62">
        <v>6.26</v>
      </c>
      <c r="J269" s="37">
        <v>84</v>
      </c>
      <c r="K269" s="37" t="s">
        <v>86</v>
      </c>
      <c r="L269" s="37" t="s">
        <v>118</v>
      </c>
      <c r="M269" s="38" t="s">
        <v>85</v>
      </c>
      <c r="N269" s="38"/>
      <c r="O269" s="37">
        <v>180</v>
      </c>
      <c r="P269" s="32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9" s="308"/>
      <c r="R269" s="308"/>
      <c r="S269" s="308"/>
      <c r="T269" s="309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119</v>
      </c>
      <c r="AK269" s="87">
        <v>12</v>
      </c>
      <c r="BB269" s="270" t="s">
        <v>116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x14ac:dyDescent="0.2">
      <c r="A270" s="303"/>
      <c r="B270" s="303"/>
      <c r="C270" s="303"/>
      <c r="D270" s="303"/>
      <c r="E270" s="303"/>
      <c r="F270" s="303"/>
      <c r="G270" s="303"/>
      <c r="H270" s="303"/>
      <c r="I270" s="303"/>
      <c r="J270" s="303"/>
      <c r="K270" s="303"/>
      <c r="L270" s="303"/>
      <c r="M270" s="303"/>
      <c r="N270" s="303"/>
      <c r="O270" s="316"/>
      <c r="P270" s="313" t="s">
        <v>40</v>
      </c>
      <c r="Q270" s="314"/>
      <c r="R270" s="314"/>
      <c r="S270" s="314"/>
      <c r="T270" s="314"/>
      <c r="U270" s="314"/>
      <c r="V270" s="315"/>
      <c r="W270" s="42" t="s">
        <v>39</v>
      </c>
      <c r="X270" s="43">
        <f>IFERROR(SUM(X269:X269),"0")</f>
        <v>0</v>
      </c>
      <c r="Y270" s="43">
        <f>IFERROR(SUM(Y269:Y269),"0")</f>
        <v>0</v>
      </c>
      <c r="Z270" s="43">
        <f>IFERROR(IF(Z269="",0,Z269),"0")</f>
        <v>0</v>
      </c>
      <c r="AA270" s="67"/>
      <c r="AB270" s="67"/>
      <c r="AC270" s="67"/>
    </row>
    <row r="271" spans="1:68" x14ac:dyDescent="0.2">
      <c r="A271" s="303"/>
      <c r="B271" s="303"/>
      <c r="C271" s="303"/>
      <c r="D271" s="303"/>
      <c r="E271" s="303"/>
      <c r="F271" s="303"/>
      <c r="G271" s="303"/>
      <c r="H271" s="303"/>
      <c r="I271" s="303"/>
      <c r="J271" s="303"/>
      <c r="K271" s="303"/>
      <c r="L271" s="303"/>
      <c r="M271" s="303"/>
      <c r="N271" s="303"/>
      <c r="O271" s="316"/>
      <c r="P271" s="313" t="s">
        <v>40</v>
      </c>
      <c r="Q271" s="314"/>
      <c r="R271" s="314"/>
      <c r="S271" s="314"/>
      <c r="T271" s="314"/>
      <c r="U271" s="314"/>
      <c r="V271" s="315"/>
      <c r="W271" s="42" t="s">
        <v>0</v>
      </c>
      <c r="X271" s="43">
        <f>IFERROR(SUMPRODUCT(X269:X269*H269:H269),"0")</f>
        <v>0</v>
      </c>
      <c r="Y271" s="43">
        <f>IFERROR(SUMPRODUCT(Y269:Y269*H269:H269),"0")</f>
        <v>0</v>
      </c>
      <c r="Z271" s="42"/>
      <c r="AA271" s="67"/>
      <c r="AB271" s="67"/>
      <c r="AC271" s="67"/>
    </row>
    <row r="272" spans="1:68" ht="14.25" customHeight="1" x14ac:dyDescent="0.25">
      <c r="A272" s="324" t="s">
        <v>144</v>
      </c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66"/>
      <c r="AB272" s="66"/>
      <c r="AC272" s="83"/>
    </row>
    <row r="273" spans="1:68" ht="27" customHeight="1" x14ac:dyDescent="0.25">
      <c r="A273" s="63" t="s">
        <v>368</v>
      </c>
      <c r="B273" s="63" t="s">
        <v>369</v>
      </c>
      <c r="C273" s="36">
        <v>4301136051</v>
      </c>
      <c r="D273" s="306">
        <v>4640242180304</v>
      </c>
      <c r="E273" s="306"/>
      <c r="F273" s="62">
        <v>2.7</v>
      </c>
      <c r="G273" s="37">
        <v>1</v>
      </c>
      <c r="H273" s="62">
        <v>2.7</v>
      </c>
      <c r="I273" s="62">
        <v>2.8906000000000001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32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3" s="308"/>
      <c r="R273" s="308"/>
      <c r="S273" s="308"/>
      <c r="T273" s="309"/>
      <c r="U273" s="39" t="s">
        <v>46</v>
      </c>
      <c r="V273" s="39" t="s">
        <v>46</v>
      </c>
      <c r="W273" s="40" t="s">
        <v>39</v>
      </c>
      <c r="X273" s="58">
        <v>0</v>
      </c>
      <c r="Y273" s="55">
        <f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71" t="s">
        <v>370</v>
      </c>
      <c r="AG273" s="81"/>
      <c r="AJ273" s="87" t="s">
        <v>119</v>
      </c>
      <c r="AK273" s="87">
        <v>14</v>
      </c>
      <c r="BB273" s="272" t="s">
        <v>116</v>
      </c>
      <c r="BM273" s="81">
        <f>IFERROR(X273*I273,"0")</f>
        <v>0</v>
      </c>
      <c r="BN273" s="81">
        <f>IFERROR(Y273*I273,"0")</f>
        <v>0</v>
      </c>
      <c r="BO273" s="81">
        <f>IFERROR(X273/J273,"0")</f>
        <v>0</v>
      </c>
      <c r="BP273" s="81">
        <f>IFERROR(Y273/J273,"0")</f>
        <v>0</v>
      </c>
    </row>
    <row r="274" spans="1:68" ht="27" customHeight="1" x14ac:dyDescent="0.25">
      <c r="A274" s="63" t="s">
        <v>371</v>
      </c>
      <c r="B274" s="63" t="s">
        <v>372</v>
      </c>
      <c r="C274" s="36">
        <v>4301136053</v>
      </c>
      <c r="D274" s="306">
        <v>4640242180236</v>
      </c>
      <c r="E274" s="306"/>
      <c r="F274" s="62">
        <v>5</v>
      </c>
      <c r="G274" s="37">
        <v>1</v>
      </c>
      <c r="H274" s="62">
        <v>5</v>
      </c>
      <c r="I274" s="62">
        <v>5.2350000000000003</v>
      </c>
      <c r="J274" s="37">
        <v>84</v>
      </c>
      <c r="K274" s="37" t="s">
        <v>86</v>
      </c>
      <c r="L274" s="37" t="s">
        <v>118</v>
      </c>
      <c r="M274" s="38" t="s">
        <v>85</v>
      </c>
      <c r="N274" s="38"/>
      <c r="O274" s="37">
        <v>180</v>
      </c>
      <c r="P274" s="32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4" s="308"/>
      <c r="R274" s="308"/>
      <c r="S274" s="308"/>
      <c r="T274" s="309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IFERROR(IF(X274="","",X274*0.0155),"")</f>
        <v>0</v>
      </c>
      <c r="AA274" s="68" t="s">
        <v>46</v>
      </c>
      <c r="AB274" s="69" t="s">
        <v>46</v>
      </c>
      <c r="AC274" s="273" t="s">
        <v>370</v>
      </c>
      <c r="AG274" s="81"/>
      <c r="AJ274" s="87" t="s">
        <v>119</v>
      </c>
      <c r="AK274" s="87">
        <v>12</v>
      </c>
      <c r="BB274" s="274" t="s">
        <v>116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ht="27" customHeight="1" x14ac:dyDescent="0.25">
      <c r="A275" s="63" t="s">
        <v>373</v>
      </c>
      <c r="B275" s="63" t="s">
        <v>374</v>
      </c>
      <c r="C275" s="36">
        <v>4301136052</v>
      </c>
      <c r="D275" s="306">
        <v>4640242180410</v>
      </c>
      <c r="E275" s="306"/>
      <c r="F275" s="62">
        <v>2.2400000000000002</v>
      </c>
      <c r="G275" s="37">
        <v>1</v>
      </c>
      <c r="H275" s="62">
        <v>2.2400000000000002</v>
      </c>
      <c r="I275" s="62">
        <v>2.4319999999999999</v>
      </c>
      <c r="J275" s="37">
        <v>126</v>
      </c>
      <c r="K275" s="37" t="s">
        <v>117</v>
      </c>
      <c r="L275" s="37" t="s">
        <v>118</v>
      </c>
      <c r="M275" s="38" t="s">
        <v>85</v>
      </c>
      <c r="N275" s="38"/>
      <c r="O275" s="37">
        <v>180</v>
      </c>
      <c r="P275" s="32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5" s="308"/>
      <c r="R275" s="308"/>
      <c r="S275" s="308"/>
      <c r="T275" s="309"/>
      <c r="U275" s="39" t="s">
        <v>46</v>
      </c>
      <c r="V275" s="39" t="s">
        <v>46</v>
      </c>
      <c r="W275" s="40" t="s">
        <v>39</v>
      </c>
      <c r="X275" s="58">
        <v>0</v>
      </c>
      <c r="Y275" s="55">
        <f>IFERROR(IF(X275="","",X275),"")</f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5" t="s">
        <v>370</v>
      </c>
      <c r="AG275" s="81"/>
      <c r="AJ275" s="87" t="s">
        <v>119</v>
      </c>
      <c r="AK275" s="87">
        <v>14</v>
      </c>
      <c r="BB275" s="276" t="s">
        <v>116</v>
      </c>
      <c r="BM275" s="81">
        <f>IFERROR(X275*I275,"0")</f>
        <v>0</v>
      </c>
      <c r="BN275" s="81">
        <f>IFERROR(Y275*I275,"0")</f>
        <v>0</v>
      </c>
      <c r="BO275" s="81">
        <f>IFERROR(X275/J275,"0")</f>
        <v>0</v>
      </c>
      <c r="BP275" s="81">
        <f>IFERROR(Y275/J275,"0")</f>
        <v>0</v>
      </c>
    </row>
    <row r="276" spans="1:68" x14ac:dyDescent="0.2">
      <c r="A276" s="303"/>
      <c r="B276" s="303"/>
      <c r="C276" s="303"/>
      <c r="D276" s="303"/>
      <c r="E276" s="303"/>
      <c r="F276" s="303"/>
      <c r="G276" s="303"/>
      <c r="H276" s="303"/>
      <c r="I276" s="303"/>
      <c r="J276" s="303"/>
      <c r="K276" s="303"/>
      <c r="L276" s="303"/>
      <c r="M276" s="303"/>
      <c r="N276" s="303"/>
      <c r="O276" s="316"/>
      <c r="P276" s="313" t="s">
        <v>40</v>
      </c>
      <c r="Q276" s="314"/>
      <c r="R276" s="314"/>
      <c r="S276" s="314"/>
      <c r="T276" s="314"/>
      <c r="U276" s="314"/>
      <c r="V276" s="315"/>
      <c r="W276" s="42" t="s">
        <v>39</v>
      </c>
      <c r="X276" s="43">
        <f>IFERROR(SUM(X273:X275),"0")</f>
        <v>0</v>
      </c>
      <c r="Y276" s="43">
        <f>IFERROR(SUM(Y273:Y275),"0")</f>
        <v>0</v>
      </c>
      <c r="Z276" s="43">
        <f>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303"/>
      <c r="B277" s="303"/>
      <c r="C277" s="303"/>
      <c r="D277" s="303"/>
      <c r="E277" s="303"/>
      <c r="F277" s="303"/>
      <c r="G277" s="303"/>
      <c r="H277" s="303"/>
      <c r="I277" s="303"/>
      <c r="J277" s="303"/>
      <c r="K277" s="303"/>
      <c r="L277" s="303"/>
      <c r="M277" s="303"/>
      <c r="N277" s="303"/>
      <c r="O277" s="316"/>
      <c r="P277" s="313" t="s">
        <v>40</v>
      </c>
      <c r="Q277" s="314"/>
      <c r="R277" s="314"/>
      <c r="S277" s="314"/>
      <c r="T277" s="314"/>
      <c r="U277" s="314"/>
      <c r="V277" s="315"/>
      <c r="W277" s="42" t="s">
        <v>0</v>
      </c>
      <c r="X277" s="43">
        <f>IFERROR(SUMPRODUCT(X273:X275*H273:H275),"0")</f>
        <v>0</v>
      </c>
      <c r="Y277" s="43">
        <f>IFERROR(SUMPRODUCT(Y273:Y275*H273:H275),"0")</f>
        <v>0</v>
      </c>
      <c r="Z277" s="42"/>
      <c r="AA277" s="67"/>
      <c r="AB277" s="67"/>
      <c r="AC277" s="67"/>
    </row>
    <row r="278" spans="1:68" ht="14.25" customHeight="1" x14ac:dyDescent="0.25">
      <c r="A278" s="324" t="s">
        <v>150</v>
      </c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66"/>
      <c r="AB278" s="66"/>
      <c r="AC278" s="83"/>
    </row>
    <row r="279" spans="1:68" ht="37.5" customHeight="1" x14ac:dyDescent="0.25">
      <c r="A279" s="63" t="s">
        <v>375</v>
      </c>
      <c r="B279" s="63" t="s">
        <v>376</v>
      </c>
      <c r="C279" s="36">
        <v>4301135504</v>
      </c>
      <c r="D279" s="306">
        <v>4640242181554</v>
      </c>
      <c r="E279" s="306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117</v>
      </c>
      <c r="L279" s="37" t="s">
        <v>87</v>
      </c>
      <c r="M279" s="38" t="s">
        <v>85</v>
      </c>
      <c r="N279" s="38"/>
      <c r="O279" s="37">
        <v>180</v>
      </c>
      <c r="P279" s="32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9" s="308"/>
      <c r="R279" s="308"/>
      <c r="S279" s="308"/>
      <c r="T279" s="309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ref="Y279:Y288" si="17">IFERROR(IF(X279="","",X279),"")</f>
        <v>0</v>
      </c>
      <c r="Z279" s="41">
        <f>IFERROR(IF(X279="","",X279*0.00936),"")</f>
        <v>0</v>
      </c>
      <c r="AA279" s="68" t="s">
        <v>46</v>
      </c>
      <c r="AB279" s="69" t="s">
        <v>46</v>
      </c>
      <c r="AC279" s="277" t="s">
        <v>377</v>
      </c>
      <c r="AG279" s="81"/>
      <c r="AJ279" s="87" t="s">
        <v>88</v>
      </c>
      <c r="AK279" s="87">
        <v>1</v>
      </c>
      <c r="BB279" s="278" t="s">
        <v>116</v>
      </c>
      <c r="BM279" s="81">
        <f t="shared" ref="BM279:BM288" si="18">IFERROR(X279*I279,"0")</f>
        <v>0</v>
      </c>
      <c r="BN279" s="81">
        <f t="shared" ref="BN279:BN288" si="19">IFERROR(Y279*I279,"0")</f>
        <v>0</v>
      </c>
      <c r="BO279" s="81">
        <f t="shared" ref="BO279:BO288" si="20">IFERROR(X279/J279,"0")</f>
        <v>0</v>
      </c>
      <c r="BP279" s="81">
        <f t="shared" ref="BP279:BP288" si="21">IFERROR(Y279/J279,"0")</f>
        <v>0</v>
      </c>
    </row>
    <row r="280" spans="1:68" ht="27" customHeight="1" x14ac:dyDescent="0.25">
      <c r="A280" s="63" t="s">
        <v>378</v>
      </c>
      <c r="B280" s="63" t="s">
        <v>379</v>
      </c>
      <c r="C280" s="36">
        <v>4301135518</v>
      </c>
      <c r="D280" s="306">
        <v>4640242181561</v>
      </c>
      <c r="E280" s="306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117</v>
      </c>
      <c r="L280" s="37" t="s">
        <v>118</v>
      </c>
      <c r="M280" s="38" t="s">
        <v>85</v>
      </c>
      <c r="N280" s="38"/>
      <c r="O280" s="37">
        <v>180</v>
      </c>
      <c r="P280" s="31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80" s="308"/>
      <c r="R280" s="308"/>
      <c r="S280" s="308"/>
      <c r="T280" s="309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7"/>
        <v>0</v>
      </c>
      <c r="Z280" s="41">
        <f>IFERROR(IF(X280="","",X280*0.00936),"")</f>
        <v>0</v>
      </c>
      <c r="AA280" s="68" t="s">
        <v>46</v>
      </c>
      <c r="AB280" s="69" t="s">
        <v>46</v>
      </c>
      <c r="AC280" s="279" t="s">
        <v>380</v>
      </c>
      <c r="AG280" s="81"/>
      <c r="AJ280" s="87" t="s">
        <v>119</v>
      </c>
      <c r="AK280" s="87">
        <v>14</v>
      </c>
      <c r="BB280" s="280" t="s">
        <v>116</v>
      </c>
      <c r="BM280" s="81">
        <f t="shared" si="18"/>
        <v>0</v>
      </c>
      <c r="BN280" s="81">
        <f t="shared" si="19"/>
        <v>0</v>
      </c>
      <c r="BO280" s="81">
        <f t="shared" si="20"/>
        <v>0</v>
      </c>
      <c r="BP280" s="81">
        <f t="shared" si="21"/>
        <v>0</v>
      </c>
    </row>
    <row r="281" spans="1:68" ht="27" customHeight="1" x14ac:dyDescent="0.25">
      <c r="A281" s="63" t="s">
        <v>381</v>
      </c>
      <c r="B281" s="63" t="s">
        <v>382</v>
      </c>
      <c r="C281" s="36">
        <v>4301135374</v>
      </c>
      <c r="D281" s="306">
        <v>4640242181424</v>
      </c>
      <c r="E281" s="306"/>
      <c r="F281" s="62">
        <v>5.5</v>
      </c>
      <c r="G281" s="37">
        <v>1</v>
      </c>
      <c r="H281" s="62">
        <v>5.5</v>
      </c>
      <c r="I281" s="62">
        <v>5.7350000000000003</v>
      </c>
      <c r="J281" s="37">
        <v>84</v>
      </c>
      <c r="K281" s="37" t="s">
        <v>86</v>
      </c>
      <c r="L281" s="37" t="s">
        <v>118</v>
      </c>
      <c r="M281" s="38" t="s">
        <v>85</v>
      </c>
      <c r="N281" s="38"/>
      <c r="O281" s="37">
        <v>180</v>
      </c>
      <c r="P281" s="31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81" s="308"/>
      <c r="R281" s="308"/>
      <c r="S281" s="308"/>
      <c r="T281" s="309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7"/>
        <v>0</v>
      </c>
      <c r="Z281" s="41">
        <f>IFERROR(IF(X281="","",X281*0.0155),"")</f>
        <v>0</v>
      </c>
      <c r="AA281" s="68" t="s">
        <v>46</v>
      </c>
      <c r="AB281" s="69" t="s">
        <v>46</v>
      </c>
      <c r="AC281" s="281" t="s">
        <v>377</v>
      </c>
      <c r="AG281" s="81"/>
      <c r="AJ281" s="87" t="s">
        <v>119</v>
      </c>
      <c r="AK281" s="87">
        <v>12</v>
      </c>
      <c r="BB281" s="282" t="s">
        <v>116</v>
      </c>
      <c r="BM281" s="81">
        <f t="shared" si="18"/>
        <v>0</v>
      </c>
      <c r="BN281" s="81">
        <f t="shared" si="19"/>
        <v>0</v>
      </c>
      <c r="BO281" s="81">
        <f t="shared" si="20"/>
        <v>0</v>
      </c>
      <c r="BP281" s="81">
        <f t="shared" si="21"/>
        <v>0</v>
      </c>
    </row>
    <row r="282" spans="1:68" ht="27" customHeight="1" x14ac:dyDescent="0.25">
      <c r="A282" s="63" t="s">
        <v>383</v>
      </c>
      <c r="B282" s="63" t="s">
        <v>384</v>
      </c>
      <c r="C282" s="36">
        <v>4301135405</v>
      </c>
      <c r="D282" s="306">
        <v>4640242181523</v>
      </c>
      <c r="E282" s="306"/>
      <c r="F282" s="62">
        <v>3</v>
      </c>
      <c r="G282" s="37">
        <v>1</v>
      </c>
      <c r="H282" s="62">
        <v>3</v>
      </c>
      <c r="I282" s="62">
        <v>3.1920000000000002</v>
      </c>
      <c r="J282" s="37">
        <v>126</v>
      </c>
      <c r="K282" s="37" t="s">
        <v>117</v>
      </c>
      <c r="L282" s="37" t="s">
        <v>118</v>
      </c>
      <c r="M282" s="38" t="s">
        <v>85</v>
      </c>
      <c r="N282" s="38"/>
      <c r="O282" s="37">
        <v>180</v>
      </c>
      <c r="P282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2" s="308"/>
      <c r="R282" s="308"/>
      <c r="S282" s="308"/>
      <c r="T282" s="309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7"/>
        <v>0</v>
      </c>
      <c r="Z282" s="41">
        <f t="shared" ref="Z282:Z287" si="22">IFERROR(IF(X282="","",X282*0.00936),"")</f>
        <v>0</v>
      </c>
      <c r="AA282" s="68" t="s">
        <v>46</v>
      </c>
      <c r="AB282" s="69" t="s">
        <v>46</v>
      </c>
      <c r="AC282" s="283" t="s">
        <v>380</v>
      </c>
      <c r="AG282" s="81"/>
      <c r="AJ282" s="87" t="s">
        <v>119</v>
      </c>
      <c r="AK282" s="87">
        <v>14</v>
      </c>
      <c r="BB282" s="284" t="s">
        <v>116</v>
      </c>
      <c r="BM282" s="81">
        <f t="shared" si="18"/>
        <v>0</v>
      </c>
      <c r="BN282" s="81">
        <f t="shared" si="19"/>
        <v>0</v>
      </c>
      <c r="BO282" s="81">
        <f t="shared" si="20"/>
        <v>0</v>
      </c>
      <c r="BP282" s="81">
        <f t="shared" si="21"/>
        <v>0</v>
      </c>
    </row>
    <row r="283" spans="1:68" ht="27" customHeight="1" x14ac:dyDescent="0.25">
      <c r="A283" s="63" t="s">
        <v>385</v>
      </c>
      <c r="B283" s="63" t="s">
        <v>386</v>
      </c>
      <c r="C283" s="36">
        <v>4301135375</v>
      </c>
      <c r="D283" s="306">
        <v>4640242181486</v>
      </c>
      <c r="E283" s="306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117</v>
      </c>
      <c r="L283" s="37" t="s">
        <v>118</v>
      </c>
      <c r="M283" s="38" t="s">
        <v>85</v>
      </c>
      <c r="N283" s="38"/>
      <c r="O283" s="37">
        <v>180</v>
      </c>
      <c r="P283" s="32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3" s="308"/>
      <c r="R283" s="308"/>
      <c r="S283" s="308"/>
      <c r="T283" s="309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7"/>
        <v>0</v>
      </c>
      <c r="Z283" s="41">
        <f t="shared" si="22"/>
        <v>0</v>
      </c>
      <c r="AA283" s="68" t="s">
        <v>46</v>
      </c>
      <c r="AB283" s="69" t="s">
        <v>46</v>
      </c>
      <c r="AC283" s="285" t="s">
        <v>377</v>
      </c>
      <c r="AG283" s="81"/>
      <c r="AJ283" s="87" t="s">
        <v>119</v>
      </c>
      <c r="AK283" s="87">
        <v>14</v>
      </c>
      <c r="BB283" s="286" t="s">
        <v>116</v>
      </c>
      <c r="BM283" s="81">
        <f t="shared" si="18"/>
        <v>0</v>
      </c>
      <c r="BN283" s="81">
        <f t="shared" si="19"/>
        <v>0</v>
      </c>
      <c r="BO283" s="81">
        <f t="shared" si="20"/>
        <v>0</v>
      </c>
      <c r="BP283" s="81">
        <f t="shared" si="21"/>
        <v>0</v>
      </c>
    </row>
    <row r="284" spans="1:68" ht="37.5" customHeight="1" x14ac:dyDescent="0.25">
      <c r="A284" s="63" t="s">
        <v>387</v>
      </c>
      <c r="B284" s="63" t="s">
        <v>388</v>
      </c>
      <c r="C284" s="36">
        <v>4301135402</v>
      </c>
      <c r="D284" s="306">
        <v>4640242181493</v>
      </c>
      <c r="E284" s="306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117</v>
      </c>
      <c r="L284" s="37" t="s">
        <v>87</v>
      </c>
      <c r="M284" s="38" t="s">
        <v>85</v>
      </c>
      <c r="N284" s="38"/>
      <c r="O284" s="37">
        <v>180</v>
      </c>
      <c r="P284" s="32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4" s="308"/>
      <c r="R284" s="308"/>
      <c r="S284" s="308"/>
      <c r="T284" s="309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7"/>
        <v>0</v>
      </c>
      <c r="Z284" s="41">
        <f t="shared" si="22"/>
        <v>0</v>
      </c>
      <c r="AA284" s="68" t="s">
        <v>46</v>
      </c>
      <c r="AB284" s="69" t="s">
        <v>46</v>
      </c>
      <c r="AC284" s="287" t="s">
        <v>377</v>
      </c>
      <c r="AG284" s="81"/>
      <c r="AJ284" s="87" t="s">
        <v>88</v>
      </c>
      <c r="AK284" s="87">
        <v>1</v>
      </c>
      <c r="BB284" s="288" t="s">
        <v>116</v>
      </c>
      <c r="BM284" s="81">
        <f t="shared" si="18"/>
        <v>0</v>
      </c>
      <c r="BN284" s="81">
        <f t="shared" si="19"/>
        <v>0</v>
      </c>
      <c r="BO284" s="81">
        <f t="shared" si="20"/>
        <v>0</v>
      </c>
      <c r="BP284" s="81">
        <f t="shared" si="21"/>
        <v>0</v>
      </c>
    </row>
    <row r="285" spans="1:68" ht="37.5" customHeight="1" x14ac:dyDescent="0.25">
      <c r="A285" s="63" t="s">
        <v>389</v>
      </c>
      <c r="B285" s="63" t="s">
        <v>390</v>
      </c>
      <c r="C285" s="36">
        <v>4301135403</v>
      </c>
      <c r="D285" s="306">
        <v>4640242181509</v>
      </c>
      <c r="E285" s="306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117</v>
      </c>
      <c r="L285" s="37" t="s">
        <v>87</v>
      </c>
      <c r="M285" s="38" t="s">
        <v>85</v>
      </c>
      <c r="N285" s="38"/>
      <c r="O285" s="37">
        <v>180</v>
      </c>
      <c r="P285" s="3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5" s="308"/>
      <c r="R285" s="308"/>
      <c r="S285" s="308"/>
      <c r="T285" s="309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7"/>
        <v>0</v>
      </c>
      <c r="Z285" s="41">
        <f t="shared" si="22"/>
        <v>0</v>
      </c>
      <c r="AA285" s="68" t="s">
        <v>46</v>
      </c>
      <c r="AB285" s="69" t="s">
        <v>46</v>
      </c>
      <c r="AC285" s="289" t="s">
        <v>377</v>
      </c>
      <c r="AG285" s="81"/>
      <c r="AJ285" s="87" t="s">
        <v>88</v>
      </c>
      <c r="AK285" s="87">
        <v>1</v>
      </c>
      <c r="BB285" s="290" t="s">
        <v>116</v>
      </c>
      <c r="BM285" s="81">
        <f t="shared" si="18"/>
        <v>0</v>
      </c>
      <c r="BN285" s="81">
        <f t="shared" si="19"/>
        <v>0</v>
      </c>
      <c r="BO285" s="81">
        <f t="shared" si="20"/>
        <v>0</v>
      </c>
      <c r="BP285" s="81">
        <f t="shared" si="21"/>
        <v>0</v>
      </c>
    </row>
    <row r="286" spans="1:68" ht="27" customHeight="1" x14ac:dyDescent="0.25">
      <c r="A286" s="63" t="s">
        <v>391</v>
      </c>
      <c r="B286" s="63" t="s">
        <v>392</v>
      </c>
      <c r="C286" s="36">
        <v>4301135304</v>
      </c>
      <c r="D286" s="306">
        <v>4640242181240</v>
      </c>
      <c r="E286" s="306"/>
      <c r="F286" s="62">
        <v>0.3</v>
      </c>
      <c r="G286" s="37">
        <v>9</v>
      </c>
      <c r="H286" s="62">
        <v>2.7</v>
      </c>
      <c r="I286" s="62">
        <v>2.88</v>
      </c>
      <c r="J286" s="37">
        <v>126</v>
      </c>
      <c r="K286" s="37" t="s">
        <v>117</v>
      </c>
      <c r="L286" s="37" t="s">
        <v>87</v>
      </c>
      <c r="M286" s="38" t="s">
        <v>85</v>
      </c>
      <c r="N286" s="38"/>
      <c r="O286" s="37">
        <v>180</v>
      </c>
      <c r="P286" s="3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6" s="308"/>
      <c r="R286" s="308"/>
      <c r="S286" s="308"/>
      <c r="T286" s="309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7"/>
        <v>0</v>
      </c>
      <c r="Z286" s="41">
        <f t="shared" si="22"/>
        <v>0</v>
      </c>
      <c r="AA286" s="68" t="s">
        <v>46</v>
      </c>
      <c r="AB286" s="69" t="s">
        <v>46</v>
      </c>
      <c r="AC286" s="291" t="s">
        <v>377</v>
      </c>
      <c r="AG286" s="81"/>
      <c r="AJ286" s="87" t="s">
        <v>88</v>
      </c>
      <c r="AK286" s="87">
        <v>1</v>
      </c>
      <c r="BB286" s="292" t="s">
        <v>116</v>
      </c>
      <c r="BM286" s="81">
        <f t="shared" si="18"/>
        <v>0</v>
      </c>
      <c r="BN286" s="81">
        <f t="shared" si="19"/>
        <v>0</v>
      </c>
      <c r="BO286" s="81">
        <f t="shared" si="20"/>
        <v>0</v>
      </c>
      <c r="BP286" s="81">
        <f t="shared" si="21"/>
        <v>0</v>
      </c>
    </row>
    <row r="287" spans="1:68" ht="27" customHeight="1" x14ac:dyDescent="0.25">
      <c r="A287" s="63" t="s">
        <v>393</v>
      </c>
      <c r="B287" s="63" t="s">
        <v>394</v>
      </c>
      <c r="C287" s="36">
        <v>4301135610</v>
      </c>
      <c r="D287" s="306">
        <v>4640242181318</v>
      </c>
      <c r="E287" s="306"/>
      <c r="F287" s="62">
        <v>0.3</v>
      </c>
      <c r="G287" s="37">
        <v>9</v>
      </c>
      <c r="H287" s="62">
        <v>2.7</v>
      </c>
      <c r="I287" s="62">
        <v>2.988</v>
      </c>
      <c r="J287" s="37">
        <v>126</v>
      </c>
      <c r="K287" s="37" t="s">
        <v>117</v>
      </c>
      <c r="L287" s="37" t="s">
        <v>87</v>
      </c>
      <c r="M287" s="38" t="s">
        <v>85</v>
      </c>
      <c r="N287" s="38"/>
      <c r="O287" s="37">
        <v>180</v>
      </c>
      <c r="P287" s="3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7" s="308"/>
      <c r="R287" s="308"/>
      <c r="S287" s="308"/>
      <c r="T287" s="309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7"/>
        <v>0</v>
      </c>
      <c r="Z287" s="41">
        <f t="shared" si="22"/>
        <v>0</v>
      </c>
      <c r="AA287" s="68" t="s">
        <v>46</v>
      </c>
      <c r="AB287" s="69" t="s">
        <v>46</v>
      </c>
      <c r="AC287" s="293" t="s">
        <v>380</v>
      </c>
      <c r="AG287" s="81"/>
      <c r="AJ287" s="87" t="s">
        <v>88</v>
      </c>
      <c r="AK287" s="87">
        <v>1</v>
      </c>
      <c r="BB287" s="294" t="s">
        <v>116</v>
      </c>
      <c r="BM287" s="81">
        <f t="shared" si="18"/>
        <v>0</v>
      </c>
      <c r="BN287" s="81">
        <f t="shared" si="19"/>
        <v>0</v>
      </c>
      <c r="BO287" s="81">
        <f t="shared" si="20"/>
        <v>0</v>
      </c>
      <c r="BP287" s="81">
        <f t="shared" si="21"/>
        <v>0</v>
      </c>
    </row>
    <row r="288" spans="1:68" ht="27" customHeight="1" x14ac:dyDescent="0.25">
      <c r="A288" s="63" t="s">
        <v>395</v>
      </c>
      <c r="B288" s="63" t="s">
        <v>396</v>
      </c>
      <c r="C288" s="36">
        <v>4301135306</v>
      </c>
      <c r="D288" s="306">
        <v>4640242181387</v>
      </c>
      <c r="E288" s="306"/>
      <c r="F288" s="62">
        <v>0.3</v>
      </c>
      <c r="G288" s="37">
        <v>9</v>
      </c>
      <c r="H288" s="62">
        <v>2.7</v>
      </c>
      <c r="I288" s="62">
        <v>2.8450000000000002</v>
      </c>
      <c r="J288" s="37">
        <v>234</v>
      </c>
      <c r="K288" s="37" t="s">
        <v>162</v>
      </c>
      <c r="L288" s="37" t="s">
        <v>87</v>
      </c>
      <c r="M288" s="38" t="s">
        <v>85</v>
      </c>
      <c r="N288" s="38"/>
      <c r="O288" s="37">
        <v>180</v>
      </c>
      <c r="P288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8" s="308"/>
      <c r="R288" s="308"/>
      <c r="S288" s="308"/>
      <c r="T288" s="309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7"/>
        <v>0</v>
      </c>
      <c r="Z288" s="41">
        <f>IFERROR(IF(X288="","",X288*0.00502),"")</f>
        <v>0</v>
      </c>
      <c r="AA288" s="68" t="s">
        <v>46</v>
      </c>
      <c r="AB288" s="69" t="s">
        <v>46</v>
      </c>
      <c r="AC288" s="295" t="s">
        <v>377</v>
      </c>
      <c r="AG288" s="81"/>
      <c r="AJ288" s="87" t="s">
        <v>88</v>
      </c>
      <c r="AK288" s="87">
        <v>1</v>
      </c>
      <c r="BB288" s="296" t="s">
        <v>116</v>
      </c>
      <c r="BM288" s="81">
        <f t="shared" si="18"/>
        <v>0</v>
      </c>
      <c r="BN288" s="81">
        <f t="shared" si="19"/>
        <v>0</v>
      </c>
      <c r="BO288" s="81">
        <f t="shared" si="20"/>
        <v>0</v>
      </c>
      <c r="BP288" s="81">
        <f t="shared" si="21"/>
        <v>0</v>
      </c>
    </row>
    <row r="289" spans="1:34" x14ac:dyDescent="0.2">
      <c r="A289" s="303"/>
      <c r="B289" s="303"/>
      <c r="C289" s="303"/>
      <c r="D289" s="303"/>
      <c r="E289" s="303"/>
      <c r="F289" s="303"/>
      <c r="G289" s="303"/>
      <c r="H289" s="303"/>
      <c r="I289" s="303"/>
      <c r="J289" s="303"/>
      <c r="K289" s="303"/>
      <c r="L289" s="303"/>
      <c r="M289" s="303"/>
      <c r="N289" s="303"/>
      <c r="O289" s="316"/>
      <c r="P289" s="313" t="s">
        <v>40</v>
      </c>
      <c r="Q289" s="314"/>
      <c r="R289" s="314"/>
      <c r="S289" s="314"/>
      <c r="T289" s="314"/>
      <c r="U289" s="314"/>
      <c r="V289" s="315"/>
      <c r="W289" s="42" t="s">
        <v>39</v>
      </c>
      <c r="X289" s="43">
        <f>IFERROR(SUM(X279:X288),"0")</f>
        <v>0</v>
      </c>
      <c r="Y289" s="43">
        <f>IFERROR(SUM(Y279:Y288),"0")</f>
        <v>0</v>
      </c>
      <c r="Z289" s="43">
        <f>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34" x14ac:dyDescent="0.2">
      <c r="A290" s="303"/>
      <c r="B290" s="303"/>
      <c r="C290" s="303"/>
      <c r="D290" s="303"/>
      <c r="E290" s="303"/>
      <c r="F290" s="303"/>
      <c r="G290" s="303"/>
      <c r="H290" s="303"/>
      <c r="I290" s="303"/>
      <c r="J290" s="303"/>
      <c r="K290" s="303"/>
      <c r="L290" s="303"/>
      <c r="M290" s="303"/>
      <c r="N290" s="303"/>
      <c r="O290" s="316"/>
      <c r="P290" s="313" t="s">
        <v>40</v>
      </c>
      <c r="Q290" s="314"/>
      <c r="R290" s="314"/>
      <c r="S290" s="314"/>
      <c r="T290" s="314"/>
      <c r="U290" s="314"/>
      <c r="V290" s="315"/>
      <c r="W290" s="42" t="s">
        <v>0</v>
      </c>
      <c r="X290" s="43">
        <f>IFERROR(SUMPRODUCT(X279:X288*H279:H288),"0")</f>
        <v>0</v>
      </c>
      <c r="Y290" s="43">
        <f>IFERROR(SUMPRODUCT(Y279:Y288*H279:H288),"0")</f>
        <v>0</v>
      </c>
      <c r="Z290" s="42"/>
      <c r="AA290" s="67"/>
      <c r="AB290" s="67"/>
      <c r="AC290" s="67"/>
    </row>
    <row r="291" spans="1:34" ht="15" customHeight="1" x14ac:dyDescent="0.2">
      <c r="A291" s="303"/>
      <c r="B291" s="303"/>
      <c r="C291" s="303"/>
      <c r="D291" s="303"/>
      <c r="E291" s="303"/>
      <c r="F291" s="303"/>
      <c r="G291" s="303"/>
      <c r="H291" s="303"/>
      <c r="I291" s="303"/>
      <c r="J291" s="303"/>
      <c r="K291" s="303"/>
      <c r="L291" s="303"/>
      <c r="M291" s="303"/>
      <c r="N291" s="303"/>
      <c r="O291" s="304"/>
      <c r="P291" s="300" t="s">
        <v>33</v>
      </c>
      <c r="Q291" s="301"/>
      <c r="R291" s="301"/>
      <c r="S291" s="301"/>
      <c r="T291" s="301"/>
      <c r="U291" s="301"/>
      <c r="V291" s="302"/>
      <c r="W291" s="42" t="s">
        <v>0</v>
      </c>
      <c r="X291" s="43">
        <f>IFERROR(X31+X37+X44+X50+X58+X63+X68+X74+X80+X85+X91+X102+X108+X120+X124+X128+X136+X142+X148+X155+X161+X166+X171+X177+X183+X189+X194+X204+X210+X216+X222+X227+X232+X238+X244+X250+X254+X260+X267+X271+X277+X290,"0")</f>
        <v>0</v>
      </c>
      <c r="Y291" s="43">
        <f>IFERROR(Y31+Y37+Y44+Y50+Y58+Y63+Y68+Y74+Y80+Y85+Y91+Y102+Y108+Y120+Y124+Y128+Y136+Y142+Y148+Y155+Y161+Y166+Y171+Y177+Y183+Y189+Y194+Y204+Y210+Y216+Y222+Y227+Y232+Y238+Y244+Y250+Y254+Y260+Y267+Y271+Y277+Y290,"0")</f>
        <v>0</v>
      </c>
      <c r="Z291" s="42"/>
      <c r="AA291" s="67"/>
      <c r="AB291" s="67"/>
      <c r="AC291" s="67"/>
    </row>
    <row r="292" spans="1:34" x14ac:dyDescent="0.2">
      <c r="A292" s="303"/>
      <c r="B292" s="303"/>
      <c r="C292" s="303"/>
      <c r="D292" s="303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4"/>
      <c r="P292" s="300" t="s">
        <v>34</v>
      </c>
      <c r="Q292" s="301"/>
      <c r="R292" s="301"/>
      <c r="S292" s="301"/>
      <c r="T292" s="301"/>
      <c r="U292" s="301"/>
      <c r="V292" s="302"/>
      <c r="W292" s="42" t="s">
        <v>0</v>
      </c>
      <c r="X292" s="43">
        <f>IFERROR(SUM(BM22:BM288),"0")</f>
        <v>0</v>
      </c>
      <c r="Y292" s="43">
        <f>IFERROR(SUM(BN22:BN288),"0")</f>
        <v>0</v>
      </c>
      <c r="Z292" s="42"/>
      <c r="AA292" s="67"/>
      <c r="AB292" s="67"/>
      <c r="AC292" s="67"/>
    </row>
    <row r="293" spans="1:34" x14ac:dyDescent="0.2">
      <c r="A293" s="303"/>
      <c r="B293" s="303"/>
      <c r="C293" s="303"/>
      <c r="D293" s="303"/>
      <c r="E293" s="303"/>
      <c r="F293" s="303"/>
      <c r="G293" s="303"/>
      <c r="H293" s="303"/>
      <c r="I293" s="303"/>
      <c r="J293" s="303"/>
      <c r="K293" s="303"/>
      <c r="L293" s="303"/>
      <c r="M293" s="303"/>
      <c r="N293" s="303"/>
      <c r="O293" s="304"/>
      <c r="P293" s="300" t="s">
        <v>35</v>
      </c>
      <c r="Q293" s="301"/>
      <c r="R293" s="301"/>
      <c r="S293" s="301"/>
      <c r="T293" s="301"/>
      <c r="U293" s="301"/>
      <c r="V293" s="302"/>
      <c r="W293" s="42" t="s">
        <v>20</v>
      </c>
      <c r="X293" s="44">
        <f>ROUNDUP(SUM(BO22:BO288),0)</f>
        <v>0</v>
      </c>
      <c r="Y293" s="44">
        <f>ROUNDUP(SUM(BP22:BP288),0)</f>
        <v>0</v>
      </c>
      <c r="Z293" s="42"/>
      <c r="AA293" s="67"/>
      <c r="AB293" s="67"/>
      <c r="AC293" s="67"/>
    </row>
    <row r="294" spans="1:34" x14ac:dyDescent="0.2">
      <c r="A294" s="303"/>
      <c r="B294" s="303"/>
      <c r="C294" s="303"/>
      <c r="D294" s="303"/>
      <c r="E294" s="303"/>
      <c r="F294" s="303"/>
      <c r="G294" s="303"/>
      <c r="H294" s="303"/>
      <c r="I294" s="303"/>
      <c r="J294" s="303"/>
      <c r="K294" s="303"/>
      <c r="L294" s="303"/>
      <c r="M294" s="303"/>
      <c r="N294" s="303"/>
      <c r="O294" s="304"/>
      <c r="P294" s="300" t="s">
        <v>36</v>
      </c>
      <c r="Q294" s="301"/>
      <c r="R294" s="301"/>
      <c r="S294" s="301"/>
      <c r="T294" s="301"/>
      <c r="U294" s="301"/>
      <c r="V294" s="302"/>
      <c r="W294" s="42" t="s">
        <v>0</v>
      </c>
      <c r="X294" s="43">
        <f>GrossWeightTotal+PalletQtyTotal*25</f>
        <v>0</v>
      </c>
      <c r="Y294" s="43">
        <f>GrossWeightTotalR+PalletQtyTotalR*25</f>
        <v>0</v>
      </c>
      <c r="Z294" s="42"/>
      <c r="AA294" s="67"/>
      <c r="AB294" s="67"/>
      <c r="AC294" s="67"/>
    </row>
    <row r="295" spans="1:34" x14ac:dyDescent="0.2">
      <c r="A295" s="303"/>
      <c r="B295" s="303"/>
      <c r="C295" s="303"/>
      <c r="D295" s="303"/>
      <c r="E295" s="303"/>
      <c r="F295" s="303"/>
      <c r="G295" s="303"/>
      <c r="H295" s="303"/>
      <c r="I295" s="303"/>
      <c r="J295" s="303"/>
      <c r="K295" s="303"/>
      <c r="L295" s="303"/>
      <c r="M295" s="303"/>
      <c r="N295" s="303"/>
      <c r="O295" s="304"/>
      <c r="P295" s="300" t="s">
        <v>37</v>
      </c>
      <c r="Q295" s="301"/>
      <c r="R295" s="301"/>
      <c r="S295" s="301"/>
      <c r="T295" s="301"/>
      <c r="U295" s="301"/>
      <c r="V295" s="302"/>
      <c r="W295" s="42" t="s">
        <v>20</v>
      </c>
      <c r="X295" s="43">
        <f>IFERROR(X30+X36+X43+X49+X57+X62+X67+X73+X79+X84+X90+X101+X107+X119+X123+X127+X135+X141+X147+X154+X160+X165+X170+X176+X182+X188+X193+X203+X209+X215+X221+X226+X231+X237+X243+X249+X253+X259+X266+X270+X276+X289,"0")</f>
        <v>0</v>
      </c>
      <c r="Y295" s="43">
        <f>IFERROR(Y30+Y36+Y43+Y49+Y57+Y62+Y67+Y73+Y79+Y84+Y90+Y101+Y107+Y119+Y123+Y127+Y135+Y141+Y147+Y154+Y160+Y165+Y170+Y176+Y182+Y188+Y193+Y203+Y209+Y215+Y221+Y226+Y231+Y237+Y243+Y249+Y253+Y259+Y266+Y270+Y276+Y289,"0")</f>
        <v>0</v>
      </c>
      <c r="Z295" s="42"/>
      <c r="AA295" s="67"/>
      <c r="AB295" s="67"/>
      <c r="AC295" s="67"/>
    </row>
    <row r="296" spans="1:34" ht="14.25" x14ac:dyDescent="0.2">
      <c r="A296" s="303"/>
      <c r="B296" s="303"/>
      <c r="C296" s="303"/>
      <c r="D296" s="303"/>
      <c r="E296" s="303"/>
      <c r="F296" s="303"/>
      <c r="G296" s="303"/>
      <c r="H296" s="303"/>
      <c r="I296" s="303"/>
      <c r="J296" s="303"/>
      <c r="K296" s="303"/>
      <c r="L296" s="303"/>
      <c r="M296" s="303"/>
      <c r="N296" s="303"/>
      <c r="O296" s="304"/>
      <c r="P296" s="300" t="s">
        <v>38</v>
      </c>
      <c r="Q296" s="301"/>
      <c r="R296" s="301"/>
      <c r="S296" s="301"/>
      <c r="T296" s="301"/>
      <c r="U296" s="301"/>
      <c r="V296" s="302"/>
      <c r="W296" s="45" t="s">
        <v>52</v>
      </c>
      <c r="X296" s="42"/>
      <c r="Y296" s="42"/>
      <c r="Z296" s="42">
        <f>IFERROR(Z30+Z36+Z43+Z49+Z57+Z62+Z67+Z73+Z79+Z84+Z90+Z101+Z107+Z119+Z123+Z127+Z135+Z141+Z147+Z154+Z160+Z165+Z170+Z176+Z182+Z188+Z193+Z203+Z209+Z215+Z221+Z226+Z231+Z237+Z243+Z249+Z253+Z259+Z266+Z270+Z276+Z289,"0")</f>
        <v>0</v>
      </c>
      <c r="AA296" s="67"/>
      <c r="AB296" s="67"/>
      <c r="AC296" s="67"/>
    </row>
    <row r="297" spans="1:34" ht="13.5" thickBot="1" x14ac:dyDescent="0.25"/>
    <row r="298" spans="1:34" ht="27" thickTop="1" thickBot="1" x14ac:dyDescent="0.25">
      <c r="A298" s="46" t="s">
        <v>9</v>
      </c>
      <c r="B298" s="297" t="s">
        <v>80</v>
      </c>
      <c r="C298" s="297" t="s">
        <v>80</v>
      </c>
      <c r="D298" s="297" t="s">
        <v>45</v>
      </c>
      <c r="E298" s="297" t="s">
        <v>45</v>
      </c>
      <c r="F298" s="297" t="s">
        <v>45</v>
      </c>
      <c r="G298" s="297" t="s">
        <v>45</v>
      </c>
      <c r="H298" s="297" t="s">
        <v>45</v>
      </c>
      <c r="I298" s="297" t="s">
        <v>45</v>
      </c>
      <c r="J298" s="297" t="s">
        <v>45</v>
      </c>
      <c r="K298" s="297" t="s">
        <v>45</v>
      </c>
      <c r="L298" s="297" t="s">
        <v>45</v>
      </c>
      <c r="M298" s="297" t="s">
        <v>45</v>
      </c>
      <c r="N298" s="305"/>
      <c r="O298" s="297" t="s">
        <v>45</v>
      </c>
      <c r="P298" s="297" t="s">
        <v>45</v>
      </c>
      <c r="Q298" s="297" t="s">
        <v>45</v>
      </c>
      <c r="R298" s="297" t="s">
        <v>45</v>
      </c>
      <c r="S298" s="297" t="s">
        <v>45</v>
      </c>
      <c r="T298" s="297" t="s">
        <v>45</v>
      </c>
      <c r="U298" s="297" t="s">
        <v>45</v>
      </c>
      <c r="V298" s="297" t="s">
        <v>280</v>
      </c>
      <c r="W298" s="297" t="s">
        <v>280</v>
      </c>
      <c r="X298" s="297" t="s">
        <v>280</v>
      </c>
      <c r="Y298" s="88" t="s">
        <v>295</v>
      </c>
      <c r="Z298" s="297" t="s">
        <v>311</v>
      </c>
      <c r="AA298" s="297" t="s">
        <v>311</v>
      </c>
      <c r="AB298" s="297" t="s">
        <v>311</v>
      </c>
      <c r="AC298" s="297" t="s">
        <v>311</v>
      </c>
      <c r="AD298" s="88" t="s">
        <v>340</v>
      </c>
      <c r="AE298" s="88" t="s">
        <v>345</v>
      </c>
      <c r="AF298" s="88" t="s">
        <v>348</v>
      </c>
      <c r="AG298" s="88" t="s">
        <v>356</v>
      </c>
      <c r="AH298" s="88" t="s">
        <v>281</v>
      </c>
    </row>
    <row r="299" spans="1:34" ht="14.25" customHeight="1" thickTop="1" x14ac:dyDescent="0.2">
      <c r="A299" s="298" t="s">
        <v>10</v>
      </c>
      <c r="B299" s="297" t="s">
        <v>80</v>
      </c>
      <c r="C299" s="297" t="s">
        <v>105</v>
      </c>
      <c r="D299" s="297" t="s">
        <v>111</v>
      </c>
      <c r="E299" s="297" t="s">
        <v>122</v>
      </c>
      <c r="F299" s="297" t="s">
        <v>129</v>
      </c>
      <c r="G299" s="297" t="s">
        <v>140</v>
      </c>
      <c r="H299" s="297" t="s">
        <v>158</v>
      </c>
      <c r="I299" s="297" t="s">
        <v>165</v>
      </c>
      <c r="J299" s="297" t="s">
        <v>169</v>
      </c>
      <c r="K299" s="297" t="s">
        <v>177</v>
      </c>
      <c r="L299" s="297" t="s">
        <v>194</v>
      </c>
      <c r="M299" s="297" t="s">
        <v>200</v>
      </c>
      <c r="N299" s="1"/>
      <c r="O299" s="297" t="s">
        <v>228</v>
      </c>
      <c r="P299" s="297" t="s">
        <v>246</v>
      </c>
      <c r="Q299" s="297" t="s">
        <v>252</v>
      </c>
      <c r="R299" s="297" t="s">
        <v>261</v>
      </c>
      <c r="S299" s="297" t="s">
        <v>266</v>
      </c>
      <c r="T299" s="297" t="s">
        <v>270</v>
      </c>
      <c r="U299" s="297" t="s">
        <v>273</v>
      </c>
      <c r="V299" s="297" t="s">
        <v>281</v>
      </c>
      <c r="W299" s="297" t="s">
        <v>285</v>
      </c>
      <c r="X299" s="297" t="s">
        <v>292</v>
      </c>
      <c r="Y299" s="297" t="s">
        <v>296</v>
      </c>
      <c r="Z299" s="297" t="s">
        <v>312</v>
      </c>
      <c r="AA299" s="297" t="s">
        <v>325</v>
      </c>
      <c r="AB299" s="297" t="s">
        <v>332</v>
      </c>
      <c r="AC299" s="297" t="s">
        <v>336</v>
      </c>
      <c r="AD299" s="297" t="s">
        <v>341</v>
      </c>
      <c r="AE299" s="297" t="s">
        <v>292</v>
      </c>
      <c r="AF299" s="297" t="s">
        <v>349</v>
      </c>
      <c r="AG299" s="297" t="s">
        <v>356</v>
      </c>
      <c r="AH299" s="297" t="s">
        <v>281</v>
      </c>
    </row>
    <row r="300" spans="1:34" ht="13.5" thickBot="1" x14ac:dyDescent="0.25">
      <c r="A300" s="299"/>
      <c r="B300" s="297"/>
      <c r="C300" s="297"/>
      <c r="D300" s="297"/>
      <c r="E300" s="297"/>
      <c r="F300" s="297"/>
      <c r="G300" s="297"/>
      <c r="H300" s="297"/>
      <c r="I300" s="297"/>
      <c r="J300" s="297"/>
      <c r="K300" s="297"/>
      <c r="L300" s="297"/>
      <c r="M300" s="297"/>
      <c r="N300" s="1"/>
      <c r="O300" s="297"/>
      <c r="P300" s="297"/>
      <c r="Q300" s="297"/>
      <c r="R300" s="297"/>
      <c r="S300" s="297"/>
      <c r="T300" s="297"/>
      <c r="U300" s="297"/>
      <c r="V300" s="297"/>
      <c r="W300" s="297"/>
      <c r="X300" s="297"/>
      <c r="Y300" s="297"/>
      <c r="Z300" s="297"/>
      <c r="AA300" s="297"/>
      <c r="AB300" s="297"/>
      <c r="AC300" s="297"/>
      <c r="AD300" s="297"/>
      <c r="AE300" s="297"/>
      <c r="AF300" s="297"/>
      <c r="AG300" s="297"/>
      <c r="AH300" s="297"/>
    </row>
    <row r="301" spans="1:34" ht="18" thickTop="1" thickBot="1" x14ac:dyDescent="0.25">
      <c r="A301" s="46" t="s">
        <v>13</v>
      </c>
      <c r="B301" s="52">
        <f>IFERROR(X22*H22,"0")+IFERROR(X23*H23,"0")+IFERROR(X24*H24,"0")+IFERROR(X25*H25,"0")+IFERROR(X26*H26,"0")+IFERROR(X27*H27,"0")+IFERROR(X28*H28,"0")+IFERROR(X29*H29,"0")</f>
        <v>0</v>
      </c>
      <c r="C301" s="52">
        <f>IFERROR(X34*H34,"0")+IFERROR(X35*H35,"0")</f>
        <v>0</v>
      </c>
      <c r="D301" s="52">
        <f>IFERROR(X41*H41,"0")+IFERROR(X42*H42,"0")</f>
        <v>0</v>
      </c>
      <c r="E301" s="52">
        <f>IFERROR(X47*H47,"0")+IFERROR(X48*H48,"0")</f>
        <v>0</v>
      </c>
      <c r="F301" s="52">
        <f>IFERROR(X53*H53,"0")+IFERROR(X54*H54,"0")+IFERROR(X55*H55,"0")+IFERROR(X56*H56,"0")</f>
        <v>0</v>
      </c>
      <c r="G301" s="52">
        <f>IFERROR(X61*H61,"0")+IFERROR(X65*H65,"0")+IFERROR(X66*H66,"0")+IFERROR(X70*H70,"0")+IFERROR(X71*H71,"0")+IFERROR(X72*H72,"0")</f>
        <v>0</v>
      </c>
      <c r="H301" s="52">
        <f>IFERROR(X77*H77,"0")+IFERROR(X78*H78,"0")</f>
        <v>0</v>
      </c>
      <c r="I301" s="52">
        <f>IFERROR(X83*H83,"0")</f>
        <v>0</v>
      </c>
      <c r="J301" s="52">
        <f>IFERROR(X88*H88,"0")+IFERROR(X89*H89,"0")</f>
        <v>0</v>
      </c>
      <c r="K301" s="52">
        <f>IFERROR(X94*H94,"0")+IFERROR(X95*H95,"0")+IFERROR(X96*H96,"0")+IFERROR(X97*H97,"0")+IFERROR(X98*H98,"0")+IFERROR(X99*H99,"0")+IFERROR(X100*H100,"0")</f>
        <v>0</v>
      </c>
      <c r="L301" s="52">
        <f>IFERROR(X105*H105,"0")+IFERROR(X106*H106,"0")</f>
        <v>0</v>
      </c>
      <c r="M301" s="52">
        <f>IFERROR(X111*H111,"0")+IFERROR(X112*H112,"0")+IFERROR(X113*H113,"0")+IFERROR(X114*H114,"0")+IFERROR(X115*H115,"0")+IFERROR(X116*H116,"0")+IFERROR(X117*H117,"0")+IFERROR(X118*H118,"0")+IFERROR(X122*H122,"0")+IFERROR(X126*H126,"0")</f>
        <v>0</v>
      </c>
      <c r="N301" s="1"/>
      <c r="O301" s="52">
        <f>IFERROR(X131*H131,"0")+IFERROR(X132*H132,"0")+IFERROR(X133*H133,"0")+IFERROR(X134*H134,"0")+IFERROR(X138*H138,"0")+IFERROR(X139*H139,"0")+IFERROR(X140*H140,"0")</f>
        <v>0</v>
      </c>
      <c r="P301" s="52">
        <f>IFERROR(X145*H145,"0")+IFERROR(X146*H146,"0")</f>
        <v>0</v>
      </c>
      <c r="Q301" s="52">
        <f>IFERROR(X151*H151,"0")+IFERROR(X152*H152,"0")+IFERROR(X153*H153,"0")</f>
        <v>0</v>
      </c>
      <c r="R301" s="52">
        <f>IFERROR(X158*H158,"0")+IFERROR(X159*H159,"0")</f>
        <v>0</v>
      </c>
      <c r="S301" s="52">
        <f>IFERROR(X164*H164,"0")</f>
        <v>0</v>
      </c>
      <c r="T301" s="52">
        <f>IFERROR(X169*H169,"0")</f>
        <v>0</v>
      </c>
      <c r="U301" s="52">
        <f>IFERROR(X174*H174,"0")+IFERROR(X175*H175,"0")</f>
        <v>0</v>
      </c>
      <c r="V301" s="52">
        <f>IFERROR(X181*H181,"0")</f>
        <v>0</v>
      </c>
      <c r="W301" s="52">
        <f>IFERROR(X186*H186,"0")+IFERROR(X187*H187,"0")</f>
        <v>0</v>
      </c>
      <c r="X301" s="52">
        <f>IFERROR(X192*H192,"0")</f>
        <v>0</v>
      </c>
      <c r="Y301" s="52">
        <f>IFERROR(X198*H198,"0")+IFERROR(X199*H199,"0")+IFERROR(X200*H200,"0")+IFERROR(X201*H201,"0")+IFERROR(X202*H202,"0")</f>
        <v>0</v>
      </c>
      <c r="Z301" s="52">
        <f>IFERROR(X208*H208,"0")+IFERROR(X212*H212,"0")+IFERROR(X213*H213,"0")+IFERROR(X214*H214,"0")</f>
        <v>0</v>
      </c>
      <c r="AA301" s="52">
        <f>IFERROR(X219*H219,"0")+IFERROR(X220*H220,"0")</f>
        <v>0</v>
      </c>
      <c r="AB301" s="52">
        <f>IFERROR(X225*H225,"0")</f>
        <v>0</v>
      </c>
      <c r="AC301" s="52">
        <f>IFERROR(X230*H230,"0")</f>
        <v>0</v>
      </c>
      <c r="AD301" s="52">
        <f>IFERROR(X236*H236,"0")</f>
        <v>0</v>
      </c>
      <c r="AE301" s="52">
        <f>IFERROR(X242*H242,"0")</f>
        <v>0</v>
      </c>
      <c r="AF301" s="52">
        <f>IFERROR(X248*H248,"0")+IFERROR(X252*H252,"0")</f>
        <v>0</v>
      </c>
      <c r="AG301" s="52">
        <f>IFERROR(X258*H258,"0")</f>
        <v>0</v>
      </c>
      <c r="AH301" s="52">
        <f>IFERROR(X264*H264,"0")+IFERROR(X265*H265,"0")+IFERROR(X269*H269,"0")+IFERROR(X273*H273,"0")+IFERROR(X274*H274,"0")+IFERROR(X275*H275,"0")+IFERROR(X279*H279,"0")+IFERROR(X280*H280,"0")+IFERROR(X281*H281,"0")+IFERROR(X282*H282,"0")+IFERROR(X283*H283,"0")+IFERROR(X284*H284,"0")+IFERROR(X285*H285,"0")+IFERROR(X286*H286,"0")+IFERROR(X287*H287,"0")+IFERROR(X288*H288,"0")</f>
        <v>0</v>
      </c>
    </row>
    <row r="302" spans="1:34" ht="13.5" thickTop="1" x14ac:dyDescent="0.2">
      <c r="C302" s="1"/>
    </row>
    <row r="303" spans="1:34" ht="19.5" customHeight="1" x14ac:dyDescent="0.2">
      <c r="A303" s="70" t="s">
        <v>62</v>
      </c>
      <c r="B303" s="70" t="s">
        <v>63</v>
      </c>
      <c r="C303" s="70" t="s">
        <v>65</v>
      </c>
    </row>
    <row r="304" spans="1:34" x14ac:dyDescent="0.2">
      <c r="A304" s="71">
        <f>SUMPRODUCT(--(BB:BB="ЗПФ"),--(W:W="кор"),H:H,Y:Y)+SUMPRODUCT(--(BB:BB="ЗПФ"),--(W:W="кг"),Y:Y)</f>
        <v>0</v>
      </c>
      <c r="B304" s="72">
        <f>SUMPRODUCT(--(BB:BB="ПГП"),--(W:W="кор"),H:H,Y:Y)+SUMPRODUCT(--(BB:BB="ПГП"),--(W:W="кг"),Y:Y)</f>
        <v>0</v>
      </c>
      <c r="C304" s="72">
        <f>SUMPRODUCT(--(BB:BB="КИЗ"),--(W:W="кор"),H:H,Y:Y)+SUMPRODUCT(--(BB:BB="КИЗ"),--(W:W="кг"),Y:Y)</f>
        <v>0</v>
      </c>
    </row>
  </sheetData>
  <sheetProtection algorithmName="SHA-512" hashValue="3dSGb1U4acB8qJLLbwEqhncaOxzP/fQt6+v+4+T2IF6fXU0AuyYBNndsIsm7/5VRYjFzV+hzBC9zE5mw3tHFaQ==" saltValue="gG1iAOq96Y95GEQAX2Ups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2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P107:V107"/>
    <mergeCell ref="A107:O108"/>
    <mergeCell ref="P108:V108"/>
    <mergeCell ref="A109:Z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A179:Z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P276:V276"/>
    <mergeCell ref="A276:O277"/>
    <mergeCell ref="P277:V277"/>
    <mergeCell ref="A278:Z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P291:V291"/>
    <mergeCell ref="A291:O296"/>
    <mergeCell ref="P292:V292"/>
    <mergeCell ref="P293:V293"/>
    <mergeCell ref="P294:V294"/>
    <mergeCell ref="P295:V295"/>
    <mergeCell ref="P296:V296"/>
    <mergeCell ref="B298:C298"/>
    <mergeCell ref="D298:U298"/>
    <mergeCell ref="V298:X298"/>
    <mergeCell ref="Z298:AC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W299:W300"/>
    <mergeCell ref="X299:X300"/>
    <mergeCell ref="AH299:AH300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4:X288 X279 X264:X265 X258 X252 X248 X236 X230 X219:X220 X212:X213 X201:X202 X192 X181 X174:X175 X158 X153 X151 X138:X140 X131:X134 X126 X122 X115:X116 X112 X106 X99 X96:X97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0:X283 X273:X275 X269 X242 X225 X214 X208 X198:X200 X186:X187 X169 X164 X159 X152 X145:X146 X117:X118 X113:X114 X111 X105 X100 X98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397</v>
      </c>
      <c r="H1" s="9"/>
    </row>
    <row r="3" spans="2:8" x14ac:dyDescent="0.2">
      <c r="B3" s="53" t="s">
        <v>398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400</v>
      </c>
      <c r="D6" s="53" t="s">
        <v>401</v>
      </c>
      <c r="E6" s="53" t="s">
        <v>46</v>
      </c>
    </row>
    <row r="8" spans="2:8" x14ac:dyDescent="0.2">
      <c r="B8" s="53" t="s">
        <v>79</v>
      </c>
      <c r="C8" s="53" t="s">
        <v>400</v>
      </c>
      <c r="D8" s="53" t="s">
        <v>46</v>
      </c>
      <c r="E8" s="53" t="s">
        <v>46</v>
      </c>
    </row>
    <row r="10" spans="2:8" x14ac:dyDescent="0.2">
      <c r="B10" s="53" t="s">
        <v>402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412</v>
      </c>
      <c r="C20" s="53" t="s">
        <v>46</v>
      </c>
      <c r="D20" s="53" t="s">
        <v>46</v>
      </c>
      <c r="E20" s="53" t="s">
        <v>46</v>
      </c>
    </row>
  </sheetData>
  <sheetProtection algorithmName="SHA-512" hashValue="ao9w85agNTTj2dfQQiFAvFr5INV5Je6KYanNGXK6tWaYwnHZ/qO5vsciHu49eJ5gje/QYbaQ1BPEVqRtqcedHA==" saltValue="JaI1qX8skwJbigB77FBdQ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458</vt:i4>
      </vt:variant>
    </vt:vector>
  </HeadingPairs>
  <TitlesOfParts>
    <vt:vector size="4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2026-08-05T13:53:01Z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