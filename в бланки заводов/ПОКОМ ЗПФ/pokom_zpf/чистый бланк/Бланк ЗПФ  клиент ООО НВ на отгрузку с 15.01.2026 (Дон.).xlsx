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E4A88A5-28E6-4194-82A0-6642529E931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заказа'!$X$266:$X$266</definedName>
    <definedName name="GrossWeightTotalR">'Бланк заказа'!$Y$266:$Y$266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заказа'!$X$267:$X$267</definedName>
    <definedName name="PalletQtyTotalR">'Бланк заказа'!$Y$267:$Y$267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заказа'!$B$210:$B$210</definedName>
    <definedName name="ProductId73">'Бланк заказа'!$B$216:$B$216</definedName>
    <definedName name="ProductId74">'Бланк заказа'!$B$222:$B$222</definedName>
    <definedName name="ProductId75">'Бланк заказа'!$B$228:$B$228</definedName>
    <definedName name="ProductId76">'Бланк заказа'!$B$232:$B$232</definedName>
    <definedName name="ProductId77">'Бланк заказа'!$B$238:$B$238</definedName>
    <definedName name="ProductId78">'Бланк заказа'!$B$239:$B$239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заказа'!$X$210:$X$210</definedName>
    <definedName name="SalesQty73">'Бланк заказа'!$X$216:$X$216</definedName>
    <definedName name="SalesQty74">'Бланк заказа'!$X$222:$X$222</definedName>
    <definedName name="SalesQty75">'Бланк заказа'!$X$228:$X$228</definedName>
    <definedName name="SalesQty76">'Бланк заказа'!$X$232:$X$232</definedName>
    <definedName name="SalesQty77">'Бланк заказа'!$X$238:$X$238</definedName>
    <definedName name="SalesQty78">'Бланк заказа'!$X$239:$X$239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заказа'!$Y$210:$Y$210</definedName>
    <definedName name="SalesRoundBox73">'Бланк заказа'!$Y$216:$Y$216</definedName>
    <definedName name="SalesRoundBox74">'Бланк заказа'!$Y$222:$Y$222</definedName>
    <definedName name="SalesRoundBox75">'Бланк заказа'!$Y$228:$Y$228</definedName>
    <definedName name="SalesRoundBox76">'Бланк заказа'!$Y$232:$Y$232</definedName>
    <definedName name="SalesRoundBox77">'Бланк заказа'!$Y$238:$Y$238</definedName>
    <definedName name="SalesRoundBox78">'Бланк заказа'!$Y$239:$Y$239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заказа'!$W$210:$W$210</definedName>
    <definedName name="UnitOfMeasure73">'Бланк заказа'!$W$216:$W$216</definedName>
    <definedName name="UnitOfMeasure74">'Бланк заказа'!$W$222:$W$222</definedName>
    <definedName name="UnitOfMeasure75">'Бланк заказа'!$W$228:$W$228</definedName>
    <definedName name="UnitOfMeasure76">'Бланк заказа'!$W$232:$W$232</definedName>
    <definedName name="UnitOfMeasure77">'Бланк заказа'!$W$238:$W$238</definedName>
    <definedName name="UnitOfMeasure78">'Бланк заказа'!$W$239:$W$239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5" i="2" l="1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X264" i="2"/>
  <c r="X263" i="2"/>
  <c r="BO262" i="2"/>
  <c r="BM262" i="2"/>
  <c r="Z262" i="2"/>
  <c r="Y262" i="2"/>
  <c r="BP262" i="2" s="1"/>
  <c r="P262" i="2"/>
  <c r="BO261" i="2"/>
  <c r="BM261" i="2"/>
  <c r="Z261" i="2"/>
  <c r="Y261" i="2"/>
  <c r="BP261" i="2" s="1"/>
  <c r="P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BO258" i="2"/>
  <c r="BN258" i="2"/>
  <c r="BM258" i="2"/>
  <c r="Z258" i="2"/>
  <c r="Y258" i="2"/>
  <c r="BP258" i="2" s="1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BO255" i="2"/>
  <c r="BM255" i="2"/>
  <c r="Z255" i="2"/>
  <c r="Y255" i="2"/>
  <c r="BP255" i="2" s="1"/>
  <c r="P255" i="2"/>
  <c r="BO254" i="2"/>
  <c r="BM254" i="2"/>
  <c r="Z254" i="2"/>
  <c r="Y254" i="2"/>
  <c r="BP254" i="2" s="1"/>
  <c r="P254" i="2"/>
  <c r="BO253" i="2"/>
  <c r="BM253" i="2"/>
  <c r="Z253" i="2"/>
  <c r="Y253" i="2"/>
  <c r="BP253" i="2" s="1"/>
  <c r="P253" i="2"/>
  <c r="X251" i="2"/>
  <c r="X250" i="2"/>
  <c r="BO249" i="2"/>
  <c r="BM249" i="2"/>
  <c r="Z249" i="2"/>
  <c r="Y249" i="2"/>
  <c r="BP249" i="2" s="1"/>
  <c r="P249" i="2"/>
  <c r="BO248" i="2"/>
  <c r="BM248" i="2"/>
  <c r="Z248" i="2"/>
  <c r="Z250" i="2" s="1"/>
  <c r="Y248" i="2"/>
  <c r="BN248" i="2" s="1"/>
  <c r="P248" i="2"/>
  <c r="BO247" i="2"/>
  <c r="BM247" i="2"/>
  <c r="Z247" i="2"/>
  <c r="Y247" i="2"/>
  <c r="BN247" i="2" s="1"/>
  <c r="P247" i="2"/>
  <c r="X245" i="2"/>
  <c r="Z244" i="2"/>
  <c r="X244" i="2"/>
  <c r="BO243" i="2"/>
  <c r="BM243" i="2"/>
  <c r="Z243" i="2"/>
  <c r="Y243" i="2"/>
  <c r="Y244" i="2" s="1"/>
  <c r="P243" i="2"/>
  <c r="X241" i="2"/>
  <c r="X240" i="2"/>
  <c r="BO239" i="2"/>
  <c r="BM239" i="2"/>
  <c r="Z239" i="2"/>
  <c r="Z240" i="2" s="1"/>
  <c r="Y239" i="2"/>
  <c r="P239" i="2"/>
  <c r="BO238" i="2"/>
  <c r="BM238" i="2"/>
  <c r="Z238" i="2"/>
  <c r="Y238" i="2"/>
  <c r="BP238" i="2" s="1"/>
  <c r="P238" i="2"/>
  <c r="X234" i="2"/>
  <c r="X233" i="2"/>
  <c r="BO232" i="2"/>
  <c r="BM232" i="2"/>
  <c r="Z232" i="2"/>
  <c r="Z233" i="2" s="1"/>
  <c r="Y232" i="2"/>
  <c r="Y234" i="2" s="1"/>
  <c r="P232" i="2"/>
  <c r="X230" i="2"/>
  <c r="Y229" i="2"/>
  <c r="X229" i="2"/>
  <c r="BP228" i="2"/>
  <c r="BO228" i="2"/>
  <c r="BN228" i="2"/>
  <c r="BM228" i="2"/>
  <c r="Z228" i="2"/>
  <c r="Z229" i="2" s="1"/>
  <c r="Y228" i="2"/>
  <c r="Y230" i="2" s="1"/>
  <c r="P228" i="2"/>
  <c r="X224" i="2"/>
  <c r="X223" i="2"/>
  <c r="BO222" i="2"/>
  <c r="BM222" i="2"/>
  <c r="Z222" i="2"/>
  <c r="Z223" i="2" s="1"/>
  <c r="Y222" i="2"/>
  <c r="Y224" i="2" s="1"/>
  <c r="P222" i="2"/>
  <c r="X218" i="2"/>
  <c r="Z217" i="2"/>
  <c r="X217" i="2"/>
  <c r="BO216" i="2"/>
  <c r="BM216" i="2"/>
  <c r="Z216" i="2"/>
  <c r="Y216" i="2"/>
  <c r="Y217" i="2" s="1"/>
  <c r="P216" i="2"/>
  <c r="X212" i="2"/>
  <c r="X211" i="2"/>
  <c r="BO210" i="2"/>
  <c r="BM210" i="2"/>
  <c r="Z210" i="2"/>
  <c r="Y210" i="2"/>
  <c r="BP210" i="2" s="1"/>
  <c r="P210" i="2"/>
  <c r="BO209" i="2"/>
  <c r="BM209" i="2"/>
  <c r="Z209" i="2"/>
  <c r="Y209" i="2"/>
  <c r="Y212" i="2" s="1"/>
  <c r="P209" i="2"/>
  <c r="X206" i="2"/>
  <c r="X205" i="2"/>
  <c r="BO204" i="2"/>
  <c r="BM204" i="2"/>
  <c r="Z204" i="2"/>
  <c r="Z205" i="2" s="1"/>
  <c r="Y204" i="2"/>
  <c r="BP204" i="2" s="1"/>
  <c r="P204" i="2"/>
  <c r="X201" i="2"/>
  <c r="X200" i="2"/>
  <c r="BO199" i="2"/>
  <c r="BM199" i="2"/>
  <c r="Z199" i="2"/>
  <c r="Y199" i="2"/>
  <c r="BP199" i="2" s="1"/>
  <c r="P199" i="2"/>
  <c r="BO198" i="2"/>
  <c r="BM198" i="2"/>
  <c r="Z198" i="2"/>
  <c r="Y198" i="2"/>
  <c r="BN198" i="2" s="1"/>
  <c r="P198" i="2"/>
  <c r="BO197" i="2"/>
  <c r="BM197" i="2"/>
  <c r="Z197" i="2"/>
  <c r="Y197" i="2"/>
  <c r="BN197" i="2" s="1"/>
  <c r="P197" i="2"/>
  <c r="BO196" i="2"/>
  <c r="BM196" i="2"/>
  <c r="Z196" i="2"/>
  <c r="Y196" i="2"/>
  <c r="P196" i="2"/>
  <c r="BO195" i="2"/>
  <c r="BM195" i="2"/>
  <c r="Z195" i="2"/>
  <c r="Y195" i="2"/>
  <c r="BP195" i="2" s="1"/>
  <c r="P195" i="2"/>
  <c r="X193" i="2"/>
  <c r="X192" i="2"/>
  <c r="BO191" i="2"/>
  <c r="BM191" i="2"/>
  <c r="Z191" i="2"/>
  <c r="Z192" i="2" s="1"/>
  <c r="Y191" i="2"/>
  <c r="Y193" i="2" s="1"/>
  <c r="P191" i="2"/>
  <c r="X187" i="2"/>
  <c r="X186" i="2"/>
  <c r="BO185" i="2"/>
  <c r="BM185" i="2"/>
  <c r="Z185" i="2"/>
  <c r="Z186" i="2" s="1"/>
  <c r="Y185" i="2"/>
  <c r="Y187" i="2" s="1"/>
  <c r="X183" i="2"/>
  <c r="X182" i="2"/>
  <c r="BO181" i="2"/>
  <c r="BM181" i="2"/>
  <c r="Z181" i="2"/>
  <c r="Y181" i="2"/>
  <c r="BN181" i="2" s="1"/>
  <c r="P181" i="2"/>
  <c r="BO180" i="2"/>
  <c r="BM180" i="2"/>
  <c r="Z180" i="2"/>
  <c r="Y180" i="2"/>
  <c r="BN180" i="2" s="1"/>
  <c r="P180" i="2"/>
  <c r="BO179" i="2"/>
  <c r="BM179" i="2"/>
  <c r="Z179" i="2"/>
  <c r="Y179" i="2"/>
  <c r="BP179" i="2" s="1"/>
  <c r="P179" i="2"/>
  <c r="BO178" i="2"/>
  <c r="BM178" i="2"/>
  <c r="Z178" i="2"/>
  <c r="Z182" i="2" s="1"/>
  <c r="Y178" i="2"/>
  <c r="BP178" i="2" s="1"/>
  <c r="P178" i="2"/>
  <c r="X174" i="2"/>
  <c r="X173" i="2"/>
  <c r="BO172" i="2"/>
  <c r="BM172" i="2"/>
  <c r="Z172" i="2"/>
  <c r="Y172" i="2"/>
  <c r="P172" i="2"/>
  <c r="BO171" i="2"/>
  <c r="BM171" i="2"/>
  <c r="Z171" i="2"/>
  <c r="Y171" i="2"/>
  <c r="BN171" i="2" s="1"/>
  <c r="P171" i="2"/>
  <c r="X167" i="2"/>
  <c r="X166" i="2"/>
  <c r="BO165" i="2"/>
  <c r="BM165" i="2"/>
  <c r="Z165" i="2"/>
  <c r="Z166" i="2" s="1"/>
  <c r="Y165" i="2"/>
  <c r="Y167" i="2" s="1"/>
  <c r="P165" i="2"/>
  <c r="X162" i="2"/>
  <c r="X161" i="2"/>
  <c r="BO160" i="2"/>
  <c r="BM160" i="2"/>
  <c r="Z160" i="2"/>
  <c r="Z161" i="2" s="1"/>
  <c r="Y160" i="2"/>
  <c r="BN160" i="2" s="1"/>
  <c r="P160" i="2"/>
  <c r="X157" i="2"/>
  <c r="X156" i="2"/>
  <c r="BO155" i="2"/>
  <c r="BM155" i="2"/>
  <c r="Z155" i="2"/>
  <c r="Z156" i="2" s="1"/>
  <c r="Y155" i="2"/>
  <c r="Y156" i="2" s="1"/>
  <c r="P155" i="2"/>
  <c r="X152" i="2"/>
  <c r="X151" i="2"/>
  <c r="BO150" i="2"/>
  <c r="BM150" i="2"/>
  <c r="Z150" i="2"/>
  <c r="Z151" i="2" s="1"/>
  <c r="Y150" i="2"/>
  <c r="BN150" i="2" s="1"/>
  <c r="P150" i="2"/>
  <c r="X147" i="2"/>
  <c r="X146" i="2"/>
  <c r="BO145" i="2"/>
  <c r="BM145" i="2"/>
  <c r="Z145" i="2"/>
  <c r="Y145" i="2"/>
  <c r="BN145" i="2" s="1"/>
  <c r="P145" i="2"/>
  <c r="BO144" i="2"/>
  <c r="BM144" i="2"/>
  <c r="Z144" i="2"/>
  <c r="Y144" i="2"/>
  <c r="Y146" i="2" s="1"/>
  <c r="P144" i="2"/>
  <c r="X141" i="2"/>
  <c r="X140" i="2"/>
  <c r="BO139" i="2"/>
  <c r="BM139" i="2"/>
  <c r="Z139" i="2"/>
  <c r="Y139" i="2"/>
  <c r="BN139" i="2" s="1"/>
  <c r="P139" i="2"/>
  <c r="BO138" i="2"/>
  <c r="BM138" i="2"/>
  <c r="Z138" i="2"/>
  <c r="Y138" i="2"/>
  <c r="Y141" i="2" s="1"/>
  <c r="P138" i="2"/>
  <c r="X135" i="2"/>
  <c r="X134" i="2"/>
  <c r="BO133" i="2"/>
  <c r="BN133" i="2"/>
  <c r="BM133" i="2"/>
  <c r="Z133" i="2"/>
  <c r="Z134" i="2" s="1"/>
  <c r="Y133" i="2"/>
  <c r="BP133" i="2" s="1"/>
  <c r="P133" i="2"/>
  <c r="BO132" i="2"/>
  <c r="BM132" i="2"/>
  <c r="Z132" i="2"/>
  <c r="Y132" i="2"/>
  <c r="BP132" i="2" s="1"/>
  <c r="P132" i="2"/>
  <c r="Y129" i="2"/>
  <c r="X129" i="2"/>
  <c r="Y128" i="2"/>
  <c r="X128" i="2"/>
  <c r="BP127" i="2"/>
  <c r="BO127" i="2"/>
  <c r="BN127" i="2"/>
  <c r="BM127" i="2"/>
  <c r="Z127" i="2"/>
  <c r="Z128" i="2" s="1"/>
  <c r="Y127" i="2"/>
  <c r="P127" i="2"/>
  <c r="X125" i="2"/>
  <c r="X124" i="2"/>
  <c r="BO123" i="2"/>
  <c r="BM123" i="2"/>
  <c r="Z123" i="2"/>
  <c r="Z124" i="2" s="1"/>
  <c r="Y123" i="2"/>
  <c r="Y125" i="2" s="1"/>
  <c r="P123" i="2"/>
  <c r="X121" i="2"/>
  <c r="X120" i="2"/>
  <c r="BP119" i="2"/>
  <c r="BO119" i="2"/>
  <c r="BN119" i="2"/>
  <c r="BM119" i="2"/>
  <c r="Z119" i="2"/>
  <c r="Y119" i="2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X110" i="2"/>
  <c r="X109" i="2"/>
  <c r="BO108" i="2"/>
  <c r="BN108" i="2"/>
  <c r="BM108" i="2"/>
  <c r="Z108" i="2"/>
  <c r="Z109" i="2" s="1"/>
  <c r="Y108" i="2"/>
  <c r="BP108" i="2" s="1"/>
  <c r="P108" i="2"/>
  <c r="BO107" i="2"/>
  <c r="BM107" i="2"/>
  <c r="Z107" i="2"/>
  <c r="Y107" i="2"/>
  <c r="BP107" i="2" s="1"/>
  <c r="P107" i="2"/>
  <c r="X104" i="2"/>
  <c r="X103" i="2"/>
  <c r="BP102" i="2"/>
  <c r="BO102" i="2"/>
  <c r="BN102" i="2"/>
  <c r="BM102" i="2"/>
  <c r="Z102" i="2"/>
  <c r="Y102" i="2"/>
  <c r="P102" i="2"/>
  <c r="BO101" i="2"/>
  <c r="BM101" i="2"/>
  <c r="Z101" i="2"/>
  <c r="Y101" i="2"/>
  <c r="BP101" i="2" s="1"/>
  <c r="P101" i="2"/>
  <c r="BO100" i="2"/>
  <c r="BM100" i="2"/>
  <c r="Z100" i="2"/>
  <c r="Y100" i="2"/>
  <c r="BN100" i="2" s="1"/>
  <c r="P100" i="2"/>
  <c r="BO99" i="2"/>
  <c r="BM99" i="2"/>
  <c r="Z99" i="2"/>
  <c r="Y99" i="2"/>
  <c r="BP99" i="2" s="1"/>
  <c r="P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X94" i="2"/>
  <c r="X93" i="2"/>
  <c r="BO92" i="2"/>
  <c r="BM92" i="2"/>
  <c r="Z92" i="2"/>
  <c r="Y92" i="2"/>
  <c r="BP92" i="2" s="1"/>
  <c r="P92" i="2"/>
  <c r="BO91" i="2"/>
  <c r="BM91" i="2"/>
  <c r="Z91" i="2"/>
  <c r="Y91" i="2"/>
  <c r="BP91" i="2" s="1"/>
  <c r="P91" i="2"/>
  <c r="X88" i="2"/>
  <c r="X87" i="2"/>
  <c r="BO86" i="2"/>
  <c r="BM86" i="2"/>
  <c r="Z86" i="2"/>
  <c r="Z87" i="2" s="1"/>
  <c r="Y86" i="2"/>
  <c r="Y88" i="2" s="1"/>
  <c r="P86" i="2"/>
  <c r="X83" i="2"/>
  <c r="X82" i="2"/>
  <c r="BO81" i="2"/>
  <c r="BM81" i="2"/>
  <c r="Z81" i="2"/>
  <c r="Z82" i="2" s="1"/>
  <c r="Y81" i="2"/>
  <c r="BP81" i="2" s="1"/>
  <c r="P81" i="2"/>
  <c r="BO80" i="2"/>
  <c r="BM80" i="2"/>
  <c r="Z80" i="2"/>
  <c r="Y80" i="2"/>
  <c r="Y82" i="2" s="1"/>
  <c r="P80" i="2"/>
  <c r="X77" i="2"/>
  <c r="X76" i="2"/>
  <c r="BP75" i="2"/>
  <c r="BO75" i="2"/>
  <c r="BN75" i="2"/>
  <c r="BM75" i="2"/>
  <c r="Z75" i="2"/>
  <c r="Y75" i="2"/>
  <c r="P75" i="2"/>
  <c r="BO74" i="2"/>
  <c r="BM74" i="2"/>
  <c r="Z74" i="2"/>
  <c r="Y74" i="2"/>
  <c r="BP74" i="2" s="1"/>
  <c r="P74" i="2"/>
  <c r="BO73" i="2"/>
  <c r="BM73" i="2"/>
  <c r="Z73" i="2"/>
  <c r="Z76" i="2" s="1"/>
  <c r="Y73" i="2"/>
  <c r="BN73" i="2" s="1"/>
  <c r="P73" i="2"/>
  <c r="X71" i="2"/>
  <c r="X70" i="2"/>
  <c r="BO69" i="2"/>
  <c r="BM69" i="2"/>
  <c r="Z69" i="2"/>
  <c r="Y69" i="2"/>
  <c r="BN69" i="2" s="1"/>
  <c r="P69" i="2"/>
  <c r="BO68" i="2"/>
  <c r="BM68" i="2"/>
  <c r="Z68" i="2"/>
  <c r="Z70" i="2" s="1"/>
  <c r="Y68" i="2"/>
  <c r="BP68" i="2" s="1"/>
  <c r="P68" i="2"/>
  <c r="X66" i="2"/>
  <c r="X65" i="2"/>
  <c r="BO64" i="2"/>
  <c r="BM64" i="2"/>
  <c r="Z64" i="2"/>
  <c r="Z65" i="2" s="1"/>
  <c r="Y64" i="2"/>
  <c r="Y65" i="2" s="1"/>
  <c r="P64" i="2"/>
  <c r="X62" i="2"/>
  <c r="X61" i="2"/>
  <c r="BO60" i="2"/>
  <c r="BM60" i="2"/>
  <c r="Z60" i="2"/>
  <c r="Z61" i="2" s="1"/>
  <c r="Y60" i="2"/>
  <c r="Y62" i="2" s="1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BO52" i="2"/>
  <c r="BM52" i="2"/>
  <c r="Z52" i="2"/>
  <c r="Y52" i="2"/>
  <c r="BP52" i="2" s="1"/>
  <c r="P52" i="2"/>
  <c r="X49" i="2"/>
  <c r="X48" i="2"/>
  <c r="BO47" i="2"/>
  <c r="BM47" i="2"/>
  <c r="Z47" i="2"/>
  <c r="Y47" i="2"/>
  <c r="BP47" i="2" s="1"/>
  <c r="P47" i="2"/>
  <c r="BO46" i="2"/>
  <c r="BM46" i="2"/>
  <c r="Z46" i="2"/>
  <c r="Y46" i="2"/>
  <c r="BP46" i="2" s="1"/>
  <c r="P46" i="2"/>
  <c r="BO45" i="2"/>
  <c r="BM45" i="2"/>
  <c r="Z45" i="2"/>
  <c r="Z48" i="2" s="1"/>
  <c r="Y45" i="2"/>
  <c r="P45" i="2"/>
  <c r="X42" i="2"/>
  <c r="X41" i="2"/>
  <c r="BO40" i="2"/>
  <c r="BM40" i="2"/>
  <c r="Z40" i="2"/>
  <c r="Y40" i="2"/>
  <c r="BN40" i="2" s="1"/>
  <c r="P40" i="2"/>
  <c r="BO39" i="2"/>
  <c r="BM39" i="2"/>
  <c r="Z39" i="2"/>
  <c r="Z41" i="2" s="1"/>
  <c r="Y39" i="2"/>
  <c r="P39" i="2"/>
  <c r="X35" i="2"/>
  <c r="X34" i="2"/>
  <c r="BO33" i="2"/>
  <c r="BM33" i="2"/>
  <c r="Z33" i="2"/>
  <c r="Y33" i="2"/>
  <c r="BP33" i="2" s="1"/>
  <c r="P33" i="2"/>
  <c r="BO32" i="2"/>
  <c r="BM32" i="2"/>
  <c r="Z32" i="2"/>
  <c r="Z34" i="2" s="1"/>
  <c r="Y32" i="2"/>
  <c r="BP32" i="2" s="1"/>
  <c r="P32" i="2"/>
  <c r="X29" i="2"/>
  <c r="X28" i="2"/>
  <c r="X269" i="2" s="1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P24" i="2"/>
  <c r="BO23" i="2"/>
  <c r="BM23" i="2"/>
  <c r="Z23" i="2"/>
  <c r="Y23" i="2"/>
  <c r="BN23" i="2" s="1"/>
  <c r="P23" i="2"/>
  <c r="BO22" i="2"/>
  <c r="BM22" i="2"/>
  <c r="Z22" i="2"/>
  <c r="Y22" i="2"/>
  <c r="BN22" i="2" s="1"/>
  <c r="P22" i="2"/>
  <c r="H10" i="2"/>
  <c r="A9" i="2"/>
  <c r="J9" i="2" s="1"/>
  <c r="D7" i="2"/>
  <c r="Q6" i="2"/>
  <c r="P2" i="2"/>
  <c r="Y76" i="2" l="1"/>
  <c r="Y110" i="2"/>
  <c r="BP115" i="2"/>
  <c r="Z28" i="2"/>
  <c r="X267" i="2"/>
  <c r="Y34" i="2"/>
  <c r="BP69" i="2"/>
  <c r="Y70" i="2"/>
  <c r="Y83" i="2"/>
  <c r="Y135" i="2"/>
  <c r="BP150" i="2"/>
  <c r="Y151" i="2"/>
  <c r="BP160" i="2"/>
  <c r="Y161" i="2"/>
  <c r="BP171" i="2"/>
  <c r="Y174" i="2"/>
  <c r="Y206" i="2"/>
  <c r="Y218" i="2"/>
  <c r="Y245" i="2"/>
  <c r="Y251" i="2"/>
  <c r="Z263" i="2"/>
  <c r="BP23" i="2"/>
  <c r="Y29" i="2"/>
  <c r="X266" i="2"/>
  <c r="BN27" i="2"/>
  <c r="X265" i="2"/>
  <c r="BN33" i="2"/>
  <c r="Y35" i="2"/>
  <c r="Y42" i="2"/>
  <c r="Y48" i="2"/>
  <c r="Z56" i="2"/>
  <c r="BN54" i="2"/>
  <c r="Y71" i="2"/>
  <c r="Z93" i="2"/>
  <c r="BN92" i="2"/>
  <c r="Y93" i="2"/>
  <c r="Y94" i="2"/>
  <c r="BN98" i="2"/>
  <c r="Z103" i="2"/>
  <c r="Z270" i="2" s="1"/>
  <c r="Y109" i="2"/>
  <c r="Z120" i="2"/>
  <c r="Y134" i="2"/>
  <c r="Z140" i="2"/>
  <c r="Z146" i="2"/>
  <c r="Y152" i="2"/>
  <c r="Y162" i="2"/>
  <c r="Z173" i="2"/>
  <c r="BN179" i="2"/>
  <c r="BN185" i="2"/>
  <c r="BP185" i="2"/>
  <c r="Y186" i="2"/>
  <c r="Z200" i="2"/>
  <c r="BN195" i="2"/>
  <c r="Y201" i="2"/>
  <c r="BP198" i="2"/>
  <c r="Z211" i="2"/>
  <c r="BN216" i="2"/>
  <c r="BP216" i="2"/>
  <c r="BN238" i="2"/>
  <c r="Y240" i="2"/>
  <c r="BN243" i="2"/>
  <c r="BP243" i="2"/>
  <c r="BN249" i="2"/>
  <c r="Y250" i="2"/>
  <c r="BN255" i="2"/>
  <c r="BN262" i="2"/>
  <c r="X268" i="2"/>
  <c r="Y173" i="2"/>
  <c r="BP180" i="2"/>
  <c r="Y200" i="2"/>
  <c r="BP239" i="2"/>
  <c r="BN253" i="2"/>
  <c r="Y87" i="2"/>
  <c r="BP138" i="2"/>
  <c r="BP196" i="2"/>
  <c r="BN260" i="2"/>
  <c r="BN107" i="2"/>
  <c r="BP145" i="2"/>
  <c r="BP165" i="2"/>
  <c r="BP181" i="2"/>
  <c r="Y211" i="2"/>
  <c r="Y223" i="2"/>
  <c r="Y233" i="2"/>
  <c r="BP248" i="2"/>
  <c r="BN254" i="2"/>
  <c r="BN144" i="2"/>
  <c r="F9" i="2"/>
  <c r="BP55" i="2"/>
  <c r="BP64" i="2"/>
  <c r="BN116" i="2"/>
  <c r="H9" i="2"/>
  <c r="Y28" i="2"/>
  <c r="BP45" i="2"/>
  <c r="Y120" i="2"/>
  <c r="BN209" i="2"/>
  <c r="Y77" i="2"/>
  <c r="BN86" i="2"/>
  <c r="A10" i="2"/>
  <c r="Y104" i="2"/>
  <c r="BN113" i="2"/>
  <c r="BP209" i="2"/>
  <c r="BN239" i="2"/>
  <c r="Y264" i="2"/>
  <c r="F10" i="2"/>
  <c r="Y121" i="2"/>
  <c r="BN138" i="2"/>
  <c r="BN196" i="2"/>
  <c r="Y66" i="2"/>
  <c r="BP247" i="2"/>
  <c r="BP39" i="2"/>
  <c r="BN46" i="2"/>
  <c r="BN165" i="2"/>
  <c r="BN25" i="2"/>
  <c r="BP73" i="2"/>
  <c r="BN117" i="2"/>
  <c r="BN53" i="2"/>
  <c r="BP100" i="2"/>
  <c r="BP155" i="2"/>
  <c r="BN222" i="2"/>
  <c r="BN32" i="2"/>
  <c r="BP80" i="2"/>
  <c r="BN97" i="2"/>
  <c r="BN123" i="2"/>
  <c r="BN132" i="2"/>
  <c r="BN68" i="2"/>
  <c r="Y166" i="2"/>
  <c r="Y241" i="2"/>
  <c r="BP22" i="2"/>
  <c r="BP40" i="2"/>
  <c r="BN47" i="2"/>
  <c r="BN101" i="2"/>
  <c r="Y124" i="2"/>
  <c r="BP139" i="2"/>
  <c r="Y147" i="2"/>
  <c r="Y157" i="2"/>
  <c r="BN178" i="2"/>
  <c r="Y192" i="2"/>
  <c r="BP197" i="2"/>
  <c r="BN204" i="2"/>
  <c r="BN261" i="2"/>
  <c r="Y49" i="2"/>
  <c r="BN64" i="2"/>
  <c r="BN99" i="2"/>
  <c r="Y263" i="2"/>
  <c r="BN52" i="2"/>
  <c r="BN172" i="2"/>
  <c r="BN199" i="2"/>
  <c r="BP24" i="2"/>
  <c r="BN256" i="2"/>
  <c r="BP172" i="2"/>
  <c r="BN39" i="2"/>
  <c r="BP86" i="2"/>
  <c r="Y57" i="2"/>
  <c r="BN155" i="2"/>
  <c r="BN80" i="2"/>
  <c r="BN210" i="2"/>
  <c r="BN232" i="2"/>
  <c r="BN191" i="2"/>
  <c r="BP60" i="2"/>
  <c r="BN74" i="2"/>
  <c r="BP114" i="2"/>
  <c r="BN26" i="2"/>
  <c r="Y61" i="2"/>
  <c r="BN81" i="2"/>
  <c r="BN91" i="2"/>
  <c r="BN118" i="2"/>
  <c r="Y182" i="2"/>
  <c r="Y183" i="2"/>
  <c r="Y205" i="2"/>
  <c r="BN45" i="2"/>
  <c r="BN259" i="2"/>
  <c r="BN24" i="2"/>
  <c r="Y266" i="2" s="1"/>
  <c r="Y103" i="2"/>
  <c r="BP144" i="2"/>
  <c r="Y56" i="2"/>
  <c r="BN257" i="2"/>
  <c r="BN60" i="2"/>
  <c r="BP222" i="2"/>
  <c r="BP232" i="2"/>
  <c r="BP123" i="2"/>
  <c r="BP191" i="2"/>
  <c r="Y41" i="2"/>
  <c r="Y140" i="2"/>
  <c r="Y265" i="2" l="1"/>
  <c r="Y267" i="2"/>
  <c r="Y268" i="2" s="1"/>
  <c r="Y269" i="2"/>
  <c r="C278" i="2" l="1"/>
  <c r="A278" i="2"/>
  <c r="B278" i="2"/>
</calcChain>
</file>

<file path=xl/sharedStrings.xml><?xml version="1.0" encoding="utf-8"?>
<sst xmlns="http://schemas.openxmlformats.org/spreadsheetml/2006/main" count="1629" uniqueCount="390">
  <si>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</si>
  <si>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</si>
  <si>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</si>
  <si>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</si>
  <si>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</si>
  <si>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</si>
  <si>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</si>
  <si>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</si>
  <si>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</si>
  <si>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</si>
  <si>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</si>
  <si>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</si>
  <si>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</si>
  <si>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</si>
  <si>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</si>
  <si>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</si>
  <si>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</si>
  <si>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</si>
  <si>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</si>
  <si>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</si>
  <si>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</si>
  <si>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</si>
  <si>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</si>
  <si>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</si>
  <si>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</si>
  <si>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</si>
  <si>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</si>
  <si>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</si>
  <si>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</si>
  <si>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</si>
  <si>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</si>
  <si>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</si>
  <si>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</si>
  <si>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</si>
  <si>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</si>
  <si>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</si>
  <si>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</si>
  <si>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</si>
  <si>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</si>
  <si>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</si>
  <si>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</si>
  <si>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</si>
  <si>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</si>
  <si>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</si>
  <si>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</si>
  <si>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</si>
  <si>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</si>
  <si>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</si>
  <si>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</si>
  <si>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</si>
  <si>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</si>
  <si>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</si>
  <si>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</si>
  <si>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</si>
  <si>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</si>
  <si>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</si>
  <si>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</si>
  <si>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</si>
  <si>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</si>
  <si>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</si>
  <si>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</si>
  <si>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</si>
  <si>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</si>
  <si>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</si>
  <si>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</si>
  <si>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</si>
  <si>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</si>
  <si>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</si>
  <si>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</si>
  <si>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</si>
  <si>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</si>
  <si>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15.01.2026</t>
  </si>
  <si>
    <t>12.01.2026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</si>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</sst>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3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8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3" t="s">
        <v>26</v>
      </c>
      <c r="E1" s="273"/>
      <c r="F1" s="273"/>
      <c r="G1" s="14" t="s">
        <v>70</v>
      </c>
      <c r="H1" s="273" t="s">
        <v>47</v>
      </c>
      <c r="I1" s="273"/>
      <c r="J1" s="273"/>
      <c r="K1" s="273"/>
      <c r="L1" s="273"/>
      <c r="M1" s="273"/>
      <c r="N1" s="273"/>
      <c r="O1" s="273"/>
      <c r="P1" s="273"/>
      <c r="Q1" s="273"/>
      <c r="R1" s="274" t="s">
        <v>71</v>
      </c>
      <c r="S1" s="275"/>
      <c r="T1" s="27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7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6"/>
      <c r="R2" s="276"/>
      <c r="S2" s="276"/>
      <c r="T2" s="276"/>
      <c r="U2" s="276"/>
      <c r="V2" s="276"/>
      <c r="W2" s="27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76"/>
      <c r="Q3" s="276"/>
      <c r="R3" s="276"/>
      <c r="S3" s="276"/>
      <c r="T3" s="276"/>
      <c r="U3" s="276"/>
      <c r="V3" s="276"/>
      <c r="W3" s="27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77" t="s">
        <v>8</v>
      </c>
      <c r="B5" s="277"/>
      <c r="C5" s="277"/>
      <c r="D5" s="278"/>
      <c r="E5" s="278"/>
      <c r="F5" s="279" t="s">
        <v>14</v>
      </c>
      <c r="G5" s="279"/>
      <c r="H5" s="278"/>
      <c r="I5" s="278"/>
      <c r="J5" s="278"/>
      <c r="K5" s="278"/>
      <c r="L5" s="278"/>
      <c r="M5" s="278"/>
      <c r="N5" s="75"/>
      <c r="P5" s="27" t="s">
        <v>4</v>
      </c>
      <c r="Q5" s="280">
        <v>46041</v>
      </c>
      <c r="R5" s="280"/>
      <c r="T5" s="281" t="s">
        <v>3</v>
      </c>
      <c r="U5" s="282"/>
      <c r="V5" s="283" t="s">
        <v>376</v>
      </c>
      <c r="W5" s="284"/>
      <c r="AB5" s="59"/>
      <c r="AC5" s="59"/>
      <c r="AD5" s="59"/>
      <c r="AE5" s="59"/>
    </row>
    <row r="6" spans="1:32" s="17" customFormat="1" ht="24" customHeight="1" x14ac:dyDescent="0.2">
      <c r="A6" s="277" t="s">
        <v>1</v>
      </c>
      <c r="B6" s="277"/>
      <c r="C6" s="277"/>
      <c r="D6" s="285" t="s">
        <v>79</v>
      </c>
      <c r="E6" s="285"/>
      <c r="F6" s="285"/>
      <c r="G6" s="285"/>
      <c r="H6" s="285"/>
      <c r="I6" s="285"/>
      <c r="J6" s="285"/>
      <c r="K6" s="285"/>
      <c r="L6" s="285"/>
      <c r="M6" s="285"/>
      <c r="N6" s="76"/>
      <c r="P6" s="27" t="s">
        <v>27</v>
      </c>
      <c r="Q6" s="286" t="str">
        <f>IF(Q5=0," ",CHOOSE(WEEKDAY(Q5,2),"Понедельник","Вторник","Среда","Четверг","Пятница","Суббота","Воскресенье"))</f>
        <v>Понедельник</v>
      </c>
      <c r="R6" s="286"/>
      <c r="T6" s="287" t="s">
        <v>5</v>
      </c>
      <c r="U6" s="288"/>
      <c r="V6" s="289" t="s">
        <v>73</v>
      </c>
      <c r="W6" s="29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5" t="str">
        <f>IFERROR(VLOOKUP(DeliveryAddress,Table,3,0),1)</f>
        <v>1</v>
      </c>
      <c r="E7" s="296"/>
      <c r="F7" s="296"/>
      <c r="G7" s="296"/>
      <c r="H7" s="296"/>
      <c r="I7" s="296"/>
      <c r="J7" s="296"/>
      <c r="K7" s="296"/>
      <c r="L7" s="296"/>
      <c r="M7" s="297"/>
      <c r="N7" s="77"/>
      <c r="P7" s="29"/>
      <c r="Q7" s="48"/>
      <c r="R7" s="48"/>
      <c r="T7" s="287"/>
      <c r="U7" s="288"/>
      <c r="V7" s="291"/>
      <c r="W7" s="292"/>
      <c r="AB7" s="59"/>
      <c r="AC7" s="59"/>
      <c r="AD7" s="59"/>
      <c r="AE7" s="59"/>
    </row>
    <row r="8" spans="1:32" s="17" customFormat="1" ht="25.5" customHeight="1" x14ac:dyDescent="0.2">
      <c r="A8" s="298" t="s">
        <v>58</v>
      </c>
      <c r="B8" s="298"/>
      <c r="C8" s="298"/>
      <c r="D8" s="299" t="s">
        <v>80</v>
      </c>
      <c r="E8" s="299"/>
      <c r="F8" s="299"/>
      <c r="G8" s="299"/>
      <c r="H8" s="299"/>
      <c r="I8" s="299"/>
      <c r="J8" s="299"/>
      <c r="K8" s="299"/>
      <c r="L8" s="299"/>
      <c r="M8" s="299"/>
      <c r="N8" s="78"/>
      <c r="P8" s="27" t="s">
        <v>11</v>
      </c>
      <c r="Q8" s="300">
        <v>0.41666666666666669</v>
      </c>
      <c r="R8" s="300"/>
      <c r="T8" s="287"/>
      <c r="U8" s="288"/>
      <c r="V8" s="291"/>
      <c r="W8" s="292"/>
      <c r="AB8" s="59"/>
      <c r="AC8" s="59"/>
      <c r="AD8" s="59"/>
      <c r="AE8" s="59"/>
    </row>
    <row r="9" spans="1:32" s="17" customFormat="1" ht="39.950000000000003" customHeight="1" x14ac:dyDescent="0.2">
      <c r="A9" s="3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1"/>
      <c r="C9" s="301"/>
      <c r="D9" s="302" t="s">
        <v>46</v>
      </c>
      <c r="E9" s="303"/>
      <c r="F9" s="3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1"/>
      <c r="H9" s="304" t="str">
        <f>IF(AND($A$9="Тип доверенности/получателя при получении в адресе перегруза:",$D$9="Разовая доверенность"),"Введите ФИО","")</f>
        <v/>
      </c>
      <c r="I9" s="304"/>
      <c r="J9" s="3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4"/>
      <c r="L9" s="304"/>
      <c r="M9" s="304"/>
      <c r="N9" s="73"/>
      <c r="P9" s="31" t="s">
        <v>15</v>
      </c>
      <c r="Q9" s="305"/>
      <c r="R9" s="305"/>
      <c r="T9" s="287"/>
      <c r="U9" s="288"/>
      <c r="V9" s="293"/>
      <c r="W9" s="29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1"/>
      <c r="C10" s="301"/>
      <c r="D10" s="302"/>
      <c r="E10" s="303"/>
      <c r="F10" s="3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1"/>
      <c r="H10" s="306" t="str">
        <f>IFERROR(VLOOKUP($D$10,Proxy,2,FALSE),"")</f>
        <v/>
      </c>
      <c r="I10" s="306"/>
      <c r="J10" s="306"/>
      <c r="K10" s="306"/>
      <c r="L10" s="306"/>
      <c r="M10" s="306"/>
      <c r="N10" s="74"/>
      <c r="P10" s="31" t="s">
        <v>32</v>
      </c>
      <c r="Q10" s="307"/>
      <c r="R10" s="307"/>
      <c r="U10" s="29" t="s">
        <v>12</v>
      </c>
      <c r="V10" s="308" t="s">
        <v>74</v>
      </c>
      <c r="W10" s="30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0"/>
      <c r="R11" s="310"/>
      <c r="U11" s="29" t="s">
        <v>28</v>
      </c>
      <c r="V11" s="311" t="s">
        <v>55</v>
      </c>
      <c r="W11" s="31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2" t="s">
        <v>75</v>
      </c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2"/>
      <c r="N12" s="79"/>
      <c r="P12" s="27" t="s">
        <v>30</v>
      </c>
      <c r="Q12" s="300"/>
      <c r="R12" s="300"/>
      <c r="S12" s="28"/>
      <c r="T12"/>
      <c r="U12" s="29" t="s">
        <v>46</v>
      </c>
      <c r="V12" s="313"/>
      <c r="W12" s="313"/>
      <c r="X12"/>
      <c r="AB12" s="59"/>
      <c r="AC12" s="59"/>
      <c r="AD12" s="59"/>
      <c r="AE12" s="59"/>
    </row>
    <row r="13" spans="1:32" s="17" customFormat="1" ht="23.25" customHeight="1" x14ac:dyDescent="0.2">
      <c r="A13" s="312" t="s">
        <v>76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79"/>
      <c r="O13" s="31"/>
      <c r="P13" s="31" t="s">
        <v>31</v>
      </c>
      <c r="Q13" s="311"/>
      <c r="R13" s="31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2" t="s">
        <v>77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2"/>
      <c r="M14" s="31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4" t="s">
        <v>78</v>
      </c>
      <c r="B15" s="314"/>
      <c r="C15" s="314"/>
      <c r="D15" s="314"/>
      <c r="E15" s="314"/>
      <c r="F15" s="314"/>
      <c r="G15" s="314"/>
      <c r="H15" s="314"/>
      <c r="I15" s="314"/>
      <c r="J15" s="314"/>
      <c r="K15" s="314"/>
      <c r="L15" s="314"/>
      <c r="M15" s="314"/>
      <c r="N15" s="80"/>
      <c r="O15"/>
      <c r="P15" s="315" t="s">
        <v>61</v>
      </c>
      <c r="Q15" s="315"/>
      <c r="R15" s="315"/>
      <c r="S15" s="315"/>
      <c r="T15" s="31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16"/>
      <c r="Q16" s="316"/>
      <c r="R16" s="316"/>
      <c r="S16" s="316"/>
      <c r="T16" s="31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19" t="s">
        <v>59</v>
      </c>
      <c r="B17" s="319" t="s">
        <v>49</v>
      </c>
      <c r="C17" s="321" t="s">
        <v>48</v>
      </c>
      <c r="D17" s="323" t="s">
        <v>50</v>
      </c>
      <c r="E17" s="324"/>
      <c r="F17" s="319" t="s">
        <v>21</v>
      </c>
      <c r="G17" s="319" t="s">
        <v>24</v>
      </c>
      <c r="H17" s="319" t="s">
        <v>22</v>
      </c>
      <c r="I17" s="319" t="s">
        <v>23</v>
      </c>
      <c r="J17" s="319" t="s">
        <v>16</v>
      </c>
      <c r="K17" s="319" t="s">
        <v>69</v>
      </c>
      <c r="L17" s="319" t="s">
        <v>67</v>
      </c>
      <c r="M17" s="319" t="s">
        <v>2</v>
      </c>
      <c r="N17" s="319" t="s">
        <v>66</v>
      </c>
      <c r="O17" s="319" t="s">
        <v>25</v>
      </c>
      <c r="P17" s="323" t="s">
        <v>17</v>
      </c>
      <c r="Q17" s="327"/>
      <c r="R17" s="327"/>
      <c r="S17" s="327"/>
      <c r="T17" s="324"/>
      <c r="U17" s="317" t="s">
        <v>56</v>
      </c>
      <c r="V17" s="318"/>
      <c r="W17" s="319" t="s">
        <v>6</v>
      </c>
      <c r="X17" s="319" t="s">
        <v>41</v>
      </c>
      <c r="Y17" s="329" t="s">
        <v>54</v>
      </c>
      <c r="Z17" s="331" t="s">
        <v>18</v>
      </c>
      <c r="AA17" s="333" t="s">
        <v>60</v>
      </c>
      <c r="AB17" s="333" t="s">
        <v>19</v>
      </c>
      <c r="AC17" s="333" t="s">
        <v>68</v>
      </c>
      <c r="AD17" s="335" t="s">
        <v>57</v>
      </c>
      <c r="AE17" s="336"/>
      <c r="AF17" s="337"/>
      <c r="AG17" s="85"/>
      <c r="BD17" s="84" t="s">
        <v>64</v>
      </c>
    </row>
    <row r="18" spans="1:68" ht="14.25" customHeight="1" x14ac:dyDescent="0.2">
      <c r="A18" s="320"/>
      <c r="B18" s="320"/>
      <c r="C18" s="322"/>
      <c r="D18" s="325"/>
      <c r="E18" s="326"/>
      <c r="F18" s="320"/>
      <c r="G18" s="320"/>
      <c r="H18" s="320"/>
      <c r="I18" s="320"/>
      <c r="J18" s="320"/>
      <c r="K18" s="320"/>
      <c r="L18" s="320"/>
      <c r="M18" s="320"/>
      <c r="N18" s="320"/>
      <c r="O18" s="320"/>
      <c r="P18" s="325"/>
      <c r="Q18" s="328"/>
      <c r="R18" s="328"/>
      <c r="S18" s="328"/>
      <c r="T18" s="326"/>
      <c r="U18" s="86" t="s">
        <v>44</v>
      </c>
      <c r="V18" s="86" t="s">
        <v>43</v>
      </c>
      <c r="W18" s="320"/>
      <c r="X18" s="320"/>
      <c r="Y18" s="330"/>
      <c r="Z18" s="332"/>
      <c r="AA18" s="334"/>
      <c r="AB18" s="334"/>
      <c r="AC18" s="334"/>
      <c r="AD18" s="338"/>
      <c r="AE18" s="339"/>
      <c r="AF18" s="340"/>
      <c r="AG18" s="85"/>
      <c r="BD18" s="84"/>
    </row>
    <row r="19" spans="1:68" ht="27.75" customHeight="1" x14ac:dyDescent="0.2">
      <c r="A19" s="341" t="s">
        <v>81</v>
      </c>
      <c r="B19" s="341"/>
      <c r="C19" s="341"/>
      <c r="D19" s="341"/>
      <c r="E19" s="341"/>
      <c r="F19" s="341"/>
      <c r="G19" s="341"/>
      <c r="H19" s="341"/>
      <c r="I19" s="341"/>
      <c r="J19" s="341"/>
      <c r="K19" s="341"/>
      <c r="L19" s="341"/>
      <c r="M19" s="341"/>
      <c r="N19" s="341"/>
      <c r="O19" s="341"/>
      <c r="P19" s="341"/>
      <c r="Q19" s="341"/>
      <c r="R19" s="341"/>
      <c r="S19" s="341"/>
      <c r="T19" s="341"/>
      <c r="U19" s="341"/>
      <c r="V19" s="341"/>
      <c r="W19" s="341"/>
      <c r="X19" s="341"/>
      <c r="Y19" s="341"/>
      <c r="Z19" s="341"/>
      <c r="AA19" s="54"/>
      <c r="AB19" s="54"/>
      <c r="AC19" s="54"/>
    </row>
    <row r="20" spans="1:68" ht="16.5" customHeight="1" x14ac:dyDescent="0.25">
      <c r="A20" s="342" t="s">
        <v>81</v>
      </c>
      <c r="B20" s="342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  <c r="Z20" s="342"/>
      <c r="AA20" s="65"/>
      <c r="AB20" s="65"/>
      <c r="AC20" s="82"/>
    </row>
    <row r="21" spans="1:68" ht="14.25" customHeight="1" x14ac:dyDescent="0.25">
      <c r="A21" s="343" t="s">
        <v>82</v>
      </c>
      <c r="B21" s="343"/>
      <c r="C21" s="343"/>
      <c r="D21" s="343"/>
      <c r="E21" s="343"/>
      <c r="F21" s="343"/>
      <c r="G21" s="343"/>
      <c r="H21" s="343"/>
      <c r="I21" s="343"/>
      <c r="J21" s="343"/>
      <c r="K21" s="343"/>
      <c r="L21" s="343"/>
      <c r="M21" s="343"/>
      <c r="N21" s="343"/>
      <c r="O21" s="343"/>
      <c r="P21" s="343"/>
      <c r="Q21" s="343"/>
      <c r="R21" s="343"/>
      <c r="S21" s="343"/>
      <c r="T21" s="343"/>
      <c r="U21" s="343"/>
      <c r="V21" s="343"/>
      <c r="W21" s="343"/>
      <c r="X21" s="343"/>
      <c r="Y21" s="343"/>
      <c r="Z21" s="343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44">
        <v>4607111035912</v>
      </c>
      <c r="E22" s="344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46"/>
      <c r="R22" s="346"/>
      <c r="S22" s="346"/>
      <c r="T22" s="347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44">
        <v>4607111035103</v>
      </c>
      <c r="E23" s="344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4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46"/>
      <c r="R23" s="346"/>
      <c r="S23" s="346"/>
      <c r="T23" s="347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44">
        <v>4607111035929</v>
      </c>
      <c r="E24" s="344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4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46"/>
      <c r="R24" s="346"/>
      <c r="S24" s="346"/>
      <c r="T24" s="347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44">
        <v>4607111035882</v>
      </c>
      <c r="E25" s="344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46"/>
      <c r="R25" s="346"/>
      <c r="S25" s="346"/>
      <c r="T25" s="347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44">
        <v>4607111035110</v>
      </c>
      <c r="E26" s="344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46"/>
      <c r="R26" s="346"/>
      <c r="S26" s="346"/>
      <c r="T26" s="347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44">
        <v>4607111035905</v>
      </c>
      <c r="E27" s="344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5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46"/>
      <c r="R27" s="346"/>
      <c r="S27" s="346"/>
      <c r="T27" s="347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56"/>
      <c r="B28" s="356"/>
      <c r="C28" s="356"/>
      <c r="D28" s="356"/>
      <c r="E28" s="356"/>
      <c r="F28" s="356"/>
      <c r="G28" s="356"/>
      <c r="H28" s="356"/>
      <c r="I28" s="356"/>
      <c r="J28" s="356"/>
      <c r="K28" s="356"/>
      <c r="L28" s="356"/>
      <c r="M28" s="356"/>
      <c r="N28" s="356"/>
      <c r="O28" s="357"/>
      <c r="P28" s="353" t="s">
        <v>40</v>
      </c>
      <c r="Q28" s="354"/>
      <c r="R28" s="354"/>
      <c r="S28" s="354"/>
      <c r="T28" s="354"/>
      <c r="U28" s="354"/>
      <c r="V28" s="355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56"/>
      <c r="B29" s="356"/>
      <c r="C29" s="356"/>
      <c r="D29" s="356"/>
      <c r="E29" s="356"/>
      <c r="F29" s="356"/>
      <c r="G29" s="356"/>
      <c r="H29" s="356"/>
      <c r="I29" s="356"/>
      <c r="J29" s="356"/>
      <c r="K29" s="356"/>
      <c r="L29" s="356"/>
      <c r="M29" s="356"/>
      <c r="N29" s="356"/>
      <c r="O29" s="357"/>
      <c r="P29" s="353" t="s">
        <v>40</v>
      </c>
      <c r="Q29" s="354"/>
      <c r="R29" s="354"/>
      <c r="S29" s="354"/>
      <c r="T29" s="354"/>
      <c r="U29" s="354"/>
      <c r="V29" s="355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2" t="s">
        <v>100</v>
      </c>
      <c r="B30" s="342"/>
      <c r="C30" s="342"/>
      <c r="D30" s="342"/>
      <c r="E30" s="342"/>
      <c r="F30" s="342"/>
      <c r="G30" s="342"/>
      <c r="H30" s="342"/>
      <c r="I30" s="342"/>
      <c r="J30" s="342"/>
      <c r="K30" s="342"/>
      <c r="L30" s="342"/>
      <c r="M30" s="342"/>
      <c r="N30" s="342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2"/>
      <c r="Z30" s="342"/>
      <c r="AA30" s="65"/>
      <c r="AB30" s="65"/>
      <c r="AC30" s="82"/>
    </row>
    <row r="31" spans="1:68" ht="14.25" customHeight="1" x14ac:dyDescent="0.25">
      <c r="A31" s="343" t="s">
        <v>82</v>
      </c>
      <c r="B31" s="343"/>
      <c r="C31" s="343"/>
      <c r="D31" s="343"/>
      <c r="E31" s="343"/>
      <c r="F31" s="343"/>
      <c r="G31" s="343"/>
      <c r="H31" s="343"/>
      <c r="I31" s="343"/>
      <c r="J31" s="343"/>
      <c r="K31" s="343"/>
      <c r="L31" s="343"/>
      <c r="M31" s="343"/>
      <c r="N31" s="343"/>
      <c r="O31" s="343"/>
      <c r="P31" s="343"/>
      <c r="Q31" s="343"/>
      <c r="R31" s="343"/>
      <c r="S31" s="343"/>
      <c r="T31" s="343"/>
      <c r="U31" s="343"/>
      <c r="V31" s="343"/>
      <c r="W31" s="343"/>
      <c r="X31" s="343"/>
      <c r="Y31" s="343"/>
      <c r="Z31" s="343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44">
        <v>4607111039019</v>
      </c>
      <c r="E32" s="344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5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46"/>
      <c r="R32" s="346"/>
      <c r="S32" s="346"/>
      <c r="T32" s="347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44">
        <v>4607111038708</v>
      </c>
      <c r="E33" s="344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5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46"/>
      <c r="R33" s="346"/>
      <c r="S33" s="346"/>
      <c r="T33" s="347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56"/>
      <c r="B34" s="356"/>
      <c r="C34" s="356"/>
      <c r="D34" s="356"/>
      <c r="E34" s="356"/>
      <c r="F34" s="356"/>
      <c r="G34" s="356"/>
      <c r="H34" s="356"/>
      <c r="I34" s="356"/>
      <c r="J34" s="356"/>
      <c r="K34" s="356"/>
      <c r="L34" s="356"/>
      <c r="M34" s="356"/>
      <c r="N34" s="356"/>
      <c r="O34" s="357"/>
      <c r="P34" s="353" t="s">
        <v>40</v>
      </c>
      <c r="Q34" s="354"/>
      <c r="R34" s="354"/>
      <c r="S34" s="354"/>
      <c r="T34" s="354"/>
      <c r="U34" s="354"/>
      <c r="V34" s="355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56"/>
      <c r="B35" s="356"/>
      <c r="C35" s="356"/>
      <c r="D35" s="356"/>
      <c r="E35" s="356"/>
      <c r="F35" s="356"/>
      <c r="G35" s="356"/>
      <c r="H35" s="356"/>
      <c r="I35" s="356"/>
      <c r="J35" s="356"/>
      <c r="K35" s="356"/>
      <c r="L35" s="356"/>
      <c r="M35" s="356"/>
      <c r="N35" s="356"/>
      <c r="O35" s="357"/>
      <c r="P35" s="353" t="s">
        <v>40</v>
      </c>
      <c r="Q35" s="354"/>
      <c r="R35" s="354"/>
      <c r="S35" s="354"/>
      <c r="T35" s="354"/>
      <c r="U35" s="354"/>
      <c r="V35" s="355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1" t="s">
        <v>45</v>
      </c>
      <c r="B36" s="341"/>
      <c r="C36" s="341"/>
      <c r="D36" s="341"/>
      <c r="E36" s="341"/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54"/>
      <c r="AB36" s="54"/>
      <c r="AC36" s="54"/>
    </row>
    <row r="37" spans="1:68" ht="16.5" customHeight="1" x14ac:dyDescent="0.25">
      <c r="A37" s="342" t="s">
        <v>106</v>
      </c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Y37" s="342"/>
      <c r="Z37" s="342"/>
      <c r="AA37" s="65"/>
      <c r="AB37" s="65"/>
      <c r="AC37" s="82"/>
    </row>
    <row r="38" spans="1:68" ht="14.25" customHeight="1" x14ac:dyDescent="0.25">
      <c r="A38" s="343" t="s">
        <v>107</v>
      </c>
      <c r="B38" s="343"/>
      <c r="C38" s="343"/>
      <c r="D38" s="343"/>
      <c r="E38" s="343"/>
      <c r="F38" s="343"/>
      <c r="G38" s="343"/>
      <c r="H38" s="343"/>
      <c r="I38" s="343"/>
      <c r="J38" s="343"/>
      <c r="K38" s="343"/>
      <c r="L38" s="343"/>
      <c r="M38" s="343"/>
      <c r="N38" s="343"/>
      <c r="O38" s="343"/>
      <c r="P38" s="343"/>
      <c r="Q38" s="343"/>
      <c r="R38" s="343"/>
      <c r="S38" s="343"/>
      <c r="T38" s="343"/>
      <c r="U38" s="343"/>
      <c r="V38" s="343"/>
      <c r="W38" s="343"/>
      <c r="X38" s="343"/>
      <c r="Y38" s="343"/>
      <c r="Z38" s="343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44">
        <v>4607111036537</v>
      </c>
      <c r="E39" s="344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46"/>
      <c r="R39" s="346"/>
      <c r="S39" s="346"/>
      <c r="T39" s="347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44">
        <v>4607111036605</v>
      </c>
      <c r="E40" s="344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113</v>
      </c>
      <c r="M40" s="38" t="s">
        <v>86</v>
      </c>
      <c r="N40" s="38"/>
      <c r="O40" s="37">
        <v>365</v>
      </c>
      <c r="P40" s="36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46"/>
      <c r="R40" s="346"/>
      <c r="S40" s="346"/>
      <c r="T40" s="347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114</v>
      </c>
      <c r="AK40" s="87">
        <v>14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56"/>
      <c r="B41" s="356"/>
      <c r="C41" s="356"/>
      <c r="D41" s="356"/>
      <c r="E41" s="356"/>
      <c r="F41" s="356"/>
      <c r="G41" s="356"/>
      <c r="H41" s="356"/>
      <c r="I41" s="356"/>
      <c r="J41" s="356"/>
      <c r="K41" s="356"/>
      <c r="L41" s="356"/>
      <c r="M41" s="356"/>
      <c r="N41" s="356"/>
      <c r="O41" s="357"/>
      <c r="P41" s="353" t="s">
        <v>40</v>
      </c>
      <c r="Q41" s="354"/>
      <c r="R41" s="354"/>
      <c r="S41" s="354"/>
      <c r="T41" s="354"/>
      <c r="U41" s="354"/>
      <c r="V41" s="355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56"/>
      <c r="B42" s="356"/>
      <c r="C42" s="356"/>
      <c r="D42" s="356"/>
      <c r="E42" s="356"/>
      <c r="F42" s="356"/>
      <c r="G42" s="356"/>
      <c r="H42" s="356"/>
      <c r="I42" s="356"/>
      <c r="J42" s="356"/>
      <c r="K42" s="356"/>
      <c r="L42" s="356"/>
      <c r="M42" s="356"/>
      <c r="N42" s="356"/>
      <c r="O42" s="357"/>
      <c r="P42" s="353" t="s">
        <v>40</v>
      </c>
      <c r="Q42" s="354"/>
      <c r="R42" s="354"/>
      <c r="S42" s="354"/>
      <c r="T42" s="354"/>
      <c r="U42" s="354"/>
      <c r="V42" s="355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2" t="s">
        <v>117</v>
      </c>
      <c r="B43" s="342"/>
      <c r="C43" s="342"/>
      <c r="D43" s="342"/>
      <c r="E43" s="342"/>
      <c r="F43" s="342"/>
      <c r="G43" s="342"/>
      <c r="H43" s="3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Y43" s="342"/>
      <c r="Z43" s="342"/>
      <c r="AA43" s="65"/>
      <c r="AB43" s="65"/>
      <c r="AC43" s="82"/>
    </row>
    <row r="44" spans="1:68" ht="14.25" customHeight="1" x14ac:dyDescent="0.25">
      <c r="A44" s="343" t="s">
        <v>82</v>
      </c>
      <c r="B44" s="343"/>
      <c r="C44" s="343"/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  <c r="O44" s="343"/>
      <c r="P44" s="343"/>
      <c r="Q44" s="343"/>
      <c r="R44" s="343"/>
      <c r="S44" s="343"/>
      <c r="T44" s="343"/>
      <c r="U44" s="343"/>
      <c r="V44" s="343"/>
      <c r="W44" s="343"/>
      <c r="X44" s="343"/>
      <c r="Y44" s="343"/>
      <c r="Z44" s="343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44">
        <v>4620207490075</v>
      </c>
      <c r="E45" s="344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113</v>
      </c>
      <c r="M45" s="38" t="s">
        <v>86</v>
      </c>
      <c r="N45" s="38"/>
      <c r="O45" s="37">
        <v>180</v>
      </c>
      <c r="P45" s="36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46"/>
      <c r="R45" s="346"/>
      <c r="S45" s="346"/>
      <c r="T45" s="347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114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44">
        <v>4620207490174</v>
      </c>
      <c r="E46" s="344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113</v>
      </c>
      <c r="M46" s="38" t="s">
        <v>86</v>
      </c>
      <c r="N46" s="38"/>
      <c r="O46" s="37">
        <v>180</v>
      </c>
      <c r="P46" s="36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46"/>
      <c r="R46" s="346"/>
      <c r="S46" s="346"/>
      <c r="T46" s="347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114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124</v>
      </c>
      <c r="B47" s="63" t="s">
        <v>125</v>
      </c>
      <c r="C47" s="36">
        <v>4301071091</v>
      </c>
      <c r="D47" s="344">
        <v>4620207490044</v>
      </c>
      <c r="E47" s="344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113</v>
      </c>
      <c r="M47" s="38" t="s">
        <v>86</v>
      </c>
      <c r="N47" s="38"/>
      <c r="O47" s="37">
        <v>180</v>
      </c>
      <c r="P47" s="36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46"/>
      <c r="R47" s="346"/>
      <c r="S47" s="346"/>
      <c r="T47" s="347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114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56"/>
      <c r="B48" s="356"/>
      <c r="C48" s="356"/>
      <c r="D48" s="356"/>
      <c r="E48" s="356"/>
      <c r="F48" s="356"/>
      <c r="G48" s="356"/>
      <c r="H48" s="356"/>
      <c r="I48" s="356"/>
      <c r="J48" s="356"/>
      <c r="K48" s="356"/>
      <c r="L48" s="356"/>
      <c r="M48" s="356"/>
      <c r="N48" s="356"/>
      <c r="O48" s="357"/>
      <c r="P48" s="353" t="s">
        <v>40</v>
      </c>
      <c r="Q48" s="354"/>
      <c r="R48" s="354"/>
      <c r="S48" s="354"/>
      <c r="T48" s="354"/>
      <c r="U48" s="354"/>
      <c r="V48" s="355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56"/>
      <c r="B49" s="356"/>
      <c r="C49" s="356"/>
      <c r="D49" s="356"/>
      <c r="E49" s="356"/>
      <c r="F49" s="356"/>
      <c r="G49" s="356"/>
      <c r="H49" s="356"/>
      <c r="I49" s="356"/>
      <c r="J49" s="356"/>
      <c r="K49" s="356"/>
      <c r="L49" s="356"/>
      <c r="M49" s="356"/>
      <c r="N49" s="356"/>
      <c r="O49" s="357"/>
      <c r="P49" s="353" t="s">
        <v>40</v>
      </c>
      <c r="Q49" s="354"/>
      <c r="R49" s="354"/>
      <c r="S49" s="354"/>
      <c r="T49" s="354"/>
      <c r="U49" s="354"/>
      <c r="V49" s="355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2" t="s">
        <v>127</v>
      </c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42"/>
      <c r="AA50" s="65"/>
      <c r="AB50" s="65"/>
      <c r="AC50" s="82"/>
    </row>
    <row r="51" spans="1:68" ht="14.25" customHeight="1" x14ac:dyDescent="0.25">
      <c r="A51" s="343" t="s">
        <v>82</v>
      </c>
      <c r="B51" s="343"/>
      <c r="C51" s="343"/>
      <c r="D51" s="343"/>
      <c r="E51" s="343"/>
      <c r="F51" s="343"/>
      <c r="G51" s="343"/>
      <c r="H51" s="343"/>
      <c r="I51" s="343"/>
      <c r="J51" s="343"/>
      <c r="K51" s="343"/>
      <c r="L51" s="343"/>
      <c r="M51" s="343"/>
      <c r="N51" s="343"/>
      <c r="O51" s="343"/>
      <c r="P51" s="343"/>
      <c r="Q51" s="343"/>
      <c r="R51" s="343"/>
      <c r="S51" s="343"/>
      <c r="T51" s="343"/>
      <c r="U51" s="343"/>
      <c r="V51" s="343"/>
      <c r="W51" s="343"/>
      <c r="X51" s="343"/>
      <c r="Y51" s="343"/>
      <c r="Z51" s="343"/>
      <c r="AA51" s="66"/>
      <c r="AB51" s="66"/>
      <c r="AC51" s="83"/>
    </row>
    <row r="52" spans="1:68" ht="27" customHeight="1" x14ac:dyDescent="0.25">
      <c r="A52" s="63" t="s">
        <v>128</v>
      </c>
      <c r="B52" s="63" t="s">
        <v>129</v>
      </c>
      <c r="C52" s="36">
        <v>4301071044</v>
      </c>
      <c r="D52" s="344">
        <v>4607111039385</v>
      </c>
      <c r="E52" s="344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6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46"/>
      <c r="R52" s="346"/>
      <c r="S52" s="346"/>
      <c r="T52" s="347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130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4301071031</v>
      </c>
      <c r="D53" s="344">
        <v>4607111038982</v>
      </c>
      <c r="E53" s="344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6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46"/>
      <c r="R53" s="346"/>
      <c r="S53" s="346"/>
      <c r="T53" s="347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4301071046</v>
      </c>
      <c r="D54" s="344">
        <v>4607111039354</v>
      </c>
      <c r="E54" s="344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113</v>
      </c>
      <c r="M54" s="38" t="s">
        <v>86</v>
      </c>
      <c r="N54" s="38"/>
      <c r="O54" s="37">
        <v>180</v>
      </c>
      <c r="P54" s="36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46"/>
      <c r="R54" s="346"/>
      <c r="S54" s="346"/>
      <c r="T54" s="347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114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4301071047</v>
      </c>
      <c r="D55" s="344">
        <v>4607111039330</v>
      </c>
      <c r="E55" s="344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6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46"/>
      <c r="R55" s="346"/>
      <c r="S55" s="346"/>
      <c r="T55" s="347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114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56"/>
      <c r="B56" s="356"/>
      <c r="C56" s="356"/>
      <c r="D56" s="356"/>
      <c r="E56" s="356"/>
      <c r="F56" s="356"/>
      <c r="G56" s="356"/>
      <c r="H56" s="356"/>
      <c r="I56" s="356"/>
      <c r="J56" s="356"/>
      <c r="K56" s="356"/>
      <c r="L56" s="356"/>
      <c r="M56" s="356"/>
      <c r="N56" s="356"/>
      <c r="O56" s="357"/>
      <c r="P56" s="353" t="s">
        <v>40</v>
      </c>
      <c r="Q56" s="354"/>
      <c r="R56" s="354"/>
      <c r="S56" s="354"/>
      <c r="T56" s="354"/>
      <c r="U56" s="354"/>
      <c r="V56" s="355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56"/>
      <c r="B57" s="356"/>
      <c r="C57" s="356"/>
      <c r="D57" s="356"/>
      <c r="E57" s="356"/>
      <c r="F57" s="356"/>
      <c r="G57" s="356"/>
      <c r="H57" s="356"/>
      <c r="I57" s="356"/>
      <c r="J57" s="356"/>
      <c r="K57" s="356"/>
      <c r="L57" s="356"/>
      <c r="M57" s="356"/>
      <c r="N57" s="356"/>
      <c r="O57" s="357"/>
      <c r="P57" s="353" t="s">
        <v>40</v>
      </c>
      <c r="Q57" s="354"/>
      <c r="R57" s="354"/>
      <c r="S57" s="354"/>
      <c r="T57" s="354"/>
      <c r="U57" s="354"/>
      <c r="V57" s="355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2" t="s">
        <v>138</v>
      </c>
      <c r="B58" s="342"/>
      <c r="C58" s="342"/>
      <c r="D58" s="342"/>
      <c r="E58" s="342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42"/>
      <c r="AA58" s="65"/>
      <c r="AB58" s="65"/>
      <c r="AC58" s="82"/>
    </row>
    <row r="59" spans="1:68" ht="14.25" customHeight="1" x14ac:dyDescent="0.25">
      <c r="A59" s="343" t="s">
        <v>82</v>
      </c>
      <c r="B59" s="343"/>
      <c r="C59" s="343"/>
      <c r="D59" s="343"/>
      <c r="E59" s="343"/>
      <c r="F59" s="343"/>
      <c r="G59" s="343"/>
      <c r="H59" s="343"/>
      <c r="I59" s="343"/>
      <c r="J59" s="343"/>
      <c r="K59" s="343"/>
      <c r="L59" s="343"/>
      <c r="M59" s="343"/>
      <c r="N59" s="343"/>
      <c r="O59" s="343"/>
      <c r="P59" s="343"/>
      <c r="Q59" s="343"/>
      <c r="R59" s="343"/>
      <c r="S59" s="343"/>
      <c r="T59" s="343"/>
      <c r="U59" s="343"/>
      <c r="V59" s="343"/>
      <c r="W59" s="343"/>
      <c r="X59" s="343"/>
      <c r="Y59" s="343"/>
      <c r="Z59" s="343"/>
      <c r="AA59" s="66"/>
      <c r="AB59" s="66"/>
      <c r="AC59" s="83"/>
    </row>
    <row r="60" spans="1:68" ht="16.5" customHeight="1" x14ac:dyDescent="0.25">
      <c r="A60" s="63" t="s">
        <v>139</v>
      </c>
      <c r="B60" s="63" t="s">
        <v>140</v>
      </c>
      <c r="C60" s="36">
        <v>4301071073</v>
      </c>
      <c r="D60" s="344">
        <v>4620207490822</v>
      </c>
      <c r="E60" s="344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69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46"/>
      <c r="R60" s="346"/>
      <c r="S60" s="346"/>
      <c r="T60" s="347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141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56"/>
      <c r="B61" s="356"/>
      <c r="C61" s="356"/>
      <c r="D61" s="356"/>
      <c r="E61" s="356"/>
      <c r="F61" s="356"/>
      <c r="G61" s="356"/>
      <c r="H61" s="356"/>
      <c r="I61" s="356"/>
      <c r="J61" s="356"/>
      <c r="K61" s="356"/>
      <c r="L61" s="356"/>
      <c r="M61" s="356"/>
      <c r="N61" s="356"/>
      <c r="O61" s="357"/>
      <c r="P61" s="353" t="s">
        <v>40</v>
      </c>
      <c r="Q61" s="354"/>
      <c r="R61" s="354"/>
      <c r="S61" s="354"/>
      <c r="T61" s="354"/>
      <c r="U61" s="354"/>
      <c r="V61" s="355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56"/>
      <c r="B62" s="356"/>
      <c r="C62" s="356"/>
      <c r="D62" s="356"/>
      <c r="E62" s="356"/>
      <c r="F62" s="356"/>
      <c r="G62" s="356"/>
      <c r="H62" s="356"/>
      <c r="I62" s="356"/>
      <c r="J62" s="356"/>
      <c r="K62" s="356"/>
      <c r="L62" s="356"/>
      <c r="M62" s="356"/>
      <c r="N62" s="356"/>
      <c r="O62" s="357"/>
      <c r="P62" s="353" t="s">
        <v>40</v>
      </c>
      <c r="Q62" s="354"/>
      <c r="R62" s="354"/>
      <c r="S62" s="354"/>
      <c r="T62" s="354"/>
      <c r="U62" s="354"/>
      <c r="V62" s="355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3" t="s">
        <v>107</v>
      </c>
      <c r="B63" s="343"/>
      <c r="C63" s="343"/>
      <c r="D63" s="343"/>
      <c r="E63" s="343"/>
      <c r="F63" s="343"/>
      <c r="G63" s="343"/>
      <c r="H63" s="343"/>
      <c r="I63" s="343"/>
      <c r="J63" s="343"/>
      <c r="K63" s="343"/>
      <c r="L63" s="343"/>
      <c r="M63" s="343"/>
      <c r="N63" s="343"/>
      <c r="O63" s="343"/>
      <c r="P63" s="343"/>
      <c r="Q63" s="343"/>
      <c r="R63" s="343"/>
      <c r="S63" s="343"/>
      <c r="T63" s="343"/>
      <c r="U63" s="343"/>
      <c r="V63" s="343"/>
      <c r="W63" s="343"/>
      <c r="X63" s="343"/>
      <c r="Y63" s="343"/>
      <c r="Z63" s="343"/>
      <c r="AA63" s="66"/>
      <c r="AB63" s="66"/>
      <c r="AC63" s="83"/>
    </row>
    <row r="64" spans="1:68" ht="27" customHeight="1" x14ac:dyDescent="0.25">
      <c r="A64" s="63" t="s">
        <v>142</v>
      </c>
      <c r="B64" s="63" t="s">
        <v>143</v>
      </c>
      <c r="C64" s="36">
        <v>4301132194</v>
      </c>
      <c r="D64" s="344">
        <v>4607111039712</v>
      </c>
      <c r="E64" s="344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46"/>
      <c r="R64" s="346"/>
      <c r="S64" s="346"/>
      <c r="T64" s="347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144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6"/>
      <c r="B65" s="356"/>
      <c r="C65" s="356"/>
      <c r="D65" s="356"/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7"/>
      <c r="P65" s="353" t="s">
        <v>40</v>
      </c>
      <c r="Q65" s="354"/>
      <c r="R65" s="354"/>
      <c r="S65" s="354"/>
      <c r="T65" s="354"/>
      <c r="U65" s="354"/>
      <c r="V65" s="355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56"/>
      <c r="B66" s="356"/>
      <c r="C66" s="356"/>
      <c r="D66" s="356"/>
      <c r="E66" s="356"/>
      <c r="F66" s="356"/>
      <c r="G66" s="356"/>
      <c r="H66" s="356"/>
      <c r="I66" s="356"/>
      <c r="J66" s="356"/>
      <c r="K66" s="356"/>
      <c r="L66" s="356"/>
      <c r="M66" s="356"/>
      <c r="N66" s="356"/>
      <c r="O66" s="357"/>
      <c r="P66" s="353" t="s">
        <v>40</v>
      </c>
      <c r="Q66" s="354"/>
      <c r="R66" s="354"/>
      <c r="S66" s="354"/>
      <c r="T66" s="354"/>
      <c r="U66" s="354"/>
      <c r="V66" s="355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3" t="s">
        <v>145</v>
      </c>
      <c r="B67" s="343"/>
      <c r="C67" s="343"/>
      <c r="D67" s="343"/>
      <c r="E67" s="343"/>
      <c r="F67" s="343"/>
      <c r="G67" s="343"/>
      <c r="H67" s="343"/>
      <c r="I67" s="343"/>
      <c r="J67" s="343"/>
      <c r="K67" s="343"/>
      <c r="L67" s="343"/>
      <c r="M67" s="343"/>
      <c r="N67" s="343"/>
      <c r="O67" s="343"/>
      <c r="P67" s="343"/>
      <c r="Q67" s="343"/>
      <c r="R67" s="343"/>
      <c r="S67" s="343"/>
      <c r="T67" s="343"/>
      <c r="U67" s="343"/>
      <c r="V67" s="343"/>
      <c r="W67" s="343"/>
      <c r="X67" s="343"/>
      <c r="Y67" s="343"/>
      <c r="Z67" s="343"/>
      <c r="AA67" s="66"/>
      <c r="AB67" s="66"/>
      <c r="AC67" s="83"/>
    </row>
    <row r="68" spans="1:68" ht="16.5" customHeight="1" x14ac:dyDescent="0.25">
      <c r="A68" s="63" t="s">
        <v>146</v>
      </c>
      <c r="B68" s="63" t="s">
        <v>147</v>
      </c>
      <c r="C68" s="36">
        <v>4301136018</v>
      </c>
      <c r="D68" s="344">
        <v>4607111037008</v>
      </c>
      <c r="E68" s="344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46"/>
      <c r="R68" s="346"/>
      <c r="S68" s="346"/>
      <c r="T68" s="347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148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149</v>
      </c>
      <c r="B69" s="63" t="s">
        <v>150</v>
      </c>
      <c r="C69" s="36">
        <v>4301136015</v>
      </c>
      <c r="D69" s="344">
        <v>4607111037398</v>
      </c>
      <c r="E69" s="344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46"/>
      <c r="R69" s="346"/>
      <c r="S69" s="346"/>
      <c r="T69" s="347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56"/>
      <c r="B70" s="356"/>
      <c r="C70" s="356"/>
      <c r="D70" s="356"/>
      <c r="E70" s="356"/>
      <c r="F70" s="356"/>
      <c r="G70" s="356"/>
      <c r="H70" s="356"/>
      <c r="I70" s="356"/>
      <c r="J70" s="356"/>
      <c r="K70" s="356"/>
      <c r="L70" s="356"/>
      <c r="M70" s="356"/>
      <c r="N70" s="356"/>
      <c r="O70" s="357"/>
      <c r="P70" s="353" t="s">
        <v>40</v>
      </c>
      <c r="Q70" s="354"/>
      <c r="R70" s="354"/>
      <c r="S70" s="354"/>
      <c r="T70" s="354"/>
      <c r="U70" s="354"/>
      <c r="V70" s="355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56"/>
      <c r="B71" s="356"/>
      <c r="C71" s="356"/>
      <c r="D71" s="356"/>
      <c r="E71" s="356"/>
      <c r="F71" s="356"/>
      <c r="G71" s="356"/>
      <c r="H71" s="356"/>
      <c r="I71" s="356"/>
      <c r="J71" s="356"/>
      <c r="K71" s="356"/>
      <c r="L71" s="356"/>
      <c r="M71" s="356"/>
      <c r="N71" s="356"/>
      <c r="O71" s="357"/>
      <c r="P71" s="353" t="s">
        <v>40</v>
      </c>
      <c r="Q71" s="354"/>
      <c r="R71" s="354"/>
      <c r="S71" s="354"/>
      <c r="T71" s="354"/>
      <c r="U71" s="354"/>
      <c r="V71" s="355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3" t="s">
        <v>151</v>
      </c>
      <c r="B72" s="343"/>
      <c r="C72" s="343"/>
      <c r="D72" s="343"/>
      <c r="E72" s="343"/>
      <c r="F72" s="343"/>
      <c r="G72" s="343"/>
      <c r="H72" s="343"/>
      <c r="I72" s="343"/>
      <c r="J72" s="343"/>
      <c r="K72" s="343"/>
      <c r="L72" s="343"/>
      <c r="M72" s="343"/>
      <c r="N72" s="343"/>
      <c r="O72" s="343"/>
      <c r="P72" s="343"/>
      <c r="Q72" s="343"/>
      <c r="R72" s="343"/>
      <c r="S72" s="343"/>
      <c r="T72" s="343"/>
      <c r="U72" s="343"/>
      <c r="V72" s="343"/>
      <c r="W72" s="343"/>
      <c r="X72" s="343"/>
      <c r="Y72" s="343"/>
      <c r="Z72" s="343"/>
      <c r="AA72" s="66"/>
      <c r="AB72" s="66"/>
      <c r="AC72" s="83"/>
    </row>
    <row r="73" spans="1:68" ht="27" customHeight="1" x14ac:dyDescent="0.25">
      <c r="A73" s="63" t="s">
        <v>152</v>
      </c>
      <c r="B73" s="63" t="s">
        <v>153</v>
      </c>
      <c r="C73" s="36">
        <v>4301135664</v>
      </c>
      <c r="D73" s="344">
        <v>4607111039705</v>
      </c>
      <c r="E73" s="344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7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46"/>
      <c r="R73" s="346"/>
      <c r="S73" s="346"/>
      <c r="T73" s="347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148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154</v>
      </c>
      <c r="B74" s="63" t="s">
        <v>155</v>
      </c>
      <c r="C74" s="36">
        <v>4301135665</v>
      </c>
      <c r="D74" s="344">
        <v>4607111039729</v>
      </c>
      <c r="E74" s="344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88</v>
      </c>
      <c r="M74" s="38" t="s">
        <v>86</v>
      </c>
      <c r="N74" s="38"/>
      <c r="O74" s="37">
        <v>365</v>
      </c>
      <c r="P74" s="37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46"/>
      <c r="R74" s="346"/>
      <c r="S74" s="346"/>
      <c r="T74" s="347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156</v>
      </c>
      <c r="AG74" s="81"/>
      <c r="AJ74" s="87" t="s">
        <v>89</v>
      </c>
      <c r="AK74" s="87">
        <v>1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157</v>
      </c>
      <c r="B75" s="63" t="s">
        <v>158</v>
      </c>
      <c r="C75" s="36">
        <v>4301135702</v>
      </c>
      <c r="D75" s="344">
        <v>4620207490228</v>
      </c>
      <c r="E75" s="344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88</v>
      </c>
      <c r="M75" s="38" t="s">
        <v>86</v>
      </c>
      <c r="N75" s="38"/>
      <c r="O75" s="37">
        <v>365</v>
      </c>
      <c r="P75" s="37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46"/>
      <c r="R75" s="346"/>
      <c r="S75" s="346"/>
      <c r="T75" s="347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156</v>
      </c>
      <c r="AG75" s="81"/>
      <c r="AJ75" s="87" t="s">
        <v>89</v>
      </c>
      <c r="AK75" s="87">
        <v>1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6"/>
      <c r="B76" s="356"/>
      <c r="C76" s="356"/>
      <c r="D76" s="356"/>
      <c r="E76" s="356"/>
      <c r="F76" s="356"/>
      <c r="G76" s="356"/>
      <c r="H76" s="356"/>
      <c r="I76" s="356"/>
      <c r="J76" s="356"/>
      <c r="K76" s="356"/>
      <c r="L76" s="356"/>
      <c r="M76" s="356"/>
      <c r="N76" s="356"/>
      <c r="O76" s="357"/>
      <c r="P76" s="353" t="s">
        <v>40</v>
      </c>
      <c r="Q76" s="354"/>
      <c r="R76" s="354"/>
      <c r="S76" s="354"/>
      <c r="T76" s="354"/>
      <c r="U76" s="354"/>
      <c r="V76" s="355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56"/>
      <c r="B77" s="356"/>
      <c r="C77" s="356"/>
      <c r="D77" s="356"/>
      <c r="E77" s="356"/>
      <c r="F77" s="356"/>
      <c r="G77" s="356"/>
      <c r="H77" s="356"/>
      <c r="I77" s="356"/>
      <c r="J77" s="356"/>
      <c r="K77" s="356"/>
      <c r="L77" s="356"/>
      <c r="M77" s="356"/>
      <c r="N77" s="356"/>
      <c r="O77" s="357"/>
      <c r="P77" s="353" t="s">
        <v>40</v>
      </c>
      <c r="Q77" s="354"/>
      <c r="R77" s="354"/>
      <c r="S77" s="354"/>
      <c r="T77" s="354"/>
      <c r="U77" s="354"/>
      <c r="V77" s="355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2" t="s">
        <v>159</v>
      </c>
      <c r="B78" s="342"/>
      <c r="C78" s="342"/>
      <c r="D78" s="342"/>
      <c r="E78" s="342"/>
      <c r="F78" s="342"/>
      <c r="G78" s="342"/>
      <c r="H78" s="342"/>
      <c r="I78" s="342"/>
      <c r="J78" s="342"/>
      <c r="K78" s="342"/>
      <c r="L78" s="342"/>
      <c r="M78" s="342"/>
      <c r="N78" s="342"/>
      <c r="O78" s="342"/>
      <c r="P78" s="342"/>
      <c r="Q78" s="342"/>
      <c r="R78" s="342"/>
      <c r="S78" s="342"/>
      <c r="T78" s="342"/>
      <c r="U78" s="342"/>
      <c r="V78" s="342"/>
      <c r="W78" s="342"/>
      <c r="X78" s="342"/>
      <c r="Y78" s="342"/>
      <c r="Z78" s="342"/>
      <c r="AA78" s="65"/>
      <c r="AB78" s="65"/>
      <c r="AC78" s="82"/>
    </row>
    <row r="79" spans="1:68" ht="14.25" customHeight="1" x14ac:dyDescent="0.25">
      <c r="A79" s="343" t="s">
        <v>82</v>
      </c>
      <c r="B79" s="343"/>
      <c r="C79" s="343"/>
      <c r="D79" s="343"/>
      <c r="E79" s="343"/>
      <c r="F79" s="343"/>
      <c r="G79" s="343"/>
      <c r="H79" s="343"/>
      <c r="I79" s="343"/>
      <c r="J79" s="343"/>
      <c r="K79" s="343"/>
      <c r="L79" s="343"/>
      <c r="M79" s="343"/>
      <c r="N79" s="343"/>
      <c r="O79" s="343"/>
      <c r="P79" s="343"/>
      <c r="Q79" s="343"/>
      <c r="R79" s="343"/>
      <c r="S79" s="343"/>
      <c r="T79" s="343"/>
      <c r="U79" s="343"/>
      <c r="V79" s="343"/>
      <c r="W79" s="343"/>
      <c r="X79" s="343"/>
      <c r="Y79" s="343"/>
      <c r="Z79" s="343"/>
      <c r="AA79" s="66"/>
      <c r="AB79" s="66"/>
      <c r="AC79" s="83"/>
    </row>
    <row r="80" spans="1:68" ht="27" customHeight="1" x14ac:dyDescent="0.25">
      <c r="A80" s="63" t="s">
        <v>160</v>
      </c>
      <c r="B80" s="63" t="s">
        <v>161</v>
      </c>
      <c r="C80" s="36">
        <v>4301070977</v>
      </c>
      <c r="D80" s="344">
        <v>4607111037411</v>
      </c>
      <c r="E80" s="344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163</v>
      </c>
      <c r="L80" s="37" t="s">
        <v>113</v>
      </c>
      <c r="M80" s="38" t="s">
        <v>86</v>
      </c>
      <c r="N80" s="38"/>
      <c r="O80" s="37">
        <v>180</v>
      </c>
      <c r="P80" s="37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46"/>
      <c r="R80" s="346"/>
      <c r="S80" s="346"/>
      <c r="T80" s="347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162</v>
      </c>
      <c r="AG80" s="81"/>
      <c r="AJ80" s="87" t="s">
        <v>114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164</v>
      </c>
      <c r="B81" s="63" t="s">
        <v>165</v>
      </c>
      <c r="C81" s="36">
        <v>4301070981</v>
      </c>
      <c r="D81" s="344">
        <v>4607111036728</v>
      </c>
      <c r="E81" s="344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113</v>
      </c>
      <c r="M81" s="38" t="s">
        <v>86</v>
      </c>
      <c r="N81" s="38"/>
      <c r="O81" s="37">
        <v>180</v>
      </c>
      <c r="P81" s="37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46"/>
      <c r="R81" s="346"/>
      <c r="S81" s="346"/>
      <c r="T81" s="347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162</v>
      </c>
      <c r="AG81" s="81"/>
      <c r="AJ81" s="87" t="s">
        <v>114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6"/>
      <c r="B82" s="356"/>
      <c r="C82" s="356"/>
      <c r="D82" s="356"/>
      <c r="E82" s="356"/>
      <c r="F82" s="356"/>
      <c r="G82" s="356"/>
      <c r="H82" s="356"/>
      <c r="I82" s="356"/>
      <c r="J82" s="356"/>
      <c r="K82" s="356"/>
      <c r="L82" s="356"/>
      <c r="M82" s="356"/>
      <c r="N82" s="356"/>
      <c r="O82" s="357"/>
      <c r="P82" s="353" t="s">
        <v>40</v>
      </c>
      <c r="Q82" s="354"/>
      <c r="R82" s="354"/>
      <c r="S82" s="354"/>
      <c r="T82" s="354"/>
      <c r="U82" s="354"/>
      <c r="V82" s="355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6"/>
      <c r="B83" s="356"/>
      <c r="C83" s="356"/>
      <c r="D83" s="356"/>
      <c r="E83" s="356"/>
      <c r="F83" s="356"/>
      <c r="G83" s="356"/>
      <c r="H83" s="356"/>
      <c r="I83" s="356"/>
      <c r="J83" s="356"/>
      <c r="K83" s="356"/>
      <c r="L83" s="356"/>
      <c r="M83" s="356"/>
      <c r="N83" s="356"/>
      <c r="O83" s="357"/>
      <c r="P83" s="353" t="s">
        <v>40</v>
      </c>
      <c r="Q83" s="354"/>
      <c r="R83" s="354"/>
      <c r="S83" s="354"/>
      <c r="T83" s="354"/>
      <c r="U83" s="354"/>
      <c r="V83" s="355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2" t="s">
        <v>166</v>
      </c>
      <c r="B84" s="342"/>
      <c r="C84" s="342"/>
      <c r="D84" s="342"/>
      <c r="E84" s="342"/>
      <c r="F84" s="342"/>
      <c r="G84" s="342"/>
      <c r="H84" s="342"/>
      <c r="I84" s="342"/>
      <c r="J84" s="342"/>
      <c r="K84" s="342"/>
      <c r="L84" s="342"/>
      <c r="M84" s="342"/>
      <c r="N84" s="342"/>
      <c r="O84" s="342"/>
      <c r="P84" s="342"/>
      <c r="Q84" s="342"/>
      <c r="R84" s="342"/>
      <c r="S84" s="342"/>
      <c r="T84" s="342"/>
      <c r="U84" s="342"/>
      <c r="V84" s="342"/>
      <c r="W84" s="342"/>
      <c r="X84" s="342"/>
      <c r="Y84" s="342"/>
      <c r="Z84" s="342"/>
      <c r="AA84" s="65"/>
      <c r="AB84" s="65"/>
      <c r="AC84" s="82"/>
    </row>
    <row r="85" spans="1:68" ht="14.25" customHeight="1" x14ac:dyDescent="0.25">
      <c r="A85" s="343" t="s">
        <v>151</v>
      </c>
      <c r="B85" s="343"/>
      <c r="C85" s="343"/>
      <c r="D85" s="343"/>
      <c r="E85" s="343"/>
      <c r="F85" s="343"/>
      <c r="G85" s="343"/>
      <c r="H85" s="343"/>
      <c r="I85" s="343"/>
      <c r="J85" s="343"/>
      <c r="K85" s="343"/>
      <c r="L85" s="343"/>
      <c r="M85" s="343"/>
      <c r="N85" s="343"/>
      <c r="O85" s="343"/>
      <c r="P85" s="343"/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66"/>
      <c r="AB85" s="66"/>
      <c r="AC85" s="83"/>
    </row>
    <row r="86" spans="1:68" ht="27" customHeight="1" x14ac:dyDescent="0.25">
      <c r="A86" s="63" t="s">
        <v>167</v>
      </c>
      <c r="B86" s="63" t="s">
        <v>168</v>
      </c>
      <c r="C86" s="36">
        <v>4301135574</v>
      </c>
      <c r="D86" s="344">
        <v>4607111033659</v>
      </c>
      <c r="E86" s="344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7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46"/>
      <c r="R86" s="346"/>
      <c r="S86" s="346"/>
      <c r="T86" s="347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169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56"/>
      <c r="B87" s="356"/>
      <c r="C87" s="356"/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7"/>
      <c r="P87" s="353" t="s">
        <v>40</v>
      </c>
      <c r="Q87" s="354"/>
      <c r="R87" s="354"/>
      <c r="S87" s="354"/>
      <c r="T87" s="354"/>
      <c r="U87" s="354"/>
      <c r="V87" s="355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56"/>
      <c r="B88" s="356"/>
      <c r="C88" s="356"/>
      <c r="D88" s="356"/>
      <c r="E88" s="356"/>
      <c r="F88" s="356"/>
      <c r="G88" s="356"/>
      <c r="H88" s="356"/>
      <c r="I88" s="356"/>
      <c r="J88" s="356"/>
      <c r="K88" s="356"/>
      <c r="L88" s="356"/>
      <c r="M88" s="356"/>
      <c r="N88" s="356"/>
      <c r="O88" s="357"/>
      <c r="P88" s="353" t="s">
        <v>40</v>
      </c>
      <c r="Q88" s="354"/>
      <c r="R88" s="354"/>
      <c r="S88" s="354"/>
      <c r="T88" s="354"/>
      <c r="U88" s="354"/>
      <c r="V88" s="355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2" t="s">
        <v>170</v>
      </c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42"/>
      <c r="AA89" s="65"/>
      <c r="AB89" s="65"/>
      <c r="AC89" s="82"/>
    </row>
    <row r="90" spans="1:68" ht="14.25" customHeight="1" x14ac:dyDescent="0.25">
      <c r="A90" s="343" t="s">
        <v>171</v>
      </c>
      <c r="B90" s="343"/>
      <c r="C90" s="343"/>
      <c r="D90" s="343"/>
      <c r="E90" s="343"/>
      <c r="F90" s="343"/>
      <c r="G90" s="343"/>
      <c r="H90" s="343"/>
      <c r="I90" s="343"/>
      <c r="J90" s="343"/>
      <c r="K90" s="343"/>
      <c r="L90" s="343"/>
      <c r="M90" s="343"/>
      <c r="N90" s="343"/>
      <c r="O90" s="343"/>
      <c r="P90" s="343"/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66"/>
      <c r="AB90" s="66"/>
      <c r="AC90" s="83"/>
    </row>
    <row r="91" spans="1:68" ht="27" customHeight="1" x14ac:dyDescent="0.25">
      <c r="A91" s="63" t="s">
        <v>172</v>
      </c>
      <c r="B91" s="63" t="s">
        <v>173</v>
      </c>
      <c r="C91" s="36">
        <v>4301131047</v>
      </c>
      <c r="D91" s="344">
        <v>4607111034120</v>
      </c>
      <c r="E91" s="344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7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46"/>
      <c r="R91" s="346"/>
      <c r="S91" s="346"/>
      <c r="T91" s="347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174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175</v>
      </c>
      <c r="B92" s="63" t="s">
        <v>176</v>
      </c>
      <c r="C92" s="36">
        <v>4301131046</v>
      </c>
      <c r="D92" s="344">
        <v>4607111034137</v>
      </c>
      <c r="E92" s="344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113</v>
      </c>
      <c r="M92" s="38" t="s">
        <v>86</v>
      </c>
      <c r="N92" s="38"/>
      <c r="O92" s="37">
        <v>180</v>
      </c>
      <c r="P92" s="38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46"/>
      <c r="R92" s="346"/>
      <c r="S92" s="346"/>
      <c r="T92" s="347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177</v>
      </c>
      <c r="AG92" s="81"/>
      <c r="AJ92" s="87" t="s">
        <v>114</v>
      </c>
      <c r="AK92" s="87">
        <v>14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56"/>
      <c r="B93" s="356"/>
      <c r="C93" s="356"/>
      <c r="D93" s="356"/>
      <c r="E93" s="356"/>
      <c r="F93" s="356"/>
      <c r="G93" s="356"/>
      <c r="H93" s="356"/>
      <c r="I93" s="356"/>
      <c r="J93" s="356"/>
      <c r="K93" s="356"/>
      <c r="L93" s="356"/>
      <c r="M93" s="356"/>
      <c r="N93" s="356"/>
      <c r="O93" s="357"/>
      <c r="P93" s="353" t="s">
        <v>40</v>
      </c>
      <c r="Q93" s="354"/>
      <c r="R93" s="354"/>
      <c r="S93" s="354"/>
      <c r="T93" s="354"/>
      <c r="U93" s="354"/>
      <c r="V93" s="355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56"/>
      <c r="B94" s="356"/>
      <c r="C94" s="356"/>
      <c r="D94" s="356"/>
      <c r="E94" s="356"/>
      <c r="F94" s="356"/>
      <c r="G94" s="356"/>
      <c r="H94" s="356"/>
      <c r="I94" s="356"/>
      <c r="J94" s="356"/>
      <c r="K94" s="356"/>
      <c r="L94" s="356"/>
      <c r="M94" s="356"/>
      <c r="N94" s="356"/>
      <c r="O94" s="357"/>
      <c r="P94" s="353" t="s">
        <v>40</v>
      </c>
      <c r="Q94" s="354"/>
      <c r="R94" s="354"/>
      <c r="S94" s="354"/>
      <c r="T94" s="354"/>
      <c r="U94" s="354"/>
      <c r="V94" s="355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2" t="s">
        <v>178</v>
      </c>
      <c r="B95" s="342"/>
      <c r="C95" s="342"/>
      <c r="D95" s="342"/>
      <c r="E95" s="342"/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P95" s="342"/>
      <c r="Q95" s="342"/>
      <c r="R95" s="342"/>
      <c r="S95" s="342"/>
      <c r="T95" s="342"/>
      <c r="U95" s="342"/>
      <c r="V95" s="342"/>
      <c r="W95" s="342"/>
      <c r="X95" s="342"/>
      <c r="Y95" s="342"/>
      <c r="Z95" s="342"/>
      <c r="AA95" s="65"/>
      <c r="AB95" s="65"/>
      <c r="AC95" s="82"/>
    </row>
    <row r="96" spans="1:68" ht="14.25" customHeight="1" x14ac:dyDescent="0.25">
      <c r="A96" s="343" t="s">
        <v>151</v>
      </c>
      <c r="B96" s="343"/>
      <c r="C96" s="343"/>
      <c r="D96" s="343"/>
      <c r="E96" s="343"/>
      <c r="F96" s="343"/>
      <c r="G96" s="343"/>
      <c r="H96" s="343"/>
      <c r="I96" s="343"/>
      <c r="J96" s="343"/>
      <c r="K96" s="343"/>
      <c r="L96" s="343"/>
      <c r="M96" s="343"/>
      <c r="N96" s="343"/>
      <c r="O96" s="343"/>
      <c r="P96" s="343"/>
      <c r="Q96" s="343"/>
      <c r="R96" s="343"/>
      <c r="S96" s="343"/>
      <c r="T96" s="343"/>
      <c r="U96" s="343"/>
      <c r="V96" s="343"/>
      <c r="W96" s="343"/>
      <c r="X96" s="343"/>
      <c r="Y96" s="343"/>
      <c r="Z96" s="343"/>
      <c r="AA96" s="66"/>
      <c r="AB96" s="66"/>
      <c r="AC96" s="83"/>
    </row>
    <row r="97" spans="1:68" ht="27" customHeight="1" x14ac:dyDescent="0.25">
      <c r="A97" s="63" t="s">
        <v>179</v>
      </c>
      <c r="B97" s="63" t="s">
        <v>180</v>
      </c>
      <c r="C97" s="36">
        <v>4301135763</v>
      </c>
      <c r="D97" s="344">
        <v>4620207491027</v>
      </c>
      <c r="E97" s="344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113</v>
      </c>
      <c r="M97" s="38" t="s">
        <v>86</v>
      </c>
      <c r="N97" s="38"/>
      <c r="O97" s="37">
        <v>180</v>
      </c>
      <c r="P97" s="38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46"/>
      <c r="R97" s="346"/>
      <c r="S97" s="346"/>
      <c r="T97" s="347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169</v>
      </c>
      <c r="AG97" s="81"/>
      <c r="AJ97" s="87" t="s">
        <v>114</v>
      </c>
      <c r="AK97" s="87">
        <v>14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181</v>
      </c>
      <c r="B98" s="63" t="s">
        <v>182</v>
      </c>
      <c r="C98" s="36">
        <v>4301135793</v>
      </c>
      <c r="D98" s="344">
        <v>4620207491003</v>
      </c>
      <c r="E98" s="344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8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46"/>
      <c r="R98" s="346"/>
      <c r="S98" s="346"/>
      <c r="T98" s="347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169</v>
      </c>
      <c r="AG98" s="81"/>
      <c r="AJ98" s="87" t="s">
        <v>114</v>
      </c>
      <c r="AK98" s="87">
        <v>14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183</v>
      </c>
      <c r="B99" s="63" t="s">
        <v>184</v>
      </c>
      <c r="C99" s="36">
        <v>4301135768</v>
      </c>
      <c r="D99" s="344">
        <v>4620207491034</v>
      </c>
      <c r="E99" s="344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113</v>
      </c>
      <c r="M99" s="38" t="s">
        <v>86</v>
      </c>
      <c r="N99" s="38"/>
      <c r="O99" s="37">
        <v>180</v>
      </c>
      <c r="P99" s="38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46"/>
      <c r="R99" s="346"/>
      <c r="S99" s="346"/>
      <c r="T99" s="347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185</v>
      </c>
      <c r="AG99" s="81"/>
      <c r="AJ99" s="87" t="s">
        <v>114</v>
      </c>
      <c r="AK99" s="87">
        <v>14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186</v>
      </c>
      <c r="B100" s="63" t="s">
        <v>187</v>
      </c>
      <c r="C100" s="36">
        <v>4301135760</v>
      </c>
      <c r="D100" s="344">
        <v>4620207491010</v>
      </c>
      <c r="E100" s="344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113</v>
      </c>
      <c r="M100" s="38" t="s">
        <v>86</v>
      </c>
      <c r="N100" s="38"/>
      <c r="O100" s="37">
        <v>180</v>
      </c>
      <c r="P100" s="38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46"/>
      <c r="R100" s="346"/>
      <c r="S100" s="346"/>
      <c r="T100" s="347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169</v>
      </c>
      <c r="AG100" s="81"/>
      <c r="AJ100" s="87" t="s">
        <v>114</v>
      </c>
      <c r="AK100" s="87">
        <v>14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188</v>
      </c>
      <c r="B101" s="63" t="s">
        <v>189</v>
      </c>
      <c r="C101" s="36">
        <v>4301135571</v>
      </c>
      <c r="D101" s="344">
        <v>4607111035028</v>
      </c>
      <c r="E101" s="344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113</v>
      </c>
      <c r="M101" s="38" t="s">
        <v>86</v>
      </c>
      <c r="N101" s="38"/>
      <c r="O101" s="37">
        <v>180</v>
      </c>
      <c r="P101" s="38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46"/>
      <c r="R101" s="346"/>
      <c r="S101" s="346"/>
      <c r="T101" s="347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169</v>
      </c>
      <c r="AG101" s="81"/>
      <c r="AJ101" s="87" t="s">
        <v>114</v>
      </c>
      <c r="AK101" s="87">
        <v>14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4301135285</v>
      </c>
      <c r="D102" s="344">
        <v>4607111036407</v>
      </c>
      <c r="E102" s="344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113</v>
      </c>
      <c r="M102" s="38" t="s">
        <v>86</v>
      </c>
      <c r="N102" s="38"/>
      <c r="O102" s="37">
        <v>180</v>
      </c>
      <c r="P102" s="38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46"/>
      <c r="R102" s="346"/>
      <c r="S102" s="346"/>
      <c r="T102" s="347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192</v>
      </c>
      <c r="AG102" s="81"/>
      <c r="AJ102" s="87" t="s">
        <v>114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56"/>
      <c r="B103" s="356"/>
      <c r="C103" s="356"/>
      <c r="D103" s="356"/>
      <c r="E103" s="356"/>
      <c r="F103" s="356"/>
      <c r="G103" s="356"/>
      <c r="H103" s="356"/>
      <c r="I103" s="356"/>
      <c r="J103" s="356"/>
      <c r="K103" s="356"/>
      <c r="L103" s="356"/>
      <c r="M103" s="356"/>
      <c r="N103" s="356"/>
      <c r="O103" s="357"/>
      <c r="P103" s="353" t="s">
        <v>40</v>
      </c>
      <c r="Q103" s="354"/>
      <c r="R103" s="354"/>
      <c r="S103" s="354"/>
      <c r="T103" s="354"/>
      <c r="U103" s="354"/>
      <c r="V103" s="355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56"/>
      <c r="B104" s="356"/>
      <c r="C104" s="356"/>
      <c r="D104" s="356"/>
      <c r="E104" s="356"/>
      <c r="F104" s="356"/>
      <c r="G104" s="356"/>
      <c r="H104" s="356"/>
      <c r="I104" s="356"/>
      <c r="J104" s="356"/>
      <c r="K104" s="356"/>
      <c r="L104" s="356"/>
      <c r="M104" s="356"/>
      <c r="N104" s="356"/>
      <c r="O104" s="357"/>
      <c r="P104" s="353" t="s">
        <v>40</v>
      </c>
      <c r="Q104" s="354"/>
      <c r="R104" s="354"/>
      <c r="S104" s="354"/>
      <c r="T104" s="354"/>
      <c r="U104" s="354"/>
      <c r="V104" s="355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2" t="s">
        <v>193</v>
      </c>
      <c r="B105" s="342"/>
      <c r="C105" s="342"/>
      <c r="D105" s="342"/>
      <c r="E105" s="342"/>
      <c r="F105" s="342"/>
      <c r="G105" s="342"/>
      <c r="H105" s="342"/>
      <c r="I105" s="342"/>
      <c r="J105" s="342"/>
      <c r="K105" s="342"/>
      <c r="L105" s="342"/>
      <c r="M105" s="342"/>
      <c r="N105" s="342"/>
      <c r="O105" s="342"/>
      <c r="P105" s="342"/>
      <c r="Q105" s="342"/>
      <c r="R105" s="342"/>
      <c r="S105" s="342"/>
      <c r="T105" s="342"/>
      <c r="U105" s="342"/>
      <c r="V105" s="342"/>
      <c r="W105" s="342"/>
      <c r="X105" s="342"/>
      <c r="Y105" s="342"/>
      <c r="Z105" s="342"/>
      <c r="AA105" s="65"/>
      <c r="AB105" s="65"/>
      <c r="AC105" s="82"/>
    </row>
    <row r="106" spans="1:68" ht="14.25" customHeight="1" x14ac:dyDescent="0.25">
      <c r="A106" s="343" t="s">
        <v>145</v>
      </c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43"/>
      <c r="Q106" s="343"/>
      <c r="R106" s="343"/>
      <c r="S106" s="343"/>
      <c r="T106" s="343"/>
      <c r="U106" s="343"/>
      <c r="V106" s="343"/>
      <c r="W106" s="343"/>
      <c r="X106" s="343"/>
      <c r="Y106" s="343"/>
      <c r="Z106" s="343"/>
      <c r="AA106" s="66"/>
      <c r="AB106" s="66"/>
      <c r="AC106" s="83"/>
    </row>
    <row r="107" spans="1:68" ht="27" customHeight="1" x14ac:dyDescent="0.25">
      <c r="A107" s="63" t="s">
        <v>194</v>
      </c>
      <c r="B107" s="63" t="s">
        <v>195</v>
      </c>
      <c r="C107" s="36">
        <v>4301136070</v>
      </c>
      <c r="D107" s="344">
        <v>4607025784012</v>
      </c>
      <c r="E107" s="344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113</v>
      </c>
      <c r="M107" s="38" t="s">
        <v>86</v>
      </c>
      <c r="N107" s="38"/>
      <c r="O107" s="37">
        <v>180</v>
      </c>
      <c r="P107" s="38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46"/>
      <c r="R107" s="346"/>
      <c r="S107" s="346"/>
      <c r="T107" s="347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196</v>
      </c>
      <c r="AG107" s="81"/>
      <c r="AJ107" s="87" t="s">
        <v>114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197</v>
      </c>
      <c r="B108" s="63" t="s">
        <v>198</v>
      </c>
      <c r="C108" s="36">
        <v>4301136079</v>
      </c>
      <c r="D108" s="344">
        <v>4607025784319</v>
      </c>
      <c r="E108" s="344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113</v>
      </c>
      <c r="M108" s="38" t="s">
        <v>86</v>
      </c>
      <c r="N108" s="38"/>
      <c r="O108" s="37">
        <v>180</v>
      </c>
      <c r="P108" s="38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46"/>
      <c r="R108" s="346"/>
      <c r="S108" s="346"/>
      <c r="T108" s="347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169</v>
      </c>
      <c r="AG108" s="81"/>
      <c r="AJ108" s="87" t="s">
        <v>114</v>
      </c>
      <c r="AK108" s="87">
        <v>14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56"/>
      <c r="B109" s="356"/>
      <c r="C109" s="356"/>
      <c r="D109" s="356"/>
      <c r="E109" s="356"/>
      <c r="F109" s="356"/>
      <c r="G109" s="356"/>
      <c r="H109" s="356"/>
      <c r="I109" s="356"/>
      <c r="J109" s="356"/>
      <c r="K109" s="356"/>
      <c r="L109" s="356"/>
      <c r="M109" s="356"/>
      <c r="N109" s="356"/>
      <c r="O109" s="357"/>
      <c r="P109" s="353" t="s">
        <v>40</v>
      </c>
      <c r="Q109" s="354"/>
      <c r="R109" s="354"/>
      <c r="S109" s="354"/>
      <c r="T109" s="354"/>
      <c r="U109" s="354"/>
      <c r="V109" s="355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56"/>
      <c r="B110" s="356"/>
      <c r="C110" s="356"/>
      <c r="D110" s="356"/>
      <c r="E110" s="356"/>
      <c r="F110" s="356"/>
      <c r="G110" s="356"/>
      <c r="H110" s="356"/>
      <c r="I110" s="356"/>
      <c r="J110" s="356"/>
      <c r="K110" s="356"/>
      <c r="L110" s="356"/>
      <c r="M110" s="356"/>
      <c r="N110" s="356"/>
      <c r="O110" s="357"/>
      <c r="P110" s="353" t="s">
        <v>40</v>
      </c>
      <c r="Q110" s="354"/>
      <c r="R110" s="354"/>
      <c r="S110" s="354"/>
      <c r="T110" s="354"/>
      <c r="U110" s="354"/>
      <c r="V110" s="355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2" t="s">
        <v>199</v>
      </c>
      <c r="B111" s="342"/>
      <c r="C111" s="342"/>
      <c r="D111" s="342"/>
      <c r="E111" s="342"/>
      <c r="F111" s="342"/>
      <c r="G111" s="342"/>
      <c r="H111" s="342"/>
      <c r="I111" s="342"/>
      <c r="J111" s="342"/>
      <c r="K111" s="342"/>
      <c r="L111" s="342"/>
      <c r="M111" s="342"/>
      <c r="N111" s="342"/>
      <c r="O111" s="342"/>
      <c r="P111" s="342"/>
      <c r="Q111" s="342"/>
      <c r="R111" s="342"/>
      <c r="S111" s="342"/>
      <c r="T111" s="342"/>
      <c r="U111" s="342"/>
      <c r="V111" s="342"/>
      <c r="W111" s="342"/>
      <c r="X111" s="342"/>
      <c r="Y111" s="342"/>
      <c r="Z111" s="342"/>
      <c r="AA111" s="65"/>
      <c r="AB111" s="65"/>
      <c r="AC111" s="82"/>
    </row>
    <row r="112" spans="1:68" ht="14.25" customHeight="1" x14ac:dyDescent="0.25">
      <c r="A112" s="343" t="s">
        <v>82</v>
      </c>
      <c r="B112" s="343"/>
      <c r="C112" s="343"/>
      <c r="D112" s="343"/>
      <c r="E112" s="343"/>
      <c r="F112" s="343"/>
      <c r="G112" s="343"/>
      <c r="H112" s="343"/>
      <c r="I112" s="343"/>
      <c r="J112" s="343"/>
      <c r="K112" s="343"/>
      <c r="L112" s="343"/>
      <c r="M112" s="343"/>
      <c r="N112" s="343"/>
      <c r="O112" s="343"/>
      <c r="P112" s="343"/>
      <c r="Q112" s="343"/>
      <c r="R112" s="343"/>
      <c r="S112" s="343"/>
      <c r="T112" s="343"/>
      <c r="U112" s="343"/>
      <c r="V112" s="343"/>
      <c r="W112" s="343"/>
      <c r="X112" s="343"/>
      <c r="Y112" s="343"/>
      <c r="Z112" s="343"/>
      <c r="AA112" s="66"/>
      <c r="AB112" s="66"/>
      <c r="AC112" s="83"/>
    </row>
    <row r="113" spans="1:68" ht="27" customHeight="1" x14ac:dyDescent="0.25">
      <c r="A113" s="63" t="s">
        <v>200</v>
      </c>
      <c r="B113" s="63" t="s">
        <v>201</v>
      </c>
      <c r="C113" s="36">
        <v>4301071074</v>
      </c>
      <c r="D113" s="344">
        <v>4620207491157</v>
      </c>
      <c r="E113" s="344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113</v>
      </c>
      <c r="M113" s="38" t="s">
        <v>86</v>
      </c>
      <c r="N113" s="38"/>
      <c r="O113" s="37">
        <v>180</v>
      </c>
      <c r="P113" s="38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46"/>
      <c r="R113" s="346"/>
      <c r="S113" s="346"/>
      <c r="T113" s="347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19" si="12">IFERROR(IF(X113="","",X113),"")</f>
        <v>0</v>
      </c>
      <c r="Z113" s="41">
        <f t="shared" ref="Z113:Z119" si="13">IFERROR(IF(X113="","",X113*0.0155),"")</f>
        <v>0</v>
      </c>
      <c r="AA113" s="68" t="s">
        <v>46</v>
      </c>
      <c r="AB113" s="69" t="s">
        <v>46</v>
      </c>
      <c r="AC113" s="163" t="s">
        <v>202</v>
      </c>
      <c r="AG113" s="81"/>
      <c r="AJ113" s="87" t="s">
        <v>114</v>
      </c>
      <c r="AK113" s="87">
        <v>12</v>
      </c>
      <c r="BB113" s="164" t="s">
        <v>70</v>
      </c>
      <c r="BM113" s="81">
        <f t="shared" ref="BM113:BM119" si="14">IFERROR(X113*I113,"0")</f>
        <v>0</v>
      </c>
      <c r="BN113" s="81">
        <f t="shared" ref="BN113:BN119" si="15">IFERROR(Y113*I113,"0")</f>
        <v>0</v>
      </c>
      <c r="BO113" s="81">
        <f t="shared" ref="BO113:BO119" si="16">IFERROR(X113/J113,"0")</f>
        <v>0</v>
      </c>
      <c r="BP113" s="81">
        <f t="shared" ref="BP113:BP119" si="17">IFERROR(Y113/J113,"0")</f>
        <v>0</v>
      </c>
    </row>
    <row r="114" spans="1:68" ht="27" customHeight="1" x14ac:dyDescent="0.25">
      <c r="A114" s="63" t="s">
        <v>203</v>
      </c>
      <c r="B114" s="63" t="s">
        <v>204</v>
      </c>
      <c r="C114" s="36">
        <v>4301071121</v>
      </c>
      <c r="D114" s="344">
        <v>4620207491393</v>
      </c>
      <c r="E114" s="344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46"/>
      <c r="R114" s="346"/>
      <c r="S114" s="346"/>
      <c r="T114" s="347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205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206</v>
      </c>
      <c r="B115" s="63" t="s">
        <v>207</v>
      </c>
      <c r="C115" s="36">
        <v>4301071051</v>
      </c>
      <c r="D115" s="344">
        <v>4607111039262</v>
      </c>
      <c r="E115" s="344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113</v>
      </c>
      <c r="M115" s="38" t="s">
        <v>86</v>
      </c>
      <c r="N115" s="38"/>
      <c r="O115" s="37">
        <v>180</v>
      </c>
      <c r="P115" s="39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46"/>
      <c r="R115" s="346"/>
      <c r="S115" s="346"/>
      <c r="T115" s="347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162</v>
      </c>
      <c r="AG115" s="81"/>
      <c r="AJ115" s="87" t="s">
        <v>114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4301071038</v>
      </c>
      <c r="D116" s="344">
        <v>4607111039248</v>
      </c>
      <c r="E116" s="344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39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46"/>
      <c r="R116" s="346"/>
      <c r="S116" s="346"/>
      <c r="T116" s="347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162</v>
      </c>
      <c r="AG116" s="81"/>
      <c r="AJ116" s="87" t="s">
        <v>114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210</v>
      </c>
      <c r="B117" s="63" t="s">
        <v>211</v>
      </c>
      <c r="C117" s="36">
        <v>4301070979</v>
      </c>
      <c r="D117" s="344">
        <v>4607111037145</v>
      </c>
      <c r="E117" s="344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46"/>
      <c r="R117" s="346"/>
      <c r="S117" s="346"/>
      <c r="T117" s="347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212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4301071049</v>
      </c>
      <c r="D118" s="344">
        <v>4607111039293</v>
      </c>
      <c r="E118" s="344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113</v>
      </c>
      <c r="M118" s="38" t="s">
        <v>86</v>
      </c>
      <c r="N118" s="38"/>
      <c r="O118" s="37">
        <v>180</v>
      </c>
      <c r="P118" s="39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46"/>
      <c r="R118" s="346"/>
      <c r="S118" s="346"/>
      <c r="T118" s="347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162</v>
      </c>
      <c r="AG118" s="81"/>
      <c r="AJ118" s="87" t="s">
        <v>114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215</v>
      </c>
      <c r="B119" s="63" t="s">
        <v>216</v>
      </c>
      <c r="C119" s="36">
        <v>4301071039</v>
      </c>
      <c r="D119" s="344">
        <v>4607111039279</v>
      </c>
      <c r="E119" s="344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39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46"/>
      <c r="R119" s="346"/>
      <c r="S119" s="346"/>
      <c r="T119" s="347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162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x14ac:dyDescent="0.2">
      <c r="A120" s="356"/>
      <c r="B120" s="356"/>
      <c r="C120" s="356"/>
      <c r="D120" s="356"/>
      <c r="E120" s="356"/>
      <c r="F120" s="356"/>
      <c r="G120" s="356"/>
      <c r="H120" s="356"/>
      <c r="I120" s="356"/>
      <c r="J120" s="356"/>
      <c r="K120" s="356"/>
      <c r="L120" s="356"/>
      <c r="M120" s="356"/>
      <c r="N120" s="356"/>
      <c r="O120" s="357"/>
      <c r="P120" s="353" t="s">
        <v>40</v>
      </c>
      <c r="Q120" s="354"/>
      <c r="R120" s="354"/>
      <c r="S120" s="354"/>
      <c r="T120" s="354"/>
      <c r="U120" s="354"/>
      <c r="V120" s="355"/>
      <c r="W120" s="42" t="s">
        <v>39</v>
      </c>
      <c r="X120" s="43">
        <f>IFERROR(SUM(X113:X119),"0")</f>
        <v>0</v>
      </c>
      <c r="Y120" s="43">
        <f>IFERROR(SUM(Y113:Y119),"0")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356"/>
      <c r="B121" s="356"/>
      <c r="C121" s="356"/>
      <c r="D121" s="356"/>
      <c r="E121" s="356"/>
      <c r="F121" s="356"/>
      <c r="G121" s="356"/>
      <c r="H121" s="356"/>
      <c r="I121" s="356"/>
      <c r="J121" s="356"/>
      <c r="K121" s="356"/>
      <c r="L121" s="356"/>
      <c r="M121" s="356"/>
      <c r="N121" s="356"/>
      <c r="O121" s="357"/>
      <c r="P121" s="353" t="s">
        <v>40</v>
      </c>
      <c r="Q121" s="354"/>
      <c r="R121" s="354"/>
      <c r="S121" s="354"/>
      <c r="T121" s="354"/>
      <c r="U121" s="354"/>
      <c r="V121" s="355"/>
      <c r="W121" s="42" t="s">
        <v>0</v>
      </c>
      <c r="X121" s="43">
        <f>IFERROR(SUMPRODUCT(X113:X119*H113:H119),"0")</f>
        <v>0</v>
      </c>
      <c r="Y121" s="43">
        <f>IFERROR(SUMPRODUCT(Y113:Y119*H113:H119),"0")</f>
        <v>0</v>
      </c>
      <c r="Z121" s="42"/>
      <c r="AA121" s="67"/>
      <c r="AB121" s="67"/>
      <c r="AC121" s="67"/>
    </row>
    <row r="122" spans="1:68" ht="14.25" customHeight="1" x14ac:dyDescent="0.25">
      <c r="A122" s="343" t="s">
        <v>151</v>
      </c>
      <c r="B122" s="343"/>
      <c r="C122" s="343"/>
      <c r="D122" s="343"/>
      <c r="E122" s="343"/>
      <c r="F122" s="343"/>
      <c r="G122" s="343"/>
      <c r="H122" s="343"/>
      <c r="I122" s="343"/>
      <c r="J122" s="343"/>
      <c r="K122" s="343"/>
      <c r="L122" s="343"/>
      <c r="M122" s="343"/>
      <c r="N122" s="343"/>
      <c r="O122" s="343"/>
      <c r="P122" s="343"/>
      <c r="Q122" s="343"/>
      <c r="R122" s="343"/>
      <c r="S122" s="343"/>
      <c r="T122" s="343"/>
      <c r="U122" s="343"/>
      <c r="V122" s="343"/>
      <c r="W122" s="343"/>
      <c r="X122" s="343"/>
      <c r="Y122" s="343"/>
      <c r="Z122" s="343"/>
      <c r="AA122" s="66"/>
      <c r="AB122" s="66"/>
      <c r="AC122" s="83"/>
    </row>
    <row r="123" spans="1:68" ht="27" customHeight="1" x14ac:dyDescent="0.25">
      <c r="A123" s="63" t="s">
        <v>217</v>
      </c>
      <c r="B123" s="63" t="s">
        <v>218</v>
      </c>
      <c r="C123" s="36">
        <v>4301135826</v>
      </c>
      <c r="D123" s="344">
        <v>4620207490983</v>
      </c>
      <c r="E123" s="344"/>
      <c r="F123" s="62">
        <v>0.22</v>
      </c>
      <c r="G123" s="37">
        <v>12</v>
      </c>
      <c r="H123" s="62">
        <v>2.64</v>
      </c>
      <c r="I123" s="62">
        <v>3.3435999999999999</v>
      </c>
      <c r="J123" s="37">
        <v>70</v>
      </c>
      <c r="K123" s="37" t="s">
        <v>112</v>
      </c>
      <c r="L123" s="37" t="s">
        <v>88</v>
      </c>
      <c r="M123" s="38" t="s">
        <v>86</v>
      </c>
      <c r="N123" s="38"/>
      <c r="O123" s="37">
        <v>180</v>
      </c>
      <c r="P123" s="39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46"/>
      <c r="R123" s="346"/>
      <c r="S123" s="346"/>
      <c r="T123" s="347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7" t="s">
        <v>219</v>
      </c>
      <c r="AG123" s="81"/>
      <c r="AJ123" s="87" t="s">
        <v>89</v>
      </c>
      <c r="AK123" s="87">
        <v>1</v>
      </c>
      <c r="BB123" s="178" t="s">
        <v>111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356"/>
      <c r="B124" s="356"/>
      <c r="C124" s="356"/>
      <c r="D124" s="356"/>
      <c r="E124" s="356"/>
      <c r="F124" s="356"/>
      <c r="G124" s="356"/>
      <c r="H124" s="356"/>
      <c r="I124" s="356"/>
      <c r="J124" s="356"/>
      <c r="K124" s="356"/>
      <c r="L124" s="356"/>
      <c r="M124" s="356"/>
      <c r="N124" s="356"/>
      <c r="O124" s="357"/>
      <c r="P124" s="353" t="s">
        <v>40</v>
      </c>
      <c r="Q124" s="354"/>
      <c r="R124" s="354"/>
      <c r="S124" s="354"/>
      <c r="T124" s="354"/>
      <c r="U124" s="354"/>
      <c r="V124" s="355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356"/>
      <c r="B125" s="356"/>
      <c r="C125" s="356"/>
      <c r="D125" s="356"/>
      <c r="E125" s="356"/>
      <c r="F125" s="356"/>
      <c r="G125" s="356"/>
      <c r="H125" s="356"/>
      <c r="I125" s="356"/>
      <c r="J125" s="356"/>
      <c r="K125" s="356"/>
      <c r="L125" s="356"/>
      <c r="M125" s="356"/>
      <c r="N125" s="356"/>
      <c r="O125" s="357"/>
      <c r="P125" s="353" t="s">
        <v>40</v>
      </c>
      <c r="Q125" s="354"/>
      <c r="R125" s="354"/>
      <c r="S125" s="354"/>
      <c r="T125" s="354"/>
      <c r="U125" s="354"/>
      <c r="V125" s="355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4.25" customHeight="1" x14ac:dyDescent="0.25">
      <c r="A126" s="343" t="s">
        <v>220</v>
      </c>
      <c r="B126" s="343"/>
      <c r="C126" s="343"/>
      <c r="D126" s="343"/>
      <c r="E126" s="343"/>
      <c r="F126" s="343"/>
      <c r="G126" s="343"/>
      <c r="H126" s="343"/>
      <c r="I126" s="343"/>
      <c r="J126" s="343"/>
      <c r="K126" s="343"/>
      <c r="L126" s="343"/>
      <c r="M126" s="343"/>
      <c r="N126" s="343"/>
      <c r="O126" s="343"/>
      <c r="P126" s="343"/>
      <c r="Q126" s="343"/>
      <c r="R126" s="343"/>
      <c r="S126" s="343"/>
      <c r="T126" s="343"/>
      <c r="U126" s="343"/>
      <c r="V126" s="343"/>
      <c r="W126" s="343"/>
      <c r="X126" s="343"/>
      <c r="Y126" s="343"/>
      <c r="Z126" s="343"/>
      <c r="AA126" s="66"/>
      <c r="AB126" s="66"/>
      <c r="AC126" s="83"/>
    </row>
    <row r="127" spans="1:68" ht="27" customHeight="1" x14ac:dyDescent="0.25">
      <c r="A127" s="63" t="s">
        <v>221</v>
      </c>
      <c r="B127" s="63" t="s">
        <v>222</v>
      </c>
      <c r="C127" s="36">
        <v>4301071094</v>
      </c>
      <c r="D127" s="344">
        <v>4620207491140</v>
      </c>
      <c r="E127" s="344"/>
      <c r="F127" s="62">
        <v>0.6</v>
      </c>
      <c r="G127" s="37">
        <v>10</v>
      </c>
      <c r="H127" s="62">
        <v>6</v>
      </c>
      <c r="I127" s="62">
        <v>6.28</v>
      </c>
      <c r="J127" s="37">
        <v>84</v>
      </c>
      <c r="K127" s="37" t="s">
        <v>87</v>
      </c>
      <c r="L127" s="37" t="s">
        <v>88</v>
      </c>
      <c r="M127" s="38" t="s">
        <v>86</v>
      </c>
      <c r="N127" s="38"/>
      <c r="O127" s="37">
        <v>180</v>
      </c>
      <c r="P127" s="39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346"/>
      <c r="R127" s="346"/>
      <c r="S127" s="346"/>
      <c r="T127" s="347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IFERROR(IF(X127="","",X127*0.0155),"")</f>
        <v>0</v>
      </c>
      <c r="AA127" s="68" t="s">
        <v>46</v>
      </c>
      <c r="AB127" s="69" t="s">
        <v>46</v>
      </c>
      <c r="AC127" s="179" t="s">
        <v>223</v>
      </c>
      <c r="AG127" s="81"/>
      <c r="AJ127" s="87" t="s">
        <v>89</v>
      </c>
      <c r="AK127" s="87">
        <v>1</v>
      </c>
      <c r="BB127" s="180" t="s">
        <v>111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x14ac:dyDescent="0.2">
      <c r="A128" s="356"/>
      <c r="B128" s="356"/>
      <c r="C128" s="356"/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7"/>
      <c r="P128" s="353" t="s">
        <v>40</v>
      </c>
      <c r="Q128" s="354"/>
      <c r="R128" s="354"/>
      <c r="S128" s="354"/>
      <c r="T128" s="354"/>
      <c r="U128" s="354"/>
      <c r="V128" s="355"/>
      <c r="W128" s="42" t="s">
        <v>39</v>
      </c>
      <c r="X128" s="43">
        <f>IFERROR(SUM(X127:X127),"0")</f>
        <v>0</v>
      </c>
      <c r="Y128" s="43">
        <f>IFERROR(SUM(Y127:Y127),"0")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356"/>
      <c r="B129" s="356"/>
      <c r="C129" s="356"/>
      <c r="D129" s="356"/>
      <c r="E129" s="356"/>
      <c r="F129" s="356"/>
      <c r="G129" s="356"/>
      <c r="H129" s="356"/>
      <c r="I129" s="356"/>
      <c r="J129" s="356"/>
      <c r="K129" s="356"/>
      <c r="L129" s="356"/>
      <c r="M129" s="356"/>
      <c r="N129" s="356"/>
      <c r="O129" s="357"/>
      <c r="P129" s="353" t="s">
        <v>40</v>
      </c>
      <c r="Q129" s="354"/>
      <c r="R129" s="354"/>
      <c r="S129" s="354"/>
      <c r="T129" s="354"/>
      <c r="U129" s="354"/>
      <c r="V129" s="355"/>
      <c r="W129" s="42" t="s">
        <v>0</v>
      </c>
      <c r="X129" s="43">
        <f>IFERROR(SUMPRODUCT(X127:X127*H127:H127),"0")</f>
        <v>0</v>
      </c>
      <c r="Y129" s="43">
        <f>IFERROR(SUMPRODUCT(Y127:Y127*H127:H127),"0")</f>
        <v>0</v>
      </c>
      <c r="Z129" s="42"/>
      <c r="AA129" s="67"/>
      <c r="AB129" s="67"/>
      <c r="AC129" s="67"/>
    </row>
    <row r="130" spans="1:68" ht="16.5" customHeight="1" x14ac:dyDescent="0.25">
      <c r="A130" s="342" t="s">
        <v>224</v>
      </c>
      <c r="B130" s="342"/>
      <c r="C130" s="342"/>
      <c r="D130" s="342"/>
      <c r="E130" s="342"/>
      <c r="F130" s="342"/>
      <c r="G130" s="342"/>
      <c r="H130" s="342"/>
      <c r="I130" s="342"/>
      <c r="J130" s="342"/>
      <c r="K130" s="342"/>
      <c r="L130" s="342"/>
      <c r="M130" s="342"/>
      <c r="N130" s="342"/>
      <c r="O130" s="342"/>
      <c r="P130" s="342"/>
      <c r="Q130" s="342"/>
      <c r="R130" s="342"/>
      <c r="S130" s="342"/>
      <c r="T130" s="342"/>
      <c r="U130" s="342"/>
      <c r="V130" s="342"/>
      <c r="W130" s="342"/>
      <c r="X130" s="342"/>
      <c r="Y130" s="342"/>
      <c r="Z130" s="342"/>
      <c r="AA130" s="65"/>
      <c r="AB130" s="65"/>
      <c r="AC130" s="82"/>
    </row>
    <row r="131" spans="1:68" ht="14.25" customHeight="1" x14ac:dyDescent="0.25">
      <c r="A131" s="343" t="s">
        <v>151</v>
      </c>
      <c r="B131" s="343"/>
      <c r="C131" s="343"/>
      <c r="D131" s="343"/>
      <c r="E131" s="343"/>
      <c r="F131" s="343"/>
      <c r="G131" s="343"/>
      <c r="H131" s="343"/>
      <c r="I131" s="343"/>
      <c r="J131" s="343"/>
      <c r="K131" s="343"/>
      <c r="L131" s="343"/>
      <c r="M131" s="343"/>
      <c r="N131" s="343"/>
      <c r="O131" s="343"/>
      <c r="P131" s="343"/>
      <c r="Q131" s="343"/>
      <c r="R131" s="343"/>
      <c r="S131" s="343"/>
      <c r="T131" s="343"/>
      <c r="U131" s="343"/>
      <c r="V131" s="343"/>
      <c r="W131" s="343"/>
      <c r="X131" s="343"/>
      <c r="Y131" s="343"/>
      <c r="Z131" s="343"/>
      <c r="AA131" s="66"/>
      <c r="AB131" s="66"/>
      <c r="AC131" s="83"/>
    </row>
    <row r="132" spans="1:68" ht="27" customHeight="1" x14ac:dyDescent="0.25">
      <c r="A132" s="63" t="s">
        <v>225</v>
      </c>
      <c r="B132" s="63" t="s">
        <v>226</v>
      </c>
      <c r="C132" s="36">
        <v>4301135555</v>
      </c>
      <c r="D132" s="344">
        <v>4607111034014</v>
      </c>
      <c r="E132" s="344"/>
      <c r="F132" s="62">
        <v>0.25</v>
      </c>
      <c r="G132" s="37">
        <v>12</v>
      </c>
      <c r="H132" s="62">
        <v>3</v>
      </c>
      <c r="I132" s="62">
        <v>3.7035999999999998</v>
      </c>
      <c r="J132" s="37">
        <v>70</v>
      </c>
      <c r="K132" s="37" t="s">
        <v>112</v>
      </c>
      <c r="L132" s="37" t="s">
        <v>113</v>
      </c>
      <c r="M132" s="38" t="s">
        <v>86</v>
      </c>
      <c r="N132" s="38"/>
      <c r="O132" s="37">
        <v>180</v>
      </c>
      <c r="P132" s="39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346"/>
      <c r="R132" s="346"/>
      <c r="S132" s="346"/>
      <c r="T132" s="347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IFERROR(IF(X132="","",X132*0.01788),"")</f>
        <v>0</v>
      </c>
      <c r="AA132" s="68" t="s">
        <v>46</v>
      </c>
      <c r="AB132" s="69" t="s">
        <v>46</v>
      </c>
      <c r="AC132" s="181" t="s">
        <v>227</v>
      </c>
      <c r="AG132" s="81"/>
      <c r="AJ132" s="87" t="s">
        <v>114</v>
      </c>
      <c r="AK132" s="87">
        <v>14</v>
      </c>
      <c r="BB132" s="182" t="s">
        <v>111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228</v>
      </c>
      <c r="B133" s="63" t="s">
        <v>229</v>
      </c>
      <c r="C133" s="36">
        <v>4301135532</v>
      </c>
      <c r="D133" s="344">
        <v>4607111033994</v>
      </c>
      <c r="E133" s="344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230</v>
      </c>
      <c r="M133" s="38" t="s">
        <v>86</v>
      </c>
      <c r="N133" s="38"/>
      <c r="O133" s="37">
        <v>180</v>
      </c>
      <c r="P133" s="39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346"/>
      <c r="R133" s="346"/>
      <c r="S133" s="346"/>
      <c r="T133" s="347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169</v>
      </c>
      <c r="AG133" s="81"/>
      <c r="AJ133" s="87" t="s">
        <v>231</v>
      </c>
      <c r="AK133" s="87">
        <v>70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356"/>
      <c r="B134" s="356"/>
      <c r="C134" s="356"/>
      <c r="D134" s="356"/>
      <c r="E134" s="356"/>
      <c r="F134" s="356"/>
      <c r="G134" s="356"/>
      <c r="H134" s="356"/>
      <c r="I134" s="356"/>
      <c r="J134" s="356"/>
      <c r="K134" s="356"/>
      <c r="L134" s="356"/>
      <c r="M134" s="356"/>
      <c r="N134" s="356"/>
      <c r="O134" s="357"/>
      <c r="P134" s="353" t="s">
        <v>40</v>
      </c>
      <c r="Q134" s="354"/>
      <c r="R134" s="354"/>
      <c r="S134" s="354"/>
      <c r="T134" s="354"/>
      <c r="U134" s="354"/>
      <c r="V134" s="355"/>
      <c r="W134" s="42" t="s">
        <v>39</v>
      </c>
      <c r="X134" s="43">
        <f>IFERROR(SUM(X132:X133),"0")</f>
        <v>0</v>
      </c>
      <c r="Y134" s="43">
        <f>IFERROR(SUM(Y132:Y133),"0")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356"/>
      <c r="B135" s="356"/>
      <c r="C135" s="356"/>
      <c r="D135" s="356"/>
      <c r="E135" s="356"/>
      <c r="F135" s="356"/>
      <c r="G135" s="356"/>
      <c r="H135" s="356"/>
      <c r="I135" s="356"/>
      <c r="J135" s="356"/>
      <c r="K135" s="356"/>
      <c r="L135" s="356"/>
      <c r="M135" s="356"/>
      <c r="N135" s="356"/>
      <c r="O135" s="357"/>
      <c r="P135" s="353" t="s">
        <v>40</v>
      </c>
      <c r="Q135" s="354"/>
      <c r="R135" s="354"/>
      <c r="S135" s="354"/>
      <c r="T135" s="354"/>
      <c r="U135" s="354"/>
      <c r="V135" s="355"/>
      <c r="W135" s="42" t="s">
        <v>0</v>
      </c>
      <c r="X135" s="43">
        <f>IFERROR(SUMPRODUCT(X132:X133*H132:H133),"0")</f>
        <v>0</v>
      </c>
      <c r="Y135" s="43">
        <f>IFERROR(SUMPRODUCT(Y132:Y133*H132:H133),"0")</f>
        <v>0</v>
      </c>
      <c r="Z135" s="42"/>
      <c r="AA135" s="67"/>
      <c r="AB135" s="67"/>
      <c r="AC135" s="67"/>
    </row>
    <row r="136" spans="1:68" ht="16.5" customHeight="1" x14ac:dyDescent="0.25">
      <c r="A136" s="342" t="s">
        <v>232</v>
      </c>
      <c r="B136" s="342"/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  <c r="AA136" s="65"/>
      <c r="AB136" s="65"/>
      <c r="AC136" s="82"/>
    </row>
    <row r="137" spans="1:68" ht="14.25" customHeight="1" x14ac:dyDescent="0.25">
      <c r="A137" s="343" t="s">
        <v>151</v>
      </c>
      <c r="B137" s="343"/>
      <c r="C137" s="343"/>
      <c r="D137" s="343"/>
      <c r="E137" s="343"/>
      <c r="F137" s="343"/>
      <c r="G137" s="343"/>
      <c r="H137" s="343"/>
      <c r="I137" s="343"/>
      <c r="J137" s="343"/>
      <c r="K137" s="343"/>
      <c r="L137" s="343"/>
      <c r="M137" s="343"/>
      <c r="N137" s="343"/>
      <c r="O137" s="343"/>
      <c r="P137" s="343"/>
      <c r="Q137" s="343"/>
      <c r="R137" s="343"/>
      <c r="S137" s="343"/>
      <c r="T137" s="343"/>
      <c r="U137" s="343"/>
      <c r="V137" s="343"/>
      <c r="W137" s="343"/>
      <c r="X137" s="343"/>
      <c r="Y137" s="343"/>
      <c r="Z137" s="343"/>
      <c r="AA137" s="66"/>
      <c r="AB137" s="66"/>
      <c r="AC137" s="83"/>
    </row>
    <row r="138" spans="1:68" ht="27" customHeight="1" x14ac:dyDescent="0.25">
      <c r="A138" s="63" t="s">
        <v>233</v>
      </c>
      <c r="B138" s="63" t="s">
        <v>234</v>
      </c>
      <c r="C138" s="36">
        <v>4301135824</v>
      </c>
      <c r="D138" s="344">
        <v>4607111039095</v>
      </c>
      <c r="E138" s="344"/>
      <c r="F138" s="62">
        <v>0.25</v>
      </c>
      <c r="G138" s="37">
        <v>12</v>
      </c>
      <c r="H138" s="62">
        <v>3</v>
      </c>
      <c r="I138" s="62">
        <v>3.7480000000000002</v>
      </c>
      <c r="J138" s="37">
        <v>70</v>
      </c>
      <c r="K138" s="37" t="s">
        <v>112</v>
      </c>
      <c r="L138" s="37" t="s">
        <v>88</v>
      </c>
      <c r="M138" s="38" t="s">
        <v>86</v>
      </c>
      <c r="N138" s="38"/>
      <c r="O138" s="37">
        <v>180</v>
      </c>
      <c r="P138" s="40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346"/>
      <c r="R138" s="346"/>
      <c r="S138" s="346"/>
      <c r="T138" s="347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IFERROR(IF(X138="","",X138*0.01788),"")</f>
        <v>0</v>
      </c>
      <c r="AA138" s="68" t="s">
        <v>46</v>
      </c>
      <c r="AB138" s="69" t="s">
        <v>46</v>
      </c>
      <c r="AC138" s="185" t="s">
        <v>235</v>
      </c>
      <c r="AG138" s="81"/>
      <c r="AJ138" s="87" t="s">
        <v>89</v>
      </c>
      <c r="AK138" s="87">
        <v>1</v>
      </c>
      <c r="BB138" s="186" t="s">
        <v>111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16.5" customHeight="1" x14ac:dyDescent="0.25">
      <c r="A139" s="63" t="s">
        <v>236</v>
      </c>
      <c r="B139" s="63" t="s">
        <v>237</v>
      </c>
      <c r="C139" s="36">
        <v>4301135550</v>
      </c>
      <c r="D139" s="344">
        <v>4607111034199</v>
      </c>
      <c r="E139" s="344"/>
      <c r="F139" s="62">
        <v>0.25</v>
      </c>
      <c r="G139" s="37">
        <v>12</v>
      </c>
      <c r="H139" s="62">
        <v>3</v>
      </c>
      <c r="I139" s="62">
        <v>3.7035999999999998</v>
      </c>
      <c r="J139" s="37">
        <v>70</v>
      </c>
      <c r="K139" s="37" t="s">
        <v>112</v>
      </c>
      <c r="L139" s="37" t="s">
        <v>113</v>
      </c>
      <c r="M139" s="38" t="s">
        <v>86</v>
      </c>
      <c r="N139" s="38"/>
      <c r="O139" s="37">
        <v>180</v>
      </c>
      <c r="P139" s="40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346"/>
      <c r="R139" s="346"/>
      <c r="S139" s="346"/>
      <c r="T139" s="347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114</v>
      </c>
      <c r="AK139" s="87">
        <v>14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356"/>
      <c r="B140" s="356"/>
      <c r="C140" s="356"/>
      <c r="D140" s="356"/>
      <c r="E140" s="356"/>
      <c r="F140" s="356"/>
      <c r="G140" s="356"/>
      <c r="H140" s="356"/>
      <c r="I140" s="356"/>
      <c r="J140" s="356"/>
      <c r="K140" s="356"/>
      <c r="L140" s="356"/>
      <c r="M140" s="356"/>
      <c r="N140" s="356"/>
      <c r="O140" s="357"/>
      <c r="P140" s="353" t="s">
        <v>40</v>
      </c>
      <c r="Q140" s="354"/>
      <c r="R140" s="354"/>
      <c r="S140" s="354"/>
      <c r="T140" s="354"/>
      <c r="U140" s="354"/>
      <c r="V140" s="355"/>
      <c r="W140" s="42" t="s">
        <v>39</v>
      </c>
      <c r="X140" s="43">
        <f>IFERROR(SUM(X138:X139),"0")</f>
        <v>0</v>
      </c>
      <c r="Y140" s="43">
        <f>IFERROR(SUM(Y138:Y139),"0")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356"/>
      <c r="B141" s="356"/>
      <c r="C141" s="356"/>
      <c r="D141" s="356"/>
      <c r="E141" s="356"/>
      <c r="F141" s="356"/>
      <c r="G141" s="356"/>
      <c r="H141" s="356"/>
      <c r="I141" s="356"/>
      <c r="J141" s="356"/>
      <c r="K141" s="356"/>
      <c r="L141" s="356"/>
      <c r="M141" s="356"/>
      <c r="N141" s="356"/>
      <c r="O141" s="357"/>
      <c r="P141" s="353" t="s">
        <v>40</v>
      </c>
      <c r="Q141" s="354"/>
      <c r="R141" s="354"/>
      <c r="S141" s="354"/>
      <c r="T141" s="354"/>
      <c r="U141" s="354"/>
      <c r="V141" s="355"/>
      <c r="W141" s="42" t="s">
        <v>0</v>
      </c>
      <c r="X141" s="43">
        <f>IFERROR(SUMPRODUCT(X138:X139*H138:H139),"0")</f>
        <v>0</v>
      </c>
      <c r="Y141" s="43">
        <f>IFERROR(SUMPRODUCT(Y138:Y139*H138:H139),"0")</f>
        <v>0</v>
      </c>
      <c r="Z141" s="42"/>
      <c r="AA141" s="67"/>
      <c r="AB141" s="67"/>
      <c r="AC141" s="67"/>
    </row>
    <row r="142" spans="1:68" ht="16.5" customHeight="1" x14ac:dyDescent="0.25">
      <c r="A142" s="342" t="s">
        <v>239</v>
      </c>
      <c r="B142" s="342"/>
      <c r="C142" s="342"/>
      <c r="D142" s="342"/>
      <c r="E142" s="342"/>
      <c r="F142" s="342"/>
      <c r="G142" s="342"/>
      <c r="H142" s="342"/>
      <c r="I142" s="342"/>
      <c r="J142" s="342"/>
      <c r="K142" s="342"/>
      <c r="L142" s="342"/>
      <c r="M142" s="342"/>
      <c r="N142" s="342"/>
      <c r="O142" s="342"/>
      <c r="P142" s="342"/>
      <c r="Q142" s="342"/>
      <c r="R142" s="342"/>
      <c r="S142" s="342"/>
      <c r="T142" s="342"/>
      <c r="U142" s="342"/>
      <c r="V142" s="342"/>
      <c r="W142" s="342"/>
      <c r="X142" s="342"/>
      <c r="Y142" s="342"/>
      <c r="Z142" s="342"/>
      <c r="AA142" s="65"/>
      <c r="AB142" s="65"/>
      <c r="AC142" s="82"/>
    </row>
    <row r="143" spans="1:68" ht="14.25" customHeight="1" x14ac:dyDescent="0.25">
      <c r="A143" s="343" t="s">
        <v>151</v>
      </c>
      <c r="B143" s="343"/>
      <c r="C143" s="343"/>
      <c r="D143" s="343"/>
      <c r="E143" s="343"/>
      <c r="F143" s="343"/>
      <c r="G143" s="343"/>
      <c r="H143" s="343"/>
      <c r="I143" s="343"/>
      <c r="J143" s="343"/>
      <c r="K143" s="343"/>
      <c r="L143" s="343"/>
      <c r="M143" s="343"/>
      <c r="N143" s="343"/>
      <c r="O143" s="343"/>
      <c r="P143" s="343"/>
      <c r="Q143" s="343"/>
      <c r="R143" s="343"/>
      <c r="S143" s="343"/>
      <c r="T143" s="343"/>
      <c r="U143" s="343"/>
      <c r="V143" s="343"/>
      <c r="W143" s="343"/>
      <c r="X143" s="343"/>
      <c r="Y143" s="343"/>
      <c r="Z143" s="343"/>
      <c r="AA143" s="66"/>
      <c r="AB143" s="66"/>
      <c r="AC143" s="83"/>
    </row>
    <row r="144" spans="1:68" ht="27" customHeight="1" x14ac:dyDescent="0.25">
      <c r="A144" s="63" t="s">
        <v>240</v>
      </c>
      <c r="B144" s="63" t="s">
        <v>241</v>
      </c>
      <c r="C144" s="36">
        <v>4301135753</v>
      </c>
      <c r="D144" s="344">
        <v>4620207490914</v>
      </c>
      <c r="E144" s="344"/>
      <c r="F144" s="62">
        <v>0.2</v>
      </c>
      <c r="G144" s="37">
        <v>12</v>
      </c>
      <c r="H144" s="62">
        <v>2.4</v>
      </c>
      <c r="I144" s="62">
        <v>2.68</v>
      </c>
      <c r="J144" s="37">
        <v>70</v>
      </c>
      <c r="K144" s="37" t="s">
        <v>112</v>
      </c>
      <c r="L144" s="37" t="s">
        <v>88</v>
      </c>
      <c r="M144" s="38" t="s">
        <v>86</v>
      </c>
      <c r="N144" s="38"/>
      <c r="O144" s="37">
        <v>180</v>
      </c>
      <c r="P144" s="40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346"/>
      <c r="R144" s="346"/>
      <c r="S144" s="346"/>
      <c r="T144" s="347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89" t="s">
        <v>227</v>
      </c>
      <c r="AG144" s="81"/>
      <c r="AJ144" s="87" t="s">
        <v>89</v>
      </c>
      <c r="AK144" s="87">
        <v>1</v>
      </c>
      <c r="BB144" s="190" t="s">
        <v>111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t="27" customHeight="1" x14ac:dyDescent="0.25">
      <c r="A145" s="63" t="s">
        <v>242</v>
      </c>
      <c r="B145" s="63" t="s">
        <v>243</v>
      </c>
      <c r="C145" s="36">
        <v>4301135778</v>
      </c>
      <c r="D145" s="344">
        <v>4620207490853</v>
      </c>
      <c r="E145" s="344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113</v>
      </c>
      <c r="M145" s="38" t="s">
        <v>86</v>
      </c>
      <c r="N145" s="38"/>
      <c r="O145" s="37">
        <v>180</v>
      </c>
      <c r="P145" s="40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346"/>
      <c r="R145" s="346"/>
      <c r="S145" s="346"/>
      <c r="T145" s="347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227</v>
      </c>
      <c r="AG145" s="81"/>
      <c r="AJ145" s="87" t="s">
        <v>114</v>
      </c>
      <c r="AK145" s="87">
        <v>14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356"/>
      <c r="B146" s="356"/>
      <c r="C146" s="356"/>
      <c r="D146" s="356"/>
      <c r="E146" s="356"/>
      <c r="F146" s="356"/>
      <c r="G146" s="356"/>
      <c r="H146" s="356"/>
      <c r="I146" s="356"/>
      <c r="J146" s="356"/>
      <c r="K146" s="356"/>
      <c r="L146" s="356"/>
      <c r="M146" s="356"/>
      <c r="N146" s="356"/>
      <c r="O146" s="357"/>
      <c r="P146" s="353" t="s">
        <v>40</v>
      </c>
      <c r="Q146" s="354"/>
      <c r="R146" s="354"/>
      <c r="S146" s="354"/>
      <c r="T146" s="354"/>
      <c r="U146" s="354"/>
      <c r="V146" s="355"/>
      <c r="W146" s="42" t="s">
        <v>39</v>
      </c>
      <c r="X146" s="43">
        <f>IFERROR(SUM(X144:X145),"0")</f>
        <v>0</v>
      </c>
      <c r="Y146" s="43">
        <f>IFERROR(SUM(Y144:Y145),"0")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356"/>
      <c r="B147" s="356"/>
      <c r="C147" s="356"/>
      <c r="D147" s="356"/>
      <c r="E147" s="356"/>
      <c r="F147" s="356"/>
      <c r="G147" s="356"/>
      <c r="H147" s="356"/>
      <c r="I147" s="356"/>
      <c r="J147" s="356"/>
      <c r="K147" s="356"/>
      <c r="L147" s="356"/>
      <c r="M147" s="356"/>
      <c r="N147" s="356"/>
      <c r="O147" s="357"/>
      <c r="P147" s="353" t="s">
        <v>40</v>
      </c>
      <c r="Q147" s="354"/>
      <c r="R147" s="354"/>
      <c r="S147" s="354"/>
      <c r="T147" s="354"/>
      <c r="U147" s="354"/>
      <c r="V147" s="355"/>
      <c r="W147" s="42" t="s">
        <v>0</v>
      </c>
      <c r="X147" s="43">
        <f>IFERROR(SUMPRODUCT(X144:X145*H144:H145),"0")</f>
        <v>0</v>
      </c>
      <c r="Y147" s="43">
        <f>IFERROR(SUMPRODUCT(Y144:Y145*H144:H145),"0")</f>
        <v>0</v>
      </c>
      <c r="Z147" s="42"/>
      <c r="AA147" s="67"/>
      <c r="AB147" s="67"/>
      <c r="AC147" s="67"/>
    </row>
    <row r="148" spans="1:68" ht="16.5" customHeight="1" x14ac:dyDescent="0.25">
      <c r="A148" s="342" t="s">
        <v>244</v>
      </c>
      <c r="B148" s="342"/>
      <c r="C148" s="342"/>
      <c r="D148" s="342"/>
      <c r="E148" s="342"/>
      <c r="F148" s="342"/>
      <c r="G148" s="342"/>
      <c r="H148" s="342"/>
      <c r="I148" s="342"/>
      <c r="J148" s="342"/>
      <c r="K148" s="342"/>
      <c r="L148" s="342"/>
      <c r="M148" s="342"/>
      <c r="N148" s="342"/>
      <c r="O148" s="342"/>
      <c r="P148" s="342"/>
      <c r="Q148" s="342"/>
      <c r="R148" s="342"/>
      <c r="S148" s="342"/>
      <c r="T148" s="342"/>
      <c r="U148" s="342"/>
      <c r="V148" s="342"/>
      <c r="W148" s="342"/>
      <c r="X148" s="342"/>
      <c r="Y148" s="342"/>
      <c r="Z148" s="342"/>
      <c r="AA148" s="65"/>
      <c r="AB148" s="65"/>
      <c r="AC148" s="82"/>
    </row>
    <row r="149" spans="1:68" ht="14.25" customHeight="1" x14ac:dyDescent="0.25">
      <c r="A149" s="343" t="s">
        <v>151</v>
      </c>
      <c r="B149" s="343"/>
      <c r="C149" s="343"/>
      <c r="D149" s="343"/>
      <c r="E149" s="343"/>
      <c r="F149" s="343"/>
      <c r="G149" s="343"/>
      <c r="H149" s="343"/>
      <c r="I149" s="343"/>
      <c r="J149" s="343"/>
      <c r="K149" s="343"/>
      <c r="L149" s="343"/>
      <c r="M149" s="343"/>
      <c r="N149" s="343"/>
      <c r="O149" s="343"/>
      <c r="P149" s="343"/>
      <c r="Q149" s="343"/>
      <c r="R149" s="343"/>
      <c r="S149" s="343"/>
      <c r="T149" s="343"/>
      <c r="U149" s="343"/>
      <c r="V149" s="343"/>
      <c r="W149" s="343"/>
      <c r="X149" s="343"/>
      <c r="Y149" s="343"/>
      <c r="Z149" s="343"/>
      <c r="AA149" s="66"/>
      <c r="AB149" s="66"/>
      <c r="AC149" s="83"/>
    </row>
    <row r="150" spans="1:68" ht="27" customHeight="1" x14ac:dyDescent="0.25">
      <c r="A150" s="63" t="s">
        <v>245</v>
      </c>
      <c r="B150" s="63" t="s">
        <v>246</v>
      </c>
      <c r="C150" s="36">
        <v>4301135570</v>
      </c>
      <c r="D150" s="344">
        <v>4607111035806</v>
      </c>
      <c r="E150" s="344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112</v>
      </c>
      <c r="L150" s="37" t="s">
        <v>113</v>
      </c>
      <c r="M150" s="38" t="s">
        <v>86</v>
      </c>
      <c r="N150" s="38"/>
      <c r="O150" s="37">
        <v>180</v>
      </c>
      <c r="P150" s="40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346"/>
      <c r="R150" s="346"/>
      <c r="S150" s="346"/>
      <c r="T150" s="347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193" t="s">
        <v>247</v>
      </c>
      <c r="AG150" s="81"/>
      <c r="AJ150" s="87" t="s">
        <v>114</v>
      </c>
      <c r="AK150" s="87">
        <v>14</v>
      </c>
      <c r="BB150" s="194" t="s">
        <v>111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356"/>
      <c r="B151" s="356"/>
      <c r="C151" s="356"/>
      <c r="D151" s="356"/>
      <c r="E151" s="356"/>
      <c r="F151" s="356"/>
      <c r="G151" s="356"/>
      <c r="H151" s="356"/>
      <c r="I151" s="356"/>
      <c r="J151" s="356"/>
      <c r="K151" s="356"/>
      <c r="L151" s="356"/>
      <c r="M151" s="356"/>
      <c r="N151" s="356"/>
      <c r="O151" s="357"/>
      <c r="P151" s="353" t="s">
        <v>40</v>
      </c>
      <c r="Q151" s="354"/>
      <c r="R151" s="354"/>
      <c r="S151" s="354"/>
      <c r="T151" s="354"/>
      <c r="U151" s="354"/>
      <c r="V151" s="355"/>
      <c r="W151" s="42" t="s">
        <v>39</v>
      </c>
      <c r="X151" s="43">
        <f>IFERROR(SUM(X150:X150),"0")</f>
        <v>0</v>
      </c>
      <c r="Y151" s="43">
        <f>IFERROR(SUM(Y150:Y150),"0")</f>
        <v>0</v>
      </c>
      <c r="Z151" s="43">
        <f>IFERROR(IF(Z150="",0,Z150),"0")</f>
        <v>0</v>
      </c>
      <c r="AA151" s="67"/>
      <c r="AB151" s="67"/>
      <c r="AC151" s="67"/>
    </row>
    <row r="152" spans="1:68" x14ac:dyDescent="0.2">
      <c r="A152" s="356"/>
      <c r="B152" s="356"/>
      <c r="C152" s="356"/>
      <c r="D152" s="356"/>
      <c r="E152" s="356"/>
      <c r="F152" s="356"/>
      <c r="G152" s="356"/>
      <c r="H152" s="356"/>
      <c r="I152" s="356"/>
      <c r="J152" s="356"/>
      <c r="K152" s="356"/>
      <c r="L152" s="356"/>
      <c r="M152" s="356"/>
      <c r="N152" s="356"/>
      <c r="O152" s="357"/>
      <c r="P152" s="353" t="s">
        <v>40</v>
      </c>
      <c r="Q152" s="354"/>
      <c r="R152" s="354"/>
      <c r="S152" s="354"/>
      <c r="T152" s="354"/>
      <c r="U152" s="354"/>
      <c r="V152" s="355"/>
      <c r="W152" s="42" t="s">
        <v>0</v>
      </c>
      <c r="X152" s="43">
        <f>IFERROR(SUMPRODUCT(X150:X150*H150:H150),"0")</f>
        <v>0</v>
      </c>
      <c r="Y152" s="43">
        <f>IFERROR(SUMPRODUCT(Y150:Y150*H150:H150),"0")</f>
        <v>0</v>
      </c>
      <c r="Z152" s="42"/>
      <c r="AA152" s="67"/>
      <c r="AB152" s="67"/>
      <c r="AC152" s="67"/>
    </row>
    <row r="153" spans="1:68" ht="16.5" customHeight="1" x14ac:dyDescent="0.25">
      <c r="A153" s="342" t="s">
        <v>248</v>
      </c>
      <c r="B153" s="342"/>
      <c r="C153" s="342"/>
      <c r="D153" s="342"/>
      <c r="E153" s="342"/>
      <c r="F153" s="342"/>
      <c r="G153" s="342"/>
      <c r="H153" s="342"/>
      <c r="I153" s="342"/>
      <c r="J153" s="342"/>
      <c r="K153" s="342"/>
      <c r="L153" s="342"/>
      <c r="M153" s="342"/>
      <c r="N153" s="342"/>
      <c r="O153" s="342"/>
      <c r="P153" s="342"/>
      <c r="Q153" s="342"/>
      <c r="R153" s="342"/>
      <c r="S153" s="342"/>
      <c r="T153" s="342"/>
      <c r="U153" s="342"/>
      <c r="V153" s="342"/>
      <c r="W153" s="342"/>
      <c r="X153" s="342"/>
      <c r="Y153" s="342"/>
      <c r="Z153" s="342"/>
      <c r="AA153" s="65"/>
      <c r="AB153" s="65"/>
      <c r="AC153" s="82"/>
    </row>
    <row r="154" spans="1:68" ht="14.25" customHeight="1" x14ac:dyDescent="0.25">
      <c r="A154" s="343" t="s">
        <v>151</v>
      </c>
      <c r="B154" s="343"/>
      <c r="C154" s="343"/>
      <c r="D154" s="343"/>
      <c r="E154" s="343"/>
      <c r="F154" s="343"/>
      <c r="G154" s="343"/>
      <c r="H154" s="343"/>
      <c r="I154" s="343"/>
      <c r="J154" s="343"/>
      <c r="K154" s="343"/>
      <c r="L154" s="343"/>
      <c r="M154" s="343"/>
      <c r="N154" s="343"/>
      <c r="O154" s="343"/>
      <c r="P154" s="343"/>
      <c r="Q154" s="343"/>
      <c r="R154" s="343"/>
      <c r="S154" s="343"/>
      <c r="T154" s="343"/>
      <c r="U154" s="343"/>
      <c r="V154" s="343"/>
      <c r="W154" s="343"/>
      <c r="X154" s="343"/>
      <c r="Y154" s="343"/>
      <c r="Z154" s="343"/>
      <c r="AA154" s="66"/>
      <c r="AB154" s="66"/>
      <c r="AC154" s="83"/>
    </row>
    <row r="155" spans="1:68" ht="16.5" customHeight="1" x14ac:dyDescent="0.25">
      <c r="A155" s="63" t="s">
        <v>249</v>
      </c>
      <c r="B155" s="63" t="s">
        <v>250</v>
      </c>
      <c r="C155" s="36">
        <v>4301135607</v>
      </c>
      <c r="D155" s="344">
        <v>4607111039613</v>
      </c>
      <c r="E155" s="344"/>
      <c r="F155" s="62">
        <v>0.09</v>
      </c>
      <c r="G155" s="37">
        <v>30</v>
      </c>
      <c r="H155" s="62">
        <v>2.7</v>
      </c>
      <c r="I155" s="62">
        <v>3.09</v>
      </c>
      <c r="J155" s="37">
        <v>126</v>
      </c>
      <c r="K155" s="37" t="s">
        <v>112</v>
      </c>
      <c r="L155" s="37" t="s">
        <v>113</v>
      </c>
      <c r="M155" s="38" t="s">
        <v>86</v>
      </c>
      <c r="N155" s="38"/>
      <c r="O155" s="37">
        <v>180</v>
      </c>
      <c r="P155" s="40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346"/>
      <c r="R155" s="346"/>
      <c r="S155" s="346"/>
      <c r="T155" s="347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IFERROR(IF(X155="","",X155*0.00936),"")</f>
        <v>0</v>
      </c>
      <c r="AA155" s="68" t="s">
        <v>46</v>
      </c>
      <c r="AB155" s="69" t="s">
        <v>46</v>
      </c>
      <c r="AC155" s="195" t="s">
        <v>235</v>
      </c>
      <c r="AG155" s="81"/>
      <c r="AJ155" s="87" t="s">
        <v>114</v>
      </c>
      <c r="AK155" s="87">
        <v>14</v>
      </c>
      <c r="BB155" s="196" t="s">
        <v>111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56"/>
      <c r="B156" s="356"/>
      <c r="C156" s="356"/>
      <c r="D156" s="356"/>
      <c r="E156" s="356"/>
      <c r="F156" s="356"/>
      <c r="G156" s="356"/>
      <c r="H156" s="356"/>
      <c r="I156" s="356"/>
      <c r="J156" s="356"/>
      <c r="K156" s="356"/>
      <c r="L156" s="356"/>
      <c r="M156" s="356"/>
      <c r="N156" s="356"/>
      <c r="O156" s="357"/>
      <c r="P156" s="353" t="s">
        <v>40</v>
      </c>
      <c r="Q156" s="354"/>
      <c r="R156" s="354"/>
      <c r="S156" s="354"/>
      <c r="T156" s="354"/>
      <c r="U156" s="354"/>
      <c r="V156" s="355"/>
      <c r="W156" s="42" t="s">
        <v>39</v>
      </c>
      <c r="X156" s="43">
        <f>IFERROR(SUM(X155:X155),"0")</f>
        <v>0</v>
      </c>
      <c r="Y156" s="43">
        <f>IFERROR(SUM(Y155:Y155),"0")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356"/>
      <c r="B157" s="356"/>
      <c r="C157" s="356"/>
      <c r="D157" s="356"/>
      <c r="E157" s="356"/>
      <c r="F157" s="356"/>
      <c r="G157" s="356"/>
      <c r="H157" s="356"/>
      <c r="I157" s="356"/>
      <c r="J157" s="356"/>
      <c r="K157" s="356"/>
      <c r="L157" s="356"/>
      <c r="M157" s="356"/>
      <c r="N157" s="356"/>
      <c r="O157" s="357"/>
      <c r="P157" s="353" t="s">
        <v>40</v>
      </c>
      <c r="Q157" s="354"/>
      <c r="R157" s="354"/>
      <c r="S157" s="354"/>
      <c r="T157" s="354"/>
      <c r="U157" s="354"/>
      <c r="V157" s="355"/>
      <c r="W157" s="42" t="s">
        <v>0</v>
      </c>
      <c r="X157" s="43">
        <f>IFERROR(SUMPRODUCT(X155:X155*H155:H155),"0")</f>
        <v>0</v>
      </c>
      <c r="Y157" s="43">
        <f>IFERROR(SUMPRODUCT(Y155:Y155*H155:H155),"0")</f>
        <v>0</v>
      </c>
      <c r="Z157" s="42"/>
      <c r="AA157" s="67"/>
      <c r="AB157" s="67"/>
      <c r="AC157" s="67"/>
    </row>
    <row r="158" spans="1:68" ht="16.5" customHeight="1" x14ac:dyDescent="0.25">
      <c r="A158" s="342" t="s">
        <v>251</v>
      </c>
      <c r="B158" s="342"/>
      <c r="C158" s="342"/>
      <c r="D158" s="342"/>
      <c r="E158" s="342"/>
      <c r="F158" s="342"/>
      <c r="G158" s="342"/>
      <c r="H158" s="342"/>
      <c r="I158" s="342"/>
      <c r="J158" s="342"/>
      <c r="K158" s="342"/>
      <c r="L158" s="342"/>
      <c r="M158" s="342"/>
      <c r="N158" s="342"/>
      <c r="O158" s="342"/>
      <c r="P158" s="342"/>
      <c r="Q158" s="342"/>
      <c r="R158" s="342"/>
      <c r="S158" s="342"/>
      <c r="T158" s="342"/>
      <c r="U158" s="342"/>
      <c r="V158" s="342"/>
      <c r="W158" s="342"/>
      <c r="X158" s="342"/>
      <c r="Y158" s="342"/>
      <c r="Z158" s="342"/>
      <c r="AA158" s="65"/>
      <c r="AB158" s="65"/>
      <c r="AC158" s="82"/>
    </row>
    <row r="159" spans="1:68" ht="14.25" customHeight="1" x14ac:dyDescent="0.25">
      <c r="A159" s="343" t="s">
        <v>220</v>
      </c>
      <c r="B159" s="343"/>
      <c r="C159" s="343"/>
      <c r="D159" s="343"/>
      <c r="E159" s="343"/>
      <c r="F159" s="343"/>
      <c r="G159" s="343"/>
      <c r="H159" s="343"/>
      <c r="I159" s="343"/>
      <c r="J159" s="343"/>
      <c r="K159" s="343"/>
      <c r="L159" s="343"/>
      <c r="M159" s="343"/>
      <c r="N159" s="343"/>
      <c r="O159" s="343"/>
      <c r="P159" s="343"/>
      <c r="Q159" s="343"/>
      <c r="R159" s="343"/>
      <c r="S159" s="343"/>
      <c r="T159" s="343"/>
      <c r="U159" s="343"/>
      <c r="V159" s="343"/>
      <c r="W159" s="343"/>
      <c r="X159" s="343"/>
      <c r="Y159" s="343"/>
      <c r="Z159" s="343"/>
      <c r="AA159" s="66"/>
      <c r="AB159" s="66"/>
      <c r="AC159" s="83"/>
    </row>
    <row r="160" spans="1:68" ht="27" customHeight="1" x14ac:dyDescent="0.25">
      <c r="A160" s="63" t="s">
        <v>252</v>
      </c>
      <c r="B160" s="63" t="s">
        <v>253</v>
      </c>
      <c r="C160" s="36">
        <v>4301135540</v>
      </c>
      <c r="D160" s="344">
        <v>4607111035646</v>
      </c>
      <c r="E160" s="344"/>
      <c r="F160" s="62">
        <v>0.2</v>
      </c>
      <c r="G160" s="37">
        <v>8</v>
      </c>
      <c r="H160" s="62">
        <v>1.6</v>
      </c>
      <c r="I160" s="62">
        <v>2.12</v>
      </c>
      <c r="J160" s="37">
        <v>72</v>
      </c>
      <c r="K160" s="37" t="s">
        <v>255</v>
      </c>
      <c r="L160" s="37" t="s">
        <v>88</v>
      </c>
      <c r="M160" s="38" t="s">
        <v>86</v>
      </c>
      <c r="N160" s="38"/>
      <c r="O160" s="37">
        <v>180</v>
      </c>
      <c r="P160" s="40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346"/>
      <c r="R160" s="346"/>
      <c r="S160" s="346"/>
      <c r="T160" s="347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IFERROR(IF(X160="","",X160*0.01157),"")</f>
        <v>0</v>
      </c>
      <c r="AA160" s="68" t="s">
        <v>46</v>
      </c>
      <c r="AB160" s="69" t="s">
        <v>46</v>
      </c>
      <c r="AC160" s="197" t="s">
        <v>254</v>
      </c>
      <c r="AG160" s="81"/>
      <c r="AJ160" s="87" t="s">
        <v>89</v>
      </c>
      <c r="AK160" s="87">
        <v>1</v>
      </c>
      <c r="BB160" s="198" t="s">
        <v>111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x14ac:dyDescent="0.2">
      <c r="A161" s="356"/>
      <c r="B161" s="356"/>
      <c r="C161" s="356"/>
      <c r="D161" s="356"/>
      <c r="E161" s="356"/>
      <c r="F161" s="356"/>
      <c r="G161" s="356"/>
      <c r="H161" s="356"/>
      <c r="I161" s="356"/>
      <c r="J161" s="356"/>
      <c r="K161" s="356"/>
      <c r="L161" s="356"/>
      <c r="M161" s="356"/>
      <c r="N161" s="356"/>
      <c r="O161" s="357"/>
      <c r="P161" s="353" t="s">
        <v>40</v>
      </c>
      <c r="Q161" s="354"/>
      <c r="R161" s="354"/>
      <c r="S161" s="354"/>
      <c r="T161" s="354"/>
      <c r="U161" s="354"/>
      <c r="V161" s="355"/>
      <c r="W161" s="42" t="s">
        <v>39</v>
      </c>
      <c r="X161" s="43">
        <f>IFERROR(SUM(X160:X160),"0")</f>
        <v>0</v>
      </c>
      <c r="Y161" s="43">
        <f>IFERROR(SUM(Y160:Y160),"0")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356"/>
      <c r="B162" s="356"/>
      <c r="C162" s="356"/>
      <c r="D162" s="356"/>
      <c r="E162" s="356"/>
      <c r="F162" s="356"/>
      <c r="G162" s="356"/>
      <c r="H162" s="356"/>
      <c r="I162" s="356"/>
      <c r="J162" s="356"/>
      <c r="K162" s="356"/>
      <c r="L162" s="356"/>
      <c r="M162" s="356"/>
      <c r="N162" s="356"/>
      <c r="O162" s="357"/>
      <c r="P162" s="353" t="s">
        <v>40</v>
      </c>
      <c r="Q162" s="354"/>
      <c r="R162" s="354"/>
      <c r="S162" s="354"/>
      <c r="T162" s="354"/>
      <c r="U162" s="354"/>
      <c r="V162" s="355"/>
      <c r="W162" s="42" t="s">
        <v>0</v>
      </c>
      <c r="X162" s="43">
        <f>IFERROR(SUMPRODUCT(X160:X160*H160:H160),"0")</f>
        <v>0</v>
      </c>
      <c r="Y162" s="43">
        <f>IFERROR(SUMPRODUCT(Y160:Y160*H160:H160),"0")</f>
        <v>0</v>
      </c>
      <c r="Z162" s="42"/>
      <c r="AA162" s="67"/>
      <c r="AB162" s="67"/>
      <c r="AC162" s="67"/>
    </row>
    <row r="163" spans="1:68" ht="16.5" customHeight="1" x14ac:dyDescent="0.25">
      <c r="A163" s="342" t="s">
        <v>256</v>
      </c>
      <c r="B163" s="342"/>
      <c r="C163" s="342"/>
      <c r="D163" s="342"/>
      <c r="E163" s="342"/>
      <c r="F163" s="342"/>
      <c r="G163" s="342"/>
      <c r="H163" s="342"/>
      <c r="I163" s="342"/>
      <c r="J163" s="342"/>
      <c r="K163" s="342"/>
      <c r="L163" s="342"/>
      <c r="M163" s="342"/>
      <c r="N163" s="342"/>
      <c r="O163" s="342"/>
      <c r="P163" s="342"/>
      <c r="Q163" s="342"/>
      <c r="R163" s="342"/>
      <c r="S163" s="342"/>
      <c r="T163" s="342"/>
      <c r="U163" s="342"/>
      <c r="V163" s="342"/>
      <c r="W163" s="342"/>
      <c r="X163" s="342"/>
      <c r="Y163" s="342"/>
      <c r="Z163" s="342"/>
      <c r="AA163" s="65"/>
      <c r="AB163" s="65"/>
      <c r="AC163" s="82"/>
    </row>
    <row r="164" spans="1:68" ht="14.25" customHeight="1" x14ac:dyDescent="0.25">
      <c r="A164" s="343" t="s">
        <v>151</v>
      </c>
      <c r="B164" s="343"/>
      <c r="C164" s="343"/>
      <c r="D164" s="343"/>
      <c r="E164" s="343"/>
      <c r="F164" s="343"/>
      <c r="G164" s="343"/>
      <c r="H164" s="343"/>
      <c r="I164" s="343"/>
      <c r="J164" s="343"/>
      <c r="K164" s="343"/>
      <c r="L164" s="343"/>
      <c r="M164" s="343"/>
      <c r="N164" s="343"/>
      <c r="O164" s="343"/>
      <c r="P164" s="343"/>
      <c r="Q164" s="343"/>
      <c r="R164" s="343"/>
      <c r="S164" s="343"/>
      <c r="T164" s="343"/>
      <c r="U164" s="343"/>
      <c r="V164" s="343"/>
      <c r="W164" s="343"/>
      <c r="X164" s="343"/>
      <c r="Y164" s="343"/>
      <c r="Z164" s="343"/>
      <c r="AA164" s="66"/>
      <c r="AB164" s="66"/>
      <c r="AC164" s="83"/>
    </row>
    <row r="165" spans="1:68" ht="27" customHeight="1" x14ac:dyDescent="0.25">
      <c r="A165" s="63" t="s">
        <v>257</v>
      </c>
      <c r="B165" s="63" t="s">
        <v>258</v>
      </c>
      <c r="C165" s="36">
        <v>4301135591</v>
      </c>
      <c r="D165" s="344">
        <v>4607111036568</v>
      </c>
      <c r="E165" s="344"/>
      <c r="F165" s="62">
        <v>0.28000000000000003</v>
      </c>
      <c r="G165" s="37">
        <v>6</v>
      </c>
      <c r="H165" s="62">
        <v>1.68</v>
      </c>
      <c r="I165" s="62">
        <v>2.1017999999999999</v>
      </c>
      <c r="J165" s="37">
        <v>140</v>
      </c>
      <c r="K165" s="37" t="s">
        <v>112</v>
      </c>
      <c r="L165" s="37" t="s">
        <v>113</v>
      </c>
      <c r="M165" s="38" t="s">
        <v>86</v>
      </c>
      <c r="N165" s="38"/>
      <c r="O165" s="37">
        <v>180</v>
      </c>
      <c r="P165" s="40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346"/>
      <c r="R165" s="346"/>
      <c r="S165" s="346"/>
      <c r="T165" s="347"/>
      <c r="U165" s="39" t="s">
        <v>46</v>
      </c>
      <c r="V165" s="39" t="s">
        <v>46</v>
      </c>
      <c r="W165" s="40" t="s">
        <v>39</v>
      </c>
      <c r="X165" s="58">
        <v>0</v>
      </c>
      <c r="Y165" s="55">
        <f>IFERROR(IF(X165="","",X165),"")</f>
        <v>0</v>
      </c>
      <c r="Z165" s="41">
        <f>IFERROR(IF(X165="","",X165*0.00941),"")</f>
        <v>0</v>
      </c>
      <c r="AA165" s="68" t="s">
        <v>46</v>
      </c>
      <c r="AB165" s="69" t="s">
        <v>46</v>
      </c>
      <c r="AC165" s="199" t="s">
        <v>259</v>
      </c>
      <c r="AG165" s="81"/>
      <c r="AJ165" s="87" t="s">
        <v>114</v>
      </c>
      <c r="AK165" s="87">
        <v>14</v>
      </c>
      <c r="BB165" s="200" t="s">
        <v>111</v>
      </c>
      <c r="BM165" s="81">
        <f>IFERROR(X165*I165,"0")</f>
        <v>0</v>
      </c>
      <c r="BN165" s="81">
        <f>IFERROR(Y165*I165,"0")</f>
        <v>0</v>
      </c>
      <c r="BO165" s="81">
        <f>IFERROR(X165/J165,"0")</f>
        <v>0</v>
      </c>
      <c r="BP165" s="81">
        <f>IFERROR(Y165/J165,"0")</f>
        <v>0</v>
      </c>
    </row>
    <row r="166" spans="1:68" x14ac:dyDescent="0.2">
      <c r="A166" s="356"/>
      <c r="B166" s="356"/>
      <c r="C166" s="356"/>
      <c r="D166" s="356"/>
      <c r="E166" s="356"/>
      <c r="F166" s="356"/>
      <c r="G166" s="356"/>
      <c r="H166" s="356"/>
      <c r="I166" s="356"/>
      <c r="J166" s="356"/>
      <c r="K166" s="356"/>
      <c r="L166" s="356"/>
      <c r="M166" s="356"/>
      <c r="N166" s="356"/>
      <c r="O166" s="357"/>
      <c r="P166" s="353" t="s">
        <v>40</v>
      </c>
      <c r="Q166" s="354"/>
      <c r="R166" s="354"/>
      <c r="S166" s="354"/>
      <c r="T166" s="354"/>
      <c r="U166" s="354"/>
      <c r="V166" s="355"/>
      <c r="W166" s="42" t="s">
        <v>39</v>
      </c>
      <c r="X166" s="43">
        <f>IFERROR(SUM(X165:X165),"0")</f>
        <v>0</v>
      </c>
      <c r="Y166" s="43">
        <f>IFERROR(SUM(Y165:Y165),"0")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356"/>
      <c r="B167" s="356"/>
      <c r="C167" s="356"/>
      <c r="D167" s="356"/>
      <c r="E167" s="356"/>
      <c r="F167" s="356"/>
      <c r="G167" s="356"/>
      <c r="H167" s="356"/>
      <c r="I167" s="356"/>
      <c r="J167" s="356"/>
      <c r="K167" s="356"/>
      <c r="L167" s="356"/>
      <c r="M167" s="356"/>
      <c r="N167" s="356"/>
      <c r="O167" s="357"/>
      <c r="P167" s="353" t="s">
        <v>40</v>
      </c>
      <c r="Q167" s="354"/>
      <c r="R167" s="354"/>
      <c r="S167" s="354"/>
      <c r="T167" s="354"/>
      <c r="U167" s="354"/>
      <c r="V167" s="355"/>
      <c r="W167" s="42" t="s">
        <v>0</v>
      </c>
      <c r="X167" s="43">
        <f>IFERROR(SUMPRODUCT(X165:X165*H165:H165),"0")</f>
        <v>0</v>
      </c>
      <c r="Y167" s="43">
        <f>IFERROR(SUMPRODUCT(Y165:Y165*H165:H165),"0")</f>
        <v>0</v>
      </c>
      <c r="Z167" s="42"/>
      <c r="AA167" s="67"/>
      <c r="AB167" s="67"/>
      <c r="AC167" s="67"/>
    </row>
    <row r="168" spans="1:68" ht="27.75" customHeight="1" x14ac:dyDescent="0.2">
      <c r="A168" s="341" t="s">
        <v>260</v>
      </c>
      <c r="B168" s="341"/>
      <c r="C168" s="341"/>
      <c r="D168" s="341"/>
      <c r="E168" s="341"/>
      <c r="F168" s="341"/>
      <c r="G168" s="341"/>
      <c r="H168" s="341"/>
      <c r="I168" s="341"/>
      <c r="J168" s="341"/>
      <c r="K168" s="341"/>
      <c r="L168" s="341"/>
      <c r="M168" s="341"/>
      <c r="N168" s="341"/>
      <c r="O168" s="341"/>
      <c r="P168" s="341"/>
      <c r="Q168" s="341"/>
      <c r="R168" s="341"/>
      <c r="S168" s="341"/>
      <c r="T168" s="341"/>
      <c r="U168" s="341"/>
      <c r="V168" s="341"/>
      <c r="W168" s="341"/>
      <c r="X168" s="341"/>
      <c r="Y168" s="341"/>
      <c r="Z168" s="341"/>
      <c r="AA168" s="54"/>
      <c r="AB168" s="54"/>
      <c r="AC168" s="54"/>
    </row>
    <row r="169" spans="1:68" ht="16.5" customHeight="1" x14ac:dyDescent="0.25">
      <c r="A169" s="342" t="s">
        <v>261</v>
      </c>
      <c r="B169" s="342"/>
      <c r="C169" s="342"/>
      <c r="D169" s="342"/>
      <c r="E169" s="342"/>
      <c r="F169" s="342"/>
      <c r="G169" s="342"/>
      <c r="H169" s="342"/>
      <c r="I169" s="342"/>
      <c r="J169" s="342"/>
      <c r="K169" s="342"/>
      <c r="L169" s="342"/>
      <c r="M169" s="342"/>
      <c r="N169" s="342"/>
      <c r="O169" s="342"/>
      <c r="P169" s="342"/>
      <c r="Q169" s="342"/>
      <c r="R169" s="342"/>
      <c r="S169" s="342"/>
      <c r="T169" s="342"/>
      <c r="U169" s="342"/>
      <c r="V169" s="342"/>
      <c r="W169" s="342"/>
      <c r="X169" s="342"/>
      <c r="Y169" s="342"/>
      <c r="Z169" s="342"/>
      <c r="AA169" s="65"/>
      <c r="AB169" s="65"/>
      <c r="AC169" s="82"/>
    </row>
    <row r="170" spans="1:68" ht="14.25" customHeight="1" x14ac:dyDescent="0.25">
      <c r="A170" s="343" t="s">
        <v>82</v>
      </c>
      <c r="B170" s="343"/>
      <c r="C170" s="343"/>
      <c r="D170" s="343"/>
      <c r="E170" s="343"/>
      <c r="F170" s="343"/>
      <c r="G170" s="343"/>
      <c r="H170" s="343"/>
      <c r="I170" s="343"/>
      <c r="J170" s="343"/>
      <c r="K170" s="343"/>
      <c r="L170" s="343"/>
      <c r="M170" s="343"/>
      <c r="N170" s="343"/>
      <c r="O170" s="343"/>
      <c r="P170" s="343"/>
      <c r="Q170" s="343"/>
      <c r="R170" s="343"/>
      <c r="S170" s="343"/>
      <c r="T170" s="343"/>
      <c r="U170" s="343"/>
      <c r="V170" s="343"/>
      <c r="W170" s="343"/>
      <c r="X170" s="343"/>
      <c r="Y170" s="343"/>
      <c r="Z170" s="343"/>
      <c r="AA170" s="66"/>
      <c r="AB170" s="66"/>
      <c r="AC170" s="83"/>
    </row>
    <row r="171" spans="1:68" ht="16.5" customHeight="1" x14ac:dyDescent="0.25">
      <c r="A171" s="63" t="s">
        <v>262</v>
      </c>
      <c r="B171" s="63" t="s">
        <v>263</v>
      </c>
      <c r="C171" s="36">
        <v>4301071062</v>
      </c>
      <c r="D171" s="344">
        <v>4607111036384</v>
      </c>
      <c r="E171" s="344"/>
      <c r="F171" s="62">
        <v>5</v>
      </c>
      <c r="G171" s="37">
        <v>1</v>
      </c>
      <c r="H171" s="62">
        <v>5</v>
      </c>
      <c r="I171" s="62">
        <v>5.2106000000000003</v>
      </c>
      <c r="J171" s="37">
        <v>144</v>
      </c>
      <c r="K171" s="37" t="s">
        <v>87</v>
      </c>
      <c r="L171" s="37" t="s">
        <v>88</v>
      </c>
      <c r="M171" s="38" t="s">
        <v>86</v>
      </c>
      <c r="N171" s="38"/>
      <c r="O171" s="37">
        <v>180</v>
      </c>
      <c r="P171" s="40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346"/>
      <c r="R171" s="346"/>
      <c r="S171" s="346"/>
      <c r="T171" s="347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IFERROR(IF(X171="","",X171*0.00866),"")</f>
        <v>0</v>
      </c>
      <c r="AA171" s="68" t="s">
        <v>46</v>
      </c>
      <c r="AB171" s="69" t="s">
        <v>46</v>
      </c>
      <c r="AC171" s="201" t="s">
        <v>264</v>
      </c>
      <c r="AG171" s="81"/>
      <c r="AJ171" s="87" t="s">
        <v>89</v>
      </c>
      <c r="AK171" s="87">
        <v>1</v>
      </c>
      <c r="BB171" s="202" t="s">
        <v>70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ht="27" customHeight="1" x14ac:dyDescent="0.25">
      <c r="A172" s="63" t="s">
        <v>265</v>
      </c>
      <c r="B172" s="63" t="s">
        <v>266</v>
      </c>
      <c r="C172" s="36">
        <v>4301071050</v>
      </c>
      <c r="D172" s="344">
        <v>4607111036216</v>
      </c>
      <c r="E172" s="344"/>
      <c r="F172" s="62">
        <v>5</v>
      </c>
      <c r="G172" s="37">
        <v>1</v>
      </c>
      <c r="H172" s="62">
        <v>5</v>
      </c>
      <c r="I172" s="62">
        <v>5.2131999999999996</v>
      </c>
      <c r="J172" s="37">
        <v>144</v>
      </c>
      <c r="K172" s="37" t="s">
        <v>87</v>
      </c>
      <c r="L172" s="37" t="s">
        <v>113</v>
      </c>
      <c r="M172" s="38" t="s">
        <v>86</v>
      </c>
      <c r="N172" s="38"/>
      <c r="O172" s="37">
        <v>180</v>
      </c>
      <c r="P172" s="40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46"/>
      <c r="R172" s="346"/>
      <c r="S172" s="346"/>
      <c r="T172" s="347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114</v>
      </c>
      <c r="AK172" s="87">
        <v>12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356"/>
      <c r="B173" s="356"/>
      <c r="C173" s="356"/>
      <c r="D173" s="356"/>
      <c r="E173" s="356"/>
      <c r="F173" s="356"/>
      <c r="G173" s="356"/>
      <c r="H173" s="356"/>
      <c r="I173" s="356"/>
      <c r="J173" s="356"/>
      <c r="K173" s="356"/>
      <c r="L173" s="356"/>
      <c r="M173" s="356"/>
      <c r="N173" s="356"/>
      <c r="O173" s="357"/>
      <c r="P173" s="353" t="s">
        <v>40</v>
      </c>
      <c r="Q173" s="354"/>
      <c r="R173" s="354"/>
      <c r="S173" s="354"/>
      <c r="T173" s="354"/>
      <c r="U173" s="354"/>
      <c r="V173" s="355"/>
      <c r="W173" s="42" t="s">
        <v>39</v>
      </c>
      <c r="X173" s="43">
        <f>IFERROR(SUM(X171:X172),"0")</f>
        <v>0</v>
      </c>
      <c r="Y173" s="43">
        <f>IFERROR(SUM(Y171:Y172),"0")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">
      <c r="A174" s="356"/>
      <c r="B174" s="356"/>
      <c r="C174" s="356"/>
      <c r="D174" s="356"/>
      <c r="E174" s="356"/>
      <c r="F174" s="356"/>
      <c r="G174" s="356"/>
      <c r="H174" s="356"/>
      <c r="I174" s="356"/>
      <c r="J174" s="356"/>
      <c r="K174" s="356"/>
      <c r="L174" s="356"/>
      <c r="M174" s="356"/>
      <c r="N174" s="356"/>
      <c r="O174" s="357"/>
      <c r="P174" s="353" t="s">
        <v>40</v>
      </c>
      <c r="Q174" s="354"/>
      <c r="R174" s="354"/>
      <c r="S174" s="354"/>
      <c r="T174" s="354"/>
      <c r="U174" s="354"/>
      <c r="V174" s="355"/>
      <c r="W174" s="42" t="s">
        <v>0</v>
      </c>
      <c r="X174" s="43">
        <f>IFERROR(SUMPRODUCT(X171:X172*H171:H172),"0")</f>
        <v>0</v>
      </c>
      <c r="Y174" s="43">
        <f>IFERROR(SUMPRODUCT(Y171:Y172*H171:H172),"0")</f>
        <v>0</v>
      </c>
      <c r="Z174" s="42"/>
      <c r="AA174" s="67"/>
      <c r="AB174" s="67"/>
      <c r="AC174" s="67"/>
    </row>
    <row r="175" spans="1:68" ht="27.75" customHeight="1" x14ac:dyDescent="0.2">
      <c r="A175" s="341" t="s">
        <v>268</v>
      </c>
      <c r="B175" s="341"/>
      <c r="C175" s="341"/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41"/>
      <c r="P175" s="341"/>
      <c r="Q175" s="341"/>
      <c r="R175" s="341"/>
      <c r="S175" s="341"/>
      <c r="T175" s="341"/>
      <c r="U175" s="341"/>
      <c r="V175" s="341"/>
      <c r="W175" s="341"/>
      <c r="X175" s="341"/>
      <c r="Y175" s="341"/>
      <c r="Z175" s="341"/>
      <c r="AA175" s="54"/>
      <c r="AB175" s="54"/>
      <c r="AC175" s="54"/>
    </row>
    <row r="176" spans="1:68" ht="16.5" customHeight="1" x14ac:dyDescent="0.25">
      <c r="A176" s="342" t="s">
        <v>269</v>
      </c>
      <c r="B176" s="342"/>
      <c r="C176" s="342"/>
      <c r="D176" s="342"/>
      <c r="E176" s="342"/>
      <c r="F176" s="342"/>
      <c r="G176" s="342"/>
      <c r="H176" s="342"/>
      <c r="I176" s="342"/>
      <c r="J176" s="342"/>
      <c r="K176" s="342"/>
      <c r="L176" s="342"/>
      <c r="M176" s="342"/>
      <c r="N176" s="342"/>
      <c r="O176" s="342"/>
      <c r="P176" s="342"/>
      <c r="Q176" s="342"/>
      <c r="R176" s="342"/>
      <c r="S176" s="342"/>
      <c r="T176" s="342"/>
      <c r="U176" s="342"/>
      <c r="V176" s="342"/>
      <c r="W176" s="342"/>
      <c r="X176" s="342"/>
      <c r="Y176" s="342"/>
      <c r="Z176" s="342"/>
      <c r="AA176" s="65"/>
      <c r="AB176" s="65"/>
      <c r="AC176" s="82"/>
    </row>
    <row r="177" spans="1:68" ht="14.25" customHeight="1" x14ac:dyDescent="0.25">
      <c r="A177" s="343" t="s">
        <v>107</v>
      </c>
      <c r="B177" s="343"/>
      <c r="C177" s="343"/>
      <c r="D177" s="343"/>
      <c r="E177" s="343"/>
      <c r="F177" s="343"/>
      <c r="G177" s="343"/>
      <c r="H177" s="343"/>
      <c r="I177" s="343"/>
      <c r="J177" s="343"/>
      <c r="K177" s="343"/>
      <c r="L177" s="343"/>
      <c r="M177" s="343"/>
      <c r="N177" s="343"/>
      <c r="O177" s="343"/>
      <c r="P177" s="343"/>
      <c r="Q177" s="343"/>
      <c r="R177" s="343"/>
      <c r="S177" s="343"/>
      <c r="T177" s="343"/>
      <c r="U177" s="343"/>
      <c r="V177" s="343"/>
      <c r="W177" s="343"/>
      <c r="X177" s="343"/>
      <c r="Y177" s="343"/>
      <c r="Z177" s="343"/>
      <c r="AA177" s="66"/>
      <c r="AB177" s="66"/>
      <c r="AC177" s="83"/>
    </row>
    <row r="178" spans="1:68" ht="16.5" customHeight="1" x14ac:dyDescent="0.25">
      <c r="A178" s="63" t="s">
        <v>270</v>
      </c>
      <c r="B178" s="63" t="s">
        <v>271</v>
      </c>
      <c r="C178" s="36">
        <v>4301132179</v>
      </c>
      <c r="D178" s="344">
        <v>4607111035691</v>
      </c>
      <c r="E178" s="344"/>
      <c r="F178" s="62">
        <v>0.25</v>
      </c>
      <c r="G178" s="37">
        <v>12</v>
      </c>
      <c r="H178" s="62">
        <v>3</v>
      </c>
      <c r="I178" s="62">
        <v>3.3879999999999999</v>
      </c>
      <c r="J178" s="37">
        <v>70</v>
      </c>
      <c r="K178" s="37" t="s">
        <v>112</v>
      </c>
      <c r="L178" s="37" t="s">
        <v>113</v>
      </c>
      <c r="M178" s="38" t="s">
        <v>86</v>
      </c>
      <c r="N178" s="38"/>
      <c r="O178" s="37">
        <v>365</v>
      </c>
      <c r="P178" s="41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8" s="346"/>
      <c r="R178" s="346"/>
      <c r="S178" s="346"/>
      <c r="T178" s="347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IFERROR(IF(X178="","",X178*0.01788),"")</f>
        <v>0</v>
      </c>
      <c r="AA178" s="68" t="s">
        <v>46</v>
      </c>
      <c r="AB178" s="69" t="s">
        <v>46</v>
      </c>
      <c r="AC178" s="205" t="s">
        <v>272</v>
      </c>
      <c r="AG178" s="81"/>
      <c r="AJ178" s="87" t="s">
        <v>114</v>
      </c>
      <c r="AK178" s="87">
        <v>14</v>
      </c>
      <c r="BB178" s="206" t="s">
        <v>111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273</v>
      </c>
      <c r="B179" s="63" t="s">
        <v>274</v>
      </c>
      <c r="C179" s="36">
        <v>4301132182</v>
      </c>
      <c r="D179" s="344">
        <v>4607111035721</v>
      </c>
      <c r="E179" s="344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112</v>
      </c>
      <c r="L179" s="37" t="s">
        <v>113</v>
      </c>
      <c r="M179" s="38" t="s">
        <v>86</v>
      </c>
      <c r="N179" s="38"/>
      <c r="O179" s="37">
        <v>365</v>
      </c>
      <c r="P179" s="41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9" s="346"/>
      <c r="R179" s="346"/>
      <c r="S179" s="346"/>
      <c r="T179" s="347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275</v>
      </c>
      <c r="AG179" s="81"/>
      <c r="AJ179" s="87" t="s">
        <v>114</v>
      </c>
      <c r="AK179" s="87">
        <v>14</v>
      </c>
      <c r="BB179" s="208" t="s">
        <v>111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276</v>
      </c>
      <c r="B180" s="63" t="s">
        <v>277</v>
      </c>
      <c r="C180" s="36">
        <v>4301132170</v>
      </c>
      <c r="D180" s="344">
        <v>4607111038487</v>
      </c>
      <c r="E180" s="344"/>
      <c r="F180" s="62">
        <v>0.25</v>
      </c>
      <c r="G180" s="37">
        <v>12</v>
      </c>
      <c r="H180" s="62">
        <v>3</v>
      </c>
      <c r="I180" s="62">
        <v>3.7360000000000002</v>
      </c>
      <c r="J180" s="37">
        <v>70</v>
      </c>
      <c r="K180" s="37" t="s">
        <v>112</v>
      </c>
      <c r="L180" s="37" t="s">
        <v>113</v>
      </c>
      <c r="M180" s="38" t="s">
        <v>86</v>
      </c>
      <c r="N180" s="38"/>
      <c r="O180" s="37">
        <v>180</v>
      </c>
      <c r="P180" s="41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0" s="346"/>
      <c r="R180" s="346"/>
      <c r="S180" s="346"/>
      <c r="T180" s="347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114</v>
      </c>
      <c r="AK180" s="87">
        <v>14</v>
      </c>
      <c r="BB180" s="210" t="s">
        <v>111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4301132243</v>
      </c>
      <c r="D181" s="344">
        <v>4620207491195</v>
      </c>
      <c r="E181" s="344"/>
      <c r="F181" s="62">
        <v>0.23</v>
      </c>
      <c r="G181" s="37">
        <v>12</v>
      </c>
      <c r="H181" s="62">
        <v>2.76</v>
      </c>
      <c r="I181" s="62">
        <v>3.1480000000000001</v>
      </c>
      <c r="J181" s="37">
        <v>70</v>
      </c>
      <c r="K181" s="37" t="s">
        <v>112</v>
      </c>
      <c r="L181" s="37" t="s">
        <v>88</v>
      </c>
      <c r="M181" s="38" t="s">
        <v>86</v>
      </c>
      <c r="N181" s="38"/>
      <c r="O181" s="37">
        <v>180</v>
      </c>
      <c r="P181" s="41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1" s="346"/>
      <c r="R181" s="346"/>
      <c r="S181" s="346"/>
      <c r="T181" s="347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89</v>
      </c>
      <c r="AK181" s="87">
        <v>1</v>
      </c>
      <c r="BB181" s="212" t="s">
        <v>111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x14ac:dyDescent="0.2">
      <c r="A182" s="356"/>
      <c r="B182" s="356"/>
      <c r="C182" s="356"/>
      <c r="D182" s="356"/>
      <c r="E182" s="356"/>
      <c r="F182" s="356"/>
      <c r="G182" s="356"/>
      <c r="H182" s="356"/>
      <c r="I182" s="356"/>
      <c r="J182" s="356"/>
      <c r="K182" s="356"/>
      <c r="L182" s="356"/>
      <c r="M182" s="356"/>
      <c r="N182" s="356"/>
      <c r="O182" s="357"/>
      <c r="P182" s="353" t="s">
        <v>40</v>
      </c>
      <c r="Q182" s="354"/>
      <c r="R182" s="354"/>
      <c r="S182" s="354"/>
      <c r="T182" s="354"/>
      <c r="U182" s="354"/>
      <c r="V182" s="355"/>
      <c r="W182" s="42" t="s">
        <v>39</v>
      </c>
      <c r="X182" s="43">
        <f>IFERROR(SUM(X178:X181),"0")</f>
        <v>0</v>
      </c>
      <c r="Y182" s="43">
        <f>IFERROR(SUM(Y178:Y181),"0")</f>
        <v>0</v>
      </c>
      <c r="Z182" s="43">
        <f>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356"/>
      <c r="B183" s="356"/>
      <c r="C183" s="356"/>
      <c r="D183" s="356"/>
      <c r="E183" s="356"/>
      <c r="F183" s="356"/>
      <c r="G183" s="356"/>
      <c r="H183" s="356"/>
      <c r="I183" s="356"/>
      <c r="J183" s="356"/>
      <c r="K183" s="356"/>
      <c r="L183" s="356"/>
      <c r="M183" s="356"/>
      <c r="N183" s="356"/>
      <c r="O183" s="357"/>
      <c r="P183" s="353" t="s">
        <v>40</v>
      </c>
      <c r="Q183" s="354"/>
      <c r="R183" s="354"/>
      <c r="S183" s="354"/>
      <c r="T183" s="354"/>
      <c r="U183" s="354"/>
      <c r="V183" s="355"/>
      <c r="W183" s="42" t="s">
        <v>0</v>
      </c>
      <c r="X183" s="43">
        <f>IFERROR(SUMPRODUCT(X178:X181*H178:H181),"0")</f>
        <v>0</v>
      </c>
      <c r="Y183" s="43">
        <f>IFERROR(SUMPRODUCT(Y178:Y181*H178:H181),"0")</f>
        <v>0</v>
      </c>
      <c r="Z183" s="42"/>
      <c r="AA183" s="67"/>
      <c r="AB183" s="67"/>
      <c r="AC183" s="67"/>
    </row>
    <row r="184" spans="1:68" ht="14.25" customHeight="1" x14ac:dyDescent="0.25">
      <c r="A184" s="343" t="s">
        <v>282</v>
      </c>
      <c r="B184" s="343"/>
      <c r="C184" s="343"/>
      <c r="D184" s="343"/>
      <c r="E184" s="343"/>
      <c r="F184" s="343"/>
      <c r="G184" s="343"/>
      <c r="H184" s="343"/>
      <c r="I184" s="343"/>
      <c r="J184" s="343"/>
      <c r="K184" s="343"/>
      <c r="L184" s="343"/>
      <c r="M184" s="343"/>
      <c r="N184" s="343"/>
      <c r="O184" s="343"/>
      <c r="P184" s="343"/>
      <c r="Q184" s="343"/>
      <c r="R184" s="343"/>
      <c r="S184" s="343"/>
      <c r="T184" s="343"/>
      <c r="U184" s="343"/>
      <c r="V184" s="343"/>
      <c r="W184" s="343"/>
      <c r="X184" s="343"/>
      <c r="Y184" s="343"/>
      <c r="Z184" s="343"/>
      <c r="AA184" s="66"/>
      <c r="AB184" s="66"/>
      <c r="AC184" s="83"/>
    </row>
    <row r="185" spans="1:68" ht="27" customHeight="1" x14ac:dyDescent="0.25">
      <c r="A185" s="63" t="s">
        <v>283</v>
      </c>
      <c r="B185" s="63" t="s">
        <v>284</v>
      </c>
      <c r="C185" s="36">
        <v>4301051855</v>
      </c>
      <c r="D185" s="344">
        <v>4680115885875</v>
      </c>
      <c r="E185" s="344"/>
      <c r="F185" s="62">
        <v>1</v>
      </c>
      <c r="G185" s="37">
        <v>9</v>
      </c>
      <c r="H185" s="62">
        <v>9</v>
      </c>
      <c r="I185" s="62">
        <v>9.41</v>
      </c>
      <c r="J185" s="37">
        <v>64</v>
      </c>
      <c r="K185" s="37" t="s">
        <v>289</v>
      </c>
      <c r="L185" s="37" t="s">
        <v>88</v>
      </c>
      <c r="M185" s="38" t="s">
        <v>288</v>
      </c>
      <c r="N185" s="38"/>
      <c r="O185" s="37">
        <v>365</v>
      </c>
      <c r="P185" s="414" t="s">
        <v>285</v>
      </c>
      <c r="Q185" s="346"/>
      <c r="R185" s="346"/>
      <c r="S185" s="346"/>
      <c r="T185" s="347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IFERROR(IF(X185="","",X185*0.01898),"")</f>
        <v>0</v>
      </c>
      <c r="AA185" s="68" t="s">
        <v>46</v>
      </c>
      <c r="AB185" s="69" t="s">
        <v>46</v>
      </c>
      <c r="AC185" s="213" t="s">
        <v>286</v>
      </c>
      <c r="AG185" s="81"/>
      <c r="AJ185" s="87" t="s">
        <v>89</v>
      </c>
      <c r="AK185" s="87">
        <v>1</v>
      </c>
      <c r="BB185" s="214" t="s">
        <v>287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x14ac:dyDescent="0.2">
      <c r="A186" s="356"/>
      <c r="B186" s="356"/>
      <c r="C186" s="356"/>
      <c r="D186" s="356"/>
      <c r="E186" s="356"/>
      <c r="F186" s="356"/>
      <c r="G186" s="356"/>
      <c r="H186" s="356"/>
      <c r="I186" s="356"/>
      <c r="J186" s="356"/>
      <c r="K186" s="356"/>
      <c r="L186" s="356"/>
      <c r="M186" s="356"/>
      <c r="N186" s="356"/>
      <c r="O186" s="357"/>
      <c r="P186" s="353" t="s">
        <v>40</v>
      </c>
      <c r="Q186" s="354"/>
      <c r="R186" s="354"/>
      <c r="S186" s="354"/>
      <c r="T186" s="354"/>
      <c r="U186" s="354"/>
      <c r="V186" s="355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x14ac:dyDescent="0.2">
      <c r="A187" s="356"/>
      <c r="B187" s="356"/>
      <c r="C187" s="356"/>
      <c r="D187" s="356"/>
      <c r="E187" s="356"/>
      <c r="F187" s="356"/>
      <c r="G187" s="356"/>
      <c r="H187" s="356"/>
      <c r="I187" s="356"/>
      <c r="J187" s="356"/>
      <c r="K187" s="356"/>
      <c r="L187" s="356"/>
      <c r="M187" s="356"/>
      <c r="N187" s="356"/>
      <c r="O187" s="357"/>
      <c r="P187" s="353" t="s">
        <v>40</v>
      </c>
      <c r="Q187" s="354"/>
      <c r="R187" s="354"/>
      <c r="S187" s="354"/>
      <c r="T187" s="354"/>
      <c r="U187" s="354"/>
      <c r="V187" s="355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customHeight="1" x14ac:dyDescent="0.2">
      <c r="A188" s="341" t="s">
        <v>290</v>
      </c>
      <c r="B188" s="341"/>
      <c r="C188" s="341"/>
      <c r="D188" s="341"/>
      <c r="E188" s="341"/>
      <c r="F188" s="341"/>
      <c r="G188" s="341"/>
      <c r="H188" s="341"/>
      <c r="I188" s="341"/>
      <c r="J188" s="341"/>
      <c r="K188" s="341"/>
      <c r="L188" s="341"/>
      <c r="M188" s="341"/>
      <c r="N188" s="341"/>
      <c r="O188" s="341"/>
      <c r="P188" s="341"/>
      <c r="Q188" s="341"/>
      <c r="R188" s="341"/>
      <c r="S188" s="341"/>
      <c r="T188" s="341"/>
      <c r="U188" s="341"/>
      <c r="V188" s="341"/>
      <c r="W188" s="341"/>
      <c r="X188" s="341"/>
      <c r="Y188" s="341"/>
      <c r="Z188" s="341"/>
      <c r="AA188" s="54"/>
      <c r="AB188" s="54"/>
      <c r="AC188" s="54"/>
    </row>
    <row r="189" spans="1:68" ht="16.5" customHeight="1" x14ac:dyDescent="0.25">
      <c r="A189" s="342" t="s">
        <v>291</v>
      </c>
      <c r="B189" s="342"/>
      <c r="C189" s="342"/>
      <c r="D189" s="342"/>
      <c r="E189" s="342"/>
      <c r="F189" s="342"/>
      <c r="G189" s="342"/>
      <c r="H189" s="342"/>
      <c r="I189" s="342"/>
      <c r="J189" s="342"/>
      <c r="K189" s="342"/>
      <c r="L189" s="342"/>
      <c r="M189" s="342"/>
      <c r="N189" s="342"/>
      <c r="O189" s="342"/>
      <c r="P189" s="342"/>
      <c r="Q189" s="342"/>
      <c r="R189" s="342"/>
      <c r="S189" s="342"/>
      <c r="T189" s="342"/>
      <c r="U189" s="342"/>
      <c r="V189" s="342"/>
      <c r="W189" s="342"/>
      <c r="X189" s="342"/>
      <c r="Y189" s="342"/>
      <c r="Z189" s="342"/>
      <c r="AA189" s="65"/>
      <c r="AB189" s="65"/>
      <c r="AC189" s="82"/>
    </row>
    <row r="190" spans="1:68" ht="14.25" customHeight="1" x14ac:dyDescent="0.25">
      <c r="A190" s="343" t="s">
        <v>107</v>
      </c>
      <c r="B190" s="343"/>
      <c r="C190" s="343"/>
      <c r="D190" s="343"/>
      <c r="E190" s="343"/>
      <c r="F190" s="343"/>
      <c r="G190" s="343"/>
      <c r="H190" s="343"/>
      <c r="I190" s="343"/>
      <c r="J190" s="343"/>
      <c r="K190" s="343"/>
      <c r="L190" s="343"/>
      <c r="M190" s="343"/>
      <c r="N190" s="343"/>
      <c r="O190" s="343"/>
      <c r="P190" s="343"/>
      <c r="Q190" s="343"/>
      <c r="R190" s="343"/>
      <c r="S190" s="343"/>
      <c r="T190" s="343"/>
      <c r="U190" s="343"/>
      <c r="V190" s="343"/>
      <c r="W190" s="343"/>
      <c r="X190" s="343"/>
      <c r="Y190" s="343"/>
      <c r="Z190" s="343"/>
      <c r="AA190" s="66"/>
      <c r="AB190" s="66"/>
      <c r="AC190" s="83"/>
    </row>
    <row r="191" spans="1:68" ht="27" customHeight="1" x14ac:dyDescent="0.25">
      <c r="A191" s="63" t="s">
        <v>292</v>
      </c>
      <c r="B191" s="63" t="s">
        <v>293</v>
      </c>
      <c r="C191" s="36">
        <v>4301132227</v>
      </c>
      <c r="D191" s="344">
        <v>4620207491133</v>
      </c>
      <c r="E191" s="344"/>
      <c r="F191" s="62">
        <v>0.23</v>
      </c>
      <c r="G191" s="37">
        <v>12</v>
      </c>
      <c r="H191" s="62">
        <v>2.76</v>
      </c>
      <c r="I191" s="62">
        <v>2.98</v>
      </c>
      <c r="J191" s="37">
        <v>70</v>
      </c>
      <c r="K191" s="37" t="s">
        <v>112</v>
      </c>
      <c r="L191" s="37" t="s">
        <v>113</v>
      </c>
      <c r="M191" s="38" t="s">
        <v>86</v>
      </c>
      <c r="N191" s="38"/>
      <c r="O191" s="37">
        <v>180</v>
      </c>
      <c r="P191" s="41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346"/>
      <c r="R191" s="346"/>
      <c r="S191" s="346"/>
      <c r="T191" s="347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15" t="s">
        <v>294</v>
      </c>
      <c r="AG191" s="81"/>
      <c r="AJ191" s="87" t="s">
        <v>114</v>
      </c>
      <c r="AK191" s="87">
        <v>14</v>
      </c>
      <c r="BB191" s="216" t="s">
        <v>111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x14ac:dyDescent="0.2">
      <c r="A192" s="356"/>
      <c r="B192" s="356"/>
      <c r="C192" s="356"/>
      <c r="D192" s="356"/>
      <c r="E192" s="356"/>
      <c r="F192" s="356"/>
      <c r="G192" s="356"/>
      <c r="H192" s="356"/>
      <c r="I192" s="356"/>
      <c r="J192" s="356"/>
      <c r="K192" s="356"/>
      <c r="L192" s="356"/>
      <c r="M192" s="356"/>
      <c r="N192" s="356"/>
      <c r="O192" s="357"/>
      <c r="P192" s="353" t="s">
        <v>40</v>
      </c>
      <c r="Q192" s="354"/>
      <c r="R192" s="354"/>
      <c r="S192" s="354"/>
      <c r="T192" s="354"/>
      <c r="U192" s="354"/>
      <c r="V192" s="355"/>
      <c r="W192" s="42" t="s">
        <v>39</v>
      </c>
      <c r="X192" s="43">
        <f>IFERROR(SUM(X191:X191),"0")</f>
        <v>0</v>
      </c>
      <c r="Y192" s="43">
        <f>IFERROR(SUM(Y191:Y191),"0")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356"/>
      <c r="B193" s="356"/>
      <c r="C193" s="356"/>
      <c r="D193" s="356"/>
      <c r="E193" s="356"/>
      <c r="F193" s="356"/>
      <c r="G193" s="356"/>
      <c r="H193" s="356"/>
      <c r="I193" s="356"/>
      <c r="J193" s="356"/>
      <c r="K193" s="356"/>
      <c r="L193" s="356"/>
      <c r="M193" s="356"/>
      <c r="N193" s="356"/>
      <c r="O193" s="357"/>
      <c r="P193" s="353" t="s">
        <v>40</v>
      </c>
      <c r="Q193" s="354"/>
      <c r="R193" s="354"/>
      <c r="S193" s="354"/>
      <c r="T193" s="354"/>
      <c r="U193" s="354"/>
      <c r="V193" s="355"/>
      <c r="W193" s="42" t="s">
        <v>0</v>
      </c>
      <c r="X193" s="43">
        <f>IFERROR(SUMPRODUCT(X191:X191*H191:H191),"0")</f>
        <v>0</v>
      </c>
      <c r="Y193" s="43">
        <f>IFERROR(SUMPRODUCT(Y191:Y191*H191:H191),"0")</f>
        <v>0</v>
      </c>
      <c r="Z193" s="42"/>
      <c r="AA193" s="67"/>
      <c r="AB193" s="67"/>
      <c r="AC193" s="67"/>
    </row>
    <row r="194" spans="1:68" ht="14.25" customHeight="1" x14ac:dyDescent="0.25">
      <c r="A194" s="343" t="s">
        <v>151</v>
      </c>
      <c r="B194" s="343"/>
      <c r="C194" s="343"/>
      <c r="D194" s="343"/>
      <c r="E194" s="343"/>
      <c r="F194" s="343"/>
      <c r="G194" s="343"/>
      <c r="H194" s="343"/>
      <c r="I194" s="343"/>
      <c r="J194" s="343"/>
      <c r="K194" s="343"/>
      <c r="L194" s="343"/>
      <c r="M194" s="343"/>
      <c r="N194" s="343"/>
      <c r="O194" s="343"/>
      <c r="P194" s="343"/>
      <c r="Q194" s="343"/>
      <c r="R194" s="343"/>
      <c r="S194" s="343"/>
      <c r="T194" s="343"/>
      <c r="U194" s="343"/>
      <c r="V194" s="343"/>
      <c r="W194" s="343"/>
      <c r="X194" s="343"/>
      <c r="Y194" s="343"/>
      <c r="Z194" s="343"/>
      <c r="AA194" s="66"/>
      <c r="AB194" s="66"/>
      <c r="AC194" s="83"/>
    </row>
    <row r="195" spans="1:68" ht="27" customHeight="1" x14ac:dyDescent="0.25">
      <c r="A195" s="63" t="s">
        <v>295</v>
      </c>
      <c r="B195" s="63" t="s">
        <v>296</v>
      </c>
      <c r="C195" s="36">
        <v>4301135834</v>
      </c>
      <c r="D195" s="344">
        <v>4620207491188</v>
      </c>
      <c r="E195" s="344"/>
      <c r="F195" s="62">
        <v>0.2</v>
      </c>
      <c r="G195" s="37">
        <v>12</v>
      </c>
      <c r="H195" s="62">
        <v>2.4</v>
      </c>
      <c r="I195" s="62">
        <v>3.1036000000000001</v>
      </c>
      <c r="J195" s="37">
        <v>70</v>
      </c>
      <c r="K195" s="37" t="s">
        <v>112</v>
      </c>
      <c r="L195" s="37" t="s">
        <v>88</v>
      </c>
      <c r="M195" s="38" t="s">
        <v>86</v>
      </c>
      <c r="N195" s="38"/>
      <c r="O195" s="37">
        <v>180</v>
      </c>
      <c r="P195" s="41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346"/>
      <c r="R195" s="346"/>
      <c r="S195" s="346"/>
      <c r="T195" s="347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17" t="s">
        <v>297</v>
      </c>
      <c r="AG195" s="81"/>
      <c r="AJ195" s="87" t="s">
        <v>89</v>
      </c>
      <c r="AK195" s="87">
        <v>1</v>
      </c>
      <c r="BB195" s="218" t="s">
        <v>111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298</v>
      </c>
      <c r="B196" s="63" t="s">
        <v>299</v>
      </c>
      <c r="C196" s="36">
        <v>4301135707</v>
      </c>
      <c r="D196" s="344">
        <v>4620207490198</v>
      </c>
      <c r="E196" s="344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112</v>
      </c>
      <c r="L196" s="37" t="s">
        <v>113</v>
      </c>
      <c r="M196" s="38" t="s">
        <v>86</v>
      </c>
      <c r="N196" s="38"/>
      <c r="O196" s="37">
        <v>180</v>
      </c>
      <c r="P196" s="417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46"/>
      <c r="R196" s="346"/>
      <c r="S196" s="346"/>
      <c r="T196" s="347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114</v>
      </c>
      <c r="AK196" s="87">
        <v>14</v>
      </c>
      <c r="BB196" s="220" t="s">
        <v>111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4301135829</v>
      </c>
      <c r="D197" s="344">
        <v>4620207490235</v>
      </c>
      <c r="E197" s="344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112</v>
      </c>
      <c r="L197" s="37" t="s">
        <v>88</v>
      </c>
      <c r="M197" s="38" t="s">
        <v>86</v>
      </c>
      <c r="N197" s="38"/>
      <c r="O197" s="37">
        <v>180</v>
      </c>
      <c r="P197" s="418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346"/>
      <c r="R197" s="346"/>
      <c r="S197" s="346"/>
      <c r="T197" s="347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89</v>
      </c>
      <c r="AK197" s="87">
        <v>1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4301135697</v>
      </c>
      <c r="D198" s="344">
        <v>4620207490259</v>
      </c>
      <c r="E198" s="344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112</v>
      </c>
      <c r="L198" s="37" t="s">
        <v>113</v>
      </c>
      <c r="M198" s="38" t="s">
        <v>86</v>
      </c>
      <c r="N198" s="38"/>
      <c r="O198" s="37">
        <v>180</v>
      </c>
      <c r="P198" s="41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46"/>
      <c r="R198" s="346"/>
      <c r="S198" s="346"/>
      <c r="T198" s="347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300</v>
      </c>
      <c r="AG198" s="81"/>
      <c r="AJ198" s="87" t="s">
        <v>114</v>
      </c>
      <c r="AK198" s="87">
        <v>14</v>
      </c>
      <c r="BB198" s="224" t="s">
        <v>111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306</v>
      </c>
      <c r="B199" s="63" t="s">
        <v>307</v>
      </c>
      <c r="C199" s="36">
        <v>4301135681</v>
      </c>
      <c r="D199" s="344">
        <v>4620207490143</v>
      </c>
      <c r="E199" s="344"/>
      <c r="F199" s="62">
        <v>0.22</v>
      </c>
      <c r="G199" s="37">
        <v>12</v>
      </c>
      <c r="H199" s="62">
        <v>2.64</v>
      </c>
      <c r="I199" s="62">
        <v>3.3435999999999999</v>
      </c>
      <c r="J199" s="37">
        <v>70</v>
      </c>
      <c r="K199" s="37" t="s">
        <v>112</v>
      </c>
      <c r="L199" s="37" t="s">
        <v>88</v>
      </c>
      <c r="M199" s="38" t="s">
        <v>86</v>
      </c>
      <c r="N199" s="38"/>
      <c r="O199" s="37">
        <v>180</v>
      </c>
      <c r="P199" s="42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46"/>
      <c r="R199" s="346"/>
      <c r="S199" s="346"/>
      <c r="T199" s="347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308</v>
      </c>
      <c r="AG199" s="81"/>
      <c r="AJ199" s="87" t="s">
        <v>89</v>
      </c>
      <c r="AK199" s="87">
        <v>1</v>
      </c>
      <c r="BB199" s="226" t="s">
        <v>111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356"/>
      <c r="B200" s="356"/>
      <c r="C200" s="356"/>
      <c r="D200" s="356"/>
      <c r="E200" s="356"/>
      <c r="F200" s="356"/>
      <c r="G200" s="356"/>
      <c r="H200" s="356"/>
      <c r="I200" s="356"/>
      <c r="J200" s="356"/>
      <c r="K200" s="356"/>
      <c r="L200" s="356"/>
      <c r="M200" s="356"/>
      <c r="N200" s="356"/>
      <c r="O200" s="357"/>
      <c r="P200" s="353" t="s">
        <v>40</v>
      </c>
      <c r="Q200" s="354"/>
      <c r="R200" s="354"/>
      <c r="S200" s="354"/>
      <c r="T200" s="354"/>
      <c r="U200" s="354"/>
      <c r="V200" s="355"/>
      <c r="W200" s="42" t="s">
        <v>39</v>
      </c>
      <c r="X200" s="43">
        <f>IFERROR(SUM(X195:X199),"0")</f>
        <v>0</v>
      </c>
      <c r="Y200" s="43">
        <f>IFERROR(SUM(Y195:Y199),"0")</f>
        <v>0</v>
      </c>
      <c r="Z200" s="43">
        <f>IFERROR(IF(Z195="",0,Z195),"0")+IFERROR(IF(Z196="",0,Z196),"0")+IFERROR(IF(Z197="",0,Z197),"0")+IFERROR(IF(Z198="",0,Z198),"0")+IFERROR(IF(Z199="",0,Z199),"0")</f>
        <v>0</v>
      </c>
      <c r="AA200" s="67"/>
      <c r="AB200" s="67"/>
      <c r="AC200" s="67"/>
    </row>
    <row r="201" spans="1:68" x14ac:dyDescent="0.2">
      <c r="A201" s="356"/>
      <c r="B201" s="356"/>
      <c r="C201" s="356"/>
      <c r="D201" s="356"/>
      <c r="E201" s="356"/>
      <c r="F201" s="356"/>
      <c r="G201" s="356"/>
      <c r="H201" s="356"/>
      <c r="I201" s="356"/>
      <c r="J201" s="356"/>
      <c r="K201" s="356"/>
      <c r="L201" s="356"/>
      <c r="M201" s="356"/>
      <c r="N201" s="356"/>
      <c r="O201" s="357"/>
      <c r="P201" s="353" t="s">
        <v>40</v>
      </c>
      <c r="Q201" s="354"/>
      <c r="R201" s="354"/>
      <c r="S201" s="354"/>
      <c r="T201" s="354"/>
      <c r="U201" s="354"/>
      <c r="V201" s="355"/>
      <c r="W201" s="42" t="s">
        <v>0</v>
      </c>
      <c r="X201" s="43">
        <f>IFERROR(SUMPRODUCT(X195:X199*H195:H199),"0")</f>
        <v>0</v>
      </c>
      <c r="Y201" s="43">
        <f>IFERROR(SUMPRODUCT(Y195:Y199*H195:H199),"0")</f>
        <v>0</v>
      </c>
      <c r="Z201" s="42"/>
      <c r="AA201" s="67"/>
      <c r="AB201" s="67"/>
      <c r="AC201" s="67"/>
    </row>
    <row r="202" spans="1:68" ht="16.5" customHeight="1" x14ac:dyDescent="0.25">
      <c r="A202" s="342" t="s">
        <v>309</v>
      </c>
      <c r="B202" s="342"/>
      <c r="C202" s="342"/>
      <c r="D202" s="342"/>
      <c r="E202" s="342"/>
      <c r="F202" s="342"/>
      <c r="G202" s="342"/>
      <c r="H202" s="342"/>
      <c r="I202" s="342"/>
      <c r="J202" s="342"/>
      <c r="K202" s="342"/>
      <c r="L202" s="342"/>
      <c r="M202" s="342"/>
      <c r="N202" s="342"/>
      <c r="O202" s="342"/>
      <c r="P202" s="342"/>
      <c r="Q202" s="342"/>
      <c r="R202" s="342"/>
      <c r="S202" s="342"/>
      <c r="T202" s="342"/>
      <c r="U202" s="342"/>
      <c r="V202" s="342"/>
      <c r="W202" s="342"/>
      <c r="X202" s="342"/>
      <c r="Y202" s="342"/>
      <c r="Z202" s="342"/>
      <c r="AA202" s="65"/>
      <c r="AB202" s="65"/>
      <c r="AC202" s="82"/>
    </row>
    <row r="203" spans="1:68" ht="14.25" customHeight="1" x14ac:dyDescent="0.25">
      <c r="A203" s="343" t="s">
        <v>82</v>
      </c>
      <c r="B203" s="343"/>
      <c r="C203" s="343"/>
      <c r="D203" s="343"/>
      <c r="E203" s="343"/>
      <c r="F203" s="343"/>
      <c r="G203" s="343"/>
      <c r="H203" s="343"/>
      <c r="I203" s="343"/>
      <c r="J203" s="343"/>
      <c r="K203" s="343"/>
      <c r="L203" s="343"/>
      <c r="M203" s="343"/>
      <c r="N203" s="343"/>
      <c r="O203" s="343"/>
      <c r="P203" s="343"/>
      <c r="Q203" s="343"/>
      <c r="R203" s="343"/>
      <c r="S203" s="343"/>
      <c r="T203" s="343"/>
      <c r="U203" s="343"/>
      <c r="V203" s="343"/>
      <c r="W203" s="343"/>
      <c r="X203" s="343"/>
      <c r="Y203" s="343"/>
      <c r="Z203" s="343"/>
      <c r="AA203" s="66"/>
      <c r="AB203" s="66"/>
      <c r="AC203" s="83"/>
    </row>
    <row r="204" spans="1:68" ht="27" customHeight="1" x14ac:dyDescent="0.25">
      <c r="A204" s="63" t="s">
        <v>310</v>
      </c>
      <c r="B204" s="63" t="s">
        <v>311</v>
      </c>
      <c r="C204" s="36">
        <v>4301071097</v>
      </c>
      <c r="D204" s="344">
        <v>4620207491096</v>
      </c>
      <c r="E204" s="344"/>
      <c r="F204" s="62">
        <v>1</v>
      </c>
      <c r="G204" s="37">
        <v>5</v>
      </c>
      <c r="H204" s="62">
        <v>5</v>
      </c>
      <c r="I204" s="62">
        <v>5.23</v>
      </c>
      <c r="J204" s="37">
        <v>84</v>
      </c>
      <c r="K204" s="37" t="s">
        <v>87</v>
      </c>
      <c r="L204" s="37" t="s">
        <v>113</v>
      </c>
      <c r="M204" s="38" t="s">
        <v>86</v>
      </c>
      <c r="N204" s="38"/>
      <c r="O204" s="37">
        <v>180</v>
      </c>
      <c r="P204" s="42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346"/>
      <c r="R204" s="346"/>
      <c r="S204" s="346"/>
      <c r="T204" s="347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IFERROR(IF(X204="","",X204*0.0155),"")</f>
        <v>0</v>
      </c>
      <c r="AA204" s="68" t="s">
        <v>46</v>
      </c>
      <c r="AB204" s="69" t="s">
        <v>46</v>
      </c>
      <c r="AC204" s="227" t="s">
        <v>312</v>
      </c>
      <c r="AG204" s="81"/>
      <c r="AJ204" s="87" t="s">
        <v>114</v>
      </c>
      <c r="AK204" s="87">
        <v>12</v>
      </c>
      <c r="BB204" s="228" t="s">
        <v>70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356"/>
      <c r="B205" s="356"/>
      <c r="C205" s="356"/>
      <c r="D205" s="356"/>
      <c r="E205" s="356"/>
      <c r="F205" s="356"/>
      <c r="G205" s="356"/>
      <c r="H205" s="356"/>
      <c r="I205" s="356"/>
      <c r="J205" s="356"/>
      <c r="K205" s="356"/>
      <c r="L205" s="356"/>
      <c r="M205" s="356"/>
      <c r="N205" s="356"/>
      <c r="O205" s="357"/>
      <c r="P205" s="353" t="s">
        <v>40</v>
      </c>
      <c r="Q205" s="354"/>
      <c r="R205" s="354"/>
      <c r="S205" s="354"/>
      <c r="T205" s="354"/>
      <c r="U205" s="354"/>
      <c r="V205" s="355"/>
      <c r="W205" s="42" t="s">
        <v>39</v>
      </c>
      <c r="X205" s="43">
        <f>IFERROR(SUM(X204:X204),"0")</f>
        <v>0</v>
      </c>
      <c r="Y205" s="43">
        <f>IFERROR(SUM(Y204:Y204),"0")</f>
        <v>0</v>
      </c>
      <c r="Z205" s="43">
        <f>IFERROR(IF(Z204="",0,Z204),"0")</f>
        <v>0</v>
      </c>
      <c r="AA205" s="67"/>
      <c r="AB205" s="67"/>
      <c r="AC205" s="67"/>
    </row>
    <row r="206" spans="1:68" x14ac:dyDescent="0.2">
      <c r="A206" s="356"/>
      <c r="B206" s="356"/>
      <c r="C206" s="356"/>
      <c r="D206" s="356"/>
      <c r="E206" s="356"/>
      <c r="F206" s="356"/>
      <c r="G206" s="356"/>
      <c r="H206" s="356"/>
      <c r="I206" s="356"/>
      <c r="J206" s="356"/>
      <c r="K206" s="356"/>
      <c r="L206" s="356"/>
      <c r="M206" s="356"/>
      <c r="N206" s="356"/>
      <c r="O206" s="357"/>
      <c r="P206" s="353" t="s">
        <v>40</v>
      </c>
      <c r="Q206" s="354"/>
      <c r="R206" s="354"/>
      <c r="S206" s="354"/>
      <c r="T206" s="354"/>
      <c r="U206" s="354"/>
      <c r="V206" s="355"/>
      <c r="W206" s="42" t="s">
        <v>0</v>
      </c>
      <c r="X206" s="43">
        <f>IFERROR(SUMPRODUCT(X204:X204*H204:H204),"0")</f>
        <v>0</v>
      </c>
      <c r="Y206" s="43">
        <f>IFERROR(SUMPRODUCT(Y204:Y204*H204:H204),"0")</f>
        <v>0</v>
      </c>
      <c r="Z206" s="42"/>
      <c r="AA206" s="67"/>
      <c r="AB206" s="67"/>
      <c r="AC206" s="67"/>
    </row>
    <row r="207" spans="1:68" ht="16.5" customHeight="1" x14ac:dyDescent="0.25">
      <c r="A207" s="342" t="s">
        <v>313</v>
      </c>
      <c r="B207" s="342"/>
      <c r="C207" s="342"/>
      <c r="D207" s="342"/>
      <c r="E207" s="342"/>
      <c r="F207" s="342"/>
      <c r="G207" s="342"/>
      <c r="H207" s="342"/>
      <c r="I207" s="342"/>
      <c r="J207" s="342"/>
      <c r="K207" s="342"/>
      <c r="L207" s="342"/>
      <c r="M207" s="342"/>
      <c r="N207" s="342"/>
      <c r="O207" s="342"/>
      <c r="P207" s="342"/>
      <c r="Q207" s="342"/>
      <c r="R207" s="342"/>
      <c r="S207" s="342"/>
      <c r="T207" s="342"/>
      <c r="U207" s="342"/>
      <c r="V207" s="342"/>
      <c r="W207" s="342"/>
      <c r="X207" s="342"/>
      <c r="Y207" s="342"/>
      <c r="Z207" s="342"/>
      <c r="AA207" s="65"/>
      <c r="AB207" s="65"/>
      <c r="AC207" s="82"/>
    </row>
    <row r="208" spans="1:68" ht="14.25" customHeight="1" x14ac:dyDescent="0.25">
      <c r="A208" s="343" t="s">
        <v>151</v>
      </c>
      <c r="B208" s="343"/>
      <c r="C208" s="343"/>
      <c r="D208" s="343"/>
      <c r="E208" s="343"/>
      <c r="F208" s="343"/>
      <c r="G208" s="343"/>
      <c r="H208" s="343"/>
      <c r="I208" s="343"/>
      <c r="J208" s="343"/>
      <c r="K208" s="343"/>
      <c r="L208" s="343"/>
      <c r="M208" s="343"/>
      <c r="N208" s="343"/>
      <c r="O208" s="343"/>
      <c r="P208" s="343"/>
      <c r="Q208" s="343"/>
      <c r="R208" s="343"/>
      <c r="S208" s="343"/>
      <c r="T208" s="343"/>
      <c r="U208" s="343"/>
      <c r="V208" s="343"/>
      <c r="W208" s="343"/>
      <c r="X208" s="343"/>
      <c r="Y208" s="343"/>
      <c r="Z208" s="343"/>
      <c r="AA208" s="66"/>
      <c r="AB208" s="66"/>
      <c r="AC208" s="83"/>
    </row>
    <row r="209" spans="1:68" ht="27" customHeight="1" x14ac:dyDescent="0.25">
      <c r="A209" s="63" t="s">
        <v>314</v>
      </c>
      <c r="B209" s="63" t="s">
        <v>315</v>
      </c>
      <c r="C209" s="36">
        <v>4301135691</v>
      </c>
      <c r="D209" s="344">
        <v>4620207490549</v>
      </c>
      <c r="E209" s="344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112</v>
      </c>
      <c r="L209" s="37" t="s">
        <v>88</v>
      </c>
      <c r="M209" s="38" t="s">
        <v>86</v>
      </c>
      <c r="N209" s="38"/>
      <c r="O209" s="37">
        <v>180</v>
      </c>
      <c r="P209" s="42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346"/>
      <c r="R209" s="346"/>
      <c r="S209" s="346"/>
      <c r="T209" s="347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29" t="s">
        <v>316</v>
      </c>
      <c r="AG209" s="81"/>
      <c r="AJ209" s="87" t="s">
        <v>89</v>
      </c>
      <c r="AK209" s="87">
        <v>1</v>
      </c>
      <c r="BB209" s="230" t="s">
        <v>111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317</v>
      </c>
      <c r="B210" s="63" t="s">
        <v>318</v>
      </c>
      <c r="C210" s="36">
        <v>4301135694</v>
      </c>
      <c r="D210" s="344">
        <v>4620207490501</v>
      </c>
      <c r="E210" s="344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112</v>
      </c>
      <c r="L210" s="37" t="s">
        <v>88</v>
      </c>
      <c r="M210" s="38" t="s">
        <v>86</v>
      </c>
      <c r="N210" s="38"/>
      <c r="O210" s="37">
        <v>180</v>
      </c>
      <c r="P210" s="42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346"/>
      <c r="R210" s="346"/>
      <c r="S210" s="346"/>
      <c r="T210" s="347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1" t="s">
        <v>316</v>
      </c>
      <c r="AG210" s="81"/>
      <c r="AJ210" s="87" t="s">
        <v>89</v>
      </c>
      <c r="AK210" s="87">
        <v>1</v>
      </c>
      <c r="BB210" s="232" t="s">
        <v>111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356"/>
      <c r="B211" s="356"/>
      <c r="C211" s="356"/>
      <c r="D211" s="356"/>
      <c r="E211" s="356"/>
      <c r="F211" s="356"/>
      <c r="G211" s="356"/>
      <c r="H211" s="356"/>
      <c r="I211" s="356"/>
      <c r="J211" s="356"/>
      <c r="K211" s="356"/>
      <c r="L211" s="356"/>
      <c r="M211" s="356"/>
      <c r="N211" s="356"/>
      <c r="O211" s="357"/>
      <c r="P211" s="353" t="s">
        <v>40</v>
      </c>
      <c r="Q211" s="354"/>
      <c r="R211" s="354"/>
      <c r="S211" s="354"/>
      <c r="T211" s="354"/>
      <c r="U211" s="354"/>
      <c r="V211" s="355"/>
      <c r="W211" s="42" t="s">
        <v>39</v>
      </c>
      <c r="X211" s="43">
        <f>IFERROR(SUM(X209:X210),"0")</f>
        <v>0</v>
      </c>
      <c r="Y211" s="43">
        <f>IFERROR(SUM(Y209:Y210),"0")</f>
        <v>0</v>
      </c>
      <c r="Z211" s="43">
        <f>IFERROR(IF(Z209="",0,Z209),"0")+IFERROR(IF(Z210="",0,Z210),"0")</f>
        <v>0</v>
      </c>
      <c r="AA211" s="67"/>
      <c r="AB211" s="67"/>
      <c r="AC211" s="67"/>
    </row>
    <row r="212" spans="1:68" x14ac:dyDescent="0.2">
      <c r="A212" s="356"/>
      <c r="B212" s="356"/>
      <c r="C212" s="356"/>
      <c r="D212" s="356"/>
      <c r="E212" s="356"/>
      <c r="F212" s="356"/>
      <c r="G212" s="356"/>
      <c r="H212" s="356"/>
      <c r="I212" s="356"/>
      <c r="J212" s="356"/>
      <c r="K212" s="356"/>
      <c r="L212" s="356"/>
      <c r="M212" s="356"/>
      <c r="N212" s="356"/>
      <c r="O212" s="357"/>
      <c r="P212" s="353" t="s">
        <v>40</v>
      </c>
      <c r="Q212" s="354"/>
      <c r="R212" s="354"/>
      <c r="S212" s="354"/>
      <c r="T212" s="354"/>
      <c r="U212" s="354"/>
      <c r="V212" s="355"/>
      <c r="W212" s="42" t="s">
        <v>0</v>
      </c>
      <c r="X212" s="43">
        <f>IFERROR(SUMPRODUCT(X209:X210*H209:H210),"0")</f>
        <v>0</v>
      </c>
      <c r="Y212" s="43">
        <f>IFERROR(SUMPRODUCT(Y209:Y210*H209:H210),"0")</f>
        <v>0</v>
      </c>
      <c r="Z212" s="42"/>
      <c r="AA212" s="67"/>
      <c r="AB212" s="67"/>
      <c r="AC212" s="67"/>
    </row>
    <row r="213" spans="1:68" ht="27.75" customHeight="1" x14ac:dyDescent="0.2">
      <c r="A213" s="341" t="s">
        <v>319</v>
      </c>
      <c r="B213" s="341"/>
      <c r="C213" s="341"/>
      <c r="D213" s="341"/>
      <c r="E213" s="341"/>
      <c r="F213" s="341"/>
      <c r="G213" s="341"/>
      <c r="H213" s="341"/>
      <c r="I213" s="341"/>
      <c r="J213" s="341"/>
      <c r="K213" s="341"/>
      <c r="L213" s="341"/>
      <c r="M213" s="341"/>
      <c r="N213" s="341"/>
      <c r="O213" s="341"/>
      <c r="P213" s="341"/>
      <c r="Q213" s="341"/>
      <c r="R213" s="341"/>
      <c r="S213" s="341"/>
      <c r="T213" s="341"/>
      <c r="U213" s="341"/>
      <c r="V213" s="341"/>
      <c r="W213" s="341"/>
      <c r="X213" s="341"/>
      <c r="Y213" s="341"/>
      <c r="Z213" s="341"/>
      <c r="AA213" s="54"/>
      <c r="AB213" s="54"/>
      <c r="AC213" s="54"/>
    </row>
    <row r="214" spans="1:68" ht="16.5" customHeight="1" x14ac:dyDescent="0.25">
      <c r="A214" s="342" t="s">
        <v>320</v>
      </c>
      <c r="B214" s="342"/>
      <c r="C214" s="342"/>
      <c r="D214" s="342"/>
      <c r="E214" s="342"/>
      <c r="F214" s="342"/>
      <c r="G214" s="342"/>
      <c r="H214" s="342"/>
      <c r="I214" s="342"/>
      <c r="J214" s="342"/>
      <c r="K214" s="342"/>
      <c r="L214" s="342"/>
      <c r="M214" s="342"/>
      <c r="N214" s="342"/>
      <c r="O214" s="342"/>
      <c r="P214" s="342"/>
      <c r="Q214" s="342"/>
      <c r="R214" s="342"/>
      <c r="S214" s="342"/>
      <c r="T214" s="342"/>
      <c r="U214" s="342"/>
      <c r="V214" s="342"/>
      <c r="W214" s="342"/>
      <c r="X214" s="342"/>
      <c r="Y214" s="342"/>
      <c r="Z214" s="342"/>
      <c r="AA214" s="65"/>
      <c r="AB214" s="65"/>
      <c r="AC214" s="82"/>
    </row>
    <row r="215" spans="1:68" ht="14.25" customHeight="1" x14ac:dyDescent="0.25">
      <c r="A215" s="343" t="s">
        <v>82</v>
      </c>
      <c r="B215" s="343"/>
      <c r="C215" s="343"/>
      <c r="D215" s="343"/>
      <c r="E215" s="343"/>
      <c r="F215" s="343"/>
      <c r="G215" s="343"/>
      <c r="H215" s="343"/>
      <c r="I215" s="343"/>
      <c r="J215" s="343"/>
      <c r="K215" s="343"/>
      <c r="L215" s="343"/>
      <c r="M215" s="343"/>
      <c r="N215" s="343"/>
      <c r="O215" s="343"/>
      <c r="P215" s="343"/>
      <c r="Q215" s="343"/>
      <c r="R215" s="343"/>
      <c r="S215" s="343"/>
      <c r="T215" s="343"/>
      <c r="U215" s="343"/>
      <c r="V215" s="343"/>
      <c r="W215" s="343"/>
      <c r="X215" s="343"/>
      <c r="Y215" s="343"/>
      <c r="Z215" s="343"/>
      <c r="AA215" s="66"/>
      <c r="AB215" s="66"/>
      <c r="AC215" s="83"/>
    </row>
    <row r="216" spans="1:68" ht="27" customHeight="1" x14ac:dyDescent="0.25">
      <c r="A216" s="63" t="s">
        <v>321</v>
      </c>
      <c r="B216" s="63" t="s">
        <v>322</v>
      </c>
      <c r="C216" s="36">
        <v>4301071036</v>
      </c>
      <c r="D216" s="344">
        <v>4607111036162</v>
      </c>
      <c r="E216" s="344"/>
      <c r="F216" s="62">
        <v>0.8</v>
      </c>
      <c r="G216" s="37">
        <v>8</v>
      </c>
      <c r="H216" s="62">
        <v>6.4</v>
      </c>
      <c r="I216" s="62">
        <v>6.6811999999999996</v>
      </c>
      <c r="J216" s="37">
        <v>84</v>
      </c>
      <c r="K216" s="37" t="s">
        <v>87</v>
      </c>
      <c r="L216" s="37" t="s">
        <v>88</v>
      </c>
      <c r="M216" s="38" t="s">
        <v>86</v>
      </c>
      <c r="N216" s="38"/>
      <c r="O216" s="37">
        <v>90</v>
      </c>
      <c r="P216" s="42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6" s="346"/>
      <c r="R216" s="346"/>
      <c r="S216" s="346"/>
      <c r="T216" s="347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33" t="s">
        <v>323</v>
      </c>
      <c r="AG216" s="81"/>
      <c r="AJ216" s="87" t="s">
        <v>89</v>
      </c>
      <c r="AK216" s="87">
        <v>1</v>
      </c>
      <c r="BB216" s="234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356"/>
      <c r="B217" s="356"/>
      <c r="C217" s="356"/>
      <c r="D217" s="356"/>
      <c r="E217" s="356"/>
      <c r="F217" s="356"/>
      <c r="G217" s="356"/>
      <c r="H217" s="356"/>
      <c r="I217" s="356"/>
      <c r="J217" s="356"/>
      <c r="K217" s="356"/>
      <c r="L217" s="356"/>
      <c r="M217" s="356"/>
      <c r="N217" s="356"/>
      <c r="O217" s="357"/>
      <c r="P217" s="353" t="s">
        <v>40</v>
      </c>
      <c r="Q217" s="354"/>
      <c r="R217" s="354"/>
      <c r="S217" s="354"/>
      <c r="T217" s="354"/>
      <c r="U217" s="354"/>
      <c r="V217" s="355"/>
      <c r="W217" s="42" t="s">
        <v>39</v>
      </c>
      <c r="X217" s="43">
        <f>IFERROR(SUM(X216:X216),"0")</f>
        <v>0</v>
      </c>
      <c r="Y217" s="43">
        <f>IFERROR(SUM(Y216:Y216),"0")</f>
        <v>0</v>
      </c>
      <c r="Z217" s="43">
        <f>IFERROR(IF(Z216="",0,Z216),"0")</f>
        <v>0</v>
      </c>
      <c r="AA217" s="67"/>
      <c r="AB217" s="67"/>
      <c r="AC217" s="67"/>
    </row>
    <row r="218" spans="1:68" x14ac:dyDescent="0.2">
      <c r="A218" s="356"/>
      <c r="B218" s="356"/>
      <c r="C218" s="356"/>
      <c r="D218" s="356"/>
      <c r="E218" s="356"/>
      <c r="F218" s="356"/>
      <c r="G218" s="356"/>
      <c r="H218" s="356"/>
      <c r="I218" s="356"/>
      <c r="J218" s="356"/>
      <c r="K218" s="356"/>
      <c r="L218" s="356"/>
      <c r="M218" s="356"/>
      <c r="N218" s="356"/>
      <c r="O218" s="357"/>
      <c r="P218" s="353" t="s">
        <v>40</v>
      </c>
      <c r="Q218" s="354"/>
      <c r="R218" s="354"/>
      <c r="S218" s="354"/>
      <c r="T218" s="354"/>
      <c r="U218" s="354"/>
      <c r="V218" s="355"/>
      <c r="W218" s="42" t="s">
        <v>0</v>
      </c>
      <c r="X218" s="43">
        <f>IFERROR(SUMPRODUCT(X216:X216*H216:H216),"0")</f>
        <v>0</v>
      </c>
      <c r="Y218" s="43">
        <f>IFERROR(SUMPRODUCT(Y216:Y216*H216:H216),"0")</f>
        <v>0</v>
      </c>
      <c r="Z218" s="42"/>
      <c r="AA218" s="67"/>
      <c r="AB218" s="67"/>
      <c r="AC218" s="67"/>
    </row>
    <row r="219" spans="1:68" ht="27.75" customHeight="1" x14ac:dyDescent="0.2">
      <c r="A219" s="341" t="s">
        <v>324</v>
      </c>
      <c r="B219" s="341"/>
      <c r="C219" s="341"/>
      <c r="D219" s="341"/>
      <c r="E219" s="341"/>
      <c r="F219" s="341"/>
      <c r="G219" s="341"/>
      <c r="H219" s="341"/>
      <c r="I219" s="341"/>
      <c r="J219" s="341"/>
      <c r="K219" s="341"/>
      <c r="L219" s="341"/>
      <c r="M219" s="341"/>
      <c r="N219" s="341"/>
      <c r="O219" s="341"/>
      <c r="P219" s="341"/>
      <c r="Q219" s="341"/>
      <c r="R219" s="341"/>
      <c r="S219" s="341"/>
      <c r="T219" s="341"/>
      <c r="U219" s="341"/>
      <c r="V219" s="341"/>
      <c r="W219" s="341"/>
      <c r="X219" s="341"/>
      <c r="Y219" s="341"/>
      <c r="Z219" s="341"/>
      <c r="AA219" s="54"/>
      <c r="AB219" s="54"/>
      <c r="AC219" s="54"/>
    </row>
    <row r="220" spans="1:68" ht="16.5" customHeight="1" x14ac:dyDescent="0.25">
      <c r="A220" s="342" t="s">
        <v>325</v>
      </c>
      <c r="B220" s="342"/>
      <c r="C220" s="342"/>
      <c r="D220" s="342"/>
      <c r="E220" s="342"/>
      <c r="F220" s="342"/>
      <c r="G220" s="342"/>
      <c r="H220" s="342"/>
      <c r="I220" s="342"/>
      <c r="J220" s="342"/>
      <c r="K220" s="342"/>
      <c r="L220" s="342"/>
      <c r="M220" s="342"/>
      <c r="N220" s="342"/>
      <c r="O220" s="342"/>
      <c r="P220" s="342"/>
      <c r="Q220" s="342"/>
      <c r="R220" s="342"/>
      <c r="S220" s="342"/>
      <c r="T220" s="342"/>
      <c r="U220" s="342"/>
      <c r="V220" s="342"/>
      <c r="W220" s="342"/>
      <c r="X220" s="342"/>
      <c r="Y220" s="342"/>
      <c r="Z220" s="342"/>
      <c r="AA220" s="65"/>
      <c r="AB220" s="65"/>
      <c r="AC220" s="82"/>
    </row>
    <row r="221" spans="1:68" ht="14.25" customHeight="1" x14ac:dyDescent="0.25">
      <c r="A221" s="343" t="s">
        <v>82</v>
      </c>
      <c r="B221" s="343"/>
      <c r="C221" s="343"/>
      <c r="D221" s="343"/>
      <c r="E221" s="343"/>
      <c r="F221" s="343"/>
      <c r="G221" s="343"/>
      <c r="H221" s="343"/>
      <c r="I221" s="343"/>
      <c r="J221" s="343"/>
      <c r="K221" s="343"/>
      <c r="L221" s="343"/>
      <c r="M221" s="343"/>
      <c r="N221" s="343"/>
      <c r="O221" s="343"/>
      <c r="P221" s="343"/>
      <c r="Q221" s="343"/>
      <c r="R221" s="343"/>
      <c r="S221" s="343"/>
      <c r="T221" s="343"/>
      <c r="U221" s="343"/>
      <c r="V221" s="343"/>
      <c r="W221" s="343"/>
      <c r="X221" s="343"/>
      <c r="Y221" s="343"/>
      <c r="Z221" s="343"/>
      <c r="AA221" s="66"/>
      <c r="AB221" s="66"/>
      <c r="AC221" s="83"/>
    </row>
    <row r="222" spans="1:68" ht="27" customHeight="1" x14ac:dyDescent="0.25">
      <c r="A222" s="63" t="s">
        <v>326</v>
      </c>
      <c r="B222" s="63" t="s">
        <v>327</v>
      </c>
      <c r="C222" s="36">
        <v>4301071029</v>
      </c>
      <c r="D222" s="344">
        <v>4607111035899</v>
      </c>
      <c r="E222" s="344"/>
      <c r="F222" s="62">
        <v>1</v>
      </c>
      <c r="G222" s="37">
        <v>5</v>
      </c>
      <c r="H222" s="62">
        <v>5</v>
      </c>
      <c r="I222" s="62">
        <v>5.2619999999999996</v>
      </c>
      <c r="J222" s="37">
        <v>84</v>
      </c>
      <c r="K222" s="37" t="s">
        <v>87</v>
      </c>
      <c r="L222" s="37" t="s">
        <v>88</v>
      </c>
      <c r="M222" s="38" t="s">
        <v>86</v>
      </c>
      <c r="N222" s="38"/>
      <c r="O222" s="37">
        <v>180</v>
      </c>
      <c r="P222" s="42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2" s="346"/>
      <c r="R222" s="346"/>
      <c r="S222" s="346"/>
      <c r="T222" s="347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IFERROR(IF(X222="","",X222*0.0155),"")</f>
        <v>0</v>
      </c>
      <c r="AA222" s="68" t="s">
        <v>46</v>
      </c>
      <c r="AB222" s="69" t="s">
        <v>46</v>
      </c>
      <c r="AC222" s="235" t="s">
        <v>267</v>
      </c>
      <c r="AG222" s="81"/>
      <c r="AJ222" s="87" t="s">
        <v>89</v>
      </c>
      <c r="AK222" s="87">
        <v>1</v>
      </c>
      <c r="BB222" s="236" t="s">
        <v>70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">
      <c r="A223" s="356"/>
      <c r="B223" s="356"/>
      <c r="C223" s="356"/>
      <c r="D223" s="356"/>
      <c r="E223" s="356"/>
      <c r="F223" s="356"/>
      <c r="G223" s="356"/>
      <c r="H223" s="356"/>
      <c r="I223" s="356"/>
      <c r="J223" s="356"/>
      <c r="K223" s="356"/>
      <c r="L223" s="356"/>
      <c r="M223" s="356"/>
      <c r="N223" s="356"/>
      <c r="O223" s="357"/>
      <c r="P223" s="353" t="s">
        <v>40</v>
      </c>
      <c r="Q223" s="354"/>
      <c r="R223" s="354"/>
      <c r="S223" s="354"/>
      <c r="T223" s="354"/>
      <c r="U223" s="354"/>
      <c r="V223" s="355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356"/>
      <c r="B224" s="356"/>
      <c r="C224" s="356"/>
      <c r="D224" s="356"/>
      <c r="E224" s="356"/>
      <c r="F224" s="356"/>
      <c r="G224" s="356"/>
      <c r="H224" s="356"/>
      <c r="I224" s="356"/>
      <c r="J224" s="356"/>
      <c r="K224" s="356"/>
      <c r="L224" s="356"/>
      <c r="M224" s="356"/>
      <c r="N224" s="356"/>
      <c r="O224" s="357"/>
      <c r="P224" s="353" t="s">
        <v>40</v>
      </c>
      <c r="Q224" s="354"/>
      <c r="R224" s="354"/>
      <c r="S224" s="354"/>
      <c r="T224" s="354"/>
      <c r="U224" s="354"/>
      <c r="V224" s="355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">
      <c r="A225" s="341" t="s">
        <v>328</v>
      </c>
      <c r="B225" s="341"/>
      <c r="C225" s="341"/>
      <c r="D225" s="341"/>
      <c r="E225" s="341"/>
      <c r="F225" s="341"/>
      <c r="G225" s="341"/>
      <c r="H225" s="341"/>
      <c r="I225" s="341"/>
      <c r="J225" s="341"/>
      <c r="K225" s="341"/>
      <c r="L225" s="341"/>
      <c r="M225" s="341"/>
      <c r="N225" s="341"/>
      <c r="O225" s="341"/>
      <c r="P225" s="341"/>
      <c r="Q225" s="341"/>
      <c r="R225" s="341"/>
      <c r="S225" s="341"/>
      <c r="T225" s="341"/>
      <c r="U225" s="341"/>
      <c r="V225" s="341"/>
      <c r="W225" s="341"/>
      <c r="X225" s="341"/>
      <c r="Y225" s="341"/>
      <c r="Z225" s="341"/>
      <c r="AA225" s="54"/>
      <c r="AB225" s="54"/>
      <c r="AC225" s="54"/>
    </row>
    <row r="226" spans="1:68" ht="16.5" customHeight="1" x14ac:dyDescent="0.25">
      <c r="A226" s="342" t="s">
        <v>329</v>
      </c>
      <c r="B226" s="342"/>
      <c r="C226" s="342"/>
      <c r="D226" s="342"/>
      <c r="E226" s="342"/>
      <c r="F226" s="342"/>
      <c r="G226" s="342"/>
      <c r="H226" s="342"/>
      <c r="I226" s="342"/>
      <c r="J226" s="342"/>
      <c r="K226" s="342"/>
      <c r="L226" s="342"/>
      <c r="M226" s="342"/>
      <c r="N226" s="342"/>
      <c r="O226" s="342"/>
      <c r="P226" s="342"/>
      <c r="Q226" s="342"/>
      <c r="R226" s="342"/>
      <c r="S226" s="342"/>
      <c r="T226" s="342"/>
      <c r="U226" s="342"/>
      <c r="V226" s="342"/>
      <c r="W226" s="342"/>
      <c r="X226" s="342"/>
      <c r="Y226" s="342"/>
      <c r="Z226" s="342"/>
      <c r="AA226" s="65"/>
      <c r="AB226" s="65"/>
      <c r="AC226" s="82"/>
    </row>
    <row r="227" spans="1:68" ht="14.25" customHeight="1" x14ac:dyDescent="0.25">
      <c r="A227" s="343" t="s">
        <v>330</v>
      </c>
      <c r="B227" s="343"/>
      <c r="C227" s="343"/>
      <c r="D227" s="343"/>
      <c r="E227" s="343"/>
      <c r="F227" s="343"/>
      <c r="G227" s="343"/>
      <c r="H227" s="343"/>
      <c r="I227" s="343"/>
      <c r="J227" s="343"/>
      <c r="K227" s="343"/>
      <c r="L227" s="343"/>
      <c r="M227" s="343"/>
      <c r="N227" s="343"/>
      <c r="O227" s="343"/>
      <c r="P227" s="343"/>
      <c r="Q227" s="343"/>
      <c r="R227" s="343"/>
      <c r="S227" s="343"/>
      <c r="T227" s="343"/>
      <c r="U227" s="343"/>
      <c r="V227" s="343"/>
      <c r="W227" s="343"/>
      <c r="X227" s="343"/>
      <c r="Y227" s="343"/>
      <c r="Z227" s="343"/>
      <c r="AA227" s="66"/>
      <c r="AB227" s="66"/>
      <c r="AC227" s="83"/>
    </row>
    <row r="228" spans="1:68" ht="27" customHeight="1" x14ac:dyDescent="0.25">
      <c r="A228" s="63" t="s">
        <v>331</v>
      </c>
      <c r="B228" s="63" t="s">
        <v>332</v>
      </c>
      <c r="C228" s="36">
        <v>4301133004</v>
      </c>
      <c r="D228" s="344">
        <v>4607111039774</v>
      </c>
      <c r="E228" s="344"/>
      <c r="F228" s="62">
        <v>0.25</v>
      </c>
      <c r="G228" s="37">
        <v>12</v>
      </c>
      <c r="H228" s="62">
        <v>3</v>
      </c>
      <c r="I228" s="62">
        <v>3.22</v>
      </c>
      <c r="J228" s="37">
        <v>70</v>
      </c>
      <c r="K228" s="37" t="s">
        <v>112</v>
      </c>
      <c r="L228" s="37" t="s">
        <v>88</v>
      </c>
      <c r="M228" s="38" t="s">
        <v>86</v>
      </c>
      <c r="N228" s="38"/>
      <c r="O228" s="37">
        <v>180</v>
      </c>
      <c r="P228" s="42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8" s="346"/>
      <c r="R228" s="346"/>
      <c r="S228" s="346"/>
      <c r="T228" s="347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IFERROR(IF(X228="","",X228*0.01788),"")</f>
        <v>0</v>
      </c>
      <c r="AA228" s="68" t="s">
        <v>46</v>
      </c>
      <c r="AB228" s="69" t="s">
        <v>46</v>
      </c>
      <c r="AC228" s="237" t="s">
        <v>333</v>
      </c>
      <c r="AG228" s="81"/>
      <c r="AJ228" s="87" t="s">
        <v>89</v>
      </c>
      <c r="AK228" s="87">
        <v>1</v>
      </c>
      <c r="BB228" s="238" t="s">
        <v>111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x14ac:dyDescent="0.2">
      <c r="A229" s="356"/>
      <c r="B229" s="356"/>
      <c r="C229" s="356"/>
      <c r="D229" s="356"/>
      <c r="E229" s="356"/>
      <c r="F229" s="356"/>
      <c r="G229" s="356"/>
      <c r="H229" s="356"/>
      <c r="I229" s="356"/>
      <c r="J229" s="356"/>
      <c r="K229" s="356"/>
      <c r="L229" s="356"/>
      <c r="M229" s="356"/>
      <c r="N229" s="356"/>
      <c r="O229" s="357"/>
      <c r="P229" s="353" t="s">
        <v>40</v>
      </c>
      <c r="Q229" s="354"/>
      <c r="R229" s="354"/>
      <c r="S229" s="354"/>
      <c r="T229" s="354"/>
      <c r="U229" s="354"/>
      <c r="V229" s="355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356"/>
      <c r="B230" s="356"/>
      <c r="C230" s="356"/>
      <c r="D230" s="356"/>
      <c r="E230" s="356"/>
      <c r="F230" s="356"/>
      <c r="G230" s="356"/>
      <c r="H230" s="356"/>
      <c r="I230" s="356"/>
      <c r="J230" s="356"/>
      <c r="K230" s="356"/>
      <c r="L230" s="356"/>
      <c r="M230" s="356"/>
      <c r="N230" s="356"/>
      <c r="O230" s="357"/>
      <c r="P230" s="353" t="s">
        <v>40</v>
      </c>
      <c r="Q230" s="354"/>
      <c r="R230" s="354"/>
      <c r="S230" s="354"/>
      <c r="T230" s="354"/>
      <c r="U230" s="354"/>
      <c r="V230" s="355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14.25" customHeight="1" x14ac:dyDescent="0.25">
      <c r="A231" s="343" t="s">
        <v>151</v>
      </c>
      <c r="B231" s="343"/>
      <c r="C231" s="343"/>
      <c r="D231" s="343"/>
      <c r="E231" s="343"/>
      <c r="F231" s="343"/>
      <c r="G231" s="343"/>
      <c r="H231" s="343"/>
      <c r="I231" s="343"/>
      <c r="J231" s="343"/>
      <c r="K231" s="343"/>
      <c r="L231" s="343"/>
      <c r="M231" s="343"/>
      <c r="N231" s="343"/>
      <c r="O231" s="343"/>
      <c r="P231" s="343"/>
      <c r="Q231" s="343"/>
      <c r="R231" s="343"/>
      <c r="S231" s="343"/>
      <c r="T231" s="343"/>
      <c r="U231" s="343"/>
      <c r="V231" s="343"/>
      <c r="W231" s="343"/>
      <c r="X231" s="343"/>
      <c r="Y231" s="343"/>
      <c r="Z231" s="343"/>
      <c r="AA231" s="66"/>
      <c r="AB231" s="66"/>
      <c r="AC231" s="83"/>
    </row>
    <row r="232" spans="1:68" ht="37.5" customHeight="1" x14ac:dyDescent="0.25">
      <c r="A232" s="63" t="s">
        <v>334</v>
      </c>
      <c r="B232" s="63" t="s">
        <v>335</v>
      </c>
      <c r="C232" s="36">
        <v>4301135400</v>
      </c>
      <c r="D232" s="344">
        <v>4607111039361</v>
      </c>
      <c r="E232" s="344"/>
      <c r="F232" s="62">
        <v>0.25</v>
      </c>
      <c r="G232" s="37">
        <v>12</v>
      </c>
      <c r="H232" s="62">
        <v>3</v>
      </c>
      <c r="I232" s="62">
        <v>3.7035999999999998</v>
      </c>
      <c r="J232" s="37">
        <v>70</v>
      </c>
      <c r="K232" s="37" t="s">
        <v>112</v>
      </c>
      <c r="L232" s="37" t="s">
        <v>88</v>
      </c>
      <c r="M232" s="38" t="s">
        <v>86</v>
      </c>
      <c r="N232" s="38"/>
      <c r="O232" s="37">
        <v>180</v>
      </c>
      <c r="P232" s="42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2" s="346"/>
      <c r="R232" s="346"/>
      <c r="S232" s="346"/>
      <c r="T232" s="347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39" t="s">
        <v>333</v>
      </c>
      <c r="AG232" s="81"/>
      <c r="AJ232" s="87" t="s">
        <v>89</v>
      </c>
      <c r="AK232" s="87">
        <v>1</v>
      </c>
      <c r="BB232" s="240" t="s">
        <v>111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x14ac:dyDescent="0.2">
      <c r="A233" s="356"/>
      <c r="B233" s="356"/>
      <c r="C233" s="356"/>
      <c r="D233" s="356"/>
      <c r="E233" s="356"/>
      <c r="F233" s="356"/>
      <c r="G233" s="356"/>
      <c r="H233" s="356"/>
      <c r="I233" s="356"/>
      <c r="J233" s="356"/>
      <c r="K233" s="356"/>
      <c r="L233" s="356"/>
      <c r="M233" s="356"/>
      <c r="N233" s="356"/>
      <c r="O233" s="357"/>
      <c r="P233" s="353" t="s">
        <v>40</v>
      </c>
      <c r="Q233" s="354"/>
      <c r="R233" s="354"/>
      <c r="S233" s="354"/>
      <c r="T233" s="354"/>
      <c r="U233" s="354"/>
      <c r="V233" s="355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x14ac:dyDescent="0.2">
      <c r="A234" s="356"/>
      <c r="B234" s="356"/>
      <c r="C234" s="356"/>
      <c r="D234" s="356"/>
      <c r="E234" s="356"/>
      <c r="F234" s="356"/>
      <c r="G234" s="356"/>
      <c r="H234" s="356"/>
      <c r="I234" s="356"/>
      <c r="J234" s="356"/>
      <c r="K234" s="356"/>
      <c r="L234" s="356"/>
      <c r="M234" s="356"/>
      <c r="N234" s="356"/>
      <c r="O234" s="357"/>
      <c r="P234" s="353" t="s">
        <v>40</v>
      </c>
      <c r="Q234" s="354"/>
      <c r="R234" s="354"/>
      <c r="S234" s="354"/>
      <c r="T234" s="354"/>
      <c r="U234" s="354"/>
      <c r="V234" s="355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27.75" customHeight="1" x14ac:dyDescent="0.2">
      <c r="A235" s="341" t="s">
        <v>336</v>
      </c>
      <c r="B235" s="341"/>
      <c r="C235" s="341"/>
      <c r="D235" s="341"/>
      <c r="E235" s="341"/>
      <c r="F235" s="341"/>
      <c r="G235" s="341"/>
      <c r="H235" s="341"/>
      <c r="I235" s="341"/>
      <c r="J235" s="341"/>
      <c r="K235" s="341"/>
      <c r="L235" s="341"/>
      <c r="M235" s="341"/>
      <c r="N235" s="341"/>
      <c r="O235" s="341"/>
      <c r="P235" s="341"/>
      <c r="Q235" s="341"/>
      <c r="R235" s="341"/>
      <c r="S235" s="341"/>
      <c r="T235" s="341"/>
      <c r="U235" s="341"/>
      <c r="V235" s="341"/>
      <c r="W235" s="341"/>
      <c r="X235" s="341"/>
      <c r="Y235" s="341"/>
      <c r="Z235" s="341"/>
      <c r="AA235" s="54"/>
      <c r="AB235" s="54"/>
      <c r="AC235" s="54"/>
    </row>
    <row r="236" spans="1:68" ht="16.5" customHeight="1" x14ac:dyDescent="0.25">
      <c r="A236" s="342" t="s">
        <v>336</v>
      </c>
      <c r="B236" s="342"/>
      <c r="C236" s="342"/>
      <c r="D236" s="342"/>
      <c r="E236" s="342"/>
      <c r="F236" s="342"/>
      <c r="G236" s="342"/>
      <c r="H236" s="342"/>
      <c r="I236" s="342"/>
      <c r="J236" s="342"/>
      <c r="K236" s="342"/>
      <c r="L236" s="342"/>
      <c r="M236" s="342"/>
      <c r="N236" s="342"/>
      <c r="O236" s="342"/>
      <c r="P236" s="342"/>
      <c r="Q236" s="342"/>
      <c r="R236" s="342"/>
      <c r="S236" s="342"/>
      <c r="T236" s="342"/>
      <c r="U236" s="342"/>
      <c r="V236" s="342"/>
      <c r="W236" s="342"/>
      <c r="X236" s="342"/>
      <c r="Y236" s="342"/>
      <c r="Z236" s="342"/>
      <c r="AA236" s="65"/>
      <c r="AB236" s="65"/>
      <c r="AC236" s="82"/>
    </row>
    <row r="237" spans="1:68" ht="14.25" customHeight="1" x14ac:dyDescent="0.25">
      <c r="A237" s="343" t="s">
        <v>82</v>
      </c>
      <c r="B237" s="343"/>
      <c r="C237" s="343"/>
      <c r="D237" s="343"/>
      <c r="E237" s="343"/>
      <c r="F237" s="343"/>
      <c r="G237" s="343"/>
      <c r="H237" s="343"/>
      <c r="I237" s="343"/>
      <c r="J237" s="343"/>
      <c r="K237" s="343"/>
      <c r="L237" s="343"/>
      <c r="M237" s="343"/>
      <c r="N237" s="343"/>
      <c r="O237" s="343"/>
      <c r="P237" s="343"/>
      <c r="Q237" s="343"/>
      <c r="R237" s="343"/>
      <c r="S237" s="343"/>
      <c r="T237" s="343"/>
      <c r="U237" s="343"/>
      <c r="V237" s="343"/>
      <c r="W237" s="343"/>
      <c r="X237" s="343"/>
      <c r="Y237" s="343"/>
      <c r="Z237" s="343"/>
      <c r="AA237" s="66"/>
      <c r="AB237" s="66"/>
      <c r="AC237" s="83"/>
    </row>
    <row r="238" spans="1:68" ht="27" customHeight="1" x14ac:dyDescent="0.25">
      <c r="A238" s="63" t="s">
        <v>337</v>
      </c>
      <c r="B238" s="63" t="s">
        <v>338</v>
      </c>
      <c r="C238" s="36">
        <v>4301071014</v>
      </c>
      <c r="D238" s="344">
        <v>4640242181264</v>
      </c>
      <c r="E238" s="344"/>
      <c r="F238" s="62">
        <v>0.7</v>
      </c>
      <c r="G238" s="37">
        <v>10</v>
      </c>
      <c r="H238" s="62">
        <v>7</v>
      </c>
      <c r="I238" s="62">
        <v>7.28</v>
      </c>
      <c r="J238" s="37">
        <v>84</v>
      </c>
      <c r="K238" s="37" t="s">
        <v>87</v>
      </c>
      <c r="L238" s="37" t="s">
        <v>88</v>
      </c>
      <c r="M238" s="38" t="s">
        <v>86</v>
      </c>
      <c r="N238" s="38"/>
      <c r="O238" s="37">
        <v>180</v>
      </c>
      <c r="P238" s="42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8" s="346"/>
      <c r="R238" s="346"/>
      <c r="S238" s="346"/>
      <c r="T238" s="347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IFERROR(IF(X238="","",X238*0.0155),"")</f>
        <v>0</v>
      </c>
      <c r="AA238" s="68" t="s">
        <v>46</v>
      </c>
      <c r="AB238" s="69" t="s">
        <v>46</v>
      </c>
      <c r="AC238" s="241" t="s">
        <v>339</v>
      </c>
      <c r="AG238" s="81"/>
      <c r="AJ238" s="87" t="s">
        <v>89</v>
      </c>
      <c r="AK238" s="87">
        <v>1</v>
      </c>
      <c r="BB238" s="242" t="s">
        <v>70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t="27" customHeight="1" x14ac:dyDescent="0.25">
      <c r="A239" s="63" t="s">
        <v>340</v>
      </c>
      <c r="B239" s="63" t="s">
        <v>341</v>
      </c>
      <c r="C239" s="36">
        <v>4301071021</v>
      </c>
      <c r="D239" s="344">
        <v>4640242181325</v>
      </c>
      <c r="E239" s="344"/>
      <c r="F239" s="62">
        <v>0.7</v>
      </c>
      <c r="G239" s="37">
        <v>10</v>
      </c>
      <c r="H239" s="62">
        <v>7</v>
      </c>
      <c r="I239" s="62">
        <v>7.28</v>
      </c>
      <c r="J239" s="37">
        <v>84</v>
      </c>
      <c r="K239" s="37" t="s">
        <v>87</v>
      </c>
      <c r="L239" s="37" t="s">
        <v>88</v>
      </c>
      <c r="M239" s="38" t="s">
        <v>86</v>
      </c>
      <c r="N239" s="38"/>
      <c r="O239" s="37">
        <v>180</v>
      </c>
      <c r="P239" s="42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39" s="346"/>
      <c r="R239" s="346"/>
      <c r="S239" s="346"/>
      <c r="T239" s="347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IFERROR(IF(X239="","",X239*0.0155),"")</f>
        <v>0</v>
      </c>
      <c r="AA239" s="68" t="s">
        <v>46</v>
      </c>
      <c r="AB239" s="69" t="s">
        <v>46</v>
      </c>
      <c r="AC239" s="243" t="s">
        <v>339</v>
      </c>
      <c r="AG239" s="81"/>
      <c r="AJ239" s="87" t="s">
        <v>89</v>
      </c>
      <c r="AK239" s="87">
        <v>1</v>
      </c>
      <c r="BB239" s="244" t="s">
        <v>70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x14ac:dyDescent="0.2">
      <c r="A240" s="356"/>
      <c r="B240" s="356"/>
      <c r="C240" s="356"/>
      <c r="D240" s="356"/>
      <c r="E240" s="356"/>
      <c r="F240" s="356"/>
      <c r="G240" s="356"/>
      <c r="H240" s="356"/>
      <c r="I240" s="356"/>
      <c r="J240" s="356"/>
      <c r="K240" s="356"/>
      <c r="L240" s="356"/>
      <c r="M240" s="356"/>
      <c r="N240" s="356"/>
      <c r="O240" s="357"/>
      <c r="P240" s="353" t="s">
        <v>40</v>
      </c>
      <c r="Q240" s="354"/>
      <c r="R240" s="354"/>
      <c r="S240" s="354"/>
      <c r="T240" s="354"/>
      <c r="U240" s="354"/>
      <c r="V240" s="355"/>
      <c r="W240" s="42" t="s">
        <v>39</v>
      </c>
      <c r="X240" s="43">
        <f>IFERROR(SUM(X238:X239),"0")</f>
        <v>0</v>
      </c>
      <c r="Y240" s="43">
        <f>IFERROR(SUM(Y238:Y239),"0")</f>
        <v>0</v>
      </c>
      <c r="Z240" s="43">
        <f>IFERROR(IF(Z238="",0,Z238),"0")+IFERROR(IF(Z239="",0,Z239),"0")</f>
        <v>0</v>
      </c>
      <c r="AA240" s="67"/>
      <c r="AB240" s="67"/>
      <c r="AC240" s="67"/>
    </row>
    <row r="241" spans="1:68" x14ac:dyDescent="0.2">
      <c r="A241" s="356"/>
      <c r="B241" s="356"/>
      <c r="C241" s="356"/>
      <c r="D241" s="356"/>
      <c r="E241" s="356"/>
      <c r="F241" s="356"/>
      <c r="G241" s="356"/>
      <c r="H241" s="356"/>
      <c r="I241" s="356"/>
      <c r="J241" s="356"/>
      <c r="K241" s="356"/>
      <c r="L241" s="356"/>
      <c r="M241" s="356"/>
      <c r="N241" s="356"/>
      <c r="O241" s="357"/>
      <c r="P241" s="353" t="s">
        <v>40</v>
      </c>
      <c r="Q241" s="354"/>
      <c r="R241" s="354"/>
      <c r="S241" s="354"/>
      <c r="T241" s="354"/>
      <c r="U241" s="354"/>
      <c r="V241" s="355"/>
      <c r="W241" s="42" t="s">
        <v>0</v>
      </c>
      <c r="X241" s="43">
        <f>IFERROR(SUMPRODUCT(X238:X239*H238:H239),"0")</f>
        <v>0</v>
      </c>
      <c r="Y241" s="43">
        <f>IFERROR(SUMPRODUCT(Y238:Y239*H238:H239),"0")</f>
        <v>0</v>
      </c>
      <c r="Z241" s="42"/>
      <c r="AA241" s="67"/>
      <c r="AB241" s="67"/>
      <c r="AC241" s="67"/>
    </row>
    <row r="242" spans="1:68" ht="14.25" customHeight="1" x14ac:dyDescent="0.25">
      <c r="A242" s="343" t="s">
        <v>107</v>
      </c>
      <c r="B242" s="343"/>
      <c r="C242" s="343"/>
      <c r="D242" s="343"/>
      <c r="E242" s="343"/>
      <c r="F242" s="343"/>
      <c r="G242" s="343"/>
      <c r="H242" s="343"/>
      <c r="I242" s="343"/>
      <c r="J242" s="343"/>
      <c r="K242" s="343"/>
      <c r="L242" s="343"/>
      <c r="M242" s="343"/>
      <c r="N242" s="343"/>
      <c r="O242" s="343"/>
      <c r="P242" s="343"/>
      <c r="Q242" s="343"/>
      <c r="R242" s="343"/>
      <c r="S242" s="343"/>
      <c r="T242" s="343"/>
      <c r="U242" s="343"/>
      <c r="V242" s="343"/>
      <c r="W242" s="343"/>
      <c r="X242" s="343"/>
      <c r="Y242" s="343"/>
      <c r="Z242" s="343"/>
      <c r="AA242" s="66"/>
      <c r="AB242" s="66"/>
      <c r="AC242" s="83"/>
    </row>
    <row r="243" spans="1:68" ht="27" customHeight="1" x14ac:dyDescent="0.25">
      <c r="A243" s="63" t="s">
        <v>342</v>
      </c>
      <c r="B243" s="63" t="s">
        <v>343</v>
      </c>
      <c r="C243" s="36">
        <v>4301132080</v>
      </c>
      <c r="D243" s="344">
        <v>4640242180397</v>
      </c>
      <c r="E243" s="344"/>
      <c r="F243" s="62">
        <v>1</v>
      </c>
      <c r="G243" s="37">
        <v>6</v>
      </c>
      <c r="H243" s="62">
        <v>6</v>
      </c>
      <c r="I243" s="62">
        <v>6.26</v>
      </c>
      <c r="J243" s="37">
        <v>84</v>
      </c>
      <c r="K243" s="37" t="s">
        <v>87</v>
      </c>
      <c r="L243" s="37" t="s">
        <v>113</v>
      </c>
      <c r="M243" s="38" t="s">
        <v>86</v>
      </c>
      <c r="N243" s="38"/>
      <c r="O243" s="37">
        <v>180</v>
      </c>
      <c r="P243" s="43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3" s="346"/>
      <c r="R243" s="346"/>
      <c r="S243" s="346"/>
      <c r="T243" s="347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45" t="s">
        <v>344</v>
      </c>
      <c r="AG243" s="81"/>
      <c r="AJ243" s="87" t="s">
        <v>114</v>
      </c>
      <c r="AK243" s="87">
        <v>12</v>
      </c>
      <c r="BB243" s="246" t="s">
        <v>111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356"/>
      <c r="B244" s="356"/>
      <c r="C244" s="356"/>
      <c r="D244" s="356"/>
      <c r="E244" s="356"/>
      <c r="F244" s="356"/>
      <c r="G244" s="356"/>
      <c r="H244" s="356"/>
      <c r="I244" s="356"/>
      <c r="J244" s="356"/>
      <c r="K244" s="356"/>
      <c r="L244" s="356"/>
      <c r="M244" s="356"/>
      <c r="N244" s="356"/>
      <c r="O244" s="357"/>
      <c r="P244" s="353" t="s">
        <v>40</v>
      </c>
      <c r="Q244" s="354"/>
      <c r="R244" s="354"/>
      <c r="S244" s="354"/>
      <c r="T244" s="354"/>
      <c r="U244" s="354"/>
      <c r="V244" s="355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356"/>
      <c r="B245" s="356"/>
      <c r="C245" s="356"/>
      <c r="D245" s="356"/>
      <c r="E245" s="356"/>
      <c r="F245" s="356"/>
      <c r="G245" s="356"/>
      <c r="H245" s="356"/>
      <c r="I245" s="356"/>
      <c r="J245" s="356"/>
      <c r="K245" s="356"/>
      <c r="L245" s="356"/>
      <c r="M245" s="356"/>
      <c r="N245" s="356"/>
      <c r="O245" s="357"/>
      <c r="P245" s="353" t="s">
        <v>40</v>
      </c>
      <c r="Q245" s="354"/>
      <c r="R245" s="354"/>
      <c r="S245" s="354"/>
      <c r="T245" s="354"/>
      <c r="U245" s="354"/>
      <c r="V245" s="355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customHeight="1" x14ac:dyDescent="0.25">
      <c r="A246" s="343" t="s">
        <v>145</v>
      </c>
      <c r="B246" s="343"/>
      <c r="C246" s="343"/>
      <c r="D246" s="343"/>
      <c r="E246" s="343"/>
      <c r="F246" s="343"/>
      <c r="G246" s="343"/>
      <c r="H246" s="343"/>
      <c r="I246" s="343"/>
      <c r="J246" s="343"/>
      <c r="K246" s="343"/>
      <c r="L246" s="343"/>
      <c r="M246" s="343"/>
      <c r="N246" s="343"/>
      <c r="O246" s="343"/>
      <c r="P246" s="343"/>
      <c r="Q246" s="343"/>
      <c r="R246" s="343"/>
      <c r="S246" s="343"/>
      <c r="T246" s="343"/>
      <c r="U246" s="343"/>
      <c r="V246" s="343"/>
      <c r="W246" s="343"/>
      <c r="X246" s="343"/>
      <c r="Y246" s="343"/>
      <c r="Z246" s="343"/>
      <c r="AA246" s="66"/>
      <c r="AB246" s="66"/>
      <c r="AC246" s="83"/>
    </row>
    <row r="247" spans="1:68" ht="27" customHeight="1" x14ac:dyDescent="0.25">
      <c r="A247" s="63" t="s">
        <v>345</v>
      </c>
      <c r="B247" s="63" t="s">
        <v>346</v>
      </c>
      <c r="C247" s="36">
        <v>4301136051</v>
      </c>
      <c r="D247" s="344">
        <v>4640242180304</v>
      </c>
      <c r="E247" s="344"/>
      <c r="F247" s="62">
        <v>2.7</v>
      </c>
      <c r="G247" s="37">
        <v>1</v>
      </c>
      <c r="H247" s="62">
        <v>2.7</v>
      </c>
      <c r="I247" s="62">
        <v>2.8906000000000001</v>
      </c>
      <c r="J247" s="37">
        <v>126</v>
      </c>
      <c r="K247" s="37" t="s">
        <v>112</v>
      </c>
      <c r="L247" s="37" t="s">
        <v>113</v>
      </c>
      <c r="M247" s="38" t="s">
        <v>86</v>
      </c>
      <c r="N247" s="38"/>
      <c r="O247" s="37">
        <v>180</v>
      </c>
      <c r="P247" s="43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7" s="346"/>
      <c r="R247" s="346"/>
      <c r="S247" s="346"/>
      <c r="T247" s="347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47" t="s">
        <v>347</v>
      </c>
      <c r="AG247" s="81"/>
      <c r="AJ247" s="87" t="s">
        <v>114</v>
      </c>
      <c r="AK247" s="87">
        <v>14</v>
      </c>
      <c r="BB247" s="248" t="s">
        <v>111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customHeight="1" x14ac:dyDescent="0.25">
      <c r="A248" s="63" t="s">
        <v>348</v>
      </c>
      <c r="B248" s="63" t="s">
        <v>349</v>
      </c>
      <c r="C248" s="36">
        <v>4301136053</v>
      </c>
      <c r="D248" s="344">
        <v>4640242180236</v>
      </c>
      <c r="E248" s="344"/>
      <c r="F248" s="62">
        <v>5</v>
      </c>
      <c r="G248" s="37">
        <v>1</v>
      </c>
      <c r="H248" s="62">
        <v>5</v>
      </c>
      <c r="I248" s="62">
        <v>5.2350000000000003</v>
      </c>
      <c r="J248" s="37">
        <v>84</v>
      </c>
      <c r="K248" s="37" t="s">
        <v>87</v>
      </c>
      <c r="L248" s="37" t="s">
        <v>113</v>
      </c>
      <c r="M248" s="38" t="s">
        <v>86</v>
      </c>
      <c r="N248" s="38"/>
      <c r="O248" s="37">
        <v>180</v>
      </c>
      <c r="P248" s="43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8" s="346"/>
      <c r="R248" s="346"/>
      <c r="S248" s="346"/>
      <c r="T248" s="347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49" t="s">
        <v>347</v>
      </c>
      <c r="AG248" s="81"/>
      <c r="AJ248" s="87" t="s">
        <v>114</v>
      </c>
      <c r="AK248" s="87">
        <v>12</v>
      </c>
      <c r="BB248" s="250" t="s">
        <v>111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27" customHeight="1" x14ac:dyDescent="0.25">
      <c r="A249" s="63" t="s">
        <v>350</v>
      </c>
      <c r="B249" s="63" t="s">
        <v>351</v>
      </c>
      <c r="C249" s="36">
        <v>4301136052</v>
      </c>
      <c r="D249" s="344">
        <v>4640242180410</v>
      </c>
      <c r="E249" s="344"/>
      <c r="F249" s="62">
        <v>2.2400000000000002</v>
      </c>
      <c r="G249" s="37">
        <v>1</v>
      </c>
      <c r="H249" s="62">
        <v>2.2400000000000002</v>
      </c>
      <c r="I249" s="62">
        <v>2.4319999999999999</v>
      </c>
      <c r="J249" s="37">
        <v>126</v>
      </c>
      <c r="K249" s="37" t="s">
        <v>112</v>
      </c>
      <c r="L249" s="37" t="s">
        <v>88</v>
      </c>
      <c r="M249" s="38" t="s">
        <v>86</v>
      </c>
      <c r="N249" s="38"/>
      <c r="O249" s="37">
        <v>180</v>
      </c>
      <c r="P249" s="43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49" s="346"/>
      <c r="R249" s="346"/>
      <c r="S249" s="346"/>
      <c r="T249" s="347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IFERROR(IF(X249="","",X249*0.00936),"")</f>
        <v>0</v>
      </c>
      <c r="AA249" s="68" t="s">
        <v>46</v>
      </c>
      <c r="AB249" s="69" t="s">
        <v>46</v>
      </c>
      <c r="AC249" s="251" t="s">
        <v>347</v>
      </c>
      <c r="AG249" s="81"/>
      <c r="AJ249" s="87" t="s">
        <v>89</v>
      </c>
      <c r="AK249" s="87">
        <v>1</v>
      </c>
      <c r="BB249" s="252" t="s">
        <v>111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x14ac:dyDescent="0.2">
      <c r="A250" s="356"/>
      <c r="B250" s="356"/>
      <c r="C250" s="356"/>
      <c r="D250" s="356"/>
      <c r="E250" s="356"/>
      <c r="F250" s="356"/>
      <c r="G250" s="356"/>
      <c r="H250" s="356"/>
      <c r="I250" s="356"/>
      <c r="J250" s="356"/>
      <c r="K250" s="356"/>
      <c r="L250" s="356"/>
      <c r="M250" s="356"/>
      <c r="N250" s="356"/>
      <c r="O250" s="357"/>
      <c r="P250" s="353" t="s">
        <v>40</v>
      </c>
      <c r="Q250" s="354"/>
      <c r="R250" s="354"/>
      <c r="S250" s="354"/>
      <c r="T250" s="354"/>
      <c r="U250" s="354"/>
      <c r="V250" s="355"/>
      <c r="W250" s="42" t="s">
        <v>39</v>
      </c>
      <c r="X250" s="43">
        <f>IFERROR(SUM(X247:X249),"0")</f>
        <v>0</v>
      </c>
      <c r="Y250" s="43">
        <f>IFERROR(SUM(Y247:Y249),"0")</f>
        <v>0</v>
      </c>
      <c r="Z250" s="43">
        <f>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356"/>
      <c r="B251" s="356"/>
      <c r="C251" s="356"/>
      <c r="D251" s="356"/>
      <c r="E251" s="356"/>
      <c r="F251" s="356"/>
      <c r="G251" s="356"/>
      <c r="H251" s="356"/>
      <c r="I251" s="356"/>
      <c r="J251" s="356"/>
      <c r="K251" s="356"/>
      <c r="L251" s="356"/>
      <c r="M251" s="356"/>
      <c r="N251" s="356"/>
      <c r="O251" s="357"/>
      <c r="P251" s="353" t="s">
        <v>40</v>
      </c>
      <c r="Q251" s="354"/>
      <c r="R251" s="354"/>
      <c r="S251" s="354"/>
      <c r="T251" s="354"/>
      <c r="U251" s="354"/>
      <c r="V251" s="355"/>
      <c r="W251" s="42" t="s">
        <v>0</v>
      </c>
      <c r="X251" s="43">
        <f>IFERROR(SUMPRODUCT(X247:X249*H247:H249),"0")</f>
        <v>0</v>
      </c>
      <c r="Y251" s="43">
        <f>IFERROR(SUMPRODUCT(Y247:Y249*H247:H249),"0")</f>
        <v>0</v>
      </c>
      <c r="Z251" s="42"/>
      <c r="AA251" s="67"/>
      <c r="AB251" s="67"/>
      <c r="AC251" s="67"/>
    </row>
    <row r="252" spans="1:68" ht="14.25" customHeight="1" x14ac:dyDescent="0.25">
      <c r="A252" s="343" t="s">
        <v>151</v>
      </c>
      <c r="B252" s="343"/>
      <c r="C252" s="343"/>
      <c r="D252" s="343"/>
      <c r="E252" s="343"/>
      <c r="F252" s="343"/>
      <c r="G252" s="343"/>
      <c r="H252" s="343"/>
      <c r="I252" s="343"/>
      <c r="J252" s="343"/>
      <c r="K252" s="343"/>
      <c r="L252" s="343"/>
      <c r="M252" s="343"/>
      <c r="N252" s="343"/>
      <c r="O252" s="343"/>
      <c r="P252" s="343"/>
      <c r="Q252" s="343"/>
      <c r="R252" s="343"/>
      <c r="S252" s="343"/>
      <c r="T252" s="343"/>
      <c r="U252" s="343"/>
      <c r="V252" s="343"/>
      <c r="W252" s="343"/>
      <c r="X252" s="343"/>
      <c r="Y252" s="343"/>
      <c r="Z252" s="343"/>
      <c r="AA252" s="66"/>
      <c r="AB252" s="66"/>
      <c r="AC252" s="83"/>
    </row>
    <row r="253" spans="1:68" ht="37.5" customHeight="1" x14ac:dyDescent="0.25">
      <c r="A253" s="63" t="s">
        <v>352</v>
      </c>
      <c r="B253" s="63" t="s">
        <v>353</v>
      </c>
      <c r="C253" s="36">
        <v>4301135504</v>
      </c>
      <c r="D253" s="344">
        <v>4640242181554</v>
      </c>
      <c r="E253" s="344"/>
      <c r="F253" s="62">
        <v>3</v>
      </c>
      <c r="G253" s="37">
        <v>1</v>
      </c>
      <c r="H253" s="62">
        <v>3</v>
      </c>
      <c r="I253" s="62">
        <v>3.1920000000000002</v>
      </c>
      <c r="J253" s="37">
        <v>126</v>
      </c>
      <c r="K253" s="37" t="s">
        <v>112</v>
      </c>
      <c r="L253" s="37" t="s">
        <v>88</v>
      </c>
      <c r="M253" s="38" t="s">
        <v>86</v>
      </c>
      <c r="N253" s="38"/>
      <c r="O253" s="37">
        <v>180</v>
      </c>
      <c r="P253" s="43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3" s="346"/>
      <c r="R253" s="346"/>
      <c r="S253" s="346"/>
      <c r="T253" s="347"/>
      <c r="U253" s="39" t="s">
        <v>46</v>
      </c>
      <c r="V253" s="39" t="s">
        <v>46</v>
      </c>
      <c r="W253" s="40" t="s">
        <v>39</v>
      </c>
      <c r="X253" s="58">
        <v>0</v>
      </c>
      <c r="Y253" s="55">
        <f t="shared" ref="Y253:Y262" si="18"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354</v>
      </c>
      <c r="AG253" s="81"/>
      <c r="AJ253" s="87" t="s">
        <v>89</v>
      </c>
      <c r="AK253" s="87">
        <v>1</v>
      </c>
      <c r="BB253" s="254" t="s">
        <v>111</v>
      </c>
      <c r="BM253" s="81">
        <f t="shared" ref="BM253:BM262" si="19">IFERROR(X253*I253,"0")</f>
        <v>0</v>
      </c>
      <c r="BN253" s="81">
        <f t="shared" ref="BN253:BN262" si="20">IFERROR(Y253*I253,"0")</f>
        <v>0</v>
      </c>
      <c r="BO253" s="81">
        <f t="shared" ref="BO253:BO262" si="21">IFERROR(X253/J253,"0")</f>
        <v>0</v>
      </c>
      <c r="BP253" s="81">
        <f t="shared" ref="BP253:BP262" si="22">IFERROR(Y253/J253,"0")</f>
        <v>0</v>
      </c>
    </row>
    <row r="254" spans="1:68" ht="27" customHeight="1" x14ac:dyDescent="0.25">
      <c r="A254" s="63" t="s">
        <v>355</v>
      </c>
      <c r="B254" s="63" t="s">
        <v>356</v>
      </c>
      <c r="C254" s="36">
        <v>4301135518</v>
      </c>
      <c r="D254" s="344">
        <v>4640242181561</v>
      </c>
      <c r="E254" s="344"/>
      <c r="F254" s="62">
        <v>3.7</v>
      </c>
      <c r="G254" s="37">
        <v>1</v>
      </c>
      <c r="H254" s="62">
        <v>3.7</v>
      </c>
      <c r="I254" s="62">
        <v>3.8919999999999999</v>
      </c>
      <c r="J254" s="37">
        <v>126</v>
      </c>
      <c r="K254" s="37" t="s">
        <v>112</v>
      </c>
      <c r="L254" s="37" t="s">
        <v>113</v>
      </c>
      <c r="M254" s="38" t="s">
        <v>86</v>
      </c>
      <c r="N254" s="38"/>
      <c r="O254" s="37">
        <v>180</v>
      </c>
      <c r="P254" s="43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4" s="346"/>
      <c r="R254" s="346"/>
      <c r="S254" s="346"/>
      <c r="T254" s="347"/>
      <c r="U254" s="39" t="s">
        <v>46</v>
      </c>
      <c r="V254" s="39" t="s">
        <v>46</v>
      </c>
      <c r="W254" s="40" t="s">
        <v>39</v>
      </c>
      <c r="X254" s="58">
        <v>0</v>
      </c>
      <c r="Y254" s="55">
        <f t="shared" si="18"/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357</v>
      </c>
      <c r="AG254" s="81"/>
      <c r="AJ254" s="87" t="s">
        <v>114</v>
      </c>
      <c r="AK254" s="87">
        <v>14</v>
      </c>
      <c r="BB254" s="256" t="s">
        <v>111</v>
      </c>
      <c r="BM254" s="81">
        <f t="shared" si="19"/>
        <v>0</v>
      </c>
      <c r="BN254" s="81">
        <f t="shared" si="20"/>
        <v>0</v>
      </c>
      <c r="BO254" s="81">
        <f t="shared" si="21"/>
        <v>0</v>
      </c>
      <c r="BP254" s="81">
        <f t="shared" si="22"/>
        <v>0</v>
      </c>
    </row>
    <row r="255" spans="1:68" ht="27" customHeight="1" x14ac:dyDescent="0.25">
      <c r="A255" s="63" t="s">
        <v>358</v>
      </c>
      <c r="B255" s="63" t="s">
        <v>359</v>
      </c>
      <c r="C255" s="36">
        <v>4301135374</v>
      </c>
      <c r="D255" s="344">
        <v>4640242181424</v>
      </c>
      <c r="E255" s="344"/>
      <c r="F255" s="62">
        <v>5.5</v>
      </c>
      <c r="G255" s="37">
        <v>1</v>
      </c>
      <c r="H255" s="62">
        <v>5.5</v>
      </c>
      <c r="I255" s="62">
        <v>5.7350000000000003</v>
      </c>
      <c r="J255" s="37">
        <v>84</v>
      </c>
      <c r="K255" s="37" t="s">
        <v>87</v>
      </c>
      <c r="L255" s="37" t="s">
        <v>113</v>
      </c>
      <c r="M255" s="38" t="s">
        <v>86</v>
      </c>
      <c r="N255" s="38"/>
      <c r="O255" s="37">
        <v>180</v>
      </c>
      <c r="P255" s="43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5" s="346"/>
      <c r="R255" s="346"/>
      <c r="S255" s="346"/>
      <c r="T255" s="347"/>
      <c r="U255" s="39" t="s">
        <v>46</v>
      </c>
      <c r="V255" s="39" t="s">
        <v>46</v>
      </c>
      <c r="W255" s="40" t="s">
        <v>39</v>
      </c>
      <c r="X255" s="58">
        <v>0</v>
      </c>
      <c r="Y255" s="55">
        <f t="shared" si="18"/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7" t="s">
        <v>354</v>
      </c>
      <c r="AG255" s="81"/>
      <c r="AJ255" s="87" t="s">
        <v>114</v>
      </c>
      <c r="AK255" s="87">
        <v>12</v>
      </c>
      <c r="BB255" s="258" t="s">
        <v>111</v>
      </c>
      <c r="BM255" s="81">
        <f t="shared" si="19"/>
        <v>0</v>
      </c>
      <c r="BN255" s="81">
        <f t="shared" si="20"/>
        <v>0</v>
      </c>
      <c r="BO255" s="81">
        <f t="shared" si="21"/>
        <v>0</v>
      </c>
      <c r="BP255" s="81">
        <f t="shared" si="22"/>
        <v>0</v>
      </c>
    </row>
    <row r="256" spans="1:68" ht="27" customHeight="1" x14ac:dyDescent="0.25">
      <c r="A256" s="63" t="s">
        <v>360</v>
      </c>
      <c r="B256" s="63" t="s">
        <v>361</v>
      </c>
      <c r="C256" s="36">
        <v>4301135405</v>
      </c>
      <c r="D256" s="344">
        <v>4640242181523</v>
      </c>
      <c r="E256" s="344"/>
      <c r="F256" s="62">
        <v>3</v>
      </c>
      <c r="G256" s="37">
        <v>1</v>
      </c>
      <c r="H256" s="62">
        <v>3</v>
      </c>
      <c r="I256" s="62">
        <v>3.1920000000000002</v>
      </c>
      <c r="J256" s="37">
        <v>126</v>
      </c>
      <c r="K256" s="37" t="s">
        <v>112</v>
      </c>
      <c r="L256" s="37" t="s">
        <v>113</v>
      </c>
      <c r="M256" s="38" t="s">
        <v>86</v>
      </c>
      <c r="N256" s="38"/>
      <c r="O256" s="37">
        <v>180</v>
      </c>
      <c r="P256" s="43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6" s="346"/>
      <c r="R256" s="346"/>
      <c r="S256" s="346"/>
      <c r="T256" s="347"/>
      <c r="U256" s="39" t="s">
        <v>46</v>
      </c>
      <c r="V256" s="39" t="s">
        <v>46</v>
      </c>
      <c r="W256" s="40" t="s">
        <v>39</v>
      </c>
      <c r="X256" s="58">
        <v>0</v>
      </c>
      <c r="Y256" s="55">
        <f t="shared" si="18"/>
        <v>0</v>
      </c>
      <c r="Z256" s="41">
        <f t="shared" ref="Z256:Z261" si="23">IFERROR(IF(X256="","",X256*0.00936),"")</f>
        <v>0</v>
      </c>
      <c r="AA256" s="68" t="s">
        <v>46</v>
      </c>
      <c r="AB256" s="69" t="s">
        <v>46</v>
      </c>
      <c r="AC256" s="259" t="s">
        <v>357</v>
      </c>
      <c r="AG256" s="81"/>
      <c r="AJ256" s="87" t="s">
        <v>114</v>
      </c>
      <c r="AK256" s="87">
        <v>14</v>
      </c>
      <c r="BB256" s="260" t="s">
        <v>111</v>
      </c>
      <c r="BM256" s="81">
        <f t="shared" si="19"/>
        <v>0</v>
      </c>
      <c r="BN256" s="81">
        <f t="shared" si="20"/>
        <v>0</v>
      </c>
      <c r="BO256" s="81">
        <f t="shared" si="21"/>
        <v>0</v>
      </c>
      <c r="BP256" s="81">
        <f t="shared" si="22"/>
        <v>0</v>
      </c>
    </row>
    <row r="257" spans="1:68" ht="27" customHeight="1" x14ac:dyDescent="0.25">
      <c r="A257" s="63" t="s">
        <v>362</v>
      </c>
      <c r="B257" s="63" t="s">
        <v>363</v>
      </c>
      <c r="C257" s="36">
        <v>4301135375</v>
      </c>
      <c r="D257" s="344">
        <v>4640242181486</v>
      </c>
      <c r="E257" s="344"/>
      <c r="F257" s="62">
        <v>3.7</v>
      </c>
      <c r="G257" s="37">
        <v>1</v>
      </c>
      <c r="H257" s="62">
        <v>3.7</v>
      </c>
      <c r="I257" s="62">
        <v>3.8919999999999999</v>
      </c>
      <c r="J257" s="37">
        <v>126</v>
      </c>
      <c r="K257" s="37" t="s">
        <v>112</v>
      </c>
      <c r="L257" s="37" t="s">
        <v>230</v>
      </c>
      <c r="M257" s="38" t="s">
        <v>86</v>
      </c>
      <c r="N257" s="38"/>
      <c r="O257" s="37">
        <v>180</v>
      </c>
      <c r="P257" s="43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7" s="346"/>
      <c r="R257" s="346"/>
      <c r="S257" s="346"/>
      <c r="T257" s="347"/>
      <c r="U257" s="39" t="s">
        <v>46</v>
      </c>
      <c r="V257" s="39" t="s">
        <v>46</v>
      </c>
      <c r="W257" s="40" t="s">
        <v>39</v>
      </c>
      <c r="X257" s="58">
        <v>0</v>
      </c>
      <c r="Y257" s="55">
        <f t="shared" si="18"/>
        <v>0</v>
      </c>
      <c r="Z257" s="41">
        <f t="shared" si="23"/>
        <v>0</v>
      </c>
      <c r="AA257" s="68" t="s">
        <v>46</v>
      </c>
      <c r="AB257" s="69" t="s">
        <v>46</v>
      </c>
      <c r="AC257" s="261" t="s">
        <v>354</v>
      </c>
      <c r="AG257" s="81"/>
      <c r="AJ257" s="87" t="s">
        <v>231</v>
      </c>
      <c r="AK257" s="87">
        <v>126</v>
      </c>
      <c r="BB257" s="262" t="s">
        <v>111</v>
      </c>
      <c r="BM257" s="81">
        <f t="shared" si="19"/>
        <v>0</v>
      </c>
      <c r="BN257" s="81">
        <f t="shared" si="20"/>
        <v>0</v>
      </c>
      <c r="BO257" s="81">
        <f t="shared" si="21"/>
        <v>0</v>
      </c>
      <c r="BP257" s="81">
        <f t="shared" si="22"/>
        <v>0</v>
      </c>
    </row>
    <row r="258" spans="1:68" ht="37.5" customHeight="1" x14ac:dyDescent="0.25">
      <c r="A258" s="63" t="s">
        <v>364</v>
      </c>
      <c r="B258" s="63" t="s">
        <v>365</v>
      </c>
      <c r="C258" s="36">
        <v>4301135402</v>
      </c>
      <c r="D258" s="344">
        <v>4640242181493</v>
      </c>
      <c r="E258" s="344"/>
      <c r="F258" s="62">
        <v>3.7</v>
      </c>
      <c r="G258" s="37">
        <v>1</v>
      </c>
      <c r="H258" s="62">
        <v>3.7</v>
      </c>
      <c r="I258" s="62">
        <v>3.8919999999999999</v>
      </c>
      <c r="J258" s="37">
        <v>126</v>
      </c>
      <c r="K258" s="37" t="s">
        <v>112</v>
      </c>
      <c r="L258" s="37" t="s">
        <v>113</v>
      </c>
      <c r="M258" s="38" t="s">
        <v>86</v>
      </c>
      <c r="N258" s="38"/>
      <c r="O258" s="37">
        <v>180</v>
      </c>
      <c r="P258" s="43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8" s="346"/>
      <c r="R258" s="346"/>
      <c r="S258" s="346"/>
      <c r="T258" s="347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si="18"/>
        <v>0</v>
      </c>
      <c r="Z258" s="41">
        <f t="shared" si="23"/>
        <v>0</v>
      </c>
      <c r="AA258" s="68" t="s">
        <v>46</v>
      </c>
      <c r="AB258" s="69" t="s">
        <v>46</v>
      </c>
      <c r="AC258" s="263" t="s">
        <v>354</v>
      </c>
      <c r="AG258" s="81"/>
      <c r="AJ258" s="87" t="s">
        <v>114</v>
      </c>
      <c r="AK258" s="87">
        <v>14</v>
      </c>
      <c r="BB258" s="264" t="s">
        <v>111</v>
      </c>
      <c r="BM258" s="81">
        <f t="shared" si="19"/>
        <v>0</v>
      </c>
      <c r="BN258" s="81">
        <f t="shared" si="20"/>
        <v>0</v>
      </c>
      <c r="BO258" s="81">
        <f t="shared" si="21"/>
        <v>0</v>
      </c>
      <c r="BP258" s="81">
        <f t="shared" si="22"/>
        <v>0</v>
      </c>
    </row>
    <row r="259" spans="1:68" ht="37.5" customHeight="1" x14ac:dyDescent="0.25">
      <c r="A259" s="63" t="s">
        <v>366</v>
      </c>
      <c r="B259" s="63" t="s">
        <v>367</v>
      </c>
      <c r="C259" s="36">
        <v>4301135403</v>
      </c>
      <c r="D259" s="344">
        <v>4640242181509</v>
      </c>
      <c r="E259" s="344"/>
      <c r="F259" s="62">
        <v>3.7</v>
      </c>
      <c r="G259" s="37">
        <v>1</v>
      </c>
      <c r="H259" s="62">
        <v>3.7</v>
      </c>
      <c r="I259" s="62">
        <v>3.8919999999999999</v>
      </c>
      <c r="J259" s="37">
        <v>126</v>
      </c>
      <c r="K259" s="37" t="s">
        <v>112</v>
      </c>
      <c r="L259" s="37" t="s">
        <v>88</v>
      </c>
      <c r="M259" s="38" t="s">
        <v>86</v>
      </c>
      <c r="N259" s="38"/>
      <c r="O259" s="37">
        <v>180</v>
      </c>
      <c r="P259" s="44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59" s="346"/>
      <c r="R259" s="346"/>
      <c r="S259" s="346"/>
      <c r="T259" s="347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 t="shared" si="23"/>
        <v>0</v>
      </c>
      <c r="AA259" s="68" t="s">
        <v>46</v>
      </c>
      <c r="AB259" s="69" t="s">
        <v>46</v>
      </c>
      <c r="AC259" s="265" t="s">
        <v>354</v>
      </c>
      <c r="AG259" s="81"/>
      <c r="AJ259" s="87" t="s">
        <v>89</v>
      </c>
      <c r="AK259" s="87">
        <v>1</v>
      </c>
      <c r="BB259" s="266" t="s">
        <v>111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27" customHeight="1" x14ac:dyDescent="0.25">
      <c r="A260" s="63" t="s">
        <v>368</v>
      </c>
      <c r="B260" s="63" t="s">
        <v>369</v>
      </c>
      <c r="C260" s="36">
        <v>4301135304</v>
      </c>
      <c r="D260" s="344">
        <v>4640242181240</v>
      </c>
      <c r="E260" s="344"/>
      <c r="F260" s="62">
        <v>0.3</v>
      </c>
      <c r="G260" s="37">
        <v>9</v>
      </c>
      <c r="H260" s="62">
        <v>2.7</v>
      </c>
      <c r="I260" s="62">
        <v>2.88</v>
      </c>
      <c r="J260" s="37">
        <v>126</v>
      </c>
      <c r="K260" s="37" t="s">
        <v>112</v>
      </c>
      <c r="L260" s="37" t="s">
        <v>88</v>
      </c>
      <c r="M260" s="38" t="s">
        <v>86</v>
      </c>
      <c r="N260" s="38"/>
      <c r="O260" s="37">
        <v>180</v>
      </c>
      <c r="P260" s="44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0" s="346"/>
      <c r="R260" s="346"/>
      <c r="S260" s="346"/>
      <c r="T260" s="347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 t="shared" si="23"/>
        <v>0</v>
      </c>
      <c r="AA260" s="68" t="s">
        <v>46</v>
      </c>
      <c r="AB260" s="69" t="s">
        <v>46</v>
      </c>
      <c r="AC260" s="267" t="s">
        <v>354</v>
      </c>
      <c r="AG260" s="81"/>
      <c r="AJ260" s="87" t="s">
        <v>89</v>
      </c>
      <c r="AK260" s="87">
        <v>1</v>
      </c>
      <c r="BB260" s="268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370</v>
      </c>
      <c r="B261" s="63" t="s">
        <v>371</v>
      </c>
      <c r="C261" s="36">
        <v>4301135610</v>
      </c>
      <c r="D261" s="344">
        <v>4640242181318</v>
      </c>
      <c r="E261" s="344"/>
      <c r="F261" s="62">
        <v>0.3</v>
      </c>
      <c r="G261" s="37">
        <v>9</v>
      </c>
      <c r="H261" s="62">
        <v>2.7</v>
      </c>
      <c r="I261" s="62">
        <v>2.988</v>
      </c>
      <c r="J261" s="37">
        <v>126</v>
      </c>
      <c r="K261" s="37" t="s">
        <v>112</v>
      </c>
      <c r="L261" s="37" t="s">
        <v>88</v>
      </c>
      <c r="M261" s="38" t="s">
        <v>86</v>
      </c>
      <c r="N261" s="38"/>
      <c r="O261" s="37">
        <v>180</v>
      </c>
      <c r="P261" s="44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1" s="346"/>
      <c r="R261" s="346"/>
      <c r="S261" s="346"/>
      <c r="T261" s="347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si="23"/>
        <v>0</v>
      </c>
      <c r="AA261" s="68" t="s">
        <v>46</v>
      </c>
      <c r="AB261" s="69" t="s">
        <v>46</v>
      </c>
      <c r="AC261" s="269" t="s">
        <v>357</v>
      </c>
      <c r="AG261" s="81"/>
      <c r="AJ261" s="87" t="s">
        <v>89</v>
      </c>
      <c r="AK261" s="87">
        <v>1</v>
      </c>
      <c r="BB261" s="270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372</v>
      </c>
      <c r="B262" s="63" t="s">
        <v>373</v>
      </c>
      <c r="C262" s="36">
        <v>4301135306</v>
      </c>
      <c r="D262" s="344">
        <v>4640242181387</v>
      </c>
      <c r="E262" s="344"/>
      <c r="F262" s="62">
        <v>0.3</v>
      </c>
      <c r="G262" s="37">
        <v>9</v>
      </c>
      <c r="H262" s="62">
        <v>2.7</v>
      </c>
      <c r="I262" s="62">
        <v>2.8450000000000002</v>
      </c>
      <c r="J262" s="37">
        <v>234</v>
      </c>
      <c r="K262" s="37" t="s">
        <v>163</v>
      </c>
      <c r="L262" s="37" t="s">
        <v>88</v>
      </c>
      <c r="M262" s="38" t="s">
        <v>86</v>
      </c>
      <c r="N262" s="38"/>
      <c r="O262" s="37">
        <v>180</v>
      </c>
      <c r="P262" s="44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2" s="346"/>
      <c r="R262" s="346"/>
      <c r="S262" s="346"/>
      <c r="T262" s="347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>IFERROR(IF(X262="","",X262*0.00502),"")</f>
        <v>0</v>
      </c>
      <c r="AA262" s="68" t="s">
        <v>46</v>
      </c>
      <c r="AB262" s="69" t="s">
        <v>46</v>
      </c>
      <c r="AC262" s="271" t="s">
        <v>354</v>
      </c>
      <c r="AG262" s="81"/>
      <c r="AJ262" s="87" t="s">
        <v>89</v>
      </c>
      <c r="AK262" s="87">
        <v>1</v>
      </c>
      <c r="BB262" s="272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x14ac:dyDescent="0.2">
      <c r="A263" s="356"/>
      <c r="B263" s="356"/>
      <c r="C263" s="356"/>
      <c r="D263" s="356"/>
      <c r="E263" s="356"/>
      <c r="F263" s="356"/>
      <c r="G263" s="356"/>
      <c r="H263" s="356"/>
      <c r="I263" s="356"/>
      <c r="J263" s="356"/>
      <c r="K263" s="356"/>
      <c r="L263" s="356"/>
      <c r="M263" s="356"/>
      <c r="N263" s="356"/>
      <c r="O263" s="357"/>
      <c r="P263" s="353" t="s">
        <v>40</v>
      </c>
      <c r="Q263" s="354"/>
      <c r="R263" s="354"/>
      <c r="S263" s="354"/>
      <c r="T263" s="354"/>
      <c r="U263" s="354"/>
      <c r="V263" s="355"/>
      <c r="W263" s="42" t="s">
        <v>39</v>
      </c>
      <c r="X263" s="43">
        <f>IFERROR(SUM(X253:X262),"0")</f>
        <v>0</v>
      </c>
      <c r="Y263" s="43">
        <f>IFERROR(SUM(Y253:Y262),"0")</f>
        <v>0</v>
      </c>
      <c r="Z263" s="43">
        <f>IFERROR(IF(Z253="",0,Z253),"0")+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</f>
        <v>0</v>
      </c>
      <c r="AA263" s="67"/>
      <c r="AB263" s="67"/>
      <c r="AC263" s="67"/>
    </row>
    <row r="264" spans="1:68" x14ac:dyDescent="0.2">
      <c r="A264" s="356"/>
      <c r="B264" s="356"/>
      <c r="C264" s="356"/>
      <c r="D264" s="356"/>
      <c r="E264" s="356"/>
      <c r="F264" s="356"/>
      <c r="G264" s="356"/>
      <c r="H264" s="356"/>
      <c r="I264" s="356"/>
      <c r="J264" s="356"/>
      <c r="K264" s="356"/>
      <c r="L264" s="356"/>
      <c r="M264" s="356"/>
      <c r="N264" s="356"/>
      <c r="O264" s="357"/>
      <c r="P264" s="353" t="s">
        <v>40</v>
      </c>
      <c r="Q264" s="354"/>
      <c r="R264" s="354"/>
      <c r="S264" s="354"/>
      <c r="T264" s="354"/>
      <c r="U264" s="354"/>
      <c r="V264" s="355"/>
      <c r="W264" s="42" t="s">
        <v>0</v>
      </c>
      <c r="X264" s="43">
        <f>IFERROR(SUMPRODUCT(X253:X262*H253:H262),"0")</f>
        <v>0</v>
      </c>
      <c r="Y264" s="43">
        <f>IFERROR(SUMPRODUCT(Y253:Y262*H253:H262),"0")</f>
        <v>0</v>
      </c>
      <c r="Z264" s="42"/>
      <c r="AA264" s="67"/>
      <c r="AB264" s="67"/>
      <c r="AC264" s="67"/>
    </row>
    <row r="265" spans="1:68" ht="15" customHeight="1" x14ac:dyDescent="0.2">
      <c r="A265" s="356"/>
      <c r="B265" s="356"/>
      <c r="C265" s="356"/>
      <c r="D265" s="356"/>
      <c r="E265" s="356"/>
      <c r="F265" s="356"/>
      <c r="G265" s="356"/>
      <c r="H265" s="356"/>
      <c r="I265" s="356"/>
      <c r="J265" s="356"/>
      <c r="K265" s="356"/>
      <c r="L265" s="356"/>
      <c r="M265" s="356"/>
      <c r="N265" s="356"/>
      <c r="O265" s="447"/>
      <c r="P265" s="444" t="s">
        <v>33</v>
      </c>
      <c r="Q265" s="445"/>
      <c r="R265" s="445"/>
      <c r="S265" s="445"/>
      <c r="T265" s="445"/>
      <c r="U265" s="445"/>
      <c r="V265" s="446"/>
      <c r="W265" s="42" t="s">
        <v>0</v>
      </c>
      <c r="X265" s="43">
        <f>IFERROR(X29+X35+X42+X49+X57+X62+X66+X71+X77+X83+X88+X94+X104+X110+X121+X125+X129+X135+X141+X147+X152+X157+X162+X167+X174+X183+X187+X193+X201+X206+X212+X218+X224+X230+X234+X241+X245+X251+X264,"0")</f>
        <v>0</v>
      </c>
      <c r="Y265" s="43">
        <f>IFERROR(Y29+Y35+Y42+Y49+Y57+Y62+Y66+Y71+Y77+Y83+Y88+Y94+Y104+Y110+Y121+Y125+Y129+Y135+Y141+Y147+Y152+Y157+Y162+Y167+Y174+Y183+Y187+Y193+Y201+Y206+Y212+Y218+Y224+Y230+Y234+Y241+Y245+Y251+Y264,"0")</f>
        <v>0</v>
      </c>
      <c r="Z265" s="42"/>
      <c r="AA265" s="67"/>
      <c r="AB265" s="67"/>
      <c r="AC265" s="67"/>
    </row>
    <row r="266" spans="1:68" x14ac:dyDescent="0.2">
      <c r="A266" s="356"/>
      <c r="B266" s="356"/>
      <c r="C266" s="356"/>
      <c r="D266" s="356"/>
      <c r="E266" s="356"/>
      <c r="F266" s="356"/>
      <c r="G266" s="356"/>
      <c r="H266" s="356"/>
      <c r="I266" s="356"/>
      <c r="J266" s="356"/>
      <c r="K266" s="356"/>
      <c r="L266" s="356"/>
      <c r="M266" s="356"/>
      <c r="N266" s="356"/>
      <c r="O266" s="447"/>
      <c r="P266" s="444" t="s">
        <v>34</v>
      </c>
      <c r="Q266" s="445"/>
      <c r="R266" s="445"/>
      <c r="S266" s="445"/>
      <c r="T266" s="445"/>
      <c r="U266" s="445"/>
      <c r="V266" s="446"/>
      <c r="W266" s="42" t="s">
        <v>0</v>
      </c>
      <c r="X266" s="43">
        <f>IFERROR(SUM(BM22:BM262),"0")</f>
        <v>0</v>
      </c>
      <c r="Y266" s="43">
        <f>IFERROR(SUM(BN22:BN262),"0")</f>
        <v>0</v>
      </c>
      <c r="Z266" s="42"/>
      <c r="AA266" s="67"/>
      <c r="AB266" s="67"/>
      <c r="AC266" s="67"/>
    </row>
    <row r="267" spans="1:68" x14ac:dyDescent="0.2">
      <c r="A267" s="356"/>
      <c r="B267" s="356"/>
      <c r="C267" s="356"/>
      <c r="D267" s="356"/>
      <c r="E267" s="356"/>
      <c r="F267" s="356"/>
      <c r="G267" s="356"/>
      <c r="H267" s="356"/>
      <c r="I267" s="356"/>
      <c r="J267" s="356"/>
      <c r="K267" s="356"/>
      <c r="L267" s="356"/>
      <c r="M267" s="356"/>
      <c r="N267" s="356"/>
      <c r="O267" s="447"/>
      <c r="P267" s="444" t="s">
        <v>35</v>
      </c>
      <c r="Q267" s="445"/>
      <c r="R267" s="445"/>
      <c r="S267" s="445"/>
      <c r="T267" s="445"/>
      <c r="U267" s="445"/>
      <c r="V267" s="446"/>
      <c r="W267" s="42" t="s">
        <v>20</v>
      </c>
      <c r="X267" s="44">
        <f>ROUNDUP(SUM(BO22:BO262),0)</f>
        <v>0</v>
      </c>
      <c r="Y267" s="44">
        <f>ROUNDUP(SUM(BP22:BP262),0)</f>
        <v>0</v>
      </c>
      <c r="Z267" s="42"/>
      <c r="AA267" s="67"/>
      <c r="AB267" s="67"/>
      <c r="AC267" s="67"/>
    </row>
    <row r="268" spans="1:68" x14ac:dyDescent="0.2">
      <c r="A268" s="356"/>
      <c r="B268" s="356"/>
      <c r="C268" s="356"/>
      <c r="D268" s="356"/>
      <c r="E268" s="356"/>
      <c r="F268" s="356"/>
      <c r="G268" s="356"/>
      <c r="H268" s="356"/>
      <c r="I268" s="356"/>
      <c r="J268" s="356"/>
      <c r="K268" s="356"/>
      <c r="L268" s="356"/>
      <c r="M268" s="356"/>
      <c r="N268" s="356"/>
      <c r="O268" s="447"/>
      <c r="P268" s="444" t="s">
        <v>36</v>
      </c>
      <c r="Q268" s="445"/>
      <c r="R268" s="445"/>
      <c r="S268" s="445"/>
      <c r="T268" s="445"/>
      <c r="U268" s="445"/>
      <c r="V268" s="446"/>
      <c r="W268" s="42" t="s">
        <v>0</v>
      </c>
      <c r="X268" s="43">
        <f>GrossWeightTotal+PalletQtyTotal*25</f>
        <v>0</v>
      </c>
      <c r="Y268" s="43">
        <f>GrossWeightTotalR+PalletQtyTotalR*25</f>
        <v>0</v>
      </c>
      <c r="Z268" s="42"/>
      <c r="AA268" s="67"/>
      <c r="AB268" s="67"/>
      <c r="AC268" s="67"/>
    </row>
    <row r="269" spans="1:68" x14ac:dyDescent="0.2">
      <c r="A269" s="356"/>
      <c r="B269" s="356"/>
      <c r="C269" s="356"/>
      <c r="D269" s="356"/>
      <c r="E269" s="356"/>
      <c r="F269" s="356"/>
      <c r="G269" s="356"/>
      <c r="H269" s="356"/>
      <c r="I269" s="356"/>
      <c r="J269" s="356"/>
      <c r="K269" s="356"/>
      <c r="L269" s="356"/>
      <c r="M269" s="356"/>
      <c r="N269" s="356"/>
      <c r="O269" s="447"/>
      <c r="P269" s="444" t="s">
        <v>37</v>
      </c>
      <c r="Q269" s="445"/>
      <c r="R269" s="445"/>
      <c r="S269" s="445"/>
      <c r="T269" s="445"/>
      <c r="U269" s="445"/>
      <c r="V269" s="446"/>
      <c r="W269" s="42" t="s">
        <v>20</v>
      </c>
      <c r="X269" s="43">
        <f>IFERROR(X28+X34+X41+X48+X56+X61+X65+X70+X76+X82+X87+X93+X103+X109+X120+X124+X128+X134+X140+X146+X151+X156+X161+X166+X173+X182+X186+X192+X200+X205+X211+X217+X223+X229+X233+X240+X244+X250+X263,"0")</f>
        <v>0</v>
      </c>
      <c r="Y269" s="43">
        <f>IFERROR(Y28+Y34+Y41+Y48+Y56+Y61+Y65+Y70+Y76+Y82+Y87+Y93+Y103+Y109+Y120+Y124+Y128+Y134+Y140+Y146+Y151+Y156+Y161+Y166+Y173+Y182+Y186+Y192+Y200+Y205+Y211+Y217+Y223+Y229+Y233+Y240+Y244+Y250+Y263,"0")</f>
        <v>0</v>
      </c>
      <c r="Z269" s="42"/>
      <c r="AA269" s="67"/>
      <c r="AB269" s="67"/>
      <c r="AC269" s="67"/>
    </row>
    <row r="270" spans="1:68" ht="14.25" x14ac:dyDescent="0.2">
      <c r="A270" s="356"/>
      <c r="B270" s="356"/>
      <c r="C270" s="356"/>
      <c r="D270" s="356"/>
      <c r="E270" s="356"/>
      <c r="F270" s="356"/>
      <c r="G270" s="356"/>
      <c r="H270" s="356"/>
      <c r="I270" s="356"/>
      <c r="J270" s="356"/>
      <c r="K270" s="356"/>
      <c r="L270" s="356"/>
      <c r="M270" s="356"/>
      <c r="N270" s="356"/>
      <c r="O270" s="447"/>
      <c r="P270" s="444" t="s">
        <v>38</v>
      </c>
      <c r="Q270" s="445"/>
      <c r="R270" s="445"/>
      <c r="S270" s="445"/>
      <c r="T270" s="445"/>
      <c r="U270" s="445"/>
      <c r="V270" s="446"/>
      <c r="W270" s="45" t="s">
        <v>52</v>
      </c>
      <c r="X270" s="42"/>
      <c r="Y270" s="42"/>
      <c r="Z270" s="42">
        <f>IFERROR(Z28+Z34+Z41+Z48+Z56+Z61+Z65+Z70+Z76+Z82+Z87+Z93+Z103+Z109+Z120+Z124+Z128+Z134+Z140+Z146+Z151+Z156+Z161+Z166+Z173+Z182+Z186+Z192+Z200+Z205+Z211+Z217+Z223+Z229+Z233+Z240+Z244+Z250+Z263,"0")</f>
        <v>0</v>
      </c>
      <c r="AA270" s="67"/>
      <c r="AB270" s="67"/>
      <c r="AC270" s="67"/>
    </row>
    <row r="271" spans="1:68" ht="13.5" thickBot="1" x14ac:dyDescent="0.25"/>
    <row r="272" spans="1:68" ht="27" thickTop="1" thickBot="1" x14ac:dyDescent="0.25">
      <c r="A272" s="46" t="s">
        <v>9</v>
      </c>
      <c r="B272" s="450" t="s">
        <v>81</v>
      </c>
      <c r="C272" s="450" t="s">
        <v>81</v>
      </c>
      <c r="D272" s="450" t="s">
        <v>45</v>
      </c>
      <c r="E272" s="450" t="s">
        <v>45</v>
      </c>
      <c r="F272" s="450" t="s">
        <v>45</v>
      </c>
      <c r="G272" s="450" t="s">
        <v>45</v>
      </c>
      <c r="H272" s="450" t="s">
        <v>45</v>
      </c>
      <c r="I272" s="450" t="s">
        <v>45</v>
      </c>
      <c r="J272" s="450" t="s">
        <v>45</v>
      </c>
      <c r="K272" s="450" t="s">
        <v>45</v>
      </c>
      <c r="L272" s="450" t="s">
        <v>45</v>
      </c>
      <c r="M272" s="450" t="s">
        <v>45</v>
      </c>
      <c r="N272" s="451"/>
      <c r="O272" s="450" t="s">
        <v>45</v>
      </c>
      <c r="P272" s="450" t="s">
        <v>45</v>
      </c>
      <c r="Q272" s="450" t="s">
        <v>45</v>
      </c>
      <c r="R272" s="450" t="s">
        <v>45</v>
      </c>
      <c r="S272" s="450" t="s">
        <v>45</v>
      </c>
      <c r="T272" s="450" t="s">
        <v>45</v>
      </c>
      <c r="U272" s="450" t="s">
        <v>45</v>
      </c>
      <c r="V272" s="88" t="s">
        <v>260</v>
      </c>
      <c r="W272" s="88" t="s">
        <v>268</v>
      </c>
      <c r="X272" s="450" t="s">
        <v>290</v>
      </c>
      <c r="Y272" s="450" t="s">
        <v>290</v>
      </c>
      <c r="Z272" s="450" t="s">
        <v>290</v>
      </c>
      <c r="AA272" s="88" t="s">
        <v>319</v>
      </c>
      <c r="AB272" s="88" t="s">
        <v>324</v>
      </c>
      <c r="AC272" s="88" t="s">
        <v>328</v>
      </c>
      <c r="AD272" s="88" t="s">
        <v>336</v>
      </c>
      <c r="AF272" s="1"/>
    </row>
    <row r="273" spans="1:32" ht="14.25" customHeight="1" thickTop="1" x14ac:dyDescent="0.2">
      <c r="A273" s="448" t="s">
        <v>10</v>
      </c>
      <c r="B273" s="450" t="s">
        <v>81</v>
      </c>
      <c r="C273" s="450" t="s">
        <v>100</v>
      </c>
      <c r="D273" s="450" t="s">
        <v>106</v>
      </c>
      <c r="E273" s="450" t="s">
        <v>117</v>
      </c>
      <c r="F273" s="450" t="s">
        <v>127</v>
      </c>
      <c r="G273" s="450" t="s">
        <v>138</v>
      </c>
      <c r="H273" s="450" t="s">
        <v>159</v>
      </c>
      <c r="I273" s="450" t="s">
        <v>166</v>
      </c>
      <c r="J273" s="450" t="s">
        <v>170</v>
      </c>
      <c r="K273" s="450" t="s">
        <v>178</v>
      </c>
      <c r="L273" s="450" t="s">
        <v>193</v>
      </c>
      <c r="M273" s="450" t="s">
        <v>199</v>
      </c>
      <c r="N273" s="1"/>
      <c r="O273" s="450" t="s">
        <v>224</v>
      </c>
      <c r="P273" s="450" t="s">
        <v>232</v>
      </c>
      <c r="Q273" s="450" t="s">
        <v>239</v>
      </c>
      <c r="R273" s="450" t="s">
        <v>244</v>
      </c>
      <c r="S273" s="450" t="s">
        <v>248</v>
      </c>
      <c r="T273" s="450" t="s">
        <v>251</v>
      </c>
      <c r="U273" s="450" t="s">
        <v>256</v>
      </c>
      <c r="V273" s="450" t="s">
        <v>261</v>
      </c>
      <c r="W273" s="450" t="s">
        <v>269</v>
      </c>
      <c r="X273" s="450" t="s">
        <v>291</v>
      </c>
      <c r="Y273" s="450" t="s">
        <v>309</v>
      </c>
      <c r="Z273" s="450" t="s">
        <v>313</v>
      </c>
      <c r="AA273" s="450" t="s">
        <v>320</v>
      </c>
      <c r="AB273" s="450" t="s">
        <v>325</v>
      </c>
      <c r="AC273" s="450" t="s">
        <v>329</v>
      </c>
      <c r="AD273" s="450" t="s">
        <v>336</v>
      </c>
      <c r="AF273" s="1"/>
    </row>
    <row r="274" spans="1:32" ht="13.5" thickBot="1" x14ac:dyDescent="0.25">
      <c r="A274" s="449"/>
      <c r="B274" s="450"/>
      <c r="C274" s="450"/>
      <c r="D274" s="450"/>
      <c r="E274" s="450"/>
      <c r="F274" s="450"/>
      <c r="G274" s="450"/>
      <c r="H274" s="450"/>
      <c r="I274" s="450"/>
      <c r="J274" s="450"/>
      <c r="K274" s="450"/>
      <c r="L274" s="450"/>
      <c r="M274" s="450"/>
      <c r="N274" s="1"/>
      <c r="O274" s="450"/>
      <c r="P274" s="450"/>
      <c r="Q274" s="450"/>
      <c r="R274" s="450"/>
      <c r="S274" s="450"/>
      <c r="T274" s="450"/>
      <c r="U274" s="450"/>
      <c r="V274" s="450"/>
      <c r="W274" s="450"/>
      <c r="X274" s="450"/>
      <c r="Y274" s="450"/>
      <c r="Z274" s="450"/>
      <c r="AA274" s="450"/>
      <c r="AB274" s="450"/>
      <c r="AC274" s="450"/>
      <c r="AD274" s="450"/>
      <c r="AF274" s="1"/>
    </row>
    <row r="275" spans="1:32" ht="18" thickTop="1" thickBot="1" x14ac:dyDescent="0.25">
      <c r="A275" s="46" t="s">
        <v>13</v>
      </c>
      <c r="B275" s="52">
        <f>IFERROR(X22*H22,"0")+IFERROR(X23*H23,"0")+IFERROR(X24*H24,"0")+IFERROR(X25*H25,"0")+IFERROR(X26*H26,"0")+IFERROR(X27*H27,"0")</f>
        <v>0</v>
      </c>
      <c r="C275" s="52">
        <f>IFERROR(X32*H32,"0")+IFERROR(X33*H33,"0")</f>
        <v>0</v>
      </c>
      <c r="D275" s="52">
        <f>IFERROR(X39*H39,"0")+IFERROR(X40*H40,"0")</f>
        <v>0</v>
      </c>
      <c r="E275" s="52">
        <f>IFERROR(X45*H45,"0")+IFERROR(X46*H46,"0")+IFERROR(X47*H47,"0")</f>
        <v>0</v>
      </c>
      <c r="F275" s="52">
        <f>IFERROR(X52*H52,"0")+IFERROR(X53*H53,"0")+IFERROR(X54*H54,"0")+IFERROR(X55*H55,"0")</f>
        <v>0</v>
      </c>
      <c r="G275" s="52">
        <f>IFERROR(X60*H60,"0")+IFERROR(X64*H64,"0")+IFERROR(X68*H68,"0")+IFERROR(X69*H69,"0")+IFERROR(X73*H73,"0")+IFERROR(X74*H74,"0")+IFERROR(X75*H75,"0")</f>
        <v>0</v>
      </c>
      <c r="H275" s="52">
        <f>IFERROR(X80*H80,"0")+IFERROR(X81*H81,"0")</f>
        <v>0</v>
      </c>
      <c r="I275" s="52">
        <f>IFERROR(X86*H86,"0")</f>
        <v>0</v>
      </c>
      <c r="J275" s="52">
        <f>IFERROR(X91*H91,"0")+IFERROR(X92*H92,"0")</f>
        <v>0</v>
      </c>
      <c r="K275" s="52">
        <f>IFERROR(X97*H97,"0")+IFERROR(X98*H98,"0")+IFERROR(X99*H99,"0")+IFERROR(X100*H100,"0")+IFERROR(X101*H101,"0")+IFERROR(X102*H102,"0")</f>
        <v>0</v>
      </c>
      <c r="L275" s="52">
        <f>IFERROR(X107*H107,"0")+IFERROR(X108*H108,"0")</f>
        <v>0</v>
      </c>
      <c r="M275" s="52">
        <f>IFERROR(X113*H113,"0")+IFERROR(X114*H114,"0")+IFERROR(X115*H115,"0")+IFERROR(X116*H116,"0")+IFERROR(X117*H117,"0")+IFERROR(X118*H118,"0")+IFERROR(X119*H119,"0")+IFERROR(X123*H123,"0")+IFERROR(X127*H127,"0")</f>
        <v>0</v>
      </c>
      <c r="N275" s="1"/>
      <c r="O275" s="52">
        <f>IFERROR(X132*H132,"0")+IFERROR(X133*H133,"0")</f>
        <v>0</v>
      </c>
      <c r="P275" s="52">
        <f>IFERROR(X138*H138,"0")+IFERROR(X139*H139,"0")</f>
        <v>0</v>
      </c>
      <c r="Q275" s="52">
        <f>IFERROR(X144*H144,"0")+IFERROR(X145*H145,"0")</f>
        <v>0</v>
      </c>
      <c r="R275" s="52">
        <f>IFERROR(X150*H150,"0")</f>
        <v>0</v>
      </c>
      <c r="S275" s="52">
        <f>IFERROR(X155*H155,"0")</f>
        <v>0</v>
      </c>
      <c r="T275" s="52">
        <f>IFERROR(X160*H160,"0")</f>
        <v>0</v>
      </c>
      <c r="U275" s="52">
        <f>IFERROR(X165*H165,"0")</f>
        <v>0</v>
      </c>
      <c r="V275" s="52">
        <f>IFERROR(X171*H171,"0")+IFERROR(X172*H172,"0")</f>
        <v>0</v>
      </c>
      <c r="W275" s="52">
        <f>IFERROR(X178*H178,"0")+IFERROR(X179*H179,"0")+IFERROR(X180*H180,"0")+IFERROR(X181*H181,"0")+IFERROR(X185*H185,"0")</f>
        <v>0</v>
      </c>
      <c r="X275" s="52">
        <f>IFERROR(X191*H191,"0")+IFERROR(X195*H195,"0")+IFERROR(X196*H196,"0")+IFERROR(X197*H197,"0")+IFERROR(X198*H198,"0")+IFERROR(X199*H199,"0")</f>
        <v>0</v>
      </c>
      <c r="Y275" s="52">
        <f>IFERROR(X204*H204,"0")</f>
        <v>0</v>
      </c>
      <c r="Z275" s="52">
        <f>IFERROR(X209*H209,"0")+IFERROR(X210*H210,"0")</f>
        <v>0</v>
      </c>
      <c r="AA275" s="52">
        <f>IFERROR(X216*H216,"0")</f>
        <v>0</v>
      </c>
      <c r="AB275" s="52">
        <f>IFERROR(X222*H222,"0")</f>
        <v>0</v>
      </c>
      <c r="AC275" s="52">
        <f>IFERROR(X228*H228,"0")+IFERROR(X232*H232,"0")</f>
        <v>0</v>
      </c>
      <c r="AD275" s="52">
        <f>IFERROR(X238*H238,"0")+IFERROR(X239*H239,"0")+IFERROR(X243*H243,"0")+IFERROR(X247*H247,"0")+IFERROR(X248*H248,"0")+IFERROR(X249*H249,"0")+IFERROR(X253*H253,"0")+IFERROR(X254*H254,"0")+IFERROR(X255*H255,"0")+IFERROR(X256*H256,"0")+IFERROR(X257*H257,"0")+IFERROR(X258*H258,"0")+IFERROR(X259*H259,"0")+IFERROR(X260*H260,"0")+IFERROR(X261*H261,"0")+IFERROR(X262*H262,"0")</f>
        <v>0</v>
      </c>
      <c r="AF275" s="1"/>
    </row>
    <row r="276" spans="1:32" ht="13.5" thickTop="1" x14ac:dyDescent="0.2">
      <c r="C276" s="1"/>
    </row>
    <row r="277" spans="1:32" ht="19.5" customHeight="1" x14ac:dyDescent="0.2">
      <c r="A277" s="70" t="s">
        <v>62</v>
      </c>
      <c r="B277" s="70" t="s">
        <v>63</v>
      </c>
      <c r="C277" s="70" t="s">
        <v>65</v>
      </c>
    </row>
    <row r="278" spans="1:32" x14ac:dyDescent="0.2">
      <c r="A278" s="71">
        <f>SUMPRODUCT(--(BB:BB="ЗПФ"),--(W:W="кор"),H:H,Y:Y)+SUMPRODUCT(--(BB:BB="ЗПФ"),--(W:W="кг"),Y:Y)</f>
        <v>0</v>
      </c>
      <c r="B278" s="72">
        <f>SUMPRODUCT(--(BB:BB="ПГП"),--(W:W="кор"),H:H,Y:Y)+SUMPRODUCT(--(BB:BB="ПГП"),--(W:W="кг"),Y:Y)</f>
        <v>0</v>
      </c>
      <c r="C278" s="72">
        <f>SUMPRODUCT(--(BB:BB="КИЗ"),--(W:W="кор"),H:H,Y:Y)+SUMPRODUCT(--(BB:BB="КИЗ"),--(W:W="кг"),Y:Y)</f>
        <v>0</v>
      </c>
    </row>
  </sheetData>
  <sheetProtection algorithmName="SHA-512" hashValue="bll7anJ+a7yMR0+L2P9GjjNjQ+idIc8iU5/uamC/cBjse0DL/V3qlXtEkLobifJhpKkPdgTt6bm2JMEYQZtckA==" saltValue="4TkJ1MO8kkGVOUG3xgjga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82">
    <mergeCell ref="W273:W274"/>
    <mergeCell ref="X273:X274"/>
    <mergeCell ref="Y273:Y274"/>
    <mergeCell ref="Z273:Z274"/>
    <mergeCell ref="AA273:AA274"/>
    <mergeCell ref="AB273:AB274"/>
    <mergeCell ref="AC273:AC274"/>
    <mergeCell ref="AD273:AD274"/>
    <mergeCell ref="B272:C272"/>
    <mergeCell ref="D272:U272"/>
    <mergeCell ref="X272:Z272"/>
    <mergeCell ref="J273:J274"/>
    <mergeCell ref="K273:K274"/>
    <mergeCell ref="L273:L274"/>
    <mergeCell ref="M273:M274"/>
    <mergeCell ref="O273:O274"/>
    <mergeCell ref="P273:P274"/>
    <mergeCell ref="Q273:Q274"/>
    <mergeCell ref="R273:R274"/>
    <mergeCell ref="S273:S274"/>
    <mergeCell ref="T273:T274"/>
    <mergeCell ref="U273:U274"/>
    <mergeCell ref="V273:V274"/>
    <mergeCell ref="A273:A274"/>
    <mergeCell ref="B273:B274"/>
    <mergeCell ref="C273:C274"/>
    <mergeCell ref="D273:D274"/>
    <mergeCell ref="E273:E274"/>
    <mergeCell ref="F273:F274"/>
    <mergeCell ref="G273:G274"/>
    <mergeCell ref="H273:H274"/>
    <mergeCell ref="I273:I274"/>
    <mergeCell ref="D262:E262"/>
    <mergeCell ref="P262:T262"/>
    <mergeCell ref="P263:V263"/>
    <mergeCell ref="A263:O264"/>
    <mergeCell ref="P264:V264"/>
    <mergeCell ref="P265:V265"/>
    <mergeCell ref="A265:O270"/>
    <mergeCell ref="P266:V266"/>
    <mergeCell ref="P267:V267"/>
    <mergeCell ref="P268:V268"/>
    <mergeCell ref="P269:V269"/>
    <mergeCell ref="P270:V270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A246:Z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P240:V240"/>
    <mergeCell ref="A240:O241"/>
    <mergeCell ref="P241:V241"/>
    <mergeCell ref="A242:Z242"/>
    <mergeCell ref="D243:E243"/>
    <mergeCell ref="P243:T243"/>
    <mergeCell ref="P244:V244"/>
    <mergeCell ref="A244:O245"/>
    <mergeCell ref="P245:V245"/>
    <mergeCell ref="P233:V233"/>
    <mergeCell ref="A233:O234"/>
    <mergeCell ref="P234:V234"/>
    <mergeCell ref="A235:Z235"/>
    <mergeCell ref="A236:Z236"/>
    <mergeCell ref="A237:Z237"/>
    <mergeCell ref="D238:E238"/>
    <mergeCell ref="P238:T238"/>
    <mergeCell ref="D239:E239"/>
    <mergeCell ref="P239:T239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D232:E232"/>
    <mergeCell ref="P232:T232"/>
    <mergeCell ref="A219:Z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P211:V211"/>
    <mergeCell ref="A211:O212"/>
    <mergeCell ref="P212:V212"/>
    <mergeCell ref="A213:Z213"/>
    <mergeCell ref="A214:Z214"/>
    <mergeCell ref="A215:Z215"/>
    <mergeCell ref="D216:E216"/>
    <mergeCell ref="P216:T216"/>
    <mergeCell ref="P217:V217"/>
    <mergeCell ref="A217:O218"/>
    <mergeCell ref="P218:V218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D199:E199"/>
    <mergeCell ref="P199:T199"/>
    <mergeCell ref="P200:V200"/>
    <mergeCell ref="A200:O201"/>
    <mergeCell ref="P201:V201"/>
    <mergeCell ref="A202:Z202"/>
    <mergeCell ref="A203:Z203"/>
    <mergeCell ref="D204:E204"/>
    <mergeCell ref="P204:T204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P192:V192"/>
    <mergeCell ref="A192:O193"/>
    <mergeCell ref="P193:V193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D179:E179"/>
    <mergeCell ref="P179:T179"/>
    <mergeCell ref="P166:V166"/>
    <mergeCell ref="A166:O167"/>
    <mergeCell ref="P167:V167"/>
    <mergeCell ref="A168:Z168"/>
    <mergeCell ref="A169:Z169"/>
    <mergeCell ref="A170:Z170"/>
    <mergeCell ref="D171:E171"/>
    <mergeCell ref="P171:T171"/>
    <mergeCell ref="D172:E172"/>
    <mergeCell ref="P172:T172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A153:Z153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P146:V146"/>
    <mergeCell ref="A146:O147"/>
    <mergeCell ref="P147:V147"/>
    <mergeCell ref="A148:Z148"/>
    <mergeCell ref="A149:Z149"/>
    <mergeCell ref="D150:E150"/>
    <mergeCell ref="P150:T150"/>
    <mergeCell ref="P151:V151"/>
    <mergeCell ref="A151:O152"/>
    <mergeCell ref="P152:V152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A122:Z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9:X262 X253 X249 X238:X239 X232 X228 X222 X216 X209:X210 X199 X197 X195 X185 X181 X171 X160 X144 X138 X127 X123 X117 X114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58 X254:X256 X247:X248 X243 X204 X198 X196 X191 X178:X180 X172 X165 X155 X150 X145 X139 X132 X118:X119 X115:X116 X113 X107:X108 X97:X102 X91:X92 X86 X80:X81 X52:X55 X45:X47 X39:X40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3 X257" xr:uid="{00000000-0002-0000-0000-000040000000}">
      <formula1>IF(AK133&gt;0,OR(X133=0,AND(IF(X133-AK133&gt;=0,TRUE,FALSE),X133&gt;0,IF(X133/J133=ROUND(X133/J133,0),TRUE,FALSE))),FALSE)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374</v>
      </c>
      <c r="H1" s="9"/>
    </row>
    <row r="3" spans="2:8" x14ac:dyDescent="0.2">
      <c r="B3" s="53" t="s">
        <v>375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377</v>
      </c>
      <c r="D6" s="53" t="s">
        <v>378</v>
      </c>
      <c r="E6" s="53" t="s">
        <v>46</v>
      </c>
    </row>
    <row r="8" spans="2:8" x14ac:dyDescent="0.2">
      <c r="B8" s="53" t="s">
        <v>80</v>
      </c>
      <c r="C8" s="53" t="s">
        <v>377</v>
      </c>
      <c r="D8" s="53" t="s">
        <v>46</v>
      </c>
      <c r="E8" s="53" t="s">
        <v>46</v>
      </c>
    </row>
    <row r="10" spans="2:8" x14ac:dyDescent="0.2">
      <c r="B10" s="53" t="s">
        <v>379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380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381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382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383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384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389</v>
      </c>
      <c r="C20" s="53" t="s">
        <v>46</v>
      </c>
      <c r="D20" s="53" t="s">
        <v>46</v>
      </c>
      <c r="E20" s="53" t="s">
        <v>46</v>
      </c>
    </row>
  </sheetData>
  <sheetProtection algorithmName="SHA-512" hashValue="3h7dFzXz8zyCFU3to89hkWsBbWFa8pfudDdANIjRD9dcfve2nQfLw6S2BYA8pjLDBmcWKQyZQLUxrCoMMXua+w==" saltValue="25Ci9x+ieTW/gCQ705aBk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410</vt:i4>
      </vt:variant>
    </vt:vector>
  </HeadingPairs>
  <TitlesOfParts>
    <vt:vector size="41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2026-01-13T07:41:06Z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