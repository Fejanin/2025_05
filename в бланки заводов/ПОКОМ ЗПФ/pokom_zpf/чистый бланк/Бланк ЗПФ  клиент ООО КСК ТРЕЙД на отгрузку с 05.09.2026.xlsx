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AB5B0C7C-2AFA-4A4C-ABAF-FDA42624A94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N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P276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P274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Y268" i="2" s="1"/>
  <c r="P264" i="2"/>
  <c r="Y262" i="2"/>
  <c r="X262" i="2"/>
  <c r="X261" i="2"/>
  <c r="BO260" i="2"/>
  <c r="BN260" i="2"/>
  <c r="BM260" i="2"/>
  <c r="Z260" i="2"/>
  <c r="Z261" i="2" s="1"/>
  <c r="Y260" i="2"/>
  <c r="Y261" i="2" s="1"/>
  <c r="P260" i="2"/>
  <c r="X258" i="2"/>
  <c r="X257" i="2"/>
  <c r="BP256" i="2"/>
  <c r="BO256" i="2"/>
  <c r="BN256" i="2"/>
  <c r="BM256" i="2"/>
  <c r="Z256" i="2"/>
  <c r="Y256" i="2"/>
  <c r="P256" i="2"/>
  <c r="BO255" i="2"/>
  <c r="BM255" i="2"/>
  <c r="Z255" i="2"/>
  <c r="Y255" i="2"/>
  <c r="BP255" i="2" s="1"/>
  <c r="P255" i="2"/>
  <c r="BP254" i="2"/>
  <c r="BO254" i="2"/>
  <c r="BN254" i="2"/>
  <c r="BM254" i="2"/>
  <c r="Z254" i="2"/>
  <c r="Z257" i="2" s="1"/>
  <c r="Y254" i="2"/>
  <c r="P254" i="2"/>
  <c r="X250" i="2"/>
  <c r="X249" i="2"/>
  <c r="BO248" i="2"/>
  <c r="BM248" i="2"/>
  <c r="Z248" i="2"/>
  <c r="Z249" i="2" s="1"/>
  <c r="Y248" i="2"/>
  <c r="Y250" i="2" s="1"/>
  <c r="P248" i="2"/>
  <c r="Y246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Z229" i="2"/>
  <c r="X229" i="2"/>
  <c r="BO228" i="2"/>
  <c r="BM228" i="2"/>
  <c r="Z228" i="2"/>
  <c r="Y228" i="2"/>
  <c r="BN228" i="2" s="1"/>
  <c r="P228" i="2"/>
  <c r="X224" i="2"/>
  <c r="X223" i="2"/>
  <c r="BP222" i="2"/>
  <c r="BO222" i="2"/>
  <c r="BM222" i="2"/>
  <c r="Z222" i="2"/>
  <c r="Z223" i="2" s="1"/>
  <c r="Y222" i="2"/>
  <c r="Y223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Y208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X202" i="2"/>
  <c r="X201" i="2"/>
  <c r="BO200" i="2"/>
  <c r="BM200" i="2"/>
  <c r="Z200" i="2"/>
  <c r="Z201" i="2" s="1"/>
  <c r="Y200" i="2"/>
  <c r="BN200" i="2" s="1"/>
  <c r="P200" i="2"/>
  <c r="X196" i="2"/>
  <c r="X195" i="2"/>
  <c r="BO194" i="2"/>
  <c r="BM194" i="2"/>
  <c r="Z194" i="2"/>
  <c r="Y194" i="2"/>
  <c r="BP194" i="2" s="1"/>
  <c r="P194" i="2"/>
  <c r="BP193" i="2"/>
  <c r="BO193" i="2"/>
  <c r="BN193" i="2"/>
  <c r="BM193" i="2"/>
  <c r="Z193" i="2"/>
  <c r="Y193" i="2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Y187" i="2"/>
  <c r="X187" i="2"/>
  <c r="Y186" i="2"/>
  <c r="X186" i="2"/>
  <c r="BO185" i="2"/>
  <c r="BM185" i="2"/>
  <c r="Z185" i="2"/>
  <c r="Z186" i="2" s="1"/>
  <c r="Y185" i="2"/>
  <c r="BN185" i="2" s="1"/>
  <c r="P185" i="2"/>
  <c r="X182" i="2"/>
  <c r="X181" i="2"/>
  <c r="BP180" i="2"/>
  <c r="BO180" i="2"/>
  <c r="BN180" i="2"/>
  <c r="BM180" i="2"/>
  <c r="Z180" i="2"/>
  <c r="Y180" i="2"/>
  <c r="P180" i="2"/>
  <c r="BO179" i="2"/>
  <c r="BM179" i="2"/>
  <c r="Z179" i="2"/>
  <c r="Z181" i="2" s="1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Y160" i="2" s="1"/>
  <c r="P158" i="2"/>
  <c r="BO157" i="2"/>
  <c r="BM157" i="2"/>
  <c r="Z157" i="2"/>
  <c r="Y157" i="2"/>
  <c r="BP157" i="2" s="1"/>
  <c r="P157" i="2"/>
  <c r="X154" i="2"/>
  <c r="X153" i="2"/>
  <c r="BO152" i="2"/>
  <c r="BN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Z147" i="2"/>
  <c r="X147" i="2"/>
  <c r="BO146" i="2"/>
  <c r="BM146" i="2"/>
  <c r="Z146" i="2"/>
  <c r="Y146" i="2"/>
  <c r="BN146" i="2" s="1"/>
  <c r="P146" i="2"/>
  <c r="BO145" i="2"/>
  <c r="BN145" i="2"/>
  <c r="BM145" i="2"/>
  <c r="Z145" i="2"/>
  <c r="Y145" i="2"/>
  <c r="BP145" i="2" s="1"/>
  <c r="P145" i="2"/>
  <c r="Y142" i="2"/>
  <c r="X142" i="2"/>
  <c r="X141" i="2"/>
  <c r="BP140" i="2"/>
  <c r="BO140" i="2"/>
  <c r="BN140" i="2"/>
  <c r="BM140" i="2"/>
  <c r="Z140" i="2"/>
  <c r="Y140" i="2"/>
  <c r="P140" i="2"/>
  <c r="BO139" i="2"/>
  <c r="BM139" i="2"/>
  <c r="Z139" i="2"/>
  <c r="Y139" i="2"/>
  <c r="BN139" i="2" s="1"/>
  <c r="P139" i="2"/>
  <c r="BO138" i="2"/>
  <c r="BN138" i="2"/>
  <c r="BM138" i="2"/>
  <c r="Z138" i="2"/>
  <c r="Z141" i="2" s="1"/>
  <c r="Y138" i="2"/>
  <c r="BP138" i="2" s="1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Z135" i="2" s="1"/>
  <c r="Y131" i="2"/>
  <c r="P131" i="2"/>
  <c r="Y128" i="2"/>
  <c r="X128" i="2"/>
  <c r="X127" i="2"/>
  <c r="BO126" i="2"/>
  <c r="BM126" i="2"/>
  <c r="Z126" i="2"/>
  <c r="Z127" i="2" s="1"/>
  <c r="Y126" i="2"/>
  <c r="Y127" i="2" s="1"/>
  <c r="P126" i="2"/>
  <c r="Y124" i="2"/>
  <c r="X124" i="2"/>
  <c r="Y123" i="2"/>
  <c r="X123" i="2"/>
  <c r="BP122" i="2"/>
  <c r="BO122" i="2"/>
  <c r="BN122" i="2"/>
  <c r="BM122" i="2"/>
  <c r="Z122" i="2"/>
  <c r="Z123" i="2" s="1"/>
  <c r="Y122" i="2"/>
  <c r="P122" i="2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P112" i="2"/>
  <c r="BO112" i="2"/>
  <c r="BN112" i="2"/>
  <c r="BM112" i="2"/>
  <c r="Z112" i="2"/>
  <c r="Y112" i="2"/>
  <c r="P112" i="2"/>
  <c r="BO111" i="2"/>
  <c r="BN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Y107" i="2"/>
  <c r="X107" i="2"/>
  <c r="X106" i="2"/>
  <c r="BO105" i="2"/>
  <c r="BM105" i="2"/>
  <c r="Z105" i="2"/>
  <c r="Y105" i="2"/>
  <c r="BP105" i="2" s="1"/>
  <c r="P105" i="2"/>
  <c r="BP104" i="2"/>
  <c r="BO104" i="2"/>
  <c r="BN104" i="2"/>
  <c r="BM104" i="2"/>
  <c r="Z104" i="2"/>
  <c r="Z106" i="2" s="1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P95" i="2"/>
  <c r="BO95" i="2"/>
  <c r="BN95" i="2"/>
  <c r="BM95" i="2"/>
  <c r="Z95" i="2"/>
  <c r="Y95" i="2"/>
  <c r="P95" i="2"/>
  <c r="BO94" i="2"/>
  <c r="BM94" i="2"/>
  <c r="Z94" i="2"/>
  <c r="Y94" i="2"/>
  <c r="Y101" i="2" s="1"/>
  <c r="P94" i="2"/>
  <c r="X91" i="2"/>
  <c r="Z90" i="2"/>
  <c r="X90" i="2"/>
  <c r="BP89" i="2"/>
  <c r="BO89" i="2"/>
  <c r="BN89" i="2"/>
  <c r="BM89" i="2"/>
  <c r="Z89" i="2"/>
  <c r="Y89" i="2"/>
  <c r="P89" i="2"/>
  <c r="BO88" i="2"/>
  <c r="BM88" i="2"/>
  <c r="Z88" i="2"/>
  <c r="Y88" i="2"/>
  <c r="BP88" i="2" s="1"/>
  <c r="P88" i="2"/>
  <c r="Y85" i="2"/>
  <c r="X85" i="2"/>
  <c r="Z84" i="2"/>
  <c r="X84" i="2"/>
  <c r="BO83" i="2"/>
  <c r="BM83" i="2"/>
  <c r="Z83" i="2"/>
  <c r="Y83" i="2"/>
  <c r="BN83" i="2" s="1"/>
  <c r="P83" i="2"/>
  <c r="X80" i="2"/>
  <c r="X79" i="2"/>
  <c r="BO78" i="2"/>
  <c r="BM78" i="2"/>
  <c r="Z78" i="2"/>
  <c r="Y78" i="2"/>
  <c r="Y79" i="2" s="1"/>
  <c r="P78" i="2"/>
  <c r="BO77" i="2"/>
  <c r="BM77" i="2"/>
  <c r="Z77" i="2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BN65" i="2" s="1"/>
  <c r="P65" i="2"/>
  <c r="X63" i="2"/>
  <c r="Z62" i="2"/>
  <c r="X62" i="2"/>
  <c r="BO61" i="2"/>
  <c r="BM61" i="2"/>
  <c r="Z61" i="2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Z57" i="2" s="1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Y50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Z43" i="2" s="1"/>
  <c r="Y42" i="2"/>
  <c r="P42" i="2"/>
  <c r="BO41" i="2"/>
  <c r="BM41" i="2"/>
  <c r="Z41" i="2"/>
  <c r="Y41" i="2"/>
  <c r="BP41" i="2" s="1"/>
  <c r="P41" i="2"/>
  <c r="Y37" i="2"/>
  <c r="X37" i="2"/>
  <c r="Y36" i="2"/>
  <c r="X36" i="2"/>
  <c r="BP35" i="2"/>
  <c r="BO35" i="2"/>
  <c r="BN35" i="2"/>
  <c r="BM35" i="2"/>
  <c r="Z35" i="2"/>
  <c r="Z36" i="2" s="1"/>
  <c r="Y35" i="2"/>
  <c r="P35" i="2"/>
  <c r="BO34" i="2"/>
  <c r="BN34" i="2"/>
  <c r="BM34" i="2"/>
  <c r="Z34" i="2"/>
  <c r="Y34" i="2"/>
  <c r="BP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P28" i="2" s="1"/>
  <c r="P28" i="2"/>
  <c r="BP27" i="2"/>
  <c r="BO27" i="2"/>
  <c r="BN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P24" i="2"/>
  <c r="BO24" i="2"/>
  <c r="BN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X284" i="2" s="1"/>
  <c r="BM22" i="2"/>
  <c r="Z22" i="2"/>
  <c r="Y22" i="2"/>
  <c r="BN22" i="2" s="1"/>
  <c r="P22" i="2"/>
  <c r="H10" i="2"/>
  <c r="A9" i="2"/>
  <c r="A10" i="2" s="1"/>
  <c r="D7" i="2"/>
  <c r="Q6" i="2"/>
  <c r="P2" i="2"/>
  <c r="BP48" i="2" l="1"/>
  <c r="BP53" i="2"/>
  <c r="Y58" i="2"/>
  <c r="Y67" i="2"/>
  <c r="Y153" i="2"/>
  <c r="BP158" i="2"/>
  <c r="Y165" i="2"/>
  <c r="BP192" i="2"/>
  <c r="BP204" i="2"/>
  <c r="Z213" i="2"/>
  <c r="BP212" i="2"/>
  <c r="BP238" i="2"/>
  <c r="BP244" i="2"/>
  <c r="Y258" i="2"/>
  <c r="Z267" i="2"/>
  <c r="BP264" i="2"/>
  <c r="BP266" i="2"/>
  <c r="BN273" i="2"/>
  <c r="BP278" i="2"/>
  <c r="BP22" i="2"/>
  <c r="BP26" i="2"/>
  <c r="X286" i="2"/>
  <c r="Z49" i="2"/>
  <c r="BN54" i="2"/>
  <c r="BN56" i="2"/>
  <c r="Y57" i="2"/>
  <c r="BN61" i="2"/>
  <c r="Z67" i="2"/>
  <c r="BP65" i="2"/>
  <c r="Z73" i="2"/>
  <c r="Z79" i="2"/>
  <c r="BP78" i="2"/>
  <c r="BP83" i="2"/>
  <c r="Z100" i="2"/>
  <c r="BP115" i="2"/>
  <c r="BP117" i="2"/>
  <c r="BP133" i="2"/>
  <c r="Y141" i="2"/>
  <c r="BP146" i="2"/>
  <c r="Z159" i="2"/>
  <c r="Y164" i="2"/>
  <c r="BP173" i="2"/>
  <c r="BP228" i="2"/>
  <c r="Y257" i="2"/>
  <c r="X283" i="2"/>
  <c r="Z30" i="2"/>
  <c r="Y91" i="2"/>
  <c r="BP98" i="2"/>
  <c r="Y119" i="2"/>
  <c r="Y148" i="2"/>
  <c r="Z153" i="2"/>
  <c r="Y182" i="2"/>
  <c r="Y195" i="2"/>
  <c r="Y230" i="2"/>
  <c r="BN238" i="2"/>
  <c r="Y245" i="2"/>
  <c r="BN264" i="2"/>
  <c r="Y267" i="2"/>
  <c r="BP271" i="2"/>
  <c r="Y30" i="2"/>
  <c r="Y63" i="2"/>
  <c r="Y68" i="2"/>
  <c r="BP72" i="2"/>
  <c r="BP77" i="2"/>
  <c r="X282" i="2"/>
  <c r="Y43" i="2"/>
  <c r="BP42" i="2"/>
  <c r="BN78" i="2"/>
  <c r="Y84" i="2"/>
  <c r="Y106" i="2"/>
  <c r="Z119" i="2"/>
  <c r="BP110" i="2"/>
  <c r="Y136" i="2"/>
  <c r="Y147" i="2"/>
  <c r="BP185" i="2"/>
  <c r="Z195" i="2"/>
  <c r="Z207" i="2"/>
  <c r="Z287" i="2" s="1"/>
  <c r="Y214" i="2"/>
  <c r="BN222" i="2"/>
  <c r="Y229" i="2"/>
  <c r="Z280" i="2"/>
  <c r="X285" i="2"/>
  <c r="F10" i="2"/>
  <c r="Y207" i="2"/>
  <c r="BN42" i="2"/>
  <c r="Y196" i="2"/>
  <c r="Y213" i="2"/>
  <c r="BN48" i="2"/>
  <c r="Y90" i="2"/>
  <c r="BN158" i="2"/>
  <c r="BN173" i="2"/>
  <c r="Y44" i="2"/>
  <c r="BP70" i="2"/>
  <c r="BP96" i="2"/>
  <c r="BP118" i="2"/>
  <c r="BP131" i="2"/>
  <c r="Y154" i="2"/>
  <c r="BN168" i="2"/>
  <c r="BP200" i="2"/>
  <c r="BN211" i="2"/>
  <c r="BN277" i="2"/>
  <c r="Y280" i="2"/>
  <c r="Y31" i="2"/>
  <c r="Y73" i="2"/>
  <c r="Y181" i="2"/>
  <c r="BP25" i="2"/>
  <c r="Y74" i="2"/>
  <c r="BN88" i="2"/>
  <c r="BP113" i="2"/>
  <c r="BN134" i="2"/>
  <c r="BN191" i="2"/>
  <c r="BN217" i="2"/>
  <c r="BN234" i="2"/>
  <c r="BN248" i="2"/>
  <c r="BN272" i="2"/>
  <c r="BN28" i="2"/>
  <c r="BN55" i="2"/>
  <c r="Y80" i="2"/>
  <c r="BN94" i="2"/>
  <c r="BN105" i="2"/>
  <c r="BN116" i="2"/>
  <c r="BP168" i="2"/>
  <c r="Y201" i="2"/>
  <c r="Y224" i="2"/>
  <c r="Y240" i="2"/>
  <c r="BN255" i="2"/>
  <c r="BP99" i="2"/>
  <c r="BP191" i="2"/>
  <c r="BP234" i="2"/>
  <c r="BP248" i="2"/>
  <c r="F9" i="2"/>
  <c r="BN41" i="2"/>
  <c r="BN66" i="2"/>
  <c r="BP94" i="2"/>
  <c r="BN126" i="2"/>
  <c r="BP139" i="2"/>
  <c r="BN151" i="2"/>
  <c r="Y169" i="2"/>
  <c r="BN194" i="2"/>
  <c r="BN265" i="2"/>
  <c r="BN275" i="2"/>
  <c r="H9" i="2"/>
  <c r="BN47" i="2"/>
  <c r="BP61" i="2"/>
  <c r="BN71" i="2"/>
  <c r="BN97" i="2"/>
  <c r="Y100" i="2"/>
  <c r="Y120" i="2"/>
  <c r="BN132" i="2"/>
  <c r="Y135" i="2"/>
  <c r="BN157" i="2"/>
  <c r="Y202" i="2"/>
  <c r="Y218" i="2"/>
  <c r="Y235" i="2"/>
  <c r="Y249" i="2"/>
  <c r="BP260" i="2"/>
  <c r="BN270" i="2"/>
  <c r="BP217" i="2"/>
  <c r="BN114" i="2"/>
  <c r="BP126" i="2"/>
  <c r="BN163" i="2"/>
  <c r="BN179" i="2"/>
  <c r="BN206" i="2"/>
  <c r="Y49" i="2"/>
  <c r="BN131" i="2"/>
  <c r="Y159" i="2"/>
  <c r="Y174" i="2"/>
  <c r="BN205" i="2"/>
  <c r="Y281" i="2"/>
  <c r="J9" i="2"/>
  <c r="Y286" i="2" l="1"/>
  <c r="Y284" i="2"/>
  <c r="Y283" i="2"/>
  <c r="Y285" i="2" s="1"/>
  <c r="C295" i="2"/>
  <c r="B295" i="2"/>
  <c r="A295" i="2"/>
  <c r="Y282" i="2"/>
</calcChain>
</file>

<file path=xl/sharedStrings.xml><?xml version="1.0" encoding="utf-8"?>
<sst xmlns="http://schemas.openxmlformats.org/spreadsheetml/2006/main" count="1761" uniqueCount="408">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</sst>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5"/>
  <sheetViews>
    <sheetView showGridLines="0" tabSelected="1" zoomScaleNormal="100" zoomScaleSheetLayoutView="100" workbookViewId="0">
      <selection activeCell="A20" sqref="A20:Z2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46272</v>
      </c>
      <c r="R5" s="298"/>
      <c r="T5" s="299" t="s">
        <v>3</v>
      </c>
      <c r="U5" s="300"/>
      <c r="V5" s="301" t="s">
        <v>394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0.375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362">
        <v>4620207491621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184</v>
      </c>
      <c r="B96" s="63" t="s">
        <v>185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183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183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0</v>
      </c>
      <c r="Y120" s="43">
        <f>IFERROR(SUMPRODUCT(Y110:Y118*H110:H118),"0")</f>
        <v>0</v>
      </c>
      <c r="Z120" s="42"/>
      <c r="AA120" s="67"/>
      <c r="AB120" s="67"/>
      <c r="AC120" s="67"/>
    </row>
    <row r="121" spans="1:68" ht="14.25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252</v>
      </c>
      <c r="B146" s="63" t="s">
        <v>253</v>
      </c>
      <c r="C146" s="36">
        <v>4301135962</v>
      </c>
      <c r="D146" s="362">
        <v>4620207491584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88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201" t="s">
        <v>254</v>
      </c>
      <c r="AG146" s="81"/>
      <c r="AJ146" s="87" t="s">
        <v>89</v>
      </c>
      <c r="AK146" s="87">
        <v>1</v>
      </c>
      <c r="BB146" s="202" t="s">
        <v>117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60" t="s">
        <v>255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customHeight="1" x14ac:dyDescent="0.25">
      <c r="A151" s="63" t="s">
        <v>256</v>
      </c>
      <c r="B151" s="63" t="s">
        <v>257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259</v>
      </c>
      <c r="B152" s="63" t="s">
        <v>260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0</v>
      </c>
      <c r="Y154" s="43">
        <f>IFERROR(SUMPRODUCT(Y151:Y152*H151:H152),"0")</f>
        <v>0</v>
      </c>
      <c r="Z154" s="42"/>
      <c r="AA154" s="67"/>
      <c r="AB154" s="67"/>
      <c r="AC154" s="67"/>
    </row>
    <row r="155" spans="1:68" ht="16.5" customHeight="1" x14ac:dyDescent="0.25">
      <c r="A155" s="360" t="s">
        <v>262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customHeight="1" x14ac:dyDescent="0.25">
      <c r="A157" s="63" t="s">
        <v>263</v>
      </c>
      <c r="B157" s="63" t="s">
        <v>264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265</v>
      </c>
      <c r="B158" s="63" t="s">
        <v>266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customHeight="1" x14ac:dyDescent="0.25">
      <c r="A161" s="360" t="s">
        <v>267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customHeight="1" x14ac:dyDescent="0.25">
      <c r="A163" s="63" t="s">
        <v>268</v>
      </c>
      <c r="B163" s="63" t="s">
        <v>269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270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60" t="s">
        <v>271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customHeight="1" x14ac:dyDescent="0.25">
      <c r="A168" s="63" t="s">
        <v>272</v>
      </c>
      <c r="B168" s="63" t="s">
        <v>273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60" t="s">
        <v>274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customHeight="1" x14ac:dyDescent="0.25">
      <c r="A173" s="63" t="s">
        <v>275</v>
      </c>
      <c r="B173" s="63" t="s">
        <v>276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59" t="s">
        <v>278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customHeight="1" x14ac:dyDescent="0.25">
      <c r="A177" s="360" t="s">
        <v>279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customHeight="1" x14ac:dyDescent="0.25">
      <c r="A179" s="63" t="s">
        <v>280</v>
      </c>
      <c r="B179" s="63" t="s">
        <v>281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283</v>
      </c>
      <c r="B180" s="63" t="s">
        <v>284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customHeight="1" x14ac:dyDescent="0.25">
      <c r="A183" s="360" t="s">
        <v>286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59" t="s">
        <v>289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customHeight="1" x14ac:dyDescent="0.25">
      <c r="A189" s="360" t="s">
        <v>290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300</v>
      </c>
      <c r="B194" s="63" t="s">
        <v>301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0</v>
      </c>
      <c r="Y196" s="43">
        <f>IFERROR(SUMPRODUCT(Y191:Y194*H191:H194),"0")</f>
        <v>0</v>
      </c>
      <c r="Z196" s="42"/>
      <c r="AA196" s="67"/>
      <c r="AB196" s="67"/>
      <c r="AC196" s="67"/>
    </row>
    <row r="197" spans="1:68" ht="27.75" customHeight="1" x14ac:dyDescent="0.2">
      <c r="A197" s="359" t="s">
        <v>303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customHeight="1" x14ac:dyDescent="0.25">
      <c r="A198" s="360" t="s">
        <v>304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305</v>
      </c>
      <c r="B200" s="63" t="s">
        <v>306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customHeight="1" x14ac:dyDescent="0.25">
      <c r="A204" s="63" t="s">
        <v>308</v>
      </c>
      <c r="B204" s="63" t="s">
        <v>309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311</v>
      </c>
      <c r="B205" s="63" t="s">
        <v>312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314</v>
      </c>
      <c r="B206" s="63" t="s">
        <v>315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60" t="s">
        <v>317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customHeight="1" x14ac:dyDescent="0.25">
      <c r="A211" s="63" t="s">
        <v>318</v>
      </c>
      <c r="B211" s="63" t="s">
        <v>319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321</v>
      </c>
      <c r="B212" s="63" t="s">
        <v>322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60" t="s">
        <v>324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60" t="s">
        <v>328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customHeight="1" x14ac:dyDescent="0.25">
      <c r="A222" s="63" t="s">
        <v>329</v>
      </c>
      <c r="B222" s="63" t="s">
        <v>330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59" t="s">
        <v>332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customHeight="1" x14ac:dyDescent="0.25">
      <c r="A226" s="360" t="s">
        <v>333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customHeight="1" x14ac:dyDescent="0.25">
      <c r="A228" s="63" t="s">
        <v>334</v>
      </c>
      <c r="B228" s="63" t="s">
        <v>335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59" t="s">
        <v>337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customHeight="1" x14ac:dyDescent="0.25">
      <c r="A232" s="360" t="s">
        <v>338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customHeight="1" x14ac:dyDescent="0.25">
      <c r="A233" s="361" t="s">
        <v>339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customHeight="1" x14ac:dyDescent="0.25">
      <c r="A234" s="63" t="s">
        <v>340</v>
      </c>
      <c r="B234" s="63" t="s">
        <v>341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customHeight="1" x14ac:dyDescent="0.25">
      <c r="A238" s="63" t="s">
        <v>343</v>
      </c>
      <c r="B238" s="63" t="s">
        <v>344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59" t="s">
        <v>345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customHeight="1" x14ac:dyDescent="0.25">
      <c r="A242" s="360" t="s">
        <v>345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customHeight="1" x14ac:dyDescent="0.25">
      <c r="A244" s="63" t="s">
        <v>346</v>
      </c>
      <c r="B244" s="63" t="s">
        <v>347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customHeight="1" x14ac:dyDescent="0.25">
      <c r="A248" s="63" t="s">
        <v>349</v>
      </c>
      <c r="B248" s="63" t="s">
        <v>350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59" t="s">
        <v>352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customHeight="1" x14ac:dyDescent="0.25">
      <c r="A252" s="360" t="s">
        <v>352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customHeight="1" x14ac:dyDescent="0.25">
      <c r="A254" s="63" t="s">
        <v>353</v>
      </c>
      <c r="B254" s="63" t="s">
        <v>354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356</v>
      </c>
      <c r="B255" s="63" t="s">
        <v>357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356</v>
      </c>
      <c r="B256" s="63" t="s">
        <v>358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359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customHeight="1" x14ac:dyDescent="0.25">
      <c r="A260" s="63" t="s">
        <v>360</v>
      </c>
      <c r="B260" s="63" t="s">
        <v>361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362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customHeight="1" x14ac:dyDescent="0.25">
      <c r="A264" s="63" t="s">
        <v>363</v>
      </c>
      <c r="B264" s="63" t="s">
        <v>364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365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365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368</v>
      </c>
      <c r="B266" s="63" t="s">
        <v>369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365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customHeight="1" x14ac:dyDescent="0.25">
      <c r="A270" s="63" t="s">
        <v>370</v>
      </c>
      <c r="B270" s="63" t="s">
        <v>371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373</v>
      </c>
      <c r="B271" s="63" t="s">
        <v>374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375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376</v>
      </c>
      <c r="B272" s="63" t="s">
        <v>377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378</v>
      </c>
      <c r="B273" s="63" t="s">
        <v>379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375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380</v>
      </c>
      <c r="B274" s="63" t="s">
        <v>381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382</v>
      </c>
      <c r="B275" s="63" t="s">
        <v>383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customHeight="1" x14ac:dyDescent="0.25">
      <c r="A276" s="63" t="s">
        <v>384</v>
      </c>
      <c r="B276" s="63" t="s">
        <v>385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372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386</v>
      </c>
      <c r="B277" s="63" t="s">
        <v>387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388</v>
      </c>
      <c r="B278" s="63" t="s">
        <v>389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375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390</v>
      </c>
      <c r="B279" s="63" t="s">
        <v>391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372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0</v>
      </c>
      <c r="Y282" s="43">
        <f>IFERROR(Y31+Y37+Y44+Y50+Y58+Y63+Y68+Y74+Y80+Y85+Y91+Y101+Y107+Y120+Y124+Y128+Y136+Y142+Y148+Y154+Y160+Y165+Y170+Y175+Y182+Y187+Y196+Y202+Y208+Y214+Y219+Y224+Y230+Y236+Y240+Y246+Y250+Y258+Y262+Y268+Y281,"0")</f>
        <v>0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0</v>
      </c>
      <c r="Y283" s="43">
        <f>IFERROR(SUM(BN22:BN279),"0")</f>
        <v>0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0</v>
      </c>
      <c r="Y284" s="44">
        <f>ROUNDUP(SUM(BP22:BP279),0)</f>
        <v>0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0</v>
      </c>
      <c r="Y285" s="43">
        <f>GrossWeightTotalR+PalletQtyTotalR*25</f>
        <v>0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0</v>
      </c>
      <c r="Y286" s="43">
        <f>IFERROR(Y30+Y36+Y43+Y49+Y57+Y62+Y67+Y73+Y79+Y84+Y90+Y100+Y106+Y119+Y123+Y127+Y135+Y141+Y147+Y153+Y159+Y164+Y169+Y174+Y181+Y186+Y195+Y201+Y207+Y213+Y218+Y223+Y229+Y235+Y239+Y245+Y249+Y257+Y261+Y267+Y280,"0")</f>
        <v>0</v>
      </c>
      <c r="Z286" s="42"/>
      <c r="AA286" s="67"/>
      <c r="AB286" s="67"/>
      <c r="AC286" s="67"/>
    </row>
    <row r="287" spans="1:68" ht="14.25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0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278</v>
      </c>
      <c r="W289" s="475" t="s">
        <v>278</v>
      </c>
      <c r="X289" s="88" t="s">
        <v>289</v>
      </c>
      <c r="Y289" s="475" t="s">
        <v>303</v>
      </c>
      <c r="Z289" s="475" t="s">
        <v>303</v>
      </c>
      <c r="AA289" s="475" t="s">
        <v>303</v>
      </c>
      <c r="AB289" s="475" t="s">
        <v>303</v>
      </c>
      <c r="AC289" s="88" t="s">
        <v>332</v>
      </c>
      <c r="AD289" s="88" t="s">
        <v>337</v>
      </c>
      <c r="AE289" s="88" t="s">
        <v>345</v>
      </c>
      <c r="AF289" s="88" t="s">
        <v>352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255</v>
      </c>
      <c r="R290" s="475" t="s">
        <v>262</v>
      </c>
      <c r="S290" s="475" t="s">
        <v>267</v>
      </c>
      <c r="T290" s="475" t="s">
        <v>271</v>
      </c>
      <c r="U290" s="475" t="s">
        <v>274</v>
      </c>
      <c r="V290" s="475" t="s">
        <v>279</v>
      </c>
      <c r="W290" s="475" t="s">
        <v>286</v>
      </c>
      <c r="X290" s="475" t="s">
        <v>290</v>
      </c>
      <c r="Y290" s="475" t="s">
        <v>304</v>
      </c>
      <c r="Z290" s="475" t="s">
        <v>317</v>
      </c>
      <c r="AA290" s="475" t="s">
        <v>324</v>
      </c>
      <c r="AB290" s="475" t="s">
        <v>328</v>
      </c>
      <c r="AC290" s="475" t="s">
        <v>333</v>
      </c>
      <c r="AD290" s="475" t="s">
        <v>338</v>
      </c>
      <c r="AE290" s="475" t="s">
        <v>345</v>
      </c>
      <c r="AF290" s="475" t="s">
        <v>352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0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0</v>
      </c>
      <c r="Q292" s="52">
        <f>IFERROR(X151*H151,"0")+IFERROR(X152*H152,"0")</f>
        <v>0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0</v>
      </c>
      <c r="B295" s="72">
        <f>SUMPRODUCT(--(BB:BB="ПГП"),--(W:W="кор"),H:H,Y:Y)+SUMPRODUCT(--(BB:BB="ПГП"),--(W:W="кг"),Y:Y)</f>
        <v>0</v>
      </c>
      <c r="C295" s="72">
        <f>SUMPRODUCT(--(BB:BB="КИЗ"),--(W:W="кор"),H:H,Y:Y)+SUMPRODUCT(--(BB:BB="КИЗ"),--(W:W="кг"),Y:Y)</f>
        <v>0</v>
      </c>
    </row>
  </sheetData>
  <sheetProtection algorithmName="SHA-512" hashValue="woh/O9CUPdA5hh0HXW+8RDRPAChnXzJ9LIBxMxgLG3UuXdyCrcsjjbtpLkJNC0DfE94C3XdRZBjti65bmOCuaQ==" saltValue="Bv9XhGY0Uv5R+FGjObWb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9 X270 X254:X256 X248 X244 X238 X234 X228 X222 X211:X212 X204 X194 X185 X173 X163 X157 X151:X152 X146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1:X274 X264:X266 X260 X217 X205:X206 X200 X191:X193 X179:X180 X168 X158 X145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392</v>
      </c>
      <c r="H1" s="9"/>
    </row>
    <row r="3" spans="2:8" x14ac:dyDescent="0.2">
      <c r="B3" s="53" t="s">
        <v>393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395</v>
      </c>
      <c r="D6" s="53" t="s">
        <v>396</v>
      </c>
      <c r="E6" s="53" t="s">
        <v>46</v>
      </c>
    </row>
    <row r="8" spans="2:8" x14ac:dyDescent="0.2">
      <c r="B8" s="53" t="s">
        <v>80</v>
      </c>
      <c r="C8" s="53" t="s">
        <v>395</v>
      </c>
      <c r="D8" s="53" t="s">
        <v>46</v>
      </c>
      <c r="E8" s="53" t="s">
        <v>46</v>
      </c>
    </row>
    <row r="10" spans="2:8" x14ac:dyDescent="0.2">
      <c r="B10" s="53" t="s">
        <v>397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407</v>
      </c>
      <c r="C20" s="53" t="s">
        <v>46</v>
      </c>
      <c r="D20" s="53" t="s">
        <v>46</v>
      </c>
      <c r="E20" s="53" t="s">
        <v>46</v>
      </c>
    </row>
  </sheetData>
  <sheetProtection algorithmName="SHA-512" hashValue="FUqR/SWITw/uEAEmYF/LoA4GMj4wHEy790IUkNKi5lHkpqI6s8bbZM8HM9feXHydgt+RkTlPo7sPFEynfDioAA==" saltValue="ZV1wWIcY4RDLDOenLEPtB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2026-09-04T09:10:13Z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