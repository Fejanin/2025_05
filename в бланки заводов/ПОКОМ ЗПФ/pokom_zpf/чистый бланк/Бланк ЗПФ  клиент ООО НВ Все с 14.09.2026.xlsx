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11F7B9-6F5D-46EB-B46A-1289D42F00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N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N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N270" i="2"/>
  <c r="BM270" i="2"/>
  <c r="Z270" i="2"/>
  <c r="Y270" i="2"/>
  <c r="BP270" i="2" s="1"/>
  <c r="P270" i="2"/>
  <c r="BO269" i="2"/>
  <c r="BM269" i="2"/>
  <c r="Z269" i="2"/>
  <c r="Y269" i="2"/>
  <c r="BP269" i="2" s="1"/>
  <c r="BO268" i="2"/>
  <c r="BM268" i="2"/>
  <c r="Z268" i="2"/>
  <c r="Z278" i="2" s="1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Y266" i="2" s="1"/>
  <c r="P262" i="2"/>
  <c r="X260" i="2"/>
  <c r="Z259" i="2"/>
  <c r="Y259" i="2"/>
  <c r="X259" i="2"/>
  <c r="BO258" i="2"/>
  <c r="BN258" i="2"/>
  <c r="BM258" i="2"/>
  <c r="Z258" i="2"/>
  <c r="Y258" i="2"/>
  <c r="BP258" i="2" s="1"/>
  <c r="P258" i="2"/>
  <c r="X256" i="2"/>
  <c r="X255" i="2"/>
  <c r="BO254" i="2"/>
  <c r="BM254" i="2"/>
  <c r="Z254" i="2"/>
  <c r="Z255" i="2" s="1"/>
  <c r="Y254" i="2"/>
  <c r="BP254" i="2" s="1"/>
  <c r="P254" i="2"/>
  <c r="BO253" i="2"/>
  <c r="BM253" i="2"/>
  <c r="Z253" i="2"/>
  <c r="Y253" i="2"/>
  <c r="BP253" i="2" s="1"/>
  <c r="P253" i="2"/>
  <c r="Y249" i="2"/>
  <c r="X249" i="2"/>
  <c r="Y248" i="2"/>
  <c r="X248" i="2"/>
  <c r="BP247" i="2"/>
  <c r="BO247" i="2"/>
  <c r="BN247" i="2"/>
  <c r="BM247" i="2"/>
  <c r="Z247" i="2"/>
  <c r="Z248" i="2" s="1"/>
  <c r="Y247" i="2"/>
  <c r="P247" i="2"/>
  <c r="X245" i="2"/>
  <c r="X244" i="2"/>
  <c r="BO243" i="2"/>
  <c r="BN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Y234" i="2"/>
  <c r="X234" i="2"/>
  <c r="BO233" i="2"/>
  <c r="BN233" i="2"/>
  <c r="BM233" i="2"/>
  <c r="Z233" i="2"/>
  <c r="Z234" i="2" s="1"/>
  <c r="Y233" i="2"/>
  <c r="Y235" i="2" s="1"/>
  <c r="P233" i="2"/>
  <c r="X229" i="2"/>
  <c r="X228" i="2"/>
  <c r="BO227" i="2"/>
  <c r="BN227" i="2"/>
  <c r="BM227" i="2"/>
  <c r="Z227" i="2"/>
  <c r="Z228" i="2" s="1"/>
  <c r="Y227" i="2"/>
  <c r="Y229" i="2" s="1"/>
  <c r="P227" i="2"/>
  <c r="X223" i="2"/>
  <c r="Y222" i="2"/>
  <c r="X222" i="2"/>
  <c r="BO221" i="2"/>
  <c r="BM221" i="2"/>
  <c r="Z221" i="2"/>
  <c r="Z222" i="2" s="1"/>
  <c r="Y221" i="2"/>
  <c r="BP221" i="2" s="1"/>
  <c r="P221" i="2"/>
  <c r="X218" i="2"/>
  <c r="X217" i="2"/>
  <c r="BO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Y213" i="2" s="1"/>
  <c r="P211" i="2"/>
  <c r="BP210" i="2"/>
  <c r="BO210" i="2"/>
  <c r="BN210" i="2"/>
  <c r="BM210" i="2"/>
  <c r="Z210" i="2"/>
  <c r="Y210" i="2"/>
  <c r="P210" i="2"/>
  <c r="X207" i="2"/>
  <c r="X206" i="2"/>
  <c r="BO205" i="2"/>
  <c r="BM205" i="2"/>
  <c r="Z205" i="2"/>
  <c r="Y205" i="2"/>
  <c r="BP205" i="2" s="1"/>
  <c r="P205" i="2"/>
  <c r="BP204" i="2"/>
  <c r="BO204" i="2"/>
  <c r="BM204" i="2"/>
  <c r="Z204" i="2"/>
  <c r="Y204" i="2"/>
  <c r="BN204" i="2" s="1"/>
  <c r="P204" i="2"/>
  <c r="BO203" i="2"/>
  <c r="BM203" i="2"/>
  <c r="Z203" i="2"/>
  <c r="Y203" i="2"/>
  <c r="P203" i="2"/>
  <c r="Y201" i="2"/>
  <c r="X201" i="2"/>
  <c r="X200" i="2"/>
  <c r="BO199" i="2"/>
  <c r="BM199" i="2"/>
  <c r="Z199" i="2"/>
  <c r="Z200" i="2" s="1"/>
  <c r="Y199" i="2"/>
  <c r="BN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BP190" i="2"/>
  <c r="BO190" i="2"/>
  <c r="BM190" i="2"/>
  <c r="Z190" i="2"/>
  <c r="Z194" i="2" s="1"/>
  <c r="Y190" i="2"/>
  <c r="BN190" i="2" s="1"/>
  <c r="P190" i="2"/>
  <c r="X186" i="2"/>
  <c r="X185" i="2"/>
  <c r="BO184" i="2"/>
  <c r="BM184" i="2"/>
  <c r="Z184" i="2"/>
  <c r="Z185" i="2" s="1"/>
  <c r="Y184" i="2"/>
  <c r="Y186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Z180" i="2" s="1"/>
  <c r="Y178" i="2"/>
  <c r="BP178" i="2" s="1"/>
  <c r="P178" i="2"/>
  <c r="X174" i="2"/>
  <c r="Z173" i="2"/>
  <c r="X173" i="2"/>
  <c r="BO172" i="2"/>
  <c r="BM172" i="2"/>
  <c r="Z172" i="2"/>
  <c r="Y172" i="2"/>
  <c r="Y173" i="2" s="1"/>
  <c r="P172" i="2"/>
  <c r="X169" i="2"/>
  <c r="Z168" i="2"/>
  <c r="X168" i="2"/>
  <c r="BO167" i="2"/>
  <c r="BM167" i="2"/>
  <c r="Z167" i="2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Y159" i="2"/>
  <c r="X159" i="2"/>
  <c r="X158" i="2"/>
  <c r="BP157" i="2"/>
  <c r="BO157" i="2"/>
  <c r="BM157" i="2"/>
  <c r="Z157" i="2"/>
  <c r="Y157" i="2"/>
  <c r="BN157" i="2" s="1"/>
  <c r="P157" i="2"/>
  <c r="BO156" i="2"/>
  <c r="BM156" i="2"/>
  <c r="Z156" i="2"/>
  <c r="Z158" i="2" s="1"/>
  <c r="Y156" i="2"/>
  <c r="P156" i="2"/>
  <c r="X153" i="2"/>
  <c r="X152" i="2"/>
  <c r="BP151" i="2"/>
  <c r="BO151" i="2"/>
  <c r="BM151" i="2"/>
  <c r="Z151" i="2"/>
  <c r="Y151" i="2"/>
  <c r="Y153" i="2" s="1"/>
  <c r="P151" i="2"/>
  <c r="BO150" i="2"/>
  <c r="BM150" i="2"/>
  <c r="Z150" i="2"/>
  <c r="Y150" i="2"/>
  <c r="P150" i="2"/>
  <c r="Y147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N138" i="2" s="1"/>
  <c r="P138" i="2"/>
  <c r="BO137" i="2"/>
  <c r="BM137" i="2"/>
  <c r="Z137" i="2"/>
  <c r="Y137" i="2"/>
  <c r="Y141" i="2" s="1"/>
  <c r="P137" i="2"/>
  <c r="X135" i="2"/>
  <c r="X134" i="2"/>
  <c r="BP133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Z134" i="2" s="1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6" i="2" s="1"/>
  <c r="P125" i="2"/>
  <c r="Y123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P112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P97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P95" i="2"/>
  <c r="BO95" i="2"/>
  <c r="BM95" i="2"/>
  <c r="Z95" i="2"/>
  <c r="Y95" i="2"/>
  <c r="BN95" i="2" s="1"/>
  <c r="P95" i="2"/>
  <c r="BO94" i="2"/>
  <c r="BM94" i="2"/>
  <c r="Z94" i="2"/>
  <c r="Y94" i="2"/>
  <c r="Y101" i="2" s="1"/>
  <c r="P94" i="2"/>
  <c r="X91" i="2"/>
  <c r="X90" i="2"/>
  <c r="BO89" i="2"/>
  <c r="BM89" i="2"/>
  <c r="Z89" i="2"/>
  <c r="Y89" i="2"/>
  <c r="BN89" i="2" s="1"/>
  <c r="P89" i="2"/>
  <c r="BO88" i="2"/>
  <c r="BM88" i="2"/>
  <c r="Z88" i="2"/>
  <c r="Z90" i="2" s="1"/>
  <c r="Y88" i="2"/>
  <c r="BN88" i="2" s="1"/>
  <c r="P88" i="2"/>
  <c r="Y85" i="2"/>
  <c r="X85" i="2"/>
  <c r="X84" i="2"/>
  <c r="BP83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Z79" i="2" s="1"/>
  <c r="Y78" i="2"/>
  <c r="Y79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Z73" i="2" s="1"/>
  <c r="Y70" i="2"/>
  <c r="P70" i="2"/>
  <c r="X68" i="2"/>
  <c r="X67" i="2"/>
  <c r="BO66" i="2"/>
  <c r="BM66" i="2"/>
  <c r="Z66" i="2"/>
  <c r="Z67" i="2" s="1"/>
  <c r="Y66" i="2"/>
  <c r="BP66" i="2" s="1"/>
  <c r="P66" i="2"/>
  <c r="BO65" i="2"/>
  <c r="BM65" i="2"/>
  <c r="Z65" i="2"/>
  <c r="Y65" i="2"/>
  <c r="Y67" i="2" s="1"/>
  <c r="P65" i="2"/>
  <c r="Y63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P47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P35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280" i="2" s="1"/>
  <c r="X30" i="2"/>
  <c r="X284" i="2" s="1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P24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X281" i="2" l="1"/>
  <c r="X282" i="2"/>
  <c r="Y36" i="2"/>
  <c r="Y50" i="2"/>
  <c r="Y57" i="2"/>
  <c r="Z100" i="2"/>
  <c r="Z106" i="2"/>
  <c r="Z118" i="2"/>
  <c r="BP117" i="2"/>
  <c r="Z140" i="2"/>
  <c r="Z146" i="2"/>
  <c r="Y152" i="2"/>
  <c r="BN151" i="2"/>
  <c r="Y169" i="2"/>
  <c r="BP192" i="2"/>
  <c r="Y207" i="2"/>
  <c r="BP233" i="2"/>
  <c r="Y260" i="2"/>
  <c r="BP268" i="2"/>
  <c r="BN271" i="2"/>
  <c r="BN42" i="2"/>
  <c r="Y43" i="2"/>
  <c r="Z49" i="2"/>
  <c r="Z57" i="2"/>
  <c r="BN56" i="2"/>
  <c r="Y74" i="2"/>
  <c r="BN71" i="2"/>
  <c r="BP89" i="2"/>
  <c r="BN132" i="2"/>
  <c r="Z152" i="2"/>
  <c r="BN167" i="2"/>
  <c r="Y168" i="2"/>
  <c r="BN172" i="2"/>
  <c r="BP199" i="2"/>
  <c r="Z206" i="2"/>
  <c r="BN211" i="2"/>
  <c r="BN216" i="2"/>
  <c r="Y217" i="2"/>
  <c r="Y223" i="2"/>
  <c r="Y181" i="2"/>
  <c r="Y239" i="2"/>
  <c r="Z30" i="2"/>
  <c r="Z285" i="2" s="1"/>
  <c r="Y37" i="2"/>
  <c r="Z43" i="2"/>
  <c r="Y44" i="2"/>
  <c r="Y68" i="2"/>
  <c r="BN83" i="2"/>
  <c r="Y90" i="2"/>
  <c r="Y107" i="2"/>
  <c r="BP130" i="2"/>
  <c r="Y146" i="2"/>
  <c r="Y158" i="2"/>
  <c r="BP172" i="2"/>
  <c r="Y174" i="2"/>
  <c r="Y180" i="2"/>
  <c r="BN184" i="2"/>
  <c r="Y195" i="2"/>
  <c r="Y200" i="2"/>
  <c r="Z212" i="2"/>
  <c r="BP216" i="2"/>
  <c r="Y238" i="2"/>
  <c r="Z265" i="2"/>
  <c r="BP263" i="2"/>
  <c r="BN272" i="2"/>
  <c r="X283" i="2"/>
  <c r="BN254" i="2"/>
  <c r="BP48" i="2"/>
  <c r="BN274" i="2"/>
  <c r="BP27" i="2"/>
  <c r="BP54" i="2"/>
  <c r="BN65" i="2"/>
  <c r="BP78" i="2"/>
  <c r="Y91" i="2"/>
  <c r="BP104" i="2"/>
  <c r="BP115" i="2"/>
  <c r="BN125" i="2"/>
  <c r="BP138" i="2"/>
  <c r="BN150" i="2"/>
  <c r="BN193" i="2"/>
  <c r="BN264" i="2"/>
  <c r="BN269" i="2"/>
  <c r="Y30" i="2"/>
  <c r="BN54" i="2"/>
  <c r="Y58" i="2"/>
  <c r="BN96" i="2"/>
  <c r="BP110" i="2"/>
  <c r="Y119" i="2"/>
  <c r="BN131" i="2"/>
  <c r="Y134" i="2"/>
  <c r="BP144" i="2"/>
  <c r="BN156" i="2"/>
  <c r="BP150" i="2"/>
  <c r="BN162" i="2"/>
  <c r="BN178" i="2"/>
  <c r="BN205" i="2"/>
  <c r="Y255" i="2"/>
  <c r="BN277" i="2"/>
  <c r="Y49" i="2"/>
  <c r="BN70" i="2"/>
  <c r="BP125" i="2"/>
  <c r="BP70" i="2"/>
  <c r="Y135" i="2"/>
  <c r="BP162" i="2"/>
  <c r="BN191" i="2"/>
  <c r="Y194" i="2"/>
  <c r="BN262" i="2"/>
  <c r="Y265" i="2"/>
  <c r="BN28" i="2"/>
  <c r="BN55" i="2"/>
  <c r="Y80" i="2"/>
  <c r="BN94" i="2"/>
  <c r="BN105" i="2"/>
  <c r="BN116" i="2"/>
  <c r="BN139" i="2"/>
  <c r="BP184" i="2"/>
  <c r="BP211" i="2"/>
  <c r="BP227" i="2"/>
  <c r="BP243" i="2"/>
  <c r="Y256" i="2"/>
  <c r="BP98" i="2"/>
  <c r="BN99" i="2"/>
  <c r="BN275" i="2"/>
  <c r="Y278" i="2"/>
  <c r="BN34" i="2"/>
  <c r="BP88" i="2"/>
  <c r="BN111" i="2"/>
  <c r="BN121" i="2"/>
  <c r="BN145" i="2"/>
  <c r="Y163" i="2"/>
  <c r="BP191" i="2"/>
  <c r="BN203" i="2"/>
  <c r="Y206" i="2"/>
  <c r="BP262" i="2"/>
  <c r="F9" i="2"/>
  <c r="BN41" i="2"/>
  <c r="BN66" i="2"/>
  <c r="BP94" i="2"/>
  <c r="Y127" i="2"/>
  <c r="Y185" i="2"/>
  <c r="Y212" i="2"/>
  <c r="Y228" i="2"/>
  <c r="Y244" i="2"/>
  <c r="BN48" i="2"/>
  <c r="BN72" i="2"/>
  <c r="BN104" i="2"/>
  <c r="Y118" i="2"/>
  <c r="Y31" i="2"/>
  <c r="Y280" i="2" s="1"/>
  <c r="BN25" i="2"/>
  <c r="BN113" i="2"/>
  <c r="BN23" i="2"/>
  <c r="H9" i="2"/>
  <c r="Y100" i="2"/>
  <c r="BP121" i="2"/>
  <c r="BN78" i="2"/>
  <c r="BN22" i="2"/>
  <c r="BN144" i="2"/>
  <c r="Y73" i="2"/>
  <c r="BP65" i="2"/>
  <c r="BN61" i="2"/>
  <c r="BP61" i="2"/>
  <c r="BP203" i="2"/>
  <c r="J9" i="2"/>
  <c r="BN26" i="2"/>
  <c r="BN53" i="2"/>
  <c r="BN77" i="2"/>
  <c r="Y106" i="2"/>
  <c r="BN114" i="2"/>
  <c r="BN137" i="2"/>
  <c r="Y140" i="2"/>
  <c r="BN179" i="2"/>
  <c r="BN221" i="2"/>
  <c r="BN237" i="2"/>
  <c r="BN253" i="2"/>
  <c r="Y279" i="2"/>
  <c r="BP156" i="2"/>
  <c r="A10" i="2"/>
  <c r="BP137" i="2"/>
  <c r="Y282" i="2" l="1"/>
  <c r="C293" i="2"/>
  <c r="B293" i="2"/>
  <c r="A293" i="2"/>
  <c r="Y281" i="2"/>
  <c r="Y283" i="2" s="1"/>
  <c r="Y284" i="2"/>
</calcChain>
</file>

<file path=xl/sharedStrings.xml><?xml version="1.0" encoding="utf-8"?>
<sst xmlns="http://schemas.openxmlformats.org/spreadsheetml/2006/main" count="1766" uniqueCount="420">
  <si>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</si>
  <si>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</si>
  <si>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</si>
  <si>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</si>
  <si>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</si>
  <si>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</si>
  <si>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</si>
  <si>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</si>
  <si>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</si>
  <si>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</si>
  <si>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</si>
  <si>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</si>
  <si>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</si>
  <si>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</si>
  <si>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</si>
  <si>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</si>
  <si>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</si>
  <si>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</si>
  <si>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</si>
  <si>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</si>
  <si>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</si>
  <si>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</si>
  <si>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</si>
  <si>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</si>
  <si>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</si>
  <si>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</si>
  <si>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</si>
  <si>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</si>
  <si>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</si>
  <si>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</si>
  <si>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</si>
  <si>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</si>
  <si>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</si>
  <si>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</si>
  <si>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</si>
  <si>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</si>
  <si>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</si>
  <si>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</si>
  <si>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</si>
  <si>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</si>
  <si>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</si>
  <si>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</si>
  <si>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</si>
  <si>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</si>
  <si>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</si>
  <si>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</si>
  <si>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</si>
  <si>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</si>
  <si>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</si>
  <si>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</si>
  <si>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</si>
  <si>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</si>
  <si>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</si>
  <si>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</si>
  <si>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</si>
  <si>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</si>
  <si>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</si>
  <si>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</si>
  <si>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</si>
  <si>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</si>
  <si>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</si>
  <si>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</si>
  <si>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</si>
  <si>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</si>
  <si>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</si>
  <si>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</si>
  <si>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</si>
  <si>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</si>
  <si>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</si>
  <si>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</si>
  <si>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</si>
  <si>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14.09.2026</t>
  </si>
  <si>
    <t>07.09.2026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</si>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</sst>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Y13" sqref="Y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5"/>
      <c r="P5" s="27" t="s">
        <v>4</v>
      </c>
      <c r="Q5" s="469">
        <v>46279</v>
      </c>
      <c r="R5" s="470"/>
      <c r="T5" s="471" t="s">
        <v>3</v>
      </c>
      <c r="U5" s="472"/>
      <c r="V5" s="473" t="s">
        <v>388</v>
      </c>
      <c r="W5" s="474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14" t="s">
        <v>80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6">
        <v>4620207491508</v>
      </c>
      <c r="E22" s="29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8"/>
      <c r="R22" s="298"/>
      <c r="S22" s="298"/>
      <c r="T22" s="29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6">
        <v>4620207491256</v>
      </c>
      <c r="E23" s="29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8"/>
      <c r="R23" s="298"/>
      <c r="S23" s="298"/>
      <c r="T23" s="29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6">
        <v>4620207491713</v>
      </c>
      <c r="E24" s="29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8"/>
      <c r="R24" s="298"/>
      <c r="S24" s="298"/>
      <c r="T24" s="29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6">
        <v>4620207491720</v>
      </c>
      <c r="E25" s="29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8"/>
      <c r="R25" s="298"/>
      <c r="S25" s="298"/>
      <c r="T25" s="29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6">
        <v>4607111035912</v>
      </c>
      <c r="E26" s="29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8"/>
      <c r="R26" s="298"/>
      <c r="S26" s="298"/>
      <c r="T26" s="29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6">
        <v>4607111035929</v>
      </c>
      <c r="E27" s="29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8"/>
      <c r="R27" s="298"/>
      <c r="S27" s="298"/>
      <c r="T27" s="29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6">
        <v>4607111035882</v>
      </c>
      <c r="E28" s="29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8"/>
      <c r="R28" s="298"/>
      <c r="S28" s="298"/>
      <c r="T28" s="29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6">
        <v>4607111035905</v>
      </c>
      <c r="E29" s="29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8"/>
      <c r="R29" s="298"/>
      <c r="S29" s="298"/>
      <c r="T29" s="29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6"/>
      <c r="P30" s="303" t="s">
        <v>40</v>
      </c>
      <c r="Q30" s="304"/>
      <c r="R30" s="304"/>
      <c r="S30" s="304"/>
      <c r="T30" s="304"/>
      <c r="U30" s="304"/>
      <c r="V30" s="30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6"/>
      <c r="P31" s="303" t="s">
        <v>40</v>
      </c>
      <c r="Q31" s="304"/>
      <c r="R31" s="304"/>
      <c r="S31" s="304"/>
      <c r="T31" s="304"/>
      <c r="U31" s="304"/>
      <c r="V31" s="30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14" t="s">
        <v>80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96">
        <v>4607111039019</v>
      </c>
      <c r="E34" s="29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8"/>
      <c r="R34" s="298"/>
      <c r="S34" s="298"/>
      <c r="T34" s="29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96">
        <v>4607111038708</v>
      </c>
      <c r="E35" s="29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8"/>
      <c r="R35" s="298"/>
      <c r="S35" s="298"/>
      <c r="T35" s="29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06"/>
      <c r="P36" s="303" t="s">
        <v>40</v>
      </c>
      <c r="Q36" s="304"/>
      <c r="R36" s="304"/>
      <c r="S36" s="304"/>
      <c r="T36" s="304"/>
      <c r="U36" s="304"/>
      <c r="V36" s="30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06"/>
      <c r="P37" s="303" t="s">
        <v>40</v>
      </c>
      <c r="Q37" s="304"/>
      <c r="R37" s="304"/>
      <c r="S37" s="304"/>
      <c r="T37" s="304"/>
      <c r="U37" s="304"/>
      <c r="V37" s="30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14" t="s">
        <v>111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6">
        <v>4607111036537</v>
      </c>
      <c r="E41" s="29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8"/>
      <c r="R41" s="298"/>
      <c r="S41" s="298"/>
      <c r="T41" s="29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6">
        <v>4607111036605</v>
      </c>
      <c r="E42" s="29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8"/>
      <c r="R42" s="298"/>
      <c r="S42" s="298"/>
      <c r="T42" s="29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06"/>
      <c r="P43" s="303" t="s">
        <v>40</v>
      </c>
      <c r="Q43" s="304"/>
      <c r="R43" s="304"/>
      <c r="S43" s="304"/>
      <c r="T43" s="304"/>
      <c r="U43" s="304"/>
      <c r="V43" s="30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06"/>
      <c r="P44" s="303" t="s">
        <v>40</v>
      </c>
      <c r="Q44" s="304"/>
      <c r="R44" s="304"/>
      <c r="S44" s="304"/>
      <c r="T44" s="304"/>
      <c r="U44" s="304"/>
      <c r="V44" s="30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14" t="s">
        <v>80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96">
        <v>4620207490075</v>
      </c>
      <c r="E47" s="29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8"/>
      <c r="R47" s="298"/>
      <c r="S47" s="298"/>
      <c r="T47" s="29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96">
        <v>4620207490174</v>
      </c>
      <c r="E48" s="29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8"/>
      <c r="R48" s="298"/>
      <c r="S48" s="298"/>
      <c r="T48" s="29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306"/>
      <c r="P49" s="303" t="s">
        <v>40</v>
      </c>
      <c r="Q49" s="304"/>
      <c r="R49" s="304"/>
      <c r="S49" s="304"/>
      <c r="T49" s="304"/>
      <c r="U49" s="304"/>
      <c r="V49" s="30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306"/>
      <c r="P50" s="303" t="s">
        <v>40</v>
      </c>
      <c r="Q50" s="304"/>
      <c r="R50" s="304"/>
      <c r="S50" s="304"/>
      <c r="T50" s="304"/>
      <c r="U50" s="304"/>
      <c r="V50" s="30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customHeight="1" x14ac:dyDescent="0.25">
      <c r="A52" s="314" t="s">
        <v>80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296">
        <v>4607111039385</v>
      </c>
      <c r="E53" s="29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8"/>
      <c r="R53" s="298"/>
      <c r="S53" s="298"/>
      <c r="T53" s="29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296">
        <v>4607111038982</v>
      </c>
      <c r="E54" s="29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8"/>
      <c r="R54" s="298"/>
      <c r="S54" s="298"/>
      <c r="T54" s="29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296">
        <v>4607111039354</v>
      </c>
      <c r="E55" s="29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8"/>
      <c r="R55" s="298"/>
      <c r="S55" s="298"/>
      <c r="T55" s="29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96">
        <v>4607111039330</v>
      </c>
      <c r="E56" s="29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8"/>
      <c r="R56" s="298"/>
      <c r="S56" s="298"/>
      <c r="T56" s="29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306"/>
      <c r="P57" s="303" t="s">
        <v>40</v>
      </c>
      <c r="Q57" s="304"/>
      <c r="R57" s="304"/>
      <c r="S57" s="304"/>
      <c r="T57" s="304"/>
      <c r="U57" s="304"/>
      <c r="V57" s="30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306"/>
      <c r="P58" s="303" t="s">
        <v>40</v>
      </c>
      <c r="Q58" s="304"/>
      <c r="R58" s="304"/>
      <c r="S58" s="304"/>
      <c r="T58" s="304"/>
      <c r="U58" s="304"/>
      <c r="V58" s="30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customHeight="1" x14ac:dyDescent="0.25">
      <c r="A60" s="314" t="s">
        <v>111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296">
        <v>4607111039712</v>
      </c>
      <c r="E61" s="29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8"/>
      <c r="R61" s="298"/>
      <c r="S61" s="298"/>
      <c r="T61" s="29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306"/>
      <c r="P62" s="303" t="s">
        <v>40</v>
      </c>
      <c r="Q62" s="304"/>
      <c r="R62" s="304"/>
      <c r="S62" s="304"/>
      <c r="T62" s="304"/>
      <c r="U62" s="304"/>
      <c r="V62" s="30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6"/>
      <c r="P63" s="303" t="s">
        <v>40</v>
      </c>
      <c r="Q63" s="304"/>
      <c r="R63" s="304"/>
      <c r="S63" s="304"/>
      <c r="T63" s="304"/>
      <c r="U63" s="304"/>
      <c r="V63" s="30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4" t="s">
        <v>143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296">
        <v>4607111037008</v>
      </c>
      <c r="E65" s="29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8"/>
      <c r="R65" s="298"/>
      <c r="S65" s="298"/>
      <c r="T65" s="29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296">
        <v>4607111037398</v>
      </c>
      <c r="E66" s="29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8"/>
      <c r="R66" s="298"/>
      <c r="S66" s="298"/>
      <c r="T66" s="29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306"/>
      <c r="P67" s="303" t="s">
        <v>40</v>
      </c>
      <c r="Q67" s="304"/>
      <c r="R67" s="304"/>
      <c r="S67" s="304"/>
      <c r="T67" s="304"/>
      <c r="U67" s="304"/>
      <c r="V67" s="30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306"/>
      <c r="P68" s="303" t="s">
        <v>40</v>
      </c>
      <c r="Q68" s="304"/>
      <c r="R68" s="304"/>
      <c r="S68" s="304"/>
      <c r="T68" s="304"/>
      <c r="U68" s="304"/>
      <c r="V68" s="30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4" t="s">
        <v>149</v>
      </c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296">
        <v>4607111039705</v>
      </c>
      <c r="E70" s="29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8"/>
      <c r="R70" s="298"/>
      <c r="S70" s="298"/>
      <c r="T70" s="29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296">
        <v>4607111039729</v>
      </c>
      <c r="E71" s="29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8"/>
      <c r="R71" s="298"/>
      <c r="S71" s="298"/>
      <c r="T71" s="29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296">
        <v>4620207490228</v>
      </c>
      <c r="E72" s="29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8"/>
      <c r="R72" s="298"/>
      <c r="S72" s="298"/>
      <c r="T72" s="29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306"/>
      <c r="P73" s="303" t="s">
        <v>40</v>
      </c>
      <c r="Q73" s="304"/>
      <c r="R73" s="304"/>
      <c r="S73" s="304"/>
      <c r="T73" s="304"/>
      <c r="U73" s="304"/>
      <c r="V73" s="30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6"/>
      <c r="P74" s="303" t="s">
        <v>40</v>
      </c>
      <c r="Q74" s="304"/>
      <c r="R74" s="304"/>
      <c r="S74" s="304"/>
      <c r="T74" s="304"/>
      <c r="U74" s="304"/>
      <c r="V74" s="30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19" t="s">
        <v>157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customHeight="1" x14ac:dyDescent="0.25">
      <c r="A76" s="314" t="s">
        <v>80</v>
      </c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296">
        <v>4607111037411</v>
      </c>
      <c r="E77" s="29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8"/>
      <c r="R77" s="298"/>
      <c r="S77" s="298"/>
      <c r="T77" s="29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296">
        <v>4607111036728</v>
      </c>
      <c r="E78" s="29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8"/>
      <c r="R78" s="298"/>
      <c r="S78" s="298"/>
      <c r="T78" s="29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306"/>
      <c r="P79" s="303" t="s">
        <v>40</v>
      </c>
      <c r="Q79" s="304"/>
      <c r="R79" s="304"/>
      <c r="S79" s="304"/>
      <c r="T79" s="304"/>
      <c r="U79" s="304"/>
      <c r="V79" s="30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6"/>
      <c r="P80" s="303" t="s">
        <v>40</v>
      </c>
      <c r="Q80" s="304"/>
      <c r="R80" s="304"/>
      <c r="S80" s="304"/>
      <c r="T80" s="304"/>
      <c r="U80" s="304"/>
      <c r="V80" s="30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19" t="s">
        <v>164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customHeight="1" x14ac:dyDescent="0.25">
      <c r="A82" s="314" t="s">
        <v>149</v>
      </c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96">
        <v>4607111033659</v>
      </c>
      <c r="E83" s="29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8"/>
      <c r="R83" s="298"/>
      <c r="S83" s="298"/>
      <c r="T83" s="29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306"/>
      <c r="P84" s="303" t="s">
        <v>40</v>
      </c>
      <c r="Q84" s="304"/>
      <c r="R84" s="304"/>
      <c r="S84" s="304"/>
      <c r="T84" s="304"/>
      <c r="U84" s="304"/>
      <c r="V84" s="30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306"/>
      <c r="P85" s="303" t="s">
        <v>40</v>
      </c>
      <c r="Q85" s="304"/>
      <c r="R85" s="304"/>
      <c r="S85" s="304"/>
      <c r="T85" s="304"/>
      <c r="U85" s="304"/>
      <c r="V85" s="30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168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14" t="s">
        <v>169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96">
        <v>4607111034120</v>
      </c>
      <c r="E88" s="29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8"/>
      <c r="R88" s="298"/>
      <c r="S88" s="298"/>
      <c r="T88" s="29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96">
        <v>4607111034137</v>
      </c>
      <c r="E89" s="29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8"/>
      <c r="R89" s="298"/>
      <c r="S89" s="298"/>
      <c r="T89" s="29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6"/>
      <c r="P90" s="303" t="s">
        <v>40</v>
      </c>
      <c r="Q90" s="304"/>
      <c r="R90" s="304"/>
      <c r="S90" s="304"/>
      <c r="T90" s="304"/>
      <c r="U90" s="304"/>
      <c r="V90" s="30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6"/>
      <c r="P91" s="303" t="s">
        <v>40</v>
      </c>
      <c r="Q91" s="304"/>
      <c r="R91" s="304"/>
      <c r="S91" s="304"/>
      <c r="T91" s="304"/>
      <c r="U91" s="304"/>
      <c r="V91" s="30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19" t="s">
        <v>176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customHeight="1" x14ac:dyDescent="0.25">
      <c r="A93" s="314" t="s">
        <v>149</v>
      </c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96">
        <v>4620207491027</v>
      </c>
      <c r="E94" s="29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8"/>
      <c r="R94" s="298"/>
      <c r="S94" s="298"/>
      <c r="T94" s="29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179</v>
      </c>
      <c r="B95" s="63" t="s">
        <v>180</v>
      </c>
      <c r="C95" s="36">
        <v>4301135914</v>
      </c>
      <c r="D95" s="296">
        <v>4620207491621</v>
      </c>
      <c r="E95" s="29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8"/>
      <c r="R95" s="298"/>
      <c r="S95" s="298"/>
      <c r="T95" s="29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181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4301135990</v>
      </c>
      <c r="D96" s="296">
        <v>4620207491881</v>
      </c>
      <c r="E96" s="29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7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8"/>
      <c r="R96" s="298"/>
      <c r="S96" s="298"/>
      <c r="T96" s="29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181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4301135920</v>
      </c>
      <c r="D97" s="296">
        <v>4620207491577</v>
      </c>
      <c r="E97" s="29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7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8"/>
      <c r="R97" s="298"/>
      <c r="S97" s="298"/>
      <c r="T97" s="29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181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4301135984</v>
      </c>
      <c r="D98" s="296">
        <v>4620207491874</v>
      </c>
      <c r="E98" s="29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75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8"/>
      <c r="R98" s="298"/>
      <c r="S98" s="298"/>
      <c r="T98" s="29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181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296">
        <v>4607111036407</v>
      </c>
      <c r="E99" s="29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8"/>
      <c r="R99" s="298"/>
      <c r="S99" s="298"/>
      <c r="T99" s="29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306"/>
      <c r="P100" s="303" t="s">
        <v>40</v>
      </c>
      <c r="Q100" s="304"/>
      <c r="R100" s="304"/>
      <c r="S100" s="304"/>
      <c r="T100" s="304"/>
      <c r="U100" s="304"/>
      <c r="V100" s="30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306"/>
      <c r="P101" s="303" t="s">
        <v>40</v>
      </c>
      <c r="Q101" s="304"/>
      <c r="R101" s="304"/>
      <c r="S101" s="304"/>
      <c r="T101" s="304"/>
      <c r="U101" s="304"/>
      <c r="V101" s="305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19" t="s">
        <v>191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customHeight="1" x14ac:dyDescent="0.25">
      <c r="A103" s="314" t="s">
        <v>143</v>
      </c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66"/>
      <c r="AB103" s="66"/>
      <c r="AC103" s="83"/>
    </row>
    <row r="104" spans="1:68" ht="27" customHeight="1" x14ac:dyDescent="0.25">
      <c r="A104" s="63" t="s">
        <v>192</v>
      </c>
      <c r="B104" s="63" t="s">
        <v>193</v>
      </c>
      <c r="C104" s="36">
        <v>4301136101</v>
      </c>
      <c r="D104" s="296">
        <v>4620207491652</v>
      </c>
      <c r="E104" s="29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98"/>
      <c r="R104" s="298"/>
      <c r="S104" s="298"/>
      <c r="T104" s="29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4301136103</v>
      </c>
      <c r="D105" s="296">
        <v>4620207491645</v>
      </c>
      <c r="E105" s="29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86</v>
      </c>
      <c r="M105" s="38" t="s">
        <v>84</v>
      </c>
      <c r="N105" s="38"/>
      <c r="O105" s="37">
        <v>180</v>
      </c>
      <c r="P105" s="36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8"/>
      <c r="R105" s="298"/>
      <c r="S105" s="298"/>
      <c r="T105" s="29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194</v>
      </c>
      <c r="AG105" s="81"/>
      <c r="AJ105" s="87" t="s">
        <v>87</v>
      </c>
      <c r="AK105" s="87">
        <v>1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306"/>
      <c r="P106" s="303" t="s">
        <v>40</v>
      </c>
      <c r="Q106" s="304"/>
      <c r="R106" s="304"/>
      <c r="S106" s="304"/>
      <c r="T106" s="304"/>
      <c r="U106" s="304"/>
      <c r="V106" s="30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6"/>
      <c r="P107" s="303" t="s">
        <v>40</v>
      </c>
      <c r="Q107" s="304"/>
      <c r="R107" s="304"/>
      <c r="S107" s="304"/>
      <c r="T107" s="304"/>
      <c r="U107" s="304"/>
      <c r="V107" s="30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19" t="s">
        <v>197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customHeight="1" x14ac:dyDescent="0.25">
      <c r="A109" s="314" t="s">
        <v>80</v>
      </c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66"/>
      <c r="AB109" s="66"/>
      <c r="AC109" s="83"/>
    </row>
    <row r="110" spans="1:68" ht="27" customHeight="1" x14ac:dyDescent="0.25">
      <c r="A110" s="63" t="s">
        <v>198</v>
      </c>
      <c r="B110" s="63" t="s">
        <v>199</v>
      </c>
      <c r="C110" s="36">
        <v>4301071074</v>
      </c>
      <c r="D110" s="296">
        <v>4620207491157</v>
      </c>
      <c r="E110" s="29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8"/>
      <c r="R110" s="298"/>
      <c r="S110" s="298"/>
      <c r="T110" s="29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201</v>
      </c>
      <c r="B111" s="63" t="s">
        <v>202</v>
      </c>
      <c r="C111" s="36">
        <v>4301071121</v>
      </c>
      <c r="D111" s="296">
        <v>4620207491393</v>
      </c>
      <c r="E111" s="29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8"/>
      <c r="R111" s="298"/>
      <c r="S111" s="298"/>
      <c r="T111" s="29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4301071136</v>
      </c>
      <c r="D112" s="296">
        <v>4620207491829</v>
      </c>
      <c r="E112" s="296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6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8"/>
      <c r="R112" s="298"/>
      <c r="S112" s="298"/>
      <c r="T112" s="29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4301071051</v>
      </c>
      <c r="D113" s="296">
        <v>4607111039262</v>
      </c>
      <c r="E113" s="29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8"/>
      <c r="R113" s="298"/>
      <c r="S113" s="298"/>
      <c r="T113" s="29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4301071038</v>
      </c>
      <c r="D114" s="296">
        <v>4607111039248</v>
      </c>
      <c r="E114" s="29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8"/>
      <c r="R114" s="298"/>
      <c r="S114" s="298"/>
      <c r="T114" s="29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210</v>
      </c>
      <c r="B115" s="63" t="s">
        <v>211</v>
      </c>
      <c r="C115" s="36">
        <v>4301070979</v>
      </c>
      <c r="D115" s="296">
        <v>4607111037145</v>
      </c>
      <c r="E115" s="29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8"/>
      <c r="R115" s="298"/>
      <c r="S115" s="298"/>
      <c r="T115" s="29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213</v>
      </c>
      <c r="B116" s="63" t="s">
        <v>214</v>
      </c>
      <c r="C116" s="36">
        <v>4301071049</v>
      </c>
      <c r="D116" s="296">
        <v>4607111039293</v>
      </c>
      <c r="E116" s="29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8"/>
      <c r="R116" s="298"/>
      <c r="S116" s="298"/>
      <c r="T116" s="29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215</v>
      </c>
      <c r="B117" s="63" t="s">
        <v>216</v>
      </c>
      <c r="C117" s="36">
        <v>4301071039</v>
      </c>
      <c r="D117" s="296">
        <v>4607111039279</v>
      </c>
      <c r="E117" s="29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8"/>
      <c r="R117" s="298"/>
      <c r="S117" s="298"/>
      <c r="T117" s="29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306"/>
      <c r="P118" s="303" t="s">
        <v>40</v>
      </c>
      <c r="Q118" s="304"/>
      <c r="R118" s="304"/>
      <c r="S118" s="304"/>
      <c r="T118" s="304"/>
      <c r="U118" s="304"/>
      <c r="V118" s="305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306"/>
      <c r="P119" s="303" t="s">
        <v>40</v>
      </c>
      <c r="Q119" s="304"/>
      <c r="R119" s="304"/>
      <c r="S119" s="304"/>
      <c r="T119" s="304"/>
      <c r="U119" s="304"/>
      <c r="V119" s="305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14" t="s">
        <v>149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296">
        <v>4620207490983</v>
      </c>
      <c r="E121" s="29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8"/>
      <c r="R121" s="298"/>
      <c r="S121" s="298"/>
      <c r="T121" s="29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306"/>
      <c r="P122" s="303" t="s">
        <v>40</v>
      </c>
      <c r="Q122" s="304"/>
      <c r="R122" s="304"/>
      <c r="S122" s="304"/>
      <c r="T122" s="304"/>
      <c r="U122" s="304"/>
      <c r="V122" s="30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306"/>
      <c r="P123" s="303" t="s">
        <v>40</v>
      </c>
      <c r="Q123" s="304"/>
      <c r="R123" s="304"/>
      <c r="S123" s="304"/>
      <c r="T123" s="304"/>
      <c r="U123" s="304"/>
      <c r="V123" s="30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14" t="s">
        <v>220</v>
      </c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4301071094</v>
      </c>
      <c r="D125" s="296">
        <v>4620207491140</v>
      </c>
      <c r="E125" s="29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8"/>
      <c r="R125" s="298"/>
      <c r="S125" s="298"/>
      <c r="T125" s="29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306"/>
      <c r="P126" s="303" t="s">
        <v>40</v>
      </c>
      <c r="Q126" s="304"/>
      <c r="R126" s="304"/>
      <c r="S126" s="304"/>
      <c r="T126" s="304"/>
      <c r="U126" s="304"/>
      <c r="V126" s="30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6"/>
      <c r="P127" s="303" t="s">
        <v>40</v>
      </c>
      <c r="Q127" s="304"/>
      <c r="R127" s="304"/>
      <c r="S127" s="304"/>
      <c r="T127" s="304"/>
      <c r="U127" s="304"/>
      <c r="V127" s="30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19" t="s">
        <v>224</v>
      </c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65"/>
      <c r="AB128" s="65"/>
      <c r="AC128" s="82"/>
    </row>
    <row r="129" spans="1:68" ht="14.25" customHeight="1" x14ac:dyDescent="0.25">
      <c r="A129" s="314" t="s">
        <v>149</v>
      </c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66"/>
      <c r="AB129" s="66"/>
      <c r="AC129" s="83"/>
    </row>
    <row r="130" spans="1:68" ht="27" customHeight="1" x14ac:dyDescent="0.25">
      <c r="A130" s="63" t="s">
        <v>225</v>
      </c>
      <c r="B130" s="63" t="s">
        <v>226</v>
      </c>
      <c r="C130" s="36">
        <v>4301135848</v>
      </c>
      <c r="D130" s="296">
        <v>4620207491799</v>
      </c>
      <c r="E130" s="29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8"/>
      <c r="R130" s="298"/>
      <c r="S130" s="298"/>
      <c r="T130" s="29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296">
        <v>4620207491492</v>
      </c>
      <c r="E131" s="29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8"/>
      <c r="R131" s="298"/>
      <c r="S131" s="298"/>
      <c r="T131" s="29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296">
        <v>4620207491461</v>
      </c>
      <c r="E132" s="29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8"/>
      <c r="R132" s="298"/>
      <c r="S132" s="298"/>
      <c r="T132" s="29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296">
        <v>4620207491485</v>
      </c>
      <c r="E133" s="29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8"/>
      <c r="R133" s="298"/>
      <c r="S133" s="298"/>
      <c r="T133" s="29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6"/>
      <c r="P134" s="303" t="s">
        <v>40</v>
      </c>
      <c r="Q134" s="304"/>
      <c r="R134" s="304"/>
      <c r="S134" s="304"/>
      <c r="T134" s="304"/>
      <c r="U134" s="304"/>
      <c r="V134" s="305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306"/>
      <c r="P135" s="303" t="s">
        <v>40</v>
      </c>
      <c r="Q135" s="304"/>
      <c r="R135" s="304"/>
      <c r="S135" s="304"/>
      <c r="T135" s="304"/>
      <c r="U135" s="304"/>
      <c r="V135" s="305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14" t="s">
        <v>234</v>
      </c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66"/>
      <c r="AB136" s="66"/>
      <c r="AC136" s="83"/>
    </row>
    <row r="137" spans="1:68" ht="27" customHeight="1" x14ac:dyDescent="0.25">
      <c r="A137" s="63" t="s">
        <v>235</v>
      </c>
      <c r="B137" s="63" t="s">
        <v>236</v>
      </c>
      <c r="C137" s="36">
        <v>4301190117</v>
      </c>
      <c r="D137" s="296">
        <v>4620207491386</v>
      </c>
      <c r="E137" s="29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8"/>
      <c r="R137" s="298"/>
      <c r="S137" s="298"/>
      <c r="T137" s="29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238</v>
      </c>
      <c r="B138" s="63" t="s">
        <v>239</v>
      </c>
      <c r="C138" s="36">
        <v>4301190115</v>
      </c>
      <c r="D138" s="296">
        <v>4620207491362</v>
      </c>
      <c r="E138" s="29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8"/>
      <c r="R138" s="298"/>
      <c r="S138" s="298"/>
      <c r="T138" s="29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240</v>
      </c>
      <c r="B139" s="63" t="s">
        <v>241</v>
      </c>
      <c r="C139" s="36">
        <v>4301190116</v>
      </c>
      <c r="D139" s="296">
        <v>4620207491379</v>
      </c>
      <c r="E139" s="29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8"/>
      <c r="R139" s="298"/>
      <c r="S139" s="298"/>
      <c r="T139" s="29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6"/>
      <c r="P140" s="303" t="s">
        <v>40</v>
      </c>
      <c r="Q140" s="304"/>
      <c r="R140" s="304"/>
      <c r="S140" s="304"/>
      <c r="T140" s="304"/>
      <c r="U140" s="304"/>
      <c r="V140" s="30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306"/>
      <c r="P141" s="303" t="s">
        <v>40</v>
      </c>
      <c r="Q141" s="304"/>
      <c r="R141" s="304"/>
      <c r="S141" s="304"/>
      <c r="T141" s="304"/>
      <c r="U141" s="304"/>
      <c r="V141" s="30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19" t="s">
        <v>242</v>
      </c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65"/>
      <c r="AB142" s="65"/>
      <c r="AC142" s="82"/>
    </row>
    <row r="143" spans="1:68" ht="14.25" customHeight="1" x14ac:dyDescent="0.25">
      <c r="A143" s="314" t="s">
        <v>149</v>
      </c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296">
        <v>4607111034014</v>
      </c>
      <c r="E144" s="29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8"/>
      <c r="R144" s="298"/>
      <c r="S144" s="298"/>
      <c r="T144" s="29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296">
        <v>4607111033994</v>
      </c>
      <c r="E145" s="29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8"/>
      <c r="R145" s="298"/>
      <c r="S145" s="298"/>
      <c r="T145" s="29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6"/>
      <c r="P146" s="303" t="s">
        <v>40</v>
      </c>
      <c r="Q146" s="304"/>
      <c r="R146" s="304"/>
      <c r="S146" s="304"/>
      <c r="T146" s="304"/>
      <c r="U146" s="304"/>
      <c r="V146" s="30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06"/>
      <c r="P147" s="303" t="s">
        <v>40</v>
      </c>
      <c r="Q147" s="304"/>
      <c r="R147" s="304"/>
      <c r="S147" s="304"/>
      <c r="T147" s="304"/>
      <c r="U147" s="304"/>
      <c r="V147" s="30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19" t="s">
        <v>248</v>
      </c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65"/>
      <c r="AB148" s="65"/>
      <c r="AC148" s="82"/>
    </row>
    <row r="149" spans="1:68" ht="14.25" customHeight="1" x14ac:dyDescent="0.25">
      <c r="A149" s="314" t="s">
        <v>149</v>
      </c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296">
        <v>4607111039095</v>
      </c>
      <c r="E150" s="29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8"/>
      <c r="R150" s="298"/>
      <c r="S150" s="298"/>
      <c r="T150" s="29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296">
        <v>4620207491553</v>
      </c>
      <c r="E151" s="29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34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8"/>
      <c r="R151" s="298"/>
      <c r="S151" s="298"/>
      <c r="T151" s="29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6"/>
      <c r="P152" s="303" t="s">
        <v>40</v>
      </c>
      <c r="Q152" s="304"/>
      <c r="R152" s="304"/>
      <c r="S152" s="304"/>
      <c r="T152" s="304"/>
      <c r="U152" s="304"/>
      <c r="V152" s="305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06"/>
      <c r="P153" s="303" t="s">
        <v>40</v>
      </c>
      <c r="Q153" s="304"/>
      <c r="R153" s="304"/>
      <c r="S153" s="304"/>
      <c r="T153" s="304"/>
      <c r="U153" s="304"/>
      <c r="V153" s="305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19" t="s">
        <v>255</v>
      </c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65"/>
      <c r="AB154" s="65"/>
      <c r="AC154" s="82"/>
    </row>
    <row r="155" spans="1:68" ht="14.25" customHeight="1" x14ac:dyDescent="0.25">
      <c r="A155" s="314" t="s">
        <v>149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296">
        <v>4620207490914</v>
      </c>
      <c r="E156" s="29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8"/>
      <c r="R156" s="298"/>
      <c r="S156" s="298"/>
      <c r="T156" s="29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296">
        <v>4620207490853</v>
      </c>
      <c r="E157" s="29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8"/>
      <c r="R157" s="298"/>
      <c r="S157" s="298"/>
      <c r="T157" s="29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06"/>
      <c r="P158" s="303" t="s">
        <v>40</v>
      </c>
      <c r="Q158" s="304"/>
      <c r="R158" s="304"/>
      <c r="S158" s="304"/>
      <c r="T158" s="304"/>
      <c r="U158" s="304"/>
      <c r="V158" s="305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06"/>
      <c r="P159" s="303" t="s">
        <v>40</v>
      </c>
      <c r="Q159" s="304"/>
      <c r="R159" s="304"/>
      <c r="S159" s="304"/>
      <c r="T159" s="304"/>
      <c r="U159" s="304"/>
      <c r="V159" s="305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19" t="s">
        <v>260</v>
      </c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65"/>
      <c r="AB160" s="65"/>
      <c r="AC160" s="82"/>
    </row>
    <row r="161" spans="1:68" ht="14.25" customHeight="1" x14ac:dyDescent="0.25">
      <c r="A161" s="314" t="s">
        <v>149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6"/>
      <c r="AB161" s="66"/>
      <c r="AC161" s="83"/>
    </row>
    <row r="162" spans="1:68" ht="27" customHeight="1" x14ac:dyDescent="0.25">
      <c r="A162" s="63" t="s">
        <v>261</v>
      </c>
      <c r="B162" s="63" t="s">
        <v>262</v>
      </c>
      <c r="C162" s="36">
        <v>4301135940</v>
      </c>
      <c r="D162" s="296">
        <v>4620207491614</v>
      </c>
      <c r="E162" s="29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86</v>
      </c>
      <c r="M162" s="38" t="s">
        <v>84</v>
      </c>
      <c r="N162" s="38"/>
      <c r="O162" s="37">
        <v>180</v>
      </c>
      <c r="P162" s="34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8"/>
      <c r="R162" s="298"/>
      <c r="S162" s="298"/>
      <c r="T162" s="29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263</v>
      </c>
      <c r="AG162" s="81"/>
      <c r="AJ162" s="87" t="s">
        <v>87</v>
      </c>
      <c r="AK162" s="87">
        <v>1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06"/>
      <c r="P163" s="303" t="s">
        <v>40</v>
      </c>
      <c r="Q163" s="304"/>
      <c r="R163" s="304"/>
      <c r="S163" s="304"/>
      <c r="T163" s="304"/>
      <c r="U163" s="304"/>
      <c r="V163" s="30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306"/>
      <c r="P164" s="303" t="s">
        <v>40</v>
      </c>
      <c r="Q164" s="304"/>
      <c r="R164" s="304"/>
      <c r="S164" s="304"/>
      <c r="T164" s="304"/>
      <c r="U164" s="304"/>
      <c r="V164" s="30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9" t="s">
        <v>264</v>
      </c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65"/>
      <c r="AB165" s="65"/>
      <c r="AC165" s="82"/>
    </row>
    <row r="166" spans="1:68" ht="14.25" customHeight="1" x14ac:dyDescent="0.25">
      <c r="A166" s="314" t="s">
        <v>149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296">
        <v>4607111039613</v>
      </c>
      <c r="E167" s="29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8"/>
      <c r="R167" s="298"/>
      <c r="S167" s="298"/>
      <c r="T167" s="29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306"/>
      <c r="P168" s="303" t="s">
        <v>40</v>
      </c>
      <c r="Q168" s="304"/>
      <c r="R168" s="304"/>
      <c r="S168" s="304"/>
      <c r="T168" s="304"/>
      <c r="U168" s="304"/>
      <c r="V168" s="30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306"/>
      <c r="P169" s="303" t="s">
        <v>40</v>
      </c>
      <c r="Q169" s="304"/>
      <c r="R169" s="304"/>
      <c r="S169" s="304"/>
      <c r="T169" s="304"/>
      <c r="U169" s="304"/>
      <c r="V169" s="30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19" t="s">
        <v>267</v>
      </c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65"/>
      <c r="AB170" s="65"/>
      <c r="AC170" s="82"/>
    </row>
    <row r="171" spans="1:68" ht="14.25" customHeight="1" x14ac:dyDescent="0.25">
      <c r="A171" s="314" t="s">
        <v>149</v>
      </c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4301135591</v>
      </c>
      <c r="D172" s="296">
        <v>4607111036568</v>
      </c>
      <c r="E172" s="29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117</v>
      </c>
      <c r="M172" s="38" t="s">
        <v>84</v>
      </c>
      <c r="N172" s="38"/>
      <c r="O172" s="37">
        <v>180</v>
      </c>
      <c r="P172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8"/>
      <c r="R172" s="298"/>
      <c r="S172" s="298"/>
      <c r="T172" s="29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270</v>
      </c>
      <c r="AG172" s="81"/>
      <c r="AJ172" s="87" t="s">
        <v>118</v>
      </c>
      <c r="AK172" s="87">
        <v>14</v>
      </c>
      <c r="BB172" s="214" t="s">
        <v>115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6"/>
      <c r="P173" s="303" t="s">
        <v>40</v>
      </c>
      <c r="Q173" s="304"/>
      <c r="R173" s="304"/>
      <c r="S173" s="304"/>
      <c r="T173" s="304"/>
      <c r="U173" s="304"/>
      <c r="V173" s="305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306"/>
      <c r="P174" s="303" t="s">
        <v>40</v>
      </c>
      <c r="Q174" s="304"/>
      <c r="R174" s="304"/>
      <c r="S174" s="304"/>
      <c r="T174" s="304"/>
      <c r="U174" s="304"/>
      <c r="V174" s="305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18" t="s">
        <v>271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54"/>
      <c r="AB175" s="54"/>
      <c r="AC175" s="54"/>
    </row>
    <row r="176" spans="1:68" ht="16.5" customHeight="1" x14ac:dyDescent="0.25">
      <c r="A176" s="319" t="s">
        <v>272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65"/>
      <c r="AB176" s="65"/>
      <c r="AC176" s="82"/>
    </row>
    <row r="177" spans="1:68" ht="14.25" customHeight="1" x14ac:dyDescent="0.25">
      <c r="A177" s="314" t="s">
        <v>80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66"/>
      <c r="AB177" s="66"/>
      <c r="AC177" s="83"/>
    </row>
    <row r="178" spans="1:68" ht="16.5" customHeight="1" x14ac:dyDescent="0.25">
      <c r="A178" s="63" t="s">
        <v>273</v>
      </c>
      <c r="B178" s="63" t="s">
        <v>274</v>
      </c>
      <c r="C178" s="36">
        <v>4301071062</v>
      </c>
      <c r="D178" s="296">
        <v>4607111036384</v>
      </c>
      <c r="E178" s="29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8"/>
      <c r="R178" s="298"/>
      <c r="S178" s="298"/>
      <c r="T178" s="29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276</v>
      </c>
      <c r="B179" s="63" t="s">
        <v>277</v>
      </c>
      <c r="C179" s="36">
        <v>4301071050</v>
      </c>
      <c r="D179" s="296">
        <v>4607111036216</v>
      </c>
      <c r="E179" s="29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8"/>
      <c r="R179" s="298"/>
      <c r="S179" s="298"/>
      <c r="T179" s="29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306"/>
      <c r="P180" s="303" t="s">
        <v>40</v>
      </c>
      <c r="Q180" s="304"/>
      <c r="R180" s="304"/>
      <c r="S180" s="304"/>
      <c r="T180" s="304"/>
      <c r="U180" s="304"/>
      <c r="V180" s="30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306"/>
      <c r="P181" s="303" t="s">
        <v>40</v>
      </c>
      <c r="Q181" s="304"/>
      <c r="R181" s="304"/>
      <c r="S181" s="304"/>
      <c r="T181" s="304"/>
      <c r="U181" s="304"/>
      <c r="V181" s="30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19" t="s">
        <v>279</v>
      </c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65"/>
      <c r="AB182" s="65"/>
      <c r="AC182" s="82"/>
    </row>
    <row r="183" spans="1:68" ht="14.25" customHeight="1" x14ac:dyDescent="0.25">
      <c r="A183" s="314" t="s">
        <v>80</v>
      </c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66"/>
      <c r="AB183" s="66"/>
      <c r="AC183" s="83"/>
    </row>
    <row r="184" spans="1:68" ht="27" customHeight="1" x14ac:dyDescent="0.25">
      <c r="A184" s="63" t="s">
        <v>280</v>
      </c>
      <c r="B184" s="63" t="s">
        <v>281</v>
      </c>
      <c r="C184" s="36">
        <v>4301071117</v>
      </c>
      <c r="D184" s="296">
        <v>4620207491737</v>
      </c>
      <c r="E184" s="29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8"/>
      <c r="R184" s="298"/>
      <c r="S184" s="298"/>
      <c r="T184" s="29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306"/>
      <c r="P185" s="303" t="s">
        <v>40</v>
      </c>
      <c r="Q185" s="304"/>
      <c r="R185" s="304"/>
      <c r="S185" s="304"/>
      <c r="T185" s="304"/>
      <c r="U185" s="304"/>
      <c r="V185" s="30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306"/>
      <c r="P186" s="303" t="s">
        <v>40</v>
      </c>
      <c r="Q186" s="304"/>
      <c r="R186" s="304"/>
      <c r="S186" s="304"/>
      <c r="T186" s="304"/>
      <c r="U186" s="304"/>
      <c r="V186" s="30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18" t="s">
        <v>282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54"/>
      <c r="AB187" s="54"/>
      <c r="AC187" s="54"/>
    </row>
    <row r="188" spans="1:68" ht="16.5" customHeight="1" x14ac:dyDescent="0.25">
      <c r="A188" s="319" t="s">
        <v>283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65"/>
      <c r="AB188" s="65"/>
      <c r="AC188" s="82"/>
    </row>
    <row r="189" spans="1:68" ht="14.25" customHeight="1" x14ac:dyDescent="0.25">
      <c r="A189" s="314" t="s">
        <v>111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296">
        <v>4607111035691</v>
      </c>
      <c r="E190" s="29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8"/>
      <c r="R190" s="298"/>
      <c r="S190" s="298"/>
      <c r="T190" s="29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296">
        <v>4607111035721</v>
      </c>
      <c r="E191" s="29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8"/>
      <c r="R191" s="298"/>
      <c r="S191" s="298"/>
      <c r="T191" s="29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290</v>
      </c>
      <c r="B192" s="63" t="s">
        <v>291</v>
      </c>
      <c r="C192" s="36">
        <v>4301132170</v>
      </c>
      <c r="D192" s="296">
        <v>4607111038487</v>
      </c>
      <c r="E192" s="29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8"/>
      <c r="R192" s="298"/>
      <c r="S192" s="298"/>
      <c r="T192" s="29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296">
        <v>4620207491195</v>
      </c>
      <c r="E193" s="29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3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8"/>
      <c r="R193" s="298"/>
      <c r="S193" s="298"/>
      <c r="T193" s="29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306"/>
      <c r="P194" s="303" t="s">
        <v>40</v>
      </c>
      <c r="Q194" s="304"/>
      <c r="R194" s="304"/>
      <c r="S194" s="304"/>
      <c r="T194" s="304"/>
      <c r="U194" s="304"/>
      <c r="V194" s="305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306"/>
      <c r="P195" s="303" t="s">
        <v>40</v>
      </c>
      <c r="Q195" s="304"/>
      <c r="R195" s="304"/>
      <c r="S195" s="304"/>
      <c r="T195" s="304"/>
      <c r="U195" s="304"/>
      <c r="V195" s="305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18" t="s">
        <v>296</v>
      </c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54"/>
      <c r="AB196" s="54"/>
      <c r="AC196" s="54"/>
    </row>
    <row r="197" spans="1:68" ht="16.5" customHeight="1" x14ac:dyDescent="0.25">
      <c r="A197" s="319" t="s">
        <v>297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65"/>
      <c r="AB197" s="65"/>
      <c r="AC197" s="82"/>
    </row>
    <row r="198" spans="1:68" ht="14.25" customHeight="1" x14ac:dyDescent="0.25">
      <c r="A198" s="314" t="s">
        <v>111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66"/>
      <c r="AB198" s="66"/>
      <c r="AC198" s="83"/>
    </row>
    <row r="199" spans="1:68" ht="27" customHeight="1" x14ac:dyDescent="0.25">
      <c r="A199" s="63" t="s">
        <v>298</v>
      </c>
      <c r="B199" s="63" t="s">
        <v>299</v>
      </c>
      <c r="C199" s="36">
        <v>4301132227</v>
      </c>
      <c r="D199" s="296">
        <v>4620207491133</v>
      </c>
      <c r="E199" s="29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8"/>
      <c r="R199" s="298"/>
      <c r="S199" s="298"/>
      <c r="T199" s="29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306"/>
      <c r="P200" s="303" t="s">
        <v>40</v>
      </c>
      <c r="Q200" s="304"/>
      <c r="R200" s="304"/>
      <c r="S200" s="304"/>
      <c r="T200" s="304"/>
      <c r="U200" s="304"/>
      <c r="V200" s="30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306"/>
      <c r="P201" s="303" t="s">
        <v>40</v>
      </c>
      <c r="Q201" s="304"/>
      <c r="R201" s="304"/>
      <c r="S201" s="304"/>
      <c r="T201" s="304"/>
      <c r="U201" s="304"/>
      <c r="V201" s="30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14" t="s">
        <v>149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6"/>
      <c r="AB202" s="66"/>
      <c r="AC202" s="83"/>
    </row>
    <row r="203" spans="1:68" ht="27" customHeight="1" x14ac:dyDescent="0.25">
      <c r="A203" s="63" t="s">
        <v>301</v>
      </c>
      <c r="B203" s="63" t="s">
        <v>302</v>
      </c>
      <c r="C203" s="36">
        <v>4301135834</v>
      </c>
      <c r="D203" s="296">
        <v>4620207491188</v>
      </c>
      <c r="E203" s="29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3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8"/>
      <c r="R203" s="298"/>
      <c r="S203" s="298"/>
      <c r="T203" s="29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304</v>
      </c>
      <c r="B204" s="63" t="s">
        <v>305</v>
      </c>
      <c r="C204" s="36">
        <v>4301135696</v>
      </c>
      <c r="D204" s="296">
        <v>4620207490235</v>
      </c>
      <c r="E204" s="29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8"/>
      <c r="R204" s="298"/>
      <c r="S204" s="298"/>
      <c r="T204" s="29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307</v>
      </c>
      <c r="B205" s="63" t="s">
        <v>308</v>
      </c>
      <c r="C205" s="36">
        <v>4301135697</v>
      </c>
      <c r="D205" s="296">
        <v>4620207490259</v>
      </c>
      <c r="E205" s="29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8"/>
      <c r="R205" s="298"/>
      <c r="S205" s="298"/>
      <c r="T205" s="29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306"/>
      <c r="P206" s="303" t="s">
        <v>40</v>
      </c>
      <c r="Q206" s="304"/>
      <c r="R206" s="304"/>
      <c r="S206" s="304"/>
      <c r="T206" s="304"/>
      <c r="U206" s="304"/>
      <c r="V206" s="30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306"/>
      <c r="P207" s="303" t="s">
        <v>40</v>
      </c>
      <c r="Q207" s="304"/>
      <c r="R207" s="304"/>
      <c r="S207" s="304"/>
      <c r="T207" s="304"/>
      <c r="U207" s="304"/>
      <c r="V207" s="30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19" t="s">
        <v>310</v>
      </c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65"/>
      <c r="AB208" s="65"/>
      <c r="AC208" s="82"/>
    </row>
    <row r="209" spans="1:68" ht="14.25" customHeight="1" x14ac:dyDescent="0.25">
      <c r="A209" s="314" t="s">
        <v>149</v>
      </c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66"/>
      <c r="AB209" s="66"/>
      <c r="AC209" s="83"/>
    </row>
    <row r="210" spans="1:68" ht="27" customHeight="1" x14ac:dyDescent="0.25">
      <c r="A210" s="63" t="s">
        <v>311</v>
      </c>
      <c r="B210" s="63" t="s">
        <v>312</v>
      </c>
      <c r="C210" s="36">
        <v>4301135854</v>
      </c>
      <c r="D210" s="296">
        <v>4620207491706</v>
      </c>
      <c r="E210" s="29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8"/>
      <c r="R210" s="298"/>
      <c r="S210" s="298"/>
      <c r="T210" s="29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4301135895</v>
      </c>
      <c r="D211" s="296">
        <v>4620207491522</v>
      </c>
      <c r="E211" s="29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8"/>
      <c r="R211" s="298"/>
      <c r="S211" s="298"/>
      <c r="T211" s="29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306"/>
      <c r="P212" s="303" t="s">
        <v>40</v>
      </c>
      <c r="Q212" s="304"/>
      <c r="R212" s="304"/>
      <c r="S212" s="304"/>
      <c r="T212" s="304"/>
      <c r="U212" s="304"/>
      <c r="V212" s="30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306"/>
      <c r="P213" s="303" t="s">
        <v>40</v>
      </c>
      <c r="Q213" s="304"/>
      <c r="R213" s="304"/>
      <c r="S213" s="304"/>
      <c r="T213" s="304"/>
      <c r="U213" s="304"/>
      <c r="V213" s="30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19" t="s">
        <v>317</v>
      </c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65"/>
      <c r="AB214" s="65"/>
      <c r="AC214" s="82"/>
    </row>
    <row r="215" spans="1:68" ht="14.25" customHeight="1" x14ac:dyDescent="0.25">
      <c r="A215" s="314" t="s">
        <v>80</v>
      </c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66"/>
      <c r="AB215" s="66"/>
      <c r="AC215" s="83"/>
    </row>
    <row r="216" spans="1:68" ht="27" customHeight="1" x14ac:dyDescent="0.25">
      <c r="A216" s="63" t="s">
        <v>318</v>
      </c>
      <c r="B216" s="63" t="s">
        <v>319</v>
      </c>
      <c r="C216" s="36">
        <v>4301071097</v>
      </c>
      <c r="D216" s="296">
        <v>4620207491096</v>
      </c>
      <c r="E216" s="29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8"/>
      <c r="R216" s="298"/>
      <c r="S216" s="298"/>
      <c r="T216" s="29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306"/>
      <c r="P217" s="303" t="s">
        <v>40</v>
      </c>
      <c r="Q217" s="304"/>
      <c r="R217" s="304"/>
      <c r="S217" s="304"/>
      <c r="T217" s="304"/>
      <c r="U217" s="304"/>
      <c r="V217" s="30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306"/>
      <c r="P218" s="303" t="s">
        <v>40</v>
      </c>
      <c r="Q218" s="304"/>
      <c r="R218" s="304"/>
      <c r="S218" s="304"/>
      <c r="T218" s="304"/>
      <c r="U218" s="304"/>
      <c r="V218" s="30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19" t="s">
        <v>321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customHeight="1" x14ac:dyDescent="0.25">
      <c r="A220" s="314" t="s">
        <v>149</v>
      </c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296">
        <v>4620207490501</v>
      </c>
      <c r="E221" s="29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8"/>
      <c r="R221" s="298"/>
      <c r="S221" s="298"/>
      <c r="T221" s="29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306"/>
      <c r="P222" s="303" t="s">
        <v>40</v>
      </c>
      <c r="Q222" s="304"/>
      <c r="R222" s="304"/>
      <c r="S222" s="304"/>
      <c r="T222" s="304"/>
      <c r="U222" s="304"/>
      <c r="V222" s="305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306"/>
      <c r="P223" s="303" t="s">
        <v>40</v>
      </c>
      <c r="Q223" s="304"/>
      <c r="R223" s="304"/>
      <c r="S223" s="304"/>
      <c r="T223" s="304"/>
      <c r="U223" s="304"/>
      <c r="V223" s="305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18" t="s">
        <v>325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customHeight="1" x14ac:dyDescent="0.25">
      <c r="A225" s="319" t="s">
        <v>326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customHeight="1" x14ac:dyDescent="0.25">
      <c r="A226" s="314" t="s">
        <v>80</v>
      </c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66"/>
      <c r="AB226" s="66"/>
      <c r="AC226" s="83"/>
    </row>
    <row r="227" spans="1:68" ht="27" customHeight="1" x14ac:dyDescent="0.25">
      <c r="A227" s="63" t="s">
        <v>327</v>
      </c>
      <c r="B227" s="63" t="s">
        <v>328</v>
      </c>
      <c r="C227" s="36">
        <v>4301071036</v>
      </c>
      <c r="D227" s="296">
        <v>4607111036162</v>
      </c>
      <c r="E227" s="29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8"/>
      <c r="R227" s="298"/>
      <c r="S227" s="298"/>
      <c r="T227" s="29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306"/>
      <c r="P228" s="303" t="s">
        <v>40</v>
      </c>
      <c r="Q228" s="304"/>
      <c r="R228" s="304"/>
      <c r="S228" s="304"/>
      <c r="T228" s="304"/>
      <c r="U228" s="304"/>
      <c r="V228" s="30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306"/>
      <c r="P229" s="303" t="s">
        <v>40</v>
      </c>
      <c r="Q229" s="304"/>
      <c r="R229" s="304"/>
      <c r="S229" s="304"/>
      <c r="T229" s="304"/>
      <c r="U229" s="304"/>
      <c r="V229" s="30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18" t="s">
        <v>330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customHeight="1" x14ac:dyDescent="0.25">
      <c r="A231" s="319" t="s">
        <v>331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customHeight="1" x14ac:dyDescent="0.25">
      <c r="A232" s="314" t="s">
        <v>332</v>
      </c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66"/>
      <c r="AB232" s="66"/>
      <c r="AC232" s="83"/>
    </row>
    <row r="233" spans="1:68" ht="27" customHeight="1" x14ac:dyDescent="0.25">
      <c r="A233" s="63" t="s">
        <v>333</v>
      </c>
      <c r="B233" s="63" t="s">
        <v>334</v>
      </c>
      <c r="C233" s="36">
        <v>4301133004</v>
      </c>
      <c r="D233" s="296">
        <v>4607111039774</v>
      </c>
      <c r="E233" s="29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8"/>
      <c r="R233" s="298"/>
      <c r="S233" s="298"/>
      <c r="T233" s="29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306"/>
      <c r="P234" s="303" t="s">
        <v>40</v>
      </c>
      <c r="Q234" s="304"/>
      <c r="R234" s="304"/>
      <c r="S234" s="304"/>
      <c r="T234" s="304"/>
      <c r="U234" s="304"/>
      <c r="V234" s="30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6"/>
      <c r="P235" s="303" t="s">
        <v>40</v>
      </c>
      <c r="Q235" s="304"/>
      <c r="R235" s="304"/>
      <c r="S235" s="304"/>
      <c r="T235" s="304"/>
      <c r="U235" s="304"/>
      <c r="V235" s="30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14" t="s">
        <v>149</v>
      </c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66"/>
      <c r="AB236" s="66"/>
      <c r="AC236" s="83"/>
    </row>
    <row r="237" spans="1:68" ht="37.5" customHeight="1" x14ac:dyDescent="0.25">
      <c r="A237" s="63" t="s">
        <v>336</v>
      </c>
      <c r="B237" s="63" t="s">
        <v>337</v>
      </c>
      <c r="C237" s="36">
        <v>4301135400</v>
      </c>
      <c r="D237" s="296">
        <v>4607111039361</v>
      </c>
      <c r="E237" s="29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8"/>
      <c r="R237" s="298"/>
      <c r="S237" s="298"/>
      <c r="T237" s="29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306"/>
      <c r="P238" s="303" t="s">
        <v>40</v>
      </c>
      <c r="Q238" s="304"/>
      <c r="R238" s="304"/>
      <c r="S238" s="304"/>
      <c r="T238" s="304"/>
      <c r="U238" s="304"/>
      <c r="V238" s="30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306"/>
      <c r="P239" s="303" t="s">
        <v>40</v>
      </c>
      <c r="Q239" s="304"/>
      <c r="R239" s="304"/>
      <c r="S239" s="304"/>
      <c r="T239" s="304"/>
      <c r="U239" s="304"/>
      <c r="V239" s="30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18" t="s">
        <v>338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customHeight="1" x14ac:dyDescent="0.25">
      <c r="A241" s="319" t="s">
        <v>338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customHeight="1" x14ac:dyDescent="0.25">
      <c r="A242" s="314" t="s">
        <v>111</v>
      </c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66"/>
      <c r="AB242" s="66"/>
      <c r="AC242" s="83"/>
    </row>
    <row r="243" spans="1:68" ht="27" customHeight="1" x14ac:dyDescent="0.25">
      <c r="A243" s="63" t="s">
        <v>339</v>
      </c>
      <c r="B243" s="63" t="s">
        <v>340</v>
      </c>
      <c r="C243" s="36">
        <v>4301132228</v>
      </c>
      <c r="D243" s="296">
        <v>4640242181950</v>
      </c>
      <c r="E243" s="29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8"/>
      <c r="R243" s="298"/>
      <c r="S243" s="298"/>
      <c r="T243" s="29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306"/>
      <c r="P244" s="303" t="s">
        <v>40</v>
      </c>
      <c r="Q244" s="304"/>
      <c r="R244" s="304"/>
      <c r="S244" s="304"/>
      <c r="T244" s="304"/>
      <c r="U244" s="304"/>
      <c r="V244" s="30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6"/>
      <c r="P245" s="303" t="s">
        <v>40</v>
      </c>
      <c r="Q245" s="304"/>
      <c r="R245" s="304"/>
      <c r="S245" s="304"/>
      <c r="T245" s="304"/>
      <c r="U245" s="304"/>
      <c r="V245" s="30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4" t="s">
        <v>143</v>
      </c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66"/>
      <c r="AB246" s="66"/>
      <c r="AC246" s="83"/>
    </row>
    <row r="247" spans="1:68" ht="27" customHeight="1" x14ac:dyDescent="0.25">
      <c r="A247" s="63" t="s">
        <v>342</v>
      </c>
      <c r="B247" s="63" t="s">
        <v>343</v>
      </c>
      <c r="C247" s="36">
        <v>4301136098</v>
      </c>
      <c r="D247" s="296">
        <v>4640242181943</v>
      </c>
      <c r="E247" s="29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8"/>
      <c r="R247" s="298"/>
      <c r="S247" s="298"/>
      <c r="T247" s="29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344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306"/>
      <c r="P248" s="303" t="s">
        <v>40</v>
      </c>
      <c r="Q248" s="304"/>
      <c r="R248" s="304"/>
      <c r="S248" s="304"/>
      <c r="T248" s="304"/>
      <c r="U248" s="304"/>
      <c r="V248" s="30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306"/>
      <c r="P249" s="303" t="s">
        <v>40</v>
      </c>
      <c r="Q249" s="304"/>
      <c r="R249" s="304"/>
      <c r="S249" s="304"/>
      <c r="T249" s="304"/>
      <c r="U249" s="304"/>
      <c r="V249" s="30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18" t="s">
        <v>345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customHeight="1" x14ac:dyDescent="0.25">
      <c r="A251" s="319" t="s">
        <v>345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customHeight="1" x14ac:dyDescent="0.25">
      <c r="A252" s="314" t="s">
        <v>80</v>
      </c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66"/>
      <c r="AB252" s="66"/>
      <c r="AC252" s="83"/>
    </row>
    <row r="253" spans="1:68" ht="27" customHeight="1" x14ac:dyDescent="0.25">
      <c r="A253" s="63" t="s">
        <v>346</v>
      </c>
      <c r="B253" s="63" t="s">
        <v>347</v>
      </c>
      <c r="C253" s="36">
        <v>4301071014</v>
      </c>
      <c r="D253" s="296">
        <v>4640242181264</v>
      </c>
      <c r="E253" s="29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8"/>
      <c r="R253" s="298"/>
      <c r="S253" s="298"/>
      <c r="T253" s="29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348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349</v>
      </c>
      <c r="B254" s="63" t="s">
        <v>350</v>
      </c>
      <c r="C254" s="36">
        <v>4301071141</v>
      </c>
      <c r="D254" s="296">
        <v>4620207491980</v>
      </c>
      <c r="E254" s="29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86</v>
      </c>
      <c r="M254" s="38" t="s">
        <v>84</v>
      </c>
      <c r="N254" s="38"/>
      <c r="O254" s="37">
        <v>180</v>
      </c>
      <c r="P254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8"/>
      <c r="R254" s="298"/>
      <c r="S254" s="298"/>
      <c r="T254" s="29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351</v>
      </c>
      <c r="AG254" s="81"/>
      <c r="AJ254" s="87" t="s">
        <v>87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306"/>
      <c r="P255" s="303" t="s">
        <v>40</v>
      </c>
      <c r="Q255" s="304"/>
      <c r="R255" s="304"/>
      <c r="S255" s="304"/>
      <c r="T255" s="304"/>
      <c r="U255" s="304"/>
      <c r="V255" s="305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306"/>
      <c r="P256" s="303" t="s">
        <v>40</v>
      </c>
      <c r="Q256" s="304"/>
      <c r="R256" s="304"/>
      <c r="S256" s="304"/>
      <c r="T256" s="304"/>
      <c r="U256" s="304"/>
      <c r="V256" s="305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14" t="s">
        <v>111</v>
      </c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66"/>
      <c r="AB257" s="66"/>
      <c r="AC257" s="83"/>
    </row>
    <row r="258" spans="1:68" ht="27" customHeight="1" x14ac:dyDescent="0.25">
      <c r="A258" s="63" t="s">
        <v>352</v>
      </c>
      <c r="B258" s="63" t="s">
        <v>353</v>
      </c>
      <c r="C258" s="36">
        <v>4301132080</v>
      </c>
      <c r="D258" s="296">
        <v>4640242180397</v>
      </c>
      <c r="E258" s="296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8"/>
      <c r="R258" s="298"/>
      <c r="S258" s="298"/>
      <c r="T258" s="29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6"/>
      <c r="P259" s="303" t="s">
        <v>40</v>
      </c>
      <c r="Q259" s="304"/>
      <c r="R259" s="304"/>
      <c r="S259" s="304"/>
      <c r="T259" s="304"/>
      <c r="U259" s="304"/>
      <c r="V259" s="30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306"/>
      <c r="P260" s="303" t="s">
        <v>40</v>
      </c>
      <c r="Q260" s="304"/>
      <c r="R260" s="304"/>
      <c r="S260" s="304"/>
      <c r="T260" s="304"/>
      <c r="U260" s="304"/>
      <c r="V260" s="30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14" t="s">
        <v>143</v>
      </c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66"/>
      <c r="AB261" s="66"/>
      <c r="AC261" s="83"/>
    </row>
    <row r="262" spans="1:68" ht="27" customHeight="1" x14ac:dyDescent="0.25">
      <c r="A262" s="63" t="s">
        <v>355</v>
      </c>
      <c r="B262" s="63" t="s">
        <v>356</v>
      </c>
      <c r="C262" s="36">
        <v>4301136051</v>
      </c>
      <c r="D262" s="296">
        <v>4640242180304</v>
      </c>
      <c r="E262" s="296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8"/>
      <c r="R262" s="298"/>
      <c r="S262" s="298"/>
      <c r="T262" s="29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358</v>
      </c>
      <c r="B263" s="63" t="s">
        <v>359</v>
      </c>
      <c r="C263" s="36">
        <v>4301136053</v>
      </c>
      <c r="D263" s="296">
        <v>4640242180236</v>
      </c>
      <c r="E263" s="296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8"/>
      <c r="R263" s="298"/>
      <c r="S263" s="298"/>
      <c r="T263" s="29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4301136052</v>
      </c>
      <c r="D264" s="296">
        <v>4640242180410</v>
      </c>
      <c r="E264" s="296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8"/>
      <c r="R264" s="298"/>
      <c r="S264" s="298"/>
      <c r="T264" s="299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306"/>
      <c r="P265" s="303" t="s">
        <v>40</v>
      </c>
      <c r="Q265" s="304"/>
      <c r="R265" s="304"/>
      <c r="S265" s="304"/>
      <c r="T265" s="304"/>
      <c r="U265" s="304"/>
      <c r="V265" s="305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306"/>
      <c r="P266" s="303" t="s">
        <v>40</v>
      </c>
      <c r="Q266" s="304"/>
      <c r="R266" s="304"/>
      <c r="S266" s="304"/>
      <c r="T266" s="304"/>
      <c r="U266" s="304"/>
      <c r="V266" s="305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14" t="s">
        <v>149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66"/>
      <c r="AB267" s="66"/>
      <c r="AC267" s="83"/>
    </row>
    <row r="268" spans="1:68" ht="37.5" customHeight="1" x14ac:dyDescent="0.25">
      <c r="A268" s="63" t="s">
        <v>362</v>
      </c>
      <c r="B268" s="63" t="s">
        <v>363</v>
      </c>
      <c r="C268" s="36">
        <v>4301135504</v>
      </c>
      <c r="D268" s="296">
        <v>4640242181554</v>
      </c>
      <c r="E268" s="29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8"/>
      <c r="R268" s="298"/>
      <c r="S268" s="298"/>
      <c r="T268" s="29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4301137046</v>
      </c>
      <c r="D269" s="296">
        <v>4620207492093</v>
      </c>
      <c r="E269" s="29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86</v>
      </c>
      <c r="M269" s="38" t="s">
        <v>84</v>
      </c>
      <c r="N269" s="38"/>
      <c r="O269" s="37">
        <v>180</v>
      </c>
      <c r="P269" s="307" t="s">
        <v>367</v>
      </c>
      <c r="Q269" s="298"/>
      <c r="R269" s="298"/>
      <c r="S269" s="298"/>
      <c r="T269" s="29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369</v>
      </c>
      <c r="B270" s="63" t="s">
        <v>370</v>
      </c>
      <c r="C270" s="36">
        <v>4301135374</v>
      </c>
      <c r="D270" s="296">
        <v>4640242181424</v>
      </c>
      <c r="E270" s="296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8"/>
      <c r="R270" s="298"/>
      <c r="S270" s="298"/>
      <c r="T270" s="29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296">
        <v>4640242181523</v>
      </c>
      <c r="E271" s="29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8"/>
      <c r="R271" s="298"/>
      <c r="S271" s="298"/>
      <c r="T271" s="29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373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374</v>
      </c>
      <c r="B272" s="63" t="s">
        <v>375</v>
      </c>
      <c r="C272" s="36">
        <v>4301135375</v>
      </c>
      <c r="D272" s="296">
        <v>4640242181486</v>
      </c>
      <c r="E272" s="29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8"/>
      <c r="R272" s="298"/>
      <c r="S272" s="298"/>
      <c r="T272" s="29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376</v>
      </c>
      <c r="B273" s="63" t="s">
        <v>377</v>
      </c>
      <c r="C273" s="36">
        <v>4301135402</v>
      </c>
      <c r="D273" s="296">
        <v>4640242181493</v>
      </c>
      <c r="E273" s="29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8"/>
      <c r="R273" s="298"/>
      <c r="S273" s="298"/>
      <c r="T273" s="29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378</v>
      </c>
      <c r="B274" s="63" t="s">
        <v>379</v>
      </c>
      <c r="C274" s="36">
        <v>4301135403</v>
      </c>
      <c r="D274" s="296">
        <v>4640242181509</v>
      </c>
      <c r="E274" s="296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8"/>
      <c r="R274" s="298"/>
      <c r="S274" s="298"/>
      <c r="T274" s="29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4301135304</v>
      </c>
      <c r="D275" s="296">
        <v>4640242181240</v>
      </c>
      <c r="E275" s="296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8"/>
      <c r="R275" s="298"/>
      <c r="S275" s="298"/>
      <c r="T275" s="29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382</v>
      </c>
      <c r="B276" s="63" t="s">
        <v>383</v>
      </c>
      <c r="C276" s="36">
        <v>4301135610</v>
      </c>
      <c r="D276" s="296">
        <v>4640242181318</v>
      </c>
      <c r="E276" s="296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8"/>
      <c r="R276" s="298"/>
      <c r="S276" s="298"/>
      <c r="T276" s="29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373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384</v>
      </c>
      <c r="B277" s="63" t="s">
        <v>385</v>
      </c>
      <c r="C277" s="36">
        <v>4301135306</v>
      </c>
      <c r="D277" s="296">
        <v>4640242181387</v>
      </c>
      <c r="E277" s="296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161</v>
      </c>
      <c r="L277" s="37" t="s">
        <v>117</v>
      </c>
      <c r="M277" s="38" t="s">
        <v>84</v>
      </c>
      <c r="N277" s="38"/>
      <c r="O277" s="37">
        <v>180</v>
      </c>
      <c r="P277" s="30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8"/>
      <c r="R277" s="298"/>
      <c r="S277" s="298"/>
      <c r="T277" s="29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06"/>
      <c r="P278" s="303" t="s">
        <v>40</v>
      </c>
      <c r="Q278" s="304"/>
      <c r="R278" s="304"/>
      <c r="S278" s="304"/>
      <c r="T278" s="304"/>
      <c r="U278" s="304"/>
      <c r="V278" s="305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06"/>
      <c r="P279" s="303" t="s">
        <v>40</v>
      </c>
      <c r="Q279" s="304"/>
      <c r="R279" s="304"/>
      <c r="S279" s="304"/>
      <c r="T279" s="304"/>
      <c r="U279" s="304"/>
      <c r="V279" s="305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4"/>
      <c r="P280" s="290" t="s">
        <v>33</v>
      </c>
      <c r="Q280" s="291"/>
      <c r="R280" s="291"/>
      <c r="S280" s="291"/>
      <c r="T280" s="291"/>
      <c r="U280" s="291"/>
      <c r="V280" s="292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0</v>
      </c>
      <c r="Y280" s="43">
        <f>IFERROR(Y31+Y37+Y44+Y50+Y58+Y63+Y68+Y74+Y80+Y85+Y91+Y101+Y107+Y119+Y123+Y127+Y135+Y141+Y147+Y153+Y159+Y164+Y169+Y174+Y181+Y186+Y195+Y201+Y207+Y213+Y218+Y223+Y229+Y235+Y239+Y245+Y249+Y256+Y260+Y266+Y279,"0")</f>
        <v>0</v>
      </c>
      <c r="Z280" s="42"/>
      <c r="AA280" s="67"/>
      <c r="AB280" s="67"/>
      <c r="AC280" s="67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4"/>
      <c r="P281" s="290" t="s">
        <v>34</v>
      </c>
      <c r="Q281" s="291"/>
      <c r="R281" s="291"/>
      <c r="S281" s="291"/>
      <c r="T281" s="291"/>
      <c r="U281" s="291"/>
      <c r="V281" s="292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4"/>
      <c r="P282" s="290" t="s">
        <v>35</v>
      </c>
      <c r="Q282" s="291"/>
      <c r="R282" s="291"/>
      <c r="S282" s="291"/>
      <c r="T282" s="291"/>
      <c r="U282" s="291"/>
      <c r="V282" s="292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4"/>
      <c r="P283" s="290" t="s">
        <v>36</v>
      </c>
      <c r="Q283" s="291"/>
      <c r="R283" s="291"/>
      <c r="S283" s="291"/>
      <c r="T283" s="291"/>
      <c r="U283" s="291"/>
      <c r="V283" s="292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4"/>
      <c r="P284" s="290" t="s">
        <v>37</v>
      </c>
      <c r="Q284" s="291"/>
      <c r="R284" s="291"/>
      <c r="S284" s="291"/>
      <c r="T284" s="291"/>
      <c r="U284" s="291"/>
      <c r="V284" s="292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0</v>
      </c>
      <c r="Y284" s="43">
        <f>IFERROR(Y30+Y36+Y43+Y49+Y57+Y62+Y67+Y73+Y79+Y84+Y90+Y100+Y106+Y118+Y122+Y126+Y134+Y140+Y146+Y152+Y158+Y163+Y168+Y173+Y180+Y185+Y194+Y200+Y206+Y212+Y217+Y222+Y228+Y234+Y238+Y244+Y248+Y255+Y259+Y265+Y278,"0")</f>
        <v>0</v>
      </c>
      <c r="Z284" s="42"/>
      <c r="AA284" s="67"/>
      <c r="AB284" s="67"/>
      <c r="AC284" s="67"/>
    </row>
    <row r="285" spans="1:68" ht="14.25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4"/>
      <c r="P285" s="290" t="s">
        <v>38</v>
      </c>
      <c r="Q285" s="291"/>
      <c r="R285" s="291"/>
      <c r="S285" s="291"/>
      <c r="T285" s="291"/>
      <c r="U285" s="291"/>
      <c r="V285" s="292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95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271</v>
      </c>
      <c r="W287" s="287" t="s">
        <v>271</v>
      </c>
      <c r="X287" s="88" t="s">
        <v>282</v>
      </c>
      <c r="Y287" s="287" t="s">
        <v>296</v>
      </c>
      <c r="Z287" s="287" t="s">
        <v>296</v>
      </c>
      <c r="AA287" s="287" t="s">
        <v>296</v>
      </c>
      <c r="AB287" s="287" t="s">
        <v>296</v>
      </c>
      <c r="AC287" s="88" t="s">
        <v>325</v>
      </c>
      <c r="AD287" s="88" t="s">
        <v>330</v>
      </c>
      <c r="AE287" s="88" t="s">
        <v>338</v>
      </c>
      <c r="AF287" s="88" t="s">
        <v>345</v>
      </c>
    </row>
    <row r="288" spans="1:68" ht="14.25" customHeight="1" thickTop="1" x14ac:dyDescent="0.2">
      <c r="A288" s="288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128</v>
      </c>
      <c r="G288" s="287" t="s">
        <v>139</v>
      </c>
      <c r="H288" s="287" t="s">
        <v>157</v>
      </c>
      <c r="I288" s="287" t="s">
        <v>164</v>
      </c>
      <c r="J288" s="287" t="s">
        <v>168</v>
      </c>
      <c r="K288" s="287" t="s">
        <v>176</v>
      </c>
      <c r="L288" s="287" t="s">
        <v>191</v>
      </c>
      <c r="M288" s="287" t="s">
        <v>197</v>
      </c>
      <c r="N288" s="1"/>
      <c r="O288" s="287" t="s">
        <v>224</v>
      </c>
      <c r="P288" s="287" t="s">
        <v>242</v>
      </c>
      <c r="Q288" s="287" t="s">
        <v>248</v>
      </c>
      <c r="R288" s="287" t="s">
        <v>255</v>
      </c>
      <c r="S288" s="287" t="s">
        <v>260</v>
      </c>
      <c r="T288" s="287" t="s">
        <v>264</v>
      </c>
      <c r="U288" s="287" t="s">
        <v>267</v>
      </c>
      <c r="V288" s="287" t="s">
        <v>272</v>
      </c>
      <c r="W288" s="287" t="s">
        <v>279</v>
      </c>
      <c r="X288" s="287" t="s">
        <v>283</v>
      </c>
      <c r="Y288" s="287" t="s">
        <v>297</v>
      </c>
      <c r="Z288" s="287" t="s">
        <v>310</v>
      </c>
      <c r="AA288" s="287" t="s">
        <v>317</v>
      </c>
      <c r="AB288" s="287" t="s">
        <v>321</v>
      </c>
      <c r="AC288" s="287" t="s">
        <v>326</v>
      </c>
      <c r="AD288" s="287" t="s">
        <v>331</v>
      </c>
      <c r="AE288" s="287" t="s">
        <v>338</v>
      </c>
      <c r="AF288" s="287" t="s">
        <v>345</v>
      </c>
    </row>
    <row r="289" spans="1:32" ht="13.5" thickBot="1" x14ac:dyDescent="0.25">
      <c r="A289" s="289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</f>
        <v>0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0</v>
      </c>
      <c r="K290" s="52">
        <f>IFERROR(X94*H94,"0")+IFERROR(X95*H95,"0")+IFERROR(X96*H96,"0")+IFERROR(X97*H97,"0")+IFERROR(X98*H98,"0")+IFERROR(X99*H99,"0")</f>
        <v>0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2">
        <f>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0</v>
      </c>
      <c r="Q290" s="52">
        <f>IFERROR(X150*H150,"0")+IFERROR(X151*H151,"0")</f>
        <v>0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:X254 X247 X243 X237 X233 X227 X221 X210:X211 X203 X193 X184 X178 X162 X156 X150:X151 X137:X139 X130:X133 X125 X121 X115 X111:X112 X104:X105 X95: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16 X204:X205 X199 X190:X192 X179 X172 X167 X157 X144:X145 X116:X117 X113:X114 X110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