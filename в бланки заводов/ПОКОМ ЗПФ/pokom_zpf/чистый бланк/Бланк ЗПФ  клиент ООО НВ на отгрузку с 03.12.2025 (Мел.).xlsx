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F483DAB-0D3F-4D4F-AA10-FFBEE606836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N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N259" i="2" s="1"/>
  <c r="P259" i="2"/>
  <c r="BO258" i="2"/>
  <c r="BM258" i="2"/>
  <c r="Z258" i="2"/>
  <c r="Y258" i="2"/>
  <c r="BP258" i="2" s="1"/>
  <c r="P258" i="2"/>
  <c r="X256" i="2"/>
  <c r="X255" i="2"/>
  <c r="BP254" i="2"/>
  <c r="BO254" i="2"/>
  <c r="BN254" i="2"/>
  <c r="BM254" i="2"/>
  <c r="Z254" i="2"/>
  <c r="Y254" i="2"/>
  <c r="P254" i="2"/>
  <c r="BO253" i="2"/>
  <c r="BM253" i="2"/>
  <c r="Z253" i="2"/>
  <c r="Y253" i="2"/>
  <c r="BP253" i="2" s="1"/>
  <c r="P253" i="2"/>
  <c r="BO252" i="2"/>
  <c r="BM252" i="2"/>
  <c r="Z252" i="2"/>
  <c r="Z255" i="2" s="1"/>
  <c r="Y252" i="2"/>
  <c r="BN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Z249" i="2" s="1"/>
  <c r="Y247" i="2"/>
  <c r="Y250" i="2" s="1"/>
  <c r="P247" i="2"/>
  <c r="X245" i="2"/>
  <c r="X244" i="2"/>
  <c r="BO243" i="2"/>
  <c r="BM243" i="2"/>
  <c r="Z243" i="2"/>
  <c r="Y243" i="2"/>
  <c r="BP243" i="2" s="1"/>
  <c r="P243" i="2"/>
  <c r="BO242" i="2"/>
  <c r="BM242" i="2"/>
  <c r="Z242" i="2"/>
  <c r="Z244" i="2" s="1"/>
  <c r="Y242" i="2"/>
  <c r="BP242" i="2" s="1"/>
  <c r="P242" i="2"/>
  <c r="X238" i="2"/>
  <c r="X237" i="2"/>
  <c r="BO236" i="2"/>
  <c r="BM236" i="2"/>
  <c r="Z236" i="2"/>
  <c r="Z237" i="2" s="1"/>
  <c r="Y236" i="2"/>
  <c r="Y238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BP226" i="2" s="1"/>
  <c r="P226" i="2"/>
  <c r="X222" i="2"/>
  <c r="X221" i="2"/>
  <c r="BO220" i="2"/>
  <c r="BM220" i="2"/>
  <c r="Z220" i="2"/>
  <c r="Z221" i="2" s="1"/>
  <c r="Y220" i="2"/>
  <c r="Y221" i="2" s="1"/>
  <c r="P220" i="2"/>
  <c r="X216" i="2"/>
  <c r="X215" i="2"/>
  <c r="BO214" i="2"/>
  <c r="BM214" i="2"/>
  <c r="Z214" i="2"/>
  <c r="Y214" i="2"/>
  <c r="BP214" i="2" s="1"/>
  <c r="P214" i="2"/>
  <c r="BP213" i="2"/>
  <c r="BO213" i="2"/>
  <c r="BN213" i="2"/>
  <c r="BM213" i="2"/>
  <c r="Z213" i="2"/>
  <c r="Z215" i="2" s="1"/>
  <c r="Y213" i="2"/>
  <c r="P213" i="2"/>
  <c r="X211" i="2"/>
  <c r="X210" i="2"/>
  <c r="BO209" i="2"/>
  <c r="BM209" i="2"/>
  <c r="Z209" i="2"/>
  <c r="Z210" i="2" s="1"/>
  <c r="Y209" i="2"/>
  <c r="BP209" i="2" s="1"/>
  <c r="P209" i="2"/>
  <c r="X206" i="2"/>
  <c r="Z205" i="2"/>
  <c r="X205" i="2"/>
  <c r="BO204" i="2"/>
  <c r="BM204" i="2"/>
  <c r="Z204" i="2"/>
  <c r="Y204" i="2"/>
  <c r="Y205" i="2" s="1"/>
  <c r="P204" i="2"/>
  <c r="X201" i="2"/>
  <c r="X200" i="2"/>
  <c r="BO199" i="2"/>
  <c r="BM199" i="2"/>
  <c r="Z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BP196" i="2"/>
  <c r="BO196" i="2"/>
  <c r="BN196" i="2"/>
  <c r="BM196" i="2"/>
  <c r="Z196" i="2"/>
  <c r="Y196" i="2"/>
  <c r="P196" i="2"/>
  <c r="BO195" i="2"/>
  <c r="BM195" i="2"/>
  <c r="Z195" i="2"/>
  <c r="Y195" i="2"/>
  <c r="BP195" i="2" s="1"/>
  <c r="P195" i="2"/>
  <c r="X193" i="2"/>
  <c r="Z192" i="2"/>
  <c r="X192" i="2"/>
  <c r="BO191" i="2"/>
  <c r="BM191" i="2"/>
  <c r="Z191" i="2"/>
  <c r="Y191" i="2"/>
  <c r="Y192" i="2" s="1"/>
  <c r="P191" i="2"/>
  <c r="X187" i="2"/>
  <c r="X186" i="2"/>
  <c r="BO185" i="2"/>
  <c r="BM185" i="2"/>
  <c r="Z185" i="2"/>
  <c r="Z186" i="2" s="1"/>
  <c r="Y185" i="2"/>
  <c r="BP185" i="2" s="1"/>
  <c r="X183" i="2"/>
  <c r="X182" i="2"/>
  <c r="BO181" i="2"/>
  <c r="BM181" i="2"/>
  <c r="Z181" i="2"/>
  <c r="Y181" i="2"/>
  <c r="BP181" i="2" s="1"/>
  <c r="P181" i="2"/>
  <c r="BO180" i="2"/>
  <c r="BM180" i="2"/>
  <c r="Z180" i="2"/>
  <c r="Y180" i="2"/>
  <c r="BP180" i="2" s="1"/>
  <c r="P180" i="2"/>
  <c r="BO179" i="2"/>
  <c r="BM179" i="2"/>
  <c r="Z179" i="2"/>
  <c r="Z182" i="2" s="1"/>
  <c r="Y179" i="2"/>
  <c r="BP179" i="2" s="1"/>
  <c r="P179" i="2"/>
  <c r="X175" i="2"/>
  <c r="X174" i="2"/>
  <c r="BO173" i="2"/>
  <c r="BM173" i="2"/>
  <c r="Z173" i="2"/>
  <c r="Y173" i="2"/>
  <c r="BP173" i="2" s="1"/>
  <c r="P173" i="2"/>
  <c r="BO172" i="2"/>
  <c r="BM172" i="2"/>
  <c r="Z172" i="2"/>
  <c r="Y172" i="2"/>
  <c r="Y174" i="2" s="1"/>
  <c r="P172" i="2"/>
  <c r="Y168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Y158" i="2"/>
  <c r="X158" i="2"/>
  <c r="X157" i="2"/>
  <c r="BO156" i="2"/>
  <c r="BM156" i="2"/>
  <c r="Z156" i="2"/>
  <c r="Z157" i="2" s="1"/>
  <c r="Y156" i="2"/>
  <c r="BN156" i="2" s="1"/>
  <c r="P156" i="2"/>
  <c r="X153" i="2"/>
  <c r="X152" i="2"/>
  <c r="BO151" i="2"/>
  <c r="BM151" i="2"/>
  <c r="Z151" i="2"/>
  <c r="Z152" i="2" s="1"/>
  <c r="Y151" i="2"/>
  <c r="BP151" i="2" s="1"/>
  <c r="P151" i="2"/>
  <c r="X148" i="2"/>
  <c r="X147" i="2"/>
  <c r="BO146" i="2"/>
  <c r="BM146" i="2"/>
  <c r="Z146" i="2"/>
  <c r="Z147" i="2" s="1"/>
  <c r="Y146" i="2"/>
  <c r="BN146" i="2" s="1"/>
  <c r="P146" i="2"/>
  <c r="BO145" i="2"/>
  <c r="BM145" i="2"/>
  <c r="Z145" i="2"/>
  <c r="Y145" i="2"/>
  <c r="P145" i="2"/>
  <c r="X142" i="2"/>
  <c r="X141" i="2"/>
  <c r="BO140" i="2"/>
  <c r="BM140" i="2"/>
  <c r="Z140" i="2"/>
  <c r="Y140" i="2"/>
  <c r="P140" i="2"/>
  <c r="BO139" i="2"/>
  <c r="BN139" i="2"/>
  <c r="BM139" i="2"/>
  <c r="Z139" i="2"/>
  <c r="Y139" i="2"/>
  <c r="BP139" i="2" s="1"/>
  <c r="P139" i="2"/>
  <c r="X136" i="2"/>
  <c r="X135" i="2"/>
  <c r="BO134" i="2"/>
  <c r="BM134" i="2"/>
  <c r="Z134" i="2"/>
  <c r="Y134" i="2"/>
  <c r="Y135" i="2" s="1"/>
  <c r="P134" i="2"/>
  <c r="BP133" i="2"/>
  <c r="BO133" i="2"/>
  <c r="BN133" i="2"/>
  <c r="BM133" i="2"/>
  <c r="Z133" i="2"/>
  <c r="Z135" i="2" s="1"/>
  <c r="Y133" i="2"/>
  <c r="P133" i="2"/>
  <c r="X130" i="2"/>
  <c r="X129" i="2"/>
  <c r="BP128" i="2"/>
  <c r="BO128" i="2"/>
  <c r="BN128" i="2"/>
  <c r="BM128" i="2"/>
  <c r="Z128" i="2"/>
  <c r="Z129" i="2" s="1"/>
  <c r="Y128" i="2"/>
  <c r="Y129" i="2" s="1"/>
  <c r="P128" i="2"/>
  <c r="X126" i="2"/>
  <c r="X125" i="2"/>
  <c r="BO124" i="2"/>
  <c r="BM124" i="2"/>
  <c r="Z124" i="2"/>
  <c r="Z125" i="2" s="1"/>
  <c r="Y124" i="2"/>
  <c r="P124" i="2"/>
  <c r="X122" i="2"/>
  <c r="X121" i="2"/>
  <c r="BP120" i="2"/>
  <c r="BO120" i="2"/>
  <c r="BN120" i="2"/>
  <c r="BM120" i="2"/>
  <c r="Z120" i="2"/>
  <c r="Y120" i="2"/>
  <c r="P120" i="2"/>
  <c r="BO119" i="2"/>
  <c r="BM119" i="2"/>
  <c r="Z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BP114" i="2" s="1"/>
  <c r="P114" i="2"/>
  <c r="BO113" i="2"/>
  <c r="BM113" i="2"/>
  <c r="Z113" i="2"/>
  <c r="Y113" i="2"/>
  <c r="P113" i="2"/>
  <c r="X110" i="2"/>
  <c r="X109" i="2"/>
  <c r="BO108" i="2"/>
  <c r="BM108" i="2"/>
  <c r="Z108" i="2"/>
  <c r="Y108" i="2"/>
  <c r="P108" i="2"/>
  <c r="BO107" i="2"/>
  <c r="BM107" i="2"/>
  <c r="Z107" i="2"/>
  <c r="Z109" i="2" s="1"/>
  <c r="Y107" i="2"/>
  <c r="BP107" i="2" s="1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Y104" i="2" s="1"/>
  <c r="P99" i="2"/>
  <c r="BP98" i="2"/>
  <c r="BO98" i="2"/>
  <c r="BN98" i="2"/>
  <c r="BM98" i="2"/>
  <c r="Z98" i="2"/>
  <c r="Z103" i="2" s="1"/>
  <c r="Y98" i="2"/>
  <c r="P98" i="2"/>
  <c r="BO97" i="2"/>
  <c r="BM97" i="2"/>
  <c r="Z97" i="2"/>
  <c r="Y97" i="2"/>
  <c r="BN97" i="2" s="1"/>
  <c r="P97" i="2"/>
  <c r="X94" i="2"/>
  <c r="X93" i="2"/>
  <c r="BO92" i="2"/>
  <c r="BM92" i="2"/>
  <c r="Z92" i="2"/>
  <c r="Y92" i="2"/>
  <c r="BP92" i="2" s="1"/>
  <c r="P92" i="2"/>
  <c r="BP91" i="2"/>
  <c r="BO91" i="2"/>
  <c r="BN91" i="2"/>
  <c r="BM91" i="2"/>
  <c r="Z91" i="2"/>
  <c r="Y91" i="2"/>
  <c r="P91" i="2"/>
  <c r="X88" i="2"/>
  <c r="X87" i="2"/>
  <c r="BO86" i="2"/>
  <c r="BM86" i="2"/>
  <c r="Z86" i="2"/>
  <c r="Z87" i="2" s="1"/>
  <c r="Y86" i="2"/>
  <c r="BN86" i="2" s="1"/>
  <c r="P86" i="2"/>
  <c r="X83" i="2"/>
  <c r="X82" i="2"/>
  <c r="BO81" i="2"/>
  <c r="BM81" i="2"/>
  <c r="Z81" i="2"/>
  <c r="Y81" i="2"/>
  <c r="P81" i="2"/>
  <c r="BO80" i="2"/>
  <c r="BM80" i="2"/>
  <c r="Z80" i="2"/>
  <c r="Z82" i="2" s="1"/>
  <c r="Y80" i="2"/>
  <c r="BN80" i="2" s="1"/>
  <c r="P80" i="2"/>
  <c r="X77" i="2"/>
  <c r="X76" i="2"/>
  <c r="BO75" i="2"/>
  <c r="BM75" i="2"/>
  <c r="Z75" i="2"/>
  <c r="Y75" i="2"/>
  <c r="BN75" i="2" s="1"/>
  <c r="P75" i="2"/>
  <c r="BP74" i="2"/>
  <c r="BO74" i="2"/>
  <c r="BN74" i="2"/>
  <c r="BM74" i="2"/>
  <c r="Z74" i="2"/>
  <c r="Y74" i="2"/>
  <c r="P74" i="2"/>
  <c r="BO73" i="2"/>
  <c r="BM73" i="2"/>
  <c r="Z73" i="2"/>
  <c r="Y73" i="2"/>
  <c r="Y77" i="2" s="1"/>
  <c r="P73" i="2"/>
  <c r="X71" i="2"/>
  <c r="X70" i="2"/>
  <c r="BO69" i="2"/>
  <c r="BM69" i="2"/>
  <c r="Z69" i="2"/>
  <c r="Z70" i="2" s="1"/>
  <c r="Y69" i="2"/>
  <c r="BP69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5" i="2" s="1"/>
  <c r="P64" i="2"/>
  <c r="Y62" i="2"/>
  <c r="X62" i="2"/>
  <c r="X61" i="2"/>
  <c r="BO60" i="2"/>
  <c r="BM60" i="2"/>
  <c r="Z60" i="2"/>
  <c r="Z61" i="2" s="1"/>
  <c r="Y60" i="2"/>
  <c r="BN60" i="2" s="1"/>
  <c r="P60" i="2"/>
  <c r="X57" i="2"/>
  <c r="X56" i="2"/>
  <c r="BO55" i="2"/>
  <c r="BM55" i="2"/>
  <c r="Z55" i="2"/>
  <c r="Y55" i="2"/>
  <c r="BN55" i="2" s="1"/>
  <c r="P55" i="2"/>
  <c r="BP54" i="2"/>
  <c r="BO54" i="2"/>
  <c r="BN54" i="2"/>
  <c r="BM54" i="2"/>
  <c r="Z54" i="2"/>
  <c r="Y54" i="2"/>
  <c r="P54" i="2"/>
  <c r="BO53" i="2"/>
  <c r="BM53" i="2"/>
  <c r="Z53" i="2"/>
  <c r="Y53" i="2"/>
  <c r="BP53" i="2" s="1"/>
  <c r="P53" i="2"/>
  <c r="BO52" i="2"/>
  <c r="BM52" i="2"/>
  <c r="Z52" i="2"/>
  <c r="Z56" i="2" s="1"/>
  <c r="Y52" i="2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N46" i="2" s="1"/>
  <c r="P46" i="2"/>
  <c r="BO45" i="2"/>
  <c r="BM45" i="2"/>
  <c r="Z45" i="2"/>
  <c r="Z48" i="2" s="1"/>
  <c r="Y45" i="2"/>
  <c r="P45" i="2"/>
  <c r="X42" i="2"/>
  <c r="X41" i="2"/>
  <c r="BO40" i="2"/>
  <c r="BM40" i="2"/>
  <c r="Z40" i="2"/>
  <c r="Y40" i="2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Y33" i="2"/>
  <c r="P33" i="2"/>
  <c r="BO32" i="2"/>
  <c r="BM32" i="2"/>
  <c r="Z32" i="2"/>
  <c r="Y32" i="2"/>
  <c r="P32" i="2"/>
  <c r="X29" i="2"/>
  <c r="X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X272" i="2" s="1"/>
  <c r="BM23" i="2"/>
  <c r="Z23" i="2"/>
  <c r="Z28" i="2" s="1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BP26" i="2" l="1"/>
  <c r="BN26" i="2"/>
  <c r="BN32" i="2"/>
  <c r="Y35" i="2"/>
  <c r="Y34" i="2"/>
  <c r="BP32" i="2"/>
  <c r="BP33" i="2"/>
  <c r="BN33" i="2"/>
  <c r="BP40" i="2"/>
  <c r="BN40" i="2"/>
  <c r="BP81" i="2"/>
  <c r="BN81" i="2"/>
  <c r="BP101" i="2"/>
  <c r="BP108" i="2"/>
  <c r="BN108" i="2"/>
  <c r="Z141" i="2"/>
  <c r="BN145" i="2"/>
  <c r="Y147" i="2"/>
  <c r="Y148" i="2"/>
  <c r="X270" i="2"/>
  <c r="Y42" i="2"/>
  <c r="Y41" i="2"/>
  <c r="Y83" i="2"/>
  <c r="Y110" i="2"/>
  <c r="Y121" i="2"/>
  <c r="BP113" i="2"/>
  <c r="BN113" i="2"/>
  <c r="Y122" i="2"/>
  <c r="Y126" i="2"/>
  <c r="Y125" i="2"/>
  <c r="BP124" i="2"/>
  <c r="BN124" i="2"/>
  <c r="Y182" i="2"/>
  <c r="BP191" i="2"/>
  <c r="Y193" i="2"/>
  <c r="Y206" i="2"/>
  <c r="Y234" i="2"/>
  <c r="Y245" i="2"/>
  <c r="Y249" i="2"/>
  <c r="Y255" i="2"/>
  <c r="Z268" i="2"/>
  <c r="BP22" i="2"/>
  <c r="Y29" i="2"/>
  <c r="X271" i="2"/>
  <c r="X274" i="2"/>
  <c r="Z34" i="2"/>
  <c r="Y49" i="2"/>
  <c r="BP47" i="2"/>
  <c r="Y48" i="2"/>
  <c r="Y57" i="2"/>
  <c r="BP60" i="2"/>
  <c r="Y61" i="2"/>
  <c r="BP68" i="2"/>
  <c r="Z76" i="2"/>
  <c r="Y82" i="2"/>
  <c r="Y94" i="2"/>
  <c r="Z93" i="2"/>
  <c r="BP97" i="2"/>
  <c r="Y109" i="2"/>
  <c r="Z121" i="2"/>
  <c r="Y130" i="2"/>
  <c r="Y141" i="2"/>
  <c r="BP146" i="2"/>
  <c r="BP156" i="2"/>
  <c r="Y157" i="2"/>
  <c r="BP166" i="2"/>
  <c r="Y167" i="2"/>
  <c r="Z174" i="2"/>
  <c r="Y175" i="2"/>
  <c r="BN180" i="2"/>
  <c r="Z200" i="2"/>
  <c r="BN197" i="2"/>
  <c r="BN204" i="2"/>
  <c r="BP204" i="2"/>
  <c r="Y222" i="2"/>
  <c r="BN243" i="2"/>
  <c r="Y244" i="2"/>
  <c r="BN247" i="2"/>
  <c r="BP247" i="2"/>
  <c r="BN260" i="2"/>
  <c r="BN262" i="2"/>
  <c r="BN267" i="2"/>
  <c r="X273" i="2"/>
  <c r="Z275" i="2"/>
  <c r="BP55" i="2"/>
  <c r="BP64" i="2"/>
  <c r="Y71" i="2"/>
  <c r="Y103" i="2"/>
  <c r="BN116" i="2"/>
  <c r="Y215" i="2"/>
  <c r="Y227" i="2"/>
  <c r="Y237" i="2"/>
  <c r="BP252" i="2"/>
  <c r="BN258" i="2"/>
  <c r="H9" i="2"/>
  <c r="Y28" i="2"/>
  <c r="BP45" i="2"/>
  <c r="BN52" i="2"/>
  <c r="Y93" i="2"/>
  <c r="BP99" i="2"/>
  <c r="BP134" i="2"/>
  <c r="Y142" i="2"/>
  <c r="BN151" i="2"/>
  <c r="BN161" i="2"/>
  <c r="BN172" i="2"/>
  <c r="Y186" i="2"/>
  <c r="BN199" i="2"/>
  <c r="BN209" i="2"/>
  <c r="BN265" i="2"/>
  <c r="BN69" i="2"/>
  <c r="BN23" i="2"/>
  <c r="BN198" i="2"/>
  <c r="BP23" i="2"/>
  <c r="Y256" i="2"/>
  <c r="BP140" i="2"/>
  <c r="BN27" i="2"/>
  <c r="Y70" i="2"/>
  <c r="BP75" i="2"/>
  <c r="BN92" i="2"/>
  <c r="BN119" i="2"/>
  <c r="BN185" i="2"/>
  <c r="BN195" i="2"/>
  <c r="BN261" i="2"/>
  <c r="BN64" i="2"/>
  <c r="BP102" i="2"/>
  <c r="Y269" i="2"/>
  <c r="BN45" i="2"/>
  <c r="BN134" i="2"/>
  <c r="Y56" i="2"/>
  <c r="A10" i="2"/>
  <c r="BP52" i="2"/>
  <c r="Y216" i="2"/>
  <c r="Y228" i="2"/>
  <c r="F10" i="2"/>
  <c r="BP86" i="2"/>
  <c r="Y187" i="2"/>
  <c r="BP46" i="2"/>
  <c r="BN53" i="2"/>
  <c r="BP100" i="2"/>
  <c r="BN107" i="2"/>
  <c r="BP145" i="2"/>
  <c r="Y153" i="2"/>
  <c r="Y163" i="2"/>
  <c r="BN173" i="2"/>
  <c r="Y201" i="2"/>
  <c r="Y211" i="2"/>
  <c r="BN220" i="2"/>
  <c r="BN232" i="2"/>
  <c r="BN242" i="2"/>
  <c r="BN266" i="2"/>
  <c r="Y200" i="2"/>
  <c r="BN253" i="2"/>
  <c r="Y87" i="2"/>
  <c r="BP80" i="2"/>
  <c r="Y88" i="2"/>
  <c r="BP117" i="2"/>
  <c r="BN191" i="2"/>
  <c r="BP259" i="2"/>
  <c r="BN115" i="2"/>
  <c r="Y183" i="2"/>
  <c r="BN140" i="2"/>
  <c r="BN264" i="2"/>
  <c r="BN214" i="2"/>
  <c r="Y76" i="2"/>
  <c r="J9" i="2"/>
  <c r="Y66" i="2"/>
  <c r="Y270" i="2" s="1"/>
  <c r="BN73" i="2"/>
  <c r="Y152" i="2"/>
  <c r="Y162" i="2"/>
  <c r="Y210" i="2"/>
  <c r="Y136" i="2"/>
  <c r="BN25" i="2"/>
  <c r="BP73" i="2"/>
  <c r="BN114" i="2"/>
  <c r="BN181" i="2"/>
  <c r="BP220" i="2"/>
  <c r="BP232" i="2"/>
  <c r="BN248" i="2"/>
  <c r="BP115" i="2"/>
  <c r="Y268" i="2"/>
  <c r="BN179" i="2"/>
  <c r="BN226" i="2"/>
  <c r="BN236" i="2"/>
  <c r="BP236" i="2"/>
  <c r="BN99" i="2"/>
  <c r="BN24" i="2"/>
  <c r="BP172" i="2"/>
  <c r="Y271" i="2" l="1"/>
  <c r="Y272" i="2"/>
  <c r="Y273" i="2" s="1"/>
  <c r="Y274" i="2"/>
  <c r="B283" i="2" l="1"/>
  <c r="A283" i="2"/>
  <c r="C283" i="2"/>
</calcChain>
</file>

<file path=xl/sharedStrings.xml><?xml version="1.0" encoding="utf-8"?>
<sst xmlns="http://schemas.openxmlformats.org/spreadsheetml/2006/main" count="1660" uniqueCount="395">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</sst>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45999</v>
      </c>
      <c r="R5" s="284"/>
      <c r="T5" s="285" t="s">
        <v>3</v>
      </c>
      <c r="U5" s="286"/>
      <c r="V5" s="287" t="s">
        <v>381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78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72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79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73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74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75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76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77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80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80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81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48">
        <v>4607111035912</v>
      </c>
      <c r="E22" s="348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4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48">
        <v>4607111035103</v>
      </c>
      <c r="E23" s="348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0"/>
      <c r="R23" s="350"/>
      <c r="S23" s="350"/>
      <c r="T23" s="35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48">
        <v>4607111035929</v>
      </c>
      <c r="E24" s="348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0"/>
      <c r="R24" s="350"/>
      <c r="S24" s="350"/>
      <c r="T24" s="35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48">
        <v>4607111035882</v>
      </c>
      <c r="E25" s="348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0"/>
      <c r="R25" s="350"/>
      <c r="S25" s="350"/>
      <c r="T25" s="35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48">
        <v>4607111035110</v>
      </c>
      <c r="E26" s="348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0"/>
      <c r="R26" s="350"/>
      <c r="S26" s="350"/>
      <c r="T26" s="35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48">
        <v>4607111035905</v>
      </c>
      <c r="E27" s="34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5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0"/>
      <c r="R27" s="350"/>
      <c r="S27" s="350"/>
      <c r="T27" s="35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1"/>
      <c r="P28" s="357" t="s">
        <v>40</v>
      </c>
      <c r="Q28" s="358"/>
      <c r="R28" s="358"/>
      <c r="S28" s="358"/>
      <c r="T28" s="358"/>
      <c r="U28" s="358"/>
      <c r="V28" s="35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1"/>
      <c r="P29" s="357" t="s">
        <v>40</v>
      </c>
      <c r="Q29" s="358"/>
      <c r="R29" s="358"/>
      <c r="S29" s="358"/>
      <c r="T29" s="358"/>
      <c r="U29" s="358"/>
      <c r="V29" s="35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6" t="s">
        <v>99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65"/>
      <c r="AB30" s="65"/>
      <c r="AC30" s="82"/>
    </row>
    <row r="31" spans="1:68" ht="14.25" customHeight="1" x14ac:dyDescent="0.25">
      <c r="A31" s="347" t="s">
        <v>81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48">
        <v>4607111039019</v>
      </c>
      <c r="E32" s="348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0"/>
      <c r="R32" s="350"/>
      <c r="S32" s="350"/>
      <c r="T32" s="351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48">
        <v>4607111038708</v>
      </c>
      <c r="E33" s="348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0"/>
      <c r="R33" s="350"/>
      <c r="S33" s="350"/>
      <c r="T33" s="351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1"/>
      <c r="P34" s="357" t="s">
        <v>40</v>
      </c>
      <c r="Q34" s="358"/>
      <c r="R34" s="358"/>
      <c r="S34" s="358"/>
      <c r="T34" s="358"/>
      <c r="U34" s="358"/>
      <c r="V34" s="35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1"/>
      <c r="P35" s="357" t="s">
        <v>40</v>
      </c>
      <c r="Q35" s="358"/>
      <c r="R35" s="358"/>
      <c r="S35" s="358"/>
      <c r="T35" s="358"/>
      <c r="U35" s="358"/>
      <c r="V35" s="35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5" t="s">
        <v>45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54"/>
      <c r="AB36" s="54"/>
      <c r="AC36" s="54"/>
    </row>
    <row r="37" spans="1:68" ht="16.5" customHeight="1" x14ac:dyDescent="0.25">
      <c r="A37" s="346" t="s">
        <v>105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65"/>
      <c r="AB37" s="65"/>
      <c r="AC37" s="82"/>
    </row>
    <row r="38" spans="1:68" ht="14.25" customHeight="1" x14ac:dyDescent="0.25">
      <c r="A38" s="347" t="s">
        <v>106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48">
        <v>4607111036537</v>
      </c>
      <c r="E39" s="348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0"/>
      <c r="R39" s="350"/>
      <c r="S39" s="350"/>
      <c r="T39" s="351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48">
        <v>4607111036605</v>
      </c>
      <c r="E40" s="348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112</v>
      </c>
      <c r="M40" s="38" t="s">
        <v>85</v>
      </c>
      <c r="N40" s="38"/>
      <c r="O40" s="37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0"/>
      <c r="R40" s="350"/>
      <c r="S40" s="350"/>
      <c r="T40" s="351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113</v>
      </c>
      <c r="AK40" s="87">
        <v>14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1"/>
      <c r="P41" s="357" t="s">
        <v>40</v>
      </c>
      <c r="Q41" s="358"/>
      <c r="R41" s="358"/>
      <c r="S41" s="358"/>
      <c r="T41" s="358"/>
      <c r="U41" s="358"/>
      <c r="V41" s="35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1"/>
      <c r="P42" s="357" t="s">
        <v>40</v>
      </c>
      <c r="Q42" s="358"/>
      <c r="R42" s="358"/>
      <c r="S42" s="358"/>
      <c r="T42" s="358"/>
      <c r="U42" s="358"/>
      <c r="V42" s="35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6" t="s">
        <v>116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65"/>
      <c r="AB43" s="65"/>
      <c r="AC43" s="82"/>
    </row>
    <row r="44" spans="1:68" ht="14.25" customHeight="1" x14ac:dyDescent="0.25">
      <c r="A44" s="347" t="s">
        <v>81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348">
        <v>4620207490075</v>
      </c>
      <c r="E45" s="348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112</v>
      </c>
      <c r="M45" s="38" t="s">
        <v>85</v>
      </c>
      <c r="N45" s="38"/>
      <c r="O45" s="37">
        <v>180</v>
      </c>
      <c r="P45" s="36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0"/>
      <c r="R45" s="350"/>
      <c r="S45" s="350"/>
      <c r="T45" s="351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113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348">
        <v>4620207490174</v>
      </c>
      <c r="E46" s="348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112</v>
      </c>
      <c r="M46" s="38" t="s">
        <v>85</v>
      </c>
      <c r="N46" s="38"/>
      <c r="O46" s="37">
        <v>180</v>
      </c>
      <c r="P46" s="36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0"/>
      <c r="R46" s="350"/>
      <c r="S46" s="350"/>
      <c r="T46" s="351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113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348">
        <v>4620207490044</v>
      </c>
      <c r="E47" s="34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112</v>
      </c>
      <c r="M47" s="38" t="s">
        <v>85</v>
      </c>
      <c r="N47" s="38"/>
      <c r="O47" s="37">
        <v>180</v>
      </c>
      <c r="P47" s="36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0"/>
      <c r="R47" s="350"/>
      <c r="S47" s="350"/>
      <c r="T47" s="35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113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1"/>
      <c r="P48" s="357" t="s">
        <v>40</v>
      </c>
      <c r="Q48" s="358"/>
      <c r="R48" s="358"/>
      <c r="S48" s="358"/>
      <c r="T48" s="358"/>
      <c r="U48" s="358"/>
      <c r="V48" s="35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1"/>
      <c r="P49" s="357" t="s">
        <v>40</v>
      </c>
      <c r="Q49" s="358"/>
      <c r="R49" s="358"/>
      <c r="S49" s="358"/>
      <c r="T49" s="358"/>
      <c r="U49" s="358"/>
      <c r="V49" s="35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6" t="s">
        <v>126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65"/>
      <c r="AB50" s="65"/>
      <c r="AC50" s="82"/>
    </row>
    <row r="51" spans="1:68" ht="14.25" customHeight="1" x14ac:dyDescent="0.25">
      <c r="A51" s="347" t="s">
        <v>81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348">
        <v>4607111039385</v>
      </c>
      <c r="E52" s="348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0"/>
      <c r="R52" s="350"/>
      <c r="S52" s="350"/>
      <c r="T52" s="351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348">
        <v>4607111038982</v>
      </c>
      <c r="E53" s="348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348">
        <v>4607111039354</v>
      </c>
      <c r="E54" s="348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112</v>
      </c>
      <c r="M54" s="38" t="s">
        <v>85</v>
      </c>
      <c r="N54" s="38"/>
      <c r="O54" s="37">
        <v>180</v>
      </c>
      <c r="P54" s="37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0"/>
      <c r="R54" s="350"/>
      <c r="S54" s="350"/>
      <c r="T54" s="35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113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348">
        <v>4607111039330</v>
      </c>
      <c r="E55" s="348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0"/>
      <c r="R55" s="350"/>
      <c r="S55" s="350"/>
      <c r="T55" s="35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113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1"/>
      <c r="P56" s="357" t="s">
        <v>40</v>
      </c>
      <c r="Q56" s="358"/>
      <c r="R56" s="358"/>
      <c r="S56" s="358"/>
      <c r="T56" s="358"/>
      <c r="U56" s="358"/>
      <c r="V56" s="35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1"/>
      <c r="P57" s="357" t="s">
        <v>40</v>
      </c>
      <c r="Q57" s="358"/>
      <c r="R57" s="358"/>
      <c r="S57" s="358"/>
      <c r="T57" s="358"/>
      <c r="U57" s="358"/>
      <c r="V57" s="35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6" t="s">
        <v>137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65"/>
      <c r="AB58" s="65"/>
      <c r="AC58" s="82"/>
    </row>
    <row r="59" spans="1:68" ht="14.25" customHeight="1" x14ac:dyDescent="0.25">
      <c r="A59" s="347" t="s">
        <v>81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348">
        <v>4620207490822</v>
      </c>
      <c r="E60" s="348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0"/>
      <c r="R60" s="350"/>
      <c r="S60" s="350"/>
      <c r="T60" s="351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1"/>
      <c r="P61" s="357" t="s">
        <v>40</v>
      </c>
      <c r="Q61" s="358"/>
      <c r="R61" s="358"/>
      <c r="S61" s="358"/>
      <c r="T61" s="358"/>
      <c r="U61" s="358"/>
      <c r="V61" s="35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1"/>
      <c r="P62" s="357" t="s">
        <v>40</v>
      </c>
      <c r="Q62" s="358"/>
      <c r="R62" s="358"/>
      <c r="S62" s="358"/>
      <c r="T62" s="358"/>
      <c r="U62" s="358"/>
      <c r="V62" s="35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7" t="s">
        <v>106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348">
        <v>4607111039712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112</v>
      </c>
      <c r="M64" s="38" t="s">
        <v>85</v>
      </c>
      <c r="N64" s="38"/>
      <c r="O64" s="37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143</v>
      </c>
      <c r="AG64" s="81"/>
      <c r="AJ64" s="87" t="s">
        <v>113</v>
      </c>
      <c r="AK64" s="87">
        <v>14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357" t="s">
        <v>40</v>
      </c>
      <c r="Q65" s="358"/>
      <c r="R65" s="358"/>
      <c r="S65" s="358"/>
      <c r="T65" s="358"/>
      <c r="U65" s="358"/>
      <c r="V65" s="35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1"/>
      <c r="P66" s="357" t="s">
        <v>40</v>
      </c>
      <c r="Q66" s="358"/>
      <c r="R66" s="358"/>
      <c r="S66" s="358"/>
      <c r="T66" s="358"/>
      <c r="U66" s="358"/>
      <c r="V66" s="35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7" t="s">
        <v>144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348">
        <v>4607111037008</v>
      </c>
      <c r="E68" s="348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0"/>
      <c r="R68" s="350"/>
      <c r="S68" s="350"/>
      <c r="T68" s="351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348">
        <v>4607111037398</v>
      </c>
      <c r="E69" s="348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1"/>
      <c r="P70" s="357" t="s">
        <v>40</v>
      </c>
      <c r="Q70" s="358"/>
      <c r="R70" s="358"/>
      <c r="S70" s="358"/>
      <c r="T70" s="358"/>
      <c r="U70" s="358"/>
      <c r="V70" s="35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1"/>
      <c r="P71" s="357" t="s">
        <v>40</v>
      </c>
      <c r="Q71" s="358"/>
      <c r="R71" s="358"/>
      <c r="S71" s="358"/>
      <c r="T71" s="358"/>
      <c r="U71" s="358"/>
      <c r="V71" s="35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7" t="s">
        <v>150</v>
      </c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348">
        <v>4607111039705</v>
      </c>
      <c r="E73" s="348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153</v>
      </c>
      <c r="M73" s="38" t="s">
        <v>85</v>
      </c>
      <c r="N73" s="38"/>
      <c r="O73" s="37">
        <v>365</v>
      </c>
      <c r="P73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0"/>
      <c r="R73" s="350"/>
      <c r="S73" s="350"/>
      <c r="T73" s="351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154</v>
      </c>
      <c r="AK73" s="87">
        <v>140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155</v>
      </c>
      <c r="B74" s="63" t="s">
        <v>156</v>
      </c>
      <c r="C74" s="36">
        <v>4301135665</v>
      </c>
      <c r="D74" s="348">
        <v>4607111039729</v>
      </c>
      <c r="E74" s="348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153</v>
      </c>
      <c r="M74" s="38" t="s">
        <v>85</v>
      </c>
      <c r="N74" s="38"/>
      <c r="O74" s="37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0"/>
      <c r="R74" s="350"/>
      <c r="S74" s="350"/>
      <c r="T74" s="351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157</v>
      </c>
      <c r="AG74" s="81"/>
      <c r="AJ74" s="87" t="s">
        <v>154</v>
      </c>
      <c r="AK74" s="87">
        <v>140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158</v>
      </c>
      <c r="B75" s="63" t="s">
        <v>159</v>
      </c>
      <c r="C75" s="36">
        <v>4301135702</v>
      </c>
      <c r="D75" s="348">
        <v>4620207490228</v>
      </c>
      <c r="E75" s="34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153</v>
      </c>
      <c r="M75" s="38" t="s">
        <v>85</v>
      </c>
      <c r="N75" s="38"/>
      <c r="O75" s="37">
        <v>365</v>
      </c>
      <c r="P75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157</v>
      </c>
      <c r="AG75" s="81"/>
      <c r="AJ75" s="87" t="s">
        <v>154</v>
      </c>
      <c r="AK75" s="87">
        <v>140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1"/>
      <c r="P76" s="357" t="s">
        <v>40</v>
      </c>
      <c r="Q76" s="358"/>
      <c r="R76" s="358"/>
      <c r="S76" s="358"/>
      <c r="T76" s="358"/>
      <c r="U76" s="358"/>
      <c r="V76" s="35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1"/>
      <c r="P77" s="357" t="s">
        <v>40</v>
      </c>
      <c r="Q77" s="358"/>
      <c r="R77" s="358"/>
      <c r="S77" s="358"/>
      <c r="T77" s="358"/>
      <c r="U77" s="358"/>
      <c r="V77" s="35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160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81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161</v>
      </c>
      <c r="B80" s="63" t="s">
        <v>162</v>
      </c>
      <c r="C80" s="36">
        <v>4301070977</v>
      </c>
      <c r="D80" s="348">
        <v>4607111037411</v>
      </c>
      <c r="E80" s="348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164</v>
      </c>
      <c r="L80" s="37" t="s">
        <v>112</v>
      </c>
      <c r="M80" s="38" t="s">
        <v>85</v>
      </c>
      <c r="N80" s="38"/>
      <c r="O80" s="37">
        <v>180</v>
      </c>
      <c r="P80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163</v>
      </c>
      <c r="AG80" s="81"/>
      <c r="AJ80" s="87" t="s">
        <v>113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165</v>
      </c>
      <c r="B81" s="63" t="s">
        <v>166</v>
      </c>
      <c r="C81" s="36">
        <v>4301070981</v>
      </c>
      <c r="D81" s="348">
        <v>4607111036728</v>
      </c>
      <c r="E81" s="348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163</v>
      </c>
      <c r="AG81" s="81"/>
      <c r="AJ81" s="87" t="s">
        <v>113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1"/>
      <c r="P82" s="357" t="s">
        <v>40</v>
      </c>
      <c r="Q82" s="358"/>
      <c r="R82" s="358"/>
      <c r="S82" s="358"/>
      <c r="T82" s="358"/>
      <c r="U82" s="358"/>
      <c r="V82" s="35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1"/>
      <c r="P83" s="357" t="s">
        <v>40</v>
      </c>
      <c r="Q83" s="358"/>
      <c r="R83" s="358"/>
      <c r="S83" s="358"/>
      <c r="T83" s="358"/>
      <c r="U83" s="358"/>
      <c r="V83" s="35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167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150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348">
        <v>4607111033659</v>
      </c>
      <c r="E86" s="348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8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1"/>
      <c r="P87" s="357" t="s">
        <v>40</v>
      </c>
      <c r="Q87" s="358"/>
      <c r="R87" s="358"/>
      <c r="S87" s="358"/>
      <c r="T87" s="358"/>
      <c r="U87" s="358"/>
      <c r="V87" s="35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1"/>
      <c r="P88" s="357" t="s">
        <v>40</v>
      </c>
      <c r="Q88" s="358"/>
      <c r="R88" s="358"/>
      <c r="S88" s="358"/>
      <c r="T88" s="358"/>
      <c r="U88" s="358"/>
      <c r="V88" s="35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6" t="s">
        <v>171</v>
      </c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65"/>
      <c r="AB89" s="65"/>
      <c r="AC89" s="82"/>
    </row>
    <row r="90" spans="1:68" ht="14.25" customHeight="1" x14ac:dyDescent="0.25">
      <c r="A90" s="347" t="s">
        <v>172</v>
      </c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348">
        <v>4607111034120</v>
      </c>
      <c r="E91" s="348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348">
        <v>4607111034137</v>
      </c>
      <c r="E92" s="348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112</v>
      </c>
      <c r="M92" s="38" t="s">
        <v>85</v>
      </c>
      <c r="N92" s="38"/>
      <c r="O92" s="37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0"/>
      <c r="R92" s="350"/>
      <c r="S92" s="350"/>
      <c r="T92" s="351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113</v>
      </c>
      <c r="AK92" s="87">
        <v>14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1"/>
      <c r="P93" s="357" t="s">
        <v>40</v>
      </c>
      <c r="Q93" s="358"/>
      <c r="R93" s="358"/>
      <c r="S93" s="358"/>
      <c r="T93" s="358"/>
      <c r="U93" s="358"/>
      <c r="V93" s="35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1"/>
      <c r="P94" s="357" t="s">
        <v>40</v>
      </c>
      <c r="Q94" s="358"/>
      <c r="R94" s="358"/>
      <c r="S94" s="358"/>
      <c r="T94" s="358"/>
      <c r="U94" s="358"/>
      <c r="V94" s="35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6" t="s">
        <v>179</v>
      </c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65"/>
      <c r="AB95" s="65"/>
      <c r="AC95" s="82"/>
    </row>
    <row r="96" spans="1:68" ht="14.25" customHeight="1" x14ac:dyDescent="0.25">
      <c r="A96" s="347" t="s">
        <v>150</v>
      </c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348">
        <v>4620207491027</v>
      </c>
      <c r="E97" s="34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112</v>
      </c>
      <c r="M97" s="38" t="s">
        <v>85</v>
      </c>
      <c r="N97" s="38"/>
      <c r="O97" s="37">
        <v>180</v>
      </c>
      <c r="P97" s="3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113</v>
      </c>
      <c r="AK97" s="87">
        <v>14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348">
        <v>4620207491003</v>
      </c>
      <c r="E98" s="34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0"/>
      <c r="R98" s="350"/>
      <c r="S98" s="350"/>
      <c r="T98" s="35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113</v>
      </c>
      <c r="AK98" s="87">
        <v>14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348">
        <v>4620207491034</v>
      </c>
      <c r="E99" s="34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112</v>
      </c>
      <c r="M99" s="38" t="s">
        <v>85</v>
      </c>
      <c r="N99" s="38"/>
      <c r="O99" s="37">
        <v>180</v>
      </c>
      <c r="P99" s="38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0"/>
      <c r="R99" s="350"/>
      <c r="S99" s="350"/>
      <c r="T99" s="35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113</v>
      </c>
      <c r="AK99" s="87">
        <v>14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348">
        <v>4620207491010</v>
      </c>
      <c r="E100" s="34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8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0"/>
      <c r="R100" s="350"/>
      <c r="S100" s="350"/>
      <c r="T100" s="35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113</v>
      </c>
      <c r="AK100" s="87">
        <v>14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348">
        <v>4607111035028</v>
      </c>
      <c r="E101" s="348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112</v>
      </c>
      <c r="M101" s="38" t="s">
        <v>85</v>
      </c>
      <c r="N101" s="38"/>
      <c r="O101" s="37">
        <v>180</v>
      </c>
      <c r="P101" s="38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0"/>
      <c r="R101" s="350"/>
      <c r="S101" s="350"/>
      <c r="T101" s="35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113</v>
      </c>
      <c r="AK101" s="87">
        <v>14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348">
        <v>4607111036407</v>
      </c>
      <c r="E102" s="348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112</v>
      </c>
      <c r="M102" s="38" t="s">
        <v>85</v>
      </c>
      <c r="N102" s="38"/>
      <c r="O102" s="37">
        <v>180</v>
      </c>
      <c r="P102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113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1"/>
      <c r="P103" s="357" t="s">
        <v>40</v>
      </c>
      <c r="Q103" s="358"/>
      <c r="R103" s="358"/>
      <c r="S103" s="358"/>
      <c r="T103" s="358"/>
      <c r="U103" s="358"/>
      <c r="V103" s="35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1"/>
      <c r="P104" s="357" t="s">
        <v>40</v>
      </c>
      <c r="Q104" s="358"/>
      <c r="R104" s="358"/>
      <c r="S104" s="358"/>
      <c r="T104" s="358"/>
      <c r="U104" s="358"/>
      <c r="V104" s="35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6" t="s">
        <v>194</v>
      </c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65"/>
      <c r="AB105" s="65"/>
      <c r="AC105" s="82"/>
    </row>
    <row r="106" spans="1:68" ht="14.25" customHeight="1" x14ac:dyDescent="0.25">
      <c r="A106" s="347" t="s">
        <v>144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348">
        <v>4607025784012</v>
      </c>
      <c r="E107" s="348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348">
        <v>4607025784319</v>
      </c>
      <c r="E108" s="348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112</v>
      </c>
      <c r="M108" s="38" t="s">
        <v>85</v>
      </c>
      <c r="N108" s="38"/>
      <c r="O108" s="37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113</v>
      </c>
      <c r="AK108" s="87">
        <v>14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1"/>
      <c r="P109" s="357" t="s">
        <v>40</v>
      </c>
      <c r="Q109" s="358"/>
      <c r="R109" s="358"/>
      <c r="S109" s="358"/>
      <c r="T109" s="358"/>
      <c r="U109" s="358"/>
      <c r="V109" s="35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1"/>
      <c r="P110" s="357" t="s">
        <v>40</v>
      </c>
      <c r="Q110" s="358"/>
      <c r="R110" s="358"/>
      <c r="S110" s="358"/>
      <c r="T110" s="358"/>
      <c r="U110" s="358"/>
      <c r="V110" s="35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6" t="s">
        <v>200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65"/>
      <c r="AB111" s="65"/>
      <c r="AC111" s="82"/>
    </row>
    <row r="112" spans="1:68" ht="14.25" customHeight="1" x14ac:dyDescent="0.25">
      <c r="A112" s="347" t="s">
        <v>81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4301071121</v>
      </c>
      <c r="D113" s="348">
        <v>4620207491393</v>
      </c>
      <c r="E113" s="348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9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204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348">
        <v>4620207491157</v>
      </c>
      <c r="E114" s="348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112</v>
      </c>
      <c r="M114" s="38" t="s">
        <v>85</v>
      </c>
      <c r="N114" s="38"/>
      <c r="O114" s="37">
        <v>180</v>
      </c>
      <c r="P114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0"/>
      <c r="R114" s="350"/>
      <c r="S114" s="350"/>
      <c r="T114" s="35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113</v>
      </c>
      <c r="AK114" s="87">
        <v>12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8">
        <v>4607111039262</v>
      </c>
      <c r="E115" s="348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0"/>
      <c r="R115" s="350"/>
      <c r="S115" s="350"/>
      <c r="T115" s="35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163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8">
        <v>4607111039248</v>
      </c>
      <c r="E116" s="348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3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163</v>
      </c>
      <c r="AG116" s="81"/>
      <c r="AJ116" s="87" t="s">
        <v>113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8">
        <v>4607111037145</v>
      </c>
      <c r="E117" s="348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8">
        <v>4607111039293</v>
      </c>
      <c r="E118" s="348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39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0"/>
      <c r="R118" s="350"/>
      <c r="S118" s="350"/>
      <c r="T118" s="35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163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8">
        <v>4607111039279</v>
      </c>
      <c r="E119" s="348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39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0"/>
      <c r="R119" s="350"/>
      <c r="S119" s="350"/>
      <c r="T119" s="35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163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4301070978</v>
      </c>
      <c r="D120" s="348">
        <v>4607111037435</v>
      </c>
      <c r="E120" s="348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40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350"/>
      <c r="R120" s="350"/>
      <c r="S120" s="350"/>
      <c r="T120" s="351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1"/>
      <c r="P121" s="357" t="s">
        <v>40</v>
      </c>
      <c r="Q121" s="358"/>
      <c r="R121" s="358"/>
      <c r="S121" s="358"/>
      <c r="T121" s="358"/>
      <c r="U121" s="358"/>
      <c r="V121" s="359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0"/>
      <c r="B122" s="360"/>
      <c r="C122" s="360"/>
      <c r="D122" s="360"/>
      <c r="E122" s="360"/>
      <c r="F122" s="360"/>
      <c r="G122" s="360"/>
      <c r="H122" s="360"/>
      <c r="I122" s="360"/>
      <c r="J122" s="360"/>
      <c r="K122" s="360"/>
      <c r="L122" s="360"/>
      <c r="M122" s="360"/>
      <c r="N122" s="360"/>
      <c r="O122" s="361"/>
      <c r="P122" s="357" t="s">
        <v>40</v>
      </c>
      <c r="Q122" s="358"/>
      <c r="R122" s="358"/>
      <c r="S122" s="358"/>
      <c r="T122" s="358"/>
      <c r="U122" s="358"/>
      <c r="V122" s="359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7" t="s">
        <v>150</v>
      </c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348">
        <v>4620207490983</v>
      </c>
      <c r="E124" s="348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111</v>
      </c>
      <c r="L124" s="37" t="s">
        <v>87</v>
      </c>
      <c r="M124" s="38" t="s">
        <v>85</v>
      </c>
      <c r="N124" s="38"/>
      <c r="O124" s="37">
        <v>180</v>
      </c>
      <c r="P124" s="40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0"/>
      <c r="R124" s="350"/>
      <c r="S124" s="350"/>
      <c r="T124" s="351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88</v>
      </c>
      <c r="AK124" s="87">
        <v>1</v>
      </c>
      <c r="BB124" s="180" t="s">
        <v>110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1"/>
      <c r="P125" s="357" t="s">
        <v>40</v>
      </c>
      <c r="Q125" s="358"/>
      <c r="R125" s="358"/>
      <c r="S125" s="358"/>
      <c r="T125" s="358"/>
      <c r="U125" s="358"/>
      <c r="V125" s="359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0"/>
      <c r="B126" s="360"/>
      <c r="C126" s="360"/>
      <c r="D126" s="360"/>
      <c r="E126" s="360"/>
      <c r="F126" s="360"/>
      <c r="G126" s="360"/>
      <c r="H126" s="360"/>
      <c r="I126" s="360"/>
      <c r="J126" s="360"/>
      <c r="K126" s="360"/>
      <c r="L126" s="360"/>
      <c r="M126" s="360"/>
      <c r="N126" s="360"/>
      <c r="O126" s="361"/>
      <c r="P126" s="357" t="s">
        <v>40</v>
      </c>
      <c r="Q126" s="358"/>
      <c r="R126" s="358"/>
      <c r="S126" s="358"/>
      <c r="T126" s="358"/>
      <c r="U126" s="358"/>
      <c r="V126" s="359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7" t="s">
        <v>225</v>
      </c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48">
        <v>4620207491140</v>
      </c>
      <c r="E128" s="348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86</v>
      </c>
      <c r="L128" s="37" t="s">
        <v>87</v>
      </c>
      <c r="M128" s="38" t="s">
        <v>85</v>
      </c>
      <c r="N128" s="38"/>
      <c r="O128" s="37">
        <v>180</v>
      </c>
      <c r="P128" s="40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88</v>
      </c>
      <c r="AK128" s="87">
        <v>1</v>
      </c>
      <c r="BB128" s="182" t="s">
        <v>110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57" t="s">
        <v>40</v>
      </c>
      <c r="Q129" s="358"/>
      <c r="R129" s="358"/>
      <c r="S129" s="358"/>
      <c r="T129" s="358"/>
      <c r="U129" s="358"/>
      <c r="V129" s="359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0"/>
      <c r="B130" s="360"/>
      <c r="C130" s="360"/>
      <c r="D130" s="360"/>
      <c r="E130" s="360"/>
      <c r="F130" s="360"/>
      <c r="G130" s="360"/>
      <c r="H130" s="360"/>
      <c r="I130" s="360"/>
      <c r="J130" s="360"/>
      <c r="K130" s="360"/>
      <c r="L130" s="360"/>
      <c r="M130" s="360"/>
      <c r="N130" s="360"/>
      <c r="O130" s="361"/>
      <c r="P130" s="357" t="s">
        <v>40</v>
      </c>
      <c r="Q130" s="358"/>
      <c r="R130" s="358"/>
      <c r="S130" s="358"/>
      <c r="T130" s="358"/>
      <c r="U130" s="358"/>
      <c r="V130" s="359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6" t="s">
        <v>229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5"/>
      <c r="AB131" s="65"/>
      <c r="AC131" s="82"/>
    </row>
    <row r="132" spans="1:68" ht="14.25" customHeight="1" x14ac:dyDescent="0.25">
      <c r="A132" s="347" t="s">
        <v>150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48">
        <v>4607111034014</v>
      </c>
      <c r="E133" s="348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111</v>
      </c>
      <c r="L133" s="37" t="s">
        <v>112</v>
      </c>
      <c r="M133" s="38" t="s">
        <v>85</v>
      </c>
      <c r="N133" s="38"/>
      <c r="O133" s="37">
        <v>180</v>
      </c>
      <c r="P133" s="40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113</v>
      </c>
      <c r="AK133" s="87">
        <v>14</v>
      </c>
      <c r="BB133" s="184" t="s">
        <v>110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48">
        <v>4607111033994</v>
      </c>
      <c r="E134" s="348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153</v>
      </c>
      <c r="M134" s="38" t="s">
        <v>85</v>
      </c>
      <c r="N134" s="38"/>
      <c r="O134" s="37">
        <v>180</v>
      </c>
      <c r="P134" s="40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170</v>
      </c>
      <c r="AG134" s="81"/>
      <c r="AJ134" s="87" t="s">
        <v>154</v>
      </c>
      <c r="AK134" s="87">
        <v>70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1"/>
      <c r="P135" s="357" t="s">
        <v>40</v>
      </c>
      <c r="Q135" s="358"/>
      <c r="R135" s="358"/>
      <c r="S135" s="358"/>
      <c r="T135" s="358"/>
      <c r="U135" s="358"/>
      <c r="V135" s="359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0"/>
      <c r="B136" s="360"/>
      <c r="C136" s="360"/>
      <c r="D136" s="360"/>
      <c r="E136" s="360"/>
      <c r="F136" s="360"/>
      <c r="G136" s="360"/>
      <c r="H136" s="360"/>
      <c r="I136" s="360"/>
      <c r="J136" s="360"/>
      <c r="K136" s="360"/>
      <c r="L136" s="360"/>
      <c r="M136" s="360"/>
      <c r="N136" s="360"/>
      <c r="O136" s="361"/>
      <c r="P136" s="357" t="s">
        <v>40</v>
      </c>
      <c r="Q136" s="358"/>
      <c r="R136" s="358"/>
      <c r="S136" s="358"/>
      <c r="T136" s="358"/>
      <c r="U136" s="358"/>
      <c r="V136" s="359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6" t="s">
        <v>235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5"/>
      <c r="AB137" s="65"/>
      <c r="AC137" s="82"/>
    </row>
    <row r="138" spans="1:68" ht="14.25" customHeight="1" x14ac:dyDescent="0.25">
      <c r="A138" s="347" t="s">
        <v>150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8">
        <v>4607111039095</v>
      </c>
      <c r="E139" s="348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111</v>
      </c>
      <c r="L139" s="37" t="s">
        <v>87</v>
      </c>
      <c r="M139" s="38" t="s">
        <v>85</v>
      </c>
      <c r="N139" s="38"/>
      <c r="O139" s="37">
        <v>180</v>
      </c>
      <c r="P139" s="40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88</v>
      </c>
      <c r="AK139" s="87">
        <v>1</v>
      </c>
      <c r="BB139" s="188" t="s">
        <v>110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8">
        <v>4607111034199</v>
      </c>
      <c r="E140" s="348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111</v>
      </c>
      <c r="L140" s="37" t="s">
        <v>112</v>
      </c>
      <c r="M140" s="38" t="s">
        <v>85</v>
      </c>
      <c r="N140" s="38"/>
      <c r="O140" s="37">
        <v>180</v>
      </c>
      <c r="P140" s="40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0"/>
      <c r="R140" s="350"/>
      <c r="S140" s="350"/>
      <c r="T140" s="35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113</v>
      </c>
      <c r="AK140" s="87">
        <v>14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1"/>
      <c r="P141" s="357" t="s">
        <v>40</v>
      </c>
      <c r="Q141" s="358"/>
      <c r="R141" s="358"/>
      <c r="S141" s="358"/>
      <c r="T141" s="358"/>
      <c r="U141" s="358"/>
      <c r="V141" s="359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0"/>
      <c r="B142" s="360"/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1"/>
      <c r="P142" s="357" t="s">
        <v>40</v>
      </c>
      <c r="Q142" s="358"/>
      <c r="R142" s="358"/>
      <c r="S142" s="358"/>
      <c r="T142" s="358"/>
      <c r="U142" s="358"/>
      <c r="V142" s="359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6" t="s">
        <v>242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5"/>
      <c r="AB143" s="65"/>
      <c r="AC143" s="82"/>
    </row>
    <row r="144" spans="1:68" ht="14.25" customHeight="1" x14ac:dyDescent="0.25">
      <c r="A144" s="347" t="s">
        <v>150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8">
        <v>4620207490914</v>
      </c>
      <c r="E145" s="348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111</v>
      </c>
      <c r="L145" s="37" t="s">
        <v>87</v>
      </c>
      <c r="M145" s="38" t="s">
        <v>85</v>
      </c>
      <c r="N145" s="38"/>
      <c r="O145" s="37">
        <v>180</v>
      </c>
      <c r="P145" s="4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88</v>
      </c>
      <c r="AK145" s="87">
        <v>1</v>
      </c>
      <c r="BB145" s="192" t="s">
        <v>110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8">
        <v>4620207490853</v>
      </c>
      <c r="E146" s="348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112</v>
      </c>
      <c r="M146" s="38" t="s">
        <v>85</v>
      </c>
      <c r="N146" s="38"/>
      <c r="O146" s="37">
        <v>180</v>
      </c>
      <c r="P146" s="40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0"/>
      <c r="R146" s="350"/>
      <c r="S146" s="350"/>
      <c r="T146" s="351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113</v>
      </c>
      <c r="AK146" s="87">
        <v>14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1"/>
      <c r="P147" s="357" t="s">
        <v>40</v>
      </c>
      <c r="Q147" s="358"/>
      <c r="R147" s="358"/>
      <c r="S147" s="358"/>
      <c r="T147" s="358"/>
      <c r="U147" s="358"/>
      <c r="V147" s="359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0"/>
      <c r="B148" s="360"/>
      <c r="C148" s="360"/>
      <c r="D148" s="360"/>
      <c r="E148" s="360"/>
      <c r="F148" s="360"/>
      <c r="G148" s="360"/>
      <c r="H148" s="360"/>
      <c r="I148" s="360"/>
      <c r="J148" s="360"/>
      <c r="K148" s="360"/>
      <c r="L148" s="360"/>
      <c r="M148" s="360"/>
      <c r="N148" s="360"/>
      <c r="O148" s="361"/>
      <c r="P148" s="357" t="s">
        <v>40</v>
      </c>
      <c r="Q148" s="358"/>
      <c r="R148" s="358"/>
      <c r="S148" s="358"/>
      <c r="T148" s="358"/>
      <c r="U148" s="358"/>
      <c r="V148" s="359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6" t="s">
        <v>247</v>
      </c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  <c r="AA149" s="65"/>
      <c r="AB149" s="65"/>
      <c r="AC149" s="82"/>
    </row>
    <row r="150" spans="1:68" ht="14.25" customHeight="1" x14ac:dyDescent="0.25">
      <c r="A150" s="347" t="s">
        <v>150</v>
      </c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8">
        <v>4607111035806</v>
      </c>
      <c r="E151" s="348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111</v>
      </c>
      <c r="L151" s="37" t="s">
        <v>112</v>
      </c>
      <c r="M151" s="38" t="s">
        <v>85</v>
      </c>
      <c r="N151" s="38"/>
      <c r="O151" s="37">
        <v>180</v>
      </c>
      <c r="P151" s="40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0"/>
      <c r="R151" s="350"/>
      <c r="S151" s="350"/>
      <c r="T151" s="351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113</v>
      </c>
      <c r="AK151" s="87">
        <v>14</v>
      </c>
      <c r="BB151" s="196" t="s">
        <v>110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1"/>
      <c r="P152" s="357" t="s">
        <v>40</v>
      </c>
      <c r="Q152" s="358"/>
      <c r="R152" s="358"/>
      <c r="S152" s="358"/>
      <c r="T152" s="358"/>
      <c r="U152" s="358"/>
      <c r="V152" s="359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0"/>
      <c r="B153" s="360"/>
      <c r="C153" s="360"/>
      <c r="D153" s="360"/>
      <c r="E153" s="360"/>
      <c r="F153" s="360"/>
      <c r="G153" s="360"/>
      <c r="H153" s="360"/>
      <c r="I153" s="360"/>
      <c r="J153" s="360"/>
      <c r="K153" s="360"/>
      <c r="L153" s="360"/>
      <c r="M153" s="360"/>
      <c r="N153" s="360"/>
      <c r="O153" s="361"/>
      <c r="P153" s="357" t="s">
        <v>40</v>
      </c>
      <c r="Q153" s="358"/>
      <c r="R153" s="358"/>
      <c r="S153" s="358"/>
      <c r="T153" s="358"/>
      <c r="U153" s="358"/>
      <c r="V153" s="359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6" t="s">
        <v>251</v>
      </c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  <c r="AA154" s="65"/>
      <c r="AB154" s="65"/>
      <c r="AC154" s="82"/>
    </row>
    <row r="155" spans="1:68" ht="14.25" customHeight="1" x14ac:dyDescent="0.25">
      <c r="A155" s="347" t="s">
        <v>150</v>
      </c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8">
        <v>4607111039613</v>
      </c>
      <c r="E156" s="348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111</v>
      </c>
      <c r="L156" s="37" t="s">
        <v>112</v>
      </c>
      <c r="M156" s="38" t="s">
        <v>85</v>
      </c>
      <c r="N156" s="38"/>
      <c r="O156" s="37">
        <v>180</v>
      </c>
      <c r="P156" s="41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0"/>
      <c r="R156" s="350"/>
      <c r="S156" s="350"/>
      <c r="T156" s="351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113</v>
      </c>
      <c r="AK156" s="87">
        <v>14</v>
      </c>
      <c r="BB156" s="198" t="s">
        <v>110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1"/>
      <c r="P157" s="357" t="s">
        <v>40</v>
      </c>
      <c r="Q157" s="358"/>
      <c r="R157" s="358"/>
      <c r="S157" s="358"/>
      <c r="T157" s="358"/>
      <c r="U157" s="358"/>
      <c r="V157" s="359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0"/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1"/>
      <c r="P158" s="357" t="s">
        <v>40</v>
      </c>
      <c r="Q158" s="358"/>
      <c r="R158" s="358"/>
      <c r="S158" s="358"/>
      <c r="T158" s="358"/>
      <c r="U158" s="358"/>
      <c r="V158" s="359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6" t="s">
        <v>254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5"/>
      <c r="AB159" s="65"/>
      <c r="AC159" s="82"/>
    </row>
    <row r="160" spans="1:68" ht="14.25" customHeight="1" x14ac:dyDescent="0.25">
      <c r="A160" s="347" t="s">
        <v>225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8">
        <v>4607111035646</v>
      </c>
      <c r="E161" s="348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112</v>
      </c>
      <c r="M161" s="38" t="s">
        <v>85</v>
      </c>
      <c r="N161" s="38"/>
      <c r="O161" s="37">
        <v>180</v>
      </c>
      <c r="P161" s="41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113</v>
      </c>
      <c r="AK161" s="87">
        <v>6</v>
      </c>
      <c r="BB161" s="200" t="s">
        <v>110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1"/>
      <c r="P162" s="357" t="s">
        <v>40</v>
      </c>
      <c r="Q162" s="358"/>
      <c r="R162" s="358"/>
      <c r="S162" s="358"/>
      <c r="T162" s="358"/>
      <c r="U162" s="358"/>
      <c r="V162" s="359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0"/>
      <c r="B163" s="360"/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1"/>
      <c r="P163" s="357" t="s">
        <v>40</v>
      </c>
      <c r="Q163" s="358"/>
      <c r="R163" s="358"/>
      <c r="S163" s="358"/>
      <c r="T163" s="358"/>
      <c r="U163" s="358"/>
      <c r="V163" s="359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6" t="s">
        <v>259</v>
      </c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  <c r="AA164" s="65"/>
      <c r="AB164" s="65"/>
      <c r="AC164" s="82"/>
    </row>
    <row r="165" spans="1:68" ht="14.25" customHeight="1" x14ac:dyDescent="0.25">
      <c r="A165" s="347" t="s">
        <v>150</v>
      </c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8">
        <v>4607111036568</v>
      </c>
      <c r="E166" s="348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111</v>
      </c>
      <c r="L166" s="37" t="s">
        <v>112</v>
      </c>
      <c r="M166" s="38" t="s">
        <v>85</v>
      </c>
      <c r="N166" s="38"/>
      <c r="O166" s="37">
        <v>180</v>
      </c>
      <c r="P166" s="41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0"/>
      <c r="R166" s="350"/>
      <c r="S166" s="350"/>
      <c r="T166" s="351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113</v>
      </c>
      <c r="AK166" s="87">
        <v>14</v>
      </c>
      <c r="BB166" s="202" t="s">
        <v>110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1"/>
      <c r="P167" s="357" t="s">
        <v>40</v>
      </c>
      <c r="Q167" s="358"/>
      <c r="R167" s="358"/>
      <c r="S167" s="358"/>
      <c r="T167" s="358"/>
      <c r="U167" s="358"/>
      <c r="V167" s="35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0"/>
      <c r="B168" s="360"/>
      <c r="C168" s="360"/>
      <c r="D168" s="360"/>
      <c r="E168" s="360"/>
      <c r="F168" s="360"/>
      <c r="G168" s="360"/>
      <c r="H168" s="360"/>
      <c r="I168" s="360"/>
      <c r="J168" s="360"/>
      <c r="K168" s="360"/>
      <c r="L168" s="360"/>
      <c r="M168" s="360"/>
      <c r="N168" s="360"/>
      <c r="O168" s="361"/>
      <c r="P168" s="357" t="s">
        <v>40</v>
      </c>
      <c r="Q168" s="358"/>
      <c r="R168" s="358"/>
      <c r="S168" s="358"/>
      <c r="T168" s="358"/>
      <c r="U168" s="358"/>
      <c r="V168" s="35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5" t="s">
        <v>263</v>
      </c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54"/>
      <c r="AB169" s="54"/>
      <c r="AC169" s="54"/>
    </row>
    <row r="170" spans="1:68" ht="16.5" customHeight="1" x14ac:dyDescent="0.25">
      <c r="A170" s="346" t="s">
        <v>264</v>
      </c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65"/>
      <c r="AB170" s="65"/>
      <c r="AC170" s="82"/>
    </row>
    <row r="171" spans="1:68" ht="14.25" customHeight="1" x14ac:dyDescent="0.25">
      <c r="A171" s="347" t="s">
        <v>81</v>
      </c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8">
        <v>4607111036384</v>
      </c>
      <c r="E172" s="348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86</v>
      </c>
      <c r="L172" s="37" t="s">
        <v>87</v>
      </c>
      <c r="M172" s="38" t="s">
        <v>85</v>
      </c>
      <c r="N172" s="38"/>
      <c r="O172" s="37">
        <v>180</v>
      </c>
      <c r="P172" s="41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0"/>
      <c r="R172" s="350"/>
      <c r="S172" s="350"/>
      <c r="T172" s="35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88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8">
        <v>4607111036216</v>
      </c>
      <c r="E173" s="348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86</v>
      </c>
      <c r="L173" s="37" t="s">
        <v>112</v>
      </c>
      <c r="M173" s="38" t="s">
        <v>85</v>
      </c>
      <c r="N173" s="38"/>
      <c r="O173" s="37">
        <v>180</v>
      </c>
      <c r="P173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0"/>
      <c r="R173" s="350"/>
      <c r="S173" s="350"/>
      <c r="T173" s="35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113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1"/>
      <c r="P174" s="357" t="s">
        <v>40</v>
      </c>
      <c r="Q174" s="358"/>
      <c r="R174" s="358"/>
      <c r="S174" s="358"/>
      <c r="T174" s="358"/>
      <c r="U174" s="358"/>
      <c r="V174" s="359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0"/>
      <c r="B175" s="360"/>
      <c r="C175" s="360"/>
      <c r="D175" s="360"/>
      <c r="E175" s="360"/>
      <c r="F175" s="360"/>
      <c r="G175" s="360"/>
      <c r="H175" s="360"/>
      <c r="I175" s="360"/>
      <c r="J175" s="360"/>
      <c r="K175" s="360"/>
      <c r="L175" s="360"/>
      <c r="M175" s="360"/>
      <c r="N175" s="360"/>
      <c r="O175" s="361"/>
      <c r="P175" s="357" t="s">
        <v>40</v>
      </c>
      <c r="Q175" s="358"/>
      <c r="R175" s="358"/>
      <c r="S175" s="358"/>
      <c r="T175" s="358"/>
      <c r="U175" s="358"/>
      <c r="V175" s="359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5" t="s">
        <v>271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54"/>
      <c r="AB176" s="54"/>
      <c r="AC176" s="54"/>
    </row>
    <row r="177" spans="1:68" ht="16.5" customHeight="1" x14ac:dyDescent="0.25">
      <c r="A177" s="346" t="s">
        <v>272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5"/>
      <c r="AB177" s="65"/>
      <c r="AC177" s="82"/>
    </row>
    <row r="178" spans="1:68" ht="14.25" customHeight="1" x14ac:dyDescent="0.25">
      <c r="A178" s="347" t="s">
        <v>106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8">
        <v>4607111035691</v>
      </c>
      <c r="E179" s="348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111</v>
      </c>
      <c r="L179" s="37" t="s">
        <v>112</v>
      </c>
      <c r="M179" s="38" t="s">
        <v>85</v>
      </c>
      <c r="N179" s="38"/>
      <c r="O179" s="37">
        <v>365</v>
      </c>
      <c r="P179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50"/>
      <c r="R179" s="350"/>
      <c r="S179" s="350"/>
      <c r="T179" s="35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113</v>
      </c>
      <c r="AK179" s="87">
        <v>14</v>
      </c>
      <c r="BB179" s="208" t="s">
        <v>110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8">
        <v>4607111035721</v>
      </c>
      <c r="E180" s="348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112</v>
      </c>
      <c r="M180" s="38" t="s">
        <v>85</v>
      </c>
      <c r="N180" s="38"/>
      <c r="O180" s="37">
        <v>365</v>
      </c>
      <c r="P180" s="41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50"/>
      <c r="R180" s="350"/>
      <c r="S180" s="350"/>
      <c r="T180" s="35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113</v>
      </c>
      <c r="AK180" s="87">
        <v>14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8">
        <v>4607111038487</v>
      </c>
      <c r="E181" s="348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180</v>
      </c>
      <c r="P181" s="41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50"/>
      <c r="R181" s="350"/>
      <c r="S181" s="350"/>
      <c r="T181" s="351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113</v>
      </c>
      <c r="AK181" s="87">
        <v>14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60"/>
      <c r="B182" s="360"/>
      <c r="C182" s="360"/>
      <c r="D182" s="360"/>
      <c r="E182" s="360"/>
      <c r="F182" s="360"/>
      <c r="G182" s="360"/>
      <c r="H182" s="360"/>
      <c r="I182" s="360"/>
      <c r="J182" s="360"/>
      <c r="K182" s="360"/>
      <c r="L182" s="360"/>
      <c r="M182" s="360"/>
      <c r="N182" s="360"/>
      <c r="O182" s="361"/>
      <c r="P182" s="357" t="s">
        <v>40</v>
      </c>
      <c r="Q182" s="358"/>
      <c r="R182" s="358"/>
      <c r="S182" s="358"/>
      <c r="T182" s="358"/>
      <c r="U182" s="358"/>
      <c r="V182" s="359"/>
      <c r="W182" s="42" t="s">
        <v>39</v>
      </c>
      <c r="X182" s="43">
        <f>IFERROR(SUM(X179:X181),"0")</f>
        <v>0</v>
      </c>
      <c r="Y182" s="43">
        <f>IFERROR(SUM(Y179:Y181),"0")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360"/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1"/>
      <c r="P183" s="357" t="s">
        <v>40</v>
      </c>
      <c r="Q183" s="358"/>
      <c r="R183" s="358"/>
      <c r="S183" s="358"/>
      <c r="T183" s="358"/>
      <c r="U183" s="358"/>
      <c r="V183" s="359"/>
      <c r="W183" s="42" t="s">
        <v>0</v>
      </c>
      <c r="X183" s="43">
        <f>IFERROR(SUMPRODUCT(X179:X181*H179:H181),"0")</f>
        <v>0</v>
      </c>
      <c r="Y183" s="43">
        <f>IFERROR(SUMPRODUCT(Y179:Y181*H179:H181),"0")</f>
        <v>0</v>
      </c>
      <c r="Z183" s="42"/>
      <c r="AA183" s="67"/>
      <c r="AB183" s="67"/>
      <c r="AC183" s="67"/>
    </row>
    <row r="184" spans="1:68" ht="14.25" customHeight="1" x14ac:dyDescent="0.25">
      <c r="A184" s="347" t="s">
        <v>282</v>
      </c>
      <c r="B184" s="347"/>
      <c r="C184" s="347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348">
        <v>4680115885875</v>
      </c>
      <c r="E185" s="348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87</v>
      </c>
      <c r="M185" s="38" t="s">
        <v>288</v>
      </c>
      <c r="N185" s="38"/>
      <c r="O185" s="37">
        <v>365</v>
      </c>
      <c r="P185" s="418" t="s">
        <v>285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88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60"/>
      <c r="B186" s="360"/>
      <c r="C186" s="360"/>
      <c r="D186" s="360"/>
      <c r="E186" s="360"/>
      <c r="F186" s="360"/>
      <c r="G186" s="360"/>
      <c r="H186" s="360"/>
      <c r="I186" s="360"/>
      <c r="J186" s="360"/>
      <c r="K186" s="360"/>
      <c r="L186" s="360"/>
      <c r="M186" s="360"/>
      <c r="N186" s="360"/>
      <c r="O186" s="361"/>
      <c r="P186" s="357" t="s">
        <v>40</v>
      </c>
      <c r="Q186" s="358"/>
      <c r="R186" s="358"/>
      <c r="S186" s="358"/>
      <c r="T186" s="358"/>
      <c r="U186" s="358"/>
      <c r="V186" s="359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1"/>
      <c r="P187" s="357" t="s">
        <v>40</v>
      </c>
      <c r="Q187" s="358"/>
      <c r="R187" s="358"/>
      <c r="S187" s="358"/>
      <c r="T187" s="358"/>
      <c r="U187" s="358"/>
      <c r="V187" s="359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45" t="s">
        <v>290</v>
      </c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  <c r="Z188" s="345"/>
      <c r="AA188" s="54"/>
      <c r="AB188" s="54"/>
      <c r="AC188" s="54"/>
    </row>
    <row r="189" spans="1:68" ht="16.5" customHeight="1" x14ac:dyDescent="0.25">
      <c r="A189" s="346" t="s">
        <v>291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5"/>
      <c r="AB189" s="65"/>
      <c r="AC189" s="82"/>
    </row>
    <row r="190" spans="1:68" ht="14.25" customHeight="1" x14ac:dyDescent="0.25">
      <c r="A190" s="347" t="s">
        <v>106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348">
        <v>4620207491133</v>
      </c>
      <c r="E191" s="348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111</v>
      </c>
      <c r="L191" s="37" t="s">
        <v>112</v>
      </c>
      <c r="M191" s="38" t="s">
        <v>85</v>
      </c>
      <c r="N191" s="38"/>
      <c r="O191" s="37">
        <v>180</v>
      </c>
      <c r="P191" s="41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350"/>
      <c r="R191" s="350"/>
      <c r="S191" s="350"/>
      <c r="T191" s="35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113</v>
      </c>
      <c r="AK191" s="87">
        <v>14</v>
      </c>
      <c r="BB191" s="216" t="s">
        <v>110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1"/>
      <c r="P192" s="357" t="s">
        <v>40</v>
      </c>
      <c r="Q192" s="358"/>
      <c r="R192" s="358"/>
      <c r="S192" s="358"/>
      <c r="T192" s="358"/>
      <c r="U192" s="358"/>
      <c r="V192" s="359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0"/>
      <c r="B193" s="360"/>
      <c r="C193" s="360"/>
      <c r="D193" s="360"/>
      <c r="E193" s="360"/>
      <c r="F193" s="360"/>
      <c r="G193" s="360"/>
      <c r="H193" s="360"/>
      <c r="I193" s="360"/>
      <c r="J193" s="360"/>
      <c r="K193" s="360"/>
      <c r="L193" s="360"/>
      <c r="M193" s="360"/>
      <c r="N193" s="360"/>
      <c r="O193" s="361"/>
      <c r="P193" s="357" t="s">
        <v>40</v>
      </c>
      <c r="Q193" s="358"/>
      <c r="R193" s="358"/>
      <c r="S193" s="358"/>
      <c r="T193" s="358"/>
      <c r="U193" s="358"/>
      <c r="V193" s="359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47" t="s">
        <v>150</v>
      </c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348">
        <v>4620207491188</v>
      </c>
      <c r="E195" s="348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111</v>
      </c>
      <c r="L195" s="37" t="s">
        <v>87</v>
      </c>
      <c r="M195" s="38" t="s">
        <v>85</v>
      </c>
      <c r="N195" s="38"/>
      <c r="O195" s="37">
        <v>180</v>
      </c>
      <c r="P195" s="4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88</v>
      </c>
      <c r="AK195" s="87">
        <v>1</v>
      </c>
      <c r="BB195" s="218" t="s">
        <v>110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348">
        <v>4620207490198</v>
      </c>
      <c r="E196" s="348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112</v>
      </c>
      <c r="M196" s="38" t="s">
        <v>85</v>
      </c>
      <c r="N196" s="38"/>
      <c r="O196" s="37">
        <v>180</v>
      </c>
      <c r="P196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50"/>
      <c r="R196" s="350"/>
      <c r="S196" s="350"/>
      <c r="T196" s="35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113</v>
      </c>
      <c r="AK196" s="87">
        <v>14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348">
        <v>4620207490235</v>
      </c>
      <c r="E197" s="348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350"/>
      <c r="R197" s="350"/>
      <c r="S197" s="350"/>
      <c r="T197" s="351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348">
        <v>4620207490259</v>
      </c>
      <c r="E198" s="348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112</v>
      </c>
      <c r="M198" s="38" t="s">
        <v>85</v>
      </c>
      <c r="N198" s="38"/>
      <c r="O198" s="37">
        <v>180</v>
      </c>
      <c r="P198" s="4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50"/>
      <c r="R198" s="350"/>
      <c r="S198" s="350"/>
      <c r="T198" s="351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113</v>
      </c>
      <c r="AK198" s="87">
        <v>14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348">
        <v>4620207490143</v>
      </c>
      <c r="E199" s="348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111</v>
      </c>
      <c r="L199" s="37" t="s">
        <v>112</v>
      </c>
      <c r="M199" s="38" t="s">
        <v>85</v>
      </c>
      <c r="N199" s="38"/>
      <c r="O199" s="37">
        <v>180</v>
      </c>
      <c r="P199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50"/>
      <c r="R199" s="350"/>
      <c r="S199" s="350"/>
      <c r="T199" s="351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113</v>
      </c>
      <c r="AK199" s="87">
        <v>14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60"/>
      <c r="B200" s="360"/>
      <c r="C200" s="360"/>
      <c r="D200" s="360"/>
      <c r="E200" s="360"/>
      <c r="F200" s="360"/>
      <c r="G200" s="360"/>
      <c r="H200" s="360"/>
      <c r="I200" s="360"/>
      <c r="J200" s="360"/>
      <c r="K200" s="360"/>
      <c r="L200" s="360"/>
      <c r="M200" s="360"/>
      <c r="N200" s="360"/>
      <c r="O200" s="361"/>
      <c r="P200" s="357" t="s">
        <v>40</v>
      </c>
      <c r="Q200" s="358"/>
      <c r="R200" s="358"/>
      <c r="S200" s="358"/>
      <c r="T200" s="358"/>
      <c r="U200" s="358"/>
      <c r="V200" s="359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60"/>
      <c r="B201" s="360"/>
      <c r="C201" s="360"/>
      <c r="D201" s="360"/>
      <c r="E201" s="360"/>
      <c r="F201" s="360"/>
      <c r="G201" s="360"/>
      <c r="H201" s="360"/>
      <c r="I201" s="360"/>
      <c r="J201" s="360"/>
      <c r="K201" s="360"/>
      <c r="L201" s="360"/>
      <c r="M201" s="360"/>
      <c r="N201" s="360"/>
      <c r="O201" s="361"/>
      <c r="P201" s="357" t="s">
        <v>40</v>
      </c>
      <c r="Q201" s="358"/>
      <c r="R201" s="358"/>
      <c r="S201" s="358"/>
      <c r="T201" s="358"/>
      <c r="U201" s="358"/>
      <c r="V201" s="359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46" t="s">
        <v>309</v>
      </c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  <c r="AA202" s="65"/>
      <c r="AB202" s="65"/>
      <c r="AC202" s="82"/>
    </row>
    <row r="203" spans="1:68" ht="14.25" customHeight="1" x14ac:dyDescent="0.25">
      <c r="A203" s="347" t="s">
        <v>81</v>
      </c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348">
        <v>4620207491096</v>
      </c>
      <c r="E204" s="348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86</v>
      </c>
      <c r="L204" s="37" t="s">
        <v>112</v>
      </c>
      <c r="M204" s="38" t="s">
        <v>85</v>
      </c>
      <c r="N204" s="38"/>
      <c r="O204" s="37">
        <v>180</v>
      </c>
      <c r="P204" s="42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350"/>
      <c r="R204" s="350"/>
      <c r="S204" s="350"/>
      <c r="T204" s="35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113</v>
      </c>
      <c r="AK204" s="87">
        <v>12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1"/>
      <c r="P205" s="357" t="s">
        <v>40</v>
      </c>
      <c r="Q205" s="358"/>
      <c r="R205" s="358"/>
      <c r="S205" s="358"/>
      <c r="T205" s="358"/>
      <c r="U205" s="358"/>
      <c r="V205" s="359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1"/>
      <c r="P206" s="357" t="s">
        <v>40</v>
      </c>
      <c r="Q206" s="358"/>
      <c r="R206" s="358"/>
      <c r="S206" s="358"/>
      <c r="T206" s="358"/>
      <c r="U206" s="358"/>
      <c r="V206" s="359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46" t="s">
        <v>313</v>
      </c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65"/>
      <c r="AB207" s="65"/>
      <c r="AC207" s="82"/>
    </row>
    <row r="208" spans="1:68" ht="14.25" customHeight="1" x14ac:dyDescent="0.25">
      <c r="A208" s="347" t="s">
        <v>81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4301071093</v>
      </c>
      <c r="D209" s="348">
        <v>4620207490709</v>
      </c>
      <c r="E209" s="348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86</v>
      </c>
      <c r="L209" s="37" t="s">
        <v>87</v>
      </c>
      <c r="M209" s="38" t="s">
        <v>85</v>
      </c>
      <c r="N209" s="38"/>
      <c r="O209" s="37">
        <v>180</v>
      </c>
      <c r="P209" s="42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88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1"/>
      <c r="P210" s="357" t="s">
        <v>40</v>
      </c>
      <c r="Q210" s="358"/>
      <c r="R210" s="358"/>
      <c r="S210" s="358"/>
      <c r="T210" s="358"/>
      <c r="U210" s="358"/>
      <c r="V210" s="359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1"/>
      <c r="P211" s="357" t="s">
        <v>40</v>
      </c>
      <c r="Q211" s="358"/>
      <c r="R211" s="358"/>
      <c r="S211" s="358"/>
      <c r="T211" s="358"/>
      <c r="U211" s="358"/>
      <c r="V211" s="359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47" t="s">
        <v>150</v>
      </c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66"/>
      <c r="AB212" s="66"/>
      <c r="AC212" s="83"/>
    </row>
    <row r="213" spans="1:68" ht="27" customHeight="1" x14ac:dyDescent="0.25">
      <c r="A213" s="63" t="s">
        <v>317</v>
      </c>
      <c r="B213" s="63" t="s">
        <v>318</v>
      </c>
      <c r="C213" s="36">
        <v>4301135691</v>
      </c>
      <c r="D213" s="348">
        <v>4620207490549</v>
      </c>
      <c r="E213" s="348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111</v>
      </c>
      <c r="L213" s="37" t="s">
        <v>112</v>
      </c>
      <c r="M213" s="38" t="s">
        <v>85</v>
      </c>
      <c r="N213" s="38"/>
      <c r="O213" s="37">
        <v>180</v>
      </c>
      <c r="P213" s="42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350"/>
      <c r="R213" s="350"/>
      <c r="S213" s="350"/>
      <c r="T213" s="351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319</v>
      </c>
      <c r="AG213" s="81"/>
      <c r="AJ213" s="87" t="s">
        <v>113</v>
      </c>
      <c r="AK213" s="87">
        <v>14</v>
      </c>
      <c r="BB213" s="232" t="s">
        <v>110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320</v>
      </c>
      <c r="B214" s="63" t="s">
        <v>321</v>
      </c>
      <c r="C214" s="36">
        <v>4301135694</v>
      </c>
      <c r="D214" s="348">
        <v>4620207490501</v>
      </c>
      <c r="E214" s="34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112</v>
      </c>
      <c r="M214" s="38" t="s">
        <v>85</v>
      </c>
      <c r="N214" s="38"/>
      <c r="O214" s="37">
        <v>180</v>
      </c>
      <c r="P214" s="4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350"/>
      <c r="R214" s="350"/>
      <c r="S214" s="350"/>
      <c r="T214" s="35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319</v>
      </c>
      <c r="AG214" s="81"/>
      <c r="AJ214" s="87" t="s">
        <v>113</v>
      </c>
      <c r="AK214" s="87">
        <v>14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60"/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1"/>
      <c r="P215" s="357" t="s">
        <v>40</v>
      </c>
      <c r="Q215" s="358"/>
      <c r="R215" s="358"/>
      <c r="S215" s="358"/>
      <c r="T215" s="358"/>
      <c r="U215" s="358"/>
      <c r="V215" s="359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1"/>
      <c r="P216" s="357" t="s">
        <v>40</v>
      </c>
      <c r="Q216" s="358"/>
      <c r="R216" s="358"/>
      <c r="S216" s="358"/>
      <c r="T216" s="358"/>
      <c r="U216" s="358"/>
      <c r="V216" s="359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45" t="s">
        <v>322</v>
      </c>
      <c r="B217" s="345"/>
      <c r="C217" s="345"/>
      <c r="D217" s="345"/>
      <c r="E217" s="345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  <c r="Z217" s="345"/>
      <c r="AA217" s="54"/>
      <c r="AB217" s="54"/>
      <c r="AC217" s="54"/>
    </row>
    <row r="218" spans="1:68" ht="16.5" customHeight="1" x14ac:dyDescent="0.25">
      <c r="A218" s="346" t="s">
        <v>323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65"/>
      <c r="AB218" s="65"/>
      <c r="AC218" s="82"/>
    </row>
    <row r="219" spans="1:68" ht="14.25" customHeight="1" x14ac:dyDescent="0.25">
      <c r="A219" s="347" t="s">
        <v>81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6"/>
      <c r="AB219" s="66"/>
      <c r="AC219" s="83"/>
    </row>
    <row r="220" spans="1:68" ht="27" customHeight="1" x14ac:dyDescent="0.25">
      <c r="A220" s="63" t="s">
        <v>324</v>
      </c>
      <c r="B220" s="63" t="s">
        <v>325</v>
      </c>
      <c r="C220" s="36">
        <v>4301071036</v>
      </c>
      <c r="D220" s="348">
        <v>4607111036162</v>
      </c>
      <c r="E220" s="348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86</v>
      </c>
      <c r="L220" s="37" t="s">
        <v>87</v>
      </c>
      <c r="M220" s="38" t="s">
        <v>85</v>
      </c>
      <c r="N220" s="38"/>
      <c r="O220" s="37">
        <v>90</v>
      </c>
      <c r="P220" s="4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350"/>
      <c r="R220" s="350"/>
      <c r="S220" s="350"/>
      <c r="T220" s="351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326</v>
      </c>
      <c r="AG220" s="81"/>
      <c r="AJ220" s="87" t="s">
        <v>88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60"/>
      <c r="B221" s="360"/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1"/>
      <c r="P221" s="357" t="s">
        <v>40</v>
      </c>
      <c r="Q221" s="358"/>
      <c r="R221" s="358"/>
      <c r="S221" s="358"/>
      <c r="T221" s="358"/>
      <c r="U221" s="358"/>
      <c r="V221" s="35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1"/>
      <c r="P222" s="357" t="s">
        <v>40</v>
      </c>
      <c r="Q222" s="358"/>
      <c r="R222" s="358"/>
      <c r="S222" s="358"/>
      <c r="T222" s="358"/>
      <c r="U222" s="358"/>
      <c r="V222" s="35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45" t="s">
        <v>327</v>
      </c>
      <c r="B223" s="345"/>
      <c r="C223" s="345"/>
      <c r="D223" s="34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  <c r="Z223" s="345"/>
      <c r="AA223" s="54"/>
      <c r="AB223" s="54"/>
      <c r="AC223" s="54"/>
    </row>
    <row r="224" spans="1:68" ht="16.5" customHeight="1" x14ac:dyDescent="0.25">
      <c r="A224" s="346" t="s">
        <v>328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65"/>
      <c r="AB224" s="65"/>
      <c r="AC224" s="82"/>
    </row>
    <row r="225" spans="1:68" ht="14.25" customHeight="1" x14ac:dyDescent="0.25">
      <c r="A225" s="347" t="s">
        <v>81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4301071029</v>
      </c>
      <c r="D226" s="348">
        <v>4607111035899</v>
      </c>
      <c r="E226" s="348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86</v>
      </c>
      <c r="L226" s="37" t="s">
        <v>112</v>
      </c>
      <c r="M226" s="38" t="s">
        <v>85</v>
      </c>
      <c r="N226" s="38"/>
      <c r="O226" s="37">
        <v>180</v>
      </c>
      <c r="P226" s="43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350"/>
      <c r="R226" s="350"/>
      <c r="S226" s="350"/>
      <c r="T226" s="351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270</v>
      </c>
      <c r="AG226" s="81"/>
      <c r="AJ226" s="87" t="s">
        <v>113</v>
      </c>
      <c r="AK226" s="87">
        <v>12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60"/>
      <c r="B227" s="360"/>
      <c r="C227" s="360"/>
      <c r="D227" s="360"/>
      <c r="E227" s="360"/>
      <c r="F227" s="360"/>
      <c r="G227" s="360"/>
      <c r="H227" s="360"/>
      <c r="I227" s="360"/>
      <c r="J227" s="360"/>
      <c r="K227" s="360"/>
      <c r="L227" s="360"/>
      <c r="M227" s="360"/>
      <c r="N227" s="360"/>
      <c r="O227" s="361"/>
      <c r="P227" s="357" t="s">
        <v>40</v>
      </c>
      <c r="Q227" s="358"/>
      <c r="R227" s="358"/>
      <c r="S227" s="358"/>
      <c r="T227" s="358"/>
      <c r="U227" s="358"/>
      <c r="V227" s="35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1"/>
      <c r="P228" s="357" t="s">
        <v>40</v>
      </c>
      <c r="Q228" s="358"/>
      <c r="R228" s="358"/>
      <c r="S228" s="358"/>
      <c r="T228" s="358"/>
      <c r="U228" s="358"/>
      <c r="V228" s="35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45" t="s">
        <v>331</v>
      </c>
      <c r="B229" s="345"/>
      <c r="C229" s="345"/>
      <c r="D229" s="345"/>
      <c r="E229" s="345"/>
      <c r="F229" s="345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  <c r="X229" s="345"/>
      <c r="Y229" s="345"/>
      <c r="Z229" s="345"/>
      <c r="AA229" s="54"/>
      <c r="AB229" s="54"/>
      <c r="AC229" s="54"/>
    </row>
    <row r="230" spans="1:68" ht="16.5" customHeight="1" x14ac:dyDescent="0.25">
      <c r="A230" s="346" t="s">
        <v>332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65"/>
      <c r="AB230" s="65"/>
      <c r="AC230" s="82"/>
    </row>
    <row r="231" spans="1:68" ht="14.25" customHeight="1" x14ac:dyDescent="0.25">
      <c r="A231" s="347" t="s">
        <v>333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4301133004</v>
      </c>
      <c r="D232" s="348">
        <v>4607111039774</v>
      </c>
      <c r="E232" s="348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111</v>
      </c>
      <c r="L232" s="37" t="s">
        <v>87</v>
      </c>
      <c r="M232" s="38" t="s">
        <v>85</v>
      </c>
      <c r="N232" s="38"/>
      <c r="O232" s="37">
        <v>180</v>
      </c>
      <c r="P232" s="4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0"/>
      <c r="R232" s="350"/>
      <c r="S232" s="350"/>
      <c r="T232" s="351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336</v>
      </c>
      <c r="AG232" s="81"/>
      <c r="AJ232" s="87" t="s">
        <v>88</v>
      </c>
      <c r="AK232" s="87">
        <v>1</v>
      </c>
      <c r="BB232" s="240" t="s">
        <v>110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60"/>
      <c r="B233" s="360"/>
      <c r="C233" s="360"/>
      <c r="D233" s="360"/>
      <c r="E233" s="360"/>
      <c r="F233" s="360"/>
      <c r="G233" s="360"/>
      <c r="H233" s="360"/>
      <c r="I233" s="360"/>
      <c r="J233" s="360"/>
      <c r="K233" s="360"/>
      <c r="L233" s="360"/>
      <c r="M233" s="360"/>
      <c r="N233" s="360"/>
      <c r="O233" s="361"/>
      <c r="P233" s="357" t="s">
        <v>40</v>
      </c>
      <c r="Q233" s="358"/>
      <c r="R233" s="358"/>
      <c r="S233" s="358"/>
      <c r="T233" s="358"/>
      <c r="U233" s="358"/>
      <c r="V233" s="35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1"/>
      <c r="P234" s="357" t="s">
        <v>40</v>
      </c>
      <c r="Q234" s="358"/>
      <c r="R234" s="358"/>
      <c r="S234" s="358"/>
      <c r="T234" s="358"/>
      <c r="U234" s="358"/>
      <c r="V234" s="35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47" t="s">
        <v>150</v>
      </c>
      <c r="B235" s="347"/>
      <c r="C235" s="347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  <c r="AA235" s="66"/>
      <c r="AB235" s="66"/>
      <c r="AC235" s="83"/>
    </row>
    <row r="236" spans="1:68" ht="37.5" customHeight="1" x14ac:dyDescent="0.25">
      <c r="A236" s="63" t="s">
        <v>337</v>
      </c>
      <c r="B236" s="63" t="s">
        <v>338</v>
      </c>
      <c r="C236" s="36">
        <v>4301135400</v>
      </c>
      <c r="D236" s="348">
        <v>4607111039361</v>
      </c>
      <c r="E236" s="348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111</v>
      </c>
      <c r="L236" s="37" t="s">
        <v>112</v>
      </c>
      <c r="M236" s="38" t="s">
        <v>85</v>
      </c>
      <c r="N236" s="38"/>
      <c r="O236" s="37">
        <v>180</v>
      </c>
      <c r="P236" s="4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0"/>
      <c r="R236" s="350"/>
      <c r="S236" s="350"/>
      <c r="T236" s="351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336</v>
      </c>
      <c r="AG236" s="81"/>
      <c r="AJ236" s="87" t="s">
        <v>113</v>
      </c>
      <c r="AK236" s="87">
        <v>14</v>
      </c>
      <c r="BB236" s="242" t="s">
        <v>110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60"/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1"/>
      <c r="P237" s="357" t="s">
        <v>40</v>
      </c>
      <c r="Q237" s="358"/>
      <c r="R237" s="358"/>
      <c r="S237" s="358"/>
      <c r="T237" s="358"/>
      <c r="U237" s="358"/>
      <c r="V237" s="35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1"/>
      <c r="P238" s="357" t="s">
        <v>40</v>
      </c>
      <c r="Q238" s="358"/>
      <c r="R238" s="358"/>
      <c r="S238" s="358"/>
      <c r="T238" s="358"/>
      <c r="U238" s="358"/>
      <c r="V238" s="35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45" t="s">
        <v>339</v>
      </c>
      <c r="B239" s="345"/>
      <c r="C239" s="345"/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  <c r="X239" s="345"/>
      <c r="Y239" s="345"/>
      <c r="Z239" s="345"/>
      <c r="AA239" s="54"/>
      <c r="AB239" s="54"/>
      <c r="AC239" s="54"/>
    </row>
    <row r="240" spans="1:68" ht="16.5" customHeight="1" x14ac:dyDescent="0.25">
      <c r="A240" s="346" t="s">
        <v>339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65"/>
      <c r="AB240" s="65"/>
      <c r="AC240" s="82"/>
    </row>
    <row r="241" spans="1:68" ht="14.25" customHeight="1" x14ac:dyDescent="0.25">
      <c r="A241" s="347" t="s">
        <v>81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6"/>
      <c r="AB241" s="66"/>
      <c r="AC241" s="83"/>
    </row>
    <row r="242" spans="1:68" ht="27" customHeight="1" x14ac:dyDescent="0.25">
      <c r="A242" s="63" t="s">
        <v>340</v>
      </c>
      <c r="B242" s="63" t="s">
        <v>341</v>
      </c>
      <c r="C242" s="36">
        <v>4301071014</v>
      </c>
      <c r="D242" s="348">
        <v>4640242181264</v>
      </c>
      <c r="E242" s="348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86</v>
      </c>
      <c r="L242" s="37" t="s">
        <v>87</v>
      </c>
      <c r="M242" s="38" t="s">
        <v>85</v>
      </c>
      <c r="N242" s="38"/>
      <c r="O242" s="37">
        <v>180</v>
      </c>
      <c r="P242" s="43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350"/>
      <c r="R242" s="350"/>
      <c r="S242" s="350"/>
      <c r="T242" s="351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342</v>
      </c>
      <c r="AG242" s="81"/>
      <c r="AJ242" s="87" t="s">
        <v>88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343</v>
      </c>
      <c r="B243" s="63" t="s">
        <v>344</v>
      </c>
      <c r="C243" s="36">
        <v>4301071021</v>
      </c>
      <c r="D243" s="348">
        <v>4640242181325</v>
      </c>
      <c r="E243" s="348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112</v>
      </c>
      <c r="M243" s="38" t="s">
        <v>85</v>
      </c>
      <c r="N243" s="38"/>
      <c r="O243" s="37">
        <v>180</v>
      </c>
      <c r="P243" s="4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350"/>
      <c r="R243" s="350"/>
      <c r="S243" s="350"/>
      <c r="T243" s="35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342</v>
      </c>
      <c r="AG243" s="81"/>
      <c r="AJ243" s="87" t="s">
        <v>113</v>
      </c>
      <c r="AK243" s="87">
        <v>12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60"/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1"/>
      <c r="P244" s="357" t="s">
        <v>40</v>
      </c>
      <c r="Q244" s="358"/>
      <c r="R244" s="358"/>
      <c r="S244" s="358"/>
      <c r="T244" s="358"/>
      <c r="U244" s="358"/>
      <c r="V244" s="359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1"/>
      <c r="P245" s="357" t="s">
        <v>40</v>
      </c>
      <c r="Q245" s="358"/>
      <c r="R245" s="358"/>
      <c r="S245" s="358"/>
      <c r="T245" s="358"/>
      <c r="U245" s="358"/>
      <c r="V245" s="359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47" t="s">
        <v>106</v>
      </c>
      <c r="B246" s="347"/>
      <c r="C246" s="347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4301132080</v>
      </c>
      <c r="D247" s="348">
        <v>4640242180397</v>
      </c>
      <c r="E247" s="348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86</v>
      </c>
      <c r="L247" s="37" t="s">
        <v>112</v>
      </c>
      <c r="M247" s="38" t="s">
        <v>85</v>
      </c>
      <c r="N247" s="38"/>
      <c r="O247" s="37">
        <v>180</v>
      </c>
      <c r="P247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113</v>
      </c>
      <c r="AK247" s="87">
        <v>12</v>
      </c>
      <c r="BB247" s="248" t="s">
        <v>110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4301132104</v>
      </c>
      <c r="D248" s="348">
        <v>4640242181219</v>
      </c>
      <c r="E248" s="348"/>
      <c r="F248" s="62">
        <v>0.3</v>
      </c>
      <c r="G248" s="37">
        <v>9</v>
      </c>
      <c r="H248" s="62">
        <v>2.7</v>
      </c>
      <c r="I248" s="62">
        <v>2.8450000000000002</v>
      </c>
      <c r="J248" s="37">
        <v>234</v>
      </c>
      <c r="K248" s="37" t="s">
        <v>164</v>
      </c>
      <c r="L248" s="37" t="s">
        <v>112</v>
      </c>
      <c r="M248" s="38" t="s">
        <v>85</v>
      </c>
      <c r="N248" s="38"/>
      <c r="O248" s="37">
        <v>180</v>
      </c>
      <c r="P248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350"/>
      <c r="R248" s="350"/>
      <c r="S248" s="350"/>
      <c r="T248" s="35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IFERROR(IF(X248="","",X248*0.00502),"")</f>
        <v>0</v>
      </c>
      <c r="AA248" s="68" t="s">
        <v>46</v>
      </c>
      <c r="AB248" s="69" t="s">
        <v>46</v>
      </c>
      <c r="AC248" s="249" t="s">
        <v>347</v>
      </c>
      <c r="AG248" s="81"/>
      <c r="AJ248" s="87" t="s">
        <v>113</v>
      </c>
      <c r="AK248" s="87">
        <v>18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1"/>
      <c r="P249" s="357" t="s">
        <v>40</v>
      </c>
      <c r="Q249" s="358"/>
      <c r="R249" s="358"/>
      <c r="S249" s="358"/>
      <c r="T249" s="358"/>
      <c r="U249" s="358"/>
      <c r="V249" s="359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x14ac:dyDescent="0.2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1"/>
      <c r="P250" s="357" t="s">
        <v>40</v>
      </c>
      <c r="Q250" s="358"/>
      <c r="R250" s="358"/>
      <c r="S250" s="358"/>
      <c r="T250" s="358"/>
      <c r="U250" s="358"/>
      <c r="V250" s="359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47" t="s">
        <v>144</v>
      </c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4301136051</v>
      </c>
      <c r="D252" s="348">
        <v>4640242180304</v>
      </c>
      <c r="E252" s="348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111</v>
      </c>
      <c r="L252" s="37" t="s">
        <v>112</v>
      </c>
      <c r="M252" s="38" t="s">
        <v>85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352</v>
      </c>
      <c r="AG252" s="81"/>
      <c r="AJ252" s="87" t="s">
        <v>113</v>
      </c>
      <c r="AK252" s="87">
        <v>14</v>
      </c>
      <c r="BB252" s="252" t="s">
        <v>110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353</v>
      </c>
      <c r="B253" s="63" t="s">
        <v>354</v>
      </c>
      <c r="C253" s="36">
        <v>4301136053</v>
      </c>
      <c r="D253" s="348">
        <v>4640242180236</v>
      </c>
      <c r="E253" s="348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86</v>
      </c>
      <c r="L253" s="37" t="s">
        <v>112</v>
      </c>
      <c r="M253" s="38" t="s">
        <v>85</v>
      </c>
      <c r="N253" s="38"/>
      <c r="O253" s="37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0"/>
      <c r="R253" s="350"/>
      <c r="S253" s="350"/>
      <c r="T253" s="35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352</v>
      </c>
      <c r="AG253" s="81"/>
      <c r="AJ253" s="87" t="s">
        <v>113</v>
      </c>
      <c r="AK253" s="87">
        <v>12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355</v>
      </c>
      <c r="B254" s="63" t="s">
        <v>356</v>
      </c>
      <c r="C254" s="36">
        <v>4301136052</v>
      </c>
      <c r="D254" s="348">
        <v>4640242180410</v>
      </c>
      <c r="E254" s="348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111</v>
      </c>
      <c r="L254" s="37" t="s">
        <v>87</v>
      </c>
      <c r="M254" s="38" t="s">
        <v>85</v>
      </c>
      <c r="N254" s="38"/>
      <c r="O254" s="37">
        <v>180</v>
      </c>
      <c r="P254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0"/>
      <c r="R254" s="350"/>
      <c r="S254" s="350"/>
      <c r="T254" s="35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352</v>
      </c>
      <c r="AG254" s="81"/>
      <c r="AJ254" s="87" t="s">
        <v>88</v>
      </c>
      <c r="AK254" s="87">
        <v>1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1"/>
      <c r="P255" s="357" t="s">
        <v>40</v>
      </c>
      <c r="Q255" s="358"/>
      <c r="R255" s="358"/>
      <c r="S255" s="358"/>
      <c r="T255" s="358"/>
      <c r="U255" s="358"/>
      <c r="V255" s="359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1"/>
      <c r="P256" s="357" t="s">
        <v>40</v>
      </c>
      <c r="Q256" s="358"/>
      <c r="R256" s="358"/>
      <c r="S256" s="358"/>
      <c r="T256" s="358"/>
      <c r="U256" s="358"/>
      <c r="V256" s="359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7" t="s">
        <v>150</v>
      </c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66"/>
      <c r="AB257" s="66"/>
      <c r="AC257" s="83"/>
    </row>
    <row r="258" spans="1:68" ht="37.5" customHeight="1" x14ac:dyDescent="0.25">
      <c r="A258" s="63" t="s">
        <v>357</v>
      </c>
      <c r="B258" s="63" t="s">
        <v>358</v>
      </c>
      <c r="C258" s="36">
        <v>4301135504</v>
      </c>
      <c r="D258" s="348">
        <v>4640242181554</v>
      </c>
      <c r="E258" s="348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111</v>
      </c>
      <c r="L258" s="37" t="s">
        <v>112</v>
      </c>
      <c r="M258" s="38" t="s">
        <v>85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359</v>
      </c>
      <c r="AG258" s="81"/>
      <c r="AJ258" s="87" t="s">
        <v>113</v>
      </c>
      <c r="AK258" s="87">
        <v>14</v>
      </c>
      <c r="BB258" s="258" t="s">
        <v>110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360</v>
      </c>
      <c r="B259" s="63" t="s">
        <v>361</v>
      </c>
      <c r="C259" s="36">
        <v>4301135518</v>
      </c>
      <c r="D259" s="348">
        <v>4640242181561</v>
      </c>
      <c r="E259" s="348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111</v>
      </c>
      <c r="L259" s="37" t="s">
        <v>112</v>
      </c>
      <c r="M259" s="38" t="s">
        <v>85</v>
      </c>
      <c r="N259" s="38"/>
      <c r="O259" s="37">
        <v>180</v>
      </c>
      <c r="P259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0"/>
      <c r="R259" s="350"/>
      <c r="S259" s="350"/>
      <c r="T259" s="351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113</v>
      </c>
      <c r="AK259" s="87">
        <v>14</v>
      </c>
      <c r="BB259" s="260" t="s">
        <v>110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4301135374</v>
      </c>
      <c r="D260" s="348">
        <v>4640242181424</v>
      </c>
      <c r="E260" s="348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86</v>
      </c>
      <c r="L260" s="37" t="s">
        <v>112</v>
      </c>
      <c r="M260" s="38" t="s">
        <v>85</v>
      </c>
      <c r="N260" s="38"/>
      <c r="O260" s="37">
        <v>180</v>
      </c>
      <c r="P260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0"/>
      <c r="R260" s="350"/>
      <c r="S260" s="350"/>
      <c r="T260" s="351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359</v>
      </c>
      <c r="AG260" s="81"/>
      <c r="AJ260" s="87" t="s">
        <v>113</v>
      </c>
      <c r="AK260" s="87">
        <v>12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365</v>
      </c>
      <c r="B261" s="63" t="s">
        <v>366</v>
      </c>
      <c r="C261" s="36">
        <v>4301135405</v>
      </c>
      <c r="D261" s="348">
        <v>4640242181523</v>
      </c>
      <c r="E261" s="348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111</v>
      </c>
      <c r="L261" s="37" t="s">
        <v>112</v>
      </c>
      <c r="M261" s="38" t="s">
        <v>85</v>
      </c>
      <c r="N261" s="38"/>
      <c r="O261" s="37">
        <v>180</v>
      </c>
      <c r="P261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0"/>
      <c r="R261" s="350"/>
      <c r="S261" s="350"/>
      <c r="T261" s="351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113</v>
      </c>
      <c r="AK261" s="87">
        <v>14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367</v>
      </c>
      <c r="B262" s="63" t="s">
        <v>368</v>
      </c>
      <c r="C262" s="36">
        <v>4301135375</v>
      </c>
      <c r="D262" s="348">
        <v>4640242181486</v>
      </c>
      <c r="E262" s="348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111</v>
      </c>
      <c r="L262" s="37" t="s">
        <v>153</v>
      </c>
      <c r="M262" s="38" t="s">
        <v>85</v>
      </c>
      <c r="N262" s="38"/>
      <c r="O262" s="37">
        <v>180</v>
      </c>
      <c r="P262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359</v>
      </c>
      <c r="AG262" s="81"/>
      <c r="AJ262" s="87" t="s">
        <v>154</v>
      </c>
      <c r="AK262" s="87">
        <v>126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369</v>
      </c>
      <c r="B263" s="63" t="s">
        <v>370</v>
      </c>
      <c r="C263" s="36">
        <v>4301135402</v>
      </c>
      <c r="D263" s="348">
        <v>4640242181493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112</v>
      </c>
      <c r="M263" s="38" t="s">
        <v>85</v>
      </c>
      <c r="N263" s="38"/>
      <c r="O263" s="37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359</v>
      </c>
      <c r="AG263" s="81"/>
      <c r="AJ263" s="87" t="s">
        <v>113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371</v>
      </c>
      <c r="B264" s="63" t="s">
        <v>372</v>
      </c>
      <c r="C264" s="36">
        <v>4301135403</v>
      </c>
      <c r="D264" s="348">
        <v>4640242181509</v>
      </c>
      <c r="E264" s="348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112</v>
      </c>
      <c r="M264" s="38" t="s">
        <v>85</v>
      </c>
      <c r="N264" s="38"/>
      <c r="O264" s="37">
        <v>180</v>
      </c>
      <c r="P264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359</v>
      </c>
      <c r="AG264" s="81"/>
      <c r="AJ264" s="87" t="s">
        <v>113</v>
      </c>
      <c r="AK264" s="87">
        <v>14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4301135304</v>
      </c>
      <c r="D265" s="348">
        <v>4640242181240</v>
      </c>
      <c r="E265" s="348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111</v>
      </c>
      <c r="L265" s="37" t="s">
        <v>112</v>
      </c>
      <c r="M265" s="38" t="s">
        <v>85</v>
      </c>
      <c r="N265" s="38"/>
      <c r="O265" s="37">
        <v>180</v>
      </c>
      <c r="P265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359</v>
      </c>
      <c r="AG265" s="81"/>
      <c r="AJ265" s="87" t="s">
        <v>113</v>
      </c>
      <c r="AK265" s="87">
        <v>14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375</v>
      </c>
      <c r="B266" s="63" t="s">
        <v>376</v>
      </c>
      <c r="C266" s="36">
        <v>4301135610</v>
      </c>
      <c r="D266" s="348">
        <v>4640242181318</v>
      </c>
      <c r="E266" s="348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111</v>
      </c>
      <c r="L266" s="37" t="s">
        <v>112</v>
      </c>
      <c r="M266" s="38" t="s">
        <v>85</v>
      </c>
      <c r="N266" s="38"/>
      <c r="O266" s="37">
        <v>180</v>
      </c>
      <c r="P266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113</v>
      </c>
      <c r="AK266" s="87">
        <v>14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377</v>
      </c>
      <c r="B267" s="63" t="s">
        <v>378</v>
      </c>
      <c r="C267" s="36">
        <v>4301135306</v>
      </c>
      <c r="D267" s="348">
        <v>4640242181387</v>
      </c>
      <c r="E267" s="348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164</v>
      </c>
      <c r="L267" s="37" t="s">
        <v>112</v>
      </c>
      <c r="M267" s="38" t="s">
        <v>85</v>
      </c>
      <c r="N267" s="38"/>
      <c r="O267" s="37">
        <v>180</v>
      </c>
      <c r="P267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359</v>
      </c>
      <c r="AG267" s="81"/>
      <c r="AJ267" s="87" t="s">
        <v>113</v>
      </c>
      <c r="AK267" s="87">
        <v>18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1"/>
      <c r="P268" s="357" t="s">
        <v>40</v>
      </c>
      <c r="Q268" s="358"/>
      <c r="R268" s="358"/>
      <c r="S268" s="358"/>
      <c r="T268" s="358"/>
      <c r="U268" s="358"/>
      <c r="V268" s="359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1"/>
      <c r="P269" s="357" t="s">
        <v>40</v>
      </c>
      <c r="Q269" s="358"/>
      <c r="R269" s="358"/>
      <c r="S269" s="358"/>
      <c r="T269" s="358"/>
      <c r="U269" s="358"/>
      <c r="V269" s="359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453"/>
      <c r="P270" s="450" t="s">
        <v>33</v>
      </c>
      <c r="Q270" s="451"/>
      <c r="R270" s="451"/>
      <c r="S270" s="451"/>
      <c r="T270" s="451"/>
      <c r="U270" s="451"/>
      <c r="V270" s="452"/>
      <c r="W270" s="42" t="s">
        <v>0</v>
      </c>
      <c r="X270" s="43">
        <f>IFERROR(X29+X35+X42+X49+X57+X62+X66+X71+X77+X83+X88+X94+X104+X110+X122+X126+X130+X136+X142+X148+X153+X158+X163+X168+X175+X183+X187+X193+X201+X206+X211+X216+X222+X228+X234+X238+X245+X250+X256+X269,"0")</f>
        <v>0</v>
      </c>
      <c r="Y270" s="43">
        <f>IFERROR(Y29+Y35+Y42+Y49+Y57+Y62+Y66+Y71+Y77+Y83+Y88+Y94+Y104+Y110+Y122+Y126+Y130+Y136+Y142+Y148+Y153+Y158+Y163+Y168+Y175+Y183+Y187+Y193+Y201+Y206+Y211+Y216+Y222+Y228+Y234+Y238+Y245+Y250+Y256+Y269,"0")</f>
        <v>0</v>
      </c>
      <c r="Z270" s="42"/>
      <c r="AA270" s="67"/>
      <c r="AB270" s="67"/>
      <c r="AC270" s="67"/>
    </row>
    <row r="271" spans="1:68" x14ac:dyDescent="0.2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453"/>
      <c r="P271" s="450" t="s">
        <v>34</v>
      </c>
      <c r="Q271" s="451"/>
      <c r="R271" s="451"/>
      <c r="S271" s="451"/>
      <c r="T271" s="451"/>
      <c r="U271" s="451"/>
      <c r="V271" s="452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453"/>
      <c r="P272" s="450" t="s">
        <v>35</v>
      </c>
      <c r="Q272" s="451"/>
      <c r="R272" s="451"/>
      <c r="S272" s="451"/>
      <c r="T272" s="451"/>
      <c r="U272" s="451"/>
      <c r="V272" s="452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453"/>
      <c r="P273" s="450" t="s">
        <v>36</v>
      </c>
      <c r="Q273" s="451"/>
      <c r="R273" s="451"/>
      <c r="S273" s="451"/>
      <c r="T273" s="451"/>
      <c r="U273" s="451"/>
      <c r="V273" s="452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453"/>
      <c r="P274" s="450" t="s">
        <v>37</v>
      </c>
      <c r="Q274" s="451"/>
      <c r="R274" s="451"/>
      <c r="S274" s="451"/>
      <c r="T274" s="451"/>
      <c r="U274" s="451"/>
      <c r="V274" s="452"/>
      <c r="W274" s="42" t="s">
        <v>20</v>
      </c>
      <c r="X274" s="43">
        <f>IFERROR(X28+X34+X41+X48+X56+X61+X65+X70+X76+X82+X87+X93+X103+X109+X121+X125+X129+X135+X141+X147+X152+X157+X162+X167+X174+X182+X186+X192+X200+X205+X210+X215+X221+X227+X233+X237+X244+X249+X255+X268,"0")</f>
        <v>0</v>
      </c>
      <c r="Y274" s="43">
        <f>IFERROR(Y28+Y34+Y41+Y48+Y56+Y61+Y65+Y70+Y76+Y82+Y87+Y93+Y103+Y109+Y121+Y125+Y129+Y135+Y141+Y147+Y152+Y157+Y162+Y167+Y174+Y182+Y186+Y192+Y200+Y205+Y210+Y215+Y221+Y227+Y233+Y237+Y244+Y249+Y255+Y268,"0")</f>
        <v>0</v>
      </c>
      <c r="Z274" s="42"/>
      <c r="AA274" s="67"/>
      <c r="AB274" s="67"/>
      <c r="AC274" s="67"/>
    </row>
    <row r="275" spans="1:32" ht="14.25" x14ac:dyDescent="0.2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453"/>
      <c r="P275" s="450" t="s">
        <v>38</v>
      </c>
      <c r="Q275" s="451"/>
      <c r="R275" s="451"/>
      <c r="S275" s="451"/>
      <c r="T275" s="451"/>
      <c r="U275" s="451"/>
      <c r="V275" s="452"/>
      <c r="W275" s="45" t="s">
        <v>52</v>
      </c>
      <c r="X275" s="42"/>
      <c r="Y275" s="42"/>
      <c r="Z275" s="42">
        <f>IFERROR(Z28+Z34+Z41+Z48+Z56+Z61+Z65+Z70+Z76+Z82+Z87+Z93+Z103+Z109+Z121+Z125+Z129+Z135+Z141+Z147+Z152+Z157+Z162+Z167+Z174+Z182+Z186+Z192+Z200+Z205+Z210+Z215+Z221+Z227+Z233+Z237+Z244+Z249+Z255+Z268,"0")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6" t="s">
        <v>80</v>
      </c>
      <c r="C277" s="456" t="s">
        <v>80</v>
      </c>
      <c r="D277" s="456" t="s">
        <v>45</v>
      </c>
      <c r="E277" s="456" t="s">
        <v>45</v>
      </c>
      <c r="F277" s="456" t="s">
        <v>45</v>
      </c>
      <c r="G277" s="456" t="s">
        <v>45</v>
      </c>
      <c r="H277" s="456" t="s">
        <v>45</v>
      </c>
      <c r="I277" s="456" t="s">
        <v>45</v>
      </c>
      <c r="J277" s="456" t="s">
        <v>45</v>
      </c>
      <c r="K277" s="456" t="s">
        <v>45</v>
      </c>
      <c r="L277" s="456" t="s">
        <v>45</v>
      </c>
      <c r="M277" s="456" t="s">
        <v>45</v>
      </c>
      <c r="N277" s="457"/>
      <c r="O277" s="456" t="s">
        <v>45</v>
      </c>
      <c r="P277" s="456" t="s">
        <v>45</v>
      </c>
      <c r="Q277" s="456" t="s">
        <v>45</v>
      </c>
      <c r="R277" s="456" t="s">
        <v>45</v>
      </c>
      <c r="S277" s="456" t="s">
        <v>45</v>
      </c>
      <c r="T277" s="456" t="s">
        <v>45</v>
      </c>
      <c r="U277" s="456" t="s">
        <v>45</v>
      </c>
      <c r="V277" s="88" t="s">
        <v>263</v>
      </c>
      <c r="W277" s="88" t="s">
        <v>271</v>
      </c>
      <c r="X277" s="456" t="s">
        <v>290</v>
      </c>
      <c r="Y277" s="456" t="s">
        <v>290</v>
      </c>
      <c r="Z277" s="456" t="s">
        <v>290</v>
      </c>
      <c r="AA277" s="88" t="s">
        <v>322</v>
      </c>
      <c r="AB277" s="88" t="s">
        <v>327</v>
      </c>
      <c r="AC277" s="88" t="s">
        <v>331</v>
      </c>
      <c r="AD277" s="88" t="s">
        <v>339</v>
      </c>
      <c r="AF277" s="1"/>
    </row>
    <row r="278" spans="1:32" ht="14.25" customHeight="1" thickTop="1" x14ac:dyDescent="0.2">
      <c r="A278" s="454" t="s">
        <v>10</v>
      </c>
      <c r="B278" s="456" t="s">
        <v>80</v>
      </c>
      <c r="C278" s="456" t="s">
        <v>99</v>
      </c>
      <c r="D278" s="456" t="s">
        <v>105</v>
      </c>
      <c r="E278" s="456" t="s">
        <v>116</v>
      </c>
      <c r="F278" s="456" t="s">
        <v>126</v>
      </c>
      <c r="G278" s="456" t="s">
        <v>137</v>
      </c>
      <c r="H278" s="456" t="s">
        <v>160</v>
      </c>
      <c r="I278" s="456" t="s">
        <v>167</v>
      </c>
      <c r="J278" s="456" t="s">
        <v>171</v>
      </c>
      <c r="K278" s="456" t="s">
        <v>179</v>
      </c>
      <c r="L278" s="456" t="s">
        <v>194</v>
      </c>
      <c r="M278" s="456" t="s">
        <v>200</v>
      </c>
      <c r="N278" s="1"/>
      <c r="O278" s="456" t="s">
        <v>229</v>
      </c>
      <c r="P278" s="456" t="s">
        <v>235</v>
      </c>
      <c r="Q278" s="456" t="s">
        <v>242</v>
      </c>
      <c r="R278" s="456" t="s">
        <v>247</v>
      </c>
      <c r="S278" s="456" t="s">
        <v>251</v>
      </c>
      <c r="T278" s="456" t="s">
        <v>254</v>
      </c>
      <c r="U278" s="456" t="s">
        <v>259</v>
      </c>
      <c r="V278" s="456" t="s">
        <v>264</v>
      </c>
      <c r="W278" s="456" t="s">
        <v>272</v>
      </c>
      <c r="X278" s="456" t="s">
        <v>291</v>
      </c>
      <c r="Y278" s="456" t="s">
        <v>309</v>
      </c>
      <c r="Z278" s="456" t="s">
        <v>313</v>
      </c>
      <c r="AA278" s="456" t="s">
        <v>323</v>
      </c>
      <c r="AB278" s="456" t="s">
        <v>328</v>
      </c>
      <c r="AC278" s="456" t="s">
        <v>332</v>
      </c>
      <c r="AD278" s="456" t="s">
        <v>339</v>
      </c>
      <c r="AF278" s="1"/>
    </row>
    <row r="279" spans="1:32" ht="13.5" thickBot="1" x14ac:dyDescent="0.25">
      <c r="A279" s="455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1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  <c r="AA279" s="456"/>
      <c r="AB279" s="456"/>
      <c r="AC279" s="456"/>
      <c r="AD279" s="456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2">
        <f>IFERROR(X133*H133,"0")+IFERROR(X134*H134,"0")</f>
        <v>0</v>
      </c>
      <c r="P280" s="52">
        <f>IFERROR(X139*H139,"0")+IFERROR(X140*H140,"0")</f>
        <v>0</v>
      </c>
      <c r="Q280" s="52">
        <f>IFERROR(X145*H145,"0")+IFERROR(X146*H146,"0")</f>
        <v>0</v>
      </c>
      <c r="R280" s="52">
        <f>IFERROR(X151*H151,"0")</f>
        <v>0</v>
      </c>
      <c r="S280" s="52">
        <f>IFERROR(X156*H156,"0")</f>
        <v>0</v>
      </c>
      <c r="T280" s="52">
        <f>IFERROR(X161*H161,"0")</f>
        <v>0</v>
      </c>
      <c r="U280" s="52">
        <f>IFERROR(X166*H166,"0")</f>
        <v>0</v>
      </c>
      <c r="V280" s="52">
        <f>IFERROR(X172*H172,"0")+IFERROR(X173*H173,"0")</f>
        <v>0</v>
      </c>
      <c r="W280" s="52">
        <f>IFERROR(X179*H179,"0")+IFERROR(X180*H180,"0")+IFERROR(X181*H181,"0")+IFERROR(X185*H185,"0")</f>
        <v>0</v>
      </c>
      <c r="X280" s="52">
        <f>IFERROR(X191*H191,"0")+IFERROR(X195*H195,"0")+IFERROR(X196*H196,"0")+IFERROR(X197*H197,"0")+IFERROR(X198*H198,"0")+IFERROR(X199*H199,"0")</f>
        <v>0</v>
      </c>
      <c r="Y280" s="52">
        <f>IFERROR(X204*H204,"0")</f>
        <v>0</v>
      </c>
      <c r="Z280" s="52">
        <f>IFERROR(X209*H209,"0")+IFERROR(X213*H213,"0")+IFERROR(X214*H214,"0")</f>
        <v>0</v>
      </c>
      <c r="AA280" s="52">
        <f>IFERROR(X220*H220,"0")</f>
        <v>0</v>
      </c>
      <c r="AB280" s="52">
        <f>IFERROR(X226*H226,"0")</f>
        <v>0</v>
      </c>
      <c r="AC280" s="52">
        <f>IFERROR(X232*H232,"0")+IFERROR(X236*H236,"0")</f>
        <v>0</v>
      </c>
      <c r="AD280" s="52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86:V186"/>
    <mergeCell ref="A186:O187"/>
    <mergeCell ref="P187:V187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4 X242 X232 X220 X209 X197 X195 X185 X172 X145 X139 X128 X124 X120 X117 X113 X68:X69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:X267 X258:X261 X252:X253 X247:X248 X243 X236 X226 X213:X214 X204 X198:X199 X196 X191 X179:X181 X173 X166 X161 X156 X151 X146 X140 X133 X118:X119 X114:X116 X107:X108 X97:X102 X91:X92 X86 X80:X81 X64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2 X134 X73:X75" xr:uid="{00000000-0002-0000-0000-000026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9"/>
    </row>
    <row r="3" spans="2:8" x14ac:dyDescent="0.2">
      <c r="B3" s="53" t="s">
        <v>380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382</v>
      </c>
      <c r="D6" s="53" t="s">
        <v>383</v>
      </c>
      <c r="E6" s="53" t="s">
        <v>46</v>
      </c>
    </row>
    <row r="8" spans="2:8" x14ac:dyDescent="0.2">
      <c r="B8" s="53" t="s">
        <v>79</v>
      </c>
      <c r="C8" s="53" t="s">
        <v>382</v>
      </c>
      <c r="D8" s="53" t="s">
        <v>46</v>
      </c>
      <c r="E8" s="53" t="s">
        <v>46</v>
      </c>
    </row>
    <row r="10" spans="2:8" x14ac:dyDescent="0.2">
      <c r="B10" s="53" t="s">
        <v>384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394</v>
      </c>
      <c r="C20" s="53" t="s">
        <v>46</v>
      </c>
      <c r="D20" s="53" t="s">
        <v>46</v>
      </c>
      <c r="E20" s="53" t="s">
        <v>46</v>
      </c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2025-12-03T09:02:54Z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