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7D4856-E40B-404A-BA86-C596D261C2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N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Z269" i="2" s="1"/>
  <c r="Y259" i="2"/>
  <c r="BP259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BN254" i="2" s="1"/>
  <c r="P254" i="2"/>
  <c r="BO253" i="2"/>
  <c r="BM253" i="2"/>
  <c r="Z253" i="2"/>
  <c r="Z256" i="2" s="1"/>
  <c r="Y253" i="2"/>
  <c r="BP253" i="2" s="1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Z250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Z245" i="2" s="1"/>
  <c r="Y243" i="2"/>
  <c r="BP243" i="2" s="1"/>
  <c r="P243" i="2"/>
  <c r="X239" i="2"/>
  <c r="Z238" i="2"/>
  <c r="X238" i="2"/>
  <c r="BO237" i="2"/>
  <c r="BM237" i="2"/>
  <c r="Z237" i="2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N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2" i="2" s="1"/>
  <c r="P221" i="2"/>
  <c r="X217" i="2"/>
  <c r="Z216" i="2"/>
  <c r="X216" i="2"/>
  <c r="BO215" i="2"/>
  <c r="BM215" i="2"/>
  <c r="Z215" i="2"/>
  <c r="Y215" i="2"/>
  <c r="P215" i="2"/>
  <c r="BO214" i="2"/>
  <c r="BM214" i="2"/>
  <c r="Z214" i="2"/>
  <c r="Y214" i="2"/>
  <c r="BN214" i="2" s="1"/>
  <c r="P214" i="2"/>
  <c r="X212" i="2"/>
  <c r="X211" i="2"/>
  <c r="BO210" i="2"/>
  <c r="BM210" i="2"/>
  <c r="Z210" i="2"/>
  <c r="Z211" i="2" s="1"/>
  <c r="Y210" i="2"/>
  <c r="Y212" i="2" s="1"/>
  <c r="P210" i="2"/>
  <c r="Y207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N200" i="2"/>
  <c r="BM200" i="2"/>
  <c r="Z200" i="2"/>
  <c r="Y200" i="2"/>
  <c r="BP200" i="2" s="1"/>
  <c r="P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Y202" i="2" s="1"/>
  <c r="P196" i="2"/>
  <c r="Y194" i="2"/>
  <c r="X194" i="2"/>
  <c r="X193" i="2"/>
  <c r="BP192" i="2"/>
  <c r="BO192" i="2"/>
  <c r="BN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Y188" i="2" s="1"/>
  <c r="X184" i="2"/>
  <c r="Z183" i="2"/>
  <c r="X183" i="2"/>
  <c r="BO182" i="2"/>
  <c r="BM182" i="2"/>
  <c r="Z182" i="2"/>
  <c r="Y182" i="2"/>
  <c r="BP182" i="2" s="1"/>
  <c r="P182" i="2"/>
  <c r="BO181" i="2"/>
  <c r="BM181" i="2"/>
  <c r="Z181" i="2"/>
  <c r="Y181" i="2"/>
  <c r="BP181" i="2" s="1"/>
  <c r="P181" i="2"/>
  <c r="BO180" i="2"/>
  <c r="BM180" i="2"/>
  <c r="Z180" i="2"/>
  <c r="Y180" i="2"/>
  <c r="BP180" i="2" s="1"/>
  <c r="P180" i="2"/>
  <c r="Y176" i="2"/>
  <c r="X176" i="2"/>
  <c r="X175" i="2"/>
  <c r="BO174" i="2"/>
  <c r="BN174" i="2"/>
  <c r="BM174" i="2"/>
  <c r="Z174" i="2"/>
  <c r="Y174" i="2"/>
  <c r="BP174" i="2" s="1"/>
  <c r="P174" i="2"/>
  <c r="BO173" i="2"/>
  <c r="BN173" i="2"/>
  <c r="BM173" i="2"/>
  <c r="Z173" i="2"/>
  <c r="Z175" i="2" s="1"/>
  <c r="Y173" i="2"/>
  <c r="Y175" i="2" s="1"/>
  <c r="P173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Y159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N152" i="2"/>
  <c r="BM152" i="2"/>
  <c r="Z152" i="2"/>
  <c r="Z153" i="2" s="1"/>
  <c r="Y152" i="2"/>
  <c r="Y154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Z148" i="2" s="1"/>
  <c r="Y146" i="2"/>
  <c r="BP146" i="2" s="1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7" i="2"/>
  <c r="X136" i="2"/>
  <c r="BO135" i="2"/>
  <c r="BM135" i="2"/>
  <c r="Z135" i="2"/>
  <c r="Y135" i="2"/>
  <c r="BP135" i="2" s="1"/>
  <c r="P135" i="2"/>
  <c r="BP134" i="2"/>
  <c r="BO134" i="2"/>
  <c r="BN134" i="2"/>
  <c r="BM134" i="2"/>
  <c r="Z134" i="2"/>
  <c r="Z136" i="2" s="1"/>
  <c r="Y134" i="2"/>
  <c r="P134" i="2"/>
  <c r="X131" i="2"/>
  <c r="X130" i="2"/>
  <c r="BO129" i="2"/>
  <c r="BM129" i="2"/>
  <c r="Z129" i="2"/>
  <c r="Z130" i="2" s="1"/>
  <c r="Y129" i="2"/>
  <c r="BN129" i="2" s="1"/>
  <c r="P129" i="2"/>
  <c r="Y127" i="2"/>
  <c r="X127" i="2"/>
  <c r="Y126" i="2"/>
  <c r="X126" i="2"/>
  <c r="BP125" i="2"/>
  <c r="BO125" i="2"/>
  <c r="BN125" i="2"/>
  <c r="BM125" i="2"/>
  <c r="Z125" i="2"/>
  <c r="Z126" i="2" s="1"/>
  <c r="Y125" i="2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3" i="2" s="1"/>
  <c r="P113" i="2"/>
  <c r="X110" i="2"/>
  <c r="X109" i="2"/>
  <c r="BO108" i="2"/>
  <c r="BM108" i="2"/>
  <c r="Z108" i="2"/>
  <c r="Y108" i="2"/>
  <c r="BP108" i="2" s="1"/>
  <c r="P108" i="2"/>
  <c r="BO107" i="2"/>
  <c r="BM107" i="2"/>
  <c r="Z107" i="2"/>
  <c r="Z109" i="2" s="1"/>
  <c r="Y107" i="2"/>
  <c r="Y109" i="2" s="1"/>
  <c r="P107" i="2"/>
  <c r="X104" i="2"/>
  <c r="X103" i="2"/>
  <c r="BO102" i="2"/>
  <c r="BM102" i="2"/>
  <c r="Z102" i="2"/>
  <c r="Y102" i="2"/>
  <c r="BN102" i="2" s="1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O97" i="2"/>
  <c r="BM97" i="2"/>
  <c r="Z97" i="2"/>
  <c r="Z103" i="2" s="1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BN91" i="2" s="1"/>
  <c r="P91" i="2"/>
  <c r="X88" i="2"/>
  <c r="X87" i="2"/>
  <c r="BO86" i="2"/>
  <c r="BM86" i="2"/>
  <c r="Z86" i="2"/>
  <c r="Z87" i="2" s="1"/>
  <c r="Y86" i="2"/>
  <c r="BP86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N75" i="2" s="1"/>
  <c r="P75" i="2"/>
  <c r="BO74" i="2"/>
  <c r="BN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P68" i="2" s="1"/>
  <c r="P68" i="2"/>
  <c r="X66" i="2"/>
  <c r="Z65" i="2"/>
  <c r="X65" i="2"/>
  <c r="BO64" i="2"/>
  <c r="BM64" i="2"/>
  <c r="Z64" i="2"/>
  <c r="Y64" i="2"/>
  <c r="Y65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Z56" i="2" s="1"/>
  <c r="Y52" i="2"/>
  <c r="BP52" i="2" s="1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N40" i="2" s="1"/>
  <c r="P40" i="2"/>
  <c r="BO39" i="2"/>
  <c r="BM39" i="2"/>
  <c r="Z39" i="2"/>
  <c r="Y39" i="2"/>
  <c r="Y42" i="2" s="1"/>
  <c r="P39" i="2"/>
  <c r="X35" i="2"/>
  <c r="X34" i="2"/>
  <c r="BO33" i="2"/>
  <c r="BM33" i="2"/>
  <c r="Z33" i="2"/>
  <c r="Z34" i="2" s="1"/>
  <c r="Y33" i="2"/>
  <c r="BP33" i="2" s="1"/>
  <c r="P33" i="2"/>
  <c r="BO32" i="2"/>
  <c r="BM32" i="2"/>
  <c r="Z32" i="2"/>
  <c r="Y32" i="2"/>
  <c r="Y34" i="2" s="1"/>
  <c r="P32" i="2"/>
  <c r="X29" i="2"/>
  <c r="X271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X272" i="2" s="1"/>
  <c r="Z22" i="2"/>
  <c r="Y22" i="2"/>
  <c r="BP22" i="2" s="1"/>
  <c r="P22" i="2"/>
  <c r="H10" i="2"/>
  <c r="A9" i="2"/>
  <c r="F10" i="2" s="1"/>
  <c r="D7" i="2"/>
  <c r="Q6" i="2"/>
  <c r="P2" i="2"/>
  <c r="Y35" i="2" l="1"/>
  <c r="Y66" i="2"/>
  <c r="Y29" i="2"/>
  <c r="Y70" i="2"/>
  <c r="Y104" i="2"/>
  <c r="Y110" i="2"/>
  <c r="BP147" i="2"/>
  <c r="Y148" i="2"/>
  <c r="BP167" i="2"/>
  <c r="Y168" i="2"/>
  <c r="Y187" i="2"/>
  <c r="BP214" i="2"/>
  <c r="Y217" i="2"/>
  <c r="Y235" i="2"/>
  <c r="Y246" i="2"/>
  <c r="Y250" i="2"/>
  <c r="BP254" i="2"/>
  <c r="BP255" i="2"/>
  <c r="Y256" i="2"/>
  <c r="Z28" i="2"/>
  <c r="X273" i="2"/>
  <c r="X275" i="2"/>
  <c r="Z41" i="2"/>
  <c r="BN39" i="2"/>
  <c r="BP39" i="2"/>
  <c r="Z48" i="2"/>
  <c r="BN45" i="2"/>
  <c r="BP45" i="2"/>
  <c r="BN53" i="2"/>
  <c r="BN64" i="2"/>
  <c r="BP64" i="2"/>
  <c r="Z76" i="2"/>
  <c r="BN73" i="2"/>
  <c r="BP73" i="2"/>
  <c r="BP75" i="2"/>
  <c r="Y76" i="2"/>
  <c r="Z82" i="2"/>
  <c r="Y83" i="2"/>
  <c r="BN92" i="2"/>
  <c r="Y93" i="2"/>
  <c r="Y94" i="2"/>
  <c r="BP102" i="2"/>
  <c r="BN107" i="2"/>
  <c r="Z122" i="2"/>
  <c r="BN113" i="2"/>
  <c r="BN120" i="2"/>
  <c r="Z142" i="2"/>
  <c r="Y149" i="2"/>
  <c r="BP157" i="2"/>
  <c r="Y158" i="2"/>
  <c r="BN162" i="2"/>
  <c r="Y169" i="2"/>
  <c r="BN180" i="2"/>
  <c r="BN181" i="2"/>
  <c r="Y183" i="2"/>
  <c r="BN186" i="2"/>
  <c r="Z201" i="2"/>
  <c r="BN196" i="2"/>
  <c r="BP205" i="2"/>
  <c r="Y206" i="2"/>
  <c r="BN210" i="2"/>
  <c r="BN215" i="2"/>
  <c r="Y223" i="2"/>
  <c r="BN237" i="2"/>
  <c r="BN244" i="2"/>
  <c r="Y245" i="2"/>
  <c r="BN253" i="2"/>
  <c r="BN260" i="2"/>
  <c r="BN261" i="2"/>
  <c r="BN268" i="2"/>
  <c r="Z276" i="2"/>
  <c r="X274" i="2"/>
  <c r="BN24" i="2"/>
  <c r="Y71" i="2"/>
  <c r="Y103" i="2"/>
  <c r="BN116" i="2"/>
  <c r="Y184" i="2"/>
  <c r="Y251" i="2"/>
  <c r="F9" i="2"/>
  <c r="BN52" i="2"/>
  <c r="BN141" i="2"/>
  <c r="BN265" i="2"/>
  <c r="H9" i="2"/>
  <c r="Y28" i="2"/>
  <c r="BN199" i="2"/>
  <c r="J9" i="2"/>
  <c r="BP24" i="2"/>
  <c r="Y56" i="2"/>
  <c r="BN86" i="2"/>
  <c r="Y257" i="2"/>
  <c r="Y269" i="2"/>
  <c r="Y57" i="2"/>
  <c r="BP113" i="2"/>
  <c r="Y142" i="2"/>
  <c r="BP215" i="2"/>
  <c r="BP227" i="2"/>
  <c r="BP237" i="2"/>
  <c r="Y270" i="2"/>
  <c r="Y87" i="2"/>
  <c r="BN100" i="2"/>
  <c r="BN135" i="2"/>
  <c r="BP186" i="2"/>
  <c r="BP196" i="2"/>
  <c r="Y216" i="2"/>
  <c r="Y228" i="2"/>
  <c r="Y238" i="2"/>
  <c r="BN259" i="2"/>
  <c r="BN266" i="2"/>
  <c r="BP80" i="2"/>
  <c r="Y88" i="2"/>
  <c r="BN97" i="2"/>
  <c r="BP117" i="2"/>
  <c r="Y143" i="2"/>
  <c r="BP25" i="2"/>
  <c r="BN32" i="2"/>
  <c r="BN22" i="2"/>
  <c r="BN60" i="2"/>
  <c r="BN68" i="2"/>
  <c r="BP107" i="2"/>
  <c r="BN114" i="2"/>
  <c r="Y136" i="2"/>
  <c r="BP152" i="2"/>
  <c r="BP162" i="2"/>
  <c r="BP173" i="2"/>
  <c r="BP210" i="2"/>
  <c r="BN248" i="2"/>
  <c r="BN263" i="2"/>
  <c r="A10" i="2"/>
  <c r="Y153" i="2"/>
  <c r="Y163" i="2"/>
  <c r="Y201" i="2"/>
  <c r="Y211" i="2"/>
  <c r="BP46" i="2"/>
  <c r="Y137" i="2"/>
  <c r="BN146" i="2"/>
  <c r="BP197" i="2"/>
  <c r="Y41" i="2"/>
  <c r="BP47" i="2"/>
  <c r="BN54" i="2"/>
  <c r="BN108" i="2"/>
  <c r="Y122" i="2"/>
  <c r="Y130" i="2"/>
  <c r="BN221" i="2"/>
  <c r="BN233" i="2"/>
  <c r="BN243" i="2"/>
  <c r="BN267" i="2"/>
  <c r="BP32" i="2"/>
  <c r="BP40" i="2"/>
  <c r="Y61" i="2"/>
  <c r="BP26" i="2"/>
  <c r="BN33" i="2"/>
  <c r="BP81" i="2"/>
  <c r="BP91" i="2"/>
  <c r="BN98" i="2"/>
  <c r="BP118" i="2"/>
  <c r="BN182" i="2"/>
  <c r="BP221" i="2"/>
  <c r="BP233" i="2"/>
  <c r="BN249" i="2"/>
  <c r="BP60" i="2"/>
  <c r="BP129" i="2"/>
  <c r="BN23" i="2"/>
  <c r="Y48" i="2"/>
  <c r="BN69" i="2"/>
  <c r="BN115" i="2"/>
  <c r="Y82" i="2"/>
  <c r="Y131" i="2"/>
  <c r="BN140" i="2"/>
  <c r="BN198" i="2"/>
  <c r="BN264" i="2"/>
  <c r="BN121" i="2"/>
  <c r="Y272" i="2" l="1"/>
  <c r="Y274" i="2" s="1"/>
  <c r="Y271" i="2"/>
  <c r="Y273" i="2"/>
  <c r="Y275" i="2"/>
  <c r="C284" i="2" l="1"/>
  <c r="A284" i="2"/>
  <c r="B284" i="2"/>
</calcChain>
</file>

<file path=xl/sharedStrings.xml><?xml version="1.0" encoding="utf-8"?>
<sst xmlns="http://schemas.openxmlformats.org/spreadsheetml/2006/main" count="1673" uniqueCount="398">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</sst>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45996</v>
      </c>
      <c r="R5" s="286"/>
      <c r="T5" s="287" t="s">
        <v>3</v>
      </c>
      <c r="U5" s="288"/>
      <c r="V5" s="289" t="s">
        <v>384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78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Пятница</v>
      </c>
      <c r="R6" s="292"/>
      <c r="T6" s="293" t="s">
        <v>5</v>
      </c>
      <c r="U6" s="294"/>
      <c r="V6" s="295" t="s">
        <v>72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79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0.375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73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74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75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76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77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80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80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81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99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81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106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140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116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81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123</v>
      </c>
      <c r="M46" s="38" t="s">
        <v>85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124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127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128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81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129</v>
      </c>
      <c r="B52" s="63" t="s">
        <v>130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123</v>
      </c>
      <c r="M52" s="38" t="s">
        <v>85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123</v>
      </c>
      <c r="M53" s="38" t="s">
        <v>85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124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123</v>
      </c>
      <c r="M54" s="38" t="s">
        <v>85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124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113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139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81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140</v>
      </c>
      <c r="B60" s="63" t="s">
        <v>141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142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106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143</v>
      </c>
      <c r="B64" s="63" t="s">
        <v>144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145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146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147</v>
      </c>
      <c r="B68" s="63" t="s">
        <v>148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149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150</v>
      </c>
      <c r="B69" s="63" t="s">
        <v>151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149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152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153</v>
      </c>
      <c r="B73" s="63" t="s">
        <v>154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149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123</v>
      </c>
      <c r="M74" s="38" t="s">
        <v>85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124</v>
      </c>
      <c r="AK74" s="87">
        <v>14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123</v>
      </c>
      <c r="M75" s="38" t="s">
        <v>85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124</v>
      </c>
      <c r="AK75" s="87">
        <v>14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160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81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123</v>
      </c>
      <c r="M80" s="38" t="s">
        <v>85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124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167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152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123</v>
      </c>
      <c r="M86" s="38" t="s">
        <v>85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124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171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172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123</v>
      </c>
      <c r="M91" s="38" t="s">
        <v>85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124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123</v>
      </c>
      <c r="M92" s="38" t="s">
        <v>85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124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179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152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123</v>
      </c>
      <c r="M97" s="38" t="s">
        <v>85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124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70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70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123</v>
      </c>
      <c r="M102" s="38" t="s">
        <v>85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124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2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3"/>
      <c r="P103" s="359" t="s">
        <v>40</v>
      </c>
      <c r="Q103" s="360"/>
      <c r="R103" s="360"/>
      <c r="S103" s="360"/>
      <c r="T103" s="360"/>
      <c r="U103" s="360"/>
      <c r="V103" s="361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8" t="s">
        <v>194</v>
      </c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65"/>
      <c r="AB105" s="65"/>
      <c r="AC105" s="82"/>
    </row>
    <row r="106" spans="1:68" ht="14.25" customHeight="1" x14ac:dyDescent="0.25">
      <c r="A106" s="349" t="s">
        <v>146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50">
        <v>4607025784012</v>
      </c>
      <c r="E107" s="350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123</v>
      </c>
      <c r="M107" s="38" t="s">
        <v>85</v>
      </c>
      <c r="N107" s="38"/>
      <c r="O107" s="37">
        <v>180</v>
      </c>
      <c r="P107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2"/>
      <c r="R107" s="352"/>
      <c r="S107" s="352"/>
      <c r="T107" s="353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124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50">
        <v>4607025784319</v>
      </c>
      <c r="E108" s="350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2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3"/>
      <c r="P109" s="359" t="s">
        <v>40</v>
      </c>
      <c r="Q109" s="360"/>
      <c r="R109" s="360"/>
      <c r="S109" s="360"/>
      <c r="T109" s="360"/>
      <c r="U109" s="360"/>
      <c r="V109" s="361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8" t="s">
        <v>200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65"/>
      <c r="AB111" s="65"/>
      <c r="AC111" s="82"/>
    </row>
    <row r="112" spans="1:68" ht="14.25" customHeight="1" x14ac:dyDescent="0.25">
      <c r="A112" s="349" t="s">
        <v>81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350">
        <v>4620207491393</v>
      </c>
      <c r="E113" s="350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2"/>
      <c r="R113" s="352"/>
      <c r="S113" s="352"/>
      <c r="T113" s="35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1" si="12">IFERROR(IF(X113="","",X113),"")</f>
        <v>0</v>
      </c>
      <c r="Z113" s="41">
        <f t="shared" ref="Z113:Z121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1" si="14">IFERROR(X113*I113,"0")</f>
        <v>0</v>
      </c>
      <c r="BN113" s="81">
        <f t="shared" ref="BN113:BN121" si="15">IFERROR(Y113*I113,"0")</f>
        <v>0</v>
      </c>
      <c r="BO113" s="81">
        <f t="shared" ref="BO113:BO121" si="16">IFERROR(X113/J113,"0")</f>
        <v>0</v>
      </c>
      <c r="BP113" s="81">
        <f t="shared" ref="BP113:BP121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123</v>
      </c>
      <c r="M114" s="38" t="s">
        <v>85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124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0">
        <v>4607111039262</v>
      </c>
      <c r="E115" s="35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123</v>
      </c>
      <c r="M115" s="38" t="s">
        <v>85</v>
      </c>
      <c r="N115" s="38"/>
      <c r="O115" s="37">
        <v>180</v>
      </c>
      <c r="P115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124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0">
        <v>4607111039248</v>
      </c>
      <c r="E116" s="35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0">
        <v>4607111037145</v>
      </c>
      <c r="E117" s="350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0">
        <v>4607111039293</v>
      </c>
      <c r="E118" s="350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123</v>
      </c>
      <c r="M118" s="38" t="s">
        <v>85</v>
      </c>
      <c r="N118" s="38"/>
      <c r="O118" s="37">
        <v>180</v>
      </c>
      <c r="P118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124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0">
        <v>4607111039279</v>
      </c>
      <c r="E119" s="350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350">
        <v>4607111037435</v>
      </c>
      <c r="E120" s="350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350">
        <v>4620207491102</v>
      </c>
      <c r="E121" s="350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40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352"/>
      <c r="R121" s="352"/>
      <c r="S121" s="352"/>
      <c r="T121" s="353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39</v>
      </c>
      <c r="X122" s="43">
        <f>IFERROR(SUM(X113:X121),"0")</f>
        <v>0</v>
      </c>
      <c r="Y122" s="43">
        <f>IFERROR(SUM(Y113:Y121),"0")</f>
        <v>0</v>
      </c>
      <c r="Z122" s="43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2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3"/>
      <c r="P123" s="359" t="s">
        <v>40</v>
      </c>
      <c r="Q123" s="360"/>
      <c r="R123" s="360"/>
      <c r="S123" s="360"/>
      <c r="T123" s="360"/>
      <c r="U123" s="360"/>
      <c r="V123" s="361"/>
      <c r="W123" s="42" t="s">
        <v>0</v>
      </c>
      <c r="X123" s="43">
        <f>IFERROR(SUMPRODUCT(X113:X121*H113:H121),"0")</f>
        <v>0</v>
      </c>
      <c r="Y123" s="43">
        <f>IFERROR(SUMPRODUCT(Y113:Y121*H113:H121),"0")</f>
        <v>0</v>
      </c>
      <c r="Z123" s="42"/>
      <c r="AA123" s="67"/>
      <c r="AB123" s="67"/>
      <c r="AC123" s="67"/>
    </row>
    <row r="124" spans="1:68" ht="14.25" customHeight="1" x14ac:dyDescent="0.25">
      <c r="A124" s="349" t="s">
        <v>152</v>
      </c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50">
        <v>4620207490983</v>
      </c>
      <c r="E125" s="35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2"/>
      <c r="R125" s="352"/>
      <c r="S125" s="352"/>
      <c r="T125" s="35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62"/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3"/>
      <c r="P127" s="359" t="s">
        <v>40</v>
      </c>
      <c r="Q127" s="360"/>
      <c r="R127" s="360"/>
      <c r="S127" s="360"/>
      <c r="T127" s="360"/>
      <c r="U127" s="360"/>
      <c r="V127" s="36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49" t="s">
        <v>228</v>
      </c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50">
        <v>4620207491140</v>
      </c>
      <c r="E129" s="35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2"/>
      <c r="R129" s="352"/>
      <c r="S129" s="352"/>
      <c r="T129" s="35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2"/>
      <c r="B131" s="362"/>
      <c r="C131" s="362"/>
      <c r="D131" s="362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3"/>
      <c r="P131" s="359" t="s">
        <v>40</v>
      </c>
      <c r="Q131" s="360"/>
      <c r="R131" s="360"/>
      <c r="S131" s="360"/>
      <c r="T131" s="360"/>
      <c r="U131" s="360"/>
      <c r="V131" s="36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8" t="s">
        <v>232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5"/>
      <c r="AB132" s="65"/>
      <c r="AC132" s="82"/>
    </row>
    <row r="133" spans="1:68" ht="14.25" customHeight="1" x14ac:dyDescent="0.25">
      <c r="A133" s="349" t="s">
        <v>152</v>
      </c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50">
        <v>4607111034014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40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113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50">
        <v>4607111033994</v>
      </c>
      <c r="E135" s="350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40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2"/>
      <c r="R135" s="352"/>
      <c r="S135" s="352"/>
      <c r="T135" s="35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70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3"/>
      <c r="P137" s="359" t="s">
        <v>40</v>
      </c>
      <c r="Q137" s="360"/>
      <c r="R137" s="360"/>
      <c r="S137" s="360"/>
      <c r="T137" s="360"/>
      <c r="U137" s="360"/>
      <c r="V137" s="361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8" t="s">
        <v>238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65"/>
      <c r="AB138" s="65"/>
      <c r="AC138" s="82"/>
    </row>
    <row r="139" spans="1:68" ht="14.25" customHeight="1" x14ac:dyDescent="0.25">
      <c r="A139" s="349" t="s">
        <v>152</v>
      </c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50">
        <v>4607111039095</v>
      </c>
      <c r="E140" s="350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40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50">
        <v>4607111034199</v>
      </c>
      <c r="E141" s="350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112</v>
      </c>
      <c r="M141" s="38" t="s">
        <v>85</v>
      </c>
      <c r="N141" s="38"/>
      <c r="O141" s="37">
        <v>180</v>
      </c>
      <c r="P141" s="40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2"/>
      <c r="R141" s="352"/>
      <c r="S141" s="352"/>
      <c r="T141" s="35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113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2"/>
      <c r="B143" s="362"/>
      <c r="C143" s="362"/>
      <c r="D143" s="362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3"/>
      <c r="P143" s="359" t="s">
        <v>40</v>
      </c>
      <c r="Q143" s="360"/>
      <c r="R143" s="360"/>
      <c r="S143" s="360"/>
      <c r="T143" s="360"/>
      <c r="U143" s="360"/>
      <c r="V143" s="361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8" t="s">
        <v>245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5"/>
      <c r="AB144" s="65"/>
      <c r="AC144" s="82"/>
    </row>
    <row r="145" spans="1:68" ht="14.25" customHeight="1" x14ac:dyDescent="0.25">
      <c r="A145" s="349" t="s">
        <v>152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50">
        <v>4620207490914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41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50">
        <v>4620207490853</v>
      </c>
      <c r="E147" s="350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123</v>
      </c>
      <c r="M147" s="38" t="s">
        <v>85</v>
      </c>
      <c r="N147" s="38"/>
      <c r="O147" s="37">
        <v>180</v>
      </c>
      <c r="P147" s="41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2"/>
      <c r="R147" s="352"/>
      <c r="S147" s="352"/>
      <c r="T147" s="35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124</v>
      </c>
      <c r="AK147" s="87">
        <v>14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2"/>
      <c r="B149" s="362"/>
      <c r="C149" s="362"/>
      <c r="D149" s="362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3"/>
      <c r="P149" s="359" t="s">
        <v>40</v>
      </c>
      <c r="Q149" s="360"/>
      <c r="R149" s="360"/>
      <c r="S149" s="360"/>
      <c r="T149" s="360"/>
      <c r="U149" s="360"/>
      <c r="V149" s="361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8" t="s">
        <v>250</v>
      </c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65"/>
      <c r="AB150" s="65"/>
      <c r="AC150" s="82"/>
    </row>
    <row r="151" spans="1:68" ht="14.25" customHeight="1" x14ac:dyDescent="0.25">
      <c r="A151" s="349" t="s">
        <v>152</v>
      </c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50">
        <v>4607111035806</v>
      </c>
      <c r="E152" s="350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123</v>
      </c>
      <c r="M152" s="38" t="s">
        <v>85</v>
      </c>
      <c r="N152" s="38"/>
      <c r="O152" s="37">
        <v>180</v>
      </c>
      <c r="P152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2"/>
      <c r="R152" s="352"/>
      <c r="S152" s="352"/>
      <c r="T152" s="353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124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2"/>
      <c r="B154" s="362"/>
      <c r="C154" s="362"/>
      <c r="D154" s="362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3"/>
      <c r="P154" s="359" t="s">
        <v>40</v>
      </c>
      <c r="Q154" s="360"/>
      <c r="R154" s="360"/>
      <c r="S154" s="360"/>
      <c r="T154" s="360"/>
      <c r="U154" s="360"/>
      <c r="V154" s="361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8" t="s">
        <v>254</v>
      </c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65"/>
      <c r="AB155" s="65"/>
      <c r="AC155" s="82"/>
    </row>
    <row r="156" spans="1:68" ht="14.25" customHeight="1" x14ac:dyDescent="0.25">
      <c r="A156" s="349" t="s">
        <v>152</v>
      </c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50">
        <v>4607111039613</v>
      </c>
      <c r="E157" s="350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123</v>
      </c>
      <c r="M157" s="38" t="s">
        <v>85</v>
      </c>
      <c r="N157" s="38"/>
      <c r="O157" s="37">
        <v>180</v>
      </c>
      <c r="P157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2"/>
      <c r="R157" s="352"/>
      <c r="S157" s="352"/>
      <c r="T157" s="353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124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2"/>
      <c r="B159" s="362"/>
      <c r="C159" s="362"/>
      <c r="D159" s="362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3"/>
      <c r="P159" s="359" t="s">
        <v>40</v>
      </c>
      <c r="Q159" s="360"/>
      <c r="R159" s="360"/>
      <c r="S159" s="360"/>
      <c r="T159" s="360"/>
      <c r="U159" s="360"/>
      <c r="V159" s="361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8" t="s">
        <v>257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5"/>
      <c r="AB160" s="65"/>
      <c r="AC160" s="82"/>
    </row>
    <row r="161" spans="1:68" ht="14.25" customHeight="1" x14ac:dyDescent="0.25">
      <c r="A161" s="349" t="s">
        <v>228</v>
      </c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50">
        <v>4607111035646</v>
      </c>
      <c r="E162" s="350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87</v>
      </c>
      <c r="M162" s="38" t="s">
        <v>85</v>
      </c>
      <c r="N162" s="38"/>
      <c r="O162" s="37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2"/>
      <c r="R162" s="352"/>
      <c r="S162" s="352"/>
      <c r="T162" s="35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2"/>
      <c r="B164" s="362"/>
      <c r="C164" s="362"/>
      <c r="D164" s="362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3"/>
      <c r="P164" s="359" t="s">
        <v>40</v>
      </c>
      <c r="Q164" s="360"/>
      <c r="R164" s="360"/>
      <c r="S164" s="360"/>
      <c r="T164" s="360"/>
      <c r="U164" s="360"/>
      <c r="V164" s="36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8" t="s">
        <v>262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65"/>
      <c r="AB165" s="65"/>
      <c r="AC165" s="82"/>
    </row>
    <row r="166" spans="1:68" ht="14.25" customHeight="1" x14ac:dyDescent="0.25">
      <c r="A166" s="349" t="s">
        <v>152</v>
      </c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50">
        <v>4607111036568</v>
      </c>
      <c r="E167" s="350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41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2"/>
      <c r="R167" s="352"/>
      <c r="S167" s="352"/>
      <c r="T167" s="35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2"/>
      <c r="B169" s="362"/>
      <c r="C169" s="362"/>
      <c r="D169" s="362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3"/>
      <c r="P169" s="359" t="s">
        <v>40</v>
      </c>
      <c r="Q169" s="360"/>
      <c r="R169" s="360"/>
      <c r="S169" s="360"/>
      <c r="T169" s="360"/>
      <c r="U169" s="360"/>
      <c r="V169" s="36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7" t="s">
        <v>266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54"/>
      <c r="AB170" s="54"/>
      <c r="AC170" s="54"/>
    </row>
    <row r="171" spans="1:68" ht="16.5" customHeight="1" x14ac:dyDescent="0.25">
      <c r="A171" s="348" t="s">
        <v>267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65"/>
      <c r="AB171" s="65"/>
      <c r="AC171" s="82"/>
    </row>
    <row r="172" spans="1:68" ht="14.25" customHeight="1" x14ac:dyDescent="0.25">
      <c r="A172" s="349" t="s">
        <v>81</v>
      </c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50">
        <v>4607111036384</v>
      </c>
      <c r="E173" s="350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123</v>
      </c>
      <c r="M173" s="38" t="s">
        <v>85</v>
      </c>
      <c r="N173" s="38"/>
      <c r="O173" s="37">
        <v>180</v>
      </c>
      <c r="P173" s="4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50">
        <v>4607111036216</v>
      </c>
      <c r="E174" s="350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123</v>
      </c>
      <c r="M174" s="38" t="s">
        <v>85</v>
      </c>
      <c r="N174" s="38"/>
      <c r="O174" s="37">
        <v>180</v>
      </c>
      <c r="P174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2"/>
      <c r="R174" s="352"/>
      <c r="S174" s="352"/>
      <c r="T174" s="353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124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2"/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3"/>
      <c r="P176" s="359" t="s">
        <v>40</v>
      </c>
      <c r="Q176" s="360"/>
      <c r="R176" s="360"/>
      <c r="S176" s="360"/>
      <c r="T176" s="360"/>
      <c r="U176" s="360"/>
      <c r="V176" s="361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7" t="s">
        <v>274</v>
      </c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54"/>
      <c r="AB177" s="54"/>
      <c r="AC177" s="54"/>
    </row>
    <row r="178" spans="1:68" ht="16.5" customHeight="1" x14ac:dyDescent="0.25">
      <c r="A178" s="348" t="s">
        <v>275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65"/>
      <c r="AB178" s="65"/>
      <c r="AC178" s="82"/>
    </row>
    <row r="179" spans="1:68" ht="14.25" customHeight="1" x14ac:dyDescent="0.25">
      <c r="A179" s="349" t="s">
        <v>106</v>
      </c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50">
        <v>4607111035691</v>
      </c>
      <c r="E180" s="350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2"/>
      <c r="R180" s="352"/>
      <c r="S180" s="352"/>
      <c r="T180" s="353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70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50">
        <v>4607111035721</v>
      </c>
      <c r="E181" s="350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365</v>
      </c>
      <c r="P181" s="41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2"/>
      <c r="R181" s="352"/>
      <c r="S181" s="352"/>
      <c r="T181" s="353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70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50">
        <v>4607111038487</v>
      </c>
      <c r="E182" s="350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180</v>
      </c>
      <c r="P182" s="42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2"/>
      <c r="R182" s="352"/>
      <c r="S182" s="352"/>
      <c r="T182" s="35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113</v>
      </c>
      <c r="AK182" s="87">
        <v>70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2"/>
      <c r="B183" s="362"/>
      <c r="C183" s="362"/>
      <c r="D183" s="362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3"/>
      <c r="P183" s="359" t="s">
        <v>40</v>
      </c>
      <c r="Q183" s="360"/>
      <c r="R183" s="360"/>
      <c r="S183" s="360"/>
      <c r="T183" s="360"/>
      <c r="U183" s="360"/>
      <c r="V183" s="361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62"/>
      <c r="B184" s="362"/>
      <c r="C184" s="362"/>
      <c r="D184" s="362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3"/>
      <c r="P184" s="359" t="s">
        <v>40</v>
      </c>
      <c r="Q184" s="360"/>
      <c r="R184" s="360"/>
      <c r="S184" s="360"/>
      <c r="T184" s="360"/>
      <c r="U184" s="360"/>
      <c r="V184" s="361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49" t="s">
        <v>285</v>
      </c>
      <c r="B185" s="349"/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50">
        <v>4680115885875</v>
      </c>
      <c r="E186" s="350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87</v>
      </c>
      <c r="M186" s="38" t="s">
        <v>291</v>
      </c>
      <c r="N186" s="38"/>
      <c r="O186" s="37">
        <v>365</v>
      </c>
      <c r="P186" s="421" t="s">
        <v>288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88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2"/>
      <c r="B187" s="362"/>
      <c r="C187" s="362"/>
      <c r="D187" s="362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3"/>
      <c r="P187" s="359" t="s">
        <v>40</v>
      </c>
      <c r="Q187" s="360"/>
      <c r="R187" s="360"/>
      <c r="S187" s="360"/>
      <c r="T187" s="360"/>
      <c r="U187" s="360"/>
      <c r="V187" s="361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7" t="s">
        <v>293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54"/>
      <c r="AB189" s="54"/>
      <c r="AC189" s="54"/>
    </row>
    <row r="190" spans="1:68" ht="16.5" customHeight="1" x14ac:dyDescent="0.25">
      <c r="A190" s="348" t="s">
        <v>294</v>
      </c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65"/>
      <c r="AB190" s="65"/>
      <c r="AC190" s="82"/>
    </row>
    <row r="191" spans="1:68" ht="14.25" customHeight="1" x14ac:dyDescent="0.25">
      <c r="A191" s="349" t="s">
        <v>106</v>
      </c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50">
        <v>4620207491133</v>
      </c>
      <c r="E192" s="350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123</v>
      </c>
      <c r="M192" s="38" t="s">
        <v>85</v>
      </c>
      <c r="N192" s="38"/>
      <c r="O192" s="37">
        <v>180</v>
      </c>
      <c r="P192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52"/>
      <c r="R192" s="352"/>
      <c r="S192" s="352"/>
      <c r="T192" s="35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124</v>
      </c>
      <c r="AK192" s="87">
        <v>14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2"/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3"/>
      <c r="P194" s="359" t="s">
        <v>40</v>
      </c>
      <c r="Q194" s="360"/>
      <c r="R194" s="360"/>
      <c r="S194" s="360"/>
      <c r="T194" s="360"/>
      <c r="U194" s="360"/>
      <c r="V194" s="361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9" t="s">
        <v>152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50">
        <v>4620207491188</v>
      </c>
      <c r="E196" s="350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52"/>
      <c r="R196" s="352"/>
      <c r="S196" s="352"/>
      <c r="T196" s="35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50">
        <v>4620207490198</v>
      </c>
      <c r="E197" s="350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123</v>
      </c>
      <c r="M197" s="38" t="s">
        <v>85</v>
      </c>
      <c r="N197" s="38"/>
      <c r="O197" s="37">
        <v>180</v>
      </c>
      <c r="P197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124</v>
      </c>
      <c r="AK197" s="87">
        <v>14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50">
        <v>4620207490235</v>
      </c>
      <c r="E198" s="350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52"/>
      <c r="R198" s="352"/>
      <c r="S198" s="352"/>
      <c r="T198" s="35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50">
        <v>4620207490259</v>
      </c>
      <c r="E199" s="350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123</v>
      </c>
      <c r="M199" s="38" t="s">
        <v>85</v>
      </c>
      <c r="N199" s="38"/>
      <c r="O199" s="37">
        <v>180</v>
      </c>
      <c r="P199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52"/>
      <c r="R199" s="352"/>
      <c r="S199" s="352"/>
      <c r="T199" s="35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124</v>
      </c>
      <c r="AK199" s="87">
        <v>14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50">
        <v>4620207490143</v>
      </c>
      <c r="E200" s="350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42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52"/>
      <c r="R200" s="352"/>
      <c r="S200" s="352"/>
      <c r="T200" s="353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2"/>
      <c r="B201" s="362"/>
      <c r="C201" s="362"/>
      <c r="D201" s="362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3"/>
      <c r="P201" s="359" t="s">
        <v>40</v>
      </c>
      <c r="Q201" s="360"/>
      <c r="R201" s="360"/>
      <c r="S201" s="360"/>
      <c r="T201" s="360"/>
      <c r="U201" s="360"/>
      <c r="V201" s="361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62"/>
      <c r="B202" s="362"/>
      <c r="C202" s="362"/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3"/>
      <c r="P202" s="359" t="s">
        <v>40</v>
      </c>
      <c r="Q202" s="360"/>
      <c r="R202" s="360"/>
      <c r="S202" s="360"/>
      <c r="T202" s="360"/>
      <c r="U202" s="360"/>
      <c r="V202" s="361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8" t="s">
        <v>312</v>
      </c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65"/>
      <c r="AB203" s="65"/>
      <c r="AC203" s="82"/>
    </row>
    <row r="204" spans="1:68" ht="14.25" customHeight="1" x14ac:dyDescent="0.25">
      <c r="A204" s="349" t="s">
        <v>81</v>
      </c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50">
        <v>4620207491096</v>
      </c>
      <c r="E205" s="350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86</v>
      </c>
      <c r="L205" s="37" t="s">
        <v>123</v>
      </c>
      <c r="M205" s="38" t="s">
        <v>85</v>
      </c>
      <c r="N205" s="38"/>
      <c r="O205" s="37">
        <v>180</v>
      </c>
      <c r="P205" s="4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124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316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81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350">
        <v>4620207490709</v>
      </c>
      <c r="E210" s="350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86</v>
      </c>
      <c r="L210" s="37" t="s">
        <v>87</v>
      </c>
      <c r="M210" s="38" t="s">
        <v>85</v>
      </c>
      <c r="N210" s="38"/>
      <c r="O210" s="37">
        <v>180</v>
      </c>
      <c r="P210" s="42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88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49" t="s">
        <v>152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50">
        <v>4620207490549</v>
      </c>
      <c r="E214" s="35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3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2"/>
      <c r="R214" s="352"/>
      <c r="S214" s="352"/>
      <c r="T214" s="35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50">
        <v>4620207490501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4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2"/>
      <c r="B216" s="362"/>
      <c r="C216" s="362"/>
      <c r="D216" s="362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3"/>
      <c r="P216" s="359" t="s">
        <v>40</v>
      </c>
      <c r="Q216" s="360"/>
      <c r="R216" s="360"/>
      <c r="S216" s="360"/>
      <c r="T216" s="360"/>
      <c r="U216" s="360"/>
      <c r="V216" s="361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7" t="s">
        <v>325</v>
      </c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54"/>
      <c r="AB218" s="54"/>
      <c r="AC218" s="54"/>
    </row>
    <row r="219" spans="1:68" ht="16.5" customHeight="1" x14ac:dyDescent="0.25">
      <c r="A219" s="348" t="s">
        <v>326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65"/>
      <c r="AB219" s="65"/>
      <c r="AC219" s="82"/>
    </row>
    <row r="220" spans="1:68" ht="14.25" customHeight="1" x14ac:dyDescent="0.25">
      <c r="A220" s="349" t="s">
        <v>81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50">
        <v>4607111036162</v>
      </c>
      <c r="E221" s="350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86</v>
      </c>
      <c r="L221" s="37" t="s">
        <v>87</v>
      </c>
      <c r="M221" s="38" t="s">
        <v>85</v>
      </c>
      <c r="N221" s="38"/>
      <c r="O221" s="37">
        <v>90</v>
      </c>
      <c r="P221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2"/>
      <c r="R221" s="352"/>
      <c r="S221" s="352"/>
      <c r="T221" s="35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88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2"/>
      <c r="B222" s="362"/>
      <c r="C222" s="362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3"/>
      <c r="P222" s="359" t="s">
        <v>40</v>
      </c>
      <c r="Q222" s="360"/>
      <c r="R222" s="360"/>
      <c r="S222" s="360"/>
      <c r="T222" s="360"/>
      <c r="U222" s="360"/>
      <c r="V222" s="36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7" t="s">
        <v>330</v>
      </c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54"/>
      <c r="AB224" s="54"/>
      <c r="AC224" s="54"/>
    </row>
    <row r="225" spans="1:68" ht="16.5" customHeight="1" x14ac:dyDescent="0.25">
      <c r="A225" s="348" t="s">
        <v>331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65"/>
      <c r="AB225" s="65"/>
      <c r="AC225" s="82"/>
    </row>
    <row r="226" spans="1:68" ht="14.25" customHeight="1" x14ac:dyDescent="0.25">
      <c r="A226" s="349" t="s">
        <v>81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50">
        <v>4607111035899</v>
      </c>
      <c r="E227" s="350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86</v>
      </c>
      <c r="L227" s="37" t="s">
        <v>112</v>
      </c>
      <c r="M227" s="38" t="s">
        <v>85</v>
      </c>
      <c r="N227" s="38"/>
      <c r="O227" s="37">
        <v>180</v>
      </c>
      <c r="P227" s="43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2"/>
      <c r="R227" s="352"/>
      <c r="S227" s="352"/>
      <c r="T227" s="35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113</v>
      </c>
      <c r="AK227" s="87">
        <v>84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2"/>
      <c r="B228" s="36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3"/>
      <c r="P228" s="359" t="s">
        <v>40</v>
      </c>
      <c r="Q228" s="360"/>
      <c r="R228" s="360"/>
      <c r="S228" s="360"/>
      <c r="T228" s="360"/>
      <c r="U228" s="360"/>
      <c r="V228" s="36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7" t="s">
        <v>334</v>
      </c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54"/>
      <c r="AB230" s="54"/>
      <c r="AC230" s="54"/>
    </row>
    <row r="231" spans="1:68" ht="16.5" customHeight="1" x14ac:dyDescent="0.25">
      <c r="A231" s="348" t="s">
        <v>335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65"/>
      <c r="AB231" s="65"/>
      <c r="AC231" s="82"/>
    </row>
    <row r="232" spans="1:68" ht="14.25" customHeight="1" x14ac:dyDescent="0.25">
      <c r="A232" s="349" t="s">
        <v>336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50">
        <v>4607111039774</v>
      </c>
      <c r="E233" s="350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111</v>
      </c>
      <c r="L233" s="37" t="s">
        <v>87</v>
      </c>
      <c r="M233" s="38" t="s">
        <v>85</v>
      </c>
      <c r="N233" s="38"/>
      <c r="O233" s="37">
        <v>180</v>
      </c>
      <c r="P233" s="43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2"/>
      <c r="R233" s="352"/>
      <c r="S233" s="352"/>
      <c r="T233" s="35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88</v>
      </c>
      <c r="AK233" s="87">
        <v>1</v>
      </c>
      <c r="BB233" s="242" t="s">
        <v>110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2"/>
      <c r="B234" s="362"/>
      <c r="C234" s="362"/>
      <c r="D234" s="362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3"/>
      <c r="P234" s="359" t="s">
        <v>40</v>
      </c>
      <c r="Q234" s="360"/>
      <c r="R234" s="360"/>
      <c r="S234" s="360"/>
      <c r="T234" s="360"/>
      <c r="U234" s="360"/>
      <c r="V234" s="36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9" t="s">
        <v>152</v>
      </c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50">
        <v>4607111039361</v>
      </c>
      <c r="E237" s="350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111</v>
      </c>
      <c r="L237" s="37" t="s">
        <v>87</v>
      </c>
      <c r="M237" s="38" t="s">
        <v>85</v>
      </c>
      <c r="N237" s="38"/>
      <c r="O237" s="37">
        <v>180</v>
      </c>
      <c r="P237" s="43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2"/>
      <c r="R237" s="352"/>
      <c r="S237" s="352"/>
      <c r="T237" s="35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88</v>
      </c>
      <c r="AK237" s="87">
        <v>1</v>
      </c>
      <c r="BB237" s="244" t="s">
        <v>110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2"/>
      <c r="B238" s="362"/>
      <c r="C238" s="362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3"/>
      <c r="P238" s="359" t="s">
        <v>40</v>
      </c>
      <c r="Q238" s="360"/>
      <c r="R238" s="360"/>
      <c r="S238" s="360"/>
      <c r="T238" s="360"/>
      <c r="U238" s="360"/>
      <c r="V238" s="36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7" t="s">
        <v>342</v>
      </c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54"/>
      <c r="AB240" s="54"/>
      <c r="AC240" s="54"/>
    </row>
    <row r="241" spans="1:68" ht="16.5" customHeight="1" x14ac:dyDescent="0.25">
      <c r="A241" s="348" t="s">
        <v>342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65"/>
      <c r="AB241" s="65"/>
      <c r="AC241" s="82"/>
    </row>
    <row r="242" spans="1:68" ht="14.25" customHeight="1" x14ac:dyDescent="0.25">
      <c r="A242" s="349" t="s">
        <v>81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50">
        <v>4640242181264</v>
      </c>
      <c r="E243" s="350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2"/>
      <c r="R243" s="352"/>
      <c r="S243" s="352"/>
      <c r="T243" s="35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50">
        <v>4640242181325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88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2"/>
      <c r="B245" s="362"/>
      <c r="C245" s="362"/>
      <c r="D245" s="362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3"/>
      <c r="P245" s="359" t="s">
        <v>40</v>
      </c>
      <c r="Q245" s="360"/>
      <c r="R245" s="360"/>
      <c r="S245" s="360"/>
      <c r="T245" s="360"/>
      <c r="U245" s="360"/>
      <c r="V245" s="361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9" t="s">
        <v>106</v>
      </c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50">
        <v>4640242180397</v>
      </c>
      <c r="E248" s="350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86</v>
      </c>
      <c r="L248" s="37" t="s">
        <v>112</v>
      </c>
      <c r="M248" s="38" t="s">
        <v>85</v>
      </c>
      <c r="N248" s="38"/>
      <c r="O248" s="37">
        <v>180</v>
      </c>
      <c r="P248" s="4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2"/>
      <c r="R248" s="352"/>
      <c r="S248" s="352"/>
      <c r="T248" s="35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113</v>
      </c>
      <c r="AK248" s="87">
        <v>84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4301132104</v>
      </c>
      <c r="D249" s="350">
        <v>4640242181219</v>
      </c>
      <c r="E249" s="350"/>
      <c r="F249" s="62">
        <v>0.3</v>
      </c>
      <c r="G249" s="37">
        <v>9</v>
      </c>
      <c r="H249" s="62">
        <v>2.7</v>
      </c>
      <c r="I249" s="62">
        <v>2.8450000000000002</v>
      </c>
      <c r="J249" s="37">
        <v>234</v>
      </c>
      <c r="K249" s="37" t="s">
        <v>164</v>
      </c>
      <c r="L249" s="37" t="s">
        <v>123</v>
      </c>
      <c r="M249" s="38" t="s">
        <v>85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IFERROR(IF(X249="","",X249*0.00502),"")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124</v>
      </c>
      <c r="AK249" s="87">
        <v>18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146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353</v>
      </c>
      <c r="B253" s="63" t="s">
        <v>354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111</v>
      </c>
      <c r="L253" s="37" t="s">
        <v>123</v>
      </c>
      <c r="M253" s="38" t="s">
        <v>85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355</v>
      </c>
      <c r="AG253" s="81"/>
      <c r="AJ253" s="87" t="s">
        <v>124</v>
      </c>
      <c r="AK253" s="87">
        <v>14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112</v>
      </c>
      <c r="M254" s="38" t="s">
        <v>85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355</v>
      </c>
      <c r="AG254" s="81"/>
      <c r="AJ254" s="87" t="s">
        <v>113</v>
      </c>
      <c r="AK254" s="87">
        <v>84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111</v>
      </c>
      <c r="L255" s="37" t="s">
        <v>123</v>
      </c>
      <c r="M255" s="38" t="s">
        <v>85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355</v>
      </c>
      <c r="AG255" s="81"/>
      <c r="AJ255" s="87" t="s">
        <v>124</v>
      </c>
      <c r="AK255" s="87">
        <v>14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152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360</v>
      </c>
      <c r="B259" s="63" t="s">
        <v>361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111</v>
      </c>
      <c r="L259" s="37" t="s">
        <v>87</v>
      </c>
      <c r="M259" s="38" t="s">
        <v>85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88</v>
      </c>
      <c r="AK259" s="87">
        <v>1</v>
      </c>
      <c r="BB259" s="260" t="s">
        <v>110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111</v>
      </c>
      <c r="L260" s="37" t="s">
        <v>123</v>
      </c>
      <c r="M260" s="38" t="s">
        <v>85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124</v>
      </c>
      <c r="AK260" s="87">
        <v>14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123</v>
      </c>
      <c r="M261" s="38" t="s">
        <v>85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124</v>
      </c>
      <c r="AK261" s="87">
        <v>12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111</v>
      </c>
      <c r="L262" s="37" t="s">
        <v>123</v>
      </c>
      <c r="M262" s="38" t="s">
        <v>85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124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370</v>
      </c>
      <c r="B263" s="63" t="s">
        <v>371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123</v>
      </c>
      <c r="M263" s="38" t="s">
        <v>85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362</v>
      </c>
      <c r="AG263" s="81"/>
      <c r="AJ263" s="87" t="s">
        <v>124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362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374</v>
      </c>
      <c r="B265" s="63" t="s">
        <v>375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362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380</v>
      </c>
      <c r="B268" s="63" t="s">
        <v>381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164</v>
      </c>
      <c r="L268" s="37" t="s">
        <v>87</v>
      </c>
      <c r="M268" s="38" t="s">
        <v>85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362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IFERROR(X29+X35+X42+X49+X57+X62+X66+X71+X77+X83+X88+X94+X104+X110+X123+X127+X131+X137+X143+X149+X154+X159+X164+X169+X176+X184+X188+X194+X202+X207+X212+X217+X223+X229+X235+X239+X246+X251+X257+X270,"0")</f>
        <v>0</v>
      </c>
      <c r="Y271" s="43">
        <f>IFERROR(Y29+Y35+Y42+Y49+Y57+Y62+Y66+Y71+Y77+Y83+Y88+Y94+Y104+Y110+Y123+Y127+Y131+Y137+Y143+Y149+Y154+Y159+Y164+Y169+Y176+Y184+Y188+Y194+Y202+Y207+Y212+Y217+Y223+Y229+Y235+Y239+Y246+Y251+Y257+Y270,"0")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IFERROR(X28+X34+X41+X48+X56+X61+X65+X70+X76+X82+X87+X93+X103+X109+X122+X126+X130+X136+X142+X148+X153+X158+X163+X168+X175+X183+X187+X193+X201+X206+X211+X216+X222+X228+X234+X238+X245+X250+X256+X269,"0")</f>
        <v>0</v>
      </c>
      <c r="Y275" s="43">
        <f>IFERROR(Y28+Y34+Y41+Y48+Y56+Y61+Y65+Y70+Y76+Y82+Y87+Y93+Y103+Y109+Y122+Y126+Y130+Y136+Y142+Y148+Y153+Y158+Y163+Y168+Y175+Y183+Y187+Y193+Y201+Y206+Y211+Y216+Y222+Y228+Y234+Y238+Y245+Y250+Y256+Y269,"0")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IFERROR(Z28+Z34+Z41+Z48+Z56+Z61+Z65+Z70+Z76+Z82+Z87+Z93+Z103+Z109+Z122+Z126+Z130+Z136+Z142+Z148+Z153+Z158+Z163+Z168+Z175+Z183+Z187+Z193+Z201+Z206+Z211+Z216+Z222+Z228+Z234+Z238+Z245+Z250+Z256+Z269,"0")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80</v>
      </c>
      <c r="C278" s="459" t="s">
        <v>80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266</v>
      </c>
      <c r="W278" s="88" t="s">
        <v>274</v>
      </c>
      <c r="X278" s="459" t="s">
        <v>293</v>
      </c>
      <c r="Y278" s="459" t="s">
        <v>293</v>
      </c>
      <c r="Z278" s="459" t="s">
        <v>293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457" t="s">
        <v>10</v>
      </c>
      <c r="B279" s="459" t="s">
        <v>80</v>
      </c>
      <c r="C279" s="459" t="s">
        <v>99</v>
      </c>
      <c r="D279" s="459" t="s">
        <v>105</v>
      </c>
      <c r="E279" s="459" t="s">
        <v>116</v>
      </c>
      <c r="F279" s="459" t="s">
        <v>128</v>
      </c>
      <c r="G279" s="459" t="s">
        <v>139</v>
      </c>
      <c r="H279" s="459" t="s">
        <v>160</v>
      </c>
      <c r="I279" s="459" t="s">
        <v>167</v>
      </c>
      <c r="J279" s="459" t="s">
        <v>171</v>
      </c>
      <c r="K279" s="459" t="s">
        <v>179</v>
      </c>
      <c r="L279" s="459" t="s">
        <v>194</v>
      </c>
      <c r="M279" s="459" t="s">
        <v>200</v>
      </c>
      <c r="N279" s="1"/>
      <c r="O279" s="459" t="s">
        <v>232</v>
      </c>
      <c r="P279" s="459" t="s">
        <v>238</v>
      </c>
      <c r="Q279" s="459" t="s">
        <v>245</v>
      </c>
      <c r="R279" s="459" t="s">
        <v>250</v>
      </c>
      <c r="S279" s="459" t="s">
        <v>254</v>
      </c>
      <c r="T279" s="459" t="s">
        <v>257</v>
      </c>
      <c r="U279" s="459" t="s">
        <v>262</v>
      </c>
      <c r="V279" s="459" t="s">
        <v>267</v>
      </c>
      <c r="W279" s="459" t="s">
        <v>275</v>
      </c>
      <c r="X279" s="459" t="s">
        <v>294</v>
      </c>
      <c r="Y279" s="459" t="s">
        <v>312</v>
      </c>
      <c r="Z279" s="459" t="s">
        <v>316</v>
      </c>
      <c r="AA279" s="459" t="s">
        <v>326</v>
      </c>
      <c r="AB279" s="459" t="s">
        <v>331</v>
      </c>
      <c r="AC279" s="459" t="s">
        <v>335</v>
      </c>
      <c r="AD279" s="459" t="s">
        <v>342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0</v>
      </c>
      <c r="N281" s="1"/>
      <c r="O281" s="52">
        <f>IFERROR(X134*H134,"0")+IFERROR(X135*H135,"0")</f>
        <v>0</v>
      </c>
      <c r="P281" s="52">
        <f>IFERROR(X140*H140,"0")+IFERROR(X141*H141,"0")</f>
        <v>0</v>
      </c>
      <c r="Q281" s="52">
        <f>IFERROR(X146*H146,"0")+IFERROR(X147*H147,"0")</f>
        <v>0</v>
      </c>
      <c r="R281" s="52">
        <f>IFERROR(X152*H152,"0")</f>
        <v>0</v>
      </c>
      <c r="S281" s="52">
        <f>IFERROR(X157*H157,"0")</f>
        <v>0</v>
      </c>
      <c r="T281" s="52">
        <f>IFERROR(X162*H162,"0")</f>
        <v>0</v>
      </c>
      <c r="U281" s="52">
        <f>IFERROR(X167*H167,"0")</f>
        <v>0</v>
      </c>
      <c r="V281" s="52">
        <f>IFERROR(X173*H173,"0")+IFERROR(X174*H174,"0")</f>
        <v>0</v>
      </c>
      <c r="W281" s="52">
        <f>IFERROR(X180*H180,"0")+IFERROR(X181*H181,"0")+IFERROR(X182*H182,"0")+IFERROR(X186*H186,"0")</f>
        <v>0</v>
      </c>
      <c r="X281" s="52">
        <f>IFERROR(X192*H192,"0")+IFERROR(X196*H196,"0")+IFERROR(X197*H197,"0")+IFERROR(X198*H198,"0")+IFERROR(X199*H199,"0")+IFERROR(X200*H200,"0")</f>
        <v>0</v>
      </c>
      <c r="Y281" s="52">
        <f>IFERROR(X205*H205,"0")</f>
        <v>0</v>
      </c>
      <c r="Z281" s="52">
        <f>IFERROR(X210*H210,"0")+IFERROR(X214*H214,"0")+IFERROR(X215*H215,"0")</f>
        <v>0</v>
      </c>
      <c r="AA281" s="52">
        <f>IFERROR(X221*H221,"0")</f>
        <v>0</v>
      </c>
      <c r="AB281" s="52">
        <f>IFERROR(X227*H227,"0")</f>
        <v>0</v>
      </c>
      <c r="AC281" s="52">
        <f>IFERROR(X233*H233,"0")+IFERROR(X237*H237,"0")</f>
        <v>0</v>
      </c>
      <c r="AD281" s="52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59 X243:X244 X237 X233 X221 X214:X215 X210 X200 X198 X196 X186 X167 X162 X146 X140 X129 X125 X120:X121 X117 X113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4 X248 X227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60:X263 X255 X253 X249 X205 X199 X197 X192 X173:X174 X157 X152 X147 X118 X114:X115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79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