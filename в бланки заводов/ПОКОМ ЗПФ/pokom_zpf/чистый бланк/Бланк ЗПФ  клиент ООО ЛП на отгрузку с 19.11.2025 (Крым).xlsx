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889B925-7E57-4FB1-BB39-7A353C20A57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62913"/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N267" i="2"/>
  <c r="BM267" i="2"/>
  <c r="Z267" i="2"/>
  <c r="Y267" i="2"/>
  <c r="BP267" i="2" s="1"/>
  <c r="P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N264" i="2" s="1"/>
  <c r="P264" i="2"/>
  <c r="BO263" i="2"/>
  <c r="BM263" i="2"/>
  <c r="Z263" i="2"/>
  <c r="Y263" i="2"/>
  <c r="BP263" i="2" s="1"/>
  <c r="P263" i="2"/>
  <c r="BP262" i="2"/>
  <c r="BO262" i="2"/>
  <c r="BN262" i="2"/>
  <c r="BM262" i="2"/>
  <c r="Z262" i="2"/>
  <c r="Z272" i="2" s="1"/>
  <c r="Y262" i="2"/>
  <c r="P262" i="2"/>
  <c r="X260" i="2"/>
  <c r="X259" i="2"/>
  <c r="BO258" i="2"/>
  <c r="BM258" i="2"/>
  <c r="Z258" i="2"/>
  <c r="Y258" i="2"/>
  <c r="BN258" i="2" s="1"/>
  <c r="P258" i="2"/>
  <c r="BP257" i="2"/>
  <c r="BO257" i="2"/>
  <c r="BN257" i="2"/>
  <c r="BM257" i="2"/>
  <c r="Z257" i="2"/>
  <c r="Y257" i="2"/>
  <c r="P257" i="2"/>
  <c r="BO256" i="2"/>
  <c r="BM256" i="2"/>
  <c r="Z256" i="2"/>
  <c r="Y256" i="2"/>
  <c r="Y259" i="2" s="1"/>
  <c r="P256" i="2"/>
  <c r="X254" i="2"/>
  <c r="X253" i="2"/>
  <c r="BP252" i="2"/>
  <c r="BO252" i="2"/>
  <c r="BN252" i="2"/>
  <c r="BM252" i="2"/>
  <c r="Z252" i="2"/>
  <c r="Z253" i="2" s="1"/>
  <c r="Y252" i="2"/>
  <c r="P252" i="2"/>
  <c r="BO251" i="2"/>
  <c r="BM251" i="2"/>
  <c r="Z251" i="2"/>
  <c r="Y251" i="2"/>
  <c r="Y253" i="2" s="1"/>
  <c r="P251" i="2"/>
  <c r="X249" i="2"/>
  <c r="X248" i="2"/>
  <c r="BO247" i="2"/>
  <c r="BM247" i="2"/>
  <c r="Z247" i="2"/>
  <c r="Y247" i="2"/>
  <c r="BN247" i="2" s="1"/>
  <c r="P247" i="2"/>
  <c r="BO246" i="2"/>
  <c r="BM246" i="2"/>
  <c r="Z246" i="2"/>
  <c r="Y246" i="2"/>
  <c r="BN246" i="2" s="1"/>
  <c r="P246" i="2"/>
  <c r="BO245" i="2"/>
  <c r="BM245" i="2"/>
  <c r="Z245" i="2"/>
  <c r="Y245" i="2"/>
  <c r="Y248" i="2" s="1"/>
  <c r="P245" i="2"/>
  <c r="X241" i="2"/>
  <c r="X240" i="2"/>
  <c r="BO239" i="2"/>
  <c r="BM239" i="2"/>
  <c r="Z239" i="2"/>
  <c r="Z240" i="2" s="1"/>
  <c r="Y239" i="2"/>
  <c r="Y241" i="2" s="1"/>
  <c r="P239" i="2"/>
  <c r="X237" i="2"/>
  <c r="X236" i="2"/>
  <c r="BO235" i="2"/>
  <c r="BM235" i="2"/>
  <c r="Z235" i="2"/>
  <c r="Z236" i="2" s="1"/>
  <c r="Y235" i="2"/>
  <c r="Y237" i="2" s="1"/>
  <c r="P235" i="2"/>
  <c r="X231" i="2"/>
  <c r="X230" i="2"/>
  <c r="BO229" i="2"/>
  <c r="BM229" i="2"/>
  <c r="Z229" i="2"/>
  <c r="Z230" i="2" s="1"/>
  <c r="Y229" i="2"/>
  <c r="BN229" i="2" s="1"/>
  <c r="P229" i="2"/>
  <c r="X225" i="2"/>
  <c r="X224" i="2"/>
  <c r="BO223" i="2"/>
  <c r="BM223" i="2"/>
  <c r="Z223" i="2"/>
  <c r="Z224" i="2" s="1"/>
  <c r="Y223" i="2"/>
  <c r="Y225" i="2" s="1"/>
  <c r="P223" i="2"/>
  <c r="X219" i="2"/>
  <c r="X218" i="2"/>
  <c r="BO217" i="2"/>
  <c r="BM217" i="2"/>
  <c r="Z217" i="2"/>
  <c r="Z218" i="2" s="1"/>
  <c r="Y217" i="2"/>
  <c r="BP217" i="2" s="1"/>
  <c r="P217" i="2"/>
  <c r="BO216" i="2"/>
  <c r="BM216" i="2"/>
  <c r="Z216" i="2"/>
  <c r="Y216" i="2"/>
  <c r="Y219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Y213" i="2" s="1"/>
  <c r="P210" i="2"/>
  <c r="BP209" i="2"/>
  <c r="BO209" i="2"/>
  <c r="BN209" i="2"/>
  <c r="BM209" i="2"/>
  <c r="Z209" i="2"/>
  <c r="Y209" i="2"/>
  <c r="P209" i="2"/>
  <c r="X207" i="2"/>
  <c r="Y206" i="2"/>
  <c r="X206" i="2"/>
  <c r="BP205" i="2"/>
  <c r="BO205" i="2"/>
  <c r="BN205" i="2"/>
  <c r="BM205" i="2"/>
  <c r="Z205" i="2"/>
  <c r="Z206" i="2" s="1"/>
  <c r="Y205" i="2"/>
  <c r="Y207" i="2" s="1"/>
  <c r="P205" i="2"/>
  <c r="X202" i="2"/>
  <c r="X201" i="2"/>
  <c r="BO200" i="2"/>
  <c r="BM200" i="2"/>
  <c r="Z200" i="2"/>
  <c r="Z201" i="2" s="1"/>
  <c r="Y200" i="2"/>
  <c r="Y202" i="2" s="1"/>
  <c r="P200" i="2"/>
  <c r="X197" i="2"/>
  <c r="X196" i="2"/>
  <c r="BP195" i="2"/>
  <c r="BO195" i="2"/>
  <c r="BN195" i="2"/>
  <c r="BM195" i="2"/>
  <c r="Z195" i="2"/>
  <c r="Y195" i="2"/>
  <c r="P195" i="2"/>
  <c r="BO194" i="2"/>
  <c r="BM194" i="2"/>
  <c r="Z194" i="2"/>
  <c r="Y194" i="2"/>
  <c r="BN194" i="2" s="1"/>
  <c r="P194" i="2"/>
  <c r="BP193" i="2"/>
  <c r="BO193" i="2"/>
  <c r="BN193" i="2"/>
  <c r="BM193" i="2"/>
  <c r="Z193" i="2"/>
  <c r="Z196" i="2" s="1"/>
  <c r="Y193" i="2"/>
  <c r="P193" i="2"/>
  <c r="BO192" i="2"/>
  <c r="BM192" i="2"/>
  <c r="Z192" i="2"/>
  <c r="Y192" i="2"/>
  <c r="BP192" i="2" s="1"/>
  <c r="P192" i="2"/>
  <c r="X189" i="2"/>
  <c r="X188" i="2"/>
  <c r="BO187" i="2"/>
  <c r="BM187" i="2"/>
  <c r="Z187" i="2"/>
  <c r="Y187" i="2"/>
  <c r="BN187" i="2" s="1"/>
  <c r="P187" i="2"/>
  <c r="BO186" i="2"/>
  <c r="BM186" i="2"/>
  <c r="Z186" i="2"/>
  <c r="Y186" i="2"/>
  <c r="BP186" i="2" s="1"/>
  <c r="P186" i="2"/>
  <c r="BO185" i="2"/>
  <c r="BM185" i="2"/>
  <c r="Z185" i="2"/>
  <c r="Y185" i="2"/>
  <c r="BO184" i="2"/>
  <c r="BM184" i="2"/>
  <c r="Z184" i="2"/>
  <c r="Y184" i="2"/>
  <c r="BP184" i="2" s="1"/>
  <c r="P184" i="2"/>
  <c r="X182" i="2"/>
  <c r="X181" i="2"/>
  <c r="BO180" i="2"/>
  <c r="BM180" i="2"/>
  <c r="Z180" i="2"/>
  <c r="Z181" i="2" s="1"/>
  <c r="Y180" i="2"/>
  <c r="BN180" i="2" s="1"/>
  <c r="P180" i="2"/>
  <c r="X176" i="2"/>
  <c r="X175" i="2"/>
  <c r="BO174" i="2"/>
  <c r="BM174" i="2"/>
  <c r="Z174" i="2"/>
  <c r="Z175" i="2" s="1"/>
  <c r="Y174" i="2"/>
  <c r="Y175" i="2" s="1"/>
  <c r="X172" i="2"/>
  <c r="X171" i="2"/>
  <c r="BP170" i="2"/>
  <c r="BO170" i="2"/>
  <c r="BN170" i="2"/>
  <c r="BM170" i="2"/>
  <c r="Z170" i="2"/>
  <c r="Y170" i="2"/>
  <c r="P170" i="2"/>
  <c r="BO169" i="2"/>
  <c r="BM169" i="2"/>
  <c r="Z169" i="2"/>
  <c r="Y169" i="2"/>
  <c r="BP169" i="2" s="1"/>
  <c r="P169" i="2"/>
  <c r="BO168" i="2"/>
  <c r="BM168" i="2"/>
  <c r="Z168" i="2"/>
  <c r="Z171" i="2" s="1"/>
  <c r="Y168" i="2"/>
  <c r="P168" i="2"/>
  <c r="X164" i="2"/>
  <c r="X163" i="2"/>
  <c r="BO162" i="2"/>
  <c r="BM162" i="2"/>
  <c r="Z162" i="2"/>
  <c r="Y162" i="2"/>
  <c r="BN162" i="2" s="1"/>
  <c r="P162" i="2"/>
  <c r="BO161" i="2"/>
  <c r="BM161" i="2"/>
  <c r="Z161" i="2"/>
  <c r="Z163" i="2" s="1"/>
  <c r="Y161" i="2"/>
  <c r="P161" i="2"/>
  <c r="X157" i="2"/>
  <c r="X156" i="2"/>
  <c r="BO155" i="2"/>
  <c r="BM155" i="2"/>
  <c r="Z155" i="2"/>
  <c r="Z156" i="2" s="1"/>
  <c r="Y155" i="2"/>
  <c r="BN155" i="2" s="1"/>
  <c r="P155" i="2"/>
  <c r="Y152" i="2"/>
  <c r="X152" i="2"/>
  <c r="X151" i="2"/>
  <c r="BO150" i="2"/>
  <c r="BM150" i="2"/>
  <c r="Z150" i="2"/>
  <c r="Z151" i="2" s="1"/>
  <c r="Y150" i="2"/>
  <c r="BN150" i="2" s="1"/>
  <c r="P150" i="2"/>
  <c r="X147" i="2"/>
  <c r="X146" i="2"/>
  <c r="BO145" i="2"/>
  <c r="BM145" i="2"/>
  <c r="Z145" i="2"/>
  <c r="Z146" i="2" s="1"/>
  <c r="Y145" i="2"/>
  <c r="Y147" i="2" s="1"/>
  <c r="P145" i="2"/>
  <c r="X142" i="2"/>
  <c r="X141" i="2"/>
  <c r="BO140" i="2"/>
  <c r="BM140" i="2"/>
  <c r="Z140" i="2"/>
  <c r="Z141" i="2" s="1"/>
  <c r="Y140" i="2"/>
  <c r="BN140" i="2" s="1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Z136" i="2" s="1"/>
  <c r="Y134" i="2"/>
  <c r="BP134" i="2" s="1"/>
  <c r="P134" i="2"/>
  <c r="X131" i="2"/>
  <c r="X130" i="2"/>
  <c r="BO129" i="2"/>
  <c r="BM129" i="2"/>
  <c r="Z129" i="2"/>
  <c r="Y129" i="2"/>
  <c r="BN129" i="2" s="1"/>
  <c r="P129" i="2"/>
  <c r="BO128" i="2"/>
  <c r="BM128" i="2"/>
  <c r="Z128" i="2"/>
  <c r="Z130" i="2" s="1"/>
  <c r="Y128" i="2"/>
  <c r="BP128" i="2" s="1"/>
  <c r="P128" i="2"/>
  <c r="X125" i="2"/>
  <c r="X124" i="2"/>
  <c r="BO123" i="2"/>
  <c r="BM123" i="2"/>
  <c r="Z123" i="2"/>
  <c r="Y123" i="2"/>
  <c r="BP123" i="2" s="1"/>
  <c r="P123" i="2"/>
  <c r="BO122" i="2"/>
  <c r="BM122" i="2"/>
  <c r="Z122" i="2"/>
  <c r="Z124" i="2" s="1"/>
  <c r="Y122" i="2"/>
  <c r="P122" i="2"/>
  <c r="X119" i="2"/>
  <c r="X118" i="2"/>
  <c r="BO117" i="2"/>
  <c r="BM117" i="2"/>
  <c r="Z117" i="2"/>
  <c r="Z118" i="2" s="1"/>
  <c r="Y117" i="2"/>
  <c r="Y118" i="2" s="1"/>
  <c r="P117" i="2"/>
  <c r="X115" i="2"/>
  <c r="Y114" i="2"/>
  <c r="X114" i="2"/>
  <c r="BP113" i="2"/>
  <c r="BO113" i="2"/>
  <c r="BN113" i="2"/>
  <c r="BM113" i="2"/>
  <c r="Z113" i="2"/>
  <c r="Z114" i="2" s="1"/>
  <c r="Y113" i="2"/>
  <c r="Y115" i="2" s="1"/>
  <c r="P113" i="2"/>
  <c r="X111" i="2"/>
  <c r="X110" i="2"/>
  <c r="BO109" i="2"/>
  <c r="BM109" i="2"/>
  <c r="Z109" i="2"/>
  <c r="Y109" i="2"/>
  <c r="BP109" i="2" s="1"/>
  <c r="P109" i="2"/>
  <c r="BP108" i="2"/>
  <c r="BO108" i="2"/>
  <c r="BN108" i="2"/>
  <c r="BM108" i="2"/>
  <c r="Z108" i="2"/>
  <c r="Y108" i="2"/>
  <c r="P108" i="2"/>
  <c r="BO107" i="2"/>
  <c r="BM107" i="2"/>
  <c r="Z107" i="2"/>
  <c r="Y107" i="2"/>
  <c r="BN107" i="2" s="1"/>
  <c r="P107" i="2"/>
  <c r="BO106" i="2"/>
  <c r="BM106" i="2"/>
  <c r="Z106" i="2"/>
  <c r="Y106" i="2"/>
  <c r="BP106" i="2" s="1"/>
  <c r="P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BP103" i="2"/>
  <c r="BO103" i="2"/>
  <c r="BN103" i="2"/>
  <c r="BM103" i="2"/>
  <c r="Z103" i="2"/>
  <c r="Y103" i="2"/>
  <c r="P103" i="2"/>
  <c r="BO102" i="2"/>
  <c r="BM102" i="2"/>
  <c r="Z102" i="2"/>
  <c r="Y102" i="2"/>
  <c r="Y111" i="2" s="1"/>
  <c r="P102" i="2"/>
  <c r="X99" i="2"/>
  <c r="X98" i="2"/>
  <c r="BO97" i="2"/>
  <c r="BM97" i="2"/>
  <c r="Z97" i="2"/>
  <c r="Y97" i="2"/>
  <c r="BP97" i="2" s="1"/>
  <c r="P97" i="2"/>
  <c r="BO96" i="2"/>
  <c r="BM96" i="2"/>
  <c r="Z96" i="2"/>
  <c r="Z98" i="2" s="1"/>
  <c r="Y96" i="2"/>
  <c r="BN96" i="2" s="1"/>
  <c r="P96" i="2"/>
  <c r="X93" i="2"/>
  <c r="X92" i="2"/>
  <c r="BP91" i="2"/>
  <c r="BO91" i="2"/>
  <c r="BN91" i="2"/>
  <c r="BM91" i="2"/>
  <c r="Z91" i="2"/>
  <c r="Y91" i="2"/>
  <c r="P91" i="2"/>
  <c r="BO90" i="2"/>
  <c r="BM90" i="2"/>
  <c r="Z90" i="2"/>
  <c r="Y90" i="2"/>
  <c r="BN90" i="2" s="1"/>
  <c r="P90" i="2"/>
  <c r="BP89" i="2"/>
  <c r="BO89" i="2"/>
  <c r="BN89" i="2"/>
  <c r="BM89" i="2"/>
  <c r="Z89" i="2"/>
  <c r="Y89" i="2"/>
  <c r="P89" i="2"/>
  <c r="BO88" i="2"/>
  <c r="BM88" i="2"/>
  <c r="Z88" i="2"/>
  <c r="Y88" i="2"/>
  <c r="BP88" i="2" s="1"/>
  <c r="P88" i="2"/>
  <c r="BO87" i="2"/>
  <c r="BM87" i="2"/>
  <c r="Z87" i="2"/>
  <c r="Y87" i="2"/>
  <c r="BP87" i="2" s="1"/>
  <c r="P87" i="2"/>
  <c r="BO86" i="2"/>
  <c r="BM86" i="2"/>
  <c r="Z86" i="2"/>
  <c r="Y86" i="2"/>
  <c r="BP86" i="2" s="1"/>
  <c r="P86" i="2"/>
  <c r="X83" i="2"/>
  <c r="X82" i="2"/>
  <c r="BO81" i="2"/>
  <c r="BM81" i="2"/>
  <c r="Z81" i="2"/>
  <c r="Z82" i="2" s="1"/>
  <c r="Y81" i="2"/>
  <c r="BP81" i="2" s="1"/>
  <c r="P81" i="2"/>
  <c r="BO80" i="2"/>
  <c r="BM80" i="2"/>
  <c r="Z80" i="2"/>
  <c r="Y80" i="2"/>
  <c r="BP80" i="2" s="1"/>
  <c r="P80" i="2"/>
  <c r="X77" i="2"/>
  <c r="X76" i="2"/>
  <c r="BO75" i="2"/>
  <c r="BM75" i="2"/>
  <c r="Z75" i="2"/>
  <c r="Z76" i="2" s="1"/>
  <c r="Y75" i="2"/>
  <c r="Y76" i="2" s="1"/>
  <c r="P75" i="2"/>
  <c r="X72" i="2"/>
  <c r="X71" i="2"/>
  <c r="BO70" i="2"/>
  <c r="BM70" i="2"/>
  <c r="Z70" i="2"/>
  <c r="Y70" i="2"/>
  <c r="BN70" i="2" s="1"/>
  <c r="P70" i="2"/>
  <c r="BO69" i="2"/>
  <c r="BM69" i="2"/>
  <c r="Z69" i="2"/>
  <c r="Z71" i="2" s="1"/>
  <c r="Y69" i="2"/>
  <c r="P69" i="2"/>
  <c r="X66" i="2"/>
  <c r="X65" i="2"/>
  <c r="BO64" i="2"/>
  <c r="BM64" i="2"/>
  <c r="Z64" i="2"/>
  <c r="Y64" i="2"/>
  <c r="BP64" i="2" s="1"/>
  <c r="P64" i="2"/>
  <c r="BP63" i="2"/>
  <c r="BO63" i="2"/>
  <c r="BN63" i="2"/>
  <c r="BM63" i="2"/>
  <c r="Z63" i="2"/>
  <c r="Y63" i="2"/>
  <c r="P63" i="2"/>
  <c r="BO62" i="2"/>
  <c r="BM62" i="2"/>
  <c r="Z62" i="2"/>
  <c r="Y62" i="2"/>
  <c r="Y66" i="2" s="1"/>
  <c r="P62" i="2"/>
  <c r="X60" i="2"/>
  <c r="X59" i="2"/>
  <c r="BO58" i="2"/>
  <c r="BM58" i="2"/>
  <c r="Z58" i="2"/>
  <c r="Y58" i="2"/>
  <c r="BP58" i="2" s="1"/>
  <c r="P58" i="2"/>
  <c r="BO57" i="2"/>
  <c r="BM57" i="2"/>
  <c r="Z57" i="2"/>
  <c r="Z59" i="2" s="1"/>
  <c r="Y57" i="2"/>
  <c r="BP57" i="2" s="1"/>
  <c r="P57" i="2"/>
  <c r="X55" i="2"/>
  <c r="Y54" i="2"/>
  <c r="X54" i="2"/>
  <c r="BP53" i="2"/>
  <c r="BO53" i="2"/>
  <c r="BN53" i="2"/>
  <c r="BM53" i="2"/>
  <c r="Z53" i="2"/>
  <c r="Z54" i="2" s="1"/>
  <c r="Y53" i="2"/>
  <c r="Y55" i="2" s="1"/>
  <c r="P53" i="2"/>
  <c r="X51" i="2"/>
  <c r="X50" i="2"/>
  <c r="BO49" i="2"/>
  <c r="BM49" i="2"/>
  <c r="Z49" i="2"/>
  <c r="Z50" i="2" s="1"/>
  <c r="Y49" i="2"/>
  <c r="Y50" i="2" s="1"/>
  <c r="P49" i="2"/>
  <c r="X46" i="2"/>
  <c r="X45" i="2"/>
  <c r="BO44" i="2"/>
  <c r="BM44" i="2"/>
  <c r="Z44" i="2"/>
  <c r="Y44" i="2"/>
  <c r="BP44" i="2" s="1"/>
  <c r="P44" i="2"/>
  <c r="BO43" i="2"/>
  <c r="BM43" i="2"/>
  <c r="Z43" i="2"/>
  <c r="Y43" i="2"/>
  <c r="BP43" i="2" s="1"/>
  <c r="P43" i="2"/>
  <c r="BO42" i="2"/>
  <c r="BM42" i="2"/>
  <c r="Z42" i="2"/>
  <c r="Y42" i="2"/>
  <c r="BP42" i="2" s="1"/>
  <c r="P42" i="2"/>
  <c r="BO41" i="2"/>
  <c r="BM41" i="2"/>
  <c r="Z41" i="2"/>
  <c r="Z45" i="2" s="1"/>
  <c r="Y41" i="2"/>
  <c r="P41" i="2"/>
  <c r="X38" i="2"/>
  <c r="X37" i="2"/>
  <c r="BP36" i="2"/>
  <c r="BO36" i="2"/>
  <c r="BN36" i="2"/>
  <c r="BM36" i="2"/>
  <c r="Z36" i="2"/>
  <c r="Y36" i="2"/>
  <c r="P36" i="2"/>
  <c r="BO35" i="2"/>
  <c r="BM35" i="2"/>
  <c r="Z35" i="2"/>
  <c r="Y35" i="2"/>
  <c r="BP35" i="2" s="1"/>
  <c r="P35" i="2"/>
  <c r="BP34" i="2"/>
  <c r="BO34" i="2"/>
  <c r="BN34" i="2"/>
  <c r="BM34" i="2"/>
  <c r="Z34" i="2"/>
  <c r="Z37" i="2" s="1"/>
  <c r="Y34" i="2"/>
  <c r="Y38" i="2" s="1"/>
  <c r="P34" i="2"/>
  <c r="X31" i="2"/>
  <c r="X30" i="2"/>
  <c r="BO29" i="2"/>
  <c r="BM29" i="2"/>
  <c r="Z29" i="2"/>
  <c r="Y29" i="2"/>
  <c r="BN29" i="2" s="1"/>
  <c r="P29" i="2"/>
  <c r="BP28" i="2"/>
  <c r="BO28" i="2"/>
  <c r="BN28" i="2"/>
  <c r="BM28" i="2"/>
  <c r="Z28" i="2"/>
  <c r="Z30" i="2" s="1"/>
  <c r="Y28" i="2"/>
  <c r="P28" i="2"/>
  <c r="X24" i="2"/>
  <c r="X23" i="2"/>
  <c r="BO22" i="2"/>
  <c r="BM22" i="2"/>
  <c r="X275" i="2" s="1"/>
  <c r="Z22" i="2"/>
  <c r="Z23" i="2" s="1"/>
  <c r="Y22" i="2"/>
  <c r="Y23" i="2" s="1"/>
  <c r="P22" i="2"/>
  <c r="H10" i="2"/>
  <c r="A9" i="2"/>
  <c r="A10" i="2" s="1"/>
  <c r="D7" i="2"/>
  <c r="Q6" i="2"/>
  <c r="P2" i="2"/>
  <c r="Y46" i="2" l="1"/>
  <c r="Y92" i="2"/>
  <c r="Y99" i="2"/>
  <c r="BP129" i="2"/>
  <c r="Y130" i="2"/>
  <c r="BP135" i="2"/>
  <c r="Y136" i="2"/>
  <c r="Y189" i="2"/>
  <c r="BP187" i="2"/>
  <c r="Y196" i="2"/>
  <c r="Y197" i="2"/>
  <c r="BP229" i="2"/>
  <c r="Y230" i="2"/>
  <c r="BP245" i="2"/>
  <c r="Y249" i="2"/>
  <c r="Y254" i="2"/>
  <c r="Y37" i="2"/>
  <c r="Y60" i="2"/>
  <c r="Z92" i="2"/>
  <c r="F10" i="2"/>
  <c r="X274" i="2"/>
  <c r="Y31" i="2"/>
  <c r="X276" i="2"/>
  <c r="X278" i="2"/>
  <c r="Y45" i="2"/>
  <c r="BN42" i="2"/>
  <c r="BN58" i="2"/>
  <c r="Y59" i="2"/>
  <c r="Z65" i="2"/>
  <c r="Z279" i="2" s="1"/>
  <c r="Y72" i="2"/>
  <c r="BN80" i="2"/>
  <c r="BN86" i="2"/>
  <c r="BN97" i="2"/>
  <c r="Y98" i="2"/>
  <c r="Z110" i="2"/>
  <c r="BP105" i="2"/>
  <c r="Y119" i="2"/>
  <c r="Y124" i="2"/>
  <c r="Y125" i="2"/>
  <c r="Y131" i="2"/>
  <c r="Y137" i="2"/>
  <c r="BP150" i="2"/>
  <c r="Y151" i="2"/>
  <c r="Y164" i="2"/>
  <c r="Y171" i="2"/>
  <c r="Y176" i="2"/>
  <c r="BN184" i="2"/>
  <c r="Z188" i="2"/>
  <c r="Z212" i="2"/>
  <c r="Y231" i="2"/>
  <c r="Z248" i="2"/>
  <c r="BP247" i="2"/>
  <c r="Z259" i="2"/>
  <c r="Y273" i="2"/>
  <c r="BP264" i="2"/>
  <c r="BP270" i="2"/>
  <c r="X277" i="2"/>
  <c r="BN69" i="2"/>
  <c r="BN106" i="2"/>
  <c r="BN145" i="2"/>
  <c r="BN265" i="2"/>
  <c r="BN43" i="2"/>
  <c r="BN81" i="2"/>
  <c r="BN109" i="2"/>
  <c r="Y172" i="2"/>
  <c r="BP180" i="2"/>
  <c r="BN223" i="2"/>
  <c r="BN239" i="2"/>
  <c r="BN263" i="2"/>
  <c r="BP22" i="2"/>
  <c r="BP216" i="2"/>
  <c r="BP258" i="2"/>
  <c r="BN41" i="2"/>
  <c r="BN64" i="2"/>
  <c r="Y82" i="2"/>
  <c r="Y181" i="2"/>
  <c r="BP223" i="2"/>
  <c r="BP239" i="2"/>
  <c r="BN251" i="2"/>
  <c r="BN271" i="2"/>
  <c r="Y30" i="2"/>
  <c r="BP41" i="2"/>
  <c r="Y77" i="2"/>
  <c r="BP90" i="2"/>
  <c r="BN102" i="2"/>
  <c r="BP140" i="2"/>
  <c r="BP155" i="2"/>
  <c r="BN169" i="2"/>
  <c r="BN174" i="2"/>
  <c r="BP194" i="2"/>
  <c r="Y224" i="2"/>
  <c r="Y240" i="2"/>
  <c r="BP251" i="2"/>
  <c r="BP70" i="2"/>
  <c r="Y83" i="2"/>
  <c r="BP96" i="2"/>
  <c r="BP107" i="2"/>
  <c r="BN117" i="2"/>
  <c r="BP162" i="2"/>
  <c r="Y182" i="2"/>
  <c r="BN186" i="2"/>
  <c r="BP200" i="2"/>
  <c r="BN211" i="2"/>
  <c r="BP256" i="2"/>
  <c r="BP266" i="2"/>
  <c r="BN168" i="2"/>
  <c r="BP69" i="2"/>
  <c r="BP145" i="2"/>
  <c r="BP161" i="2"/>
  <c r="BN185" i="2"/>
  <c r="Y188" i="2"/>
  <c r="BN210" i="2"/>
  <c r="BN49" i="2"/>
  <c r="BN122" i="2"/>
  <c r="BP168" i="2"/>
  <c r="Y24" i="2"/>
  <c r="BN62" i="2"/>
  <c r="Y65" i="2"/>
  <c r="BN88" i="2"/>
  <c r="BP102" i="2"/>
  <c r="Y156" i="2"/>
  <c r="BP174" i="2"/>
  <c r="BN192" i="2"/>
  <c r="BN217" i="2"/>
  <c r="BN235" i="2"/>
  <c r="Y260" i="2"/>
  <c r="BN269" i="2"/>
  <c r="Y272" i="2"/>
  <c r="BN75" i="2"/>
  <c r="BN268" i="2"/>
  <c r="BN128" i="2"/>
  <c r="Y146" i="2"/>
  <c r="BP185" i="2"/>
  <c r="BP49" i="2"/>
  <c r="BP122" i="2"/>
  <c r="BN134" i="2"/>
  <c r="BP29" i="2"/>
  <c r="Y110" i="2"/>
  <c r="BN200" i="2"/>
  <c r="BP246" i="2"/>
  <c r="BN256" i="2"/>
  <c r="BN44" i="2"/>
  <c r="BN57" i="2"/>
  <c r="Y51" i="2"/>
  <c r="BN123" i="2"/>
  <c r="Y141" i="2"/>
  <c r="F9" i="2"/>
  <c r="Y71" i="2"/>
  <c r="BP117" i="2"/>
  <c r="Y163" i="2"/>
  <c r="Y201" i="2"/>
  <c r="BP62" i="2"/>
  <c r="BP235" i="2"/>
  <c r="J9" i="2"/>
  <c r="Y142" i="2"/>
  <c r="Y157" i="2"/>
  <c r="Y212" i="2"/>
  <c r="BN161" i="2"/>
  <c r="Y93" i="2"/>
  <c r="BN22" i="2"/>
  <c r="BP75" i="2"/>
  <c r="BN87" i="2"/>
  <c r="BN216" i="2"/>
  <c r="BN104" i="2"/>
  <c r="BP210" i="2"/>
  <c r="BN35" i="2"/>
  <c r="H9" i="2"/>
  <c r="Y218" i="2"/>
  <c r="Y236" i="2"/>
  <c r="BN245" i="2"/>
  <c r="Y275" i="2" l="1"/>
  <c r="Y278" i="2"/>
  <c r="Y276" i="2"/>
  <c r="Y277" i="2" s="1"/>
  <c r="Y274" i="2"/>
  <c r="A287" i="2" l="1"/>
  <c r="B287" i="2"/>
  <c r="C287" i="2"/>
</calcChain>
</file>

<file path=xl/sharedStrings.xml><?xml version="1.0" encoding="utf-8"?>
<sst xmlns="http://schemas.openxmlformats.org/spreadsheetml/2006/main" count="1669" uniqueCount="398">
  <si>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</si>
  <si>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</si>
  <si>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</si>
  <si>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</si>
  <si>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</si>
  <si>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</si>
  <si>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</si>
  <si>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</si>
  <si>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</si>
  <si>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</si>
  <si>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</si>
  <si>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</si>
  <si>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</si>
  <si>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</si>
  <si>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</si>
  <si>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</si>
  <si>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</si>
  <si>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</si>
  <si>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</si>
  <si>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</si>
  <si>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</si>
  <si>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</si>
  <si>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</si>
  <si>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</si>
  <si>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</si>
  <si>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</si>
  <si>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</si>
  <si>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</si>
  <si>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</si>
  <si>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</si>
  <si>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</si>
  <si>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</si>
  <si>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</si>
  <si>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</si>
  <si>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</si>
  <si>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</si>
  <si>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</si>
  <si>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</si>
  <si>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</si>
  <si>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</si>
  <si>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</si>
  <si>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</si>
  <si>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</si>
  <si>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</si>
  <si>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</si>
  <si>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</si>
  <si>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</si>
  <si>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</si>
  <si>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</si>
  <si>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</si>
  <si>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</si>
  <si>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</si>
  <si>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</si>
  <si>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</si>
  <si>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</si>
  <si>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</si>
  <si>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</si>
  <si>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</si>
  <si>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</si>
  <si>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</si>
  <si>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</si>
  <si>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</si>
  <si>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</si>
  <si>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</si>
  <si>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</si>
  <si>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</si>
  <si>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</si>
  <si>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</si>
  <si>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</si>
  <si>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</si>
  <si>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</si>
  <si>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19.11.2025</t>
  </si>
  <si>
    <t>15.11.2025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</si>
  <si>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</si>
  <si>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</si>
  <si>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</si>
  <si>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</si>
  <si>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</si>
  <si>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</si>
  <si>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</si>
  <si>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</si>
  <si>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</si>
  <si>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</si>
  <si>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</si>
  <si>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</si>
  <si>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</si>
  <si>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</si>
  <si>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</si>
  <si>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</si>
  <si>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</si>
  <si>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</si>
  <si>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</si>
  <si>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</si>
  <si>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</si>
  <si>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</si>
  <si>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</si>
  <si>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</si>
  <si>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</si>
  <si>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</si>
  <si>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</si>
  <si>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</si>
  <si>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</si>
  <si>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</si>
  <si>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</si>
  <si>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</si>
  <si>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</si>
  <si>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</si>
  <si>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</si>
  <si>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</si>
  <si>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</si>
  <si>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</si>
  <si>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</si>
  <si>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</si>
  <si>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</si>
  <si>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</si>
  <si>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</si>
  <si>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</si>
  <si>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</si>
  <si>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</si>
  <si>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</si>
  <si>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</si>
  <si>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</si>
  <si>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</si>
  <si>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</si>
  <si>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</si>
  <si>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</si>
  <si>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</si>
  <si>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</si>
  <si>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</si>
  <si>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</si>
  <si>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</si>
  <si>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</si>
  <si>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</si>
  <si>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</si>
  <si>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</si>
  <si>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</si>
  <si>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</si>
  <si>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</si>
  <si>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</si>
  <si>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</si>
  <si>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</si>
  <si>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</si>
  <si>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</si>
  <si>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</si>
  <si>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</si>
  <si>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</si>
  <si>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</si>
  <si>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</si>
  <si>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</si>
  <si>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</si>
  <si>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Палетта, мин. 1</t>
  </si>
  <si>
    <t>Палетта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</si>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</sst>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45982</v>
      </c>
      <c r="R5" s="284"/>
      <c r="T5" s="285" t="s">
        <v>3</v>
      </c>
      <c r="U5" s="286"/>
      <c r="V5" s="287" t="s">
        <v>384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79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Пятница</v>
      </c>
      <c r="R6" s="290"/>
      <c r="T6" s="291" t="s">
        <v>5</v>
      </c>
      <c r="U6" s="292"/>
      <c r="V6" s="293" t="s">
        <v>73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80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0.375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74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75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76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77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78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81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81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82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4301070899</v>
      </c>
      <c r="D22" s="348">
        <v>4607111035752</v>
      </c>
      <c r="E22" s="348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355"/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6"/>
      <c r="P23" s="352" t="s">
        <v>40</v>
      </c>
      <c r="Q23" s="353"/>
      <c r="R23" s="353"/>
      <c r="S23" s="353"/>
      <c r="T23" s="353"/>
      <c r="U23" s="353"/>
      <c r="V23" s="354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55"/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6"/>
      <c r="P24" s="352" t="s">
        <v>40</v>
      </c>
      <c r="Q24" s="353"/>
      <c r="R24" s="353"/>
      <c r="S24" s="353"/>
      <c r="T24" s="353"/>
      <c r="U24" s="353"/>
      <c r="V24" s="354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45" t="s">
        <v>45</v>
      </c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54"/>
      <c r="AB25" s="54"/>
      <c r="AC25" s="54"/>
    </row>
    <row r="26" spans="1:68" ht="16.5" customHeight="1" x14ac:dyDescent="0.25">
      <c r="A26" s="346" t="s">
        <v>90</v>
      </c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65"/>
      <c r="AB26" s="65"/>
      <c r="AC26" s="82"/>
    </row>
    <row r="27" spans="1:68" ht="14.25" customHeight="1" x14ac:dyDescent="0.25">
      <c r="A27" s="347" t="s">
        <v>91</v>
      </c>
      <c r="B27" s="347"/>
      <c r="C27" s="347"/>
      <c r="D27" s="347"/>
      <c r="E27" s="347"/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66"/>
      <c r="AB27" s="66"/>
      <c r="AC27" s="83"/>
    </row>
    <row r="28" spans="1:68" ht="27" customHeight="1" x14ac:dyDescent="0.25">
      <c r="A28" s="63" t="s">
        <v>92</v>
      </c>
      <c r="B28" s="63" t="s">
        <v>93</v>
      </c>
      <c r="C28" s="36">
        <v>4301132190</v>
      </c>
      <c r="D28" s="348">
        <v>4607111036537</v>
      </c>
      <c r="E28" s="348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96</v>
      </c>
      <c r="L28" s="37" t="s">
        <v>97</v>
      </c>
      <c r="M28" s="38" t="s">
        <v>86</v>
      </c>
      <c r="N28" s="38"/>
      <c r="O28" s="37">
        <v>365</v>
      </c>
      <c r="P28" s="35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50"/>
      <c r="R28" s="350"/>
      <c r="S28" s="350"/>
      <c r="T28" s="351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94</v>
      </c>
      <c r="AG28" s="81"/>
      <c r="AJ28" s="87" t="s">
        <v>98</v>
      </c>
      <c r="AK28" s="87">
        <v>14</v>
      </c>
      <c r="BB28" s="92" t="s">
        <v>95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99</v>
      </c>
      <c r="B29" s="63" t="s">
        <v>100</v>
      </c>
      <c r="C29" s="36">
        <v>4301132188</v>
      </c>
      <c r="D29" s="348">
        <v>4607111036605</v>
      </c>
      <c r="E29" s="348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96</v>
      </c>
      <c r="L29" s="37" t="s">
        <v>88</v>
      </c>
      <c r="M29" s="38" t="s">
        <v>86</v>
      </c>
      <c r="N29" s="38"/>
      <c r="O29" s="37">
        <v>365</v>
      </c>
      <c r="P29" s="35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50"/>
      <c r="R29" s="350"/>
      <c r="S29" s="350"/>
      <c r="T29" s="351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94</v>
      </c>
      <c r="AG29" s="81"/>
      <c r="AJ29" s="87" t="s">
        <v>89</v>
      </c>
      <c r="AK29" s="87">
        <v>1</v>
      </c>
      <c r="BB29" s="94" t="s">
        <v>95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355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6"/>
      <c r="P30" s="352" t="s">
        <v>40</v>
      </c>
      <c r="Q30" s="353"/>
      <c r="R30" s="353"/>
      <c r="S30" s="353"/>
      <c r="T30" s="353"/>
      <c r="U30" s="353"/>
      <c r="V30" s="354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355"/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6"/>
      <c r="P31" s="352" t="s">
        <v>40</v>
      </c>
      <c r="Q31" s="353"/>
      <c r="R31" s="353"/>
      <c r="S31" s="353"/>
      <c r="T31" s="353"/>
      <c r="U31" s="353"/>
      <c r="V31" s="354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46" t="s">
        <v>101</v>
      </c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  <c r="Y32" s="346"/>
      <c r="Z32" s="346"/>
      <c r="AA32" s="65"/>
      <c r="AB32" s="65"/>
      <c r="AC32" s="82"/>
    </row>
    <row r="33" spans="1:68" ht="14.25" customHeight="1" x14ac:dyDescent="0.25">
      <c r="A33" s="347" t="s">
        <v>82</v>
      </c>
      <c r="B33" s="347"/>
      <c r="C33" s="347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  <c r="AA33" s="66"/>
      <c r="AB33" s="66"/>
      <c r="AC33" s="83"/>
    </row>
    <row r="34" spans="1:68" ht="27" customHeight="1" x14ac:dyDescent="0.25">
      <c r="A34" s="63" t="s">
        <v>102</v>
      </c>
      <c r="B34" s="63" t="s">
        <v>103</v>
      </c>
      <c r="C34" s="36">
        <v>4301071090</v>
      </c>
      <c r="D34" s="348">
        <v>4620207490075</v>
      </c>
      <c r="E34" s="348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5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50"/>
      <c r="R34" s="350"/>
      <c r="S34" s="350"/>
      <c r="T34" s="35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104</v>
      </c>
      <c r="AG34" s="81"/>
      <c r="AJ34" s="87" t="s">
        <v>89</v>
      </c>
      <c r="AK34" s="87">
        <v>1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105</v>
      </c>
      <c r="B35" s="63" t="s">
        <v>106</v>
      </c>
      <c r="C35" s="36">
        <v>4301071092</v>
      </c>
      <c r="D35" s="348">
        <v>4620207490174</v>
      </c>
      <c r="E35" s="348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87</v>
      </c>
      <c r="L35" s="37" t="s">
        <v>97</v>
      </c>
      <c r="M35" s="38" t="s">
        <v>86</v>
      </c>
      <c r="N35" s="38"/>
      <c r="O35" s="37">
        <v>180</v>
      </c>
      <c r="P35" s="36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50"/>
      <c r="R35" s="350"/>
      <c r="S35" s="350"/>
      <c r="T35" s="35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107</v>
      </c>
      <c r="AG35" s="81"/>
      <c r="AJ35" s="87" t="s">
        <v>98</v>
      </c>
      <c r="AK35" s="87">
        <v>12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108</v>
      </c>
      <c r="B36" s="63" t="s">
        <v>109</v>
      </c>
      <c r="C36" s="36">
        <v>4301071091</v>
      </c>
      <c r="D36" s="348">
        <v>4620207490044</v>
      </c>
      <c r="E36" s="348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87</v>
      </c>
      <c r="L36" s="37" t="s">
        <v>88</v>
      </c>
      <c r="M36" s="38" t="s">
        <v>86</v>
      </c>
      <c r="N36" s="38"/>
      <c r="O36" s="37">
        <v>180</v>
      </c>
      <c r="P36" s="36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50"/>
      <c r="R36" s="350"/>
      <c r="S36" s="350"/>
      <c r="T36" s="351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110</v>
      </c>
      <c r="AG36" s="81"/>
      <c r="AJ36" s="87" t="s">
        <v>89</v>
      </c>
      <c r="AK36" s="87">
        <v>1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6"/>
      <c r="P37" s="352" t="s">
        <v>40</v>
      </c>
      <c r="Q37" s="353"/>
      <c r="R37" s="353"/>
      <c r="S37" s="353"/>
      <c r="T37" s="353"/>
      <c r="U37" s="353"/>
      <c r="V37" s="354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355"/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6"/>
      <c r="P38" s="352" t="s">
        <v>40</v>
      </c>
      <c r="Q38" s="353"/>
      <c r="R38" s="353"/>
      <c r="S38" s="353"/>
      <c r="T38" s="353"/>
      <c r="U38" s="353"/>
      <c r="V38" s="354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46" t="s">
        <v>111</v>
      </c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65"/>
      <c r="AB39" s="65"/>
      <c r="AC39" s="82"/>
    </row>
    <row r="40" spans="1:68" ht="14.25" customHeight="1" x14ac:dyDescent="0.25">
      <c r="A40" s="347" t="s">
        <v>82</v>
      </c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4301071044</v>
      </c>
      <c r="D41" s="348">
        <v>4607111039385</v>
      </c>
      <c r="E41" s="348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87</v>
      </c>
      <c r="L41" s="37" t="s">
        <v>97</v>
      </c>
      <c r="M41" s="38" t="s">
        <v>86</v>
      </c>
      <c r="N41" s="38"/>
      <c r="O41" s="37">
        <v>180</v>
      </c>
      <c r="P41" s="36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50"/>
      <c r="R41" s="350"/>
      <c r="S41" s="350"/>
      <c r="T41" s="351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114</v>
      </c>
      <c r="AG41" s="81"/>
      <c r="AJ41" s="87" t="s">
        <v>98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4301071031</v>
      </c>
      <c r="D42" s="348">
        <v>4607111038982</v>
      </c>
      <c r="E42" s="348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87</v>
      </c>
      <c r="L42" s="37" t="s">
        <v>97</v>
      </c>
      <c r="M42" s="38" t="s">
        <v>86</v>
      </c>
      <c r="N42" s="38"/>
      <c r="O42" s="37">
        <v>180</v>
      </c>
      <c r="P42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50"/>
      <c r="R42" s="350"/>
      <c r="S42" s="350"/>
      <c r="T42" s="35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117</v>
      </c>
      <c r="AG42" s="81"/>
      <c r="AJ42" s="87" t="s">
        <v>98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4301071046</v>
      </c>
      <c r="D43" s="348">
        <v>4607111039354</v>
      </c>
      <c r="E43" s="348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87</v>
      </c>
      <c r="L43" s="37" t="s">
        <v>97</v>
      </c>
      <c r="M43" s="38" t="s">
        <v>86</v>
      </c>
      <c r="N43" s="38"/>
      <c r="O43" s="37">
        <v>180</v>
      </c>
      <c r="P43" s="36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50"/>
      <c r="R43" s="350"/>
      <c r="S43" s="350"/>
      <c r="T43" s="351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117</v>
      </c>
      <c r="AG43" s="81"/>
      <c r="AJ43" s="87" t="s">
        <v>98</v>
      </c>
      <c r="AK43" s="87">
        <v>12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4301071047</v>
      </c>
      <c r="D44" s="348">
        <v>4607111039330</v>
      </c>
      <c r="E44" s="348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87</v>
      </c>
      <c r="L44" s="37" t="s">
        <v>88</v>
      </c>
      <c r="M44" s="38" t="s">
        <v>86</v>
      </c>
      <c r="N44" s="38"/>
      <c r="O44" s="37">
        <v>180</v>
      </c>
      <c r="P44" s="36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50"/>
      <c r="R44" s="350"/>
      <c r="S44" s="350"/>
      <c r="T44" s="351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117</v>
      </c>
      <c r="AG44" s="81"/>
      <c r="AJ44" s="87" t="s">
        <v>89</v>
      </c>
      <c r="AK44" s="87">
        <v>1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355"/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6"/>
      <c r="P45" s="352" t="s">
        <v>40</v>
      </c>
      <c r="Q45" s="353"/>
      <c r="R45" s="353"/>
      <c r="S45" s="353"/>
      <c r="T45" s="353"/>
      <c r="U45" s="353"/>
      <c r="V45" s="354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355"/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6"/>
      <c r="P46" s="352" t="s">
        <v>40</v>
      </c>
      <c r="Q46" s="353"/>
      <c r="R46" s="353"/>
      <c r="S46" s="353"/>
      <c r="T46" s="353"/>
      <c r="U46" s="353"/>
      <c r="V46" s="354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46" t="s">
        <v>122</v>
      </c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65"/>
      <c r="AB47" s="65"/>
      <c r="AC47" s="82"/>
    </row>
    <row r="48" spans="1:68" ht="14.25" customHeight="1" x14ac:dyDescent="0.25">
      <c r="A48" s="347" t="s">
        <v>82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66"/>
      <c r="AB48" s="66"/>
      <c r="AC48" s="83"/>
    </row>
    <row r="49" spans="1:68" ht="16.5" customHeight="1" x14ac:dyDescent="0.25">
      <c r="A49" s="63" t="s">
        <v>123</v>
      </c>
      <c r="B49" s="63" t="s">
        <v>124</v>
      </c>
      <c r="C49" s="36">
        <v>4301071073</v>
      </c>
      <c r="D49" s="348">
        <v>4620207490822</v>
      </c>
      <c r="E49" s="348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87</v>
      </c>
      <c r="L49" s="37" t="s">
        <v>88</v>
      </c>
      <c r="M49" s="38" t="s">
        <v>86</v>
      </c>
      <c r="N49" s="38"/>
      <c r="O49" s="37">
        <v>365</v>
      </c>
      <c r="P49" s="36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50"/>
      <c r="R49" s="350"/>
      <c r="S49" s="350"/>
      <c r="T49" s="351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125</v>
      </c>
      <c r="AG49" s="81"/>
      <c r="AJ49" s="87" t="s">
        <v>89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55"/>
      <c r="B50" s="355"/>
      <c r="C50" s="355"/>
      <c r="D50" s="355"/>
      <c r="E50" s="355"/>
      <c r="F50" s="355"/>
      <c r="G50" s="355"/>
      <c r="H50" s="355"/>
      <c r="I50" s="355"/>
      <c r="J50" s="355"/>
      <c r="K50" s="355"/>
      <c r="L50" s="355"/>
      <c r="M50" s="355"/>
      <c r="N50" s="355"/>
      <c r="O50" s="356"/>
      <c r="P50" s="352" t="s">
        <v>40</v>
      </c>
      <c r="Q50" s="353"/>
      <c r="R50" s="353"/>
      <c r="S50" s="353"/>
      <c r="T50" s="353"/>
      <c r="U50" s="353"/>
      <c r="V50" s="354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355"/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6"/>
      <c r="P51" s="352" t="s">
        <v>40</v>
      </c>
      <c r="Q51" s="353"/>
      <c r="R51" s="353"/>
      <c r="S51" s="353"/>
      <c r="T51" s="353"/>
      <c r="U51" s="353"/>
      <c r="V51" s="354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347" t="s">
        <v>91</v>
      </c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66"/>
      <c r="AB52" s="66"/>
      <c r="AC52" s="83"/>
    </row>
    <row r="53" spans="1:68" ht="27" customHeight="1" x14ac:dyDescent="0.25">
      <c r="A53" s="63" t="s">
        <v>126</v>
      </c>
      <c r="B53" s="63" t="s">
        <v>127</v>
      </c>
      <c r="C53" s="36">
        <v>4301132194</v>
      </c>
      <c r="D53" s="348">
        <v>4607111039712</v>
      </c>
      <c r="E53" s="348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96</v>
      </c>
      <c r="L53" s="37" t="s">
        <v>88</v>
      </c>
      <c r="M53" s="38" t="s">
        <v>86</v>
      </c>
      <c r="N53" s="38"/>
      <c r="O53" s="37">
        <v>365</v>
      </c>
      <c r="P53" s="36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128</v>
      </c>
      <c r="AG53" s="81"/>
      <c r="AJ53" s="87" t="s">
        <v>89</v>
      </c>
      <c r="AK53" s="87">
        <v>1</v>
      </c>
      <c r="BB53" s="112" t="s">
        <v>95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5"/>
      <c r="B54" s="355"/>
      <c r="C54" s="355"/>
      <c r="D54" s="355"/>
      <c r="E54" s="355"/>
      <c r="F54" s="355"/>
      <c r="G54" s="355"/>
      <c r="H54" s="355"/>
      <c r="I54" s="355"/>
      <c r="J54" s="355"/>
      <c r="K54" s="355"/>
      <c r="L54" s="355"/>
      <c r="M54" s="355"/>
      <c r="N54" s="355"/>
      <c r="O54" s="356"/>
      <c r="P54" s="352" t="s">
        <v>40</v>
      </c>
      <c r="Q54" s="353"/>
      <c r="R54" s="353"/>
      <c r="S54" s="353"/>
      <c r="T54" s="353"/>
      <c r="U54" s="353"/>
      <c r="V54" s="354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6"/>
      <c r="P55" s="352" t="s">
        <v>40</v>
      </c>
      <c r="Q55" s="353"/>
      <c r="R55" s="353"/>
      <c r="S55" s="353"/>
      <c r="T55" s="353"/>
      <c r="U55" s="353"/>
      <c r="V55" s="354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347" t="s">
        <v>129</v>
      </c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  <c r="AA56" s="66"/>
      <c r="AB56" s="66"/>
      <c r="AC56" s="83"/>
    </row>
    <row r="57" spans="1:68" ht="16.5" customHeight="1" x14ac:dyDescent="0.25">
      <c r="A57" s="63" t="s">
        <v>130</v>
      </c>
      <c r="B57" s="63" t="s">
        <v>131</v>
      </c>
      <c r="C57" s="36">
        <v>4301136018</v>
      </c>
      <c r="D57" s="348">
        <v>4607111037008</v>
      </c>
      <c r="E57" s="348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96</v>
      </c>
      <c r="L57" s="37" t="s">
        <v>88</v>
      </c>
      <c r="M57" s="38" t="s">
        <v>86</v>
      </c>
      <c r="N57" s="38"/>
      <c r="O57" s="37">
        <v>365</v>
      </c>
      <c r="P57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350"/>
      <c r="R57" s="350"/>
      <c r="S57" s="350"/>
      <c r="T57" s="351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132</v>
      </c>
      <c r="AG57" s="81"/>
      <c r="AJ57" s="87" t="s">
        <v>89</v>
      </c>
      <c r="AK57" s="87">
        <v>1</v>
      </c>
      <c r="BB57" s="114" t="s">
        <v>95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133</v>
      </c>
      <c r="B58" s="63" t="s">
        <v>134</v>
      </c>
      <c r="C58" s="36">
        <v>4301136015</v>
      </c>
      <c r="D58" s="348">
        <v>4607111037398</v>
      </c>
      <c r="E58" s="348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96</v>
      </c>
      <c r="L58" s="37" t="s">
        <v>88</v>
      </c>
      <c r="M58" s="38" t="s">
        <v>86</v>
      </c>
      <c r="N58" s="38"/>
      <c r="O58" s="37">
        <v>365</v>
      </c>
      <c r="P58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350"/>
      <c r="R58" s="350"/>
      <c r="S58" s="350"/>
      <c r="T58" s="351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132</v>
      </c>
      <c r="AG58" s="81"/>
      <c r="AJ58" s="87" t="s">
        <v>89</v>
      </c>
      <c r="AK58" s="87">
        <v>1</v>
      </c>
      <c r="BB58" s="116" t="s">
        <v>95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5"/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6"/>
      <c r="P59" s="352" t="s">
        <v>40</v>
      </c>
      <c r="Q59" s="353"/>
      <c r="R59" s="353"/>
      <c r="S59" s="353"/>
      <c r="T59" s="353"/>
      <c r="U59" s="353"/>
      <c r="V59" s="354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355"/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6"/>
      <c r="P60" s="352" t="s">
        <v>40</v>
      </c>
      <c r="Q60" s="353"/>
      <c r="R60" s="353"/>
      <c r="S60" s="353"/>
      <c r="T60" s="353"/>
      <c r="U60" s="353"/>
      <c r="V60" s="354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347" t="s">
        <v>135</v>
      </c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  <c r="AA61" s="66"/>
      <c r="AB61" s="66"/>
      <c r="AC61" s="83"/>
    </row>
    <row r="62" spans="1:68" ht="27" customHeight="1" x14ac:dyDescent="0.25">
      <c r="A62" s="63" t="s">
        <v>136</v>
      </c>
      <c r="B62" s="63" t="s">
        <v>137</v>
      </c>
      <c r="C62" s="36">
        <v>4301135664</v>
      </c>
      <c r="D62" s="348">
        <v>4607111039705</v>
      </c>
      <c r="E62" s="348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96</v>
      </c>
      <c r="L62" s="37" t="s">
        <v>88</v>
      </c>
      <c r="M62" s="38" t="s">
        <v>86</v>
      </c>
      <c r="N62" s="38"/>
      <c r="O62" s="37">
        <v>365</v>
      </c>
      <c r="P62" s="3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350"/>
      <c r="R62" s="350"/>
      <c r="S62" s="350"/>
      <c r="T62" s="351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132</v>
      </c>
      <c r="AG62" s="81"/>
      <c r="AJ62" s="87" t="s">
        <v>89</v>
      </c>
      <c r="AK62" s="87">
        <v>1</v>
      </c>
      <c r="BB62" s="118" t="s">
        <v>95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138</v>
      </c>
      <c r="B63" s="63" t="s">
        <v>139</v>
      </c>
      <c r="C63" s="36">
        <v>4301135665</v>
      </c>
      <c r="D63" s="348">
        <v>4607111039729</v>
      </c>
      <c r="E63" s="348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96</v>
      </c>
      <c r="L63" s="37" t="s">
        <v>88</v>
      </c>
      <c r="M63" s="38" t="s">
        <v>86</v>
      </c>
      <c r="N63" s="38"/>
      <c r="O63" s="37">
        <v>365</v>
      </c>
      <c r="P63" s="37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350"/>
      <c r="R63" s="350"/>
      <c r="S63" s="350"/>
      <c r="T63" s="351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140</v>
      </c>
      <c r="AG63" s="81"/>
      <c r="AJ63" s="87" t="s">
        <v>89</v>
      </c>
      <c r="AK63" s="87">
        <v>1</v>
      </c>
      <c r="BB63" s="120" t="s">
        <v>95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141</v>
      </c>
      <c r="B64" s="63" t="s">
        <v>142</v>
      </c>
      <c r="C64" s="36">
        <v>4301135702</v>
      </c>
      <c r="D64" s="348">
        <v>4620207490228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96</v>
      </c>
      <c r="L64" s="37" t="s">
        <v>88</v>
      </c>
      <c r="M64" s="38" t="s">
        <v>86</v>
      </c>
      <c r="N64" s="38"/>
      <c r="O64" s="37">
        <v>365</v>
      </c>
      <c r="P64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140</v>
      </c>
      <c r="AG64" s="81"/>
      <c r="AJ64" s="87" t="s">
        <v>89</v>
      </c>
      <c r="AK64" s="87">
        <v>1</v>
      </c>
      <c r="BB64" s="122" t="s">
        <v>95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5"/>
      <c r="B65" s="355"/>
      <c r="C65" s="355"/>
      <c r="D65" s="355"/>
      <c r="E65" s="355"/>
      <c r="F65" s="355"/>
      <c r="G65" s="355"/>
      <c r="H65" s="355"/>
      <c r="I65" s="355"/>
      <c r="J65" s="355"/>
      <c r="K65" s="355"/>
      <c r="L65" s="355"/>
      <c r="M65" s="355"/>
      <c r="N65" s="355"/>
      <c r="O65" s="356"/>
      <c r="P65" s="352" t="s">
        <v>40</v>
      </c>
      <c r="Q65" s="353"/>
      <c r="R65" s="353"/>
      <c r="S65" s="353"/>
      <c r="T65" s="353"/>
      <c r="U65" s="353"/>
      <c r="V65" s="354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355"/>
      <c r="B66" s="355"/>
      <c r="C66" s="355"/>
      <c r="D66" s="355"/>
      <c r="E66" s="355"/>
      <c r="F66" s="355"/>
      <c r="G66" s="355"/>
      <c r="H66" s="355"/>
      <c r="I66" s="355"/>
      <c r="J66" s="355"/>
      <c r="K66" s="355"/>
      <c r="L66" s="355"/>
      <c r="M66" s="355"/>
      <c r="N66" s="355"/>
      <c r="O66" s="356"/>
      <c r="P66" s="352" t="s">
        <v>40</v>
      </c>
      <c r="Q66" s="353"/>
      <c r="R66" s="353"/>
      <c r="S66" s="353"/>
      <c r="T66" s="353"/>
      <c r="U66" s="353"/>
      <c r="V66" s="354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46" t="s">
        <v>143</v>
      </c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  <c r="AA67" s="65"/>
      <c r="AB67" s="65"/>
      <c r="AC67" s="82"/>
    </row>
    <row r="68" spans="1:68" ht="14.25" customHeight="1" x14ac:dyDescent="0.25">
      <c r="A68" s="347" t="s">
        <v>82</v>
      </c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66"/>
      <c r="AB68" s="66"/>
      <c r="AC68" s="83"/>
    </row>
    <row r="69" spans="1:68" ht="27" customHeight="1" x14ac:dyDescent="0.25">
      <c r="A69" s="63" t="s">
        <v>144</v>
      </c>
      <c r="B69" s="63" t="s">
        <v>145</v>
      </c>
      <c r="C69" s="36">
        <v>4301070977</v>
      </c>
      <c r="D69" s="348">
        <v>4607111037411</v>
      </c>
      <c r="E69" s="348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147</v>
      </c>
      <c r="L69" s="37" t="s">
        <v>97</v>
      </c>
      <c r="M69" s="38" t="s">
        <v>86</v>
      </c>
      <c r="N69" s="38"/>
      <c r="O69" s="37">
        <v>180</v>
      </c>
      <c r="P69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146</v>
      </c>
      <c r="AG69" s="81"/>
      <c r="AJ69" s="87" t="s">
        <v>98</v>
      </c>
      <c r="AK69" s="87">
        <v>18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148</v>
      </c>
      <c r="B70" s="63" t="s">
        <v>149</v>
      </c>
      <c r="C70" s="36">
        <v>4301070981</v>
      </c>
      <c r="D70" s="348">
        <v>4607111036728</v>
      </c>
      <c r="E70" s="348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87</v>
      </c>
      <c r="L70" s="37" t="s">
        <v>150</v>
      </c>
      <c r="M70" s="38" t="s">
        <v>86</v>
      </c>
      <c r="N70" s="38"/>
      <c r="O70" s="37">
        <v>180</v>
      </c>
      <c r="P70" s="37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350"/>
      <c r="R70" s="350"/>
      <c r="S70" s="350"/>
      <c r="T70" s="35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146</v>
      </c>
      <c r="AG70" s="81"/>
      <c r="AJ70" s="87" t="s">
        <v>151</v>
      </c>
      <c r="AK70" s="87">
        <v>144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355"/>
      <c r="B71" s="355"/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O71" s="356"/>
      <c r="P71" s="352" t="s">
        <v>40</v>
      </c>
      <c r="Q71" s="353"/>
      <c r="R71" s="353"/>
      <c r="S71" s="353"/>
      <c r="T71" s="353"/>
      <c r="U71" s="353"/>
      <c r="V71" s="354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355"/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6"/>
      <c r="P72" s="352" t="s">
        <v>40</v>
      </c>
      <c r="Q72" s="353"/>
      <c r="R72" s="353"/>
      <c r="S72" s="353"/>
      <c r="T72" s="353"/>
      <c r="U72" s="353"/>
      <c r="V72" s="354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46" t="s">
        <v>152</v>
      </c>
      <c r="B73" s="346"/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  <c r="Z73" s="346"/>
      <c r="AA73" s="65"/>
      <c r="AB73" s="65"/>
      <c r="AC73" s="82"/>
    </row>
    <row r="74" spans="1:68" ht="14.25" customHeight="1" x14ac:dyDescent="0.25">
      <c r="A74" s="347" t="s">
        <v>135</v>
      </c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  <c r="AA74" s="66"/>
      <c r="AB74" s="66"/>
      <c r="AC74" s="83"/>
    </row>
    <row r="75" spans="1:68" ht="27" customHeight="1" x14ac:dyDescent="0.25">
      <c r="A75" s="63" t="s">
        <v>153</v>
      </c>
      <c r="B75" s="63" t="s">
        <v>154</v>
      </c>
      <c r="C75" s="36">
        <v>4301135574</v>
      </c>
      <c r="D75" s="348">
        <v>4607111033659</v>
      </c>
      <c r="E75" s="348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96</v>
      </c>
      <c r="L75" s="37" t="s">
        <v>97</v>
      </c>
      <c r="M75" s="38" t="s">
        <v>86</v>
      </c>
      <c r="N75" s="38"/>
      <c r="O75" s="37">
        <v>180</v>
      </c>
      <c r="P75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155</v>
      </c>
      <c r="AG75" s="81"/>
      <c r="AJ75" s="87" t="s">
        <v>98</v>
      </c>
      <c r="AK75" s="87">
        <v>14</v>
      </c>
      <c r="BB75" s="128" t="s">
        <v>95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5"/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6"/>
      <c r="P76" s="352" t="s">
        <v>40</v>
      </c>
      <c r="Q76" s="353"/>
      <c r="R76" s="353"/>
      <c r="S76" s="353"/>
      <c r="T76" s="353"/>
      <c r="U76" s="353"/>
      <c r="V76" s="354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355"/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356"/>
      <c r="P77" s="352" t="s">
        <v>40</v>
      </c>
      <c r="Q77" s="353"/>
      <c r="R77" s="353"/>
      <c r="S77" s="353"/>
      <c r="T77" s="353"/>
      <c r="U77" s="353"/>
      <c r="V77" s="354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156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157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158</v>
      </c>
      <c r="B80" s="63" t="s">
        <v>159</v>
      </c>
      <c r="C80" s="36">
        <v>4301131047</v>
      </c>
      <c r="D80" s="348">
        <v>4607111034120</v>
      </c>
      <c r="E80" s="348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96</v>
      </c>
      <c r="L80" s="37" t="s">
        <v>97</v>
      </c>
      <c r="M80" s="38" t="s">
        <v>86</v>
      </c>
      <c r="N80" s="38"/>
      <c r="O80" s="37">
        <v>180</v>
      </c>
      <c r="P80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160</v>
      </c>
      <c r="AG80" s="81"/>
      <c r="AJ80" s="87" t="s">
        <v>98</v>
      </c>
      <c r="AK80" s="87">
        <v>14</v>
      </c>
      <c r="BB80" s="130" t="s">
        <v>95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161</v>
      </c>
      <c r="B81" s="63" t="s">
        <v>162</v>
      </c>
      <c r="C81" s="36">
        <v>4301131046</v>
      </c>
      <c r="D81" s="348">
        <v>4607111034137</v>
      </c>
      <c r="E81" s="348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96</v>
      </c>
      <c r="L81" s="37" t="s">
        <v>88</v>
      </c>
      <c r="M81" s="38" t="s">
        <v>86</v>
      </c>
      <c r="N81" s="38"/>
      <c r="O81" s="37">
        <v>180</v>
      </c>
      <c r="P81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163</v>
      </c>
      <c r="AG81" s="81"/>
      <c r="AJ81" s="87" t="s">
        <v>89</v>
      </c>
      <c r="AK81" s="87">
        <v>1</v>
      </c>
      <c r="BB81" s="132" t="s">
        <v>95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5"/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6"/>
      <c r="P82" s="352" t="s">
        <v>40</v>
      </c>
      <c r="Q82" s="353"/>
      <c r="R82" s="353"/>
      <c r="S82" s="353"/>
      <c r="T82" s="353"/>
      <c r="U82" s="353"/>
      <c r="V82" s="354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5"/>
      <c r="B83" s="355"/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6"/>
      <c r="P83" s="352" t="s">
        <v>40</v>
      </c>
      <c r="Q83" s="353"/>
      <c r="R83" s="353"/>
      <c r="S83" s="353"/>
      <c r="T83" s="353"/>
      <c r="U83" s="353"/>
      <c r="V83" s="354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164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135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165</v>
      </c>
      <c r="B86" s="63" t="s">
        <v>166</v>
      </c>
      <c r="C86" s="36">
        <v>4301135763</v>
      </c>
      <c r="D86" s="348">
        <v>4620207491027</v>
      </c>
      <c r="E86" s="348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96</v>
      </c>
      <c r="L86" s="37" t="s">
        <v>88</v>
      </c>
      <c r="M86" s="38" t="s">
        <v>86</v>
      </c>
      <c r="N86" s="38"/>
      <c r="O86" s="37">
        <v>180</v>
      </c>
      <c r="P86" s="37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155</v>
      </c>
      <c r="AG86" s="81"/>
      <c r="AJ86" s="87" t="s">
        <v>89</v>
      </c>
      <c r="AK86" s="87">
        <v>1</v>
      </c>
      <c r="BB86" s="134" t="s">
        <v>95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167</v>
      </c>
      <c r="B87" s="63" t="s">
        <v>168</v>
      </c>
      <c r="C87" s="36">
        <v>4301135793</v>
      </c>
      <c r="D87" s="348">
        <v>4620207491003</v>
      </c>
      <c r="E87" s="348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96</v>
      </c>
      <c r="L87" s="37" t="s">
        <v>88</v>
      </c>
      <c r="M87" s="38" t="s">
        <v>86</v>
      </c>
      <c r="N87" s="38"/>
      <c r="O87" s="37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350"/>
      <c r="R87" s="350"/>
      <c r="S87" s="350"/>
      <c r="T87" s="351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155</v>
      </c>
      <c r="AG87" s="81"/>
      <c r="AJ87" s="87" t="s">
        <v>89</v>
      </c>
      <c r="AK87" s="87">
        <v>1</v>
      </c>
      <c r="BB87" s="136" t="s">
        <v>95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169</v>
      </c>
      <c r="B88" s="63" t="s">
        <v>170</v>
      </c>
      <c r="C88" s="36">
        <v>4301135768</v>
      </c>
      <c r="D88" s="348">
        <v>4620207491034</v>
      </c>
      <c r="E88" s="348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96</v>
      </c>
      <c r="L88" s="37" t="s">
        <v>88</v>
      </c>
      <c r="M88" s="38" t="s">
        <v>86</v>
      </c>
      <c r="N88" s="38"/>
      <c r="O88" s="37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350"/>
      <c r="R88" s="350"/>
      <c r="S88" s="350"/>
      <c r="T88" s="351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171</v>
      </c>
      <c r="AG88" s="81"/>
      <c r="AJ88" s="87" t="s">
        <v>89</v>
      </c>
      <c r="AK88" s="87">
        <v>1</v>
      </c>
      <c r="BB88" s="138" t="s">
        <v>95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172</v>
      </c>
      <c r="B89" s="63" t="s">
        <v>173</v>
      </c>
      <c r="C89" s="36">
        <v>4301135760</v>
      </c>
      <c r="D89" s="348">
        <v>4620207491010</v>
      </c>
      <c r="E89" s="348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96</v>
      </c>
      <c r="L89" s="37" t="s">
        <v>88</v>
      </c>
      <c r="M89" s="38" t="s">
        <v>86</v>
      </c>
      <c r="N89" s="38"/>
      <c r="O89" s="37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350"/>
      <c r="R89" s="350"/>
      <c r="S89" s="350"/>
      <c r="T89" s="351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155</v>
      </c>
      <c r="AG89" s="81"/>
      <c r="AJ89" s="87" t="s">
        <v>89</v>
      </c>
      <c r="AK89" s="87">
        <v>1</v>
      </c>
      <c r="BB89" s="140" t="s">
        <v>95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174</v>
      </c>
      <c r="B90" s="63" t="s">
        <v>175</v>
      </c>
      <c r="C90" s="36">
        <v>4301135571</v>
      </c>
      <c r="D90" s="348">
        <v>4607111035028</v>
      </c>
      <c r="E90" s="348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96</v>
      </c>
      <c r="L90" s="37" t="s">
        <v>88</v>
      </c>
      <c r="M90" s="38" t="s">
        <v>86</v>
      </c>
      <c r="N90" s="38"/>
      <c r="O90" s="37">
        <v>180</v>
      </c>
      <c r="P90" s="38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350"/>
      <c r="R90" s="350"/>
      <c r="S90" s="350"/>
      <c r="T90" s="351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155</v>
      </c>
      <c r="AG90" s="81"/>
      <c r="AJ90" s="87" t="s">
        <v>89</v>
      </c>
      <c r="AK90" s="87">
        <v>1</v>
      </c>
      <c r="BB90" s="142" t="s">
        <v>95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176</v>
      </c>
      <c r="B91" s="63" t="s">
        <v>177</v>
      </c>
      <c r="C91" s="36">
        <v>4301135285</v>
      </c>
      <c r="D91" s="348">
        <v>4607111036407</v>
      </c>
      <c r="E91" s="348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96</v>
      </c>
      <c r="L91" s="37" t="s">
        <v>97</v>
      </c>
      <c r="M91" s="38" t="s">
        <v>86</v>
      </c>
      <c r="N91" s="38"/>
      <c r="O91" s="37">
        <v>180</v>
      </c>
      <c r="P91" s="38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178</v>
      </c>
      <c r="AG91" s="81"/>
      <c r="AJ91" s="87" t="s">
        <v>98</v>
      </c>
      <c r="AK91" s="87">
        <v>14</v>
      </c>
      <c r="BB91" s="144" t="s">
        <v>95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355"/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6"/>
      <c r="P92" s="352" t="s">
        <v>40</v>
      </c>
      <c r="Q92" s="353"/>
      <c r="R92" s="353"/>
      <c r="S92" s="353"/>
      <c r="T92" s="353"/>
      <c r="U92" s="353"/>
      <c r="V92" s="354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355"/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6"/>
      <c r="P93" s="352" t="s">
        <v>40</v>
      </c>
      <c r="Q93" s="353"/>
      <c r="R93" s="353"/>
      <c r="S93" s="353"/>
      <c r="T93" s="353"/>
      <c r="U93" s="353"/>
      <c r="V93" s="354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46" t="s">
        <v>179</v>
      </c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  <c r="AA94" s="65"/>
      <c r="AB94" s="65"/>
      <c r="AC94" s="82"/>
    </row>
    <row r="95" spans="1:68" ht="14.25" customHeight="1" x14ac:dyDescent="0.25">
      <c r="A95" s="347" t="s">
        <v>129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6"/>
      <c r="AB95" s="66"/>
      <c r="AC95" s="83"/>
    </row>
    <row r="96" spans="1:68" ht="27" customHeight="1" x14ac:dyDescent="0.25">
      <c r="A96" s="63" t="s">
        <v>180</v>
      </c>
      <c r="B96" s="63" t="s">
        <v>181</v>
      </c>
      <c r="C96" s="36">
        <v>4301136070</v>
      </c>
      <c r="D96" s="348">
        <v>4607025784012</v>
      </c>
      <c r="E96" s="348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96</v>
      </c>
      <c r="L96" s="37" t="s">
        <v>97</v>
      </c>
      <c r="M96" s="38" t="s">
        <v>86</v>
      </c>
      <c r="N96" s="38"/>
      <c r="O96" s="37">
        <v>180</v>
      </c>
      <c r="P96" s="38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350"/>
      <c r="R96" s="350"/>
      <c r="S96" s="350"/>
      <c r="T96" s="351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182</v>
      </c>
      <c r="AG96" s="81"/>
      <c r="AJ96" s="87" t="s">
        <v>98</v>
      </c>
      <c r="AK96" s="87">
        <v>14</v>
      </c>
      <c r="BB96" s="146" t="s">
        <v>95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183</v>
      </c>
      <c r="B97" s="63" t="s">
        <v>184</v>
      </c>
      <c r="C97" s="36">
        <v>4301136079</v>
      </c>
      <c r="D97" s="348">
        <v>4607025784319</v>
      </c>
      <c r="E97" s="348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96</v>
      </c>
      <c r="L97" s="37" t="s">
        <v>88</v>
      </c>
      <c r="M97" s="38" t="s">
        <v>86</v>
      </c>
      <c r="N97" s="38"/>
      <c r="O97" s="37">
        <v>180</v>
      </c>
      <c r="P97" s="38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155</v>
      </c>
      <c r="AG97" s="81"/>
      <c r="AJ97" s="87" t="s">
        <v>89</v>
      </c>
      <c r="AK97" s="87">
        <v>1</v>
      </c>
      <c r="BB97" s="148" t="s">
        <v>95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355"/>
      <c r="B98" s="355"/>
      <c r="C98" s="355"/>
      <c r="D98" s="355"/>
      <c r="E98" s="355"/>
      <c r="F98" s="355"/>
      <c r="G98" s="355"/>
      <c r="H98" s="355"/>
      <c r="I98" s="355"/>
      <c r="J98" s="355"/>
      <c r="K98" s="355"/>
      <c r="L98" s="355"/>
      <c r="M98" s="355"/>
      <c r="N98" s="355"/>
      <c r="O98" s="356"/>
      <c r="P98" s="352" t="s">
        <v>40</v>
      </c>
      <c r="Q98" s="353"/>
      <c r="R98" s="353"/>
      <c r="S98" s="353"/>
      <c r="T98" s="353"/>
      <c r="U98" s="353"/>
      <c r="V98" s="354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355"/>
      <c r="B99" s="355"/>
      <c r="C99" s="355"/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5"/>
      <c r="O99" s="356"/>
      <c r="P99" s="352" t="s">
        <v>40</v>
      </c>
      <c r="Q99" s="353"/>
      <c r="R99" s="353"/>
      <c r="S99" s="353"/>
      <c r="T99" s="353"/>
      <c r="U99" s="353"/>
      <c r="V99" s="354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46" t="s">
        <v>185</v>
      </c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  <c r="Z100" s="346"/>
      <c r="AA100" s="65"/>
      <c r="AB100" s="65"/>
      <c r="AC100" s="82"/>
    </row>
    <row r="101" spans="1:68" ht="14.25" customHeight="1" x14ac:dyDescent="0.25">
      <c r="A101" s="347" t="s">
        <v>82</v>
      </c>
      <c r="B101" s="347"/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  <c r="AA101" s="66"/>
      <c r="AB101" s="66"/>
      <c r="AC101" s="83"/>
    </row>
    <row r="102" spans="1:68" ht="27" customHeight="1" x14ac:dyDescent="0.25">
      <c r="A102" s="63" t="s">
        <v>186</v>
      </c>
      <c r="B102" s="63" t="s">
        <v>187</v>
      </c>
      <c r="C102" s="36">
        <v>4301071074</v>
      </c>
      <c r="D102" s="348">
        <v>4620207491157</v>
      </c>
      <c r="E102" s="348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87</v>
      </c>
      <c r="L102" s="37" t="s">
        <v>88</v>
      </c>
      <c r="M102" s="38" t="s">
        <v>86</v>
      </c>
      <c r="N102" s="38"/>
      <c r="O102" s="37">
        <v>180</v>
      </c>
      <c r="P102" s="38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9" si="6">IFERROR(IF(X102="","",X102),"")</f>
        <v>0</v>
      </c>
      <c r="Z102" s="41">
        <f t="shared" ref="Z102:Z109" si="7">IFERROR(IF(X102="","",X102*0.0155),"")</f>
        <v>0</v>
      </c>
      <c r="AA102" s="68" t="s">
        <v>46</v>
      </c>
      <c r="AB102" s="69" t="s">
        <v>46</v>
      </c>
      <c r="AC102" s="149" t="s">
        <v>188</v>
      </c>
      <c r="AG102" s="81"/>
      <c r="AJ102" s="87" t="s">
        <v>89</v>
      </c>
      <c r="AK102" s="87">
        <v>1</v>
      </c>
      <c r="BB102" s="150" t="s">
        <v>70</v>
      </c>
      <c r="BM102" s="81">
        <f t="shared" ref="BM102:BM109" si="8">IFERROR(X102*I102,"0")</f>
        <v>0</v>
      </c>
      <c r="BN102" s="81">
        <f t="shared" ref="BN102:BN109" si="9">IFERROR(Y102*I102,"0")</f>
        <v>0</v>
      </c>
      <c r="BO102" s="81">
        <f t="shared" ref="BO102:BO109" si="10">IFERROR(X102/J102,"0")</f>
        <v>0</v>
      </c>
      <c r="BP102" s="81">
        <f t="shared" ref="BP102:BP109" si="11">IFERROR(Y102/J102,"0")</f>
        <v>0</v>
      </c>
    </row>
    <row r="103" spans="1:68" ht="27" customHeight="1" x14ac:dyDescent="0.25">
      <c r="A103" s="63" t="s">
        <v>189</v>
      </c>
      <c r="B103" s="63" t="s">
        <v>190</v>
      </c>
      <c r="C103" s="36">
        <v>4301071051</v>
      </c>
      <c r="D103" s="348">
        <v>4607111039262</v>
      </c>
      <c r="E103" s="348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87</v>
      </c>
      <c r="L103" s="37" t="s">
        <v>97</v>
      </c>
      <c r="M103" s="38" t="s">
        <v>86</v>
      </c>
      <c r="N103" s="38"/>
      <c r="O103" s="37">
        <v>180</v>
      </c>
      <c r="P103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350"/>
      <c r="R103" s="350"/>
      <c r="S103" s="350"/>
      <c r="T103" s="351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146</v>
      </c>
      <c r="AG103" s="81"/>
      <c r="AJ103" s="87" t="s">
        <v>98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191</v>
      </c>
      <c r="B104" s="63" t="s">
        <v>192</v>
      </c>
      <c r="C104" s="36">
        <v>4301071038</v>
      </c>
      <c r="D104" s="348">
        <v>4607111039248</v>
      </c>
      <c r="E104" s="348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87</v>
      </c>
      <c r="L104" s="37" t="s">
        <v>150</v>
      </c>
      <c r="M104" s="38" t="s">
        <v>86</v>
      </c>
      <c r="N104" s="38"/>
      <c r="O104" s="37">
        <v>180</v>
      </c>
      <c r="P104" s="38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350"/>
      <c r="R104" s="350"/>
      <c r="S104" s="350"/>
      <c r="T104" s="351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146</v>
      </c>
      <c r="AG104" s="81"/>
      <c r="AJ104" s="87" t="s">
        <v>151</v>
      </c>
      <c r="AK104" s="87">
        <v>84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193</v>
      </c>
      <c r="B105" s="63" t="s">
        <v>194</v>
      </c>
      <c r="C105" s="36">
        <v>4301070979</v>
      </c>
      <c r="D105" s="348">
        <v>4607111037145</v>
      </c>
      <c r="E105" s="348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87</v>
      </c>
      <c r="L105" s="37" t="s">
        <v>88</v>
      </c>
      <c r="M105" s="38" t="s">
        <v>86</v>
      </c>
      <c r="N105" s="38"/>
      <c r="O105" s="37">
        <v>180</v>
      </c>
      <c r="P105" s="38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350"/>
      <c r="R105" s="350"/>
      <c r="S105" s="350"/>
      <c r="T105" s="351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195</v>
      </c>
      <c r="AG105" s="81"/>
      <c r="AJ105" s="87" t="s">
        <v>89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196</v>
      </c>
      <c r="B106" s="63" t="s">
        <v>197</v>
      </c>
      <c r="C106" s="36">
        <v>4301071049</v>
      </c>
      <c r="D106" s="348">
        <v>4607111039293</v>
      </c>
      <c r="E106" s="348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87</v>
      </c>
      <c r="L106" s="37" t="s">
        <v>97</v>
      </c>
      <c r="M106" s="38" t="s">
        <v>86</v>
      </c>
      <c r="N106" s="38"/>
      <c r="O106" s="37">
        <v>180</v>
      </c>
      <c r="P106" s="39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350"/>
      <c r="R106" s="350"/>
      <c r="S106" s="350"/>
      <c r="T106" s="351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146</v>
      </c>
      <c r="AG106" s="81"/>
      <c r="AJ106" s="87" t="s">
        <v>98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198</v>
      </c>
      <c r="B107" s="63" t="s">
        <v>199</v>
      </c>
      <c r="C107" s="36">
        <v>4301071039</v>
      </c>
      <c r="D107" s="348">
        <v>4607111039279</v>
      </c>
      <c r="E107" s="348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87</v>
      </c>
      <c r="L107" s="37" t="s">
        <v>97</v>
      </c>
      <c r="M107" s="38" t="s">
        <v>86</v>
      </c>
      <c r="N107" s="38"/>
      <c r="O107" s="37">
        <v>180</v>
      </c>
      <c r="P107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146</v>
      </c>
      <c r="AG107" s="81"/>
      <c r="AJ107" s="87" t="s">
        <v>98</v>
      </c>
      <c r="AK107" s="87">
        <v>12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200</v>
      </c>
      <c r="B108" s="63" t="s">
        <v>201</v>
      </c>
      <c r="C108" s="36">
        <v>4301070978</v>
      </c>
      <c r="D108" s="348">
        <v>4607111037435</v>
      </c>
      <c r="E108" s="348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87</v>
      </c>
      <c r="L108" s="37" t="s">
        <v>88</v>
      </c>
      <c r="M108" s="38" t="s">
        <v>86</v>
      </c>
      <c r="N108" s="38"/>
      <c r="O108" s="37">
        <v>180</v>
      </c>
      <c r="P108" s="39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202</v>
      </c>
      <c r="AG108" s="81"/>
      <c r="AJ108" s="87" t="s">
        <v>89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ht="27" customHeight="1" x14ac:dyDescent="0.25">
      <c r="A109" s="63" t="s">
        <v>203</v>
      </c>
      <c r="B109" s="63" t="s">
        <v>204</v>
      </c>
      <c r="C109" s="36">
        <v>4301071075</v>
      </c>
      <c r="D109" s="348">
        <v>4620207491102</v>
      </c>
      <c r="E109" s="348"/>
      <c r="F109" s="62">
        <v>0.7</v>
      </c>
      <c r="G109" s="37">
        <v>10</v>
      </c>
      <c r="H109" s="62">
        <v>7</v>
      </c>
      <c r="I109" s="62">
        <v>7.23</v>
      </c>
      <c r="J109" s="37">
        <v>84</v>
      </c>
      <c r="K109" s="37" t="s">
        <v>87</v>
      </c>
      <c r="L109" s="37" t="s">
        <v>88</v>
      </c>
      <c r="M109" s="38" t="s">
        <v>86</v>
      </c>
      <c r="N109" s="38"/>
      <c r="O109" s="37">
        <v>180</v>
      </c>
      <c r="P109" s="39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350"/>
      <c r="R109" s="350"/>
      <c r="S109" s="350"/>
      <c r="T109" s="351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6"/>
        <v>0</v>
      </c>
      <c r="Z109" s="41">
        <f t="shared" si="7"/>
        <v>0</v>
      </c>
      <c r="AA109" s="68" t="s">
        <v>46</v>
      </c>
      <c r="AB109" s="69" t="s">
        <v>46</v>
      </c>
      <c r="AC109" s="163" t="s">
        <v>205</v>
      </c>
      <c r="AG109" s="81"/>
      <c r="AJ109" s="87" t="s">
        <v>89</v>
      </c>
      <c r="AK109" s="87">
        <v>1</v>
      </c>
      <c r="BB109" s="164" t="s">
        <v>70</v>
      </c>
      <c r="BM109" s="81">
        <f t="shared" si="8"/>
        <v>0</v>
      </c>
      <c r="BN109" s="81">
        <f t="shared" si="9"/>
        <v>0</v>
      </c>
      <c r="BO109" s="81">
        <f t="shared" si="10"/>
        <v>0</v>
      </c>
      <c r="BP109" s="81">
        <f t="shared" si="11"/>
        <v>0</v>
      </c>
    </row>
    <row r="110" spans="1:68" x14ac:dyDescent="0.2">
      <c r="A110" s="355"/>
      <c r="B110" s="355"/>
      <c r="C110" s="355"/>
      <c r="D110" s="355"/>
      <c r="E110" s="355"/>
      <c r="F110" s="355"/>
      <c r="G110" s="355"/>
      <c r="H110" s="355"/>
      <c r="I110" s="355"/>
      <c r="J110" s="355"/>
      <c r="K110" s="355"/>
      <c r="L110" s="355"/>
      <c r="M110" s="355"/>
      <c r="N110" s="355"/>
      <c r="O110" s="356"/>
      <c r="P110" s="352" t="s">
        <v>40</v>
      </c>
      <c r="Q110" s="353"/>
      <c r="R110" s="353"/>
      <c r="S110" s="353"/>
      <c r="T110" s="353"/>
      <c r="U110" s="353"/>
      <c r="V110" s="354"/>
      <c r="W110" s="42" t="s">
        <v>39</v>
      </c>
      <c r="X110" s="43">
        <f>IFERROR(SUM(X102:X109),"0")</f>
        <v>0</v>
      </c>
      <c r="Y110" s="43">
        <f>IFERROR(SUM(Y102:Y109),"0")</f>
        <v>0</v>
      </c>
      <c r="Z110" s="43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355"/>
      <c r="B111" s="355"/>
      <c r="C111" s="355"/>
      <c r="D111" s="355"/>
      <c r="E111" s="355"/>
      <c r="F111" s="355"/>
      <c r="G111" s="355"/>
      <c r="H111" s="355"/>
      <c r="I111" s="355"/>
      <c r="J111" s="355"/>
      <c r="K111" s="355"/>
      <c r="L111" s="355"/>
      <c r="M111" s="355"/>
      <c r="N111" s="355"/>
      <c r="O111" s="356"/>
      <c r="P111" s="352" t="s">
        <v>40</v>
      </c>
      <c r="Q111" s="353"/>
      <c r="R111" s="353"/>
      <c r="S111" s="353"/>
      <c r="T111" s="353"/>
      <c r="U111" s="353"/>
      <c r="V111" s="354"/>
      <c r="W111" s="42" t="s">
        <v>0</v>
      </c>
      <c r="X111" s="43">
        <f>IFERROR(SUMPRODUCT(X102:X109*H102:H109),"0")</f>
        <v>0</v>
      </c>
      <c r="Y111" s="43">
        <f>IFERROR(SUMPRODUCT(Y102:Y109*H102:H109),"0")</f>
        <v>0</v>
      </c>
      <c r="Z111" s="42"/>
      <c r="AA111" s="67"/>
      <c r="AB111" s="67"/>
      <c r="AC111" s="67"/>
    </row>
    <row r="112" spans="1:68" ht="14.25" customHeight="1" x14ac:dyDescent="0.25">
      <c r="A112" s="347" t="s">
        <v>135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6"/>
      <c r="AB112" s="66"/>
      <c r="AC112" s="83"/>
    </row>
    <row r="113" spans="1:68" ht="27" customHeight="1" x14ac:dyDescent="0.25">
      <c r="A113" s="63" t="s">
        <v>206</v>
      </c>
      <c r="B113" s="63" t="s">
        <v>207</v>
      </c>
      <c r="C113" s="36">
        <v>4301135826</v>
      </c>
      <c r="D113" s="348">
        <v>4620207490983</v>
      </c>
      <c r="E113" s="348"/>
      <c r="F113" s="62">
        <v>0.22</v>
      </c>
      <c r="G113" s="37">
        <v>12</v>
      </c>
      <c r="H113" s="62">
        <v>2.64</v>
      </c>
      <c r="I113" s="62">
        <v>3.3435999999999999</v>
      </c>
      <c r="J113" s="37">
        <v>70</v>
      </c>
      <c r="K113" s="37" t="s">
        <v>96</v>
      </c>
      <c r="L113" s="37" t="s">
        <v>88</v>
      </c>
      <c r="M113" s="38" t="s">
        <v>86</v>
      </c>
      <c r="N113" s="38"/>
      <c r="O113" s="37">
        <v>180</v>
      </c>
      <c r="P113" s="39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350"/>
      <c r="R113" s="350"/>
      <c r="S113" s="350"/>
      <c r="T113" s="351"/>
      <c r="U113" s="39" t="s">
        <v>46</v>
      </c>
      <c r="V113" s="39" t="s">
        <v>46</v>
      </c>
      <c r="W113" s="40" t="s">
        <v>39</v>
      </c>
      <c r="X113" s="58">
        <v>0</v>
      </c>
      <c r="Y113" s="55">
        <f>IFERROR(IF(X113="","",X113),"")</f>
        <v>0</v>
      </c>
      <c r="Z113" s="41">
        <f>IFERROR(IF(X113="","",X113*0.01788),"")</f>
        <v>0</v>
      </c>
      <c r="AA113" s="68" t="s">
        <v>46</v>
      </c>
      <c r="AB113" s="69" t="s">
        <v>46</v>
      </c>
      <c r="AC113" s="165" t="s">
        <v>208</v>
      </c>
      <c r="AG113" s="81"/>
      <c r="AJ113" s="87" t="s">
        <v>89</v>
      </c>
      <c r="AK113" s="87">
        <v>1</v>
      </c>
      <c r="BB113" s="166" t="s">
        <v>95</v>
      </c>
      <c r="BM113" s="81">
        <f>IFERROR(X113*I113,"0")</f>
        <v>0</v>
      </c>
      <c r="BN113" s="81">
        <f>IFERROR(Y113*I113,"0")</f>
        <v>0</v>
      </c>
      <c r="BO113" s="81">
        <f>IFERROR(X113/J113,"0")</f>
        <v>0</v>
      </c>
      <c r="BP113" s="81">
        <f>IFERROR(Y113/J113,"0")</f>
        <v>0</v>
      </c>
    </row>
    <row r="114" spans="1:68" x14ac:dyDescent="0.2">
      <c r="A114" s="355"/>
      <c r="B114" s="355"/>
      <c r="C114" s="355"/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6"/>
      <c r="P114" s="352" t="s">
        <v>40</v>
      </c>
      <c r="Q114" s="353"/>
      <c r="R114" s="353"/>
      <c r="S114" s="353"/>
      <c r="T114" s="353"/>
      <c r="U114" s="353"/>
      <c r="V114" s="354"/>
      <c r="W114" s="42" t="s">
        <v>39</v>
      </c>
      <c r="X114" s="43">
        <f>IFERROR(SUM(X113:X113),"0")</f>
        <v>0</v>
      </c>
      <c r="Y114" s="43">
        <f>IFERROR(SUM(Y113:Y113),"0")</f>
        <v>0</v>
      </c>
      <c r="Z114" s="43">
        <f>IFERROR(IF(Z113="",0,Z113),"0")</f>
        <v>0</v>
      </c>
      <c r="AA114" s="67"/>
      <c r="AB114" s="67"/>
      <c r="AC114" s="67"/>
    </row>
    <row r="115" spans="1:68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6"/>
      <c r="P115" s="352" t="s">
        <v>40</v>
      </c>
      <c r="Q115" s="353"/>
      <c r="R115" s="353"/>
      <c r="S115" s="353"/>
      <c r="T115" s="353"/>
      <c r="U115" s="353"/>
      <c r="V115" s="354"/>
      <c r="W115" s="42" t="s">
        <v>0</v>
      </c>
      <c r="X115" s="43">
        <f>IFERROR(SUMPRODUCT(X113:X113*H113:H113),"0")</f>
        <v>0</v>
      </c>
      <c r="Y115" s="43">
        <f>IFERROR(SUMPRODUCT(Y113:Y113*H113:H113),"0")</f>
        <v>0</v>
      </c>
      <c r="Z115" s="42"/>
      <c r="AA115" s="67"/>
      <c r="AB115" s="67"/>
      <c r="AC115" s="67"/>
    </row>
    <row r="116" spans="1:68" ht="14.25" customHeight="1" x14ac:dyDescent="0.25">
      <c r="A116" s="347" t="s">
        <v>209</v>
      </c>
      <c r="B116" s="347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  <c r="AA116" s="66"/>
      <c r="AB116" s="66"/>
      <c r="AC116" s="83"/>
    </row>
    <row r="117" spans="1:68" ht="27" customHeight="1" x14ac:dyDescent="0.25">
      <c r="A117" s="63" t="s">
        <v>210</v>
      </c>
      <c r="B117" s="63" t="s">
        <v>211</v>
      </c>
      <c r="C117" s="36">
        <v>4301071094</v>
      </c>
      <c r="D117" s="348">
        <v>4620207491140</v>
      </c>
      <c r="E117" s="348"/>
      <c r="F117" s="62">
        <v>0.6</v>
      </c>
      <c r="G117" s="37">
        <v>10</v>
      </c>
      <c r="H117" s="62">
        <v>6</v>
      </c>
      <c r="I117" s="62">
        <v>6.28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350"/>
      <c r="R117" s="350"/>
      <c r="S117" s="350"/>
      <c r="T117" s="351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IFERROR(IF(X117="","",X117*0.0155),"")</f>
        <v>0</v>
      </c>
      <c r="AA117" s="68" t="s">
        <v>46</v>
      </c>
      <c r="AB117" s="69" t="s">
        <v>46</v>
      </c>
      <c r="AC117" s="167" t="s">
        <v>212</v>
      </c>
      <c r="AG117" s="81"/>
      <c r="AJ117" s="87" t="s">
        <v>89</v>
      </c>
      <c r="AK117" s="87">
        <v>1</v>
      </c>
      <c r="BB117" s="168" t="s">
        <v>95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">
      <c r="A118" s="355"/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6"/>
      <c r="P118" s="352" t="s">
        <v>40</v>
      </c>
      <c r="Q118" s="353"/>
      <c r="R118" s="353"/>
      <c r="S118" s="353"/>
      <c r="T118" s="353"/>
      <c r="U118" s="353"/>
      <c r="V118" s="354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">
      <c r="A119" s="355"/>
      <c r="B119" s="355"/>
      <c r="C119" s="355"/>
      <c r="D119" s="355"/>
      <c r="E119" s="355"/>
      <c r="F119" s="355"/>
      <c r="G119" s="355"/>
      <c r="H119" s="355"/>
      <c r="I119" s="355"/>
      <c r="J119" s="355"/>
      <c r="K119" s="355"/>
      <c r="L119" s="355"/>
      <c r="M119" s="355"/>
      <c r="N119" s="355"/>
      <c r="O119" s="356"/>
      <c r="P119" s="352" t="s">
        <v>40</v>
      </c>
      <c r="Q119" s="353"/>
      <c r="R119" s="353"/>
      <c r="S119" s="353"/>
      <c r="T119" s="353"/>
      <c r="U119" s="353"/>
      <c r="V119" s="354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6.5" customHeight="1" x14ac:dyDescent="0.25">
      <c r="A120" s="346" t="s">
        <v>213</v>
      </c>
      <c r="B120" s="346"/>
      <c r="C120" s="346"/>
      <c r="D120" s="346"/>
      <c r="E120" s="346"/>
      <c r="F120" s="346"/>
      <c r="G120" s="346"/>
      <c r="H120" s="346"/>
      <c r="I120" s="346"/>
      <c r="J120" s="346"/>
      <c r="K120" s="346"/>
      <c r="L120" s="346"/>
      <c r="M120" s="346"/>
      <c r="N120" s="346"/>
      <c r="O120" s="346"/>
      <c r="P120" s="346"/>
      <c r="Q120" s="346"/>
      <c r="R120" s="346"/>
      <c r="S120" s="346"/>
      <c r="T120" s="346"/>
      <c r="U120" s="346"/>
      <c r="V120" s="346"/>
      <c r="W120" s="346"/>
      <c r="X120" s="346"/>
      <c r="Y120" s="346"/>
      <c r="Z120" s="346"/>
      <c r="AA120" s="65"/>
      <c r="AB120" s="65"/>
      <c r="AC120" s="82"/>
    </row>
    <row r="121" spans="1:68" ht="14.25" customHeight="1" x14ac:dyDescent="0.25">
      <c r="A121" s="347" t="s">
        <v>135</v>
      </c>
      <c r="B121" s="347"/>
      <c r="C121" s="347"/>
      <c r="D121" s="347"/>
      <c r="E121" s="347"/>
      <c r="F121" s="347"/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  <c r="AA121" s="66"/>
      <c r="AB121" s="66"/>
      <c r="AC121" s="83"/>
    </row>
    <row r="122" spans="1:68" ht="27" customHeight="1" x14ac:dyDescent="0.25">
      <c r="A122" s="63" t="s">
        <v>214</v>
      </c>
      <c r="B122" s="63" t="s">
        <v>215</v>
      </c>
      <c r="C122" s="36">
        <v>4301135555</v>
      </c>
      <c r="D122" s="348">
        <v>4607111034014</v>
      </c>
      <c r="E122" s="348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96</v>
      </c>
      <c r="L122" s="37" t="s">
        <v>97</v>
      </c>
      <c r="M122" s="38" t="s">
        <v>86</v>
      </c>
      <c r="N122" s="38"/>
      <c r="O122" s="37">
        <v>180</v>
      </c>
      <c r="P122" s="39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350"/>
      <c r="R122" s="350"/>
      <c r="S122" s="350"/>
      <c r="T122" s="35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216</v>
      </c>
      <c r="AG122" s="81"/>
      <c r="AJ122" s="87" t="s">
        <v>98</v>
      </c>
      <c r="AK122" s="87">
        <v>14</v>
      </c>
      <c r="BB122" s="170" t="s">
        <v>95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t="27" customHeight="1" x14ac:dyDescent="0.25">
      <c r="A123" s="63" t="s">
        <v>217</v>
      </c>
      <c r="B123" s="63" t="s">
        <v>218</v>
      </c>
      <c r="C123" s="36">
        <v>4301135532</v>
      </c>
      <c r="D123" s="348">
        <v>4607111033994</v>
      </c>
      <c r="E123" s="348"/>
      <c r="F123" s="62">
        <v>0.25</v>
      </c>
      <c r="G123" s="37">
        <v>12</v>
      </c>
      <c r="H123" s="62">
        <v>3</v>
      </c>
      <c r="I123" s="62">
        <v>3.7035999999999998</v>
      </c>
      <c r="J123" s="37">
        <v>70</v>
      </c>
      <c r="K123" s="37" t="s">
        <v>96</v>
      </c>
      <c r="L123" s="37" t="s">
        <v>97</v>
      </c>
      <c r="M123" s="38" t="s">
        <v>86</v>
      </c>
      <c r="N123" s="38"/>
      <c r="O123" s="37">
        <v>180</v>
      </c>
      <c r="P123" s="39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350"/>
      <c r="R123" s="350"/>
      <c r="S123" s="350"/>
      <c r="T123" s="351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1" t="s">
        <v>155</v>
      </c>
      <c r="AG123" s="81"/>
      <c r="AJ123" s="87" t="s">
        <v>98</v>
      </c>
      <c r="AK123" s="87">
        <v>14</v>
      </c>
      <c r="BB123" s="172" t="s">
        <v>95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55"/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6"/>
      <c r="P124" s="352" t="s">
        <v>40</v>
      </c>
      <c r="Q124" s="353"/>
      <c r="R124" s="353"/>
      <c r="S124" s="353"/>
      <c r="T124" s="353"/>
      <c r="U124" s="353"/>
      <c r="V124" s="354"/>
      <c r="W124" s="42" t="s">
        <v>39</v>
      </c>
      <c r="X124" s="43">
        <f>IFERROR(SUM(X122:X123),"0")</f>
        <v>0</v>
      </c>
      <c r="Y124" s="43">
        <f>IFERROR(SUM(Y122:Y123),"0")</f>
        <v>0</v>
      </c>
      <c r="Z124" s="43">
        <f>IFERROR(IF(Z122="",0,Z122),"0")+IFERROR(IF(Z123="",0,Z123),"0")</f>
        <v>0</v>
      </c>
      <c r="AA124" s="67"/>
      <c r="AB124" s="67"/>
      <c r="AC124" s="67"/>
    </row>
    <row r="125" spans="1:68" x14ac:dyDescent="0.2">
      <c r="A125" s="355"/>
      <c r="B125" s="355"/>
      <c r="C125" s="355"/>
      <c r="D125" s="355"/>
      <c r="E125" s="355"/>
      <c r="F125" s="355"/>
      <c r="G125" s="355"/>
      <c r="H125" s="355"/>
      <c r="I125" s="355"/>
      <c r="J125" s="355"/>
      <c r="K125" s="355"/>
      <c r="L125" s="355"/>
      <c r="M125" s="355"/>
      <c r="N125" s="355"/>
      <c r="O125" s="356"/>
      <c r="P125" s="352" t="s">
        <v>40</v>
      </c>
      <c r="Q125" s="353"/>
      <c r="R125" s="353"/>
      <c r="S125" s="353"/>
      <c r="T125" s="353"/>
      <c r="U125" s="353"/>
      <c r="V125" s="354"/>
      <c r="W125" s="42" t="s">
        <v>0</v>
      </c>
      <c r="X125" s="43">
        <f>IFERROR(SUMPRODUCT(X122:X123*H122:H123),"0")</f>
        <v>0</v>
      </c>
      <c r="Y125" s="43">
        <f>IFERROR(SUMPRODUCT(Y122:Y123*H122:H123),"0")</f>
        <v>0</v>
      </c>
      <c r="Z125" s="42"/>
      <c r="AA125" s="67"/>
      <c r="AB125" s="67"/>
      <c r="AC125" s="67"/>
    </row>
    <row r="126" spans="1:68" ht="16.5" customHeight="1" x14ac:dyDescent="0.25">
      <c r="A126" s="346" t="s">
        <v>219</v>
      </c>
      <c r="B126" s="346"/>
      <c r="C126" s="346"/>
      <c r="D126" s="346"/>
      <c r="E126" s="346"/>
      <c r="F126" s="346"/>
      <c r="G126" s="346"/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6"/>
      <c r="S126" s="346"/>
      <c r="T126" s="346"/>
      <c r="U126" s="346"/>
      <c r="V126" s="346"/>
      <c r="W126" s="346"/>
      <c r="X126" s="346"/>
      <c r="Y126" s="346"/>
      <c r="Z126" s="346"/>
      <c r="AA126" s="65"/>
      <c r="AB126" s="65"/>
      <c r="AC126" s="82"/>
    </row>
    <row r="127" spans="1:68" ht="14.25" customHeight="1" x14ac:dyDescent="0.25">
      <c r="A127" s="347" t="s">
        <v>135</v>
      </c>
      <c r="B127" s="347"/>
      <c r="C127" s="347"/>
      <c r="D127" s="347"/>
      <c r="E127" s="347"/>
      <c r="F127" s="347"/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66"/>
      <c r="AB127" s="66"/>
      <c r="AC127" s="83"/>
    </row>
    <row r="128" spans="1:68" ht="27" customHeight="1" x14ac:dyDescent="0.25">
      <c r="A128" s="63" t="s">
        <v>220</v>
      </c>
      <c r="B128" s="63" t="s">
        <v>221</v>
      </c>
      <c r="C128" s="36">
        <v>4301135824</v>
      </c>
      <c r="D128" s="348">
        <v>4607111039095</v>
      </c>
      <c r="E128" s="348"/>
      <c r="F128" s="62">
        <v>0.25</v>
      </c>
      <c r="G128" s="37">
        <v>12</v>
      </c>
      <c r="H128" s="62">
        <v>3</v>
      </c>
      <c r="I128" s="62">
        <v>3.7480000000000002</v>
      </c>
      <c r="J128" s="37">
        <v>70</v>
      </c>
      <c r="K128" s="37" t="s">
        <v>96</v>
      </c>
      <c r="L128" s="37" t="s">
        <v>88</v>
      </c>
      <c r="M128" s="38" t="s">
        <v>86</v>
      </c>
      <c r="N128" s="38"/>
      <c r="O128" s="37">
        <v>180</v>
      </c>
      <c r="P128" s="3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350"/>
      <c r="R128" s="350"/>
      <c r="S128" s="350"/>
      <c r="T128" s="351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222</v>
      </c>
      <c r="AG128" s="81"/>
      <c r="AJ128" s="87" t="s">
        <v>89</v>
      </c>
      <c r="AK128" s="87">
        <v>1</v>
      </c>
      <c r="BB128" s="174" t="s">
        <v>95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16.5" customHeight="1" x14ac:dyDescent="0.25">
      <c r="A129" s="63" t="s">
        <v>223</v>
      </c>
      <c r="B129" s="63" t="s">
        <v>224</v>
      </c>
      <c r="C129" s="36">
        <v>4301135550</v>
      </c>
      <c r="D129" s="348">
        <v>4607111034199</v>
      </c>
      <c r="E129" s="348"/>
      <c r="F129" s="62">
        <v>0.25</v>
      </c>
      <c r="G129" s="37">
        <v>12</v>
      </c>
      <c r="H129" s="62">
        <v>3</v>
      </c>
      <c r="I129" s="62">
        <v>3.7035999999999998</v>
      </c>
      <c r="J129" s="37">
        <v>70</v>
      </c>
      <c r="K129" s="37" t="s">
        <v>96</v>
      </c>
      <c r="L129" s="37" t="s">
        <v>150</v>
      </c>
      <c r="M129" s="38" t="s">
        <v>86</v>
      </c>
      <c r="N129" s="38"/>
      <c r="O129" s="37">
        <v>180</v>
      </c>
      <c r="P129" s="39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350"/>
      <c r="R129" s="350"/>
      <c r="S129" s="350"/>
      <c r="T129" s="351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IFERROR(IF(X129="","",X129*0.01788),"")</f>
        <v>0</v>
      </c>
      <c r="AA129" s="68" t="s">
        <v>46</v>
      </c>
      <c r="AB129" s="69" t="s">
        <v>46</v>
      </c>
      <c r="AC129" s="175" t="s">
        <v>225</v>
      </c>
      <c r="AG129" s="81"/>
      <c r="AJ129" s="87" t="s">
        <v>151</v>
      </c>
      <c r="AK129" s="87">
        <v>70</v>
      </c>
      <c r="BB129" s="176" t="s">
        <v>95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55"/>
      <c r="B130" s="355"/>
      <c r="C130" s="355"/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6"/>
      <c r="P130" s="352" t="s">
        <v>40</v>
      </c>
      <c r="Q130" s="353"/>
      <c r="R130" s="353"/>
      <c r="S130" s="353"/>
      <c r="T130" s="353"/>
      <c r="U130" s="353"/>
      <c r="V130" s="354"/>
      <c r="W130" s="42" t="s">
        <v>39</v>
      </c>
      <c r="X130" s="43">
        <f>IFERROR(SUM(X128:X129),"0")</f>
        <v>0</v>
      </c>
      <c r="Y130" s="43">
        <f>IFERROR(SUM(Y128:Y129),"0")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355"/>
      <c r="B131" s="355"/>
      <c r="C131" s="355"/>
      <c r="D131" s="355"/>
      <c r="E131" s="355"/>
      <c r="F131" s="355"/>
      <c r="G131" s="355"/>
      <c r="H131" s="355"/>
      <c r="I131" s="355"/>
      <c r="J131" s="355"/>
      <c r="K131" s="355"/>
      <c r="L131" s="355"/>
      <c r="M131" s="355"/>
      <c r="N131" s="355"/>
      <c r="O131" s="356"/>
      <c r="P131" s="352" t="s">
        <v>40</v>
      </c>
      <c r="Q131" s="353"/>
      <c r="R131" s="353"/>
      <c r="S131" s="353"/>
      <c r="T131" s="353"/>
      <c r="U131" s="353"/>
      <c r="V131" s="354"/>
      <c r="W131" s="42" t="s">
        <v>0</v>
      </c>
      <c r="X131" s="43">
        <f>IFERROR(SUMPRODUCT(X128:X129*H128:H129),"0")</f>
        <v>0</v>
      </c>
      <c r="Y131" s="43">
        <f>IFERROR(SUMPRODUCT(Y128:Y129*H128:H129),"0")</f>
        <v>0</v>
      </c>
      <c r="Z131" s="42"/>
      <c r="AA131" s="67"/>
      <c r="AB131" s="67"/>
      <c r="AC131" s="67"/>
    </row>
    <row r="132" spans="1:68" ht="16.5" customHeight="1" x14ac:dyDescent="0.25">
      <c r="A132" s="346" t="s">
        <v>226</v>
      </c>
      <c r="B132" s="346"/>
      <c r="C132" s="346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  <c r="Y132" s="346"/>
      <c r="Z132" s="346"/>
      <c r="AA132" s="65"/>
      <c r="AB132" s="65"/>
      <c r="AC132" s="82"/>
    </row>
    <row r="133" spans="1:68" ht="14.25" customHeight="1" x14ac:dyDescent="0.25">
      <c r="A133" s="347" t="s">
        <v>135</v>
      </c>
      <c r="B133" s="347"/>
      <c r="C133" s="347"/>
      <c r="D133" s="347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  <c r="AA133" s="66"/>
      <c r="AB133" s="66"/>
      <c r="AC133" s="83"/>
    </row>
    <row r="134" spans="1:68" ht="27" customHeight="1" x14ac:dyDescent="0.25">
      <c r="A134" s="63" t="s">
        <v>227</v>
      </c>
      <c r="B134" s="63" t="s">
        <v>228</v>
      </c>
      <c r="C134" s="36">
        <v>4301135753</v>
      </c>
      <c r="D134" s="348">
        <v>4620207490914</v>
      </c>
      <c r="E134" s="348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96</v>
      </c>
      <c r="L134" s="37" t="s">
        <v>88</v>
      </c>
      <c r="M134" s="38" t="s">
        <v>86</v>
      </c>
      <c r="N134" s="38"/>
      <c r="O134" s="37">
        <v>180</v>
      </c>
      <c r="P134" s="4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350"/>
      <c r="R134" s="350"/>
      <c r="S134" s="350"/>
      <c r="T134" s="35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216</v>
      </c>
      <c r="AG134" s="81"/>
      <c r="AJ134" s="87" t="s">
        <v>89</v>
      </c>
      <c r="AK134" s="87">
        <v>1</v>
      </c>
      <c r="BB134" s="178" t="s">
        <v>95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229</v>
      </c>
      <c r="B135" s="63" t="s">
        <v>230</v>
      </c>
      <c r="C135" s="36">
        <v>4301135778</v>
      </c>
      <c r="D135" s="348">
        <v>4620207490853</v>
      </c>
      <c r="E135" s="348"/>
      <c r="F135" s="62">
        <v>0.2</v>
      </c>
      <c r="G135" s="37">
        <v>12</v>
      </c>
      <c r="H135" s="62">
        <v>2.4</v>
      </c>
      <c r="I135" s="62">
        <v>2.68</v>
      </c>
      <c r="J135" s="37">
        <v>70</v>
      </c>
      <c r="K135" s="37" t="s">
        <v>96</v>
      </c>
      <c r="L135" s="37" t="s">
        <v>88</v>
      </c>
      <c r="M135" s="38" t="s">
        <v>86</v>
      </c>
      <c r="N135" s="38"/>
      <c r="O135" s="37">
        <v>180</v>
      </c>
      <c r="P135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350"/>
      <c r="R135" s="350"/>
      <c r="S135" s="350"/>
      <c r="T135" s="351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79" t="s">
        <v>216</v>
      </c>
      <c r="AG135" s="81"/>
      <c r="AJ135" s="87" t="s">
        <v>89</v>
      </c>
      <c r="AK135" s="87">
        <v>1</v>
      </c>
      <c r="BB135" s="180" t="s">
        <v>95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55"/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6"/>
      <c r="P136" s="352" t="s">
        <v>40</v>
      </c>
      <c r="Q136" s="353"/>
      <c r="R136" s="353"/>
      <c r="S136" s="353"/>
      <c r="T136" s="353"/>
      <c r="U136" s="353"/>
      <c r="V136" s="354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355"/>
      <c r="B137" s="355"/>
      <c r="C137" s="355"/>
      <c r="D137" s="355"/>
      <c r="E137" s="355"/>
      <c r="F137" s="355"/>
      <c r="G137" s="355"/>
      <c r="H137" s="355"/>
      <c r="I137" s="355"/>
      <c r="J137" s="355"/>
      <c r="K137" s="355"/>
      <c r="L137" s="355"/>
      <c r="M137" s="355"/>
      <c r="N137" s="355"/>
      <c r="O137" s="356"/>
      <c r="P137" s="352" t="s">
        <v>40</v>
      </c>
      <c r="Q137" s="353"/>
      <c r="R137" s="353"/>
      <c r="S137" s="353"/>
      <c r="T137" s="353"/>
      <c r="U137" s="353"/>
      <c r="V137" s="354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46" t="s">
        <v>231</v>
      </c>
      <c r="B138" s="346"/>
      <c r="C138" s="346"/>
      <c r="D138" s="346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  <c r="Y138" s="346"/>
      <c r="Z138" s="346"/>
      <c r="AA138" s="65"/>
      <c r="AB138" s="65"/>
      <c r="AC138" s="82"/>
    </row>
    <row r="139" spans="1:68" ht="14.25" customHeight="1" x14ac:dyDescent="0.25">
      <c r="A139" s="347" t="s">
        <v>135</v>
      </c>
      <c r="B139" s="347"/>
      <c r="C139" s="347"/>
      <c r="D139" s="347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  <c r="AA139" s="66"/>
      <c r="AB139" s="66"/>
      <c r="AC139" s="83"/>
    </row>
    <row r="140" spans="1:68" ht="27" customHeight="1" x14ac:dyDescent="0.25">
      <c r="A140" s="63" t="s">
        <v>232</v>
      </c>
      <c r="B140" s="63" t="s">
        <v>233</v>
      </c>
      <c r="C140" s="36">
        <v>4301135570</v>
      </c>
      <c r="D140" s="348">
        <v>4607111035806</v>
      </c>
      <c r="E140" s="348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96</v>
      </c>
      <c r="L140" s="37" t="s">
        <v>88</v>
      </c>
      <c r="M140" s="38" t="s">
        <v>86</v>
      </c>
      <c r="N140" s="38"/>
      <c r="O140" s="37">
        <v>180</v>
      </c>
      <c r="P140" s="4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350"/>
      <c r="R140" s="350"/>
      <c r="S140" s="350"/>
      <c r="T140" s="35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1" t="s">
        <v>234</v>
      </c>
      <c r="AG140" s="81"/>
      <c r="AJ140" s="87" t="s">
        <v>89</v>
      </c>
      <c r="AK140" s="87">
        <v>1</v>
      </c>
      <c r="BB140" s="182" t="s">
        <v>95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6"/>
      <c r="P141" s="352" t="s">
        <v>40</v>
      </c>
      <c r="Q141" s="353"/>
      <c r="R141" s="353"/>
      <c r="S141" s="353"/>
      <c r="T141" s="353"/>
      <c r="U141" s="353"/>
      <c r="V141" s="354"/>
      <c r="W141" s="42" t="s">
        <v>39</v>
      </c>
      <c r="X141" s="43">
        <f>IFERROR(SUM(X140:X140),"0")</f>
        <v>0</v>
      </c>
      <c r="Y141" s="43">
        <f>IFERROR(SUM(Y140:Y140),"0")</f>
        <v>0</v>
      </c>
      <c r="Z141" s="43">
        <f>IFERROR(IF(Z140="",0,Z140),"0")</f>
        <v>0</v>
      </c>
      <c r="AA141" s="67"/>
      <c r="AB141" s="67"/>
      <c r="AC141" s="67"/>
    </row>
    <row r="142" spans="1:68" x14ac:dyDescent="0.2">
      <c r="A142" s="355"/>
      <c r="B142" s="355"/>
      <c r="C142" s="355"/>
      <c r="D142" s="355"/>
      <c r="E142" s="355"/>
      <c r="F142" s="355"/>
      <c r="G142" s="355"/>
      <c r="H142" s="355"/>
      <c r="I142" s="355"/>
      <c r="J142" s="355"/>
      <c r="K142" s="355"/>
      <c r="L142" s="355"/>
      <c r="M142" s="355"/>
      <c r="N142" s="355"/>
      <c r="O142" s="356"/>
      <c r="P142" s="352" t="s">
        <v>40</v>
      </c>
      <c r="Q142" s="353"/>
      <c r="R142" s="353"/>
      <c r="S142" s="353"/>
      <c r="T142" s="353"/>
      <c r="U142" s="353"/>
      <c r="V142" s="354"/>
      <c r="W142" s="42" t="s">
        <v>0</v>
      </c>
      <c r="X142" s="43">
        <f>IFERROR(SUMPRODUCT(X140:X140*H140:H140),"0")</f>
        <v>0</v>
      </c>
      <c r="Y142" s="43">
        <f>IFERROR(SUMPRODUCT(Y140:Y140*H140:H140),"0")</f>
        <v>0</v>
      </c>
      <c r="Z142" s="42"/>
      <c r="AA142" s="67"/>
      <c r="AB142" s="67"/>
      <c r="AC142" s="67"/>
    </row>
    <row r="143" spans="1:68" ht="16.5" customHeight="1" x14ac:dyDescent="0.25">
      <c r="A143" s="346" t="s">
        <v>235</v>
      </c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  <c r="AA143" s="65"/>
      <c r="AB143" s="65"/>
      <c r="AC143" s="82"/>
    </row>
    <row r="144" spans="1:68" ht="14.25" customHeight="1" x14ac:dyDescent="0.25">
      <c r="A144" s="347" t="s">
        <v>135</v>
      </c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66"/>
      <c r="AB144" s="66"/>
      <c r="AC144" s="83"/>
    </row>
    <row r="145" spans="1:68" ht="16.5" customHeight="1" x14ac:dyDescent="0.25">
      <c r="A145" s="63" t="s">
        <v>236</v>
      </c>
      <c r="B145" s="63" t="s">
        <v>237</v>
      </c>
      <c r="C145" s="36">
        <v>4301135607</v>
      </c>
      <c r="D145" s="348">
        <v>4607111039613</v>
      </c>
      <c r="E145" s="348"/>
      <c r="F145" s="62">
        <v>0.09</v>
      </c>
      <c r="G145" s="37">
        <v>30</v>
      </c>
      <c r="H145" s="62">
        <v>2.7</v>
      </c>
      <c r="I145" s="62">
        <v>3.09</v>
      </c>
      <c r="J145" s="37">
        <v>126</v>
      </c>
      <c r="K145" s="37" t="s">
        <v>96</v>
      </c>
      <c r="L145" s="37" t="s">
        <v>88</v>
      </c>
      <c r="M145" s="38" t="s">
        <v>86</v>
      </c>
      <c r="N145" s="38"/>
      <c r="O145" s="37">
        <v>180</v>
      </c>
      <c r="P145" s="4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350"/>
      <c r="R145" s="350"/>
      <c r="S145" s="350"/>
      <c r="T145" s="351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IFERROR(IF(X145="","",X145*0.00936),"")</f>
        <v>0</v>
      </c>
      <c r="AA145" s="68" t="s">
        <v>46</v>
      </c>
      <c r="AB145" s="69" t="s">
        <v>46</v>
      </c>
      <c r="AC145" s="183" t="s">
        <v>222</v>
      </c>
      <c r="AG145" s="81"/>
      <c r="AJ145" s="87" t="s">
        <v>89</v>
      </c>
      <c r="AK145" s="87">
        <v>1</v>
      </c>
      <c r="BB145" s="184" t="s">
        <v>95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55"/>
      <c r="B146" s="355"/>
      <c r="C146" s="355"/>
      <c r="D146" s="355"/>
      <c r="E146" s="355"/>
      <c r="F146" s="355"/>
      <c r="G146" s="355"/>
      <c r="H146" s="355"/>
      <c r="I146" s="355"/>
      <c r="J146" s="355"/>
      <c r="K146" s="355"/>
      <c r="L146" s="355"/>
      <c r="M146" s="355"/>
      <c r="N146" s="355"/>
      <c r="O146" s="356"/>
      <c r="P146" s="352" t="s">
        <v>40</v>
      </c>
      <c r="Q146" s="353"/>
      <c r="R146" s="353"/>
      <c r="S146" s="353"/>
      <c r="T146" s="353"/>
      <c r="U146" s="353"/>
      <c r="V146" s="354"/>
      <c r="W146" s="42" t="s">
        <v>39</v>
      </c>
      <c r="X146" s="43">
        <f>IFERROR(SUM(X145:X145),"0")</f>
        <v>0</v>
      </c>
      <c r="Y146" s="43">
        <f>IFERROR(SUM(Y145:Y145),"0")</f>
        <v>0</v>
      </c>
      <c r="Z146" s="43">
        <f>IFERROR(IF(Z145="",0,Z145),"0")</f>
        <v>0</v>
      </c>
      <c r="AA146" s="67"/>
      <c r="AB146" s="67"/>
      <c r="AC146" s="67"/>
    </row>
    <row r="147" spans="1:68" x14ac:dyDescent="0.2">
      <c r="A147" s="355"/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6"/>
      <c r="P147" s="352" t="s">
        <v>40</v>
      </c>
      <c r="Q147" s="353"/>
      <c r="R147" s="353"/>
      <c r="S147" s="353"/>
      <c r="T147" s="353"/>
      <c r="U147" s="353"/>
      <c r="V147" s="354"/>
      <c r="W147" s="42" t="s">
        <v>0</v>
      </c>
      <c r="X147" s="43">
        <f>IFERROR(SUMPRODUCT(X145:X145*H145:H145),"0")</f>
        <v>0</v>
      </c>
      <c r="Y147" s="43">
        <f>IFERROR(SUMPRODUCT(Y145:Y145*H145:H145),"0")</f>
        <v>0</v>
      </c>
      <c r="Z147" s="42"/>
      <c r="AA147" s="67"/>
      <c r="AB147" s="67"/>
      <c r="AC147" s="67"/>
    </row>
    <row r="148" spans="1:68" ht="16.5" customHeight="1" x14ac:dyDescent="0.25">
      <c r="A148" s="346" t="s">
        <v>238</v>
      </c>
      <c r="B148" s="346"/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  <c r="Y148" s="346"/>
      <c r="Z148" s="346"/>
      <c r="AA148" s="65"/>
      <c r="AB148" s="65"/>
      <c r="AC148" s="82"/>
    </row>
    <row r="149" spans="1:68" ht="14.25" customHeight="1" x14ac:dyDescent="0.25">
      <c r="A149" s="347" t="s">
        <v>209</v>
      </c>
      <c r="B149" s="347"/>
      <c r="C149" s="347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  <c r="AA149" s="66"/>
      <c r="AB149" s="66"/>
      <c r="AC149" s="83"/>
    </row>
    <row r="150" spans="1:68" ht="27" customHeight="1" x14ac:dyDescent="0.25">
      <c r="A150" s="63" t="s">
        <v>239</v>
      </c>
      <c r="B150" s="63" t="s">
        <v>240</v>
      </c>
      <c r="C150" s="36">
        <v>4301135540</v>
      </c>
      <c r="D150" s="348">
        <v>4607111035646</v>
      </c>
      <c r="E150" s="348"/>
      <c r="F150" s="62">
        <v>0.2</v>
      </c>
      <c r="G150" s="37">
        <v>8</v>
      </c>
      <c r="H150" s="62">
        <v>1.6</v>
      </c>
      <c r="I150" s="62">
        <v>2.12</v>
      </c>
      <c r="J150" s="37">
        <v>72</v>
      </c>
      <c r="K150" s="37" t="s">
        <v>242</v>
      </c>
      <c r="L150" s="37" t="s">
        <v>88</v>
      </c>
      <c r="M150" s="38" t="s">
        <v>86</v>
      </c>
      <c r="N150" s="38"/>
      <c r="O150" s="37">
        <v>180</v>
      </c>
      <c r="P150" s="40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350"/>
      <c r="R150" s="350"/>
      <c r="S150" s="350"/>
      <c r="T150" s="351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IFERROR(IF(X150="","",X150*0.01157),"")</f>
        <v>0</v>
      </c>
      <c r="AA150" s="68" t="s">
        <v>46</v>
      </c>
      <c r="AB150" s="69" t="s">
        <v>46</v>
      </c>
      <c r="AC150" s="185" t="s">
        <v>241</v>
      </c>
      <c r="AG150" s="81"/>
      <c r="AJ150" s="87" t="s">
        <v>89</v>
      </c>
      <c r="AK150" s="87">
        <v>1</v>
      </c>
      <c r="BB150" s="186" t="s">
        <v>95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55"/>
      <c r="B151" s="355"/>
      <c r="C151" s="355"/>
      <c r="D151" s="355"/>
      <c r="E151" s="355"/>
      <c r="F151" s="355"/>
      <c r="G151" s="355"/>
      <c r="H151" s="355"/>
      <c r="I151" s="355"/>
      <c r="J151" s="355"/>
      <c r="K151" s="355"/>
      <c r="L151" s="355"/>
      <c r="M151" s="355"/>
      <c r="N151" s="355"/>
      <c r="O151" s="356"/>
      <c r="P151" s="352" t="s">
        <v>40</v>
      </c>
      <c r="Q151" s="353"/>
      <c r="R151" s="353"/>
      <c r="S151" s="353"/>
      <c r="T151" s="353"/>
      <c r="U151" s="353"/>
      <c r="V151" s="354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55"/>
      <c r="B152" s="355"/>
      <c r="C152" s="355"/>
      <c r="D152" s="355"/>
      <c r="E152" s="355"/>
      <c r="F152" s="355"/>
      <c r="G152" s="355"/>
      <c r="H152" s="355"/>
      <c r="I152" s="355"/>
      <c r="J152" s="355"/>
      <c r="K152" s="355"/>
      <c r="L152" s="355"/>
      <c r="M152" s="355"/>
      <c r="N152" s="355"/>
      <c r="O152" s="356"/>
      <c r="P152" s="352" t="s">
        <v>40</v>
      </c>
      <c r="Q152" s="353"/>
      <c r="R152" s="353"/>
      <c r="S152" s="353"/>
      <c r="T152" s="353"/>
      <c r="U152" s="353"/>
      <c r="V152" s="354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6" t="s">
        <v>243</v>
      </c>
      <c r="B153" s="346"/>
      <c r="C153" s="346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  <c r="Y153" s="346"/>
      <c r="Z153" s="346"/>
      <c r="AA153" s="65"/>
      <c r="AB153" s="65"/>
      <c r="AC153" s="82"/>
    </row>
    <row r="154" spans="1:68" ht="14.25" customHeight="1" x14ac:dyDescent="0.25">
      <c r="A154" s="347" t="s">
        <v>135</v>
      </c>
      <c r="B154" s="347"/>
      <c r="C154" s="347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  <c r="AA154" s="66"/>
      <c r="AB154" s="66"/>
      <c r="AC154" s="83"/>
    </row>
    <row r="155" spans="1:68" ht="27" customHeight="1" x14ac:dyDescent="0.25">
      <c r="A155" s="63" t="s">
        <v>244</v>
      </c>
      <c r="B155" s="63" t="s">
        <v>245</v>
      </c>
      <c r="C155" s="36">
        <v>4301135591</v>
      </c>
      <c r="D155" s="348">
        <v>4607111036568</v>
      </c>
      <c r="E155" s="348"/>
      <c r="F155" s="62">
        <v>0.28000000000000003</v>
      </c>
      <c r="G155" s="37">
        <v>6</v>
      </c>
      <c r="H155" s="62">
        <v>1.68</v>
      </c>
      <c r="I155" s="62">
        <v>2.1017999999999999</v>
      </c>
      <c r="J155" s="37">
        <v>140</v>
      </c>
      <c r="K155" s="37" t="s">
        <v>96</v>
      </c>
      <c r="L155" s="37" t="s">
        <v>88</v>
      </c>
      <c r="M155" s="38" t="s">
        <v>86</v>
      </c>
      <c r="N155" s="38"/>
      <c r="O155" s="37">
        <v>180</v>
      </c>
      <c r="P155" s="40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350"/>
      <c r="R155" s="350"/>
      <c r="S155" s="350"/>
      <c r="T155" s="351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IFERROR(IF(X155="","",X155*0.00941),"")</f>
        <v>0</v>
      </c>
      <c r="AA155" s="68" t="s">
        <v>46</v>
      </c>
      <c r="AB155" s="69" t="s">
        <v>46</v>
      </c>
      <c r="AC155" s="187" t="s">
        <v>246</v>
      </c>
      <c r="AG155" s="81"/>
      <c r="AJ155" s="87" t="s">
        <v>89</v>
      </c>
      <c r="AK155" s="87">
        <v>1</v>
      </c>
      <c r="BB155" s="188" t="s">
        <v>95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55"/>
      <c r="B156" s="355"/>
      <c r="C156" s="355"/>
      <c r="D156" s="355"/>
      <c r="E156" s="355"/>
      <c r="F156" s="355"/>
      <c r="G156" s="355"/>
      <c r="H156" s="355"/>
      <c r="I156" s="355"/>
      <c r="J156" s="355"/>
      <c r="K156" s="355"/>
      <c r="L156" s="355"/>
      <c r="M156" s="355"/>
      <c r="N156" s="355"/>
      <c r="O156" s="356"/>
      <c r="P156" s="352" t="s">
        <v>40</v>
      </c>
      <c r="Q156" s="353"/>
      <c r="R156" s="353"/>
      <c r="S156" s="353"/>
      <c r="T156" s="353"/>
      <c r="U156" s="353"/>
      <c r="V156" s="354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55"/>
      <c r="B157" s="355"/>
      <c r="C157" s="355"/>
      <c r="D157" s="355"/>
      <c r="E157" s="355"/>
      <c r="F157" s="355"/>
      <c r="G157" s="355"/>
      <c r="H157" s="355"/>
      <c r="I157" s="355"/>
      <c r="J157" s="355"/>
      <c r="K157" s="355"/>
      <c r="L157" s="355"/>
      <c r="M157" s="355"/>
      <c r="N157" s="355"/>
      <c r="O157" s="356"/>
      <c r="P157" s="352" t="s">
        <v>40</v>
      </c>
      <c r="Q157" s="353"/>
      <c r="R157" s="353"/>
      <c r="S157" s="353"/>
      <c r="T157" s="353"/>
      <c r="U157" s="353"/>
      <c r="V157" s="354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27.75" customHeight="1" x14ac:dyDescent="0.2">
      <c r="A158" s="345" t="s">
        <v>247</v>
      </c>
      <c r="B158" s="345"/>
      <c r="C158" s="345"/>
      <c r="D158" s="345"/>
      <c r="E158" s="345"/>
      <c r="F158" s="345"/>
      <c r="G158" s="345"/>
      <c r="H158" s="345"/>
      <c r="I158" s="345"/>
      <c r="J158" s="345"/>
      <c r="K158" s="345"/>
      <c r="L158" s="345"/>
      <c r="M158" s="345"/>
      <c r="N158" s="345"/>
      <c r="O158" s="345"/>
      <c r="P158" s="345"/>
      <c r="Q158" s="345"/>
      <c r="R158" s="345"/>
      <c r="S158" s="345"/>
      <c r="T158" s="345"/>
      <c r="U158" s="345"/>
      <c r="V158" s="345"/>
      <c r="W158" s="345"/>
      <c r="X158" s="345"/>
      <c r="Y158" s="345"/>
      <c r="Z158" s="345"/>
      <c r="AA158" s="54"/>
      <c r="AB158" s="54"/>
      <c r="AC158" s="54"/>
    </row>
    <row r="159" spans="1:68" ht="16.5" customHeight="1" x14ac:dyDescent="0.25">
      <c r="A159" s="346" t="s">
        <v>248</v>
      </c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  <c r="AA159" s="65"/>
      <c r="AB159" s="65"/>
      <c r="AC159" s="82"/>
    </row>
    <row r="160" spans="1:68" ht="14.25" customHeight="1" x14ac:dyDescent="0.25">
      <c r="A160" s="347" t="s">
        <v>82</v>
      </c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  <c r="AA160" s="66"/>
      <c r="AB160" s="66"/>
      <c r="AC160" s="83"/>
    </row>
    <row r="161" spans="1:68" ht="16.5" customHeight="1" x14ac:dyDescent="0.25">
      <c r="A161" s="63" t="s">
        <v>249</v>
      </c>
      <c r="B161" s="63" t="s">
        <v>250</v>
      </c>
      <c r="C161" s="36">
        <v>4301071062</v>
      </c>
      <c r="D161" s="348">
        <v>4607111036384</v>
      </c>
      <c r="E161" s="348"/>
      <c r="F161" s="62">
        <v>5</v>
      </c>
      <c r="G161" s="37">
        <v>1</v>
      </c>
      <c r="H161" s="62">
        <v>5</v>
      </c>
      <c r="I161" s="62">
        <v>5.2106000000000003</v>
      </c>
      <c r="J161" s="37">
        <v>144</v>
      </c>
      <c r="K161" s="37" t="s">
        <v>87</v>
      </c>
      <c r="L161" s="37" t="s">
        <v>88</v>
      </c>
      <c r="M161" s="38" t="s">
        <v>86</v>
      </c>
      <c r="N161" s="38"/>
      <c r="O161" s="37">
        <v>180</v>
      </c>
      <c r="P161" s="40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350"/>
      <c r="R161" s="350"/>
      <c r="S161" s="350"/>
      <c r="T161" s="351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251</v>
      </c>
      <c r="AG161" s="81"/>
      <c r="AJ161" s="87" t="s">
        <v>89</v>
      </c>
      <c r="AK161" s="87">
        <v>1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252</v>
      </c>
      <c r="B162" s="63" t="s">
        <v>253</v>
      </c>
      <c r="C162" s="36">
        <v>4301071050</v>
      </c>
      <c r="D162" s="348">
        <v>4607111036216</v>
      </c>
      <c r="E162" s="348"/>
      <c r="F162" s="62">
        <v>5</v>
      </c>
      <c r="G162" s="37">
        <v>1</v>
      </c>
      <c r="H162" s="62">
        <v>5</v>
      </c>
      <c r="I162" s="62">
        <v>5.2131999999999996</v>
      </c>
      <c r="J162" s="37">
        <v>144</v>
      </c>
      <c r="K162" s="37" t="s">
        <v>87</v>
      </c>
      <c r="L162" s="37" t="s">
        <v>97</v>
      </c>
      <c r="M162" s="38" t="s">
        <v>86</v>
      </c>
      <c r="N162" s="38"/>
      <c r="O162" s="37">
        <v>180</v>
      </c>
      <c r="P162" s="40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350"/>
      <c r="R162" s="350"/>
      <c r="S162" s="350"/>
      <c r="T162" s="351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IFERROR(IF(X162="","",X162*0.00866),"")</f>
        <v>0</v>
      </c>
      <c r="AA162" s="68" t="s">
        <v>46</v>
      </c>
      <c r="AB162" s="69" t="s">
        <v>46</v>
      </c>
      <c r="AC162" s="191" t="s">
        <v>254</v>
      </c>
      <c r="AG162" s="81"/>
      <c r="AJ162" s="87" t="s">
        <v>98</v>
      </c>
      <c r="AK162" s="87">
        <v>12</v>
      </c>
      <c r="BB162" s="192" t="s">
        <v>70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55"/>
      <c r="B163" s="355"/>
      <c r="C163" s="355"/>
      <c r="D163" s="355"/>
      <c r="E163" s="355"/>
      <c r="F163" s="355"/>
      <c r="G163" s="355"/>
      <c r="H163" s="355"/>
      <c r="I163" s="355"/>
      <c r="J163" s="355"/>
      <c r="K163" s="355"/>
      <c r="L163" s="355"/>
      <c r="M163" s="355"/>
      <c r="N163" s="355"/>
      <c r="O163" s="356"/>
      <c r="P163" s="352" t="s">
        <v>40</v>
      </c>
      <c r="Q163" s="353"/>
      <c r="R163" s="353"/>
      <c r="S163" s="353"/>
      <c r="T163" s="353"/>
      <c r="U163" s="353"/>
      <c r="V163" s="354"/>
      <c r="W163" s="42" t="s">
        <v>39</v>
      </c>
      <c r="X163" s="43">
        <f>IFERROR(SUM(X161:X162),"0")</f>
        <v>0</v>
      </c>
      <c r="Y163" s="43">
        <f>IFERROR(SUM(Y161:Y162),"0")</f>
        <v>0</v>
      </c>
      <c r="Z163" s="43">
        <f>IFERROR(IF(Z161="",0,Z161),"0")+IFERROR(IF(Z162="",0,Z162),"0")</f>
        <v>0</v>
      </c>
      <c r="AA163" s="67"/>
      <c r="AB163" s="67"/>
      <c r="AC163" s="67"/>
    </row>
    <row r="164" spans="1:68" x14ac:dyDescent="0.2">
      <c r="A164" s="355"/>
      <c r="B164" s="355"/>
      <c r="C164" s="355"/>
      <c r="D164" s="355"/>
      <c r="E164" s="355"/>
      <c r="F164" s="355"/>
      <c r="G164" s="355"/>
      <c r="H164" s="355"/>
      <c r="I164" s="355"/>
      <c r="J164" s="355"/>
      <c r="K164" s="355"/>
      <c r="L164" s="355"/>
      <c r="M164" s="355"/>
      <c r="N164" s="355"/>
      <c r="O164" s="356"/>
      <c r="P164" s="352" t="s">
        <v>40</v>
      </c>
      <c r="Q164" s="353"/>
      <c r="R164" s="353"/>
      <c r="S164" s="353"/>
      <c r="T164" s="353"/>
      <c r="U164" s="353"/>
      <c r="V164" s="354"/>
      <c r="W164" s="42" t="s">
        <v>0</v>
      </c>
      <c r="X164" s="43">
        <f>IFERROR(SUMPRODUCT(X161:X162*H161:H162),"0")</f>
        <v>0</v>
      </c>
      <c r="Y164" s="43">
        <f>IFERROR(SUMPRODUCT(Y161:Y162*H161:H162),"0")</f>
        <v>0</v>
      </c>
      <c r="Z164" s="42"/>
      <c r="AA164" s="67"/>
      <c r="AB164" s="67"/>
      <c r="AC164" s="67"/>
    </row>
    <row r="165" spans="1:68" ht="27.75" customHeight="1" x14ac:dyDescent="0.2">
      <c r="A165" s="345" t="s">
        <v>255</v>
      </c>
      <c r="B165" s="345"/>
      <c r="C165" s="345"/>
      <c r="D165" s="345"/>
      <c r="E165" s="345"/>
      <c r="F165" s="345"/>
      <c r="G165" s="345"/>
      <c r="H165" s="345"/>
      <c r="I165" s="345"/>
      <c r="J165" s="345"/>
      <c r="K165" s="345"/>
      <c r="L165" s="345"/>
      <c r="M165" s="345"/>
      <c r="N165" s="345"/>
      <c r="O165" s="345"/>
      <c r="P165" s="345"/>
      <c r="Q165" s="345"/>
      <c r="R165" s="345"/>
      <c r="S165" s="345"/>
      <c r="T165" s="345"/>
      <c r="U165" s="345"/>
      <c r="V165" s="345"/>
      <c r="W165" s="345"/>
      <c r="X165" s="345"/>
      <c r="Y165" s="345"/>
      <c r="Z165" s="345"/>
      <c r="AA165" s="54"/>
      <c r="AB165" s="54"/>
      <c r="AC165" s="54"/>
    </row>
    <row r="166" spans="1:68" ht="16.5" customHeight="1" x14ac:dyDescent="0.25">
      <c r="A166" s="346" t="s">
        <v>256</v>
      </c>
      <c r="B166" s="346"/>
      <c r="C166" s="346"/>
      <c r="D166" s="346"/>
      <c r="E166" s="346"/>
      <c r="F166" s="346"/>
      <c r="G166" s="346"/>
      <c r="H166" s="346"/>
      <c r="I166" s="346"/>
      <c r="J166" s="346"/>
      <c r="K166" s="346"/>
      <c r="L166" s="346"/>
      <c r="M166" s="346"/>
      <c r="N166" s="346"/>
      <c r="O166" s="346"/>
      <c r="P166" s="346"/>
      <c r="Q166" s="346"/>
      <c r="R166" s="346"/>
      <c r="S166" s="346"/>
      <c r="T166" s="346"/>
      <c r="U166" s="346"/>
      <c r="V166" s="346"/>
      <c r="W166" s="346"/>
      <c r="X166" s="346"/>
      <c r="Y166" s="346"/>
      <c r="Z166" s="346"/>
      <c r="AA166" s="65"/>
      <c r="AB166" s="65"/>
      <c r="AC166" s="82"/>
    </row>
    <row r="167" spans="1:68" ht="14.25" customHeight="1" x14ac:dyDescent="0.25">
      <c r="A167" s="347" t="s">
        <v>91</v>
      </c>
      <c r="B167" s="347"/>
      <c r="C167" s="347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  <c r="AA167" s="66"/>
      <c r="AB167" s="66"/>
      <c r="AC167" s="83"/>
    </row>
    <row r="168" spans="1:68" ht="16.5" customHeight="1" x14ac:dyDescent="0.25">
      <c r="A168" s="63" t="s">
        <v>257</v>
      </c>
      <c r="B168" s="63" t="s">
        <v>258</v>
      </c>
      <c r="C168" s="36">
        <v>4301132179</v>
      </c>
      <c r="D168" s="348">
        <v>4607111035691</v>
      </c>
      <c r="E168" s="348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96</v>
      </c>
      <c r="L168" s="37" t="s">
        <v>88</v>
      </c>
      <c r="M168" s="38" t="s">
        <v>86</v>
      </c>
      <c r="N168" s="38"/>
      <c r="O168" s="37">
        <v>365</v>
      </c>
      <c r="P168" s="40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350"/>
      <c r="R168" s="350"/>
      <c r="S168" s="350"/>
      <c r="T168" s="351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259</v>
      </c>
      <c r="AG168" s="81"/>
      <c r="AJ168" s="87" t="s">
        <v>89</v>
      </c>
      <c r="AK168" s="87">
        <v>1</v>
      </c>
      <c r="BB168" s="194" t="s">
        <v>95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260</v>
      </c>
      <c r="B169" s="63" t="s">
        <v>261</v>
      </c>
      <c r="C169" s="36">
        <v>4301132182</v>
      </c>
      <c r="D169" s="348">
        <v>4607111035721</v>
      </c>
      <c r="E169" s="348"/>
      <c r="F169" s="62">
        <v>0.25</v>
      </c>
      <c r="G169" s="37">
        <v>12</v>
      </c>
      <c r="H169" s="62">
        <v>3</v>
      </c>
      <c r="I169" s="62">
        <v>3.3879999999999999</v>
      </c>
      <c r="J169" s="37">
        <v>70</v>
      </c>
      <c r="K169" s="37" t="s">
        <v>96</v>
      </c>
      <c r="L169" s="37" t="s">
        <v>88</v>
      </c>
      <c r="M169" s="38" t="s">
        <v>86</v>
      </c>
      <c r="N169" s="38"/>
      <c r="O169" s="37">
        <v>365</v>
      </c>
      <c r="P169" s="40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350"/>
      <c r="R169" s="350"/>
      <c r="S169" s="350"/>
      <c r="T169" s="351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262</v>
      </c>
      <c r="AG169" s="81"/>
      <c r="AJ169" s="87" t="s">
        <v>89</v>
      </c>
      <c r="AK169" s="87">
        <v>1</v>
      </c>
      <c r="BB169" s="196" t="s">
        <v>95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27" customHeight="1" x14ac:dyDescent="0.25">
      <c r="A170" s="63" t="s">
        <v>263</v>
      </c>
      <c r="B170" s="63" t="s">
        <v>264</v>
      </c>
      <c r="C170" s="36">
        <v>4301132170</v>
      </c>
      <c r="D170" s="348">
        <v>4607111038487</v>
      </c>
      <c r="E170" s="348"/>
      <c r="F170" s="62">
        <v>0.25</v>
      </c>
      <c r="G170" s="37">
        <v>12</v>
      </c>
      <c r="H170" s="62">
        <v>3</v>
      </c>
      <c r="I170" s="62">
        <v>3.7360000000000002</v>
      </c>
      <c r="J170" s="37">
        <v>70</v>
      </c>
      <c r="K170" s="37" t="s">
        <v>96</v>
      </c>
      <c r="L170" s="37" t="s">
        <v>97</v>
      </c>
      <c r="M170" s="38" t="s">
        <v>86</v>
      </c>
      <c r="N170" s="38"/>
      <c r="O170" s="37">
        <v>180</v>
      </c>
      <c r="P170" s="41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350"/>
      <c r="R170" s="350"/>
      <c r="S170" s="350"/>
      <c r="T170" s="351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IFERROR(IF(X170="","",X170*0.01788),"")</f>
        <v>0</v>
      </c>
      <c r="AA170" s="68" t="s">
        <v>46</v>
      </c>
      <c r="AB170" s="69" t="s">
        <v>46</v>
      </c>
      <c r="AC170" s="197" t="s">
        <v>265</v>
      </c>
      <c r="AG170" s="81"/>
      <c r="AJ170" s="87" t="s">
        <v>98</v>
      </c>
      <c r="AK170" s="87">
        <v>14</v>
      </c>
      <c r="BB170" s="198" t="s">
        <v>95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355"/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6"/>
      <c r="P171" s="352" t="s">
        <v>40</v>
      </c>
      <c r="Q171" s="353"/>
      <c r="R171" s="353"/>
      <c r="S171" s="353"/>
      <c r="T171" s="353"/>
      <c r="U171" s="353"/>
      <c r="V171" s="354"/>
      <c r="W171" s="42" t="s">
        <v>39</v>
      </c>
      <c r="X171" s="43">
        <f>IFERROR(SUM(X168:X170),"0")</f>
        <v>0</v>
      </c>
      <c r="Y171" s="43">
        <f>IFERROR(SUM(Y168:Y170),"0")</f>
        <v>0</v>
      </c>
      <c r="Z171" s="43">
        <f>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355"/>
      <c r="B172" s="355"/>
      <c r="C172" s="355"/>
      <c r="D172" s="355"/>
      <c r="E172" s="355"/>
      <c r="F172" s="355"/>
      <c r="G172" s="355"/>
      <c r="H172" s="355"/>
      <c r="I172" s="355"/>
      <c r="J172" s="355"/>
      <c r="K172" s="355"/>
      <c r="L172" s="355"/>
      <c r="M172" s="355"/>
      <c r="N172" s="355"/>
      <c r="O172" s="356"/>
      <c r="P172" s="352" t="s">
        <v>40</v>
      </c>
      <c r="Q172" s="353"/>
      <c r="R172" s="353"/>
      <c r="S172" s="353"/>
      <c r="T172" s="353"/>
      <c r="U172" s="353"/>
      <c r="V172" s="354"/>
      <c r="W172" s="42" t="s">
        <v>0</v>
      </c>
      <c r="X172" s="43">
        <f>IFERROR(SUMPRODUCT(X168:X170*H168:H170),"0")</f>
        <v>0</v>
      </c>
      <c r="Y172" s="43">
        <f>IFERROR(SUMPRODUCT(Y168:Y170*H168:H170),"0")</f>
        <v>0</v>
      </c>
      <c r="Z172" s="42"/>
      <c r="AA172" s="67"/>
      <c r="AB172" s="67"/>
      <c r="AC172" s="67"/>
    </row>
    <row r="173" spans="1:68" ht="14.25" customHeight="1" x14ac:dyDescent="0.25">
      <c r="A173" s="347" t="s">
        <v>266</v>
      </c>
      <c r="B173" s="347"/>
      <c r="C173" s="347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  <c r="AA173" s="66"/>
      <c r="AB173" s="66"/>
      <c r="AC173" s="83"/>
    </row>
    <row r="174" spans="1:68" ht="27" customHeight="1" x14ac:dyDescent="0.25">
      <c r="A174" s="63" t="s">
        <v>267</v>
      </c>
      <c r="B174" s="63" t="s">
        <v>268</v>
      </c>
      <c r="C174" s="36">
        <v>4301051855</v>
      </c>
      <c r="D174" s="348">
        <v>4680115885875</v>
      </c>
      <c r="E174" s="348"/>
      <c r="F174" s="62">
        <v>1</v>
      </c>
      <c r="G174" s="37">
        <v>9</v>
      </c>
      <c r="H174" s="62">
        <v>9</v>
      </c>
      <c r="I174" s="62">
        <v>9.41</v>
      </c>
      <c r="J174" s="37">
        <v>64</v>
      </c>
      <c r="K174" s="37" t="s">
        <v>273</v>
      </c>
      <c r="L174" s="37" t="s">
        <v>88</v>
      </c>
      <c r="M174" s="38" t="s">
        <v>272</v>
      </c>
      <c r="N174" s="38"/>
      <c r="O174" s="37">
        <v>365</v>
      </c>
      <c r="P174" s="411" t="s">
        <v>269</v>
      </c>
      <c r="Q174" s="350"/>
      <c r="R174" s="350"/>
      <c r="S174" s="350"/>
      <c r="T174" s="351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IFERROR(IF(X174="","",X174*0.01898),"")</f>
        <v>0</v>
      </c>
      <c r="AA174" s="68" t="s">
        <v>46</v>
      </c>
      <c r="AB174" s="69" t="s">
        <v>46</v>
      </c>
      <c r="AC174" s="199" t="s">
        <v>270</v>
      </c>
      <c r="AG174" s="81"/>
      <c r="AJ174" s="87" t="s">
        <v>89</v>
      </c>
      <c r="AK174" s="87">
        <v>1</v>
      </c>
      <c r="BB174" s="200" t="s">
        <v>271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55"/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6"/>
      <c r="P175" s="352" t="s">
        <v>40</v>
      </c>
      <c r="Q175" s="353"/>
      <c r="R175" s="353"/>
      <c r="S175" s="353"/>
      <c r="T175" s="353"/>
      <c r="U175" s="353"/>
      <c r="V175" s="354"/>
      <c r="W175" s="42" t="s">
        <v>39</v>
      </c>
      <c r="X175" s="43">
        <f>IFERROR(SUM(X174:X174),"0")</f>
        <v>0</v>
      </c>
      <c r="Y175" s="43">
        <f>IFERROR(SUM(Y174:Y174),"0")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355"/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6"/>
      <c r="P176" s="352" t="s">
        <v>40</v>
      </c>
      <c r="Q176" s="353"/>
      <c r="R176" s="353"/>
      <c r="S176" s="353"/>
      <c r="T176" s="353"/>
      <c r="U176" s="353"/>
      <c r="V176" s="354"/>
      <c r="W176" s="42" t="s">
        <v>0</v>
      </c>
      <c r="X176" s="43">
        <f>IFERROR(SUMPRODUCT(X174:X174*H174:H174),"0")</f>
        <v>0</v>
      </c>
      <c r="Y176" s="43">
        <f>IFERROR(SUMPRODUCT(Y174:Y174*H174:H174),"0")</f>
        <v>0</v>
      </c>
      <c r="Z176" s="42"/>
      <c r="AA176" s="67"/>
      <c r="AB176" s="67"/>
      <c r="AC176" s="67"/>
    </row>
    <row r="177" spans="1:68" ht="27.75" customHeight="1" x14ac:dyDescent="0.2">
      <c r="A177" s="345" t="s">
        <v>274</v>
      </c>
      <c r="B177" s="345"/>
      <c r="C177" s="345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5"/>
      <c r="V177" s="345"/>
      <c r="W177" s="345"/>
      <c r="X177" s="345"/>
      <c r="Y177" s="345"/>
      <c r="Z177" s="345"/>
      <c r="AA177" s="54"/>
      <c r="AB177" s="54"/>
      <c r="AC177" s="54"/>
    </row>
    <row r="178" spans="1:68" ht="16.5" customHeight="1" x14ac:dyDescent="0.25">
      <c r="A178" s="346" t="s">
        <v>275</v>
      </c>
      <c r="B178" s="346"/>
      <c r="C178" s="346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  <c r="Y178" s="346"/>
      <c r="Z178" s="346"/>
      <c r="AA178" s="65"/>
      <c r="AB178" s="65"/>
      <c r="AC178" s="82"/>
    </row>
    <row r="179" spans="1:68" ht="14.25" customHeight="1" x14ac:dyDescent="0.25">
      <c r="A179" s="347" t="s">
        <v>91</v>
      </c>
      <c r="B179" s="347"/>
      <c r="C179" s="347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  <c r="AA179" s="66"/>
      <c r="AB179" s="66"/>
      <c r="AC179" s="83"/>
    </row>
    <row r="180" spans="1:68" ht="27" customHeight="1" x14ac:dyDescent="0.25">
      <c r="A180" s="63" t="s">
        <v>276</v>
      </c>
      <c r="B180" s="63" t="s">
        <v>277</v>
      </c>
      <c r="C180" s="36">
        <v>4301132227</v>
      </c>
      <c r="D180" s="348">
        <v>4620207491133</v>
      </c>
      <c r="E180" s="348"/>
      <c r="F180" s="62">
        <v>0.23</v>
      </c>
      <c r="G180" s="37">
        <v>12</v>
      </c>
      <c r="H180" s="62">
        <v>2.76</v>
      </c>
      <c r="I180" s="62">
        <v>2.98</v>
      </c>
      <c r="J180" s="37">
        <v>70</v>
      </c>
      <c r="K180" s="37" t="s">
        <v>96</v>
      </c>
      <c r="L180" s="37" t="s">
        <v>88</v>
      </c>
      <c r="M180" s="38" t="s">
        <v>86</v>
      </c>
      <c r="N180" s="38"/>
      <c r="O180" s="37">
        <v>180</v>
      </c>
      <c r="P180" s="41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350"/>
      <c r="R180" s="350"/>
      <c r="S180" s="350"/>
      <c r="T180" s="351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1" t="s">
        <v>278</v>
      </c>
      <c r="AG180" s="81"/>
      <c r="AJ180" s="87" t="s">
        <v>89</v>
      </c>
      <c r="AK180" s="87">
        <v>1</v>
      </c>
      <c r="BB180" s="202" t="s">
        <v>95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55"/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6"/>
      <c r="P181" s="352" t="s">
        <v>40</v>
      </c>
      <c r="Q181" s="353"/>
      <c r="R181" s="353"/>
      <c r="S181" s="353"/>
      <c r="T181" s="353"/>
      <c r="U181" s="353"/>
      <c r="V181" s="354"/>
      <c r="W181" s="42" t="s">
        <v>39</v>
      </c>
      <c r="X181" s="43">
        <f>IFERROR(SUM(X180:X180),"0")</f>
        <v>0</v>
      </c>
      <c r="Y181" s="43">
        <f>IFERROR(SUM(Y180:Y180),"0")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355"/>
      <c r="B182" s="355"/>
      <c r="C182" s="355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6"/>
      <c r="P182" s="352" t="s">
        <v>40</v>
      </c>
      <c r="Q182" s="353"/>
      <c r="R182" s="353"/>
      <c r="S182" s="353"/>
      <c r="T182" s="353"/>
      <c r="U182" s="353"/>
      <c r="V182" s="354"/>
      <c r="W182" s="42" t="s">
        <v>0</v>
      </c>
      <c r="X182" s="43">
        <f>IFERROR(SUMPRODUCT(X180:X180*H180:H180),"0")</f>
        <v>0</v>
      </c>
      <c r="Y182" s="43">
        <f>IFERROR(SUMPRODUCT(Y180:Y180*H180:H180),"0")</f>
        <v>0</v>
      </c>
      <c r="Z182" s="42"/>
      <c r="AA182" s="67"/>
      <c r="AB182" s="67"/>
      <c r="AC182" s="67"/>
    </row>
    <row r="183" spans="1:68" ht="14.25" customHeight="1" x14ac:dyDescent="0.25">
      <c r="A183" s="347" t="s">
        <v>135</v>
      </c>
      <c r="B183" s="347"/>
      <c r="C183" s="347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  <c r="AA183" s="66"/>
      <c r="AB183" s="66"/>
      <c r="AC183" s="83"/>
    </row>
    <row r="184" spans="1:68" ht="27" customHeight="1" x14ac:dyDescent="0.25">
      <c r="A184" s="63" t="s">
        <v>279</v>
      </c>
      <c r="B184" s="63" t="s">
        <v>280</v>
      </c>
      <c r="C184" s="36">
        <v>4301135707</v>
      </c>
      <c r="D184" s="348">
        <v>4620207490198</v>
      </c>
      <c r="E184" s="348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96</v>
      </c>
      <c r="L184" s="37" t="s">
        <v>88</v>
      </c>
      <c r="M184" s="38" t="s">
        <v>86</v>
      </c>
      <c r="N184" s="38"/>
      <c r="O184" s="37">
        <v>180</v>
      </c>
      <c r="P184" s="41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350"/>
      <c r="R184" s="350"/>
      <c r="S184" s="350"/>
      <c r="T184" s="351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281</v>
      </c>
      <c r="AG184" s="81"/>
      <c r="AJ184" s="87" t="s">
        <v>89</v>
      </c>
      <c r="AK184" s="87">
        <v>1</v>
      </c>
      <c r="BB184" s="204" t="s">
        <v>95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4301135829</v>
      </c>
      <c r="D185" s="348">
        <v>4620207490235</v>
      </c>
      <c r="E185" s="348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96</v>
      </c>
      <c r="L185" s="37" t="s">
        <v>88</v>
      </c>
      <c r="M185" s="38" t="s">
        <v>86</v>
      </c>
      <c r="N185" s="38"/>
      <c r="O185" s="37">
        <v>180</v>
      </c>
      <c r="P185" s="414" t="s">
        <v>284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285</v>
      </c>
      <c r="AG185" s="81"/>
      <c r="AJ185" s="87" t="s">
        <v>89</v>
      </c>
      <c r="AK185" s="87">
        <v>1</v>
      </c>
      <c r="BB185" s="206" t="s">
        <v>95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286</v>
      </c>
      <c r="B186" s="63" t="s">
        <v>287</v>
      </c>
      <c r="C186" s="36">
        <v>4301135697</v>
      </c>
      <c r="D186" s="348">
        <v>4620207490259</v>
      </c>
      <c r="E186" s="348"/>
      <c r="F186" s="62">
        <v>0.2</v>
      </c>
      <c r="G186" s="37">
        <v>12</v>
      </c>
      <c r="H186" s="62">
        <v>2.4</v>
      </c>
      <c r="I186" s="62">
        <v>3.1036000000000001</v>
      </c>
      <c r="J186" s="37">
        <v>70</v>
      </c>
      <c r="K186" s="37" t="s">
        <v>96</v>
      </c>
      <c r="L186" s="37" t="s">
        <v>88</v>
      </c>
      <c r="M186" s="38" t="s">
        <v>86</v>
      </c>
      <c r="N186" s="38"/>
      <c r="O186" s="37">
        <v>180</v>
      </c>
      <c r="P186" s="41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350"/>
      <c r="R186" s="350"/>
      <c r="S186" s="350"/>
      <c r="T186" s="35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281</v>
      </c>
      <c r="AG186" s="81"/>
      <c r="AJ186" s="87" t="s">
        <v>89</v>
      </c>
      <c r="AK186" s="87">
        <v>1</v>
      </c>
      <c r="BB186" s="208" t="s">
        <v>95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288</v>
      </c>
      <c r="B187" s="63" t="s">
        <v>289</v>
      </c>
      <c r="C187" s="36">
        <v>4301135681</v>
      </c>
      <c r="D187" s="348">
        <v>4620207490143</v>
      </c>
      <c r="E187" s="348"/>
      <c r="F187" s="62">
        <v>0.22</v>
      </c>
      <c r="G187" s="37">
        <v>12</v>
      </c>
      <c r="H187" s="62">
        <v>2.64</v>
      </c>
      <c r="I187" s="62">
        <v>3.3435999999999999</v>
      </c>
      <c r="J187" s="37">
        <v>70</v>
      </c>
      <c r="K187" s="37" t="s">
        <v>96</v>
      </c>
      <c r="L187" s="37" t="s">
        <v>88</v>
      </c>
      <c r="M187" s="38" t="s">
        <v>86</v>
      </c>
      <c r="N187" s="38"/>
      <c r="O187" s="37">
        <v>180</v>
      </c>
      <c r="P187" s="41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350"/>
      <c r="R187" s="350"/>
      <c r="S187" s="350"/>
      <c r="T187" s="351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09" t="s">
        <v>290</v>
      </c>
      <c r="AG187" s="81"/>
      <c r="AJ187" s="87" t="s">
        <v>89</v>
      </c>
      <c r="AK187" s="87">
        <v>1</v>
      </c>
      <c r="BB187" s="210" t="s">
        <v>95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55"/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6"/>
      <c r="P188" s="352" t="s">
        <v>40</v>
      </c>
      <c r="Q188" s="353"/>
      <c r="R188" s="353"/>
      <c r="S188" s="353"/>
      <c r="T188" s="353"/>
      <c r="U188" s="353"/>
      <c r="V188" s="354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355"/>
      <c r="B189" s="355"/>
      <c r="C189" s="355"/>
      <c r="D189" s="355"/>
      <c r="E189" s="355"/>
      <c r="F189" s="355"/>
      <c r="G189" s="355"/>
      <c r="H189" s="355"/>
      <c r="I189" s="355"/>
      <c r="J189" s="355"/>
      <c r="K189" s="355"/>
      <c r="L189" s="355"/>
      <c r="M189" s="355"/>
      <c r="N189" s="355"/>
      <c r="O189" s="356"/>
      <c r="P189" s="352" t="s">
        <v>40</v>
      </c>
      <c r="Q189" s="353"/>
      <c r="R189" s="353"/>
      <c r="S189" s="353"/>
      <c r="T189" s="353"/>
      <c r="U189" s="353"/>
      <c r="V189" s="354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6.5" customHeight="1" x14ac:dyDescent="0.25">
      <c r="A190" s="346" t="s">
        <v>291</v>
      </c>
      <c r="B190" s="346"/>
      <c r="C190" s="346"/>
      <c r="D190" s="346"/>
      <c r="E190" s="346"/>
      <c r="F190" s="346"/>
      <c r="G190" s="346"/>
      <c r="H190" s="346"/>
      <c r="I190" s="346"/>
      <c r="J190" s="346"/>
      <c r="K190" s="346"/>
      <c r="L190" s="346"/>
      <c r="M190" s="346"/>
      <c r="N190" s="346"/>
      <c r="O190" s="346"/>
      <c r="P190" s="346"/>
      <c r="Q190" s="346"/>
      <c r="R190" s="346"/>
      <c r="S190" s="346"/>
      <c r="T190" s="346"/>
      <c r="U190" s="346"/>
      <c r="V190" s="346"/>
      <c r="W190" s="346"/>
      <c r="X190" s="346"/>
      <c r="Y190" s="346"/>
      <c r="Z190" s="346"/>
      <c r="AA190" s="65"/>
      <c r="AB190" s="65"/>
      <c r="AC190" s="82"/>
    </row>
    <row r="191" spans="1:68" ht="14.25" customHeight="1" x14ac:dyDescent="0.25">
      <c r="A191" s="347" t="s">
        <v>82</v>
      </c>
      <c r="B191" s="347"/>
      <c r="C191" s="347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  <c r="AA191" s="66"/>
      <c r="AB191" s="66"/>
      <c r="AC191" s="83"/>
    </row>
    <row r="192" spans="1:68" ht="27" customHeight="1" x14ac:dyDescent="0.25">
      <c r="A192" s="63" t="s">
        <v>292</v>
      </c>
      <c r="B192" s="63" t="s">
        <v>293</v>
      </c>
      <c r="C192" s="36">
        <v>4301071110</v>
      </c>
      <c r="D192" s="348">
        <v>4607111035103</v>
      </c>
      <c r="E192" s="348"/>
      <c r="F192" s="62">
        <v>0.43</v>
      </c>
      <c r="G192" s="37">
        <v>16</v>
      </c>
      <c r="H192" s="62">
        <v>6.88</v>
      </c>
      <c r="I192" s="62">
        <v>7.19</v>
      </c>
      <c r="J192" s="37">
        <v>84</v>
      </c>
      <c r="K192" s="37" t="s">
        <v>87</v>
      </c>
      <c r="L192" s="37" t="s">
        <v>88</v>
      </c>
      <c r="M192" s="38" t="s">
        <v>86</v>
      </c>
      <c r="N192" s="38"/>
      <c r="O192" s="37">
        <v>180</v>
      </c>
      <c r="P192" s="417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350"/>
      <c r="R192" s="350"/>
      <c r="S192" s="350"/>
      <c r="T192" s="351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294</v>
      </c>
      <c r="AG192" s="81"/>
      <c r="AJ192" s="87" t="s">
        <v>89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295</v>
      </c>
      <c r="B193" s="63" t="s">
        <v>296</v>
      </c>
      <c r="C193" s="36">
        <v>4301071109</v>
      </c>
      <c r="D193" s="348">
        <v>4607111035929</v>
      </c>
      <c r="E193" s="348"/>
      <c r="F193" s="62">
        <v>0.9</v>
      </c>
      <c r="G193" s="37">
        <v>8</v>
      </c>
      <c r="H193" s="62">
        <v>7.2</v>
      </c>
      <c r="I193" s="62">
        <v>7.47</v>
      </c>
      <c r="J193" s="37">
        <v>84</v>
      </c>
      <c r="K193" s="37" t="s">
        <v>87</v>
      </c>
      <c r="L193" s="37" t="s">
        <v>88</v>
      </c>
      <c r="M193" s="38" t="s">
        <v>86</v>
      </c>
      <c r="N193" s="38"/>
      <c r="O193" s="37">
        <v>180</v>
      </c>
      <c r="P193" s="41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350"/>
      <c r="R193" s="350"/>
      <c r="S193" s="350"/>
      <c r="T193" s="351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294</v>
      </c>
      <c r="AG193" s="81"/>
      <c r="AJ193" s="87" t="s">
        <v>89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297</v>
      </c>
      <c r="B194" s="63" t="s">
        <v>298</v>
      </c>
      <c r="C194" s="36">
        <v>4301071106</v>
      </c>
      <c r="D194" s="348">
        <v>4607111035882</v>
      </c>
      <c r="E194" s="348"/>
      <c r="F194" s="62">
        <v>0.43</v>
      </c>
      <c r="G194" s="37">
        <v>16</v>
      </c>
      <c r="H194" s="62">
        <v>6.88</v>
      </c>
      <c r="I194" s="62">
        <v>7.19</v>
      </c>
      <c r="J194" s="37">
        <v>84</v>
      </c>
      <c r="K194" s="37" t="s">
        <v>87</v>
      </c>
      <c r="L194" s="37" t="s">
        <v>88</v>
      </c>
      <c r="M194" s="38" t="s">
        <v>86</v>
      </c>
      <c r="N194" s="38"/>
      <c r="O194" s="37">
        <v>180</v>
      </c>
      <c r="P194" s="41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350"/>
      <c r="R194" s="350"/>
      <c r="S194" s="350"/>
      <c r="T194" s="351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294</v>
      </c>
      <c r="AG194" s="81"/>
      <c r="AJ194" s="87" t="s">
        <v>89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299</v>
      </c>
      <c r="B195" s="63" t="s">
        <v>300</v>
      </c>
      <c r="C195" s="36">
        <v>4301071105</v>
      </c>
      <c r="D195" s="348">
        <v>4607111035110</v>
      </c>
      <c r="E195" s="348"/>
      <c r="F195" s="62">
        <v>0.9</v>
      </c>
      <c r="G195" s="37">
        <v>8</v>
      </c>
      <c r="H195" s="62">
        <v>7.2</v>
      </c>
      <c r="I195" s="62">
        <v>7.47</v>
      </c>
      <c r="J195" s="37">
        <v>84</v>
      </c>
      <c r="K195" s="37" t="s">
        <v>87</v>
      </c>
      <c r="L195" s="37" t="s">
        <v>88</v>
      </c>
      <c r="M195" s="38" t="s">
        <v>86</v>
      </c>
      <c r="N195" s="38"/>
      <c r="O195" s="37">
        <v>180</v>
      </c>
      <c r="P195" s="420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350"/>
      <c r="R195" s="350"/>
      <c r="S195" s="350"/>
      <c r="T195" s="351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17" t="s">
        <v>294</v>
      </c>
      <c r="AG195" s="81"/>
      <c r="AJ195" s="87" t="s">
        <v>89</v>
      </c>
      <c r="AK195" s="87">
        <v>1</v>
      </c>
      <c r="BB195" s="218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55"/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6"/>
      <c r="P196" s="352" t="s">
        <v>40</v>
      </c>
      <c r="Q196" s="353"/>
      <c r="R196" s="353"/>
      <c r="S196" s="353"/>
      <c r="T196" s="353"/>
      <c r="U196" s="353"/>
      <c r="V196" s="354"/>
      <c r="W196" s="42" t="s">
        <v>39</v>
      </c>
      <c r="X196" s="43">
        <f>IFERROR(SUM(X192:X195),"0")</f>
        <v>0</v>
      </c>
      <c r="Y196" s="43">
        <f>IFERROR(SUM(Y192:Y195),"0")</f>
        <v>0</v>
      </c>
      <c r="Z196" s="43">
        <f>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355"/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6"/>
      <c r="P197" s="352" t="s">
        <v>40</v>
      </c>
      <c r="Q197" s="353"/>
      <c r="R197" s="353"/>
      <c r="S197" s="353"/>
      <c r="T197" s="353"/>
      <c r="U197" s="353"/>
      <c r="V197" s="354"/>
      <c r="W197" s="42" t="s">
        <v>0</v>
      </c>
      <c r="X197" s="43">
        <f>IFERROR(SUMPRODUCT(X192:X195*H192:H195),"0")</f>
        <v>0</v>
      </c>
      <c r="Y197" s="43">
        <f>IFERROR(SUMPRODUCT(Y192:Y195*H192:H195),"0")</f>
        <v>0</v>
      </c>
      <c r="Z197" s="42"/>
      <c r="AA197" s="67"/>
      <c r="AB197" s="67"/>
      <c r="AC197" s="67"/>
    </row>
    <row r="198" spans="1:68" ht="16.5" customHeight="1" x14ac:dyDescent="0.25">
      <c r="A198" s="346" t="s">
        <v>301</v>
      </c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  <c r="AA198" s="65"/>
      <c r="AB198" s="65"/>
      <c r="AC198" s="82"/>
    </row>
    <row r="199" spans="1:68" ht="14.25" customHeight="1" x14ac:dyDescent="0.25">
      <c r="A199" s="347" t="s">
        <v>82</v>
      </c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66"/>
      <c r="AB199" s="66"/>
      <c r="AC199" s="83"/>
    </row>
    <row r="200" spans="1:68" ht="27" customHeight="1" x14ac:dyDescent="0.25">
      <c r="A200" s="63" t="s">
        <v>302</v>
      </c>
      <c r="B200" s="63" t="s">
        <v>303</v>
      </c>
      <c r="C200" s="36">
        <v>4301071097</v>
      </c>
      <c r="D200" s="348">
        <v>4620207491096</v>
      </c>
      <c r="E200" s="348"/>
      <c r="F200" s="62">
        <v>1</v>
      </c>
      <c r="G200" s="37">
        <v>5</v>
      </c>
      <c r="H200" s="62">
        <v>5</v>
      </c>
      <c r="I200" s="62">
        <v>5.23</v>
      </c>
      <c r="J200" s="37">
        <v>84</v>
      </c>
      <c r="K200" s="37" t="s">
        <v>87</v>
      </c>
      <c r="L200" s="37" t="s">
        <v>88</v>
      </c>
      <c r="M200" s="38" t="s">
        <v>86</v>
      </c>
      <c r="N200" s="38"/>
      <c r="O200" s="37">
        <v>180</v>
      </c>
      <c r="P200" s="4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350"/>
      <c r="R200" s="350"/>
      <c r="S200" s="350"/>
      <c r="T200" s="35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IFERROR(IF(X200="","",X200*0.0155),"")</f>
        <v>0</v>
      </c>
      <c r="AA200" s="68" t="s">
        <v>46</v>
      </c>
      <c r="AB200" s="69" t="s">
        <v>46</v>
      </c>
      <c r="AC200" s="219" t="s">
        <v>304</v>
      </c>
      <c r="AG200" s="81"/>
      <c r="AJ200" s="87" t="s">
        <v>89</v>
      </c>
      <c r="AK200" s="87">
        <v>1</v>
      </c>
      <c r="BB200" s="220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5"/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6"/>
      <c r="P201" s="352" t="s">
        <v>40</v>
      </c>
      <c r="Q201" s="353"/>
      <c r="R201" s="353"/>
      <c r="S201" s="353"/>
      <c r="T201" s="353"/>
      <c r="U201" s="353"/>
      <c r="V201" s="354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55"/>
      <c r="B202" s="355"/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6"/>
      <c r="P202" s="352" t="s">
        <v>40</v>
      </c>
      <c r="Q202" s="353"/>
      <c r="R202" s="353"/>
      <c r="S202" s="353"/>
      <c r="T202" s="353"/>
      <c r="U202" s="353"/>
      <c r="V202" s="354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6.5" customHeight="1" x14ac:dyDescent="0.25">
      <c r="A203" s="346" t="s">
        <v>305</v>
      </c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  <c r="AA203" s="65"/>
      <c r="AB203" s="65"/>
      <c r="AC203" s="82"/>
    </row>
    <row r="204" spans="1:68" ht="14.25" customHeight="1" x14ac:dyDescent="0.25">
      <c r="A204" s="347" t="s">
        <v>82</v>
      </c>
      <c r="B204" s="347"/>
      <c r="C204" s="347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4301071093</v>
      </c>
      <c r="D205" s="348">
        <v>4620207490709</v>
      </c>
      <c r="E205" s="348"/>
      <c r="F205" s="62">
        <v>0.65</v>
      </c>
      <c r="G205" s="37">
        <v>8</v>
      </c>
      <c r="H205" s="62">
        <v>5.2</v>
      </c>
      <c r="I205" s="62">
        <v>5.47</v>
      </c>
      <c r="J205" s="37">
        <v>84</v>
      </c>
      <c r="K205" s="37" t="s">
        <v>87</v>
      </c>
      <c r="L205" s="37" t="s">
        <v>88</v>
      </c>
      <c r="M205" s="38" t="s">
        <v>86</v>
      </c>
      <c r="N205" s="38"/>
      <c r="O205" s="37">
        <v>180</v>
      </c>
      <c r="P205" s="42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350"/>
      <c r="R205" s="350"/>
      <c r="S205" s="350"/>
      <c r="T205" s="35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1" t="s">
        <v>308</v>
      </c>
      <c r="AG205" s="81"/>
      <c r="AJ205" s="87" t="s">
        <v>89</v>
      </c>
      <c r="AK205" s="87">
        <v>1</v>
      </c>
      <c r="BB205" s="222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5"/>
      <c r="B206" s="355"/>
      <c r="C206" s="355"/>
      <c r="D206" s="355"/>
      <c r="E206" s="355"/>
      <c r="F206" s="355"/>
      <c r="G206" s="355"/>
      <c r="H206" s="355"/>
      <c r="I206" s="355"/>
      <c r="J206" s="355"/>
      <c r="K206" s="355"/>
      <c r="L206" s="355"/>
      <c r="M206" s="355"/>
      <c r="N206" s="355"/>
      <c r="O206" s="356"/>
      <c r="P206" s="352" t="s">
        <v>40</v>
      </c>
      <c r="Q206" s="353"/>
      <c r="R206" s="353"/>
      <c r="S206" s="353"/>
      <c r="T206" s="353"/>
      <c r="U206" s="353"/>
      <c r="V206" s="354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5"/>
      <c r="B207" s="355"/>
      <c r="C207" s="355"/>
      <c r="D207" s="355"/>
      <c r="E207" s="355"/>
      <c r="F207" s="355"/>
      <c r="G207" s="355"/>
      <c r="H207" s="355"/>
      <c r="I207" s="355"/>
      <c r="J207" s="355"/>
      <c r="K207" s="355"/>
      <c r="L207" s="355"/>
      <c r="M207" s="355"/>
      <c r="N207" s="355"/>
      <c r="O207" s="356"/>
      <c r="P207" s="352" t="s">
        <v>40</v>
      </c>
      <c r="Q207" s="353"/>
      <c r="R207" s="353"/>
      <c r="S207" s="353"/>
      <c r="T207" s="353"/>
      <c r="U207" s="353"/>
      <c r="V207" s="354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4.25" customHeight="1" x14ac:dyDescent="0.25">
      <c r="A208" s="347" t="s">
        <v>135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309</v>
      </c>
      <c r="B209" s="63" t="s">
        <v>310</v>
      </c>
      <c r="C209" s="36">
        <v>4301135692</v>
      </c>
      <c r="D209" s="348">
        <v>4620207490570</v>
      </c>
      <c r="E209" s="348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96</v>
      </c>
      <c r="L209" s="37" t="s">
        <v>88</v>
      </c>
      <c r="M209" s="38" t="s">
        <v>86</v>
      </c>
      <c r="N209" s="38"/>
      <c r="O209" s="37">
        <v>180</v>
      </c>
      <c r="P209" s="42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311</v>
      </c>
      <c r="AG209" s="81"/>
      <c r="AJ209" s="87" t="s">
        <v>89</v>
      </c>
      <c r="AK209" s="87">
        <v>1</v>
      </c>
      <c r="BB209" s="224" t="s">
        <v>95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312</v>
      </c>
      <c r="B210" s="63" t="s">
        <v>313</v>
      </c>
      <c r="C210" s="36">
        <v>4301135691</v>
      </c>
      <c r="D210" s="348">
        <v>4620207490549</v>
      </c>
      <c r="E210" s="348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96</v>
      </c>
      <c r="L210" s="37" t="s">
        <v>88</v>
      </c>
      <c r="M210" s="38" t="s">
        <v>86</v>
      </c>
      <c r="N210" s="38"/>
      <c r="O210" s="37">
        <v>180</v>
      </c>
      <c r="P210" s="42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50"/>
      <c r="R210" s="350"/>
      <c r="S210" s="350"/>
      <c r="T210" s="351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311</v>
      </c>
      <c r="AG210" s="81"/>
      <c r="AJ210" s="87" t="s">
        <v>89</v>
      </c>
      <c r="AK210" s="87">
        <v>1</v>
      </c>
      <c r="BB210" s="226" t="s">
        <v>95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314</v>
      </c>
      <c r="B211" s="63" t="s">
        <v>315</v>
      </c>
      <c r="C211" s="36">
        <v>4301135694</v>
      </c>
      <c r="D211" s="348">
        <v>4620207490501</v>
      </c>
      <c r="E211" s="34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96</v>
      </c>
      <c r="L211" s="37" t="s">
        <v>88</v>
      </c>
      <c r="M211" s="38" t="s">
        <v>86</v>
      </c>
      <c r="N211" s="38"/>
      <c r="O211" s="37">
        <v>180</v>
      </c>
      <c r="P211" s="4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50"/>
      <c r="R211" s="350"/>
      <c r="S211" s="350"/>
      <c r="T211" s="35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311</v>
      </c>
      <c r="AG211" s="81"/>
      <c r="AJ211" s="87" t="s">
        <v>89</v>
      </c>
      <c r="AK211" s="87">
        <v>1</v>
      </c>
      <c r="BB211" s="228" t="s">
        <v>95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5"/>
      <c r="B212" s="355"/>
      <c r="C212" s="355"/>
      <c r="D212" s="355"/>
      <c r="E212" s="355"/>
      <c r="F212" s="355"/>
      <c r="G212" s="355"/>
      <c r="H212" s="355"/>
      <c r="I212" s="355"/>
      <c r="J212" s="355"/>
      <c r="K212" s="355"/>
      <c r="L212" s="355"/>
      <c r="M212" s="355"/>
      <c r="N212" s="355"/>
      <c r="O212" s="356"/>
      <c r="P212" s="352" t="s">
        <v>40</v>
      </c>
      <c r="Q212" s="353"/>
      <c r="R212" s="353"/>
      <c r="S212" s="353"/>
      <c r="T212" s="353"/>
      <c r="U212" s="353"/>
      <c r="V212" s="354"/>
      <c r="W212" s="42" t="s">
        <v>39</v>
      </c>
      <c r="X212" s="43">
        <f>IFERROR(SUM(X209:X211),"0")</f>
        <v>0</v>
      </c>
      <c r="Y212" s="43">
        <f>IFERROR(SUM(Y209:Y211),"0")</f>
        <v>0</v>
      </c>
      <c r="Z212" s="43">
        <f>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355"/>
      <c r="B213" s="355"/>
      <c r="C213" s="355"/>
      <c r="D213" s="355"/>
      <c r="E213" s="355"/>
      <c r="F213" s="355"/>
      <c r="G213" s="355"/>
      <c r="H213" s="355"/>
      <c r="I213" s="355"/>
      <c r="J213" s="355"/>
      <c r="K213" s="355"/>
      <c r="L213" s="355"/>
      <c r="M213" s="355"/>
      <c r="N213" s="355"/>
      <c r="O213" s="356"/>
      <c r="P213" s="352" t="s">
        <v>40</v>
      </c>
      <c r="Q213" s="353"/>
      <c r="R213" s="353"/>
      <c r="S213" s="353"/>
      <c r="T213" s="353"/>
      <c r="U213" s="353"/>
      <c r="V213" s="354"/>
      <c r="W213" s="42" t="s">
        <v>0</v>
      </c>
      <c r="X213" s="43">
        <f>IFERROR(SUMPRODUCT(X209:X211*H209:H211),"0")</f>
        <v>0</v>
      </c>
      <c r="Y213" s="43">
        <f>IFERROR(SUMPRODUCT(Y209:Y211*H209:H211),"0")</f>
        <v>0</v>
      </c>
      <c r="Z213" s="42"/>
      <c r="AA213" s="67"/>
      <c r="AB213" s="67"/>
      <c r="AC213" s="67"/>
    </row>
    <row r="214" spans="1:68" ht="16.5" customHeight="1" x14ac:dyDescent="0.25">
      <c r="A214" s="346" t="s">
        <v>316</v>
      </c>
      <c r="B214" s="346"/>
      <c r="C214" s="346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  <c r="Z214" s="346"/>
      <c r="AA214" s="65"/>
      <c r="AB214" s="65"/>
      <c r="AC214" s="82"/>
    </row>
    <row r="215" spans="1:68" ht="14.25" customHeight="1" x14ac:dyDescent="0.25">
      <c r="A215" s="347" t="s">
        <v>82</v>
      </c>
      <c r="B215" s="347"/>
      <c r="C215" s="347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  <c r="AA215" s="66"/>
      <c r="AB215" s="66"/>
      <c r="AC215" s="83"/>
    </row>
    <row r="216" spans="1:68" ht="16.5" customHeight="1" x14ac:dyDescent="0.25">
      <c r="A216" s="63" t="s">
        <v>317</v>
      </c>
      <c r="B216" s="63" t="s">
        <v>318</v>
      </c>
      <c r="C216" s="36">
        <v>4301071099</v>
      </c>
      <c r="D216" s="348">
        <v>4607111039019</v>
      </c>
      <c r="E216" s="348"/>
      <c r="F216" s="62">
        <v>0.43</v>
      </c>
      <c r="G216" s="37">
        <v>16</v>
      </c>
      <c r="H216" s="62">
        <v>6.88</v>
      </c>
      <c r="I216" s="62">
        <v>7.2060000000000004</v>
      </c>
      <c r="J216" s="37">
        <v>84</v>
      </c>
      <c r="K216" s="37" t="s">
        <v>87</v>
      </c>
      <c r="L216" s="37" t="s">
        <v>88</v>
      </c>
      <c r="M216" s="38" t="s">
        <v>86</v>
      </c>
      <c r="N216" s="38"/>
      <c r="O216" s="37">
        <v>180</v>
      </c>
      <c r="P216" s="426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350"/>
      <c r="R216" s="350"/>
      <c r="S216" s="350"/>
      <c r="T216" s="351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319</v>
      </c>
      <c r="AG216" s="81"/>
      <c r="AJ216" s="87" t="s">
        <v>89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16.5" customHeight="1" x14ac:dyDescent="0.25">
      <c r="A217" s="63" t="s">
        <v>320</v>
      </c>
      <c r="B217" s="63" t="s">
        <v>321</v>
      </c>
      <c r="C217" s="36">
        <v>4301071100</v>
      </c>
      <c r="D217" s="348">
        <v>4607111038708</v>
      </c>
      <c r="E217" s="348"/>
      <c r="F217" s="62">
        <v>0.8</v>
      </c>
      <c r="G217" s="37">
        <v>8</v>
      </c>
      <c r="H217" s="62">
        <v>6.4</v>
      </c>
      <c r="I217" s="62">
        <v>6.67</v>
      </c>
      <c r="J217" s="37">
        <v>84</v>
      </c>
      <c r="K217" s="37" t="s">
        <v>87</v>
      </c>
      <c r="L217" s="37" t="s">
        <v>88</v>
      </c>
      <c r="M217" s="38" t="s">
        <v>86</v>
      </c>
      <c r="N217" s="38"/>
      <c r="O217" s="37">
        <v>180</v>
      </c>
      <c r="P217" s="427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350"/>
      <c r="R217" s="350"/>
      <c r="S217" s="350"/>
      <c r="T217" s="351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1" t="s">
        <v>319</v>
      </c>
      <c r="AG217" s="81"/>
      <c r="AJ217" s="87" t="s">
        <v>89</v>
      </c>
      <c r="AK217" s="87">
        <v>1</v>
      </c>
      <c r="BB217" s="232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5"/>
      <c r="B218" s="355"/>
      <c r="C218" s="355"/>
      <c r="D218" s="355"/>
      <c r="E218" s="355"/>
      <c r="F218" s="355"/>
      <c r="G218" s="355"/>
      <c r="H218" s="355"/>
      <c r="I218" s="355"/>
      <c r="J218" s="355"/>
      <c r="K218" s="355"/>
      <c r="L218" s="355"/>
      <c r="M218" s="355"/>
      <c r="N218" s="355"/>
      <c r="O218" s="356"/>
      <c r="P218" s="352" t="s">
        <v>40</v>
      </c>
      <c r="Q218" s="353"/>
      <c r="R218" s="353"/>
      <c r="S218" s="353"/>
      <c r="T218" s="353"/>
      <c r="U218" s="353"/>
      <c r="V218" s="354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355"/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6"/>
      <c r="P219" s="352" t="s">
        <v>40</v>
      </c>
      <c r="Q219" s="353"/>
      <c r="R219" s="353"/>
      <c r="S219" s="353"/>
      <c r="T219" s="353"/>
      <c r="U219" s="353"/>
      <c r="V219" s="354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45" t="s">
        <v>322</v>
      </c>
      <c r="B220" s="345"/>
      <c r="C220" s="345"/>
      <c r="D220" s="345"/>
      <c r="E220" s="345"/>
      <c r="F220" s="345"/>
      <c r="G220" s="345"/>
      <c r="H220" s="345"/>
      <c r="I220" s="345"/>
      <c r="J220" s="345"/>
      <c r="K220" s="345"/>
      <c r="L220" s="345"/>
      <c r="M220" s="345"/>
      <c r="N220" s="345"/>
      <c r="O220" s="345"/>
      <c r="P220" s="345"/>
      <c r="Q220" s="345"/>
      <c r="R220" s="345"/>
      <c r="S220" s="345"/>
      <c r="T220" s="345"/>
      <c r="U220" s="345"/>
      <c r="V220" s="345"/>
      <c r="W220" s="345"/>
      <c r="X220" s="345"/>
      <c r="Y220" s="345"/>
      <c r="Z220" s="345"/>
      <c r="AA220" s="54"/>
      <c r="AB220" s="54"/>
      <c r="AC220" s="54"/>
    </row>
    <row r="221" spans="1:68" ht="16.5" customHeight="1" x14ac:dyDescent="0.25">
      <c r="A221" s="346" t="s">
        <v>323</v>
      </c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  <c r="AA221" s="65"/>
      <c r="AB221" s="65"/>
      <c r="AC221" s="82"/>
    </row>
    <row r="222" spans="1:68" ht="14.25" customHeight="1" x14ac:dyDescent="0.25">
      <c r="A222" s="347" t="s">
        <v>82</v>
      </c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  <c r="AA222" s="66"/>
      <c r="AB222" s="66"/>
      <c r="AC222" s="83"/>
    </row>
    <row r="223" spans="1:68" ht="27" customHeight="1" x14ac:dyDescent="0.25">
      <c r="A223" s="63" t="s">
        <v>324</v>
      </c>
      <c r="B223" s="63" t="s">
        <v>325</v>
      </c>
      <c r="C223" s="36">
        <v>4301071036</v>
      </c>
      <c r="D223" s="348">
        <v>4607111036162</v>
      </c>
      <c r="E223" s="348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87</v>
      </c>
      <c r="L223" s="37" t="s">
        <v>88</v>
      </c>
      <c r="M223" s="38" t="s">
        <v>86</v>
      </c>
      <c r="N223" s="38"/>
      <c r="O223" s="37">
        <v>90</v>
      </c>
      <c r="P223" s="42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350"/>
      <c r="R223" s="350"/>
      <c r="S223" s="350"/>
      <c r="T223" s="351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3" t="s">
        <v>326</v>
      </c>
      <c r="AG223" s="81"/>
      <c r="AJ223" s="87" t="s">
        <v>89</v>
      </c>
      <c r="AK223" s="87">
        <v>1</v>
      </c>
      <c r="BB223" s="23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5"/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6"/>
      <c r="P224" s="352" t="s">
        <v>40</v>
      </c>
      <c r="Q224" s="353"/>
      <c r="R224" s="353"/>
      <c r="S224" s="353"/>
      <c r="T224" s="353"/>
      <c r="U224" s="353"/>
      <c r="V224" s="354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5"/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6"/>
      <c r="P225" s="352" t="s">
        <v>40</v>
      </c>
      <c r="Q225" s="353"/>
      <c r="R225" s="353"/>
      <c r="S225" s="353"/>
      <c r="T225" s="353"/>
      <c r="U225" s="353"/>
      <c r="V225" s="354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5" t="s">
        <v>327</v>
      </c>
      <c r="B226" s="345"/>
      <c r="C226" s="345"/>
      <c r="D226" s="345"/>
      <c r="E226" s="345"/>
      <c r="F226" s="345"/>
      <c r="G226" s="345"/>
      <c r="H226" s="345"/>
      <c r="I226" s="345"/>
      <c r="J226" s="345"/>
      <c r="K226" s="345"/>
      <c r="L226" s="345"/>
      <c r="M226" s="345"/>
      <c r="N226" s="345"/>
      <c r="O226" s="345"/>
      <c r="P226" s="345"/>
      <c r="Q226" s="345"/>
      <c r="R226" s="345"/>
      <c r="S226" s="345"/>
      <c r="T226" s="345"/>
      <c r="U226" s="345"/>
      <c r="V226" s="345"/>
      <c r="W226" s="345"/>
      <c r="X226" s="345"/>
      <c r="Y226" s="345"/>
      <c r="Z226" s="345"/>
      <c r="AA226" s="54"/>
      <c r="AB226" s="54"/>
      <c r="AC226" s="54"/>
    </row>
    <row r="227" spans="1:68" ht="16.5" customHeight="1" x14ac:dyDescent="0.25">
      <c r="A227" s="346" t="s">
        <v>328</v>
      </c>
      <c r="B227" s="346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  <c r="Y227" s="346"/>
      <c r="Z227" s="346"/>
      <c r="AA227" s="65"/>
      <c r="AB227" s="65"/>
      <c r="AC227" s="82"/>
    </row>
    <row r="228" spans="1:68" ht="14.25" customHeight="1" x14ac:dyDescent="0.25">
      <c r="A228" s="347" t="s">
        <v>82</v>
      </c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  <c r="AA228" s="66"/>
      <c r="AB228" s="66"/>
      <c r="AC228" s="83"/>
    </row>
    <row r="229" spans="1:68" ht="27" customHeight="1" x14ac:dyDescent="0.25">
      <c r="A229" s="63" t="s">
        <v>329</v>
      </c>
      <c r="B229" s="63" t="s">
        <v>330</v>
      </c>
      <c r="C229" s="36">
        <v>4301071029</v>
      </c>
      <c r="D229" s="348">
        <v>4607111035899</v>
      </c>
      <c r="E229" s="348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87</v>
      </c>
      <c r="L229" s="37" t="s">
        <v>97</v>
      </c>
      <c r="M229" s="38" t="s">
        <v>86</v>
      </c>
      <c r="N229" s="38"/>
      <c r="O229" s="37">
        <v>180</v>
      </c>
      <c r="P229" s="42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350"/>
      <c r="R229" s="350"/>
      <c r="S229" s="350"/>
      <c r="T229" s="351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35" t="s">
        <v>254</v>
      </c>
      <c r="AG229" s="81"/>
      <c r="AJ229" s="87" t="s">
        <v>98</v>
      </c>
      <c r="AK229" s="87">
        <v>12</v>
      </c>
      <c r="BB229" s="236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5"/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6"/>
      <c r="P230" s="352" t="s">
        <v>40</v>
      </c>
      <c r="Q230" s="353"/>
      <c r="R230" s="353"/>
      <c r="S230" s="353"/>
      <c r="T230" s="353"/>
      <c r="U230" s="353"/>
      <c r="V230" s="354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5"/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6"/>
      <c r="P231" s="352" t="s">
        <v>40</v>
      </c>
      <c r="Q231" s="353"/>
      <c r="R231" s="353"/>
      <c r="S231" s="353"/>
      <c r="T231" s="353"/>
      <c r="U231" s="353"/>
      <c r="V231" s="354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45" t="s">
        <v>331</v>
      </c>
      <c r="B232" s="345"/>
      <c r="C232" s="345"/>
      <c r="D232" s="345"/>
      <c r="E232" s="345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  <c r="X232" s="345"/>
      <c r="Y232" s="345"/>
      <c r="Z232" s="345"/>
      <c r="AA232" s="54"/>
      <c r="AB232" s="54"/>
      <c r="AC232" s="54"/>
    </row>
    <row r="233" spans="1:68" ht="16.5" customHeight="1" x14ac:dyDescent="0.25">
      <c r="A233" s="346" t="s">
        <v>332</v>
      </c>
      <c r="B233" s="346"/>
      <c r="C233" s="346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  <c r="Y233" s="346"/>
      <c r="Z233" s="346"/>
      <c r="AA233" s="65"/>
      <c r="AB233" s="65"/>
      <c r="AC233" s="82"/>
    </row>
    <row r="234" spans="1:68" ht="14.25" customHeight="1" x14ac:dyDescent="0.25">
      <c r="A234" s="347" t="s">
        <v>333</v>
      </c>
      <c r="B234" s="347"/>
      <c r="C234" s="347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  <c r="AA234" s="66"/>
      <c r="AB234" s="66"/>
      <c r="AC234" s="83"/>
    </row>
    <row r="235" spans="1:68" ht="27" customHeight="1" x14ac:dyDescent="0.25">
      <c r="A235" s="63" t="s">
        <v>334</v>
      </c>
      <c r="B235" s="63" t="s">
        <v>335</v>
      </c>
      <c r="C235" s="36">
        <v>4301133004</v>
      </c>
      <c r="D235" s="348">
        <v>4607111039774</v>
      </c>
      <c r="E235" s="348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96</v>
      </c>
      <c r="L235" s="37" t="s">
        <v>88</v>
      </c>
      <c r="M235" s="38" t="s">
        <v>86</v>
      </c>
      <c r="N235" s="38"/>
      <c r="O235" s="37">
        <v>180</v>
      </c>
      <c r="P235" s="4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350"/>
      <c r="R235" s="350"/>
      <c r="S235" s="350"/>
      <c r="T235" s="351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7" t="s">
        <v>336</v>
      </c>
      <c r="AG235" s="81"/>
      <c r="AJ235" s="87" t="s">
        <v>89</v>
      </c>
      <c r="AK235" s="87">
        <v>1</v>
      </c>
      <c r="BB235" s="238" t="s">
        <v>95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5"/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6"/>
      <c r="P236" s="352" t="s">
        <v>40</v>
      </c>
      <c r="Q236" s="353"/>
      <c r="R236" s="353"/>
      <c r="S236" s="353"/>
      <c r="T236" s="353"/>
      <c r="U236" s="353"/>
      <c r="V236" s="354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5"/>
      <c r="B237" s="355"/>
      <c r="C237" s="355"/>
      <c r="D237" s="355"/>
      <c r="E237" s="355"/>
      <c r="F237" s="355"/>
      <c r="G237" s="355"/>
      <c r="H237" s="355"/>
      <c r="I237" s="355"/>
      <c r="J237" s="355"/>
      <c r="K237" s="355"/>
      <c r="L237" s="355"/>
      <c r="M237" s="355"/>
      <c r="N237" s="355"/>
      <c r="O237" s="356"/>
      <c r="P237" s="352" t="s">
        <v>40</v>
      </c>
      <c r="Q237" s="353"/>
      <c r="R237" s="353"/>
      <c r="S237" s="353"/>
      <c r="T237" s="353"/>
      <c r="U237" s="353"/>
      <c r="V237" s="354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47" t="s">
        <v>135</v>
      </c>
      <c r="B238" s="347"/>
      <c r="C238" s="347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  <c r="AA238" s="66"/>
      <c r="AB238" s="66"/>
      <c r="AC238" s="83"/>
    </row>
    <row r="239" spans="1:68" ht="37.5" customHeight="1" x14ac:dyDescent="0.25">
      <c r="A239" s="63" t="s">
        <v>337</v>
      </c>
      <c r="B239" s="63" t="s">
        <v>338</v>
      </c>
      <c r="C239" s="36">
        <v>4301135400</v>
      </c>
      <c r="D239" s="348">
        <v>4607111039361</v>
      </c>
      <c r="E239" s="348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96</v>
      </c>
      <c r="L239" s="37" t="s">
        <v>88</v>
      </c>
      <c r="M239" s="38" t="s">
        <v>86</v>
      </c>
      <c r="N239" s="38"/>
      <c r="O239" s="37">
        <v>180</v>
      </c>
      <c r="P239" s="4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350"/>
      <c r="R239" s="350"/>
      <c r="S239" s="350"/>
      <c r="T239" s="351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39" t="s">
        <v>336</v>
      </c>
      <c r="AG239" s="81"/>
      <c r="AJ239" s="87" t="s">
        <v>89</v>
      </c>
      <c r="AK239" s="87">
        <v>1</v>
      </c>
      <c r="BB239" s="240" t="s">
        <v>95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355"/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6"/>
      <c r="P240" s="352" t="s">
        <v>40</v>
      </c>
      <c r="Q240" s="353"/>
      <c r="R240" s="353"/>
      <c r="S240" s="353"/>
      <c r="T240" s="353"/>
      <c r="U240" s="353"/>
      <c r="V240" s="354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355"/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6"/>
      <c r="P241" s="352" t="s">
        <v>40</v>
      </c>
      <c r="Q241" s="353"/>
      <c r="R241" s="353"/>
      <c r="S241" s="353"/>
      <c r="T241" s="353"/>
      <c r="U241" s="353"/>
      <c r="V241" s="354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45" t="s">
        <v>339</v>
      </c>
      <c r="B242" s="345"/>
      <c r="C242" s="345"/>
      <c r="D242" s="345"/>
      <c r="E242" s="345"/>
      <c r="F242" s="345"/>
      <c r="G242" s="345"/>
      <c r="H242" s="345"/>
      <c r="I242" s="345"/>
      <c r="J242" s="345"/>
      <c r="K242" s="345"/>
      <c r="L242" s="345"/>
      <c r="M242" s="345"/>
      <c r="N242" s="345"/>
      <c r="O242" s="345"/>
      <c r="P242" s="345"/>
      <c r="Q242" s="345"/>
      <c r="R242" s="345"/>
      <c r="S242" s="345"/>
      <c r="T242" s="345"/>
      <c r="U242" s="345"/>
      <c r="V242" s="345"/>
      <c r="W242" s="345"/>
      <c r="X242" s="345"/>
      <c r="Y242" s="345"/>
      <c r="Z242" s="345"/>
      <c r="AA242" s="54"/>
      <c r="AB242" s="54"/>
      <c r="AC242" s="54"/>
    </row>
    <row r="243" spans="1:68" ht="16.5" customHeight="1" x14ac:dyDescent="0.25">
      <c r="A243" s="346" t="s">
        <v>339</v>
      </c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  <c r="AA243" s="65"/>
      <c r="AB243" s="65"/>
      <c r="AC243" s="82"/>
    </row>
    <row r="244" spans="1:68" ht="14.25" customHeight="1" x14ac:dyDescent="0.25">
      <c r="A244" s="347" t="s">
        <v>82</v>
      </c>
      <c r="B244" s="347"/>
      <c r="C244" s="347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  <c r="AA244" s="66"/>
      <c r="AB244" s="66"/>
      <c r="AC244" s="83"/>
    </row>
    <row r="245" spans="1:68" ht="27" customHeight="1" x14ac:dyDescent="0.25">
      <c r="A245" s="63" t="s">
        <v>340</v>
      </c>
      <c r="B245" s="63" t="s">
        <v>341</v>
      </c>
      <c r="C245" s="36">
        <v>4301071014</v>
      </c>
      <c r="D245" s="348">
        <v>4640242181264</v>
      </c>
      <c r="E245" s="348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87</v>
      </c>
      <c r="L245" s="37" t="s">
        <v>88</v>
      </c>
      <c r="M245" s="38" t="s">
        <v>86</v>
      </c>
      <c r="N245" s="38"/>
      <c r="O245" s="37">
        <v>180</v>
      </c>
      <c r="P245" s="43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350"/>
      <c r="R245" s="350"/>
      <c r="S245" s="350"/>
      <c r="T245" s="351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342</v>
      </c>
      <c r="AG245" s="81"/>
      <c r="AJ245" s="87" t="s">
        <v>89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343</v>
      </c>
      <c r="B246" s="63" t="s">
        <v>344</v>
      </c>
      <c r="C246" s="36">
        <v>4301071021</v>
      </c>
      <c r="D246" s="348">
        <v>4640242181325</v>
      </c>
      <c r="E246" s="348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87</v>
      </c>
      <c r="L246" s="37" t="s">
        <v>88</v>
      </c>
      <c r="M246" s="38" t="s">
        <v>86</v>
      </c>
      <c r="N246" s="38"/>
      <c r="O246" s="37">
        <v>180</v>
      </c>
      <c r="P246" s="43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350"/>
      <c r="R246" s="350"/>
      <c r="S246" s="350"/>
      <c r="T246" s="351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342</v>
      </c>
      <c r="AG246" s="81"/>
      <c r="AJ246" s="87" t="s">
        <v>89</v>
      </c>
      <c r="AK246" s="87">
        <v>1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345</v>
      </c>
      <c r="B247" s="63" t="s">
        <v>346</v>
      </c>
      <c r="C247" s="36">
        <v>4301070993</v>
      </c>
      <c r="D247" s="348">
        <v>4640242180670</v>
      </c>
      <c r="E247" s="348"/>
      <c r="F247" s="62">
        <v>1</v>
      </c>
      <c r="G247" s="37">
        <v>6</v>
      </c>
      <c r="H247" s="62">
        <v>6</v>
      </c>
      <c r="I247" s="62">
        <v>6.23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34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350"/>
      <c r="R247" s="350"/>
      <c r="S247" s="350"/>
      <c r="T247" s="35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5" t="s">
        <v>347</v>
      </c>
      <c r="AG247" s="81"/>
      <c r="AJ247" s="87" t="s">
        <v>89</v>
      </c>
      <c r="AK247" s="87">
        <v>1</v>
      </c>
      <c r="BB247" s="246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5"/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6"/>
      <c r="P248" s="352" t="s">
        <v>40</v>
      </c>
      <c r="Q248" s="353"/>
      <c r="R248" s="353"/>
      <c r="S248" s="353"/>
      <c r="T248" s="353"/>
      <c r="U248" s="353"/>
      <c r="V248" s="354"/>
      <c r="W248" s="42" t="s">
        <v>39</v>
      </c>
      <c r="X248" s="43">
        <f>IFERROR(SUM(X245:X247),"0")</f>
        <v>0</v>
      </c>
      <c r="Y248" s="43">
        <f>IFERROR(SUM(Y245:Y247),"0")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355"/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6"/>
      <c r="P249" s="352" t="s">
        <v>40</v>
      </c>
      <c r="Q249" s="353"/>
      <c r="R249" s="353"/>
      <c r="S249" s="353"/>
      <c r="T249" s="353"/>
      <c r="U249" s="353"/>
      <c r="V249" s="354"/>
      <c r="W249" s="42" t="s">
        <v>0</v>
      </c>
      <c r="X249" s="43">
        <f>IFERROR(SUMPRODUCT(X245:X247*H245:H247),"0")</f>
        <v>0</v>
      </c>
      <c r="Y249" s="43">
        <f>IFERROR(SUMPRODUCT(Y245:Y247*H245:H247),"0")</f>
        <v>0</v>
      </c>
      <c r="Z249" s="42"/>
      <c r="AA249" s="67"/>
      <c r="AB249" s="67"/>
      <c r="AC249" s="67"/>
    </row>
    <row r="250" spans="1:68" ht="14.25" customHeight="1" x14ac:dyDescent="0.25">
      <c r="A250" s="347" t="s">
        <v>91</v>
      </c>
      <c r="B250" s="347"/>
      <c r="C250" s="347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  <c r="AA250" s="66"/>
      <c r="AB250" s="66"/>
      <c r="AC250" s="83"/>
    </row>
    <row r="251" spans="1:68" ht="27" customHeight="1" x14ac:dyDescent="0.25">
      <c r="A251" s="63" t="s">
        <v>348</v>
      </c>
      <c r="B251" s="63" t="s">
        <v>349</v>
      </c>
      <c r="C251" s="36">
        <v>4301132080</v>
      </c>
      <c r="D251" s="348">
        <v>4640242180397</v>
      </c>
      <c r="E251" s="348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87</v>
      </c>
      <c r="L251" s="37" t="s">
        <v>97</v>
      </c>
      <c r="M251" s="38" t="s">
        <v>86</v>
      </c>
      <c r="N251" s="38"/>
      <c r="O251" s="37">
        <v>180</v>
      </c>
      <c r="P251" s="43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350"/>
      <c r="R251" s="350"/>
      <c r="S251" s="350"/>
      <c r="T251" s="351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7" t="s">
        <v>350</v>
      </c>
      <c r="AG251" s="81"/>
      <c r="AJ251" s="87" t="s">
        <v>98</v>
      </c>
      <c r="AK251" s="87">
        <v>12</v>
      </c>
      <c r="BB251" s="248" t="s">
        <v>95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351</v>
      </c>
      <c r="B252" s="63" t="s">
        <v>352</v>
      </c>
      <c r="C252" s="36">
        <v>4301132104</v>
      </c>
      <c r="D252" s="348">
        <v>4640242181219</v>
      </c>
      <c r="E252" s="348"/>
      <c r="F252" s="62">
        <v>0.3</v>
      </c>
      <c r="G252" s="37">
        <v>9</v>
      </c>
      <c r="H252" s="62">
        <v>2.7</v>
      </c>
      <c r="I252" s="62">
        <v>2.8450000000000002</v>
      </c>
      <c r="J252" s="37">
        <v>234</v>
      </c>
      <c r="K252" s="37" t="s">
        <v>147</v>
      </c>
      <c r="L252" s="37" t="s">
        <v>88</v>
      </c>
      <c r="M252" s="38" t="s">
        <v>86</v>
      </c>
      <c r="N252" s="38"/>
      <c r="O252" s="37">
        <v>180</v>
      </c>
      <c r="P252" s="43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IFERROR(IF(X252="","",X252*0.00502),"")</f>
        <v>0</v>
      </c>
      <c r="AA252" s="68" t="s">
        <v>46</v>
      </c>
      <c r="AB252" s="69" t="s">
        <v>46</v>
      </c>
      <c r="AC252" s="249" t="s">
        <v>350</v>
      </c>
      <c r="AG252" s="81"/>
      <c r="AJ252" s="87" t="s">
        <v>89</v>
      </c>
      <c r="AK252" s="87">
        <v>1</v>
      </c>
      <c r="BB252" s="250" t="s">
        <v>95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5"/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6"/>
      <c r="P253" s="352" t="s">
        <v>40</v>
      </c>
      <c r="Q253" s="353"/>
      <c r="R253" s="353"/>
      <c r="S253" s="353"/>
      <c r="T253" s="353"/>
      <c r="U253" s="353"/>
      <c r="V253" s="354"/>
      <c r="W253" s="42" t="s">
        <v>39</v>
      </c>
      <c r="X253" s="43">
        <f>IFERROR(SUM(X251:X252),"0")</f>
        <v>0</v>
      </c>
      <c r="Y253" s="43">
        <f>IFERROR(SUM(Y251:Y252),"0")</f>
        <v>0</v>
      </c>
      <c r="Z253" s="43">
        <f>IFERROR(IF(Z251="",0,Z251),"0")+IFERROR(IF(Z252="",0,Z252),"0")</f>
        <v>0</v>
      </c>
      <c r="AA253" s="67"/>
      <c r="AB253" s="67"/>
      <c r="AC253" s="67"/>
    </row>
    <row r="254" spans="1:68" x14ac:dyDescent="0.2">
      <c r="A254" s="355"/>
      <c r="B254" s="355"/>
      <c r="C254" s="355"/>
      <c r="D254" s="355"/>
      <c r="E254" s="355"/>
      <c r="F254" s="355"/>
      <c r="G254" s="355"/>
      <c r="H254" s="355"/>
      <c r="I254" s="355"/>
      <c r="J254" s="355"/>
      <c r="K254" s="355"/>
      <c r="L254" s="355"/>
      <c r="M254" s="355"/>
      <c r="N254" s="355"/>
      <c r="O254" s="356"/>
      <c r="P254" s="352" t="s">
        <v>40</v>
      </c>
      <c r="Q254" s="353"/>
      <c r="R254" s="353"/>
      <c r="S254" s="353"/>
      <c r="T254" s="353"/>
      <c r="U254" s="353"/>
      <c r="V254" s="354"/>
      <c r="W254" s="42" t="s">
        <v>0</v>
      </c>
      <c r="X254" s="43">
        <f>IFERROR(SUMPRODUCT(X251:X252*H251:H252),"0")</f>
        <v>0</v>
      </c>
      <c r="Y254" s="43">
        <f>IFERROR(SUMPRODUCT(Y251:Y252*H251:H252),"0")</f>
        <v>0</v>
      </c>
      <c r="Z254" s="42"/>
      <c r="AA254" s="67"/>
      <c r="AB254" s="67"/>
      <c r="AC254" s="67"/>
    </row>
    <row r="255" spans="1:68" ht="14.25" customHeight="1" x14ac:dyDescent="0.25">
      <c r="A255" s="347" t="s">
        <v>129</v>
      </c>
      <c r="B255" s="347"/>
      <c r="C255" s="347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348">
        <v>4640242180304</v>
      </c>
      <c r="E256" s="348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96</v>
      </c>
      <c r="L256" s="37" t="s">
        <v>88</v>
      </c>
      <c r="M256" s="38" t="s">
        <v>86</v>
      </c>
      <c r="N256" s="38"/>
      <c r="O256" s="37">
        <v>180</v>
      </c>
      <c r="P256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0"/>
      <c r="R256" s="350"/>
      <c r="S256" s="350"/>
      <c r="T256" s="351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1" t="s">
        <v>355</v>
      </c>
      <c r="AG256" s="81"/>
      <c r="AJ256" s="87" t="s">
        <v>89</v>
      </c>
      <c r="AK256" s="87">
        <v>1</v>
      </c>
      <c r="BB256" s="252" t="s">
        <v>95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348">
        <v>4640242180236</v>
      </c>
      <c r="E257" s="348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97</v>
      </c>
      <c r="M257" s="38" t="s">
        <v>86</v>
      </c>
      <c r="N257" s="38"/>
      <c r="O257" s="37">
        <v>180</v>
      </c>
      <c r="P257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0"/>
      <c r="R257" s="350"/>
      <c r="S257" s="350"/>
      <c r="T257" s="351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3" t="s">
        <v>355</v>
      </c>
      <c r="AG257" s="81"/>
      <c r="AJ257" s="87" t="s">
        <v>98</v>
      </c>
      <c r="AK257" s="87">
        <v>12</v>
      </c>
      <c r="BB257" s="254" t="s">
        <v>95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348">
        <v>4640242180410</v>
      </c>
      <c r="E258" s="348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96</v>
      </c>
      <c r="L258" s="37" t="s">
        <v>97</v>
      </c>
      <c r="M258" s="38" t="s">
        <v>86</v>
      </c>
      <c r="N258" s="38"/>
      <c r="O258" s="37">
        <v>180</v>
      </c>
      <c r="P258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355</v>
      </c>
      <c r="AG258" s="81"/>
      <c r="AJ258" s="87" t="s">
        <v>98</v>
      </c>
      <c r="AK258" s="87">
        <v>14</v>
      </c>
      <c r="BB258" s="256" t="s">
        <v>95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55"/>
      <c r="B259" s="355"/>
      <c r="C259" s="355"/>
      <c r="D259" s="355"/>
      <c r="E259" s="355"/>
      <c r="F259" s="355"/>
      <c r="G259" s="355"/>
      <c r="H259" s="355"/>
      <c r="I259" s="355"/>
      <c r="J259" s="355"/>
      <c r="K259" s="355"/>
      <c r="L259" s="355"/>
      <c r="M259" s="355"/>
      <c r="N259" s="355"/>
      <c r="O259" s="356"/>
      <c r="P259" s="352" t="s">
        <v>40</v>
      </c>
      <c r="Q259" s="353"/>
      <c r="R259" s="353"/>
      <c r="S259" s="353"/>
      <c r="T259" s="353"/>
      <c r="U259" s="353"/>
      <c r="V259" s="354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355"/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6"/>
      <c r="P260" s="352" t="s">
        <v>40</v>
      </c>
      <c r="Q260" s="353"/>
      <c r="R260" s="353"/>
      <c r="S260" s="353"/>
      <c r="T260" s="353"/>
      <c r="U260" s="353"/>
      <c r="V260" s="354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47" t="s">
        <v>135</v>
      </c>
      <c r="B261" s="347"/>
      <c r="C261" s="347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348">
        <v>4640242181554</v>
      </c>
      <c r="E262" s="348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96</v>
      </c>
      <c r="L262" s="37" t="s">
        <v>88</v>
      </c>
      <c r="M262" s="38" t="s">
        <v>86</v>
      </c>
      <c r="N262" s="38"/>
      <c r="O262" s="37">
        <v>180</v>
      </c>
      <c r="P262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2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362</v>
      </c>
      <c r="AG262" s="81"/>
      <c r="AJ262" s="87" t="s">
        <v>89</v>
      </c>
      <c r="AK262" s="87">
        <v>1</v>
      </c>
      <c r="BB262" s="258" t="s">
        <v>95</v>
      </c>
      <c r="BM262" s="81">
        <f t="shared" ref="BM262:BM271" si="13">IFERROR(X262*I262,"0")</f>
        <v>0</v>
      </c>
      <c r="BN262" s="81">
        <f t="shared" ref="BN262:BN271" si="14">IFERROR(Y262*I262,"0")</f>
        <v>0</v>
      </c>
      <c r="BO262" s="81">
        <f t="shared" ref="BO262:BO271" si="15">IFERROR(X262/J262,"0")</f>
        <v>0</v>
      </c>
      <c r="BP262" s="81">
        <f t="shared" ref="BP262:BP271" si="16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4301135518</v>
      </c>
      <c r="D263" s="348">
        <v>4640242181561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96</v>
      </c>
      <c r="L263" s="37" t="s">
        <v>97</v>
      </c>
      <c r="M263" s="38" t="s">
        <v>86</v>
      </c>
      <c r="N263" s="38"/>
      <c r="O263" s="37">
        <v>180</v>
      </c>
      <c r="P263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59" t="s">
        <v>365</v>
      </c>
      <c r="AG263" s="81"/>
      <c r="AJ263" s="87" t="s">
        <v>98</v>
      </c>
      <c r="AK263" s="87">
        <v>14</v>
      </c>
      <c r="BB263" s="260" t="s">
        <v>95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48">
        <v>4640242181424</v>
      </c>
      <c r="E264" s="348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88</v>
      </c>
      <c r="M264" s="38" t="s">
        <v>86</v>
      </c>
      <c r="N264" s="38"/>
      <c r="O264" s="37">
        <v>180</v>
      </c>
      <c r="P264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362</v>
      </c>
      <c r="AG264" s="81"/>
      <c r="AJ264" s="87" t="s">
        <v>89</v>
      </c>
      <c r="AK264" s="87">
        <v>1</v>
      </c>
      <c r="BB264" s="262" t="s">
        <v>95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48">
        <v>4640242181523</v>
      </c>
      <c r="E265" s="348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96</v>
      </c>
      <c r="L265" s="37" t="s">
        <v>97</v>
      </c>
      <c r="M265" s="38" t="s">
        <v>86</v>
      </c>
      <c r="N265" s="38"/>
      <c r="O265" s="37">
        <v>180</v>
      </c>
      <c r="P265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ref="Z265:Z270" si="17">IFERROR(IF(X265="","",X265*0.00936),"")</f>
        <v>0</v>
      </c>
      <c r="AA265" s="68" t="s">
        <v>46</v>
      </c>
      <c r="AB265" s="69" t="s">
        <v>46</v>
      </c>
      <c r="AC265" s="263" t="s">
        <v>365</v>
      </c>
      <c r="AG265" s="81"/>
      <c r="AJ265" s="87" t="s">
        <v>98</v>
      </c>
      <c r="AK265" s="87">
        <v>14</v>
      </c>
      <c r="BB265" s="264" t="s">
        <v>95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48">
        <v>4640242181486</v>
      </c>
      <c r="E266" s="348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96</v>
      </c>
      <c r="L266" s="37" t="s">
        <v>97</v>
      </c>
      <c r="M266" s="38" t="s">
        <v>86</v>
      </c>
      <c r="N266" s="38"/>
      <c r="O266" s="37">
        <v>180</v>
      </c>
      <c r="P266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362</v>
      </c>
      <c r="AG266" s="81"/>
      <c r="AJ266" s="87" t="s">
        <v>98</v>
      </c>
      <c r="AK266" s="87">
        <v>14</v>
      </c>
      <c r="BB266" s="266" t="s">
        <v>95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348">
        <v>4640242181493</v>
      </c>
      <c r="E267" s="348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96</v>
      </c>
      <c r="L267" s="37" t="s">
        <v>88</v>
      </c>
      <c r="M267" s="38" t="s">
        <v>86</v>
      </c>
      <c r="N267" s="38"/>
      <c r="O267" s="37">
        <v>180</v>
      </c>
      <c r="P267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362</v>
      </c>
      <c r="AG267" s="81"/>
      <c r="AJ267" s="87" t="s">
        <v>89</v>
      </c>
      <c r="AK267" s="87">
        <v>1</v>
      </c>
      <c r="BB267" s="268" t="s">
        <v>95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348">
        <v>4640242181509</v>
      </c>
      <c r="E268" s="348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96</v>
      </c>
      <c r="L268" s="37" t="s">
        <v>88</v>
      </c>
      <c r="M268" s="38" t="s">
        <v>86</v>
      </c>
      <c r="N268" s="38"/>
      <c r="O268" s="37">
        <v>180</v>
      </c>
      <c r="P268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0"/>
      <c r="R268" s="350"/>
      <c r="S268" s="350"/>
      <c r="T268" s="351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362</v>
      </c>
      <c r="AG268" s="81"/>
      <c r="AJ268" s="87" t="s">
        <v>89</v>
      </c>
      <c r="AK268" s="87">
        <v>1</v>
      </c>
      <c r="BB268" s="270" t="s">
        <v>95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348">
        <v>4640242181240</v>
      </c>
      <c r="E269" s="348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96</v>
      </c>
      <c r="L269" s="37" t="s">
        <v>88</v>
      </c>
      <c r="M269" s="38" t="s">
        <v>86</v>
      </c>
      <c r="N269" s="38"/>
      <c r="O269" s="37">
        <v>180</v>
      </c>
      <c r="P269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0"/>
      <c r="R269" s="350"/>
      <c r="S269" s="350"/>
      <c r="T269" s="35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362</v>
      </c>
      <c r="AG269" s="81"/>
      <c r="AJ269" s="87" t="s">
        <v>89</v>
      </c>
      <c r="AK269" s="87">
        <v>1</v>
      </c>
      <c r="BB269" s="272" t="s">
        <v>95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348">
        <v>4640242181318</v>
      </c>
      <c r="E270" s="348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96</v>
      </c>
      <c r="L270" s="37" t="s">
        <v>88</v>
      </c>
      <c r="M270" s="38" t="s">
        <v>86</v>
      </c>
      <c r="N270" s="38"/>
      <c r="O270" s="37">
        <v>180</v>
      </c>
      <c r="P270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0"/>
      <c r="R270" s="350"/>
      <c r="S270" s="350"/>
      <c r="T270" s="351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 t="shared" si="17"/>
        <v>0</v>
      </c>
      <c r="AA270" s="68" t="s">
        <v>46</v>
      </c>
      <c r="AB270" s="69" t="s">
        <v>46</v>
      </c>
      <c r="AC270" s="273" t="s">
        <v>365</v>
      </c>
      <c r="AG270" s="81"/>
      <c r="AJ270" s="87" t="s">
        <v>89</v>
      </c>
      <c r="AK270" s="87">
        <v>1</v>
      </c>
      <c r="BB270" s="274" t="s">
        <v>95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348">
        <v>4640242181387</v>
      </c>
      <c r="E271" s="348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147</v>
      </c>
      <c r="L271" s="37" t="s">
        <v>88</v>
      </c>
      <c r="M271" s="38" t="s">
        <v>86</v>
      </c>
      <c r="N271" s="38"/>
      <c r="O271" s="37">
        <v>180</v>
      </c>
      <c r="P271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0"/>
      <c r="R271" s="350"/>
      <c r="S271" s="350"/>
      <c r="T271" s="351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2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75" t="s">
        <v>362</v>
      </c>
      <c r="AG271" s="81"/>
      <c r="AJ271" s="87" t="s">
        <v>89</v>
      </c>
      <c r="AK271" s="87">
        <v>1</v>
      </c>
      <c r="BB271" s="276" t="s">
        <v>95</v>
      </c>
      <c r="BM271" s="81">
        <f t="shared" si="13"/>
        <v>0</v>
      </c>
      <c r="BN271" s="81">
        <f t="shared" si="14"/>
        <v>0</v>
      </c>
      <c r="BO271" s="81">
        <f t="shared" si="15"/>
        <v>0</v>
      </c>
      <c r="BP271" s="81">
        <f t="shared" si="16"/>
        <v>0</v>
      </c>
    </row>
    <row r="272" spans="1:68" x14ac:dyDescent="0.2">
      <c r="A272" s="355"/>
      <c r="B272" s="355"/>
      <c r="C272" s="355"/>
      <c r="D272" s="355"/>
      <c r="E272" s="355"/>
      <c r="F272" s="355"/>
      <c r="G272" s="355"/>
      <c r="H272" s="355"/>
      <c r="I272" s="355"/>
      <c r="J272" s="355"/>
      <c r="K272" s="355"/>
      <c r="L272" s="355"/>
      <c r="M272" s="355"/>
      <c r="N272" s="355"/>
      <c r="O272" s="356"/>
      <c r="P272" s="352" t="s">
        <v>40</v>
      </c>
      <c r="Q272" s="353"/>
      <c r="R272" s="353"/>
      <c r="S272" s="353"/>
      <c r="T272" s="353"/>
      <c r="U272" s="353"/>
      <c r="V272" s="354"/>
      <c r="W272" s="42" t="s">
        <v>39</v>
      </c>
      <c r="X272" s="43">
        <f>IFERROR(SUM(X262:X271),"0")</f>
        <v>0</v>
      </c>
      <c r="Y272" s="43">
        <f>IFERROR(SUM(Y262:Y271),"0")</f>
        <v>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355"/>
      <c r="B273" s="355"/>
      <c r="C273" s="355"/>
      <c r="D273" s="355"/>
      <c r="E273" s="355"/>
      <c r="F273" s="355"/>
      <c r="G273" s="355"/>
      <c r="H273" s="355"/>
      <c r="I273" s="355"/>
      <c r="J273" s="355"/>
      <c r="K273" s="355"/>
      <c r="L273" s="355"/>
      <c r="M273" s="355"/>
      <c r="N273" s="355"/>
      <c r="O273" s="356"/>
      <c r="P273" s="352" t="s">
        <v>40</v>
      </c>
      <c r="Q273" s="353"/>
      <c r="R273" s="353"/>
      <c r="S273" s="353"/>
      <c r="T273" s="353"/>
      <c r="U273" s="353"/>
      <c r="V273" s="354"/>
      <c r="W273" s="42" t="s">
        <v>0</v>
      </c>
      <c r="X273" s="43">
        <f>IFERROR(SUMPRODUCT(X262:X271*H262:H271),"0")</f>
        <v>0</v>
      </c>
      <c r="Y273" s="43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55"/>
      <c r="B274" s="355"/>
      <c r="C274" s="355"/>
      <c r="D274" s="355"/>
      <c r="E274" s="355"/>
      <c r="F274" s="355"/>
      <c r="G274" s="355"/>
      <c r="H274" s="355"/>
      <c r="I274" s="355"/>
      <c r="J274" s="355"/>
      <c r="K274" s="355"/>
      <c r="L274" s="355"/>
      <c r="M274" s="355"/>
      <c r="N274" s="355"/>
      <c r="O274" s="453"/>
      <c r="P274" s="450" t="s">
        <v>33</v>
      </c>
      <c r="Q274" s="451"/>
      <c r="R274" s="451"/>
      <c r="S274" s="451"/>
      <c r="T274" s="451"/>
      <c r="U274" s="451"/>
      <c r="V274" s="452"/>
      <c r="W274" s="42" t="s">
        <v>0</v>
      </c>
      <c r="X274" s="43">
        <f>IFERROR(X24+X31+X38+X46+X51+X55+X60+X66+X72+X77+X83+X93+X99+X111+X115+X119+X125+X131+X137+X142+X147+X152+X157+X164+X172+X176+X182+X189+X197+X202+X207+X213+X219+X225+X231+X237+X241+X249+X254+X260+X273,"0")</f>
        <v>0</v>
      </c>
      <c r="Y274" s="43">
        <f>IFERROR(Y24+Y31+Y38+Y46+Y51+Y55+Y60+Y66+Y72+Y77+Y83+Y93+Y99+Y111+Y115+Y119+Y125+Y131+Y137+Y142+Y147+Y152+Y157+Y164+Y172+Y176+Y182+Y189+Y197+Y202+Y207+Y213+Y219+Y225+Y231+Y237+Y241+Y249+Y254+Y260+Y273,"0")</f>
        <v>0</v>
      </c>
      <c r="Z274" s="42"/>
      <c r="AA274" s="67"/>
      <c r="AB274" s="67"/>
      <c r="AC274" s="67"/>
    </row>
    <row r="275" spans="1:32" x14ac:dyDescent="0.2">
      <c r="A275" s="355"/>
      <c r="B275" s="355"/>
      <c r="C275" s="355"/>
      <c r="D275" s="355"/>
      <c r="E275" s="355"/>
      <c r="F275" s="355"/>
      <c r="G275" s="355"/>
      <c r="H275" s="355"/>
      <c r="I275" s="355"/>
      <c r="J275" s="355"/>
      <c r="K275" s="355"/>
      <c r="L275" s="355"/>
      <c r="M275" s="355"/>
      <c r="N275" s="355"/>
      <c r="O275" s="453"/>
      <c r="P275" s="450" t="s">
        <v>34</v>
      </c>
      <c r="Q275" s="451"/>
      <c r="R275" s="451"/>
      <c r="S275" s="451"/>
      <c r="T275" s="451"/>
      <c r="U275" s="451"/>
      <c r="V275" s="452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355"/>
      <c r="B276" s="355"/>
      <c r="C276" s="355"/>
      <c r="D276" s="355"/>
      <c r="E276" s="355"/>
      <c r="F276" s="355"/>
      <c r="G276" s="355"/>
      <c r="H276" s="355"/>
      <c r="I276" s="355"/>
      <c r="J276" s="355"/>
      <c r="K276" s="355"/>
      <c r="L276" s="355"/>
      <c r="M276" s="355"/>
      <c r="N276" s="355"/>
      <c r="O276" s="453"/>
      <c r="P276" s="450" t="s">
        <v>35</v>
      </c>
      <c r="Q276" s="451"/>
      <c r="R276" s="451"/>
      <c r="S276" s="451"/>
      <c r="T276" s="451"/>
      <c r="U276" s="451"/>
      <c r="V276" s="452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355"/>
      <c r="B277" s="355"/>
      <c r="C277" s="355"/>
      <c r="D277" s="355"/>
      <c r="E277" s="355"/>
      <c r="F277" s="355"/>
      <c r="G277" s="355"/>
      <c r="H277" s="355"/>
      <c r="I277" s="355"/>
      <c r="J277" s="355"/>
      <c r="K277" s="355"/>
      <c r="L277" s="355"/>
      <c r="M277" s="355"/>
      <c r="N277" s="355"/>
      <c r="O277" s="453"/>
      <c r="P277" s="450" t="s">
        <v>36</v>
      </c>
      <c r="Q277" s="451"/>
      <c r="R277" s="451"/>
      <c r="S277" s="451"/>
      <c r="T277" s="451"/>
      <c r="U277" s="451"/>
      <c r="V277" s="452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355"/>
      <c r="B278" s="355"/>
      <c r="C278" s="355"/>
      <c r="D278" s="355"/>
      <c r="E278" s="355"/>
      <c r="F278" s="355"/>
      <c r="G278" s="355"/>
      <c r="H278" s="355"/>
      <c r="I278" s="355"/>
      <c r="J278" s="355"/>
      <c r="K278" s="355"/>
      <c r="L278" s="355"/>
      <c r="M278" s="355"/>
      <c r="N278" s="355"/>
      <c r="O278" s="453"/>
      <c r="P278" s="450" t="s">
        <v>37</v>
      </c>
      <c r="Q278" s="451"/>
      <c r="R278" s="451"/>
      <c r="S278" s="451"/>
      <c r="T278" s="451"/>
      <c r="U278" s="451"/>
      <c r="V278" s="452"/>
      <c r="W278" s="42" t="s">
        <v>20</v>
      </c>
      <c r="X278" s="43">
        <f>IFERROR(X23+X30+X37+X45+X50+X54+X59+X65+X71+X76+X82+X92+X98+X110+X114+X118+X124+X130+X136+X141+X146+X151+X156+X163+X171+X175+X181+X188+X196+X201+X206+X212+X218+X224+X230+X236+X240+X248+X253+X259+X272,"0")</f>
        <v>0</v>
      </c>
      <c r="Y278" s="43">
        <f>IFERROR(Y23+Y30+Y37+Y45+Y50+Y54+Y59+Y65+Y71+Y76+Y82+Y92+Y98+Y110+Y114+Y118+Y124+Y130+Y136+Y141+Y146+Y151+Y156+Y163+Y171+Y175+Y181+Y188+Y196+Y201+Y206+Y212+Y218+Y224+Y230+Y236+Y240+Y248+Y253+Y259+Y272,"0")</f>
        <v>0</v>
      </c>
      <c r="Z278" s="42"/>
      <c r="AA278" s="67"/>
      <c r="AB278" s="67"/>
      <c r="AC278" s="67"/>
    </row>
    <row r="279" spans="1:32" ht="14.25" x14ac:dyDescent="0.2">
      <c r="A279" s="355"/>
      <c r="B279" s="355"/>
      <c r="C279" s="355"/>
      <c r="D279" s="355"/>
      <c r="E279" s="355"/>
      <c r="F279" s="355"/>
      <c r="G279" s="355"/>
      <c r="H279" s="355"/>
      <c r="I279" s="355"/>
      <c r="J279" s="355"/>
      <c r="K279" s="355"/>
      <c r="L279" s="355"/>
      <c r="M279" s="355"/>
      <c r="N279" s="355"/>
      <c r="O279" s="453"/>
      <c r="P279" s="450" t="s">
        <v>38</v>
      </c>
      <c r="Q279" s="451"/>
      <c r="R279" s="451"/>
      <c r="S279" s="451"/>
      <c r="T279" s="451"/>
      <c r="U279" s="451"/>
      <c r="V279" s="452"/>
      <c r="W279" s="45" t="s">
        <v>52</v>
      </c>
      <c r="X279" s="42"/>
      <c r="Y279" s="42"/>
      <c r="Z279" s="42">
        <f>IFERROR(Z23+Z30+Z37+Z45+Z50+Z54+Z59+Z65+Z71+Z76+Z82+Z92+Z98+Z110+Z114+Z118+Z124+Z130+Z136+Z141+Z146+Z151+Z156+Z163+Z171+Z175+Z181+Z188+Z196+Z201+Z206+Z212+Z218+Z224+Z230+Z236+Z240+Z248+Z253+Z259+Z272,"0")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88" t="s">
        <v>81</v>
      </c>
      <c r="C281" s="456" t="s">
        <v>45</v>
      </c>
      <c r="D281" s="456" t="s">
        <v>45</v>
      </c>
      <c r="E281" s="456" t="s">
        <v>45</v>
      </c>
      <c r="F281" s="456" t="s">
        <v>45</v>
      </c>
      <c r="G281" s="456" t="s">
        <v>45</v>
      </c>
      <c r="H281" s="456" t="s">
        <v>45</v>
      </c>
      <c r="I281" s="456" t="s">
        <v>45</v>
      </c>
      <c r="J281" s="456" t="s">
        <v>45</v>
      </c>
      <c r="K281" s="456" t="s">
        <v>45</v>
      </c>
      <c r="L281" s="456" t="s">
        <v>45</v>
      </c>
      <c r="M281" s="456" t="s">
        <v>45</v>
      </c>
      <c r="N281" s="457"/>
      <c r="O281" s="456" t="s">
        <v>45</v>
      </c>
      <c r="P281" s="456" t="s">
        <v>45</v>
      </c>
      <c r="Q281" s="456" t="s">
        <v>45</v>
      </c>
      <c r="R281" s="456" t="s">
        <v>45</v>
      </c>
      <c r="S281" s="456" t="s">
        <v>45</v>
      </c>
      <c r="T281" s="456" t="s">
        <v>45</v>
      </c>
      <c r="U281" s="88" t="s">
        <v>247</v>
      </c>
      <c r="V281" s="88" t="s">
        <v>255</v>
      </c>
      <c r="W281" s="456" t="s">
        <v>274</v>
      </c>
      <c r="X281" s="456" t="s">
        <v>274</v>
      </c>
      <c r="Y281" s="456" t="s">
        <v>274</v>
      </c>
      <c r="Z281" s="456" t="s">
        <v>274</v>
      </c>
      <c r="AA281" s="456" t="s">
        <v>274</v>
      </c>
      <c r="AB281" s="88" t="s">
        <v>322</v>
      </c>
      <c r="AC281" s="88" t="s">
        <v>327</v>
      </c>
      <c r="AD281" s="88" t="s">
        <v>331</v>
      </c>
      <c r="AE281" s="88" t="s">
        <v>339</v>
      </c>
      <c r="AF281" s="1"/>
    </row>
    <row r="282" spans="1:32" ht="14.25" customHeight="1" thickTop="1" x14ac:dyDescent="0.2">
      <c r="A282" s="454" t="s">
        <v>10</v>
      </c>
      <c r="B282" s="456" t="s">
        <v>81</v>
      </c>
      <c r="C282" s="456" t="s">
        <v>90</v>
      </c>
      <c r="D282" s="456" t="s">
        <v>101</v>
      </c>
      <c r="E282" s="456" t="s">
        <v>111</v>
      </c>
      <c r="F282" s="456" t="s">
        <v>122</v>
      </c>
      <c r="G282" s="456" t="s">
        <v>143</v>
      </c>
      <c r="H282" s="456" t="s">
        <v>152</v>
      </c>
      <c r="I282" s="456" t="s">
        <v>156</v>
      </c>
      <c r="J282" s="456" t="s">
        <v>164</v>
      </c>
      <c r="K282" s="456" t="s">
        <v>179</v>
      </c>
      <c r="L282" s="456" t="s">
        <v>185</v>
      </c>
      <c r="M282" s="456" t="s">
        <v>213</v>
      </c>
      <c r="N282" s="1"/>
      <c r="O282" s="456" t="s">
        <v>219</v>
      </c>
      <c r="P282" s="456" t="s">
        <v>226</v>
      </c>
      <c r="Q282" s="456" t="s">
        <v>231</v>
      </c>
      <c r="R282" s="456" t="s">
        <v>235</v>
      </c>
      <c r="S282" s="456" t="s">
        <v>238</v>
      </c>
      <c r="T282" s="456" t="s">
        <v>243</v>
      </c>
      <c r="U282" s="456" t="s">
        <v>248</v>
      </c>
      <c r="V282" s="456" t="s">
        <v>256</v>
      </c>
      <c r="W282" s="456" t="s">
        <v>275</v>
      </c>
      <c r="X282" s="456" t="s">
        <v>291</v>
      </c>
      <c r="Y282" s="456" t="s">
        <v>301</v>
      </c>
      <c r="Z282" s="456" t="s">
        <v>305</v>
      </c>
      <c r="AA282" s="456" t="s">
        <v>316</v>
      </c>
      <c r="AB282" s="456" t="s">
        <v>323</v>
      </c>
      <c r="AC282" s="456" t="s">
        <v>328</v>
      </c>
      <c r="AD282" s="456" t="s">
        <v>332</v>
      </c>
      <c r="AE282" s="456" t="s">
        <v>339</v>
      </c>
      <c r="AF282" s="1"/>
    </row>
    <row r="283" spans="1:32" ht="13.5" thickBot="1" x14ac:dyDescent="0.25">
      <c r="A283" s="455"/>
      <c r="B283" s="456"/>
      <c r="C283" s="456"/>
      <c r="D283" s="456"/>
      <c r="E283" s="456"/>
      <c r="F283" s="456"/>
      <c r="G283" s="456"/>
      <c r="H283" s="456"/>
      <c r="I283" s="456"/>
      <c r="J283" s="456"/>
      <c r="K283" s="456"/>
      <c r="L283" s="456"/>
      <c r="M283" s="456"/>
      <c r="N283" s="1"/>
      <c r="O283" s="456"/>
      <c r="P283" s="456"/>
      <c r="Q283" s="456"/>
      <c r="R283" s="456"/>
      <c r="S283" s="456"/>
      <c r="T283" s="456"/>
      <c r="U283" s="456"/>
      <c r="V283" s="456"/>
      <c r="W283" s="456"/>
      <c r="X283" s="456"/>
      <c r="Y283" s="456"/>
      <c r="Z283" s="456"/>
      <c r="AA283" s="456"/>
      <c r="AB283" s="456"/>
      <c r="AC283" s="456"/>
      <c r="AD283" s="456"/>
      <c r="AE283" s="456"/>
      <c r="AF283" s="1"/>
    </row>
    <row r="284" spans="1:32" ht="18" thickTop="1" thickBot="1" x14ac:dyDescent="0.25">
      <c r="A284" s="46" t="s">
        <v>13</v>
      </c>
      <c r="B284" s="52">
        <f>IFERROR(X22*H22,"0")</f>
        <v>0</v>
      </c>
      <c r="C284" s="52">
        <f>IFERROR(X28*H28,"0")+IFERROR(X29*H29,"0")</f>
        <v>0</v>
      </c>
      <c r="D284" s="52">
        <f>IFERROR(X34*H34,"0")+IFERROR(X35*H35,"0")+IFERROR(X36*H36,"0")</f>
        <v>0</v>
      </c>
      <c r="E284" s="52">
        <f>IFERROR(X41*H41,"0")+IFERROR(X42*H42,"0")+IFERROR(X43*H43,"0")+IFERROR(X44*H44,"0")</f>
        <v>0</v>
      </c>
      <c r="F284" s="52">
        <f>IFERROR(X49*H49,"0")+IFERROR(X53*H53,"0")+IFERROR(X57*H57,"0")+IFERROR(X58*H58,"0")+IFERROR(X62*H62,"0")+IFERROR(X63*H63,"0")+IFERROR(X64*H64,"0")</f>
        <v>0</v>
      </c>
      <c r="G284" s="52">
        <f>IFERROR(X69*H69,"0")+IFERROR(X70*H70,"0")</f>
        <v>0</v>
      </c>
      <c r="H284" s="52">
        <f>IFERROR(X75*H75,"0")</f>
        <v>0</v>
      </c>
      <c r="I284" s="52">
        <f>IFERROR(X80*H80,"0")+IFERROR(X81*H81,"0")</f>
        <v>0</v>
      </c>
      <c r="J284" s="52">
        <f>IFERROR(X86*H86,"0")+IFERROR(X87*H87,"0")+IFERROR(X88*H88,"0")+IFERROR(X89*H89,"0")+IFERROR(X90*H90,"0")+IFERROR(X91*H91,"0")</f>
        <v>0</v>
      </c>
      <c r="K284" s="52">
        <f>IFERROR(X96*H96,"0")+IFERROR(X97*H97,"0")</f>
        <v>0</v>
      </c>
      <c r="L284" s="52">
        <f>IFERROR(X102*H102,"0")+IFERROR(X103*H103,"0")+IFERROR(X104*H104,"0")+IFERROR(X105*H105,"0")+IFERROR(X106*H106,"0")+IFERROR(X107*H107,"0")+IFERROR(X108*H108,"0")+IFERROR(X109*H109,"0")+IFERROR(X113*H113,"0")+IFERROR(X117*H117,"0")</f>
        <v>0</v>
      </c>
      <c r="M284" s="52">
        <f>IFERROR(X122*H122,"0")+IFERROR(X123*H123,"0")</f>
        <v>0</v>
      </c>
      <c r="N284" s="1"/>
      <c r="O284" s="52">
        <f>IFERROR(X128*H128,"0")+IFERROR(X129*H129,"0")</f>
        <v>0</v>
      </c>
      <c r="P284" s="52">
        <f>IFERROR(X134*H134,"0")+IFERROR(X135*H135,"0")</f>
        <v>0</v>
      </c>
      <c r="Q284" s="52">
        <f>IFERROR(X140*H140,"0")</f>
        <v>0</v>
      </c>
      <c r="R284" s="52">
        <f>IFERROR(X145*H145,"0")</f>
        <v>0</v>
      </c>
      <c r="S284" s="52">
        <f>IFERROR(X150*H150,"0")</f>
        <v>0</v>
      </c>
      <c r="T284" s="52">
        <f>IFERROR(X155*H155,"0")</f>
        <v>0</v>
      </c>
      <c r="U284" s="52">
        <f>IFERROR(X161*H161,"0")+IFERROR(X162*H162,"0")</f>
        <v>0</v>
      </c>
      <c r="V284" s="52">
        <f>IFERROR(X168*H168,"0")+IFERROR(X169*H169,"0")+IFERROR(X170*H170,"0")+IFERROR(X174*H174,"0")</f>
        <v>0</v>
      </c>
      <c r="W284" s="52">
        <f>IFERROR(X180*H180,"0")+IFERROR(X184*H184,"0")+IFERROR(X185*H185,"0")+IFERROR(X186*H186,"0")+IFERROR(X187*H187,"0")</f>
        <v>0</v>
      </c>
      <c r="X284" s="52">
        <f>IFERROR(X192*H192,"0")+IFERROR(X193*H193,"0")+IFERROR(X194*H194,"0")+IFERROR(X195*H195,"0")</f>
        <v>0</v>
      </c>
      <c r="Y284" s="52">
        <f>IFERROR(X200*H200,"0")</f>
        <v>0</v>
      </c>
      <c r="Z284" s="52">
        <f>IFERROR(X205*H205,"0")+IFERROR(X209*H209,"0")+IFERROR(X210*H210,"0")+IFERROR(X211*H211,"0")</f>
        <v>0</v>
      </c>
      <c r="AA284" s="52">
        <f>IFERROR(X216*H216,"0")+IFERROR(X217*H217,"0")</f>
        <v>0</v>
      </c>
      <c r="AB284" s="52">
        <f>IFERROR(X223*H223,"0")</f>
        <v>0</v>
      </c>
      <c r="AC284" s="52">
        <f>IFERROR(X229*H229,"0")</f>
        <v>0</v>
      </c>
      <c r="AD284" s="52">
        <f>IFERROR(X235*H235,"0")+IFERROR(X239*H239,"0")</f>
        <v>0</v>
      </c>
      <c r="AE284" s="52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XCibK9XoaJD/ZU/tILxl2NTOpHaSGnMndCRpFJL2lGhyGpKqJX888pu473igqcEAOkPLDwmlDGnoAzNEZDIBEw==" saltValue="ADbIjQDASFMfgYH46mFnI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53:V253"/>
    <mergeCell ref="A253:O254"/>
    <mergeCell ref="P254:V254"/>
    <mergeCell ref="A242:Z242"/>
    <mergeCell ref="A243:Z243"/>
    <mergeCell ref="A244:Z244"/>
    <mergeCell ref="D245:E245"/>
    <mergeCell ref="P245:T245"/>
    <mergeCell ref="D246:E246"/>
    <mergeCell ref="P246:T246"/>
    <mergeCell ref="D247:E247"/>
    <mergeCell ref="P247:T247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D229:E229"/>
    <mergeCell ref="P229:T229"/>
    <mergeCell ref="P230:V230"/>
    <mergeCell ref="A230:O231"/>
    <mergeCell ref="P231:V231"/>
    <mergeCell ref="A232:Z232"/>
    <mergeCell ref="A233:Z233"/>
    <mergeCell ref="A234:Z234"/>
    <mergeCell ref="D235:E235"/>
    <mergeCell ref="P235:T235"/>
    <mergeCell ref="A222:Z222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196:V196"/>
    <mergeCell ref="A196:O197"/>
    <mergeCell ref="P197:V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77:Z177"/>
    <mergeCell ref="A178:Z178"/>
    <mergeCell ref="A179:Z179"/>
    <mergeCell ref="D180:E180"/>
    <mergeCell ref="P180:T180"/>
    <mergeCell ref="P181:V181"/>
    <mergeCell ref="A181:O182"/>
    <mergeCell ref="P182:V182"/>
    <mergeCell ref="A183:Z183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P175:V175"/>
    <mergeCell ref="A175:O176"/>
    <mergeCell ref="P176:V176"/>
    <mergeCell ref="P163:V163"/>
    <mergeCell ref="A163:O164"/>
    <mergeCell ref="P164:V164"/>
    <mergeCell ref="A165:Z165"/>
    <mergeCell ref="A166:Z166"/>
    <mergeCell ref="A167:Z167"/>
    <mergeCell ref="D168:E168"/>
    <mergeCell ref="P168:T168"/>
    <mergeCell ref="D169:E169"/>
    <mergeCell ref="P169:T169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D162:E162"/>
    <mergeCell ref="P162:T162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A143:Z143"/>
    <mergeCell ref="A144:Z144"/>
    <mergeCell ref="D145:E145"/>
    <mergeCell ref="P145:T145"/>
    <mergeCell ref="P146:V146"/>
    <mergeCell ref="A146:O147"/>
    <mergeCell ref="P147:V147"/>
    <mergeCell ref="A148:Z148"/>
    <mergeCell ref="A149:Z149"/>
    <mergeCell ref="P136:V136"/>
    <mergeCell ref="A136:O137"/>
    <mergeCell ref="P137:V137"/>
    <mergeCell ref="A138:Z138"/>
    <mergeCell ref="A139:Z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18:V118"/>
    <mergeCell ref="A118:O119"/>
    <mergeCell ref="P119:V119"/>
    <mergeCell ref="A120:Z120"/>
    <mergeCell ref="A121:Z121"/>
    <mergeCell ref="D122:E122"/>
    <mergeCell ref="P122:T122"/>
    <mergeCell ref="D123:E123"/>
    <mergeCell ref="P123:T123"/>
    <mergeCell ref="A112:Z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67:X271 X264 X262 X256 X252 X245:X247 X239 X235 X223 X216:X217 X209:X211 X205 X200 X192:X195 X184:X187 X180 X174 X168:X169 X161 X155 X150 X145 X140 X134:X135 X128 X117 X113 X108:X109 X105 X102 X97 X86:X90 X81 X62:X64 X57:X58 X53 X49 X44 X36 X34 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265:X266 X263 X257:X258 X251 X229 X170 X162 X122:X123 X106:X107 X103 X96 X91 X80 X75 X69 X41:X43 X35" xr:uid="{00000000-0002-0000-0000-000012000000}">
      <formula1>IF(AK28&gt;0,OR(X28=0,AND(IF(X28-AK28&gt;=0,TRUE,FALSE),X28&gt;0,IF(X28/K28=ROUND(X28/K28,0),TRUE,FALSE))),FALSE)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0 X129 X104" xr:uid="{00000000-0002-0000-0000-000023000000}">
      <formula1>IF(AK70&gt;0,OR(X70=0,AND(IF(X70-AK70&gt;=0,TRUE,FALSE),X70&gt;0,IF(X70/J70=ROUND(X70/J70,0),TRUE,FALSE))),FALSE)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jxADl32ZEKGiQDEXUQcGfEQim6rPpX2k1VQujW01gclK7kwCoOpwzB/9Q0Nuf59VBMQ5SYVwOhrHm9ZEfARcCA==" saltValue="wzUQplrG7T9AVxfxZr1Ls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2025-11-17T08:25:53Z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