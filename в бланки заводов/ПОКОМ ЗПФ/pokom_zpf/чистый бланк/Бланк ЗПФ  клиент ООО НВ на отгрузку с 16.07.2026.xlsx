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D94AB8D-7B2B-44E0-AB9E-6F7980E36D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заказа'!$X$286:$X$286</definedName>
    <definedName name="GrossWeightTotalR">'Бланк заказа'!$Y$286:$Y$286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заказа'!$X$287:$X$287</definedName>
    <definedName name="PalletQtyTotalR">'Бланк заказа'!$Y$287:$Y$287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заказа'!$B$267:$B$267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заказа'!$B$273:$B$273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заказа'!$X$267:$X$267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заказа'!$X$273:$X$273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заказа'!$Y$267:$Y$267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заказа'!$Y$273:$Y$273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заказа'!$W$267:$W$267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заказа'!$W$273:$W$273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295" i="2" l="1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X284" i="2"/>
  <c r="X283" i="2"/>
  <c r="BO282" i="2"/>
  <c r="BM282" i="2"/>
  <c r="Z282" i="2"/>
  <c r="Y282" i="2"/>
  <c r="BP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N280" i="2" s="1"/>
  <c r="P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P275" i="2"/>
  <c r="BO275" i="2"/>
  <c r="BN275" i="2"/>
  <c r="BM275" i="2"/>
  <c r="Z275" i="2"/>
  <c r="Y275" i="2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X271" i="2"/>
  <c r="X270" i="2"/>
  <c r="BO269" i="2"/>
  <c r="BM269" i="2"/>
  <c r="Z269" i="2"/>
  <c r="Y269" i="2"/>
  <c r="BP269" i="2" s="1"/>
  <c r="P269" i="2"/>
  <c r="BP268" i="2"/>
  <c r="BO268" i="2"/>
  <c r="BN268" i="2"/>
  <c r="BM268" i="2"/>
  <c r="Z268" i="2"/>
  <c r="Y268" i="2"/>
  <c r="P268" i="2"/>
  <c r="BO267" i="2"/>
  <c r="BM267" i="2"/>
  <c r="Z267" i="2"/>
  <c r="Y267" i="2"/>
  <c r="Y271" i="2" s="1"/>
  <c r="P267" i="2"/>
  <c r="X265" i="2"/>
  <c r="Z264" i="2"/>
  <c r="X264" i="2"/>
  <c r="BO263" i="2"/>
  <c r="BM263" i="2"/>
  <c r="Z263" i="2"/>
  <c r="Y263" i="2"/>
  <c r="BP263" i="2" s="1"/>
  <c r="P263" i="2"/>
  <c r="X261" i="2"/>
  <c r="X260" i="2"/>
  <c r="BO259" i="2"/>
  <c r="BM259" i="2"/>
  <c r="Z259" i="2"/>
  <c r="Y259" i="2"/>
  <c r="BN259" i="2" s="1"/>
  <c r="P259" i="2"/>
  <c r="BO258" i="2"/>
  <c r="BN258" i="2"/>
  <c r="BM258" i="2"/>
  <c r="Z258" i="2"/>
  <c r="Z260" i="2" s="1"/>
  <c r="Y258" i="2"/>
  <c r="BP258" i="2" s="1"/>
  <c r="P258" i="2"/>
  <c r="X254" i="2"/>
  <c r="X253" i="2"/>
  <c r="BO252" i="2"/>
  <c r="BM252" i="2"/>
  <c r="Z252" i="2"/>
  <c r="Z253" i="2" s="1"/>
  <c r="Y252" i="2"/>
  <c r="Y254" i="2" s="1"/>
  <c r="P252" i="2"/>
  <c r="X248" i="2"/>
  <c r="X247" i="2"/>
  <c r="BO246" i="2"/>
  <c r="BM246" i="2"/>
  <c r="Z246" i="2"/>
  <c r="Z247" i="2" s="1"/>
  <c r="Y246" i="2"/>
  <c r="Y248" i="2" s="1"/>
  <c r="P246" i="2"/>
  <c r="X244" i="2"/>
  <c r="X243" i="2"/>
  <c r="BO242" i="2"/>
  <c r="BN242" i="2"/>
  <c r="BM242" i="2"/>
  <c r="Z242" i="2"/>
  <c r="Z243" i="2" s="1"/>
  <c r="Y242" i="2"/>
  <c r="Y244" i="2" s="1"/>
  <c r="P242" i="2"/>
  <c r="X238" i="2"/>
  <c r="X237" i="2"/>
  <c r="BO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2" i="2" s="1"/>
  <c r="P230" i="2"/>
  <c r="X226" i="2"/>
  <c r="X225" i="2"/>
  <c r="BO224" i="2"/>
  <c r="BN224" i="2"/>
  <c r="BM224" i="2"/>
  <c r="Z224" i="2"/>
  <c r="Z225" i="2" s="1"/>
  <c r="Y224" i="2"/>
  <c r="Y226" i="2" s="1"/>
  <c r="P224" i="2"/>
  <c r="X221" i="2"/>
  <c r="X220" i="2"/>
  <c r="BO219" i="2"/>
  <c r="BM219" i="2"/>
  <c r="Z219" i="2"/>
  <c r="Z220" i="2" s="1"/>
  <c r="Y219" i="2"/>
  <c r="Y221" i="2" s="1"/>
  <c r="P219" i="2"/>
  <c r="X216" i="2"/>
  <c r="X215" i="2"/>
  <c r="BO214" i="2"/>
  <c r="BM214" i="2"/>
  <c r="Z214" i="2"/>
  <c r="Z215" i="2" s="1"/>
  <c r="Y214" i="2"/>
  <c r="P214" i="2"/>
  <c r="BO213" i="2"/>
  <c r="BM213" i="2"/>
  <c r="Z213" i="2"/>
  <c r="Y213" i="2"/>
  <c r="BP213" i="2" s="1"/>
  <c r="P213" i="2"/>
  <c r="X210" i="2"/>
  <c r="X209" i="2"/>
  <c r="BO208" i="2"/>
  <c r="BM208" i="2"/>
  <c r="Z208" i="2"/>
  <c r="Y208" i="2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X204" i="2"/>
  <c r="X203" i="2"/>
  <c r="BO202" i="2"/>
  <c r="BM202" i="2"/>
  <c r="Z202" i="2"/>
  <c r="Z203" i="2" s="1"/>
  <c r="Y202" i="2"/>
  <c r="Y203" i="2" s="1"/>
  <c r="P202" i="2"/>
  <c r="X198" i="2"/>
  <c r="X197" i="2"/>
  <c r="BO196" i="2"/>
  <c r="BN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Y198" i="2" s="1"/>
  <c r="P194" i="2"/>
  <c r="BP193" i="2"/>
  <c r="BO193" i="2"/>
  <c r="BN193" i="2"/>
  <c r="BM193" i="2"/>
  <c r="Z193" i="2"/>
  <c r="Z197" i="2" s="1"/>
  <c r="Y193" i="2"/>
  <c r="P193" i="2"/>
  <c r="X189" i="2"/>
  <c r="X188" i="2"/>
  <c r="BO187" i="2"/>
  <c r="BM187" i="2"/>
  <c r="Z187" i="2"/>
  <c r="Z188" i="2" s="1"/>
  <c r="Y187" i="2"/>
  <c r="Y189" i="2" s="1"/>
  <c r="P187" i="2"/>
  <c r="X184" i="2"/>
  <c r="X183" i="2"/>
  <c r="BO182" i="2"/>
  <c r="BN182" i="2"/>
  <c r="BM182" i="2"/>
  <c r="Z182" i="2"/>
  <c r="Y182" i="2"/>
  <c r="BP182" i="2" s="1"/>
  <c r="P182" i="2"/>
  <c r="BO181" i="2"/>
  <c r="BM181" i="2"/>
  <c r="Z181" i="2"/>
  <c r="Y181" i="2"/>
  <c r="Y184" i="2" s="1"/>
  <c r="P181" i="2"/>
  <c r="X177" i="2"/>
  <c r="X176" i="2"/>
  <c r="BO175" i="2"/>
  <c r="BM175" i="2"/>
  <c r="Z175" i="2"/>
  <c r="Z176" i="2" s="1"/>
  <c r="Y175" i="2"/>
  <c r="Y177" i="2" s="1"/>
  <c r="P175" i="2"/>
  <c r="X172" i="2"/>
  <c r="Z171" i="2"/>
  <c r="X171" i="2"/>
  <c r="BO170" i="2"/>
  <c r="BM170" i="2"/>
  <c r="Z170" i="2"/>
  <c r="Y170" i="2"/>
  <c r="Y171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P160" i="2"/>
  <c r="BO159" i="2"/>
  <c r="BM159" i="2"/>
  <c r="Z159" i="2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Z155" i="2" s="1"/>
  <c r="Y153" i="2"/>
  <c r="Y155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Z149" i="2" s="1"/>
  <c r="Y147" i="2"/>
  <c r="Y149" i="2" s="1"/>
  <c r="P147" i="2"/>
  <c r="X144" i="2"/>
  <c r="X143" i="2"/>
  <c r="BP142" i="2"/>
  <c r="BO142" i="2"/>
  <c r="BN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Y144" i="2" s="1"/>
  <c r="P140" i="2"/>
  <c r="X138" i="2"/>
  <c r="X137" i="2"/>
  <c r="BO136" i="2"/>
  <c r="BM136" i="2"/>
  <c r="Z136" i="2"/>
  <c r="Y136" i="2"/>
  <c r="BP136" i="2" s="1"/>
  <c r="P136" i="2"/>
  <c r="BO135" i="2"/>
  <c r="BM135" i="2"/>
  <c r="Z135" i="2"/>
  <c r="Y135" i="2"/>
  <c r="BP135" i="2" s="1"/>
  <c r="P135" i="2"/>
  <c r="BO134" i="2"/>
  <c r="BM134" i="2"/>
  <c r="Z134" i="2"/>
  <c r="Y134" i="2"/>
  <c r="Y137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Y126" i="2"/>
  <c r="X126" i="2"/>
  <c r="BP125" i="2"/>
  <c r="BO125" i="2"/>
  <c r="BN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N120" i="2" s="1"/>
  <c r="P120" i="2"/>
  <c r="BP119" i="2"/>
  <c r="BO119" i="2"/>
  <c r="BN119" i="2"/>
  <c r="BM119" i="2"/>
  <c r="Z119" i="2"/>
  <c r="Y119" i="2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Z122" i="2" s="1"/>
  <c r="Y116" i="2"/>
  <c r="P116" i="2"/>
  <c r="BO115" i="2"/>
  <c r="BM115" i="2"/>
  <c r="Z115" i="2"/>
  <c r="Y115" i="2"/>
  <c r="Y123" i="2" s="1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Z95" i="2" s="1"/>
  <c r="Y93" i="2"/>
  <c r="Y95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N83" i="2" s="1"/>
  <c r="P83" i="2"/>
  <c r="BP82" i="2"/>
  <c r="BO82" i="2"/>
  <c r="BN82" i="2"/>
  <c r="BM82" i="2"/>
  <c r="Z82" i="2"/>
  <c r="Z84" i="2" s="1"/>
  <c r="Y82" i="2"/>
  <c r="Y84" i="2" s="1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P76" i="2"/>
  <c r="BO75" i="2"/>
  <c r="BM75" i="2"/>
  <c r="Z75" i="2"/>
  <c r="Z78" i="2" s="1"/>
  <c r="Y75" i="2"/>
  <c r="Y79" i="2" s="1"/>
  <c r="P75" i="2"/>
  <c r="X73" i="2"/>
  <c r="X72" i="2"/>
  <c r="BO71" i="2"/>
  <c r="BM71" i="2"/>
  <c r="Z71" i="2"/>
  <c r="Y71" i="2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N56" i="2"/>
  <c r="BM56" i="2"/>
  <c r="Z56" i="2"/>
  <c r="Y56" i="2"/>
  <c r="BP56" i="2" s="1"/>
  <c r="P56" i="2"/>
  <c r="BO55" i="2"/>
  <c r="BN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N49" i="2"/>
  <c r="BM49" i="2"/>
  <c r="Z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Z50" i="2" s="1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Z43" i="2" s="1"/>
  <c r="Y41" i="2"/>
  <c r="Y44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Z36" i="2" s="1"/>
  <c r="Y34" i="2"/>
  <c r="Y37" i="2" s="1"/>
  <c r="P34" i="2"/>
  <c r="X31" i="2"/>
  <c r="X285" i="2" s="1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P23" i="2"/>
  <c r="BO22" i="2"/>
  <c r="BM22" i="2"/>
  <c r="Z22" i="2"/>
  <c r="Y22" i="2"/>
  <c r="BN22" i="2" s="1"/>
  <c r="P22" i="2"/>
  <c r="H10" i="2"/>
  <c r="A9" i="2"/>
  <c r="J9" i="2" s="1"/>
  <c r="D7" i="2"/>
  <c r="Q6" i="2"/>
  <c r="P2" i="2"/>
  <c r="Z30" i="2" l="1"/>
  <c r="X287" i="2"/>
  <c r="BN25" i="2"/>
  <c r="BN28" i="2"/>
  <c r="BN29" i="2"/>
  <c r="Y43" i="2"/>
  <c r="Z58" i="2"/>
  <c r="BN57" i="2"/>
  <c r="BP22" i="2"/>
  <c r="Y31" i="2"/>
  <c r="BP27" i="2"/>
  <c r="X286" i="2"/>
  <c r="X288" i="2" s="1"/>
  <c r="BN54" i="2"/>
  <c r="Y59" i="2"/>
  <c r="Y58" i="2"/>
  <c r="BP54" i="2"/>
  <c r="X289" i="2"/>
  <c r="Z72" i="2"/>
  <c r="BP77" i="2"/>
  <c r="BP83" i="2"/>
  <c r="Y85" i="2"/>
  <c r="Y90" i="2"/>
  <c r="Y96" i="2"/>
  <c r="BP103" i="2"/>
  <c r="BP109" i="2"/>
  <c r="BP120" i="2"/>
  <c r="Y131" i="2"/>
  <c r="Y150" i="2"/>
  <c r="Y156" i="2"/>
  <c r="Y172" i="2"/>
  <c r="Z209" i="2"/>
  <c r="Y265" i="2"/>
  <c r="BP273" i="2"/>
  <c r="BP278" i="2"/>
  <c r="BP280" i="2"/>
  <c r="BN70" i="2"/>
  <c r="Y73" i="2"/>
  <c r="BN75" i="2"/>
  <c r="BP75" i="2"/>
  <c r="Y78" i="2"/>
  <c r="BN93" i="2"/>
  <c r="BN94" i="2"/>
  <c r="Z105" i="2"/>
  <c r="BN99" i="2"/>
  <c r="BN101" i="2"/>
  <c r="BN104" i="2"/>
  <c r="Z111" i="2"/>
  <c r="BN110" i="2"/>
  <c r="Y111" i="2"/>
  <c r="BN115" i="2"/>
  <c r="BP115" i="2"/>
  <c r="Y122" i="2"/>
  <c r="BN117" i="2"/>
  <c r="BN121" i="2"/>
  <c r="BN129" i="2"/>
  <c r="BP129" i="2"/>
  <c r="Z137" i="2"/>
  <c r="BN134" i="2"/>
  <c r="BP134" i="2"/>
  <c r="BN136" i="2"/>
  <c r="Z143" i="2"/>
  <c r="BN140" i="2"/>
  <c r="BN147" i="2"/>
  <c r="BN153" i="2"/>
  <c r="BN154" i="2"/>
  <c r="BN159" i="2"/>
  <c r="BP159" i="2"/>
  <c r="Y162" i="2"/>
  <c r="BN170" i="2"/>
  <c r="BP170" i="2"/>
  <c r="Z183" i="2"/>
  <c r="Y183" i="2"/>
  <c r="BP195" i="2"/>
  <c r="BP202" i="2"/>
  <c r="Y204" i="2"/>
  <c r="BN207" i="2"/>
  <c r="Y210" i="2"/>
  <c r="BN213" i="2"/>
  <c r="Y216" i="2"/>
  <c r="BN219" i="2"/>
  <c r="BP219" i="2"/>
  <c r="Y220" i="2"/>
  <c r="Y225" i="2"/>
  <c r="BN236" i="2"/>
  <c r="BP236" i="2"/>
  <c r="Y237" i="2"/>
  <c r="Y243" i="2"/>
  <c r="BN252" i="2"/>
  <c r="BP252" i="2"/>
  <c r="Y253" i="2"/>
  <c r="Y264" i="2"/>
  <c r="Z270" i="2"/>
  <c r="BN269" i="2"/>
  <c r="Z283" i="2"/>
  <c r="BN274" i="2"/>
  <c r="BN276" i="2"/>
  <c r="BN279" i="2"/>
  <c r="Z290" i="2"/>
  <c r="BP147" i="2"/>
  <c r="F9" i="2"/>
  <c r="BN41" i="2"/>
  <c r="BN66" i="2"/>
  <c r="BP93" i="2"/>
  <c r="BN116" i="2"/>
  <c r="BP153" i="2"/>
  <c r="BN165" i="2"/>
  <c r="BN181" i="2"/>
  <c r="BN208" i="2"/>
  <c r="Y260" i="2"/>
  <c r="BN23" i="2"/>
  <c r="BN34" i="2"/>
  <c r="H9" i="2"/>
  <c r="BP23" i="2"/>
  <c r="BP34" i="2"/>
  <c r="BN47" i="2"/>
  <c r="Y50" i="2"/>
  <c r="BN71" i="2"/>
  <c r="BN187" i="2"/>
  <c r="BN214" i="2"/>
  <c r="BN230" i="2"/>
  <c r="BN246" i="2"/>
  <c r="BN282" i="2"/>
  <c r="BN26" i="2"/>
  <c r="BP41" i="2"/>
  <c r="BP66" i="2"/>
  <c r="BN76" i="2"/>
  <c r="BN102" i="2"/>
  <c r="Y105" i="2"/>
  <c r="BP116" i="2"/>
  <c r="Y138" i="2"/>
  <c r="BP165" i="2"/>
  <c r="BP181" i="2"/>
  <c r="BN194" i="2"/>
  <c r="Y197" i="2"/>
  <c r="BP208" i="2"/>
  <c r="BN267" i="2"/>
  <c r="Y270" i="2"/>
  <c r="BN277" i="2"/>
  <c r="BP187" i="2"/>
  <c r="BP214" i="2"/>
  <c r="BP230" i="2"/>
  <c r="BP246" i="2"/>
  <c r="Y261" i="2"/>
  <c r="Y51" i="2"/>
  <c r="Y67" i="2"/>
  <c r="BP76" i="2"/>
  <c r="BN88" i="2"/>
  <c r="BN148" i="2"/>
  <c r="Y166" i="2"/>
  <c r="BP194" i="2"/>
  <c r="BN206" i="2"/>
  <c r="Y209" i="2"/>
  <c r="BP267" i="2"/>
  <c r="BP118" i="2"/>
  <c r="BP259" i="2"/>
  <c r="BP71" i="2"/>
  <c r="Y72" i="2"/>
  <c r="Y106" i="2"/>
  <c r="Y188" i="2"/>
  <c r="Y215" i="2"/>
  <c r="Y231" i="2"/>
  <c r="Y247" i="2"/>
  <c r="Y283" i="2"/>
  <c r="BP88" i="2"/>
  <c r="BN100" i="2"/>
  <c r="Y112" i="2"/>
  <c r="BN135" i="2"/>
  <c r="BN160" i="2"/>
  <c r="BN175" i="2"/>
  <c r="BP141" i="2"/>
  <c r="A10" i="2"/>
  <c r="F10" i="2"/>
  <c r="BN35" i="2"/>
  <c r="BN42" i="2"/>
  <c r="Y143" i="2"/>
  <c r="BP160" i="2"/>
  <c r="BN263" i="2"/>
  <c r="Y284" i="2"/>
  <c r="Y30" i="2"/>
  <c r="BP140" i="2"/>
  <c r="BP224" i="2"/>
  <c r="BP242" i="2"/>
  <c r="BN24" i="2"/>
  <c r="BN62" i="2"/>
  <c r="BN48" i="2"/>
  <c r="BP62" i="2"/>
  <c r="BP175" i="2"/>
  <c r="Y36" i="2"/>
  <c r="Y63" i="2"/>
  <c r="Y176" i="2"/>
  <c r="BN202" i="2"/>
  <c r="BN281" i="2"/>
  <c r="Y287" i="2" l="1"/>
  <c r="Y285" i="2"/>
  <c r="Y286" i="2"/>
  <c r="Y288" i="2"/>
  <c r="Y289" i="2"/>
  <c r="C298" i="2"/>
  <c r="B298" i="2"/>
  <c r="A298" i="2"/>
</calcChain>
</file>

<file path=xl/sharedStrings.xml><?xml version="1.0" encoding="utf-8"?>
<sst xmlns="http://schemas.openxmlformats.org/spreadsheetml/2006/main" count="1773" uniqueCount="419">
  <si>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</si>
  <si>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</si>
  <si>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</si>
  <si>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</si>
  <si>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</si>
  <si>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</si>
  <si>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</si>
  <si>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</si>
  <si>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</si>
  <si>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</si>
  <si>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</si>
  <si>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</si>
  <si>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</si>
  <si>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</si>
  <si>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</si>
  <si>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</si>
  <si>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</si>
  <si>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</si>
  <si>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</si>
  <si>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</si>
  <si>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</si>
  <si>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</si>
  <si>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</si>
  <si>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</si>
  <si>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</si>
  <si>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</si>
  <si>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</si>
  <si>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</si>
  <si>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</si>
  <si>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</si>
  <si>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</si>
  <si>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</si>
  <si>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</si>
  <si>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</si>
  <si>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</si>
  <si>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</si>
  <si>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</si>
  <si>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</si>
  <si>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</si>
  <si>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</si>
  <si>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</si>
  <si>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</si>
  <si>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</si>
  <si>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</si>
  <si>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</si>
  <si>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</si>
  <si>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</si>
  <si>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</si>
  <si>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</si>
  <si>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</si>
  <si>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</si>
  <si>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</si>
  <si>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</si>
  <si>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</si>
  <si>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</si>
  <si>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</si>
  <si>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</si>
  <si>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</si>
  <si>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</si>
  <si>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</si>
  <si>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</si>
  <si>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</si>
  <si>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</si>
  <si>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</si>
  <si>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</si>
  <si>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</si>
  <si>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</si>
  <si>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</si>
  <si>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</si>
  <si>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</si>
  <si>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</si>
  <si>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16.07.2026</t>
  </si>
  <si>
    <t>15.07.2026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</si>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</sst>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8"/>
  <sheetViews>
    <sheetView showGridLines="0" tabSelected="1" zoomScaleNormal="100" zoomScaleSheetLayoutView="100" workbookViewId="0">
      <selection activeCell="AA8" sqref="AA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2" t="s">
        <v>26</v>
      </c>
      <c r="E1" s="462"/>
      <c r="F1" s="462"/>
      <c r="G1" s="14" t="s">
        <v>70</v>
      </c>
      <c r="H1" s="462" t="s">
        <v>47</v>
      </c>
      <c r="I1" s="462"/>
      <c r="J1" s="462"/>
      <c r="K1" s="462"/>
      <c r="L1" s="462"/>
      <c r="M1" s="462"/>
      <c r="N1" s="462"/>
      <c r="O1" s="462"/>
      <c r="P1" s="462"/>
      <c r="Q1" s="462"/>
      <c r="R1" s="463" t="s">
        <v>71</v>
      </c>
      <c r="S1" s="464"/>
      <c r="T1" s="4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5"/>
      <c r="R2" s="465"/>
      <c r="S2" s="465"/>
      <c r="T2" s="465"/>
      <c r="U2" s="465"/>
      <c r="V2" s="465"/>
      <c r="W2" s="4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5"/>
      <c r="Q3" s="465"/>
      <c r="R3" s="465"/>
      <c r="S3" s="465"/>
      <c r="T3" s="465"/>
      <c r="U3" s="465"/>
      <c r="V3" s="465"/>
      <c r="W3" s="4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6"/>
      <c r="E5" s="466"/>
      <c r="F5" s="467" t="s">
        <v>14</v>
      </c>
      <c r="G5" s="467"/>
      <c r="H5" s="466"/>
      <c r="I5" s="466"/>
      <c r="J5" s="466"/>
      <c r="K5" s="466"/>
      <c r="L5" s="466"/>
      <c r="M5" s="466"/>
      <c r="N5" s="75"/>
      <c r="P5" s="27" t="s">
        <v>4</v>
      </c>
      <c r="Q5" s="468"/>
      <c r="R5" s="468"/>
      <c r="T5" s="469" t="s">
        <v>3</v>
      </c>
      <c r="U5" s="470"/>
      <c r="V5" s="471"/>
      <c r="W5" s="472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 xml:space="preserve"> </v>
      </c>
      <c r="R6" s="446"/>
      <c r="T6" s="447" t="s">
        <v>5</v>
      </c>
      <c r="U6" s="448"/>
      <c r="V6" s="449" t="s">
        <v>73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/>
      <c r="R8" s="442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0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4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73"/>
      <c r="P9" s="31" t="s">
        <v>15</v>
      </c>
      <c r="Q9" s="461"/>
      <c r="R9" s="461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74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75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76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77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78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">
      <c r="A19" s="318" t="s">
        <v>79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customHeight="1" x14ac:dyDescent="0.25">
      <c r="A20" s="319" t="s">
        <v>79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customHeight="1" x14ac:dyDescent="0.25">
      <c r="A21" s="309" t="s">
        <v>80</v>
      </c>
      <c r="B21" s="309"/>
      <c r="C21" s="309"/>
      <c r="D21" s="309"/>
      <c r="E21" s="309"/>
      <c r="F21" s="309"/>
      <c r="G21" s="309"/>
      <c r="H21" s="309"/>
      <c r="I21" s="309"/>
      <c r="J21" s="309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291">
        <v>4620207491508</v>
      </c>
      <c r="E22" s="291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291">
        <v>4620207491256</v>
      </c>
      <c r="E23" s="291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291">
        <v>4620207491713</v>
      </c>
      <c r="E24" s="291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291">
        <v>4620207491720</v>
      </c>
      <c r="E25" s="291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291">
        <v>4607111035912</v>
      </c>
      <c r="E26" s="291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291">
        <v>4607111035929</v>
      </c>
      <c r="E27" s="291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291">
        <v>4607111035882</v>
      </c>
      <c r="E28" s="291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291">
        <v>4607111035905</v>
      </c>
      <c r="E29" s="291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9"/>
      <c r="P30" s="295" t="s">
        <v>40</v>
      </c>
      <c r="Q30" s="296"/>
      <c r="R30" s="296"/>
      <c r="S30" s="296"/>
      <c r="T30" s="296"/>
      <c r="U30" s="296"/>
      <c r="V30" s="29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9"/>
      <c r="P31" s="295" t="s">
        <v>40</v>
      </c>
      <c r="Q31" s="296"/>
      <c r="R31" s="296"/>
      <c r="S31" s="296"/>
      <c r="T31" s="296"/>
      <c r="U31" s="296"/>
      <c r="V31" s="29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9" t="s">
        <v>104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customHeight="1" x14ac:dyDescent="0.25">
      <c r="A33" s="309" t="s">
        <v>80</v>
      </c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291">
        <v>4607111039019</v>
      </c>
      <c r="E34" s="291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291">
        <v>4607111038708</v>
      </c>
      <c r="E35" s="291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9"/>
      <c r="P36" s="295" t="s">
        <v>40</v>
      </c>
      <c r="Q36" s="296"/>
      <c r="R36" s="296"/>
      <c r="S36" s="296"/>
      <c r="T36" s="296"/>
      <c r="U36" s="296"/>
      <c r="V36" s="29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9"/>
      <c r="P37" s="295" t="s">
        <v>40</v>
      </c>
      <c r="Q37" s="296"/>
      <c r="R37" s="296"/>
      <c r="S37" s="296"/>
      <c r="T37" s="296"/>
      <c r="U37" s="296"/>
      <c r="V37" s="29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customHeight="1" x14ac:dyDescent="0.25">
      <c r="A39" s="319" t="s">
        <v>110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customHeight="1" x14ac:dyDescent="0.25">
      <c r="A40" s="309" t="s">
        <v>111</v>
      </c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291">
        <v>4607111036537</v>
      </c>
      <c r="E41" s="291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291">
        <v>4607111036605</v>
      </c>
      <c r="E42" s="291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9"/>
      <c r="P43" s="295" t="s">
        <v>40</v>
      </c>
      <c r="Q43" s="296"/>
      <c r="R43" s="296"/>
      <c r="S43" s="296"/>
      <c r="T43" s="296"/>
      <c r="U43" s="296"/>
      <c r="V43" s="297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9"/>
      <c r="P44" s="295" t="s">
        <v>40</v>
      </c>
      <c r="Q44" s="296"/>
      <c r="R44" s="296"/>
      <c r="S44" s="296"/>
      <c r="T44" s="296"/>
      <c r="U44" s="296"/>
      <c r="V44" s="297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19" t="s">
        <v>121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customHeight="1" x14ac:dyDescent="0.25">
      <c r="A46" s="309" t="s">
        <v>80</v>
      </c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291">
        <v>4620207490075</v>
      </c>
      <c r="E47" s="291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9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291">
        <v>4620207490174</v>
      </c>
      <c r="E48" s="291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9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128</v>
      </c>
      <c r="B49" s="63" t="s">
        <v>129</v>
      </c>
      <c r="C49" s="36">
        <v>4301071091</v>
      </c>
      <c r="D49" s="291">
        <v>4620207490044</v>
      </c>
      <c r="E49" s="291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9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3"/>
      <c r="R49" s="293"/>
      <c r="S49" s="293"/>
      <c r="T49" s="29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9"/>
      <c r="P50" s="295" t="s">
        <v>40</v>
      </c>
      <c r="Q50" s="296"/>
      <c r="R50" s="296"/>
      <c r="S50" s="296"/>
      <c r="T50" s="296"/>
      <c r="U50" s="296"/>
      <c r="V50" s="29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9"/>
      <c r="P51" s="295" t="s">
        <v>40</v>
      </c>
      <c r="Q51" s="296"/>
      <c r="R51" s="296"/>
      <c r="S51" s="296"/>
      <c r="T51" s="296"/>
      <c r="U51" s="296"/>
      <c r="V51" s="297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19" t="s">
        <v>131</v>
      </c>
      <c r="B52" s="319"/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65"/>
      <c r="AB52" s="65"/>
      <c r="AC52" s="82"/>
    </row>
    <row r="53" spans="1:68" ht="14.25" customHeight="1" x14ac:dyDescent="0.25">
      <c r="A53" s="309" t="s">
        <v>80</v>
      </c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291">
        <v>4607111039385</v>
      </c>
      <c r="E54" s="291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3"/>
      <c r="R54" s="293"/>
      <c r="S54" s="293"/>
      <c r="T54" s="294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291">
        <v>4607111038982</v>
      </c>
      <c r="E55" s="291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3"/>
      <c r="R55" s="293"/>
      <c r="S55" s="293"/>
      <c r="T55" s="294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4301071046</v>
      </c>
      <c r="D56" s="291">
        <v>4607111039354</v>
      </c>
      <c r="E56" s="291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3"/>
      <c r="R56" s="293"/>
      <c r="S56" s="293"/>
      <c r="T56" s="294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4301071047</v>
      </c>
      <c r="D57" s="291">
        <v>4607111039330</v>
      </c>
      <c r="E57" s="291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3"/>
      <c r="R57" s="293"/>
      <c r="S57" s="293"/>
      <c r="T57" s="29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9"/>
      <c r="P58" s="295" t="s">
        <v>40</v>
      </c>
      <c r="Q58" s="296"/>
      <c r="R58" s="296"/>
      <c r="S58" s="296"/>
      <c r="T58" s="296"/>
      <c r="U58" s="296"/>
      <c r="V58" s="29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9"/>
      <c r="P59" s="295" t="s">
        <v>40</v>
      </c>
      <c r="Q59" s="296"/>
      <c r="R59" s="296"/>
      <c r="S59" s="296"/>
      <c r="T59" s="296"/>
      <c r="U59" s="296"/>
      <c r="V59" s="297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19" t="s">
        <v>142</v>
      </c>
      <c r="B60" s="319"/>
      <c r="C60" s="319"/>
      <c r="D60" s="319"/>
      <c r="E60" s="319"/>
      <c r="F60" s="319"/>
      <c r="G60" s="319"/>
      <c r="H60" s="319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65"/>
      <c r="AB60" s="65"/>
      <c r="AC60" s="82"/>
    </row>
    <row r="61" spans="1:68" ht="14.25" customHeight="1" x14ac:dyDescent="0.25">
      <c r="A61" s="309" t="s">
        <v>80</v>
      </c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  <c r="AA61" s="66"/>
      <c r="AB61" s="66"/>
      <c r="AC61" s="83"/>
    </row>
    <row r="62" spans="1:68" ht="16.5" customHeight="1" x14ac:dyDescent="0.25">
      <c r="A62" s="63" t="s">
        <v>143</v>
      </c>
      <c r="B62" s="63" t="s">
        <v>144</v>
      </c>
      <c r="C62" s="36">
        <v>4301071073</v>
      </c>
      <c r="D62" s="291">
        <v>4620207490822</v>
      </c>
      <c r="E62" s="291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3"/>
      <c r="R62" s="293"/>
      <c r="S62" s="293"/>
      <c r="T62" s="29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9"/>
      <c r="P63" s="295" t="s">
        <v>40</v>
      </c>
      <c r="Q63" s="296"/>
      <c r="R63" s="296"/>
      <c r="S63" s="296"/>
      <c r="T63" s="296"/>
      <c r="U63" s="296"/>
      <c r="V63" s="29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9"/>
      <c r="P64" s="295" t="s">
        <v>40</v>
      </c>
      <c r="Q64" s="296"/>
      <c r="R64" s="296"/>
      <c r="S64" s="296"/>
      <c r="T64" s="296"/>
      <c r="U64" s="296"/>
      <c r="V64" s="29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09" t="s">
        <v>111</v>
      </c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  <c r="AA65" s="66"/>
      <c r="AB65" s="66"/>
      <c r="AC65" s="83"/>
    </row>
    <row r="66" spans="1:68" ht="27" customHeight="1" x14ac:dyDescent="0.25">
      <c r="A66" s="63" t="s">
        <v>146</v>
      </c>
      <c r="B66" s="63" t="s">
        <v>147</v>
      </c>
      <c r="C66" s="36">
        <v>4301132194</v>
      </c>
      <c r="D66" s="291">
        <v>4607111039712</v>
      </c>
      <c r="E66" s="291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3"/>
      <c r="R66" s="293"/>
      <c r="S66" s="293"/>
      <c r="T66" s="294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9"/>
      <c r="P67" s="295" t="s">
        <v>40</v>
      </c>
      <c r="Q67" s="296"/>
      <c r="R67" s="296"/>
      <c r="S67" s="296"/>
      <c r="T67" s="296"/>
      <c r="U67" s="296"/>
      <c r="V67" s="29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9"/>
      <c r="P68" s="295" t="s">
        <v>40</v>
      </c>
      <c r="Q68" s="296"/>
      <c r="R68" s="296"/>
      <c r="S68" s="296"/>
      <c r="T68" s="296"/>
      <c r="U68" s="296"/>
      <c r="V68" s="29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09" t="s">
        <v>149</v>
      </c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  <c r="AA69" s="66"/>
      <c r="AB69" s="66"/>
      <c r="AC69" s="83"/>
    </row>
    <row r="70" spans="1:68" ht="16.5" customHeight="1" x14ac:dyDescent="0.25">
      <c r="A70" s="63" t="s">
        <v>150</v>
      </c>
      <c r="B70" s="63" t="s">
        <v>151</v>
      </c>
      <c r="C70" s="36">
        <v>4301136018</v>
      </c>
      <c r="D70" s="291">
        <v>4607111037008</v>
      </c>
      <c r="E70" s="291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3"/>
      <c r="R70" s="293"/>
      <c r="S70" s="293"/>
      <c r="T70" s="29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153</v>
      </c>
      <c r="B71" s="63" t="s">
        <v>154</v>
      </c>
      <c r="C71" s="36">
        <v>4301136015</v>
      </c>
      <c r="D71" s="291">
        <v>4607111037398</v>
      </c>
      <c r="E71" s="291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3"/>
      <c r="R71" s="293"/>
      <c r="S71" s="293"/>
      <c r="T71" s="294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9"/>
      <c r="P72" s="295" t="s">
        <v>40</v>
      </c>
      <c r="Q72" s="296"/>
      <c r="R72" s="296"/>
      <c r="S72" s="296"/>
      <c r="T72" s="296"/>
      <c r="U72" s="296"/>
      <c r="V72" s="29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9"/>
      <c r="P73" s="295" t="s">
        <v>40</v>
      </c>
      <c r="Q73" s="296"/>
      <c r="R73" s="296"/>
      <c r="S73" s="296"/>
      <c r="T73" s="296"/>
      <c r="U73" s="296"/>
      <c r="V73" s="29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09" t="s">
        <v>155</v>
      </c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291">
        <v>4607111039705</v>
      </c>
      <c r="E75" s="291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3"/>
      <c r="R75" s="293"/>
      <c r="S75" s="293"/>
      <c r="T75" s="29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291">
        <v>4607111039729</v>
      </c>
      <c r="E76" s="291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3"/>
      <c r="R76" s="293"/>
      <c r="S76" s="293"/>
      <c r="T76" s="294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291">
        <v>4620207490228</v>
      </c>
      <c r="E77" s="291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7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3"/>
      <c r="R77" s="293"/>
      <c r="S77" s="293"/>
      <c r="T77" s="294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9"/>
      <c r="P78" s="295" t="s">
        <v>40</v>
      </c>
      <c r="Q78" s="296"/>
      <c r="R78" s="296"/>
      <c r="S78" s="296"/>
      <c r="T78" s="296"/>
      <c r="U78" s="296"/>
      <c r="V78" s="29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9"/>
      <c r="P79" s="295" t="s">
        <v>40</v>
      </c>
      <c r="Q79" s="296"/>
      <c r="R79" s="296"/>
      <c r="S79" s="296"/>
      <c r="T79" s="296"/>
      <c r="U79" s="296"/>
      <c r="V79" s="29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19" t="s">
        <v>163</v>
      </c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65"/>
      <c r="AB80" s="65"/>
      <c r="AC80" s="82"/>
    </row>
    <row r="81" spans="1:68" ht="14.25" customHeight="1" x14ac:dyDescent="0.25">
      <c r="A81" s="309" t="s">
        <v>80</v>
      </c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291">
        <v>4607111037411</v>
      </c>
      <c r="E82" s="291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3"/>
      <c r="R82" s="293"/>
      <c r="S82" s="293"/>
      <c r="T82" s="294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291">
        <v>4607111036728</v>
      </c>
      <c r="E83" s="291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7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3"/>
      <c r="R83" s="293"/>
      <c r="S83" s="293"/>
      <c r="T83" s="294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9"/>
      <c r="P84" s="295" t="s">
        <v>40</v>
      </c>
      <c r="Q84" s="296"/>
      <c r="R84" s="296"/>
      <c r="S84" s="296"/>
      <c r="T84" s="296"/>
      <c r="U84" s="296"/>
      <c r="V84" s="29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9"/>
      <c r="P85" s="295" t="s">
        <v>40</v>
      </c>
      <c r="Q85" s="296"/>
      <c r="R85" s="296"/>
      <c r="S85" s="296"/>
      <c r="T85" s="296"/>
      <c r="U85" s="296"/>
      <c r="V85" s="297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19" t="s">
        <v>170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customHeight="1" x14ac:dyDescent="0.25">
      <c r="A87" s="309" t="s">
        <v>155</v>
      </c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291">
        <v>4607111033659</v>
      </c>
      <c r="E88" s="291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7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3"/>
      <c r="R88" s="293"/>
      <c r="S88" s="293"/>
      <c r="T88" s="294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9"/>
      <c r="P89" s="295" t="s">
        <v>40</v>
      </c>
      <c r="Q89" s="296"/>
      <c r="R89" s="296"/>
      <c r="S89" s="296"/>
      <c r="T89" s="296"/>
      <c r="U89" s="296"/>
      <c r="V89" s="297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9"/>
      <c r="P90" s="295" t="s">
        <v>40</v>
      </c>
      <c r="Q90" s="296"/>
      <c r="R90" s="296"/>
      <c r="S90" s="296"/>
      <c r="T90" s="296"/>
      <c r="U90" s="296"/>
      <c r="V90" s="297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19" t="s">
        <v>174</v>
      </c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  <c r="AA91" s="65"/>
      <c r="AB91" s="65"/>
      <c r="AC91" s="82"/>
    </row>
    <row r="92" spans="1:68" ht="14.25" customHeight="1" x14ac:dyDescent="0.25">
      <c r="A92" s="309" t="s">
        <v>175</v>
      </c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291">
        <v>4607111034120</v>
      </c>
      <c r="E93" s="291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7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3"/>
      <c r="R93" s="293"/>
      <c r="S93" s="293"/>
      <c r="T93" s="294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291">
        <v>4607111034137</v>
      </c>
      <c r="E94" s="291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7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3"/>
      <c r="R94" s="293"/>
      <c r="S94" s="293"/>
      <c r="T94" s="294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9"/>
      <c r="P95" s="295" t="s">
        <v>40</v>
      </c>
      <c r="Q95" s="296"/>
      <c r="R95" s="296"/>
      <c r="S95" s="296"/>
      <c r="T95" s="296"/>
      <c r="U95" s="296"/>
      <c r="V95" s="297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9"/>
      <c r="P96" s="295" t="s">
        <v>40</v>
      </c>
      <c r="Q96" s="296"/>
      <c r="R96" s="296"/>
      <c r="S96" s="296"/>
      <c r="T96" s="296"/>
      <c r="U96" s="296"/>
      <c r="V96" s="297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19" t="s">
        <v>182</v>
      </c>
      <c r="B97" s="319"/>
      <c r="C97" s="319"/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65"/>
      <c r="AB97" s="65"/>
      <c r="AC97" s="82"/>
    </row>
    <row r="98" spans="1:68" ht="14.25" customHeight="1" x14ac:dyDescent="0.25">
      <c r="A98" s="309" t="s">
        <v>155</v>
      </c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291">
        <v>4620207491027</v>
      </c>
      <c r="E99" s="291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3"/>
      <c r="R99" s="293"/>
      <c r="S99" s="293"/>
      <c r="T99" s="294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291">
        <v>4620207491003</v>
      </c>
      <c r="E100" s="291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3"/>
      <c r="R100" s="293"/>
      <c r="S100" s="293"/>
      <c r="T100" s="294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291">
        <v>4620207491034</v>
      </c>
      <c r="E101" s="291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3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3"/>
      <c r="R101" s="293"/>
      <c r="S101" s="293"/>
      <c r="T101" s="294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291">
        <v>4620207491010</v>
      </c>
      <c r="E102" s="291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36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3"/>
      <c r="R102" s="293"/>
      <c r="S102" s="293"/>
      <c r="T102" s="294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192</v>
      </c>
      <c r="B103" s="63" t="s">
        <v>193</v>
      </c>
      <c r="C103" s="36">
        <v>4301135571</v>
      </c>
      <c r="D103" s="291">
        <v>4607111035028</v>
      </c>
      <c r="E103" s="291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37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3"/>
      <c r="R103" s="293"/>
      <c r="S103" s="293"/>
      <c r="T103" s="29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4301135285</v>
      </c>
      <c r="D104" s="291">
        <v>4607111036407</v>
      </c>
      <c r="E104" s="291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37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3"/>
      <c r="R104" s="293"/>
      <c r="S104" s="293"/>
      <c r="T104" s="29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9"/>
      <c r="P105" s="295" t="s">
        <v>40</v>
      </c>
      <c r="Q105" s="296"/>
      <c r="R105" s="296"/>
      <c r="S105" s="296"/>
      <c r="T105" s="296"/>
      <c r="U105" s="296"/>
      <c r="V105" s="297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9"/>
      <c r="P106" s="295" t="s">
        <v>40</v>
      </c>
      <c r="Q106" s="296"/>
      <c r="R106" s="296"/>
      <c r="S106" s="296"/>
      <c r="T106" s="296"/>
      <c r="U106" s="296"/>
      <c r="V106" s="297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19" t="s">
        <v>197</v>
      </c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65"/>
      <c r="AB107" s="65"/>
      <c r="AC107" s="82"/>
    </row>
    <row r="108" spans="1:68" ht="14.25" customHeight="1" x14ac:dyDescent="0.25">
      <c r="A108" s="309" t="s">
        <v>149</v>
      </c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4301136070</v>
      </c>
      <c r="D109" s="291">
        <v>4607025784012</v>
      </c>
      <c r="E109" s="291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3"/>
      <c r="R109" s="293"/>
      <c r="S109" s="293"/>
      <c r="T109" s="294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291">
        <v>4607025784319</v>
      </c>
      <c r="E110" s="291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3"/>
      <c r="R110" s="293"/>
      <c r="S110" s="293"/>
      <c r="T110" s="294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9"/>
      <c r="P111" s="295" t="s">
        <v>40</v>
      </c>
      <c r="Q111" s="296"/>
      <c r="R111" s="296"/>
      <c r="S111" s="296"/>
      <c r="T111" s="296"/>
      <c r="U111" s="296"/>
      <c r="V111" s="29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9"/>
      <c r="P112" s="295" t="s">
        <v>40</v>
      </c>
      <c r="Q112" s="296"/>
      <c r="R112" s="296"/>
      <c r="S112" s="296"/>
      <c r="T112" s="296"/>
      <c r="U112" s="296"/>
      <c r="V112" s="29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19" t="s">
        <v>203</v>
      </c>
      <c r="B113" s="31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  <c r="AA113" s="65"/>
      <c r="AB113" s="65"/>
      <c r="AC113" s="82"/>
    </row>
    <row r="114" spans="1:68" ht="14.25" customHeight="1" x14ac:dyDescent="0.25">
      <c r="A114" s="309" t="s">
        <v>80</v>
      </c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291">
        <v>4620207491157</v>
      </c>
      <c r="E115" s="291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36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3"/>
      <c r="R115" s="293"/>
      <c r="S115" s="293"/>
      <c r="T115" s="294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207</v>
      </c>
      <c r="B116" s="63" t="s">
        <v>208</v>
      </c>
      <c r="C116" s="36">
        <v>4301071121</v>
      </c>
      <c r="D116" s="291">
        <v>4620207491393</v>
      </c>
      <c r="E116" s="291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3"/>
      <c r="R116" s="293"/>
      <c r="S116" s="293"/>
      <c r="T116" s="294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4301071051</v>
      </c>
      <c r="D117" s="291">
        <v>4607111039262</v>
      </c>
      <c r="E117" s="291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36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3"/>
      <c r="R117" s="293"/>
      <c r="S117" s="293"/>
      <c r="T117" s="294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291">
        <v>4607111039248</v>
      </c>
      <c r="E118" s="291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36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3"/>
      <c r="R118" s="293"/>
      <c r="S118" s="293"/>
      <c r="T118" s="294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214</v>
      </c>
      <c r="B119" s="63" t="s">
        <v>215</v>
      </c>
      <c r="C119" s="36">
        <v>4301070979</v>
      </c>
      <c r="D119" s="291">
        <v>4607111037145</v>
      </c>
      <c r="E119" s="291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3"/>
      <c r="R119" s="293"/>
      <c r="S119" s="293"/>
      <c r="T119" s="294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4301071049</v>
      </c>
      <c r="D120" s="291">
        <v>4607111039293</v>
      </c>
      <c r="E120" s="291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36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3"/>
      <c r="R120" s="293"/>
      <c r="S120" s="293"/>
      <c r="T120" s="294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291">
        <v>4607111039279</v>
      </c>
      <c r="E121" s="291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36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3"/>
      <c r="R121" s="293"/>
      <c r="S121" s="293"/>
      <c r="T121" s="294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9"/>
      <c r="P122" s="295" t="s">
        <v>40</v>
      </c>
      <c r="Q122" s="296"/>
      <c r="R122" s="296"/>
      <c r="S122" s="296"/>
      <c r="T122" s="296"/>
      <c r="U122" s="296"/>
      <c r="V122" s="297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9"/>
      <c r="P123" s="295" t="s">
        <v>40</v>
      </c>
      <c r="Q123" s="296"/>
      <c r="R123" s="296"/>
      <c r="S123" s="296"/>
      <c r="T123" s="296"/>
      <c r="U123" s="296"/>
      <c r="V123" s="297"/>
      <c r="W123" s="42" t="s">
        <v>0</v>
      </c>
      <c r="X123" s="43">
        <f>IFERROR(SUMPRODUCT(X115:X121*H115:H121),"0")</f>
        <v>0</v>
      </c>
      <c r="Y123" s="43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09" t="s">
        <v>155</v>
      </c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291">
        <v>4620207490983</v>
      </c>
      <c r="E125" s="291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35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3"/>
      <c r="R125" s="293"/>
      <c r="S125" s="293"/>
      <c r="T125" s="294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9"/>
      <c r="P126" s="295" t="s">
        <v>40</v>
      </c>
      <c r="Q126" s="296"/>
      <c r="R126" s="296"/>
      <c r="S126" s="296"/>
      <c r="T126" s="296"/>
      <c r="U126" s="296"/>
      <c r="V126" s="29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9"/>
      <c r="P127" s="295" t="s">
        <v>40</v>
      </c>
      <c r="Q127" s="296"/>
      <c r="R127" s="296"/>
      <c r="S127" s="296"/>
      <c r="T127" s="296"/>
      <c r="U127" s="296"/>
      <c r="V127" s="29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09" t="s">
        <v>224</v>
      </c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  <c r="AA128" s="66"/>
      <c r="AB128" s="66"/>
      <c r="AC128" s="83"/>
    </row>
    <row r="129" spans="1:68" ht="27" customHeight="1" x14ac:dyDescent="0.25">
      <c r="A129" s="63" t="s">
        <v>225</v>
      </c>
      <c r="B129" s="63" t="s">
        <v>226</v>
      </c>
      <c r="C129" s="36">
        <v>4301071094</v>
      </c>
      <c r="D129" s="291">
        <v>4620207491140</v>
      </c>
      <c r="E129" s="291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3"/>
      <c r="R129" s="293"/>
      <c r="S129" s="293"/>
      <c r="T129" s="29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9"/>
      <c r="P130" s="295" t="s">
        <v>40</v>
      </c>
      <c r="Q130" s="296"/>
      <c r="R130" s="296"/>
      <c r="S130" s="296"/>
      <c r="T130" s="296"/>
      <c r="U130" s="296"/>
      <c r="V130" s="29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9"/>
      <c r="P131" s="295" t="s">
        <v>40</v>
      </c>
      <c r="Q131" s="296"/>
      <c r="R131" s="296"/>
      <c r="S131" s="296"/>
      <c r="T131" s="296"/>
      <c r="U131" s="296"/>
      <c r="V131" s="29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9" t="s">
        <v>228</v>
      </c>
      <c r="B132" s="31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  <c r="AA132" s="65"/>
      <c r="AB132" s="65"/>
      <c r="AC132" s="82"/>
    </row>
    <row r="133" spans="1:68" ht="14.25" customHeight="1" x14ac:dyDescent="0.25">
      <c r="A133" s="309" t="s">
        <v>155</v>
      </c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4301135850</v>
      </c>
      <c r="D134" s="291">
        <v>4620207491492</v>
      </c>
      <c r="E134" s="291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3"/>
      <c r="R134" s="293"/>
      <c r="S134" s="293"/>
      <c r="T134" s="294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232</v>
      </c>
      <c r="B135" s="63" t="s">
        <v>233</v>
      </c>
      <c r="C135" s="36">
        <v>4301190118</v>
      </c>
      <c r="D135" s="291">
        <v>4620207491461</v>
      </c>
      <c r="E135" s="291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3"/>
      <c r="R135" s="293"/>
      <c r="S135" s="293"/>
      <c r="T135" s="29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4301135865</v>
      </c>
      <c r="D136" s="291">
        <v>4620207491485</v>
      </c>
      <c r="E136" s="291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3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3"/>
      <c r="R136" s="293"/>
      <c r="S136" s="293"/>
      <c r="T136" s="294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9"/>
      <c r="P137" s="295" t="s">
        <v>40</v>
      </c>
      <c r="Q137" s="296"/>
      <c r="R137" s="296"/>
      <c r="S137" s="296"/>
      <c r="T137" s="296"/>
      <c r="U137" s="296"/>
      <c r="V137" s="297"/>
      <c r="W137" s="42" t="s">
        <v>39</v>
      </c>
      <c r="X137" s="43">
        <f>IFERROR(SUM(X134:X136),"0")</f>
        <v>0</v>
      </c>
      <c r="Y137" s="43">
        <f>IFERROR(SUM(Y134:Y136),"0")</f>
        <v>0</v>
      </c>
      <c r="Z137" s="43">
        <f>IFERROR(IF(Z134="",0,Z134),"0")+IFERROR(IF(Z135="",0,Z135),"0")+IFERROR(IF(Z136="",0,Z136),"0")</f>
        <v>0</v>
      </c>
      <c r="AA137" s="67"/>
      <c r="AB137" s="67"/>
      <c r="AC137" s="67"/>
    </row>
    <row r="138" spans="1:68" x14ac:dyDescent="0.2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9"/>
      <c r="P138" s="295" t="s">
        <v>40</v>
      </c>
      <c r="Q138" s="296"/>
      <c r="R138" s="296"/>
      <c r="S138" s="296"/>
      <c r="T138" s="296"/>
      <c r="U138" s="296"/>
      <c r="V138" s="297"/>
      <c r="W138" s="42" t="s">
        <v>0</v>
      </c>
      <c r="X138" s="43">
        <f>IFERROR(SUMPRODUCT(X134:X136*H134:H136),"0")</f>
        <v>0</v>
      </c>
      <c r="Y138" s="43">
        <f>IFERROR(SUMPRODUCT(Y134:Y136*H134:H136),"0")</f>
        <v>0</v>
      </c>
      <c r="Z138" s="42"/>
      <c r="AA138" s="67"/>
      <c r="AB138" s="67"/>
      <c r="AC138" s="67"/>
    </row>
    <row r="139" spans="1:68" ht="14.25" customHeight="1" x14ac:dyDescent="0.25">
      <c r="A139" s="309" t="s">
        <v>236</v>
      </c>
      <c r="B139" s="309"/>
      <c r="C139" s="309"/>
      <c r="D139" s="309"/>
      <c r="E139" s="309"/>
      <c r="F139" s="309"/>
      <c r="G139" s="309"/>
      <c r="H139" s="309"/>
      <c r="I139" s="309"/>
      <c r="J139" s="309"/>
      <c r="K139" s="309"/>
      <c r="L139" s="309"/>
      <c r="M139" s="309"/>
      <c r="N139" s="309"/>
      <c r="O139" s="309"/>
      <c r="P139" s="309"/>
      <c r="Q139" s="309"/>
      <c r="R139" s="309"/>
      <c r="S139" s="309"/>
      <c r="T139" s="309"/>
      <c r="U139" s="309"/>
      <c r="V139" s="309"/>
      <c r="W139" s="309"/>
      <c r="X139" s="309"/>
      <c r="Y139" s="309"/>
      <c r="Z139" s="309"/>
      <c r="AA139" s="66"/>
      <c r="AB139" s="66"/>
      <c r="AC139" s="83"/>
    </row>
    <row r="140" spans="1:68" ht="27" customHeight="1" x14ac:dyDescent="0.25">
      <c r="A140" s="63" t="s">
        <v>237</v>
      </c>
      <c r="B140" s="63" t="s">
        <v>238</v>
      </c>
      <c r="C140" s="36">
        <v>4301190117</v>
      </c>
      <c r="D140" s="291">
        <v>4620207491386</v>
      </c>
      <c r="E140" s="291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116</v>
      </c>
      <c r="L140" s="37" t="s">
        <v>86</v>
      </c>
      <c r="M140" s="38" t="s">
        <v>84</v>
      </c>
      <c r="N140" s="38"/>
      <c r="O140" s="37">
        <v>180</v>
      </c>
      <c r="P140" s="35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3"/>
      <c r="R140" s="293"/>
      <c r="S140" s="293"/>
      <c r="T140" s="294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239</v>
      </c>
      <c r="AG140" s="81"/>
      <c r="AJ140" s="87" t="s">
        <v>87</v>
      </c>
      <c r="AK140" s="87">
        <v>1</v>
      </c>
      <c r="BB140" s="192" t="s">
        <v>115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customHeight="1" x14ac:dyDescent="0.25">
      <c r="A141" s="63" t="s">
        <v>240</v>
      </c>
      <c r="B141" s="63" t="s">
        <v>241</v>
      </c>
      <c r="C141" s="36">
        <v>4301190115</v>
      </c>
      <c r="D141" s="291">
        <v>4620207491362</v>
      </c>
      <c r="E141" s="291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35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3"/>
      <c r="R141" s="293"/>
      <c r="S141" s="293"/>
      <c r="T141" s="294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239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242</v>
      </c>
      <c r="B142" s="63" t="s">
        <v>243</v>
      </c>
      <c r="C142" s="36">
        <v>4301190116</v>
      </c>
      <c r="D142" s="291">
        <v>4620207491379</v>
      </c>
      <c r="E142" s="291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35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3"/>
      <c r="R142" s="293"/>
      <c r="S142" s="293"/>
      <c r="T142" s="294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239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x14ac:dyDescent="0.2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9"/>
      <c r="P143" s="295" t="s">
        <v>40</v>
      </c>
      <c r="Q143" s="296"/>
      <c r="R143" s="296"/>
      <c r="S143" s="296"/>
      <c r="T143" s="296"/>
      <c r="U143" s="296"/>
      <c r="V143" s="297"/>
      <c r="W143" s="42" t="s">
        <v>39</v>
      </c>
      <c r="X143" s="43">
        <f>IFERROR(SUM(X140:X142),"0")</f>
        <v>0</v>
      </c>
      <c r="Y143" s="43">
        <f>IFERROR(SUM(Y140:Y142),"0")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9"/>
      <c r="P144" s="295" t="s">
        <v>40</v>
      </c>
      <c r="Q144" s="296"/>
      <c r="R144" s="296"/>
      <c r="S144" s="296"/>
      <c r="T144" s="296"/>
      <c r="U144" s="296"/>
      <c r="V144" s="297"/>
      <c r="W144" s="42" t="s">
        <v>0</v>
      </c>
      <c r="X144" s="43">
        <f>IFERROR(SUMPRODUCT(X140:X142*H140:H142),"0")</f>
        <v>0</v>
      </c>
      <c r="Y144" s="43">
        <f>IFERROR(SUMPRODUCT(Y140:Y142*H140:H142),"0")</f>
        <v>0</v>
      </c>
      <c r="Z144" s="42"/>
      <c r="AA144" s="67"/>
      <c r="AB144" s="67"/>
      <c r="AC144" s="67"/>
    </row>
    <row r="145" spans="1:68" ht="16.5" customHeight="1" x14ac:dyDescent="0.25">
      <c r="A145" s="319" t="s">
        <v>244</v>
      </c>
      <c r="B145" s="319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  <c r="AA145" s="65"/>
      <c r="AB145" s="65"/>
      <c r="AC145" s="82"/>
    </row>
    <row r="146" spans="1:68" ht="14.25" customHeight="1" x14ac:dyDescent="0.25">
      <c r="A146" s="309" t="s">
        <v>155</v>
      </c>
      <c r="B146" s="309"/>
      <c r="C146" s="309"/>
      <c r="D146" s="309"/>
      <c r="E146" s="309"/>
      <c r="F146" s="309"/>
      <c r="G146" s="309"/>
      <c r="H146" s="309"/>
      <c r="I146" s="309"/>
      <c r="J146" s="309"/>
      <c r="K146" s="309"/>
      <c r="L146" s="309"/>
      <c r="M146" s="309"/>
      <c r="N146" s="309"/>
      <c r="O146" s="309"/>
      <c r="P146" s="309"/>
      <c r="Q146" s="309"/>
      <c r="R146" s="309"/>
      <c r="S146" s="309"/>
      <c r="T146" s="309"/>
      <c r="U146" s="309"/>
      <c r="V146" s="309"/>
      <c r="W146" s="309"/>
      <c r="X146" s="309"/>
      <c r="Y146" s="309"/>
      <c r="Z146" s="309"/>
      <c r="AA146" s="66"/>
      <c r="AB146" s="66"/>
      <c r="AC146" s="83"/>
    </row>
    <row r="147" spans="1:68" ht="27" customHeight="1" x14ac:dyDescent="0.25">
      <c r="A147" s="63" t="s">
        <v>245</v>
      </c>
      <c r="B147" s="63" t="s">
        <v>246</v>
      </c>
      <c r="C147" s="36">
        <v>4301135555</v>
      </c>
      <c r="D147" s="291">
        <v>4607111034014</v>
      </c>
      <c r="E147" s="291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116</v>
      </c>
      <c r="L147" s="37" t="s">
        <v>117</v>
      </c>
      <c r="M147" s="38" t="s">
        <v>84</v>
      </c>
      <c r="N147" s="38"/>
      <c r="O147" s="37">
        <v>180</v>
      </c>
      <c r="P147" s="35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3"/>
      <c r="R147" s="293"/>
      <c r="S147" s="293"/>
      <c r="T147" s="294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7" t="s">
        <v>247</v>
      </c>
      <c r="AG147" s="81"/>
      <c r="AJ147" s="87" t="s">
        <v>118</v>
      </c>
      <c r="AK147" s="87">
        <v>14</v>
      </c>
      <c r="BB147" s="198" t="s">
        <v>115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27" customHeight="1" x14ac:dyDescent="0.25">
      <c r="A148" s="63" t="s">
        <v>248</v>
      </c>
      <c r="B148" s="63" t="s">
        <v>249</v>
      </c>
      <c r="C148" s="36">
        <v>4301135532</v>
      </c>
      <c r="D148" s="291">
        <v>4607111033994</v>
      </c>
      <c r="E148" s="291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3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3"/>
      <c r="R148" s="293"/>
      <c r="S148" s="293"/>
      <c r="T148" s="294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173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x14ac:dyDescent="0.2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9"/>
      <c r="P149" s="295" t="s">
        <v>40</v>
      </c>
      <c r="Q149" s="296"/>
      <c r="R149" s="296"/>
      <c r="S149" s="296"/>
      <c r="T149" s="296"/>
      <c r="U149" s="296"/>
      <c r="V149" s="297"/>
      <c r="W149" s="42" t="s">
        <v>39</v>
      </c>
      <c r="X149" s="43">
        <f>IFERROR(SUM(X147:X148),"0")</f>
        <v>0</v>
      </c>
      <c r="Y149" s="43">
        <f>IFERROR(SUM(Y147:Y148),"0")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x14ac:dyDescent="0.2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9"/>
      <c r="P150" s="295" t="s">
        <v>40</v>
      </c>
      <c r="Q150" s="296"/>
      <c r="R150" s="296"/>
      <c r="S150" s="296"/>
      <c r="T150" s="296"/>
      <c r="U150" s="296"/>
      <c r="V150" s="297"/>
      <c r="W150" s="42" t="s">
        <v>0</v>
      </c>
      <c r="X150" s="43">
        <f>IFERROR(SUMPRODUCT(X147:X148*H147:H148),"0")</f>
        <v>0</v>
      </c>
      <c r="Y150" s="43">
        <f>IFERROR(SUMPRODUCT(Y147:Y148*H147:H148),"0")</f>
        <v>0</v>
      </c>
      <c r="Z150" s="42"/>
      <c r="AA150" s="67"/>
      <c r="AB150" s="67"/>
      <c r="AC150" s="67"/>
    </row>
    <row r="151" spans="1:68" ht="16.5" customHeight="1" x14ac:dyDescent="0.25">
      <c r="A151" s="319" t="s">
        <v>250</v>
      </c>
      <c r="B151" s="319"/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  <c r="AA151" s="65"/>
      <c r="AB151" s="65"/>
      <c r="AC151" s="82"/>
    </row>
    <row r="152" spans="1:68" ht="14.25" customHeight="1" x14ac:dyDescent="0.25">
      <c r="A152" s="309" t="s">
        <v>155</v>
      </c>
      <c r="B152" s="309"/>
      <c r="C152" s="309"/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  <c r="O152" s="309"/>
      <c r="P152" s="309"/>
      <c r="Q152" s="309"/>
      <c r="R152" s="309"/>
      <c r="S152" s="309"/>
      <c r="T152" s="309"/>
      <c r="U152" s="309"/>
      <c r="V152" s="309"/>
      <c r="W152" s="309"/>
      <c r="X152" s="309"/>
      <c r="Y152" s="309"/>
      <c r="Z152" s="309"/>
      <c r="AA152" s="66"/>
      <c r="AB152" s="66"/>
      <c r="AC152" s="83"/>
    </row>
    <row r="153" spans="1:68" ht="27" customHeight="1" x14ac:dyDescent="0.25">
      <c r="A153" s="63" t="s">
        <v>251</v>
      </c>
      <c r="B153" s="63" t="s">
        <v>252</v>
      </c>
      <c r="C153" s="36">
        <v>4301135824</v>
      </c>
      <c r="D153" s="291">
        <v>4607111039095</v>
      </c>
      <c r="E153" s="291"/>
      <c r="F153" s="62">
        <v>0.25</v>
      </c>
      <c r="G153" s="37">
        <v>12</v>
      </c>
      <c r="H153" s="62">
        <v>3</v>
      </c>
      <c r="I153" s="62">
        <v>3.7480000000000002</v>
      </c>
      <c r="J153" s="37">
        <v>70</v>
      </c>
      <c r="K153" s="37" t="s">
        <v>116</v>
      </c>
      <c r="L153" s="37" t="s">
        <v>86</v>
      </c>
      <c r="M153" s="38" t="s">
        <v>84</v>
      </c>
      <c r="N153" s="38"/>
      <c r="O153" s="37">
        <v>180</v>
      </c>
      <c r="P153" s="34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3"/>
      <c r="R153" s="293"/>
      <c r="S153" s="293"/>
      <c r="T153" s="294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201" t="s">
        <v>253</v>
      </c>
      <c r="AG153" s="81"/>
      <c r="AJ153" s="87" t="s">
        <v>87</v>
      </c>
      <c r="AK153" s="87">
        <v>1</v>
      </c>
      <c r="BB153" s="202" t="s">
        <v>115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ht="16.5" customHeight="1" x14ac:dyDescent="0.25">
      <c r="A154" s="63" t="s">
        <v>254</v>
      </c>
      <c r="B154" s="63" t="s">
        <v>255</v>
      </c>
      <c r="C154" s="36">
        <v>4301135550</v>
      </c>
      <c r="D154" s="291">
        <v>4607111034199</v>
      </c>
      <c r="E154" s="291"/>
      <c r="F154" s="62">
        <v>0.25</v>
      </c>
      <c r="G154" s="37">
        <v>12</v>
      </c>
      <c r="H154" s="62">
        <v>3</v>
      </c>
      <c r="I154" s="62">
        <v>3.7035999999999998</v>
      </c>
      <c r="J154" s="37">
        <v>70</v>
      </c>
      <c r="K154" s="37" t="s">
        <v>116</v>
      </c>
      <c r="L154" s="37" t="s">
        <v>117</v>
      </c>
      <c r="M154" s="38" t="s">
        <v>84</v>
      </c>
      <c r="N154" s="38"/>
      <c r="O154" s="37">
        <v>180</v>
      </c>
      <c r="P154" s="34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3"/>
      <c r="R154" s="293"/>
      <c r="S154" s="293"/>
      <c r="T154" s="294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256</v>
      </c>
      <c r="AG154" s="81"/>
      <c r="AJ154" s="87" t="s">
        <v>118</v>
      </c>
      <c r="AK154" s="87">
        <v>14</v>
      </c>
      <c r="BB154" s="204" t="s">
        <v>115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9"/>
      <c r="P155" s="295" t="s">
        <v>40</v>
      </c>
      <c r="Q155" s="296"/>
      <c r="R155" s="296"/>
      <c r="S155" s="296"/>
      <c r="T155" s="296"/>
      <c r="U155" s="296"/>
      <c r="V155" s="297"/>
      <c r="W155" s="42" t="s">
        <v>39</v>
      </c>
      <c r="X155" s="43">
        <f>IFERROR(SUM(X153:X154),"0")</f>
        <v>0</v>
      </c>
      <c r="Y155" s="43">
        <f>IFERROR(SUM(Y153:Y154),"0")</f>
        <v>0</v>
      </c>
      <c r="Z155" s="43">
        <f>IFERROR(IF(Z153="",0,Z153),"0")+IFERROR(IF(Z154="",0,Z154),"0")</f>
        <v>0</v>
      </c>
      <c r="AA155" s="67"/>
      <c r="AB155" s="67"/>
      <c r="AC155" s="67"/>
    </row>
    <row r="156" spans="1:68" x14ac:dyDescent="0.2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9"/>
      <c r="P156" s="295" t="s">
        <v>40</v>
      </c>
      <c r="Q156" s="296"/>
      <c r="R156" s="296"/>
      <c r="S156" s="296"/>
      <c r="T156" s="296"/>
      <c r="U156" s="296"/>
      <c r="V156" s="297"/>
      <c r="W156" s="42" t="s">
        <v>0</v>
      </c>
      <c r="X156" s="43">
        <f>IFERROR(SUMPRODUCT(X153:X154*H153:H154),"0")</f>
        <v>0</v>
      </c>
      <c r="Y156" s="43">
        <f>IFERROR(SUMPRODUCT(Y153:Y154*H153:H154),"0")</f>
        <v>0</v>
      </c>
      <c r="Z156" s="42"/>
      <c r="AA156" s="67"/>
      <c r="AB156" s="67"/>
      <c r="AC156" s="67"/>
    </row>
    <row r="157" spans="1:68" ht="16.5" customHeight="1" x14ac:dyDescent="0.25">
      <c r="A157" s="319" t="s">
        <v>257</v>
      </c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  <c r="AA157" s="65"/>
      <c r="AB157" s="65"/>
      <c r="AC157" s="82"/>
    </row>
    <row r="158" spans="1:68" ht="14.25" customHeight="1" x14ac:dyDescent="0.25">
      <c r="A158" s="309" t="s">
        <v>155</v>
      </c>
      <c r="B158" s="309"/>
      <c r="C158" s="309"/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4301135753</v>
      </c>
      <c r="D159" s="291">
        <v>4620207490914</v>
      </c>
      <c r="E159" s="291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116</v>
      </c>
      <c r="L159" s="37" t="s">
        <v>86</v>
      </c>
      <c r="M159" s="38" t="s">
        <v>84</v>
      </c>
      <c r="N159" s="38"/>
      <c r="O159" s="37">
        <v>180</v>
      </c>
      <c r="P159" s="34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3"/>
      <c r="R159" s="293"/>
      <c r="S159" s="293"/>
      <c r="T159" s="294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IFERROR(IF(X159="","",X159*0.01788),"")</f>
        <v>0</v>
      </c>
      <c r="AA159" s="68" t="s">
        <v>46</v>
      </c>
      <c r="AB159" s="69" t="s">
        <v>46</v>
      </c>
      <c r="AC159" s="205" t="s">
        <v>247</v>
      </c>
      <c r="AG159" s="81"/>
      <c r="AJ159" s="87" t="s">
        <v>87</v>
      </c>
      <c r="AK159" s="87">
        <v>1</v>
      </c>
      <c r="BB159" s="206" t="s">
        <v>115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ht="27" customHeight="1" x14ac:dyDescent="0.25">
      <c r="A160" s="63" t="s">
        <v>260</v>
      </c>
      <c r="B160" s="63" t="s">
        <v>261</v>
      </c>
      <c r="C160" s="36">
        <v>4301135778</v>
      </c>
      <c r="D160" s="291">
        <v>4620207490853</v>
      </c>
      <c r="E160" s="291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117</v>
      </c>
      <c r="M160" s="38" t="s">
        <v>84</v>
      </c>
      <c r="N160" s="38"/>
      <c r="O160" s="37">
        <v>180</v>
      </c>
      <c r="P160" s="34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3"/>
      <c r="R160" s="293"/>
      <c r="S160" s="293"/>
      <c r="T160" s="294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7" t="s">
        <v>247</v>
      </c>
      <c r="AG160" s="81"/>
      <c r="AJ160" s="87" t="s">
        <v>118</v>
      </c>
      <c r="AK160" s="87">
        <v>14</v>
      </c>
      <c r="BB160" s="208" t="s">
        <v>115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9"/>
      <c r="P161" s="295" t="s">
        <v>40</v>
      </c>
      <c r="Q161" s="296"/>
      <c r="R161" s="296"/>
      <c r="S161" s="296"/>
      <c r="T161" s="296"/>
      <c r="U161" s="296"/>
      <c r="V161" s="297"/>
      <c r="W161" s="42" t="s">
        <v>39</v>
      </c>
      <c r="X161" s="43">
        <f>IFERROR(SUM(X159:X160),"0")</f>
        <v>0</v>
      </c>
      <c r="Y161" s="43">
        <f>IFERROR(SUM(Y159:Y160),"0")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9"/>
      <c r="P162" s="295" t="s">
        <v>40</v>
      </c>
      <c r="Q162" s="296"/>
      <c r="R162" s="296"/>
      <c r="S162" s="296"/>
      <c r="T162" s="296"/>
      <c r="U162" s="296"/>
      <c r="V162" s="297"/>
      <c r="W162" s="42" t="s">
        <v>0</v>
      </c>
      <c r="X162" s="43">
        <f>IFERROR(SUMPRODUCT(X159:X160*H159:H160),"0")</f>
        <v>0</v>
      </c>
      <c r="Y162" s="43">
        <f>IFERROR(SUMPRODUCT(Y159:Y160*H159:H160),"0")</f>
        <v>0</v>
      </c>
      <c r="Z162" s="42"/>
      <c r="AA162" s="67"/>
      <c r="AB162" s="67"/>
      <c r="AC162" s="67"/>
    </row>
    <row r="163" spans="1:68" ht="16.5" customHeight="1" x14ac:dyDescent="0.25">
      <c r="A163" s="319" t="s">
        <v>262</v>
      </c>
      <c r="B163" s="319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  <c r="AA163" s="65"/>
      <c r="AB163" s="65"/>
      <c r="AC163" s="82"/>
    </row>
    <row r="164" spans="1:68" ht="14.25" customHeight="1" x14ac:dyDescent="0.25">
      <c r="A164" s="309" t="s">
        <v>155</v>
      </c>
      <c r="B164" s="309"/>
      <c r="C164" s="309"/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09"/>
      <c r="O164" s="309"/>
      <c r="P164" s="309"/>
      <c r="Q164" s="309"/>
      <c r="R164" s="309"/>
      <c r="S164" s="309"/>
      <c r="T164" s="309"/>
      <c r="U164" s="309"/>
      <c r="V164" s="309"/>
      <c r="W164" s="309"/>
      <c r="X164" s="309"/>
      <c r="Y164" s="309"/>
      <c r="Z164" s="309"/>
      <c r="AA164" s="66"/>
      <c r="AB164" s="66"/>
      <c r="AC164" s="83"/>
    </row>
    <row r="165" spans="1:68" ht="27" customHeight="1" x14ac:dyDescent="0.25">
      <c r="A165" s="63" t="s">
        <v>263</v>
      </c>
      <c r="B165" s="63" t="s">
        <v>264</v>
      </c>
      <c r="C165" s="36">
        <v>4301135570</v>
      </c>
      <c r="D165" s="291">
        <v>4607111035806</v>
      </c>
      <c r="E165" s="291"/>
      <c r="F165" s="62">
        <v>0.25</v>
      </c>
      <c r="G165" s="37">
        <v>12</v>
      </c>
      <c r="H165" s="62">
        <v>3</v>
      </c>
      <c r="I165" s="62">
        <v>3.7035999999999998</v>
      </c>
      <c r="J165" s="37">
        <v>70</v>
      </c>
      <c r="K165" s="37" t="s">
        <v>116</v>
      </c>
      <c r="L165" s="37" t="s">
        <v>117</v>
      </c>
      <c r="M165" s="38" t="s">
        <v>84</v>
      </c>
      <c r="N165" s="38"/>
      <c r="O165" s="37">
        <v>180</v>
      </c>
      <c r="P165" s="34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3"/>
      <c r="R165" s="293"/>
      <c r="S165" s="293"/>
      <c r="T165" s="294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IFERROR(IF(X165="","",X165*0.01788),"")</f>
        <v>0</v>
      </c>
      <c r="AA165" s="68" t="s">
        <v>46</v>
      </c>
      <c r="AB165" s="69" t="s">
        <v>46</v>
      </c>
      <c r="AC165" s="209" t="s">
        <v>265</v>
      </c>
      <c r="AG165" s="81"/>
      <c r="AJ165" s="87" t="s">
        <v>118</v>
      </c>
      <c r="AK165" s="87">
        <v>14</v>
      </c>
      <c r="BB165" s="210" t="s">
        <v>115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9"/>
      <c r="P166" s="295" t="s">
        <v>40</v>
      </c>
      <c r="Q166" s="296"/>
      <c r="R166" s="296"/>
      <c r="S166" s="296"/>
      <c r="T166" s="296"/>
      <c r="U166" s="296"/>
      <c r="V166" s="297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9"/>
      <c r="P167" s="295" t="s">
        <v>40</v>
      </c>
      <c r="Q167" s="296"/>
      <c r="R167" s="296"/>
      <c r="S167" s="296"/>
      <c r="T167" s="296"/>
      <c r="U167" s="296"/>
      <c r="V167" s="297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16.5" customHeight="1" x14ac:dyDescent="0.25">
      <c r="A168" s="319" t="s">
        <v>266</v>
      </c>
      <c r="B168" s="319"/>
      <c r="C168" s="319"/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65"/>
      <c r="AB168" s="65"/>
      <c r="AC168" s="82"/>
    </row>
    <row r="169" spans="1:68" ht="14.25" customHeight="1" x14ac:dyDescent="0.25">
      <c r="A169" s="309" t="s">
        <v>155</v>
      </c>
      <c r="B169" s="309"/>
      <c r="C169" s="309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09"/>
      <c r="O169" s="309"/>
      <c r="P169" s="309"/>
      <c r="Q169" s="309"/>
      <c r="R169" s="309"/>
      <c r="S169" s="309"/>
      <c r="T169" s="309"/>
      <c r="U169" s="309"/>
      <c r="V169" s="309"/>
      <c r="W169" s="309"/>
      <c r="X169" s="309"/>
      <c r="Y169" s="309"/>
      <c r="Z169" s="309"/>
      <c r="AA169" s="66"/>
      <c r="AB169" s="66"/>
      <c r="AC169" s="83"/>
    </row>
    <row r="170" spans="1:68" ht="16.5" customHeight="1" x14ac:dyDescent="0.25">
      <c r="A170" s="63" t="s">
        <v>267</v>
      </c>
      <c r="B170" s="63" t="s">
        <v>268</v>
      </c>
      <c r="C170" s="36">
        <v>4301135607</v>
      </c>
      <c r="D170" s="291">
        <v>4607111039613</v>
      </c>
      <c r="E170" s="291"/>
      <c r="F170" s="62">
        <v>0.09</v>
      </c>
      <c r="G170" s="37">
        <v>30</v>
      </c>
      <c r="H170" s="62">
        <v>2.7</v>
      </c>
      <c r="I170" s="62">
        <v>3.09</v>
      </c>
      <c r="J170" s="37">
        <v>126</v>
      </c>
      <c r="K170" s="37" t="s">
        <v>116</v>
      </c>
      <c r="L170" s="37" t="s">
        <v>117</v>
      </c>
      <c r="M170" s="38" t="s">
        <v>84</v>
      </c>
      <c r="N170" s="38"/>
      <c r="O170" s="37">
        <v>180</v>
      </c>
      <c r="P170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3"/>
      <c r="R170" s="293"/>
      <c r="S170" s="293"/>
      <c r="T170" s="294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IFERROR(IF(X170="","",X170*0.00936),"")</f>
        <v>0</v>
      </c>
      <c r="AA170" s="68" t="s">
        <v>46</v>
      </c>
      <c r="AB170" s="69" t="s">
        <v>46</v>
      </c>
      <c r="AC170" s="211" t="s">
        <v>253</v>
      </c>
      <c r="AG170" s="81"/>
      <c r="AJ170" s="87" t="s">
        <v>118</v>
      </c>
      <c r="AK170" s="87">
        <v>14</v>
      </c>
      <c r="BB170" s="212" t="s">
        <v>115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9"/>
      <c r="P171" s="295" t="s">
        <v>40</v>
      </c>
      <c r="Q171" s="296"/>
      <c r="R171" s="296"/>
      <c r="S171" s="296"/>
      <c r="T171" s="296"/>
      <c r="U171" s="296"/>
      <c r="V171" s="297"/>
      <c r="W171" s="42" t="s">
        <v>39</v>
      </c>
      <c r="X171" s="43">
        <f>IFERROR(SUM(X170:X170),"0")</f>
        <v>0</v>
      </c>
      <c r="Y171" s="43">
        <f>IFERROR(SUM(Y170:Y170),"0")</f>
        <v>0</v>
      </c>
      <c r="Z171" s="43">
        <f>IFERROR(IF(Z170="",0,Z170),"0")</f>
        <v>0</v>
      </c>
      <c r="AA171" s="67"/>
      <c r="AB171" s="67"/>
      <c r="AC171" s="67"/>
    </row>
    <row r="172" spans="1:68" x14ac:dyDescent="0.2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9"/>
      <c r="P172" s="295" t="s">
        <v>40</v>
      </c>
      <c r="Q172" s="296"/>
      <c r="R172" s="296"/>
      <c r="S172" s="296"/>
      <c r="T172" s="296"/>
      <c r="U172" s="296"/>
      <c r="V172" s="297"/>
      <c r="W172" s="42" t="s">
        <v>0</v>
      </c>
      <c r="X172" s="43">
        <f>IFERROR(SUMPRODUCT(X170:X170*H170:H170),"0")</f>
        <v>0</v>
      </c>
      <c r="Y172" s="43">
        <f>IFERROR(SUMPRODUCT(Y170:Y170*H170:H170),"0")</f>
        <v>0</v>
      </c>
      <c r="Z172" s="42"/>
      <c r="AA172" s="67"/>
      <c r="AB172" s="67"/>
      <c r="AC172" s="67"/>
    </row>
    <row r="173" spans="1:68" ht="16.5" customHeight="1" x14ac:dyDescent="0.25">
      <c r="A173" s="319" t="s">
        <v>269</v>
      </c>
      <c r="B173" s="319"/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  <c r="AA173" s="65"/>
      <c r="AB173" s="65"/>
      <c r="AC173" s="82"/>
    </row>
    <row r="174" spans="1:68" ht="14.25" customHeight="1" x14ac:dyDescent="0.25">
      <c r="A174" s="309" t="s">
        <v>155</v>
      </c>
      <c r="B174" s="309"/>
      <c r="C174" s="309"/>
      <c r="D174" s="309"/>
      <c r="E174" s="309"/>
      <c r="F174" s="309"/>
      <c r="G174" s="309"/>
      <c r="H174" s="309"/>
      <c r="I174" s="309"/>
      <c r="J174" s="309"/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09"/>
      <c r="X174" s="309"/>
      <c r="Y174" s="309"/>
      <c r="Z174" s="309"/>
      <c r="AA174" s="66"/>
      <c r="AB174" s="66"/>
      <c r="AC174" s="83"/>
    </row>
    <row r="175" spans="1:68" ht="27" customHeight="1" x14ac:dyDescent="0.25">
      <c r="A175" s="63" t="s">
        <v>270</v>
      </c>
      <c r="B175" s="63" t="s">
        <v>271</v>
      </c>
      <c r="C175" s="36">
        <v>4301135591</v>
      </c>
      <c r="D175" s="291">
        <v>4607111036568</v>
      </c>
      <c r="E175" s="291"/>
      <c r="F175" s="62">
        <v>0.28000000000000003</v>
      </c>
      <c r="G175" s="37">
        <v>6</v>
      </c>
      <c r="H175" s="62">
        <v>1.68</v>
      </c>
      <c r="I175" s="62">
        <v>2.1017999999999999</v>
      </c>
      <c r="J175" s="37">
        <v>140</v>
      </c>
      <c r="K175" s="37" t="s">
        <v>116</v>
      </c>
      <c r="L175" s="37" t="s">
        <v>117</v>
      </c>
      <c r="M175" s="38" t="s">
        <v>84</v>
      </c>
      <c r="N175" s="38"/>
      <c r="O175" s="37">
        <v>180</v>
      </c>
      <c r="P175" s="34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3"/>
      <c r="R175" s="293"/>
      <c r="S175" s="293"/>
      <c r="T175" s="294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IFERROR(IF(X175="","",X175*0.00941),"")</f>
        <v>0</v>
      </c>
      <c r="AA175" s="68" t="s">
        <v>46</v>
      </c>
      <c r="AB175" s="69" t="s">
        <v>46</v>
      </c>
      <c r="AC175" s="213" t="s">
        <v>272</v>
      </c>
      <c r="AG175" s="81"/>
      <c r="AJ175" s="87" t="s">
        <v>118</v>
      </c>
      <c r="AK175" s="87">
        <v>14</v>
      </c>
      <c r="BB175" s="214" t="s">
        <v>115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x14ac:dyDescent="0.2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9"/>
      <c r="P176" s="295" t="s">
        <v>40</v>
      </c>
      <c r="Q176" s="296"/>
      <c r="R176" s="296"/>
      <c r="S176" s="296"/>
      <c r="T176" s="296"/>
      <c r="U176" s="296"/>
      <c r="V176" s="297"/>
      <c r="W176" s="42" t="s">
        <v>39</v>
      </c>
      <c r="X176" s="43">
        <f>IFERROR(SUM(X175:X175),"0")</f>
        <v>0</v>
      </c>
      <c r="Y176" s="43">
        <f>IFERROR(SUM(Y175:Y175),"0")</f>
        <v>0</v>
      </c>
      <c r="Z176" s="43">
        <f>IFERROR(IF(Z175="",0,Z175),"0")</f>
        <v>0</v>
      </c>
      <c r="AA176" s="67"/>
      <c r="AB176" s="67"/>
      <c r="AC176" s="67"/>
    </row>
    <row r="177" spans="1:68" x14ac:dyDescent="0.2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9"/>
      <c r="P177" s="295" t="s">
        <v>40</v>
      </c>
      <c r="Q177" s="296"/>
      <c r="R177" s="296"/>
      <c r="S177" s="296"/>
      <c r="T177" s="296"/>
      <c r="U177" s="296"/>
      <c r="V177" s="297"/>
      <c r="W177" s="42" t="s">
        <v>0</v>
      </c>
      <c r="X177" s="43">
        <f>IFERROR(SUMPRODUCT(X175:X175*H175:H175),"0")</f>
        <v>0</v>
      </c>
      <c r="Y177" s="43">
        <f>IFERROR(SUMPRODUCT(Y175:Y175*H175:H175),"0")</f>
        <v>0</v>
      </c>
      <c r="Z177" s="42"/>
      <c r="AA177" s="67"/>
      <c r="AB177" s="67"/>
      <c r="AC177" s="67"/>
    </row>
    <row r="178" spans="1:68" ht="27.75" customHeight="1" x14ac:dyDescent="0.2">
      <c r="A178" s="318" t="s">
        <v>273</v>
      </c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54"/>
      <c r="AB178" s="54"/>
      <c r="AC178" s="54"/>
    </row>
    <row r="179" spans="1:68" ht="16.5" customHeight="1" x14ac:dyDescent="0.25">
      <c r="A179" s="319" t="s">
        <v>274</v>
      </c>
      <c r="B179" s="319"/>
      <c r="C179" s="319"/>
      <c r="D179" s="319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  <c r="Z179" s="319"/>
      <c r="AA179" s="65"/>
      <c r="AB179" s="65"/>
      <c r="AC179" s="82"/>
    </row>
    <row r="180" spans="1:68" ht="14.25" customHeight="1" x14ac:dyDescent="0.25">
      <c r="A180" s="309" t="s">
        <v>80</v>
      </c>
      <c r="B180" s="309"/>
      <c r="C180" s="309"/>
      <c r="D180" s="309"/>
      <c r="E180" s="309"/>
      <c r="F180" s="309"/>
      <c r="G180" s="309"/>
      <c r="H180" s="309"/>
      <c r="I180" s="309"/>
      <c r="J180" s="309"/>
      <c r="K180" s="309"/>
      <c r="L180" s="309"/>
      <c r="M180" s="309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  <c r="AA180" s="66"/>
      <c r="AB180" s="66"/>
      <c r="AC180" s="83"/>
    </row>
    <row r="181" spans="1:68" ht="16.5" customHeight="1" x14ac:dyDescent="0.25">
      <c r="A181" s="63" t="s">
        <v>275</v>
      </c>
      <c r="B181" s="63" t="s">
        <v>276</v>
      </c>
      <c r="C181" s="36">
        <v>4301071062</v>
      </c>
      <c r="D181" s="291">
        <v>4607111036384</v>
      </c>
      <c r="E181" s="291"/>
      <c r="F181" s="62">
        <v>5</v>
      </c>
      <c r="G181" s="37">
        <v>1</v>
      </c>
      <c r="H181" s="62">
        <v>5</v>
      </c>
      <c r="I181" s="62">
        <v>5.2106000000000003</v>
      </c>
      <c r="J181" s="37">
        <v>144</v>
      </c>
      <c r="K181" s="37" t="s">
        <v>85</v>
      </c>
      <c r="L181" s="37" t="s">
        <v>86</v>
      </c>
      <c r="M181" s="38" t="s">
        <v>84</v>
      </c>
      <c r="N181" s="38"/>
      <c r="O181" s="37">
        <v>180</v>
      </c>
      <c r="P181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3"/>
      <c r="R181" s="293"/>
      <c r="S181" s="293"/>
      <c r="T181" s="294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5" t="s">
        <v>277</v>
      </c>
      <c r="AG181" s="81"/>
      <c r="AJ181" s="87" t="s">
        <v>87</v>
      </c>
      <c r="AK181" s="87">
        <v>1</v>
      </c>
      <c r="BB181" s="216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278</v>
      </c>
      <c r="B182" s="63" t="s">
        <v>279</v>
      </c>
      <c r="C182" s="36">
        <v>4301071050</v>
      </c>
      <c r="D182" s="291">
        <v>4607111036216</v>
      </c>
      <c r="E182" s="291"/>
      <c r="F182" s="62">
        <v>5</v>
      </c>
      <c r="G182" s="37">
        <v>1</v>
      </c>
      <c r="H182" s="62">
        <v>5</v>
      </c>
      <c r="I182" s="62">
        <v>5.2131999999999996</v>
      </c>
      <c r="J182" s="37">
        <v>144</v>
      </c>
      <c r="K182" s="37" t="s">
        <v>85</v>
      </c>
      <c r="L182" s="37" t="s">
        <v>117</v>
      </c>
      <c r="M182" s="38" t="s">
        <v>84</v>
      </c>
      <c r="N182" s="38"/>
      <c r="O182" s="37">
        <v>180</v>
      </c>
      <c r="P182" s="3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3"/>
      <c r="R182" s="293"/>
      <c r="S182" s="293"/>
      <c r="T182" s="294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280</v>
      </c>
      <c r="AG182" s="81"/>
      <c r="AJ182" s="87" t="s">
        <v>118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9"/>
      <c r="P183" s="295" t="s">
        <v>40</v>
      </c>
      <c r="Q183" s="296"/>
      <c r="R183" s="296"/>
      <c r="S183" s="296"/>
      <c r="T183" s="296"/>
      <c r="U183" s="296"/>
      <c r="V183" s="297"/>
      <c r="W183" s="42" t="s">
        <v>39</v>
      </c>
      <c r="X183" s="43">
        <f>IFERROR(SUM(X181:X182),"0")</f>
        <v>0</v>
      </c>
      <c r="Y183" s="43">
        <f>IFERROR(SUM(Y181:Y182),"0")</f>
        <v>0</v>
      </c>
      <c r="Z183" s="43">
        <f>IFERROR(IF(Z181="",0,Z181),"0")+IFERROR(IF(Z182="",0,Z182),"0")</f>
        <v>0</v>
      </c>
      <c r="AA183" s="67"/>
      <c r="AB183" s="67"/>
      <c r="AC183" s="67"/>
    </row>
    <row r="184" spans="1:68" x14ac:dyDescent="0.2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9"/>
      <c r="P184" s="295" t="s">
        <v>40</v>
      </c>
      <c r="Q184" s="296"/>
      <c r="R184" s="296"/>
      <c r="S184" s="296"/>
      <c r="T184" s="296"/>
      <c r="U184" s="296"/>
      <c r="V184" s="297"/>
      <c r="W184" s="42" t="s">
        <v>0</v>
      </c>
      <c r="X184" s="43">
        <f>IFERROR(SUMPRODUCT(X181:X182*H181:H182),"0")</f>
        <v>0</v>
      </c>
      <c r="Y184" s="43">
        <f>IFERROR(SUMPRODUCT(Y181:Y182*H181:H182),"0")</f>
        <v>0</v>
      </c>
      <c r="Z184" s="42"/>
      <c r="AA184" s="67"/>
      <c r="AB184" s="67"/>
      <c r="AC184" s="67"/>
    </row>
    <row r="185" spans="1:68" ht="16.5" customHeight="1" x14ac:dyDescent="0.25">
      <c r="A185" s="319" t="s">
        <v>281</v>
      </c>
      <c r="B185" s="319"/>
      <c r="C185" s="319"/>
      <c r="D185" s="319"/>
      <c r="E185" s="319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  <c r="Z185" s="319"/>
      <c r="AA185" s="65"/>
      <c r="AB185" s="65"/>
      <c r="AC185" s="82"/>
    </row>
    <row r="186" spans="1:68" ht="14.25" customHeight="1" x14ac:dyDescent="0.25">
      <c r="A186" s="309" t="s">
        <v>80</v>
      </c>
      <c r="B186" s="309"/>
      <c r="C186" s="309"/>
      <c r="D186" s="309"/>
      <c r="E186" s="309"/>
      <c r="F186" s="309"/>
      <c r="G186" s="309"/>
      <c r="H186" s="309"/>
      <c r="I186" s="309"/>
      <c r="J186" s="309"/>
      <c r="K186" s="309"/>
      <c r="L186" s="309"/>
      <c r="M186" s="309"/>
      <c r="N186" s="309"/>
      <c r="O186" s="309"/>
      <c r="P186" s="309"/>
      <c r="Q186" s="309"/>
      <c r="R186" s="309"/>
      <c r="S186" s="309"/>
      <c r="T186" s="309"/>
      <c r="U186" s="309"/>
      <c r="V186" s="309"/>
      <c r="W186" s="309"/>
      <c r="X186" s="309"/>
      <c r="Y186" s="309"/>
      <c r="Z186" s="309"/>
      <c r="AA186" s="66"/>
      <c r="AB186" s="66"/>
      <c r="AC186" s="83"/>
    </row>
    <row r="187" spans="1:68" ht="27" customHeight="1" x14ac:dyDescent="0.25">
      <c r="A187" s="63" t="s">
        <v>282</v>
      </c>
      <c r="B187" s="63" t="s">
        <v>283</v>
      </c>
      <c r="C187" s="36">
        <v>4301071117</v>
      </c>
      <c r="D187" s="291">
        <v>4620207491737</v>
      </c>
      <c r="E187" s="291"/>
      <c r="F187" s="62">
        <v>1</v>
      </c>
      <c r="G187" s="37">
        <v>5</v>
      </c>
      <c r="H187" s="62">
        <v>5</v>
      </c>
      <c r="I187" s="62">
        <v>5.2619999999999996</v>
      </c>
      <c r="J187" s="37">
        <v>84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3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93"/>
      <c r="R187" s="293"/>
      <c r="S187" s="293"/>
      <c r="T187" s="294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IFERROR(IF(X187="","",X187*0.0155),"")</f>
        <v>0</v>
      </c>
      <c r="AA187" s="68" t="s">
        <v>46</v>
      </c>
      <c r="AB187" s="69" t="s">
        <v>46</v>
      </c>
      <c r="AC187" s="219" t="s">
        <v>280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9"/>
      <c r="P188" s="295" t="s">
        <v>40</v>
      </c>
      <c r="Q188" s="296"/>
      <c r="R188" s="296"/>
      <c r="S188" s="296"/>
      <c r="T188" s="296"/>
      <c r="U188" s="296"/>
      <c r="V188" s="297"/>
      <c r="W188" s="42" t="s">
        <v>39</v>
      </c>
      <c r="X188" s="43">
        <f>IFERROR(SUM(X187:X187),"0")</f>
        <v>0</v>
      </c>
      <c r="Y188" s="43">
        <f>IFERROR(SUM(Y187:Y187),"0")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9"/>
      <c r="P189" s="295" t="s">
        <v>40</v>
      </c>
      <c r="Q189" s="296"/>
      <c r="R189" s="296"/>
      <c r="S189" s="296"/>
      <c r="T189" s="296"/>
      <c r="U189" s="296"/>
      <c r="V189" s="297"/>
      <c r="W189" s="42" t="s">
        <v>0</v>
      </c>
      <c r="X189" s="43">
        <f>IFERROR(SUMPRODUCT(X187:X187*H187:H187),"0")</f>
        <v>0</v>
      </c>
      <c r="Y189" s="43">
        <f>IFERROR(SUMPRODUCT(Y187:Y187*H187:H187),"0")</f>
        <v>0</v>
      </c>
      <c r="Z189" s="42"/>
      <c r="AA189" s="67"/>
      <c r="AB189" s="67"/>
      <c r="AC189" s="67"/>
    </row>
    <row r="190" spans="1:68" ht="27.75" customHeight="1" x14ac:dyDescent="0.2">
      <c r="A190" s="318" t="s">
        <v>284</v>
      </c>
      <c r="B190" s="318"/>
      <c r="C190" s="318"/>
      <c r="D190" s="318"/>
      <c r="E190" s="318"/>
      <c r="F190" s="318"/>
      <c r="G190" s="318"/>
      <c r="H190" s="318"/>
      <c r="I190" s="318"/>
      <c r="J190" s="318"/>
      <c r="K190" s="318"/>
      <c r="L190" s="318"/>
      <c r="M190" s="318"/>
      <c r="N190" s="318"/>
      <c r="O190" s="318"/>
      <c r="P190" s="318"/>
      <c r="Q190" s="318"/>
      <c r="R190" s="318"/>
      <c r="S190" s="318"/>
      <c r="T190" s="318"/>
      <c r="U190" s="318"/>
      <c r="V190" s="318"/>
      <c r="W190" s="318"/>
      <c r="X190" s="318"/>
      <c r="Y190" s="318"/>
      <c r="Z190" s="318"/>
      <c r="AA190" s="54"/>
      <c r="AB190" s="54"/>
      <c r="AC190" s="54"/>
    </row>
    <row r="191" spans="1:68" ht="16.5" customHeight="1" x14ac:dyDescent="0.25">
      <c r="A191" s="319" t="s">
        <v>285</v>
      </c>
      <c r="B191" s="319"/>
      <c r="C191" s="319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  <c r="Z191" s="319"/>
      <c r="AA191" s="65"/>
      <c r="AB191" s="65"/>
      <c r="AC191" s="82"/>
    </row>
    <row r="192" spans="1:68" ht="14.25" customHeight="1" x14ac:dyDescent="0.25">
      <c r="A192" s="309" t="s">
        <v>111</v>
      </c>
      <c r="B192" s="309"/>
      <c r="C192" s="309"/>
      <c r="D192" s="309"/>
      <c r="E192" s="309"/>
      <c r="F192" s="309"/>
      <c r="G192" s="309"/>
      <c r="H192" s="309"/>
      <c r="I192" s="309"/>
      <c r="J192" s="309"/>
      <c r="K192" s="309"/>
      <c r="L192" s="309"/>
      <c r="M192" s="309"/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  <c r="AA192" s="66"/>
      <c r="AB192" s="66"/>
      <c r="AC192" s="83"/>
    </row>
    <row r="193" spans="1:68" ht="16.5" customHeight="1" x14ac:dyDescent="0.25">
      <c r="A193" s="63" t="s">
        <v>286</v>
      </c>
      <c r="B193" s="63" t="s">
        <v>287</v>
      </c>
      <c r="C193" s="36">
        <v>4301132179</v>
      </c>
      <c r="D193" s="291">
        <v>4607111035691</v>
      </c>
      <c r="E193" s="291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116</v>
      </c>
      <c r="L193" s="37" t="s">
        <v>117</v>
      </c>
      <c r="M193" s="38" t="s">
        <v>84</v>
      </c>
      <c r="N193" s="38"/>
      <c r="O193" s="37">
        <v>365</v>
      </c>
      <c r="P193" s="3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93"/>
      <c r="R193" s="293"/>
      <c r="S193" s="293"/>
      <c r="T193" s="294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1" t="s">
        <v>288</v>
      </c>
      <c r="AG193" s="81"/>
      <c r="AJ193" s="87" t="s">
        <v>118</v>
      </c>
      <c r="AK193" s="87">
        <v>14</v>
      </c>
      <c r="BB193" s="222" t="s">
        <v>115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289</v>
      </c>
      <c r="B194" s="63" t="s">
        <v>290</v>
      </c>
      <c r="C194" s="36">
        <v>4301132182</v>
      </c>
      <c r="D194" s="291">
        <v>4607111035721</v>
      </c>
      <c r="E194" s="291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3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93"/>
      <c r="R194" s="293"/>
      <c r="S194" s="293"/>
      <c r="T194" s="294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291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292</v>
      </c>
      <c r="B195" s="63" t="s">
        <v>293</v>
      </c>
      <c r="C195" s="36">
        <v>4301132170</v>
      </c>
      <c r="D195" s="291">
        <v>4607111038487</v>
      </c>
      <c r="E195" s="291"/>
      <c r="F195" s="62">
        <v>0.25</v>
      </c>
      <c r="G195" s="37">
        <v>12</v>
      </c>
      <c r="H195" s="62">
        <v>3</v>
      </c>
      <c r="I195" s="62">
        <v>3.7360000000000002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180</v>
      </c>
      <c r="P195" s="3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93"/>
      <c r="R195" s="293"/>
      <c r="S195" s="293"/>
      <c r="T195" s="294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294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295</v>
      </c>
      <c r="B196" s="63" t="s">
        <v>296</v>
      </c>
      <c r="C196" s="36">
        <v>4301132243</v>
      </c>
      <c r="D196" s="291">
        <v>4620207491195</v>
      </c>
      <c r="E196" s="291"/>
      <c r="F196" s="62">
        <v>0.23</v>
      </c>
      <c r="G196" s="37">
        <v>12</v>
      </c>
      <c r="H196" s="62">
        <v>2.76</v>
      </c>
      <c r="I196" s="62">
        <v>3.1480000000000001</v>
      </c>
      <c r="J196" s="37">
        <v>70</v>
      </c>
      <c r="K196" s="37" t="s">
        <v>116</v>
      </c>
      <c r="L196" s="37" t="s">
        <v>86</v>
      </c>
      <c r="M196" s="38" t="s">
        <v>84</v>
      </c>
      <c r="N196" s="38"/>
      <c r="O196" s="37">
        <v>180</v>
      </c>
      <c r="P196" s="3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93"/>
      <c r="R196" s="293"/>
      <c r="S196" s="293"/>
      <c r="T196" s="294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297</v>
      </c>
      <c r="AG196" s="81"/>
      <c r="AJ196" s="87" t="s">
        <v>87</v>
      </c>
      <c r="AK196" s="87">
        <v>1</v>
      </c>
      <c r="BB196" s="228" t="s">
        <v>115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9"/>
      <c r="P197" s="295" t="s">
        <v>40</v>
      </c>
      <c r="Q197" s="296"/>
      <c r="R197" s="296"/>
      <c r="S197" s="296"/>
      <c r="T197" s="296"/>
      <c r="U197" s="296"/>
      <c r="V197" s="297"/>
      <c r="W197" s="42" t="s">
        <v>39</v>
      </c>
      <c r="X197" s="43">
        <f>IFERROR(SUM(X193:X196),"0")</f>
        <v>0</v>
      </c>
      <c r="Y197" s="43">
        <f>IFERROR(SUM(Y193:Y196),"0")</f>
        <v>0</v>
      </c>
      <c r="Z197" s="43">
        <f>IFERROR(IF(Z193="",0,Z193),"0")+IFERROR(IF(Z194="",0,Z194),"0")+IFERROR(IF(Z195="",0,Z195),"0")+IFERROR(IF(Z196="",0,Z196),"0")</f>
        <v>0</v>
      </c>
      <c r="AA197" s="67"/>
      <c r="AB197" s="67"/>
      <c r="AC197" s="67"/>
    </row>
    <row r="198" spans="1:68" x14ac:dyDescent="0.2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9"/>
      <c r="P198" s="295" t="s">
        <v>40</v>
      </c>
      <c r="Q198" s="296"/>
      <c r="R198" s="296"/>
      <c r="S198" s="296"/>
      <c r="T198" s="296"/>
      <c r="U198" s="296"/>
      <c r="V198" s="297"/>
      <c r="W198" s="42" t="s">
        <v>0</v>
      </c>
      <c r="X198" s="43">
        <f>IFERROR(SUMPRODUCT(X193:X196*H193:H196),"0")</f>
        <v>0</v>
      </c>
      <c r="Y198" s="43">
        <f>IFERROR(SUMPRODUCT(Y193:Y196*H193:H196),"0")</f>
        <v>0</v>
      </c>
      <c r="Z198" s="42"/>
      <c r="AA198" s="67"/>
      <c r="AB198" s="67"/>
      <c r="AC198" s="67"/>
    </row>
    <row r="199" spans="1:68" ht="27.75" customHeight="1" x14ac:dyDescent="0.2">
      <c r="A199" s="318" t="s">
        <v>298</v>
      </c>
      <c r="B199" s="318"/>
      <c r="C199" s="318"/>
      <c r="D199" s="318"/>
      <c r="E199" s="318"/>
      <c r="F199" s="318"/>
      <c r="G199" s="318"/>
      <c r="H199" s="318"/>
      <c r="I199" s="318"/>
      <c r="J199" s="318"/>
      <c r="K199" s="318"/>
      <c r="L199" s="318"/>
      <c r="M199" s="318"/>
      <c r="N199" s="318"/>
      <c r="O199" s="318"/>
      <c r="P199" s="318"/>
      <c r="Q199" s="318"/>
      <c r="R199" s="318"/>
      <c r="S199" s="318"/>
      <c r="T199" s="318"/>
      <c r="U199" s="318"/>
      <c r="V199" s="318"/>
      <c r="W199" s="318"/>
      <c r="X199" s="318"/>
      <c r="Y199" s="318"/>
      <c r="Z199" s="318"/>
      <c r="AA199" s="54"/>
      <c r="AB199" s="54"/>
      <c r="AC199" s="54"/>
    </row>
    <row r="200" spans="1:68" ht="16.5" customHeight="1" x14ac:dyDescent="0.25">
      <c r="A200" s="319" t="s">
        <v>299</v>
      </c>
      <c r="B200" s="31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  <c r="Z200" s="319"/>
      <c r="AA200" s="65"/>
      <c r="AB200" s="65"/>
      <c r="AC200" s="82"/>
    </row>
    <row r="201" spans="1:68" ht="14.25" customHeight="1" x14ac:dyDescent="0.25">
      <c r="A201" s="309" t="s">
        <v>111</v>
      </c>
      <c r="B201" s="309"/>
      <c r="C201" s="309"/>
      <c r="D201" s="309"/>
      <c r="E201" s="309"/>
      <c r="F201" s="309"/>
      <c r="G201" s="309"/>
      <c r="H201" s="309"/>
      <c r="I201" s="309"/>
      <c r="J201" s="309"/>
      <c r="K201" s="309"/>
      <c r="L201" s="309"/>
      <c r="M201" s="309"/>
      <c r="N201" s="309"/>
      <c r="O201" s="309"/>
      <c r="P201" s="309"/>
      <c r="Q201" s="309"/>
      <c r="R201" s="309"/>
      <c r="S201" s="309"/>
      <c r="T201" s="309"/>
      <c r="U201" s="309"/>
      <c r="V201" s="309"/>
      <c r="W201" s="309"/>
      <c r="X201" s="309"/>
      <c r="Y201" s="309"/>
      <c r="Z201" s="309"/>
      <c r="AA201" s="66"/>
      <c r="AB201" s="66"/>
      <c r="AC201" s="83"/>
    </row>
    <row r="202" spans="1:68" ht="27" customHeight="1" x14ac:dyDescent="0.25">
      <c r="A202" s="63" t="s">
        <v>300</v>
      </c>
      <c r="B202" s="63" t="s">
        <v>301</v>
      </c>
      <c r="C202" s="36">
        <v>4301132227</v>
      </c>
      <c r="D202" s="291">
        <v>4620207491133</v>
      </c>
      <c r="E202" s="291"/>
      <c r="F202" s="62">
        <v>0.23</v>
      </c>
      <c r="G202" s="37">
        <v>12</v>
      </c>
      <c r="H202" s="62">
        <v>2.76</v>
      </c>
      <c r="I202" s="62">
        <v>2.98</v>
      </c>
      <c r="J202" s="37">
        <v>70</v>
      </c>
      <c r="K202" s="37" t="s">
        <v>116</v>
      </c>
      <c r="L202" s="37" t="s">
        <v>117</v>
      </c>
      <c r="M202" s="38" t="s">
        <v>84</v>
      </c>
      <c r="N202" s="38"/>
      <c r="O202" s="37">
        <v>180</v>
      </c>
      <c r="P202" s="3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93"/>
      <c r="R202" s="293"/>
      <c r="S202" s="293"/>
      <c r="T202" s="294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118</v>
      </c>
      <c r="AK202" s="87">
        <v>14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298"/>
      <c r="M203" s="298"/>
      <c r="N203" s="298"/>
      <c r="O203" s="299"/>
      <c r="P203" s="295" t="s">
        <v>40</v>
      </c>
      <c r="Q203" s="296"/>
      <c r="R203" s="296"/>
      <c r="S203" s="296"/>
      <c r="T203" s="296"/>
      <c r="U203" s="296"/>
      <c r="V203" s="297"/>
      <c r="W203" s="42" t="s">
        <v>39</v>
      </c>
      <c r="X203" s="43">
        <f>IFERROR(SUM(X202:X202),"0")</f>
        <v>0</v>
      </c>
      <c r="Y203" s="43">
        <f>IFERROR(SUM(Y202:Y202),"0")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9"/>
      <c r="P204" s="295" t="s">
        <v>40</v>
      </c>
      <c r="Q204" s="296"/>
      <c r="R204" s="296"/>
      <c r="S204" s="296"/>
      <c r="T204" s="296"/>
      <c r="U204" s="296"/>
      <c r="V204" s="297"/>
      <c r="W204" s="42" t="s">
        <v>0</v>
      </c>
      <c r="X204" s="43">
        <f>IFERROR(SUMPRODUCT(X202:X202*H202:H202),"0")</f>
        <v>0</v>
      </c>
      <c r="Y204" s="43">
        <f>IFERROR(SUMPRODUCT(Y202:Y202*H202:H202),"0")</f>
        <v>0</v>
      </c>
      <c r="Z204" s="42"/>
      <c r="AA204" s="67"/>
      <c r="AB204" s="67"/>
      <c r="AC204" s="67"/>
    </row>
    <row r="205" spans="1:68" ht="14.25" customHeight="1" x14ac:dyDescent="0.25">
      <c r="A205" s="309" t="s">
        <v>155</v>
      </c>
      <c r="B205" s="309"/>
      <c r="C205" s="309"/>
      <c r="D205" s="309"/>
      <c r="E205" s="309"/>
      <c r="F205" s="309"/>
      <c r="G205" s="309"/>
      <c r="H205" s="309"/>
      <c r="I205" s="309"/>
      <c r="J205" s="309"/>
      <c r="K205" s="309"/>
      <c r="L205" s="309"/>
      <c r="M205" s="309"/>
      <c r="N205" s="309"/>
      <c r="O205" s="309"/>
      <c r="P205" s="309"/>
      <c r="Q205" s="309"/>
      <c r="R205" s="309"/>
      <c r="S205" s="309"/>
      <c r="T205" s="309"/>
      <c r="U205" s="309"/>
      <c r="V205" s="309"/>
      <c r="W205" s="309"/>
      <c r="X205" s="309"/>
      <c r="Y205" s="309"/>
      <c r="Z205" s="309"/>
      <c r="AA205" s="66"/>
      <c r="AB205" s="66"/>
      <c r="AC205" s="83"/>
    </row>
    <row r="206" spans="1:68" ht="27" customHeight="1" x14ac:dyDescent="0.25">
      <c r="A206" s="63" t="s">
        <v>303</v>
      </c>
      <c r="B206" s="63" t="s">
        <v>304</v>
      </c>
      <c r="C206" s="36">
        <v>4301135834</v>
      </c>
      <c r="D206" s="291">
        <v>4620207491188</v>
      </c>
      <c r="E206" s="291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116</v>
      </c>
      <c r="L206" s="37" t="s">
        <v>86</v>
      </c>
      <c r="M206" s="38" t="s">
        <v>84</v>
      </c>
      <c r="N206" s="38"/>
      <c r="O206" s="37">
        <v>180</v>
      </c>
      <c r="P206" s="3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93"/>
      <c r="R206" s="293"/>
      <c r="S206" s="293"/>
      <c r="T206" s="294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305</v>
      </c>
      <c r="AG206" s="81"/>
      <c r="AJ206" s="87" t="s">
        <v>87</v>
      </c>
      <c r="AK206" s="87">
        <v>1</v>
      </c>
      <c r="BB206" s="232" t="s">
        <v>115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306</v>
      </c>
      <c r="B207" s="63" t="s">
        <v>307</v>
      </c>
      <c r="C207" s="36">
        <v>4301135829</v>
      </c>
      <c r="D207" s="291">
        <v>4620207490235</v>
      </c>
      <c r="E207" s="291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33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93"/>
      <c r="R207" s="293"/>
      <c r="S207" s="293"/>
      <c r="T207" s="294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308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309</v>
      </c>
      <c r="B208" s="63" t="s">
        <v>310</v>
      </c>
      <c r="C208" s="36">
        <v>4301135697</v>
      </c>
      <c r="D208" s="291">
        <v>4620207490259</v>
      </c>
      <c r="E208" s="291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117</v>
      </c>
      <c r="M208" s="38" t="s">
        <v>84</v>
      </c>
      <c r="N208" s="38"/>
      <c r="O208" s="37">
        <v>180</v>
      </c>
      <c r="P208" s="3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93"/>
      <c r="R208" s="293"/>
      <c r="S208" s="293"/>
      <c r="T208" s="294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118</v>
      </c>
      <c r="AK208" s="87">
        <v>14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9"/>
      <c r="P209" s="295" t="s">
        <v>40</v>
      </c>
      <c r="Q209" s="296"/>
      <c r="R209" s="296"/>
      <c r="S209" s="296"/>
      <c r="T209" s="296"/>
      <c r="U209" s="296"/>
      <c r="V209" s="297"/>
      <c r="W209" s="42" t="s">
        <v>39</v>
      </c>
      <c r="X209" s="43">
        <f>IFERROR(SUM(X206:X208),"0")</f>
        <v>0</v>
      </c>
      <c r="Y209" s="43">
        <f>IFERROR(SUM(Y206:Y208),"0")</f>
        <v>0</v>
      </c>
      <c r="Z209" s="43">
        <f>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9"/>
      <c r="P210" s="295" t="s">
        <v>40</v>
      </c>
      <c r="Q210" s="296"/>
      <c r="R210" s="296"/>
      <c r="S210" s="296"/>
      <c r="T210" s="296"/>
      <c r="U210" s="296"/>
      <c r="V210" s="297"/>
      <c r="W210" s="42" t="s">
        <v>0</v>
      </c>
      <c r="X210" s="43">
        <f>IFERROR(SUMPRODUCT(X206:X208*H206:H208),"0")</f>
        <v>0</v>
      </c>
      <c r="Y210" s="43">
        <f>IFERROR(SUMPRODUCT(Y206:Y208*H206:H208),"0")</f>
        <v>0</v>
      </c>
      <c r="Z210" s="42"/>
      <c r="AA210" s="67"/>
      <c r="AB210" s="67"/>
      <c r="AC210" s="67"/>
    </row>
    <row r="211" spans="1:68" ht="16.5" customHeight="1" x14ac:dyDescent="0.25">
      <c r="A211" s="319" t="s">
        <v>312</v>
      </c>
      <c r="B211" s="31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319"/>
      <c r="W211" s="319"/>
      <c r="X211" s="319"/>
      <c r="Y211" s="319"/>
      <c r="Z211" s="319"/>
      <c r="AA211" s="65"/>
      <c r="AB211" s="65"/>
      <c r="AC211" s="82"/>
    </row>
    <row r="212" spans="1:68" ht="14.25" customHeight="1" x14ac:dyDescent="0.25">
      <c r="A212" s="309" t="s">
        <v>155</v>
      </c>
      <c r="B212" s="309"/>
      <c r="C212" s="309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  <c r="AA212" s="66"/>
      <c r="AB212" s="66"/>
      <c r="AC212" s="83"/>
    </row>
    <row r="213" spans="1:68" ht="27" customHeight="1" x14ac:dyDescent="0.25">
      <c r="A213" s="63" t="s">
        <v>313</v>
      </c>
      <c r="B213" s="63" t="s">
        <v>314</v>
      </c>
      <c r="C213" s="36">
        <v>4301135854</v>
      </c>
      <c r="D213" s="291">
        <v>4620207491706</v>
      </c>
      <c r="E213" s="291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116</v>
      </c>
      <c r="L213" s="37" t="s">
        <v>86</v>
      </c>
      <c r="M213" s="38" t="s">
        <v>84</v>
      </c>
      <c r="N213" s="38"/>
      <c r="O213" s="37">
        <v>180</v>
      </c>
      <c r="P213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293"/>
      <c r="R213" s="293"/>
      <c r="S213" s="293"/>
      <c r="T213" s="294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315</v>
      </c>
      <c r="AG213" s="81"/>
      <c r="AJ213" s="87" t="s">
        <v>87</v>
      </c>
      <c r="AK213" s="87">
        <v>1</v>
      </c>
      <c r="BB213" s="238" t="s">
        <v>115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316</v>
      </c>
      <c r="B214" s="63" t="s">
        <v>317</v>
      </c>
      <c r="C214" s="36">
        <v>4301135895</v>
      </c>
      <c r="D214" s="291">
        <v>4620207491522</v>
      </c>
      <c r="E214" s="291"/>
      <c r="F214" s="62">
        <v>0.28000000000000003</v>
      </c>
      <c r="G214" s="37">
        <v>12</v>
      </c>
      <c r="H214" s="62">
        <v>3.36</v>
      </c>
      <c r="I214" s="62">
        <v>4.0636000000000001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293"/>
      <c r="R214" s="293"/>
      <c r="S214" s="293"/>
      <c r="T214" s="294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318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9"/>
      <c r="P215" s="295" t="s">
        <v>40</v>
      </c>
      <c r="Q215" s="296"/>
      <c r="R215" s="296"/>
      <c r="S215" s="296"/>
      <c r="T215" s="296"/>
      <c r="U215" s="296"/>
      <c r="V215" s="297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9"/>
      <c r="P216" s="295" t="s">
        <v>40</v>
      </c>
      <c r="Q216" s="296"/>
      <c r="R216" s="296"/>
      <c r="S216" s="296"/>
      <c r="T216" s="296"/>
      <c r="U216" s="296"/>
      <c r="V216" s="297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16.5" customHeight="1" x14ac:dyDescent="0.25">
      <c r="A217" s="319" t="s">
        <v>319</v>
      </c>
      <c r="B217" s="31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319"/>
      <c r="W217" s="319"/>
      <c r="X217" s="319"/>
      <c r="Y217" s="319"/>
      <c r="Z217" s="319"/>
      <c r="AA217" s="65"/>
      <c r="AB217" s="65"/>
      <c r="AC217" s="82"/>
    </row>
    <row r="218" spans="1:68" ht="14.25" customHeight="1" x14ac:dyDescent="0.25">
      <c r="A218" s="309" t="s">
        <v>80</v>
      </c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  <c r="AA218" s="66"/>
      <c r="AB218" s="66"/>
      <c r="AC218" s="83"/>
    </row>
    <row r="219" spans="1:68" ht="27" customHeight="1" x14ac:dyDescent="0.25">
      <c r="A219" s="63" t="s">
        <v>320</v>
      </c>
      <c r="B219" s="63" t="s">
        <v>321</v>
      </c>
      <c r="C219" s="36">
        <v>4301071097</v>
      </c>
      <c r="D219" s="291">
        <v>4620207491096</v>
      </c>
      <c r="E219" s="291"/>
      <c r="F219" s="62">
        <v>1</v>
      </c>
      <c r="G219" s="37">
        <v>5</v>
      </c>
      <c r="H219" s="62">
        <v>5</v>
      </c>
      <c r="I219" s="62">
        <v>5.23</v>
      </c>
      <c r="J219" s="37">
        <v>84</v>
      </c>
      <c r="K219" s="37" t="s">
        <v>85</v>
      </c>
      <c r="L219" s="37" t="s">
        <v>117</v>
      </c>
      <c r="M219" s="38" t="s">
        <v>84</v>
      </c>
      <c r="N219" s="38"/>
      <c r="O219" s="37">
        <v>180</v>
      </c>
      <c r="P219" s="3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293"/>
      <c r="R219" s="293"/>
      <c r="S219" s="293"/>
      <c r="T219" s="294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IFERROR(IF(X219="","",X219*0.0155),"")</f>
        <v>0</v>
      </c>
      <c r="AA219" s="68" t="s">
        <v>46</v>
      </c>
      <c r="AB219" s="69" t="s">
        <v>46</v>
      </c>
      <c r="AC219" s="241" t="s">
        <v>322</v>
      </c>
      <c r="AG219" s="81"/>
      <c r="AJ219" s="87" t="s">
        <v>118</v>
      </c>
      <c r="AK219" s="87">
        <v>12</v>
      </c>
      <c r="BB219" s="242" t="s">
        <v>70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9"/>
      <c r="P220" s="295" t="s">
        <v>40</v>
      </c>
      <c r="Q220" s="296"/>
      <c r="R220" s="296"/>
      <c r="S220" s="296"/>
      <c r="T220" s="296"/>
      <c r="U220" s="296"/>
      <c r="V220" s="297"/>
      <c r="W220" s="42" t="s">
        <v>39</v>
      </c>
      <c r="X220" s="43">
        <f>IFERROR(SUM(X219:X219),"0")</f>
        <v>0</v>
      </c>
      <c r="Y220" s="43">
        <f>IFERROR(SUM(Y219:Y219),"0")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298"/>
      <c r="B221" s="298"/>
      <c r="C221" s="298"/>
      <c r="D221" s="298"/>
      <c r="E221" s="298"/>
      <c r="F221" s="298"/>
      <c r="G221" s="298"/>
      <c r="H221" s="298"/>
      <c r="I221" s="298"/>
      <c r="J221" s="298"/>
      <c r="K221" s="298"/>
      <c r="L221" s="298"/>
      <c r="M221" s="298"/>
      <c r="N221" s="298"/>
      <c r="O221" s="299"/>
      <c r="P221" s="295" t="s">
        <v>40</v>
      </c>
      <c r="Q221" s="296"/>
      <c r="R221" s="296"/>
      <c r="S221" s="296"/>
      <c r="T221" s="296"/>
      <c r="U221" s="296"/>
      <c r="V221" s="297"/>
      <c r="W221" s="42" t="s">
        <v>0</v>
      </c>
      <c r="X221" s="43">
        <f>IFERROR(SUMPRODUCT(X219:X219*H219:H219),"0")</f>
        <v>0</v>
      </c>
      <c r="Y221" s="43">
        <f>IFERROR(SUMPRODUCT(Y219:Y219*H219:H219),"0")</f>
        <v>0</v>
      </c>
      <c r="Z221" s="42"/>
      <c r="AA221" s="67"/>
      <c r="AB221" s="67"/>
      <c r="AC221" s="67"/>
    </row>
    <row r="222" spans="1:68" ht="16.5" customHeight="1" x14ac:dyDescent="0.25">
      <c r="A222" s="319" t="s">
        <v>323</v>
      </c>
      <c r="B222" s="319"/>
      <c r="C222" s="319"/>
      <c r="D222" s="319"/>
      <c r="E222" s="319"/>
      <c r="F222" s="319"/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  <c r="AA222" s="65"/>
      <c r="AB222" s="65"/>
      <c r="AC222" s="82"/>
    </row>
    <row r="223" spans="1:68" ht="14.25" customHeight="1" x14ac:dyDescent="0.25">
      <c r="A223" s="309" t="s">
        <v>155</v>
      </c>
      <c r="B223" s="309"/>
      <c r="C223" s="309"/>
      <c r="D223" s="309"/>
      <c r="E223" s="309"/>
      <c r="F223" s="309"/>
      <c r="G223" s="309"/>
      <c r="H223" s="309"/>
      <c r="I223" s="309"/>
      <c r="J223" s="309"/>
      <c r="K223" s="309"/>
      <c r="L223" s="309"/>
      <c r="M223" s="309"/>
      <c r="N223" s="309"/>
      <c r="O223" s="309"/>
      <c r="P223" s="309"/>
      <c r="Q223" s="309"/>
      <c r="R223" s="309"/>
      <c r="S223" s="309"/>
      <c r="T223" s="309"/>
      <c r="U223" s="309"/>
      <c r="V223" s="309"/>
      <c r="W223" s="309"/>
      <c r="X223" s="309"/>
      <c r="Y223" s="309"/>
      <c r="Z223" s="309"/>
      <c r="AA223" s="66"/>
      <c r="AB223" s="66"/>
      <c r="AC223" s="83"/>
    </row>
    <row r="224" spans="1:68" ht="27" customHeight="1" x14ac:dyDescent="0.25">
      <c r="A224" s="63" t="s">
        <v>324</v>
      </c>
      <c r="B224" s="63" t="s">
        <v>325</v>
      </c>
      <c r="C224" s="36">
        <v>4301135694</v>
      </c>
      <c r="D224" s="291">
        <v>4620207490501</v>
      </c>
      <c r="E224" s="291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116</v>
      </c>
      <c r="L224" s="37" t="s">
        <v>86</v>
      </c>
      <c r="M224" s="38" t="s">
        <v>84</v>
      </c>
      <c r="N224" s="38"/>
      <c r="O224" s="37">
        <v>180</v>
      </c>
      <c r="P224" s="3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293"/>
      <c r="R224" s="293"/>
      <c r="S224" s="293"/>
      <c r="T224" s="294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43" t="s">
        <v>326</v>
      </c>
      <c r="AG224" s="81"/>
      <c r="AJ224" s="87" t="s">
        <v>87</v>
      </c>
      <c r="AK224" s="87">
        <v>1</v>
      </c>
      <c r="BB224" s="244" t="s">
        <v>115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298"/>
      <c r="B225" s="298"/>
      <c r="C225" s="298"/>
      <c r="D225" s="298"/>
      <c r="E225" s="298"/>
      <c r="F225" s="298"/>
      <c r="G225" s="298"/>
      <c r="H225" s="298"/>
      <c r="I225" s="298"/>
      <c r="J225" s="298"/>
      <c r="K225" s="298"/>
      <c r="L225" s="298"/>
      <c r="M225" s="298"/>
      <c r="N225" s="298"/>
      <c r="O225" s="299"/>
      <c r="P225" s="295" t="s">
        <v>40</v>
      </c>
      <c r="Q225" s="296"/>
      <c r="R225" s="296"/>
      <c r="S225" s="296"/>
      <c r="T225" s="296"/>
      <c r="U225" s="296"/>
      <c r="V225" s="297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298"/>
      <c r="B226" s="298"/>
      <c r="C226" s="298"/>
      <c r="D226" s="298"/>
      <c r="E226" s="298"/>
      <c r="F226" s="298"/>
      <c r="G226" s="298"/>
      <c r="H226" s="298"/>
      <c r="I226" s="298"/>
      <c r="J226" s="298"/>
      <c r="K226" s="298"/>
      <c r="L226" s="298"/>
      <c r="M226" s="298"/>
      <c r="N226" s="298"/>
      <c r="O226" s="299"/>
      <c r="P226" s="295" t="s">
        <v>40</v>
      </c>
      <c r="Q226" s="296"/>
      <c r="R226" s="296"/>
      <c r="S226" s="296"/>
      <c r="T226" s="296"/>
      <c r="U226" s="296"/>
      <c r="V226" s="297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18" t="s">
        <v>327</v>
      </c>
      <c r="B227" s="318"/>
      <c r="C227" s="318"/>
      <c r="D227" s="318"/>
      <c r="E227" s="318"/>
      <c r="F227" s="318"/>
      <c r="G227" s="318"/>
      <c r="H227" s="318"/>
      <c r="I227" s="318"/>
      <c r="J227" s="318"/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  <c r="AA227" s="54"/>
      <c r="AB227" s="54"/>
      <c r="AC227" s="54"/>
    </row>
    <row r="228" spans="1:68" ht="16.5" customHeight="1" x14ac:dyDescent="0.25">
      <c r="A228" s="319" t="s">
        <v>328</v>
      </c>
      <c r="B228" s="319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19"/>
      <c r="S228" s="319"/>
      <c r="T228" s="319"/>
      <c r="U228" s="319"/>
      <c r="V228" s="319"/>
      <c r="W228" s="319"/>
      <c r="X228" s="319"/>
      <c r="Y228" s="319"/>
      <c r="Z228" s="319"/>
      <c r="AA228" s="65"/>
      <c r="AB228" s="65"/>
      <c r="AC228" s="82"/>
    </row>
    <row r="229" spans="1:68" ht="14.25" customHeight="1" x14ac:dyDescent="0.25">
      <c r="A229" s="309" t="s">
        <v>80</v>
      </c>
      <c r="B229" s="309"/>
      <c r="C229" s="309"/>
      <c r="D229" s="309"/>
      <c r="E229" s="309"/>
      <c r="F229" s="309"/>
      <c r="G229" s="309"/>
      <c r="H229" s="309"/>
      <c r="I229" s="309"/>
      <c r="J229" s="309"/>
      <c r="K229" s="309"/>
      <c r="L229" s="309"/>
      <c r="M229" s="309"/>
      <c r="N229" s="309"/>
      <c r="O229" s="309"/>
      <c r="P229" s="309"/>
      <c r="Q229" s="309"/>
      <c r="R229" s="309"/>
      <c r="S229" s="309"/>
      <c r="T229" s="309"/>
      <c r="U229" s="309"/>
      <c r="V229" s="309"/>
      <c r="W229" s="309"/>
      <c r="X229" s="309"/>
      <c r="Y229" s="309"/>
      <c r="Z229" s="309"/>
      <c r="AA229" s="66"/>
      <c r="AB229" s="66"/>
      <c r="AC229" s="83"/>
    </row>
    <row r="230" spans="1:68" ht="27" customHeight="1" x14ac:dyDescent="0.25">
      <c r="A230" s="63" t="s">
        <v>329</v>
      </c>
      <c r="B230" s="63" t="s">
        <v>330</v>
      </c>
      <c r="C230" s="36">
        <v>4301071036</v>
      </c>
      <c r="D230" s="291">
        <v>4607111036162</v>
      </c>
      <c r="E230" s="291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85</v>
      </c>
      <c r="L230" s="37" t="s">
        <v>86</v>
      </c>
      <c r="M230" s="38" t="s">
        <v>84</v>
      </c>
      <c r="N230" s="38"/>
      <c r="O230" s="37">
        <v>90</v>
      </c>
      <c r="P230" s="3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3"/>
      <c r="R230" s="293"/>
      <c r="S230" s="293"/>
      <c r="T230" s="294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5" t="s">
        <v>331</v>
      </c>
      <c r="AG230" s="81"/>
      <c r="AJ230" s="87" t="s">
        <v>87</v>
      </c>
      <c r="AK230" s="87">
        <v>1</v>
      </c>
      <c r="BB230" s="246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298"/>
      <c r="B231" s="298"/>
      <c r="C231" s="298"/>
      <c r="D231" s="298"/>
      <c r="E231" s="298"/>
      <c r="F231" s="298"/>
      <c r="G231" s="298"/>
      <c r="H231" s="298"/>
      <c r="I231" s="298"/>
      <c r="J231" s="298"/>
      <c r="K231" s="298"/>
      <c r="L231" s="298"/>
      <c r="M231" s="298"/>
      <c r="N231" s="298"/>
      <c r="O231" s="299"/>
      <c r="P231" s="295" t="s">
        <v>40</v>
      </c>
      <c r="Q231" s="296"/>
      <c r="R231" s="296"/>
      <c r="S231" s="296"/>
      <c r="T231" s="296"/>
      <c r="U231" s="296"/>
      <c r="V231" s="297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298"/>
      <c r="B232" s="298"/>
      <c r="C232" s="298"/>
      <c r="D232" s="298"/>
      <c r="E232" s="298"/>
      <c r="F232" s="298"/>
      <c r="G232" s="298"/>
      <c r="H232" s="298"/>
      <c r="I232" s="298"/>
      <c r="J232" s="298"/>
      <c r="K232" s="298"/>
      <c r="L232" s="298"/>
      <c r="M232" s="298"/>
      <c r="N232" s="298"/>
      <c r="O232" s="299"/>
      <c r="P232" s="295" t="s">
        <v>40</v>
      </c>
      <c r="Q232" s="296"/>
      <c r="R232" s="296"/>
      <c r="S232" s="296"/>
      <c r="T232" s="296"/>
      <c r="U232" s="296"/>
      <c r="V232" s="297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customHeight="1" x14ac:dyDescent="0.2">
      <c r="A233" s="318" t="s">
        <v>332</v>
      </c>
      <c r="B233" s="318"/>
      <c r="C233" s="318"/>
      <c r="D233" s="318"/>
      <c r="E233" s="318"/>
      <c r="F233" s="318"/>
      <c r="G233" s="318"/>
      <c r="H233" s="318"/>
      <c r="I233" s="318"/>
      <c r="J233" s="318"/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  <c r="AA233" s="54"/>
      <c r="AB233" s="54"/>
      <c r="AC233" s="54"/>
    </row>
    <row r="234" spans="1:68" ht="16.5" customHeight="1" x14ac:dyDescent="0.25">
      <c r="A234" s="319" t="s">
        <v>281</v>
      </c>
      <c r="B234" s="319"/>
      <c r="C234" s="319"/>
      <c r="D234" s="319"/>
      <c r="E234" s="319"/>
      <c r="F234" s="319"/>
      <c r="G234" s="319"/>
      <c r="H234" s="319"/>
      <c r="I234" s="319"/>
      <c r="J234" s="319"/>
      <c r="K234" s="319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  <c r="AA234" s="65"/>
      <c r="AB234" s="65"/>
      <c r="AC234" s="82"/>
    </row>
    <row r="235" spans="1:68" ht="14.25" customHeight="1" x14ac:dyDescent="0.25">
      <c r="A235" s="309" t="s">
        <v>80</v>
      </c>
      <c r="B235" s="309"/>
      <c r="C235" s="309"/>
      <c r="D235" s="309"/>
      <c r="E235" s="309"/>
      <c r="F235" s="309"/>
      <c r="G235" s="309"/>
      <c r="H235" s="309"/>
      <c r="I235" s="309"/>
      <c r="J235" s="309"/>
      <c r="K235" s="309"/>
      <c r="L235" s="309"/>
      <c r="M235" s="309"/>
      <c r="N235" s="309"/>
      <c r="O235" s="309"/>
      <c r="P235" s="309"/>
      <c r="Q235" s="309"/>
      <c r="R235" s="309"/>
      <c r="S235" s="309"/>
      <c r="T235" s="309"/>
      <c r="U235" s="309"/>
      <c r="V235" s="309"/>
      <c r="W235" s="309"/>
      <c r="X235" s="309"/>
      <c r="Y235" s="309"/>
      <c r="Z235" s="309"/>
      <c r="AA235" s="66"/>
      <c r="AB235" s="66"/>
      <c r="AC235" s="83"/>
    </row>
    <row r="236" spans="1:68" ht="27" customHeight="1" x14ac:dyDescent="0.25">
      <c r="A236" s="63" t="s">
        <v>333</v>
      </c>
      <c r="B236" s="63" t="s">
        <v>334</v>
      </c>
      <c r="C236" s="36">
        <v>4301071029</v>
      </c>
      <c r="D236" s="291">
        <v>4607111035899</v>
      </c>
      <c r="E236" s="291"/>
      <c r="F236" s="62">
        <v>1</v>
      </c>
      <c r="G236" s="37">
        <v>5</v>
      </c>
      <c r="H236" s="62">
        <v>5</v>
      </c>
      <c r="I236" s="62">
        <v>5.2619999999999996</v>
      </c>
      <c r="J236" s="37">
        <v>84</v>
      </c>
      <c r="K236" s="37" t="s">
        <v>85</v>
      </c>
      <c r="L236" s="37" t="s">
        <v>117</v>
      </c>
      <c r="M236" s="38" t="s">
        <v>84</v>
      </c>
      <c r="N236" s="38"/>
      <c r="O236" s="37">
        <v>180</v>
      </c>
      <c r="P236" s="32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293"/>
      <c r="R236" s="293"/>
      <c r="S236" s="293"/>
      <c r="T236" s="294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IFERROR(IF(X236="","",X236*0.0155),"")</f>
        <v>0</v>
      </c>
      <c r="AA236" s="68" t="s">
        <v>46</v>
      </c>
      <c r="AB236" s="69" t="s">
        <v>46</v>
      </c>
      <c r="AC236" s="247" t="s">
        <v>280</v>
      </c>
      <c r="AG236" s="81"/>
      <c r="AJ236" s="87" t="s">
        <v>118</v>
      </c>
      <c r="AK236" s="87">
        <v>12</v>
      </c>
      <c r="BB236" s="248" t="s">
        <v>70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298"/>
      <c r="B237" s="298"/>
      <c r="C237" s="298"/>
      <c r="D237" s="298"/>
      <c r="E237" s="298"/>
      <c r="F237" s="298"/>
      <c r="G237" s="298"/>
      <c r="H237" s="298"/>
      <c r="I237" s="298"/>
      <c r="J237" s="298"/>
      <c r="K237" s="298"/>
      <c r="L237" s="298"/>
      <c r="M237" s="298"/>
      <c r="N237" s="298"/>
      <c r="O237" s="299"/>
      <c r="P237" s="295" t="s">
        <v>40</v>
      </c>
      <c r="Q237" s="296"/>
      <c r="R237" s="296"/>
      <c r="S237" s="296"/>
      <c r="T237" s="296"/>
      <c r="U237" s="296"/>
      <c r="V237" s="297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298"/>
      <c r="B238" s="298"/>
      <c r="C238" s="298"/>
      <c r="D238" s="298"/>
      <c r="E238" s="298"/>
      <c r="F238" s="298"/>
      <c r="G238" s="298"/>
      <c r="H238" s="298"/>
      <c r="I238" s="298"/>
      <c r="J238" s="298"/>
      <c r="K238" s="298"/>
      <c r="L238" s="298"/>
      <c r="M238" s="298"/>
      <c r="N238" s="298"/>
      <c r="O238" s="299"/>
      <c r="P238" s="295" t="s">
        <v>40</v>
      </c>
      <c r="Q238" s="296"/>
      <c r="R238" s="296"/>
      <c r="S238" s="296"/>
      <c r="T238" s="296"/>
      <c r="U238" s="296"/>
      <c r="V238" s="297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18" t="s">
        <v>335</v>
      </c>
      <c r="B239" s="318"/>
      <c r="C239" s="318"/>
      <c r="D239" s="318"/>
      <c r="E239" s="318"/>
      <c r="F239" s="318"/>
      <c r="G239" s="318"/>
      <c r="H239" s="318"/>
      <c r="I239" s="318"/>
      <c r="J239" s="318"/>
      <c r="K239" s="318"/>
      <c r="L239" s="318"/>
      <c r="M239" s="318"/>
      <c r="N239" s="318"/>
      <c r="O239" s="318"/>
      <c r="P239" s="318"/>
      <c r="Q239" s="318"/>
      <c r="R239" s="318"/>
      <c r="S239" s="318"/>
      <c r="T239" s="318"/>
      <c r="U239" s="318"/>
      <c r="V239" s="318"/>
      <c r="W239" s="318"/>
      <c r="X239" s="318"/>
      <c r="Y239" s="318"/>
      <c r="Z239" s="318"/>
      <c r="AA239" s="54"/>
      <c r="AB239" s="54"/>
      <c r="AC239" s="54"/>
    </row>
    <row r="240" spans="1:68" ht="16.5" customHeight="1" x14ac:dyDescent="0.25">
      <c r="A240" s="319" t="s">
        <v>336</v>
      </c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65"/>
      <c r="AB240" s="65"/>
      <c r="AC240" s="82"/>
    </row>
    <row r="241" spans="1:68" ht="14.25" customHeight="1" x14ac:dyDescent="0.25">
      <c r="A241" s="309" t="s">
        <v>337</v>
      </c>
      <c r="B241" s="309"/>
      <c r="C241" s="309"/>
      <c r="D241" s="309"/>
      <c r="E241" s="309"/>
      <c r="F241" s="309"/>
      <c r="G241" s="309"/>
      <c r="H241" s="309"/>
      <c r="I241" s="309"/>
      <c r="J241" s="309"/>
      <c r="K241" s="309"/>
      <c r="L241" s="309"/>
      <c r="M241" s="309"/>
      <c r="N241" s="309"/>
      <c r="O241" s="309"/>
      <c r="P241" s="309"/>
      <c r="Q241" s="309"/>
      <c r="R241" s="309"/>
      <c r="S241" s="309"/>
      <c r="T241" s="309"/>
      <c r="U241" s="309"/>
      <c r="V241" s="309"/>
      <c r="W241" s="309"/>
      <c r="X241" s="309"/>
      <c r="Y241" s="309"/>
      <c r="Z241" s="309"/>
      <c r="AA241" s="66"/>
      <c r="AB241" s="66"/>
      <c r="AC241" s="83"/>
    </row>
    <row r="242" spans="1:68" ht="27" customHeight="1" x14ac:dyDescent="0.25">
      <c r="A242" s="63" t="s">
        <v>338</v>
      </c>
      <c r="B242" s="63" t="s">
        <v>339</v>
      </c>
      <c r="C242" s="36">
        <v>4301133004</v>
      </c>
      <c r="D242" s="291">
        <v>4607111039774</v>
      </c>
      <c r="E242" s="291"/>
      <c r="F242" s="62">
        <v>0.25</v>
      </c>
      <c r="G242" s="37">
        <v>12</v>
      </c>
      <c r="H242" s="62">
        <v>3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180</v>
      </c>
      <c r="P242" s="32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293"/>
      <c r="R242" s="293"/>
      <c r="S242" s="293"/>
      <c r="T242" s="294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298"/>
      <c r="B243" s="298"/>
      <c r="C243" s="298"/>
      <c r="D243" s="298"/>
      <c r="E243" s="298"/>
      <c r="F243" s="298"/>
      <c r="G243" s="298"/>
      <c r="H243" s="298"/>
      <c r="I243" s="298"/>
      <c r="J243" s="298"/>
      <c r="K243" s="298"/>
      <c r="L243" s="298"/>
      <c r="M243" s="298"/>
      <c r="N243" s="298"/>
      <c r="O243" s="299"/>
      <c r="P243" s="295" t="s">
        <v>40</v>
      </c>
      <c r="Q243" s="296"/>
      <c r="R243" s="296"/>
      <c r="S243" s="296"/>
      <c r="T243" s="296"/>
      <c r="U243" s="296"/>
      <c r="V243" s="297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298"/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9"/>
      <c r="P244" s="295" t="s">
        <v>40</v>
      </c>
      <c r="Q244" s="296"/>
      <c r="R244" s="296"/>
      <c r="S244" s="296"/>
      <c r="T244" s="296"/>
      <c r="U244" s="296"/>
      <c r="V244" s="297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customHeight="1" x14ac:dyDescent="0.25">
      <c r="A245" s="309" t="s">
        <v>155</v>
      </c>
      <c r="B245" s="309"/>
      <c r="C245" s="309"/>
      <c r="D245" s="309"/>
      <c r="E245" s="309"/>
      <c r="F245" s="309"/>
      <c r="G245" s="309"/>
      <c r="H245" s="309"/>
      <c r="I245" s="309"/>
      <c r="J245" s="309"/>
      <c r="K245" s="309"/>
      <c r="L245" s="309"/>
      <c r="M245" s="309"/>
      <c r="N245" s="309"/>
      <c r="O245" s="309"/>
      <c r="P245" s="309"/>
      <c r="Q245" s="309"/>
      <c r="R245" s="309"/>
      <c r="S245" s="309"/>
      <c r="T245" s="309"/>
      <c r="U245" s="309"/>
      <c r="V245" s="309"/>
      <c r="W245" s="309"/>
      <c r="X245" s="309"/>
      <c r="Y245" s="309"/>
      <c r="Z245" s="309"/>
      <c r="AA245" s="66"/>
      <c r="AB245" s="66"/>
      <c r="AC245" s="83"/>
    </row>
    <row r="246" spans="1:68" ht="37.5" customHeight="1" x14ac:dyDescent="0.25">
      <c r="A246" s="63" t="s">
        <v>341</v>
      </c>
      <c r="B246" s="63" t="s">
        <v>342</v>
      </c>
      <c r="C246" s="36">
        <v>4301135400</v>
      </c>
      <c r="D246" s="291">
        <v>4607111039361</v>
      </c>
      <c r="E246" s="291"/>
      <c r="F246" s="62">
        <v>0.25</v>
      </c>
      <c r="G246" s="37">
        <v>12</v>
      </c>
      <c r="H246" s="62">
        <v>3</v>
      </c>
      <c r="I246" s="62">
        <v>3.7035999999999998</v>
      </c>
      <c r="J246" s="37">
        <v>70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32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293"/>
      <c r="R246" s="293"/>
      <c r="S246" s="293"/>
      <c r="T246" s="294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1" t="s">
        <v>340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298"/>
      <c r="B247" s="298"/>
      <c r="C247" s="298"/>
      <c r="D247" s="298"/>
      <c r="E247" s="298"/>
      <c r="F247" s="298"/>
      <c r="G247" s="298"/>
      <c r="H247" s="298"/>
      <c r="I247" s="298"/>
      <c r="J247" s="298"/>
      <c r="K247" s="298"/>
      <c r="L247" s="298"/>
      <c r="M247" s="298"/>
      <c r="N247" s="298"/>
      <c r="O247" s="299"/>
      <c r="P247" s="295" t="s">
        <v>40</v>
      </c>
      <c r="Q247" s="296"/>
      <c r="R247" s="296"/>
      <c r="S247" s="296"/>
      <c r="T247" s="296"/>
      <c r="U247" s="296"/>
      <c r="V247" s="297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298"/>
      <c r="B248" s="298"/>
      <c r="C248" s="298"/>
      <c r="D248" s="298"/>
      <c r="E248" s="298"/>
      <c r="F248" s="298"/>
      <c r="G248" s="298"/>
      <c r="H248" s="298"/>
      <c r="I248" s="298"/>
      <c r="J248" s="298"/>
      <c r="K248" s="298"/>
      <c r="L248" s="298"/>
      <c r="M248" s="298"/>
      <c r="N248" s="298"/>
      <c r="O248" s="299"/>
      <c r="P248" s="295" t="s">
        <v>40</v>
      </c>
      <c r="Q248" s="296"/>
      <c r="R248" s="296"/>
      <c r="S248" s="296"/>
      <c r="T248" s="296"/>
      <c r="U248" s="296"/>
      <c r="V248" s="297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customHeight="1" x14ac:dyDescent="0.2">
      <c r="A249" s="318" t="s">
        <v>343</v>
      </c>
      <c r="B249" s="318"/>
      <c r="C249" s="318"/>
      <c r="D249" s="318"/>
      <c r="E249" s="318"/>
      <c r="F249" s="318"/>
      <c r="G249" s="318"/>
      <c r="H249" s="318"/>
      <c r="I249" s="318"/>
      <c r="J249" s="318"/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  <c r="AA249" s="54"/>
      <c r="AB249" s="54"/>
      <c r="AC249" s="54"/>
    </row>
    <row r="250" spans="1:68" ht="16.5" customHeight="1" x14ac:dyDescent="0.25">
      <c r="A250" s="319" t="s">
        <v>343</v>
      </c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65"/>
      <c r="AB250" s="65"/>
      <c r="AC250" s="82"/>
    </row>
    <row r="251" spans="1:68" ht="14.25" customHeight="1" x14ac:dyDescent="0.25">
      <c r="A251" s="309" t="s">
        <v>149</v>
      </c>
      <c r="B251" s="309"/>
      <c r="C251" s="309"/>
      <c r="D251" s="309"/>
      <c r="E251" s="309"/>
      <c r="F251" s="309"/>
      <c r="G251" s="309"/>
      <c r="H251" s="309"/>
      <c r="I251" s="309"/>
      <c r="J251" s="309"/>
      <c r="K251" s="309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  <c r="AA251" s="66"/>
      <c r="AB251" s="66"/>
      <c r="AC251" s="83"/>
    </row>
    <row r="252" spans="1:68" ht="27" customHeight="1" x14ac:dyDescent="0.25">
      <c r="A252" s="63" t="s">
        <v>344</v>
      </c>
      <c r="B252" s="63" t="s">
        <v>345</v>
      </c>
      <c r="C252" s="36">
        <v>4301136098</v>
      </c>
      <c r="D252" s="291">
        <v>4640242181943</v>
      </c>
      <c r="E252" s="291"/>
      <c r="F252" s="62">
        <v>0.09</v>
      </c>
      <c r="G252" s="37">
        <v>24</v>
      </c>
      <c r="H252" s="62">
        <v>2.16</v>
      </c>
      <c r="I252" s="62">
        <v>2.34</v>
      </c>
      <c r="J252" s="37">
        <v>126</v>
      </c>
      <c r="K252" s="37" t="s">
        <v>116</v>
      </c>
      <c r="L252" s="37" t="s">
        <v>86</v>
      </c>
      <c r="M252" s="38" t="s">
        <v>84</v>
      </c>
      <c r="N252" s="38"/>
      <c r="O252" s="37">
        <v>180</v>
      </c>
      <c r="P252" s="32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2" s="293"/>
      <c r="R252" s="293"/>
      <c r="S252" s="293"/>
      <c r="T252" s="294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3" t="s">
        <v>346</v>
      </c>
      <c r="AG252" s="81"/>
      <c r="AJ252" s="87" t="s">
        <v>87</v>
      </c>
      <c r="AK252" s="87">
        <v>1</v>
      </c>
      <c r="BB252" s="254" t="s">
        <v>115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298"/>
      <c r="B253" s="298"/>
      <c r="C253" s="298"/>
      <c r="D253" s="298"/>
      <c r="E253" s="298"/>
      <c r="F253" s="298"/>
      <c r="G253" s="298"/>
      <c r="H253" s="298"/>
      <c r="I253" s="298"/>
      <c r="J253" s="298"/>
      <c r="K253" s="298"/>
      <c r="L253" s="298"/>
      <c r="M253" s="298"/>
      <c r="N253" s="298"/>
      <c r="O253" s="299"/>
      <c r="P253" s="295" t="s">
        <v>40</v>
      </c>
      <c r="Q253" s="296"/>
      <c r="R253" s="296"/>
      <c r="S253" s="296"/>
      <c r="T253" s="296"/>
      <c r="U253" s="296"/>
      <c r="V253" s="297"/>
      <c r="W253" s="42" t="s">
        <v>39</v>
      </c>
      <c r="X253" s="43">
        <f>IFERROR(SUM(X252:X252),"0")</f>
        <v>0</v>
      </c>
      <c r="Y253" s="43">
        <f>IFERROR(SUM(Y252:Y252),"0")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298"/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9"/>
      <c r="P254" s="295" t="s">
        <v>40</v>
      </c>
      <c r="Q254" s="296"/>
      <c r="R254" s="296"/>
      <c r="S254" s="296"/>
      <c r="T254" s="296"/>
      <c r="U254" s="296"/>
      <c r="V254" s="297"/>
      <c r="W254" s="42" t="s">
        <v>0</v>
      </c>
      <c r="X254" s="43">
        <f>IFERROR(SUMPRODUCT(X252:X252*H252:H252),"0")</f>
        <v>0</v>
      </c>
      <c r="Y254" s="43">
        <f>IFERROR(SUMPRODUCT(Y252:Y252*H252:H252),"0")</f>
        <v>0</v>
      </c>
      <c r="Z254" s="42"/>
      <c r="AA254" s="67"/>
      <c r="AB254" s="67"/>
      <c r="AC254" s="67"/>
    </row>
    <row r="255" spans="1:68" ht="27.75" customHeight="1" x14ac:dyDescent="0.2">
      <c r="A255" s="318" t="s">
        <v>347</v>
      </c>
      <c r="B255" s="318"/>
      <c r="C255" s="318"/>
      <c r="D255" s="318"/>
      <c r="E255" s="318"/>
      <c r="F255" s="318"/>
      <c r="G255" s="318"/>
      <c r="H255" s="318"/>
      <c r="I255" s="318"/>
      <c r="J255" s="318"/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  <c r="AA255" s="54"/>
      <c r="AB255" s="54"/>
      <c r="AC255" s="54"/>
    </row>
    <row r="256" spans="1:68" ht="16.5" customHeight="1" x14ac:dyDescent="0.25">
      <c r="A256" s="319" t="s">
        <v>347</v>
      </c>
      <c r="B256" s="319"/>
      <c r="C256" s="319"/>
      <c r="D256" s="319"/>
      <c r="E256" s="319"/>
      <c r="F256" s="319"/>
      <c r="G256" s="319"/>
      <c r="H256" s="319"/>
      <c r="I256" s="319"/>
      <c r="J256" s="319"/>
      <c r="K256" s="319"/>
      <c r="L256" s="319"/>
      <c r="M256" s="319"/>
      <c r="N256" s="319"/>
      <c r="O256" s="319"/>
      <c r="P256" s="319"/>
      <c r="Q256" s="319"/>
      <c r="R256" s="319"/>
      <c r="S256" s="319"/>
      <c r="T256" s="319"/>
      <c r="U256" s="319"/>
      <c r="V256" s="319"/>
      <c r="W256" s="319"/>
      <c r="X256" s="319"/>
      <c r="Y256" s="319"/>
      <c r="Z256" s="319"/>
      <c r="AA256" s="65"/>
      <c r="AB256" s="65"/>
      <c r="AC256" s="82"/>
    </row>
    <row r="257" spans="1:68" ht="14.25" customHeight="1" x14ac:dyDescent="0.25">
      <c r="A257" s="309" t="s">
        <v>80</v>
      </c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66"/>
      <c r="AB257" s="66"/>
      <c r="AC257" s="83"/>
    </row>
    <row r="258" spans="1:68" ht="27" customHeight="1" x14ac:dyDescent="0.25">
      <c r="A258" s="63" t="s">
        <v>348</v>
      </c>
      <c r="B258" s="63" t="s">
        <v>349</v>
      </c>
      <c r="C258" s="36">
        <v>4301071014</v>
      </c>
      <c r="D258" s="291">
        <v>4640242181264</v>
      </c>
      <c r="E258" s="291"/>
      <c r="F258" s="62">
        <v>0.7</v>
      </c>
      <c r="G258" s="37">
        <v>10</v>
      </c>
      <c r="H258" s="62">
        <v>7</v>
      </c>
      <c r="I258" s="62">
        <v>7.28</v>
      </c>
      <c r="J258" s="37">
        <v>84</v>
      </c>
      <c r="K258" s="37" t="s">
        <v>85</v>
      </c>
      <c r="L258" s="37" t="s">
        <v>86</v>
      </c>
      <c r="M258" s="38" t="s">
        <v>84</v>
      </c>
      <c r="N258" s="38"/>
      <c r="O258" s="37">
        <v>180</v>
      </c>
      <c r="P258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8" s="293"/>
      <c r="R258" s="293"/>
      <c r="S258" s="293"/>
      <c r="T258" s="294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5" t="s">
        <v>350</v>
      </c>
      <c r="AG258" s="81"/>
      <c r="AJ258" s="87" t="s">
        <v>87</v>
      </c>
      <c r="AK258" s="87">
        <v>1</v>
      </c>
      <c r="BB258" s="256" t="s">
        <v>70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customHeight="1" x14ac:dyDescent="0.25">
      <c r="A259" s="63" t="s">
        <v>351</v>
      </c>
      <c r="B259" s="63" t="s">
        <v>352</v>
      </c>
      <c r="C259" s="36">
        <v>4301071021</v>
      </c>
      <c r="D259" s="291">
        <v>4640242181325</v>
      </c>
      <c r="E259" s="291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32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9" s="293"/>
      <c r="R259" s="293"/>
      <c r="S259" s="293"/>
      <c r="T259" s="294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7" t="s">
        <v>350</v>
      </c>
      <c r="AG259" s="81"/>
      <c r="AJ259" s="87" t="s">
        <v>118</v>
      </c>
      <c r="AK259" s="87">
        <v>12</v>
      </c>
      <c r="BB259" s="258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x14ac:dyDescent="0.2">
      <c r="A260" s="298"/>
      <c r="B260" s="298"/>
      <c r="C260" s="298"/>
      <c r="D260" s="298"/>
      <c r="E260" s="298"/>
      <c r="F260" s="298"/>
      <c r="G260" s="298"/>
      <c r="H260" s="298"/>
      <c r="I260" s="298"/>
      <c r="J260" s="298"/>
      <c r="K260" s="298"/>
      <c r="L260" s="298"/>
      <c r="M260" s="298"/>
      <c r="N260" s="298"/>
      <c r="O260" s="299"/>
      <c r="P260" s="295" t="s">
        <v>40</v>
      </c>
      <c r="Q260" s="296"/>
      <c r="R260" s="296"/>
      <c r="S260" s="296"/>
      <c r="T260" s="296"/>
      <c r="U260" s="296"/>
      <c r="V260" s="297"/>
      <c r="W260" s="42" t="s">
        <v>39</v>
      </c>
      <c r="X260" s="43">
        <f>IFERROR(SUM(X258:X259),"0")</f>
        <v>0</v>
      </c>
      <c r="Y260" s="43">
        <f>IFERROR(SUM(Y258:Y259),"0")</f>
        <v>0</v>
      </c>
      <c r="Z260" s="43">
        <f>IFERROR(IF(Z258="",0,Z258),"0")+IFERROR(IF(Z259="",0,Z259),"0")</f>
        <v>0</v>
      </c>
      <c r="AA260" s="67"/>
      <c r="AB260" s="67"/>
      <c r="AC260" s="67"/>
    </row>
    <row r="261" spans="1:68" x14ac:dyDescent="0.2">
      <c r="A261" s="298"/>
      <c r="B261" s="298"/>
      <c r="C261" s="298"/>
      <c r="D261" s="298"/>
      <c r="E261" s="298"/>
      <c r="F261" s="298"/>
      <c r="G261" s="298"/>
      <c r="H261" s="298"/>
      <c r="I261" s="298"/>
      <c r="J261" s="298"/>
      <c r="K261" s="298"/>
      <c r="L261" s="298"/>
      <c r="M261" s="298"/>
      <c r="N261" s="298"/>
      <c r="O261" s="299"/>
      <c r="P261" s="295" t="s">
        <v>40</v>
      </c>
      <c r="Q261" s="296"/>
      <c r="R261" s="296"/>
      <c r="S261" s="296"/>
      <c r="T261" s="296"/>
      <c r="U261" s="296"/>
      <c r="V261" s="297"/>
      <c r="W261" s="42" t="s">
        <v>0</v>
      </c>
      <c r="X261" s="43">
        <f>IFERROR(SUMPRODUCT(X258:X259*H258:H259),"0")</f>
        <v>0</v>
      </c>
      <c r="Y261" s="43">
        <f>IFERROR(SUMPRODUCT(Y258:Y259*H258:H259),"0")</f>
        <v>0</v>
      </c>
      <c r="Z261" s="42"/>
      <c r="AA261" s="67"/>
      <c r="AB261" s="67"/>
      <c r="AC261" s="67"/>
    </row>
    <row r="262" spans="1:68" ht="14.25" customHeight="1" x14ac:dyDescent="0.25">
      <c r="A262" s="309" t="s">
        <v>111</v>
      </c>
      <c r="B262" s="309"/>
      <c r="C262" s="309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  <c r="X262" s="309"/>
      <c r="Y262" s="309"/>
      <c r="Z262" s="309"/>
      <c r="AA262" s="66"/>
      <c r="AB262" s="66"/>
      <c r="AC262" s="83"/>
    </row>
    <row r="263" spans="1:68" ht="27" customHeight="1" x14ac:dyDescent="0.25">
      <c r="A263" s="63" t="s">
        <v>353</v>
      </c>
      <c r="B263" s="63" t="s">
        <v>354</v>
      </c>
      <c r="C263" s="36">
        <v>4301132080</v>
      </c>
      <c r="D263" s="291">
        <v>4640242180397</v>
      </c>
      <c r="E263" s="291"/>
      <c r="F263" s="62">
        <v>1</v>
      </c>
      <c r="G263" s="37">
        <v>6</v>
      </c>
      <c r="H263" s="62">
        <v>6</v>
      </c>
      <c r="I263" s="62">
        <v>6.26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31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293"/>
      <c r="R263" s="293"/>
      <c r="S263" s="293"/>
      <c r="T263" s="294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59" t="s">
        <v>355</v>
      </c>
      <c r="AG263" s="81"/>
      <c r="AJ263" s="87" t="s">
        <v>118</v>
      </c>
      <c r="AK263" s="87">
        <v>12</v>
      </c>
      <c r="BB263" s="260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  <c r="N264" s="298"/>
      <c r="O264" s="299"/>
      <c r="P264" s="295" t="s">
        <v>40</v>
      </c>
      <c r="Q264" s="296"/>
      <c r="R264" s="296"/>
      <c r="S264" s="296"/>
      <c r="T264" s="296"/>
      <c r="U264" s="296"/>
      <c r="V264" s="297"/>
      <c r="W264" s="42" t="s">
        <v>39</v>
      </c>
      <c r="X264" s="43">
        <f>IFERROR(SUM(X263:X263),"0")</f>
        <v>0</v>
      </c>
      <c r="Y264" s="43">
        <f>IFERROR(SUM(Y263:Y263),"0")</f>
        <v>0</v>
      </c>
      <c r="Z264" s="43">
        <f>IFERROR(IF(Z263="",0,Z263),"0")</f>
        <v>0</v>
      </c>
      <c r="AA264" s="67"/>
      <c r="AB264" s="67"/>
      <c r="AC264" s="67"/>
    </row>
    <row r="265" spans="1:68" x14ac:dyDescent="0.2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  <c r="N265" s="298"/>
      <c r="O265" s="299"/>
      <c r="P265" s="295" t="s">
        <v>40</v>
      </c>
      <c r="Q265" s="296"/>
      <c r="R265" s="296"/>
      <c r="S265" s="296"/>
      <c r="T265" s="296"/>
      <c r="U265" s="296"/>
      <c r="V265" s="297"/>
      <c r="W265" s="42" t="s">
        <v>0</v>
      </c>
      <c r="X265" s="43">
        <f>IFERROR(SUMPRODUCT(X263:X263*H263:H263),"0")</f>
        <v>0</v>
      </c>
      <c r="Y265" s="43">
        <f>IFERROR(SUMPRODUCT(Y263:Y263*H263:H263),"0")</f>
        <v>0</v>
      </c>
      <c r="Z265" s="42"/>
      <c r="AA265" s="67"/>
      <c r="AB265" s="67"/>
      <c r="AC265" s="67"/>
    </row>
    <row r="266" spans="1:68" ht="14.25" customHeight="1" x14ac:dyDescent="0.25">
      <c r="A266" s="309" t="s">
        <v>149</v>
      </c>
      <c r="B266" s="309"/>
      <c r="C266" s="309"/>
      <c r="D266" s="309"/>
      <c r="E266" s="309"/>
      <c r="F266" s="309"/>
      <c r="G266" s="309"/>
      <c r="H266" s="309"/>
      <c r="I266" s="309"/>
      <c r="J266" s="309"/>
      <c r="K266" s="309"/>
      <c r="L266" s="309"/>
      <c r="M266" s="309"/>
      <c r="N266" s="309"/>
      <c r="O266" s="309"/>
      <c r="P266" s="309"/>
      <c r="Q266" s="309"/>
      <c r="R266" s="309"/>
      <c r="S266" s="309"/>
      <c r="T266" s="309"/>
      <c r="U266" s="309"/>
      <c r="V266" s="309"/>
      <c r="W266" s="309"/>
      <c r="X266" s="309"/>
      <c r="Y266" s="309"/>
      <c r="Z266" s="309"/>
      <c r="AA266" s="66"/>
      <c r="AB266" s="66"/>
      <c r="AC266" s="83"/>
    </row>
    <row r="267" spans="1:68" ht="27" customHeight="1" x14ac:dyDescent="0.25">
      <c r="A267" s="63" t="s">
        <v>356</v>
      </c>
      <c r="B267" s="63" t="s">
        <v>357</v>
      </c>
      <c r="C267" s="36">
        <v>4301136051</v>
      </c>
      <c r="D267" s="291">
        <v>4640242180304</v>
      </c>
      <c r="E267" s="291"/>
      <c r="F267" s="62">
        <v>2.7</v>
      </c>
      <c r="G267" s="37">
        <v>1</v>
      </c>
      <c r="H267" s="62">
        <v>2.7</v>
      </c>
      <c r="I267" s="62">
        <v>2.8906000000000001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31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7" s="293"/>
      <c r="R267" s="293"/>
      <c r="S267" s="293"/>
      <c r="T267" s="294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1" t="s">
        <v>358</v>
      </c>
      <c r="AG267" s="81"/>
      <c r="AJ267" s="87" t="s">
        <v>118</v>
      </c>
      <c r="AK267" s="87">
        <v>14</v>
      </c>
      <c r="BB267" s="262" t="s">
        <v>115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ht="27" customHeight="1" x14ac:dyDescent="0.25">
      <c r="A268" s="63" t="s">
        <v>359</v>
      </c>
      <c r="B268" s="63" t="s">
        <v>360</v>
      </c>
      <c r="C268" s="36">
        <v>4301136053</v>
      </c>
      <c r="D268" s="291">
        <v>4640242180236</v>
      </c>
      <c r="E268" s="291"/>
      <c r="F268" s="62">
        <v>5</v>
      </c>
      <c r="G268" s="37">
        <v>1</v>
      </c>
      <c r="H268" s="62">
        <v>5</v>
      </c>
      <c r="I268" s="62">
        <v>5.2350000000000003</v>
      </c>
      <c r="J268" s="37">
        <v>84</v>
      </c>
      <c r="K268" s="37" t="s">
        <v>85</v>
      </c>
      <c r="L268" s="37" t="s">
        <v>117</v>
      </c>
      <c r="M268" s="38" t="s">
        <v>84</v>
      </c>
      <c r="N268" s="38"/>
      <c r="O268" s="37">
        <v>180</v>
      </c>
      <c r="P268" s="31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8" s="293"/>
      <c r="R268" s="293"/>
      <c r="S268" s="293"/>
      <c r="T268" s="294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3" t="s">
        <v>358</v>
      </c>
      <c r="AG268" s="81"/>
      <c r="AJ268" s="87" t="s">
        <v>118</v>
      </c>
      <c r="AK268" s="87">
        <v>12</v>
      </c>
      <c r="BB268" s="264" t="s">
        <v>115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361</v>
      </c>
      <c r="B269" s="63" t="s">
        <v>362</v>
      </c>
      <c r="C269" s="36">
        <v>4301136052</v>
      </c>
      <c r="D269" s="291">
        <v>4640242180410</v>
      </c>
      <c r="E269" s="291"/>
      <c r="F269" s="62">
        <v>2.2400000000000002</v>
      </c>
      <c r="G269" s="37">
        <v>1</v>
      </c>
      <c r="H269" s="62">
        <v>2.2400000000000002</v>
      </c>
      <c r="I269" s="62">
        <v>2.4319999999999999</v>
      </c>
      <c r="J269" s="37">
        <v>126</v>
      </c>
      <c r="K269" s="37" t="s">
        <v>116</v>
      </c>
      <c r="L269" s="37" t="s">
        <v>86</v>
      </c>
      <c r="M269" s="38" t="s">
        <v>84</v>
      </c>
      <c r="N269" s="38"/>
      <c r="O269" s="37">
        <v>180</v>
      </c>
      <c r="P269" s="31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9" s="293"/>
      <c r="R269" s="293"/>
      <c r="S269" s="293"/>
      <c r="T269" s="294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5" t="s">
        <v>358</v>
      </c>
      <c r="AG269" s="81"/>
      <c r="AJ269" s="87" t="s">
        <v>87</v>
      </c>
      <c r="AK269" s="87">
        <v>1</v>
      </c>
      <c r="BB269" s="266" t="s">
        <v>115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x14ac:dyDescent="0.2">
      <c r="A270" s="298"/>
      <c r="B270" s="298"/>
      <c r="C270" s="298"/>
      <c r="D270" s="298"/>
      <c r="E270" s="298"/>
      <c r="F270" s="298"/>
      <c r="G270" s="298"/>
      <c r="H270" s="298"/>
      <c r="I270" s="298"/>
      <c r="J270" s="298"/>
      <c r="K270" s="298"/>
      <c r="L270" s="298"/>
      <c r="M270" s="298"/>
      <c r="N270" s="298"/>
      <c r="O270" s="299"/>
      <c r="P270" s="295" t="s">
        <v>40</v>
      </c>
      <c r="Q270" s="296"/>
      <c r="R270" s="296"/>
      <c r="S270" s="296"/>
      <c r="T270" s="296"/>
      <c r="U270" s="296"/>
      <c r="V270" s="297"/>
      <c r="W270" s="42" t="s">
        <v>39</v>
      </c>
      <c r="X270" s="43">
        <f>IFERROR(SUM(X267:X269),"0")</f>
        <v>0</v>
      </c>
      <c r="Y270" s="43">
        <f>IFERROR(SUM(Y267:Y269),"0")</f>
        <v>0</v>
      </c>
      <c r="Z270" s="43">
        <f>IFERROR(IF(Z267="",0,Z267),"0")+IFERROR(IF(Z268="",0,Z268),"0")+IFERROR(IF(Z269="",0,Z269),"0")</f>
        <v>0</v>
      </c>
      <c r="AA270" s="67"/>
      <c r="AB270" s="67"/>
      <c r="AC270" s="67"/>
    </row>
    <row r="271" spans="1:68" x14ac:dyDescent="0.2">
      <c r="A271" s="298"/>
      <c r="B271" s="298"/>
      <c r="C271" s="298"/>
      <c r="D271" s="298"/>
      <c r="E271" s="298"/>
      <c r="F271" s="298"/>
      <c r="G271" s="298"/>
      <c r="H271" s="298"/>
      <c r="I271" s="298"/>
      <c r="J271" s="298"/>
      <c r="K271" s="298"/>
      <c r="L271" s="298"/>
      <c r="M271" s="298"/>
      <c r="N271" s="298"/>
      <c r="O271" s="299"/>
      <c r="P271" s="295" t="s">
        <v>40</v>
      </c>
      <c r="Q271" s="296"/>
      <c r="R271" s="296"/>
      <c r="S271" s="296"/>
      <c r="T271" s="296"/>
      <c r="U271" s="296"/>
      <c r="V271" s="297"/>
      <c r="W271" s="42" t="s">
        <v>0</v>
      </c>
      <c r="X271" s="43">
        <f>IFERROR(SUMPRODUCT(X267:X269*H267:H269),"0")</f>
        <v>0</v>
      </c>
      <c r="Y271" s="43">
        <f>IFERROR(SUMPRODUCT(Y267:Y269*H267:H269),"0")</f>
        <v>0</v>
      </c>
      <c r="Z271" s="42"/>
      <c r="AA271" s="67"/>
      <c r="AB271" s="67"/>
      <c r="AC271" s="67"/>
    </row>
    <row r="272" spans="1:68" ht="14.25" customHeight="1" x14ac:dyDescent="0.25">
      <c r="A272" s="309" t="s">
        <v>155</v>
      </c>
      <c r="B272" s="309"/>
      <c r="C272" s="309"/>
      <c r="D272" s="309"/>
      <c r="E272" s="309"/>
      <c r="F272" s="309"/>
      <c r="G272" s="309"/>
      <c r="H272" s="309"/>
      <c r="I272" s="309"/>
      <c r="J272" s="309"/>
      <c r="K272" s="309"/>
      <c r="L272" s="309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  <c r="X272" s="309"/>
      <c r="Y272" s="309"/>
      <c r="Z272" s="309"/>
      <c r="AA272" s="66"/>
      <c r="AB272" s="66"/>
      <c r="AC272" s="83"/>
    </row>
    <row r="273" spans="1:68" ht="37.5" customHeight="1" x14ac:dyDescent="0.25">
      <c r="A273" s="63" t="s">
        <v>363</v>
      </c>
      <c r="B273" s="63" t="s">
        <v>364</v>
      </c>
      <c r="C273" s="36">
        <v>4301135504</v>
      </c>
      <c r="D273" s="291">
        <v>4640242181554</v>
      </c>
      <c r="E273" s="291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31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3" s="293"/>
      <c r="R273" s="293"/>
      <c r="S273" s="293"/>
      <c r="T273" s="294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ref="Y273:Y282" si="18">IFERROR(IF(X273="","",X273),"")</f>
        <v>0</v>
      </c>
      <c r="Z273" s="41">
        <f>IFERROR(IF(X273="","",X273*0.00936),"")</f>
        <v>0</v>
      </c>
      <c r="AA273" s="68" t="s">
        <v>46</v>
      </c>
      <c r="AB273" s="69" t="s">
        <v>46</v>
      </c>
      <c r="AC273" s="267" t="s">
        <v>365</v>
      </c>
      <c r="AG273" s="81"/>
      <c r="AJ273" s="87" t="s">
        <v>118</v>
      </c>
      <c r="AK273" s="87">
        <v>14</v>
      </c>
      <c r="BB273" s="268" t="s">
        <v>115</v>
      </c>
      <c r="BM273" s="81">
        <f t="shared" ref="BM273:BM282" si="19">IFERROR(X273*I273,"0")</f>
        <v>0</v>
      </c>
      <c r="BN273" s="81">
        <f t="shared" ref="BN273:BN282" si="20">IFERROR(Y273*I273,"0")</f>
        <v>0</v>
      </c>
      <c r="BO273" s="81">
        <f t="shared" ref="BO273:BO282" si="21">IFERROR(X273/J273,"0")</f>
        <v>0</v>
      </c>
      <c r="BP273" s="81">
        <f t="shared" ref="BP273:BP282" si="22">IFERROR(Y273/J273,"0")</f>
        <v>0</v>
      </c>
    </row>
    <row r="274" spans="1:68" ht="27" customHeight="1" x14ac:dyDescent="0.25">
      <c r="A274" s="63" t="s">
        <v>366</v>
      </c>
      <c r="B274" s="63" t="s">
        <v>367</v>
      </c>
      <c r="C274" s="36">
        <v>4301135873</v>
      </c>
      <c r="D274" s="291">
        <v>4640242182087</v>
      </c>
      <c r="E274" s="291"/>
      <c r="F274" s="62">
        <v>5</v>
      </c>
      <c r="G274" s="37">
        <v>1</v>
      </c>
      <c r="H274" s="62">
        <v>5</v>
      </c>
      <c r="I274" s="62">
        <v>5.23</v>
      </c>
      <c r="J274" s="37">
        <v>84</v>
      </c>
      <c r="K274" s="37" t="s">
        <v>85</v>
      </c>
      <c r="L274" s="37" t="s">
        <v>86</v>
      </c>
      <c r="M274" s="38" t="s">
        <v>84</v>
      </c>
      <c r="N274" s="38"/>
      <c r="O274" s="37">
        <v>180</v>
      </c>
      <c r="P274" s="31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4" s="293"/>
      <c r="R274" s="293"/>
      <c r="S274" s="293"/>
      <c r="T274" s="294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>IFERROR(IF(X274="","",X274*0.0155),"")</f>
        <v>0</v>
      </c>
      <c r="AA274" s="68" t="s">
        <v>46</v>
      </c>
      <c r="AB274" s="69" t="s">
        <v>46</v>
      </c>
      <c r="AC274" s="269" t="s">
        <v>368</v>
      </c>
      <c r="AG274" s="81"/>
      <c r="AJ274" s="87" t="s">
        <v>87</v>
      </c>
      <c r="AK274" s="87">
        <v>1</v>
      </c>
      <c r="BB274" s="27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369</v>
      </c>
      <c r="B275" s="63" t="s">
        <v>370</v>
      </c>
      <c r="C275" s="36">
        <v>4301135374</v>
      </c>
      <c r="D275" s="291">
        <v>4640242181424</v>
      </c>
      <c r="E275" s="291"/>
      <c r="F275" s="62">
        <v>5.5</v>
      </c>
      <c r="G275" s="37">
        <v>1</v>
      </c>
      <c r="H275" s="62">
        <v>5.5</v>
      </c>
      <c r="I275" s="62">
        <v>5.7350000000000003</v>
      </c>
      <c r="J275" s="37">
        <v>84</v>
      </c>
      <c r="K275" s="37" t="s">
        <v>85</v>
      </c>
      <c r="L275" s="37" t="s">
        <v>117</v>
      </c>
      <c r="M275" s="38" t="s">
        <v>84</v>
      </c>
      <c r="N275" s="38"/>
      <c r="O275" s="37">
        <v>180</v>
      </c>
      <c r="P275" s="31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5" s="293"/>
      <c r="R275" s="293"/>
      <c r="S275" s="293"/>
      <c r="T275" s="294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>IFERROR(IF(X275="","",X275*0.0155),"")</f>
        <v>0</v>
      </c>
      <c r="AA275" s="68" t="s">
        <v>46</v>
      </c>
      <c r="AB275" s="69" t="s">
        <v>46</v>
      </c>
      <c r="AC275" s="271" t="s">
        <v>365</v>
      </c>
      <c r="AG275" s="81"/>
      <c r="AJ275" s="87" t="s">
        <v>118</v>
      </c>
      <c r="AK275" s="87">
        <v>12</v>
      </c>
      <c r="BB275" s="27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371</v>
      </c>
      <c r="B276" s="63" t="s">
        <v>372</v>
      </c>
      <c r="C276" s="36">
        <v>4301135405</v>
      </c>
      <c r="D276" s="291">
        <v>4640242181523</v>
      </c>
      <c r="E276" s="291"/>
      <c r="F276" s="62">
        <v>3</v>
      </c>
      <c r="G276" s="37">
        <v>1</v>
      </c>
      <c r="H276" s="62">
        <v>3</v>
      </c>
      <c r="I276" s="62">
        <v>3.1920000000000002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6" s="293"/>
      <c r="R276" s="293"/>
      <c r="S276" s="293"/>
      <c r="T276" s="294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ref="Z276:Z281" si="23">IFERROR(IF(X276="","",X276*0.00936),"")</f>
        <v>0</v>
      </c>
      <c r="AA276" s="68" t="s">
        <v>46</v>
      </c>
      <c r="AB276" s="69" t="s">
        <v>46</v>
      </c>
      <c r="AC276" s="273" t="s">
        <v>368</v>
      </c>
      <c r="AG276" s="81"/>
      <c r="AJ276" s="87" t="s">
        <v>118</v>
      </c>
      <c r="AK276" s="87">
        <v>14</v>
      </c>
      <c r="BB276" s="27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373</v>
      </c>
      <c r="B277" s="63" t="s">
        <v>374</v>
      </c>
      <c r="C277" s="36">
        <v>4301135375</v>
      </c>
      <c r="D277" s="291">
        <v>4640242181486</v>
      </c>
      <c r="E277" s="291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116</v>
      </c>
      <c r="L277" s="37" t="s">
        <v>117</v>
      </c>
      <c r="M277" s="38" t="s">
        <v>84</v>
      </c>
      <c r="N277" s="38"/>
      <c r="O277" s="37">
        <v>180</v>
      </c>
      <c r="P277" s="30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7" s="293"/>
      <c r="R277" s="293"/>
      <c r="S277" s="293"/>
      <c r="T277" s="294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5" t="s">
        <v>365</v>
      </c>
      <c r="AG277" s="81"/>
      <c r="AJ277" s="87" t="s">
        <v>118</v>
      </c>
      <c r="AK277" s="87">
        <v>14</v>
      </c>
      <c r="BB277" s="27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37.5" customHeight="1" x14ac:dyDescent="0.25">
      <c r="A278" s="63" t="s">
        <v>375</v>
      </c>
      <c r="B278" s="63" t="s">
        <v>376</v>
      </c>
      <c r="C278" s="36">
        <v>4301135402</v>
      </c>
      <c r="D278" s="291">
        <v>4640242181493</v>
      </c>
      <c r="E278" s="291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116</v>
      </c>
      <c r="L278" s="37" t="s">
        <v>117</v>
      </c>
      <c r="M278" s="38" t="s">
        <v>84</v>
      </c>
      <c r="N278" s="38"/>
      <c r="O278" s="37">
        <v>180</v>
      </c>
      <c r="P278" s="30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8" s="293"/>
      <c r="R278" s="293"/>
      <c r="S278" s="293"/>
      <c r="T278" s="294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77" t="s">
        <v>365</v>
      </c>
      <c r="AG278" s="81"/>
      <c r="AJ278" s="87" t="s">
        <v>118</v>
      </c>
      <c r="AK278" s="87">
        <v>14</v>
      </c>
      <c r="BB278" s="278" t="s">
        <v>115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customHeight="1" x14ac:dyDescent="0.25">
      <c r="A279" s="63" t="s">
        <v>377</v>
      </c>
      <c r="B279" s="63" t="s">
        <v>378</v>
      </c>
      <c r="C279" s="36">
        <v>4301135403</v>
      </c>
      <c r="D279" s="291">
        <v>4640242181509</v>
      </c>
      <c r="E279" s="291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116</v>
      </c>
      <c r="L279" s="37" t="s">
        <v>86</v>
      </c>
      <c r="M279" s="38" t="s">
        <v>84</v>
      </c>
      <c r="N279" s="38"/>
      <c r="O279" s="37">
        <v>180</v>
      </c>
      <c r="P279" s="30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9" s="293"/>
      <c r="R279" s="293"/>
      <c r="S279" s="293"/>
      <c r="T279" s="294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79" t="s">
        <v>365</v>
      </c>
      <c r="AG279" s="81"/>
      <c r="AJ279" s="87" t="s">
        <v>87</v>
      </c>
      <c r="AK279" s="87">
        <v>1</v>
      </c>
      <c r="BB279" s="280" t="s">
        <v>115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customHeight="1" x14ac:dyDescent="0.25">
      <c r="A280" s="63" t="s">
        <v>379</v>
      </c>
      <c r="B280" s="63" t="s">
        <v>380</v>
      </c>
      <c r="C280" s="36">
        <v>4301135304</v>
      </c>
      <c r="D280" s="291">
        <v>4640242181240</v>
      </c>
      <c r="E280" s="291"/>
      <c r="F280" s="62">
        <v>0.3</v>
      </c>
      <c r="G280" s="37">
        <v>9</v>
      </c>
      <c r="H280" s="62">
        <v>2.7</v>
      </c>
      <c r="I280" s="62">
        <v>2.88</v>
      </c>
      <c r="J280" s="37">
        <v>126</v>
      </c>
      <c r="K280" s="37" t="s">
        <v>116</v>
      </c>
      <c r="L280" s="37" t="s">
        <v>117</v>
      </c>
      <c r="M280" s="38" t="s">
        <v>84</v>
      </c>
      <c r="N280" s="38"/>
      <c r="O280" s="37">
        <v>180</v>
      </c>
      <c r="P280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0" s="293"/>
      <c r="R280" s="293"/>
      <c r="S280" s="293"/>
      <c r="T280" s="294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1" t="s">
        <v>365</v>
      </c>
      <c r="AG280" s="81"/>
      <c r="AJ280" s="87" t="s">
        <v>118</v>
      </c>
      <c r="AK280" s="87">
        <v>14</v>
      </c>
      <c r="BB280" s="282" t="s">
        <v>115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customHeight="1" x14ac:dyDescent="0.25">
      <c r="A281" s="63" t="s">
        <v>381</v>
      </c>
      <c r="B281" s="63" t="s">
        <v>382</v>
      </c>
      <c r="C281" s="36">
        <v>4301135610</v>
      </c>
      <c r="D281" s="291">
        <v>4640242181318</v>
      </c>
      <c r="E281" s="291"/>
      <c r="F281" s="62">
        <v>0.3</v>
      </c>
      <c r="G281" s="37">
        <v>9</v>
      </c>
      <c r="H281" s="62">
        <v>2.7</v>
      </c>
      <c r="I281" s="62">
        <v>2.988</v>
      </c>
      <c r="J281" s="37">
        <v>126</v>
      </c>
      <c r="K281" s="37" t="s">
        <v>116</v>
      </c>
      <c r="L281" s="37" t="s">
        <v>117</v>
      </c>
      <c r="M281" s="38" t="s">
        <v>84</v>
      </c>
      <c r="N281" s="38"/>
      <c r="O281" s="37">
        <v>180</v>
      </c>
      <c r="P281" s="30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1" s="293"/>
      <c r="R281" s="293"/>
      <c r="S281" s="293"/>
      <c r="T281" s="294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3" t="s">
        <v>368</v>
      </c>
      <c r="AG281" s="81"/>
      <c r="AJ281" s="87" t="s">
        <v>118</v>
      </c>
      <c r="AK281" s="87">
        <v>14</v>
      </c>
      <c r="BB281" s="284" t="s">
        <v>115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383</v>
      </c>
      <c r="B282" s="63" t="s">
        <v>384</v>
      </c>
      <c r="C282" s="36">
        <v>4301135306</v>
      </c>
      <c r="D282" s="291">
        <v>4640242181387</v>
      </c>
      <c r="E282" s="291"/>
      <c r="F282" s="62">
        <v>0.3</v>
      </c>
      <c r="G282" s="37">
        <v>9</v>
      </c>
      <c r="H282" s="62">
        <v>2.7</v>
      </c>
      <c r="I282" s="62">
        <v>2.8450000000000002</v>
      </c>
      <c r="J282" s="37">
        <v>234</v>
      </c>
      <c r="K282" s="37" t="s">
        <v>167</v>
      </c>
      <c r="L282" s="37" t="s">
        <v>117</v>
      </c>
      <c r="M282" s="38" t="s">
        <v>84</v>
      </c>
      <c r="N282" s="38"/>
      <c r="O282" s="37">
        <v>180</v>
      </c>
      <c r="P282" s="29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2" s="293"/>
      <c r="R282" s="293"/>
      <c r="S282" s="293"/>
      <c r="T282" s="294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>IFERROR(IF(X282="","",X282*0.00502),"")</f>
        <v>0</v>
      </c>
      <c r="AA282" s="68" t="s">
        <v>46</v>
      </c>
      <c r="AB282" s="69" t="s">
        <v>46</v>
      </c>
      <c r="AC282" s="285" t="s">
        <v>365</v>
      </c>
      <c r="AG282" s="81"/>
      <c r="AJ282" s="87" t="s">
        <v>118</v>
      </c>
      <c r="AK282" s="87">
        <v>18</v>
      </c>
      <c r="BB282" s="286" t="s">
        <v>115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x14ac:dyDescent="0.2">
      <c r="A283" s="298"/>
      <c r="B283" s="298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9"/>
      <c r="P283" s="295" t="s">
        <v>40</v>
      </c>
      <c r="Q283" s="296"/>
      <c r="R283" s="296"/>
      <c r="S283" s="296"/>
      <c r="T283" s="296"/>
      <c r="U283" s="296"/>
      <c r="V283" s="297"/>
      <c r="W283" s="42" t="s">
        <v>39</v>
      </c>
      <c r="X283" s="43">
        <f>IFERROR(SUM(X273:X282),"0")</f>
        <v>0</v>
      </c>
      <c r="Y283" s="43">
        <f>IFERROR(SUM(Y273:Y282),"0")</f>
        <v>0</v>
      </c>
      <c r="Z283" s="43">
        <f>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298"/>
      <c r="B284" s="298"/>
      <c r="C284" s="298"/>
      <c r="D284" s="298"/>
      <c r="E284" s="298"/>
      <c r="F284" s="298"/>
      <c r="G284" s="298"/>
      <c r="H284" s="298"/>
      <c r="I284" s="298"/>
      <c r="J284" s="298"/>
      <c r="K284" s="298"/>
      <c r="L284" s="298"/>
      <c r="M284" s="298"/>
      <c r="N284" s="298"/>
      <c r="O284" s="299"/>
      <c r="P284" s="295" t="s">
        <v>40</v>
      </c>
      <c r="Q284" s="296"/>
      <c r="R284" s="296"/>
      <c r="S284" s="296"/>
      <c r="T284" s="296"/>
      <c r="U284" s="296"/>
      <c r="V284" s="297"/>
      <c r="W284" s="42" t="s">
        <v>0</v>
      </c>
      <c r="X284" s="43">
        <f>IFERROR(SUMPRODUCT(X273:X282*H273:H282),"0")</f>
        <v>0</v>
      </c>
      <c r="Y284" s="43">
        <f>IFERROR(SUMPRODUCT(Y273:Y282*H273:H282),"0")</f>
        <v>0</v>
      </c>
      <c r="Z284" s="42"/>
      <c r="AA284" s="67"/>
      <c r="AB284" s="67"/>
      <c r="AC284" s="67"/>
    </row>
    <row r="285" spans="1:68" ht="15" customHeight="1" x14ac:dyDescent="0.2">
      <c r="A285" s="298"/>
      <c r="B285" s="298"/>
      <c r="C285" s="298"/>
      <c r="D285" s="298"/>
      <c r="E285" s="298"/>
      <c r="F285" s="298"/>
      <c r="G285" s="298"/>
      <c r="H285" s="298"/>
      <c r="I285" s="298"/>
      <c r="J285" s="298"/>
      <c r="K285" s="298"/>
      <c r="L285" s="298"/>
      <c r="M285" s="298"/>
      <c r="N285" s="298"/>
      <c r="O285" s="303"/>
      <c r="P285" s="300" t="s">
        <v>33</v>
      </c>
      <c r="Q285" s="301"/>
      <c r="R285" s="301"/>
      <c r="S285" s="301"/>
      <c r="T285" s="301"/>
      <c r="U285" s="301"/>
      <c r="V285" s="302"/>
      <c r="W285" s="42" t="s">
        <v>0</v>
      </c>
      <c r="X285" s="43">
        <f>IFERROR(X31+X37+X44+X51+X59+X64+X68+X73+X79+X85+X90+X96+X106+X112+X123+X127+X131+X138+X144+X150+X156+X162+X167+X172+X177+X184+X189+X198+X204+X210+X216+X221+X226+X232+X238+X244+X248+X254+X261+X265+X271+X284,"0")</f>
        <v>0</v>
      </c>
      <c r="Y285" s="43">
        <f>IFERROR(Y31+Y37+Y44+Y51+Y59+Y64+Y68+Y73+Y79+Y85+Y90+Y96+Y106+Y112+Y123+Y127+Y131+Y138+Y144+Y150+Y156+Y162+Y167+Y172+Y177+Y184+Y189+Y198+Y204+Y210+Y216+Y221+Y226+Y232+Y238+Y244+Y248+Y254+Y261+Y265+Y271+Y284,"0")</f>
        <v>0</v>
      </c>
      <c r="Z285" s="42"/>
      <c r="AA285" s="67"/>
      <c r="AB285" s="67"/>
      <c r="AC285" s="67"/>
    </row>
    <row r="286" spans="1:68" x14ac:dyDescent="0.2">
      <c r="A286" s="298"/>
      <c r="B286" s="298"/>
      <c r="C286" s="298"/>
      <c r="D286" s="298"/>
      <c r="E286" s="298"/>
      <c r="F286" s="298"/>
      <c r="G286" s="298"/>
      <c r="H286" s="298"/>
      <c r="I286" s="298"/>
      <c r="J286" s="298"/>
      <c r="K286" s="298"/>
      <c r="L286" s="298"/>
      <c r="M286" s="298"/>
      <c r="N286" s="298"/>
      <c r="O286" s="303"/>
      <c r="P286" s="300" t="s">
        <v>34</v>
      </c>
      <c r="Q286" s="301"/>
      <c r="R286" s="301"/>
      <c r="S286" s="301"/>
      <c r="T286" s="301"/>
      <c r="U286" s="301"/>
      <c r="V286" s="302"/>
      <c r="W286" s="42" t="s">
        <v>0</v>
      </c>
      <c r="X286" s="43">
        <f>IFERROR(SUM(BM22:BM282),"0")</f>
        <v>0</v>
      </c>
      <c r="Y286" s="43">
        <f>IFERROR(SUM(BN22:BN282),"0")</f>
        <v>0</v>
      </c>
      <c r="Z286" s="42"/>
      <c r="AA286" s="67"/>
      <c r="AB286" s="67"/>
      <c r="AC286" s="67"/>
    </row>
    <row r="287" spans="1:68" x14ac:dyDescent="0.2">
      <c r="A287" s="298"/>
      <c r="B287" s="298"/>
      <c r="C287" s="298"/>
      <c r="D287" s="298"/>
      <c r="E287" s="298"/>
      <c r="F287" s="298"/>
      <c r="G287" s="298"/>
      <c r="H287" s="298"/>
      <c r="I287" s="298"/>
      <c r="J287" s="298"/>
      <c r="K287" s="298"/>
      <c r="L287" s="298"/>
      <c r="M287" s="298"/>
      <c r="N287" s="298"/>
      <c r="O287" s="303"/>
      <c r="P287" s="300" t="s">
        <v>35</v>
      </c>
      <c r="Q287" s="301"/>
      <c r="R287" s="301"/>
      <c r="S287" s="301"/>
      <c r="T287" s="301"/>
      <c r="U287" s="301"/>
      <c r="V287" s="302"/>
      <c r="W287" s="42" t="s">
        <v>20</v>
      </c>
      <c r="X287" s="44">
        <f>ROUNDUP(SUM(BO22:BO282),0)</f>
        <v>0</v>
      </c>
      <c r="Y287" s="44">
        <f>ROUNDUP(SUM(BP22:BP282),0)</f>
        <v>0</v>
      </c>
      <c r="Z287" s="42"/>
      <c r="AA287" s="67"/>
      <c r="AB287" s="67"/>
      <c r="AC287" s="67"/>
    </row>
    <row r="288" spans="1:68" x14ac:dyDescent="0.2">
      <c r="A288" s="298"/>
      <c r="B288" s="298"/>
      <c r="C288" s="298"/>
      <c r="D288" s="298"/>
      <c r="E288" s="298"/>
      <c r="F288" s="298"/>
      <c r="G288" s="298"/>
      <c r="H288" s="298"/>
      <c r="I288" s="298"/>
      <c r="J288" s="298"/>
      <c r="K288" s="298"/>
      <c r="L288" s="298"/>
      <c r="M288" s="298"/>
      <c r="N288" s="298"/>
      <c r="O288" s="303"/>
      <c r="P288" s="300" t="s">
        <v>36</v>
      </c>
      <c r="Q288" s="301"/>
      <c r="R288" s="301"/>
      <c r="S288" s="301"/>
      <c r="T288" s="301"/>
      <c r="U288" s="301"/>
      <c r="V288" s="302"/>
      <c r="W288" s="42" t="s">
        <v>0</v>
      </c>
      <c r="X288" s="43">
        <f>GrossWeightTotal+PalletQtyTotal*25</f>
        <v>0</v>
      </c>
      <c r="Y288" s="43">
        <f>GrossWeightTotalR+PalletQtyTotalR*25</f>
        <v>0</v>
      </c>
      <c r="Z288" s="42"/>
      <c r="AA288" s="67"/>
      <c r="AB288" s="67"/>
      <c r="AC288" s="67"/>
    </row>
    <row r="289" spans="1:33" x14ac:dyDescent="0.2">
      <c r="A289" s="298"/>
      <c r="B289" s="298"/>
      <c r="C289" s="298"/>
      <c r="D289" s="298"/>
      <c r="E289" s="298"/>
      <c r="F289" s="298"/>
      <c r="G289" s="298"/>
      <c r="H289" s="298"/>
      <c r="I289" s="298"/>
      <c r="J289" s="298"/>
      <c r="K289" s="298"/>
      <c r="L289" s="298"/>
      <c r="M289" s="298"/>
      <c r="N289" s="298"/>
      <c r="O289" s="303"/>
      <c r="P289" s="300" t="s">
        <v>37</v>
      </c>
      <c r="Q289" s="301"/>
      <c r="R289" s="301"/>
      <c r="S289" s="301"/>
      <c r="T289" s="301"/>
      <c r="U289" s="301"/>
      <c r="V289" s="302"/>
      <c r="W289" s="42" t="s">
        <v>20</v>
      </c>
      <c r="X289" s="43">
        <f>IFERROR(X30+X36+X43+X50+X58+X63+X67+X72+X78+X84+X89+X95+X105+X111+X122+X126+X130+X137+X143+X149+X155+X161+X166+X171+X176+X183+X188+X197+X203+X209+X215+X220+X225+X231+X237+X243+X247+X253+X260+X264+X270+X283,"0")</f>
        <v>0</v>
      </c>
      <c r="Y289" s="43">
        <f>IFERROR(Y30+Y36+Y43+Y50+Y58+Y63+Y67+Y72+Y78+Y84+Y89+Y95+Y105+Y111+Y122+Y126+Y130+Y137+Y143+Y149+Y155+Y161+Y166+Y171+Y176+Y183+Y188+Y197+Y203+Y209+Y215+Y220+Y225+Y231+Y237+Y243+Y247+Y253+Y260+Y264+Y270+Y283,"0")</f>
        <v>0</v>
      </c>
      <c r="Z289" s="42"/>
      <c r="AA289" s="67"/>
      <c r="AB289" s="67"/>
      <c r="AC289" s="67"/>
    </row>
    <row r="290" spans="1:33" ht="14.25" x14ac:dyDescent="0.2">
      <c r="A290" s="298"/>
      <c r="B290" s="298"/>
      <c r="C290" s="298"/>
      <c r="D290" s="298"/>
      <c r="E290" s="298"/>
      <c r="F290" s="298"/>
      <c r="G290" s="298"/>
      <c r="H290" s="298"/>
      <c r="I290" s="298"/>
      <c r="J290" s="298"/>
      <c r="K290" s="298"/>
      <c r="L290" s="298"/>
      <c r="M290" s="298"/>
      <c r="N290" s="298"/>
      <c r="O290" s="303"/>
      <c r="P290" s="300" t="s">
        <v>38</v>
      </c>
      <c r="Q290" s="301"/>
      <c r="R290" s="301"/>
      <c r="S290" s="301"/>
      <c r="T290" s="301"/>
      <c r="U290" s="301"/>
      <c r="V290" s="302"/>
      <c r="W290" s="45" t="s">
        <v>52</v>
      </c>
      <c r="X290" s="42"/>
      <c r="Y290" s="42"/>
      <c r="Z290" s="42">
        <f>IFERROR(Z30+Z36+Z43+Z50+Z58+Z63+Z67+Z72+Z78+Z84+Z89+Z95+Z105+Z111+Z122+Z126+Z130+Z137+Z143+Z149+Z155+Z161+Z166+Z171+Z176+Z183+Z188+Z197+Z203+Z209+Z215+Z220+Z225+Z231+Z237+Z243+Z247+Z253+Z260+Z264+Z270+Z283,"0")</f>
        <v>0</v>
      </c>
      <c r="AA290" s="67"/>
      <c r="AB290" s="67"/>
      <c r="AC290" s="67"/>
    </row>
    <row r="291" spans="1:33" ht="13.5" thickBot="1" x14ac:dyDescent="0.25"/>
    <row r="292" spans="1:33" ht="27" thickTop="1" thickBot="1" x14ac:dyDescent="0.25">
      <c r="A292" s="46" t="s">
        <v>9</v>
      </c>
      <c r="B292" s="287" t="s">
        <v>79</v>
      </c>
      <c r="C292" s="287" t="s">
        <v>79</v>
      </c>
      <c r="D292" s="287" t="s">
        <v>45</v>
      </c>
      <c r="E292" s="287" t="s">
        <v>45</v>
      </c>
      <c r="F292" s="287" t="s">
        <v>45</v>
      </c>
      <c r="G292" s="287" t="s">
        <v>45</v>
      </c>
      <c r="H292" s="287" t="s">
        <v>45</v>
      </c>
      <c r="I292" s="287" t="s">
        <v>45</v>
      </c>
      <c r="J292" s="287" t="s">
        <v>45</v>
      </c>
      <c r="K292" s="287" t="s">
        <v>45</v>
      </c>
      <c r="L292" s="287" t="s">
        <v>45</v>
      </c>
      <c r="M292" s="287" t="s">
        <v>45</v>
      </c>
      <c r="N292" s="288"/>
      <c r="O292" s="287" t="s">
        <v>45</v>
      </c>
      <c r="P292" s="287" t="s">
        <v>45</v>
      </c>
      <c r="Q292" s="287" t="s">
        <v>45</v>
      </c>
      <c r="R292" s="287" t="s">
        <v>45</v>
      </c>
      <c r="S292" s="287" t="s">
        <v>45</v>
      </c>
      <c r="T292" s="287" t="s">
        <v>45</v>
      </c>
      <c r="U292" s="287" t="s">
        <v>45</v>
      </c>
      <c r="V292" s="287" t="s">
        <v>273</v>
      </c>
      <c r="W292" s="287" t="s">
        <v>273</v>
      </c>
      <c r="X292" s="88" t="s">
        <v>284</v>
      </c>
      <c r="Y292" s="287" t="s">
        <v>298</v>
      </c>
      <c r="Z292" s="287" t="s">
        <v>298</v>
      </c>
      <c r="AA292" s="287" t="s">
        <v>298</v>
      </c>
      <c r="AB292" s="287" t="s">
        <v>298</v>
      </c>
      <c r="AC292" s="88" t="s">
        <v>327</v>
      </c>
      <c r="AD292" s="88" t="s">
        <v>332</v>
      </c>
      <c r="AE292" s="88" t="s">
        <v>335</v>
      </c>
      <c r="AF292" s="88" t="s">
        <v>343</v>
      </c>
      <c r="AG292" s="88" t="s">
        <v>347</v>
      </c>
    </row>
    <row r="293" spans="1:33" ht="14.25" customHeight="1" thickTop="1" x14ac:dyDescent="0.2">
      <c r="A293" s="289" t="s">
        <v>10</v>
      </c>
      <c r="B293" s="287" t="s">
        <v>79</v>
      </c>
      <c r="C293" s="287" t="s">
        <v>104</v>
      </c>
      <c r="D293" s="287" t="s">
        <v>110</v>
      </c>
      <c r="E293" s="287" t="s">
        <v>121</v>
      </c>
      <c r="F293" s="287" t="s">
        <v>131</v>
      </c>
      <c r="G293" s="287" t="s">
        <v>142</v>
      </c>
      <c r="H293" s="287" t="s">
        <v>163</v>
      </c>
      <c r="I293" s="287" t="s">
        <v>170</v>
      </c>
      <c r="J293" s="287" t="s">
        <v>174</v>
      </c>
      <c r="K293" s="287" t="s">
        <v>182</v>
      </c>
      <c r="L293" s="287" t="s">
        <v>197</v>
      </c>
      <c r="M293" s="287" t="s">
        <v>203</v>
      </c>
      <c r="N293" s="1"/>
      <c r="O293" s="287" t="s">
        <v>228</v>
      </c>
      <c r="P293" s="287" t="s">
        <v>244</v>
      </c>
      <c r="Q293" s="287" t="s">
        <v>250</v>
      </c>
      <c r="R293" s="287" t="s">
        <v>257</v>
      </c>
      <c r="S293" s="287" t="s">
        <v>262</v>
      </c>
      <c r="T293" s="287" t="s">
        <v>266</v>
      </c>
      <c r="U293" s="287" t="s">
        <v>269</v>
      </c>
      <c r="V293" s="287" t="s">
        <v>274</v>
      </c>
      <c r="W293" s="287" t="s">
        <v>281</v>
      </c>
      <c r="X293" s="287" t="s">
        <v>285</v>
      </c>
      <c r="Y293" s="287" t="s">
        <v>299</v>
      </c>
      <c r="Z293" s="287" t="s">
        <v>312</v>
      </c>
      <c r="AA293" s="287" t="s">
        <v>319</v>
      </c>
      <c r="AB293" s="287" t="s">
        <v>323</v>
      </c>
      <c r="AC293" s="287" t="s">
        <v>328</v>
      </c>
      <c r="AD293" s="287" t="s">
        <v>281</v>
      </c>
      <c r="AE293" s="287" t="s">
        <v>336</v>
      </c>
      <c r="AF293" s="287" t="s">
        <v>343</v>
      </c>
      <c r="AG293" s="287" t="s">
        <v>347</v>
      </c>
    </row>
    <row r="294" spans="1:33" ht="13.5" thickBot="1" x14ac:dyDescent="0.25">
      <c r="A294" s="290"/>
      <c r="B294" s="287"/>
      <c r="C294" s="287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1"/>
      <c r="O294" s="287"/>
      <c r="P294" s="287"/>
      <c r="Q294" s="287"/>
      <c r="R294" s="287"/>
      <c r="S294" s="287"/>
      <c r="T294" s="287"/>
      <c r="U294" s="287"/>
      <c r="V294" s="287"/>
      <c r="W294" s="287"/>
      <c r="X294" s="287"/>
      <c r="Y294" s="287"/>
      <c r="Z294" s="287"/>
      <c r="AA294" s="287"/>
      <c r="AB294" s="287"/>
      <c r="AC294" s="287"/>
      <c r="AD294" s="287"/>
      <c r="AE294" s="287"/>
      <c r="AF294" s="287"/>
      <c r="AG294" s="287"/>
    </row>
    <row r="295" spans="1:33" ht="18" thickTop="1" thickBot="1" x14ac:dyDescent="0.25">
      <c r="A295" s="46" t="s">
        <v>13</v>
      </c>
      <c r="B295" s="52">
        <f>IFERROR(X22*H22,"0")+IFERROR(X23*H23,"0")+IFERROR(X24*H24,"0")+IFERROR(X25*H25,"0")+IFERROR(X26*H26,"0")+IFERROR(X27*H27,"0")+IFERROR(X28*H28,"0")+IFERROR(X29*H29,"0")</f>
        <v>0</v>
      </c>
      <c r="C295" s="52">
        <f>IFERROR(X34*H34,"0")+IFERROR(X35*H35,"0")</f>
        <v>0</v>
      </c>
      <c r="D295" s="52">
        <f>IFERROR(X41*H41,"0")+IFERROR(X42*H42,"0")</f>
        <v>0</v>
      </c>
      <c r="E295" s="52">
        <f>IFERROR(X47*H47,"0")+IFERROR(X48*H48,"0")+IFERROR(X49*H49,"0")</f>
        <v>0</v>
      </c>
      <c r="F295" s="52">
        <f>IFERROR(X54*H54,"0")+IFERROR(X55*H55,"0")+IFERROR(X56*H56,"0")+IFERROR(X57*H57,"0")</f>
        <v>0</v>
      </c>
      <c r="G295" s="52">
        <f>IFERROR(X62*H62,"0")+IFERROR(X66*H66,"0")+IFERROR(X70*H70,"0")+IFERROR(X71*H71,"0")+IFERROR(X75*H75,"0")+IFERROR(X76*H76,"0")+IFERROR(X77*H77,"0")</f>
        <v>0</v>
      </c>
      <c r="H295" s="52">
        <f>IFERROR(X82*H82,"0")+IFERROR(X83*H83,"0")</f>
        <v>0</v>
      </c>
      <c r="I295" s="52">
        <f>IFERROR(X88*H88,"0")</f>
        <v>0</v>
      </c>
      <c r="J295" s="52">
        <f>IFERROR(X93*H93,"0")+IFERROR(X94*H94,"0")</f>
        <v>0</v>
      </c>
      <c r="K295" s="52">
        <f>IFERROR(X99*H99,"0")+IFERROR(X100*H100,"0")+IFERROR(X101*H101,"0")+IFERROR(X102*H102,"0")+IFERROR(X103*H103,"0")+IFERROR(X104*H104,"0")</f>
        <v>0</v>
      </c>
      <c r="L295" s="52">
        <f>IFERROR(X109*H109,"0")+IFERROR(X110*H110,"0")</f>
        <v>0</v>
      </c>
      <c r="M295" s="52">
        <f>IFERROR(X115*H115,"0")+IFERROR(X116*H116,"0")+IFERROR(X117*H117,"0")+IFERROR(X118*H118,"0")+IFERROR(X119*H119,"0")+IFERROR(X120*H120,"0")+IFERROR(X121*H121,"0")+IFERROR(X125*H125,"0")+IFERROR(X129*H129,"0")</f>
        <v>0</v>
      </c>
      <c r="N295" s="1"/>
      <c r="O295" s="52">
        <f>IFERROR(X134*H134,"0")+IFERROR(X135*H135,"0")+IFERROR(X136*H136,"0")+IFERROR(X140*H140,"0")+IFERROR(X141*H141,"0")+IFERROR(X142*H142,"0")</f>
        <v>0</v>
      </c>
      <c r="P295" s="52">
        <f>IFERROR(X147*H147,"0")+IFERROR(X148*H148,"0")</f>
        <v>0</v>
      </c>
      <c r="Q295" s="52">
        <f>IFERROR(X153*H153,"0")+IFERROR(X154*H154,"0")</f>
        <v>0</v>
      </c>
      <c r="R295" s="52">
        <f>IFERROR(X159*H159,"0")+IFERROR(X160*H160,"0")</f>
        <v>0</v>
      </c>
      <c r="S295" s="52">
        <f>IFERROR(X165*H165,"0")</f>
        <v>0</v>
      </c>
      <c r="T295" s="52">
        <f>IFERROR(X170*H170,"0")</f>
        <v>0</v>
      </c>
      <c r="U295" s="52">
        <f>IFERROR(X175*H175,"0")</f>
        <v>0</v>
      </c>
      <c r="V295" s="52">
        <f>IFERROR(X181*H181,"0")+IFERROR(X182*H182,"0")</f>
        <v>0</v>
      </c>
      <c r="W295" s="52">
        <f>IFERROR(X187*H187,"0")</f>
        <v>0</v>
      </c>
      <c r="X295" s="52">
        <f>IFERROR(X193*H193,"0")+IFERROR(X194*H194,"0")+IFERROR(X195*H195,"0")+IFERROR(X196*H196,"0")</f>
        <v>0</v>
      </c>
      <c r="Y295" s="52">
        <f>IFERROR(X202*H202,"0")+IFERROR(X206*H206,"0")+IFERROR(X207*H207,"0")+IFERROR(X208*H208,"0")</f>
        <v>0</v>
      </c>
      <c r="Z295" s="52">
        <f>IFERROR(X213*H213,"0")+IFERROR(X214*H214,"0")</f>
        <v>0</v>
      </c>
      <c r="AA295" s="52">
        <f>IFERROR(X219*H219,"0")</f>
        <v>0</v>
      </c>
      <c r="AB295" s="52">
        <f>IFERROR(X224*H224,"0")</f>
        <v>0</v>
      </c>
      <c r="AC295" s="52">
        <f>IFERROR(X230*H230,"0")</f>
        <v>0</v>
      </c>
      <c r="AD295" s="52">
        <f>IFERROR(X236*H236,"0")</f>
        <v>0</v>
      </c>
      <c r="AE295" s="52">
        <f>IFERROR(X242*H242,"0")+IFERROR(X246*H246,"0")</f>
        <v>0</v>
      </c>
      <c r="AF295" s="52">
        <f>IFERROR(X252*H252,"0")</f>
        <v>0</v>
      </c>
      <c r="AG295" s="52">
        <f>IFERROR(X258*H258,"0")+IFERROR(X259*H259,"0")+IFERROR(X263*H263,"0")+IFERROR(X267*H267,"0")+IFERROR(X268*H268,"0")+IFERROR(X269*H269,"0")+IFERROR(X273*H273,"0")+IFERROR(X274*H274,"0")+IFERROR(X275*H275,"0")+IFERROR(X276*H276,"0")+IFERROR(X277*H277,"0")+IFERROR(X278*H278,"0")+IFERROR(X279*H279,"0")+IFERROR(X280*H280,"0")+IFERROR(X281*H281,"0")+IFERROR(X282*H282,"0")</f>
        <v>0</v>
      </c>
    </row>
    <row r="296" spans="1:33" ht="13.5" thickTop="1" x14ac:dyDescent="0.2">
      <c r="C296" s="1"/>
    </row>
    <row r="297" spans="1:33" ht="19.5" customHeight="1" x14ac:dyDescent="0.2">
      <c r="A297" s="70" t="s">
        <v>62</v>
      </c>
      <c r="B297" s="70" t="s">
        <v>63</v>
      </c>
      <c r="C297" s="70" t="s">
        <v>65</v>
      </c>
    </row>
    <row r="298" spans="1:33" x14ac:dyDescent="0.2">
      <c r="A298" s="71">
        <f>SUMPRODUCT(--(BB:BB="ЗПФ"),--(W:W="кор"),H:H,Y:Y)+SUMPRODUCT(--(BB:BB="ЗПФ"),--(W:W="кг"),Y:Y)</f>
        <v>0</v>
      </c>
      <c r="B298" s="72">
        <f>SUMPRODUCT(--(BB:BB="ПГП"),--(W:W="кор"),H:H,Y:Y)+SUMPRODUCT(--(BB:BB="ПГП"),--(W:W="кг"),Y:Y)</f>
        <v>0</v>
      </c>
      <c r="C298" s="72">
        <f>SUMPRODUCT(--(BB:BB="КИЗ"),--(W:W="кор"),H:H,Y:Y)+SUMPRODUCT(--(BB:BB="КИЗ"),--(W:W="кг"),Y:Y)</f>
        <v>0</v>
      </c>
    </row>
  </sheetData>
  <sheetProtection algorithmName="SHA-512" hashValue="LZBizxwyw+D1mnees3gXIlBLXl/iMSeqLkJSNyjF3+FArv0iZdk0C1CV7qLPp+Zh0xHK9DHl2n4h98hKv55xhA==" saltValue="WckH0YgSShc5WXmKM6Wb3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D175:E175"/>
    <mergeCell ref="P175:T175"/>
    <mergeCell ref="P176:V176"/>
    <mergeCell ref="A176:O177"/>
    <mergeCell ref="P177:V177"/>
    <mergeCell ref="A178:Z178"/>
    <mergeCell ref="A179:Z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A223:Z223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A257:Z257"/>
    <mergeCell ref="D258:E258"/>
    <mergeCell ref="P258:T258"/>
    <mergeCell ref="D259:E259"/>
    <mergeCell ref="P259:T259"/>
    <mergeCell ref="P260:V260"/>
    <mergeCell ref="A260:O261"/>
    <mergeCell ref="P261:V261"/>
    <mergeCell ref="A262:Z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P285:V285"/>
    <mergeCell ref="A285:O290"/>
    <mergeCell ref="P286:V286"/>
    <mergeCell ref="P287:V287"/>
    <mergeCell ref="P288:V288"/>
    <mergeCell ref="P289:V289"/>
    <mergeCell ref="P290:V290"/>
    <mergeCell ref="B292:C292"/>
    <mergeCell ref="D292:U292"/>
    <mergeCell ref="V292:W292"/>
    <mergeCell ref="Y292:AB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K293:K294"/>
    <mergeCell ref="L293:L294"/>
    <mergeCell ref="M293:M294"/>
    <mergeCell ref="O293:O294"/>
    <mergeCell ref="P293:P294"/>
    <mergeCell ref="Q293:Q294"/>
    <mergeCell ref="R293:R294"/>
    <mergeCell ref="S293:S294"/>
    <mergeCell ref="T293:T294"/>
    <mergeCell ref="U293:U294"/>
    <mergeCell ref="AE293:AE294"/>
    <mergeCell ref="AF293:AF294"/>
    <mergeCell ref="AG293:AG294"/>
    <mergeCell ref="V293:V294"/>
    <mergeCell ref="W293:W294"/>
    <mergeCell ref="X293:X294"/>
    <mergeCell ref="Y293:Y294"/>
    <mergeCell ref="Z293:Z294"/>
    <mergeCell ref="AA293:AA294"/>
    <mergeCell ref="AB293:AB294"/>
    <mergeCell ref="AC293:AC294"/>
    <mergeCell ref="AD293:AD29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9 X274 X269 X258 X252 X246 X242 X230 X224 X213:X214 X206:X207 X196 X187 X181 X159 X153 X140:X142 X134:X136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0:X282 X275:X278 X273 X267:X268 X263 X259 X236 X219 X208 X202 X193:X195 X182 X175 X170 X165 X160 X154 X147:X148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388</v>
      </c>
      <c r="C6" s="53" t="s">
        <v>389</v>
      </c>
      <c r="D6" s="53" t="s">
        <v>390</v>
      </c>
      <c r="E6" s="53" t="s">
        <v>46</v>
      </c>
    </row>
    <row r="7" spans="2:8" x14ac:dyDescent="0.2">
      <c r="B7" s="53" t="s">
        <v>391</v>
      </c>
      <c r="C7" s="53" t="s">
        <v>392</v>
      </c>
      <c r="D7" s="53" t="s">
        <v>393</v>
      </c>
      <c r="E7" s="53" t="s">
        <v>46</v>
      </c>
    </row>
    <row r="8" spans="2:8" x14ac:dyDescent="0.2">
      <c r="B8" s="53" t="s">
        <v>394</v>
      </c>
      <c r="C8" s="53" t="s">
        <v>395</v>
      </c>
      <c r="D8" s="53" t="s">
        <v>396</v>
      </c>
      <c r="E8" s="53" t="s">
        <v>46</v>
      </c>
    </row>
    <row r="9" spans="2:8" x14ac:dyDescent="0.2">
      <c r="B9" s="53" t="s">
        <v>397</v>
      </c>
      <c r="C9" s="53" t="s">
        <v>398</v>
      </c>
      <c r="D9" s="53" t="s">
        <v>399</v>
      </c>
      <c r="E9" s="53" t="s">
        <v>46</v>
      </c>
    </row>
    <row r="10" spans="2:8" x14ac:dyDescent="0.2">
      <c r="B10" s="53" t="s">
        <v>400</v>
      </c>
      <c r="C10" s="53" t="s">
        <v>401</v>
      </c>
      <c r="D10" s="53" t="s">
        <v>402</v>
      </c>
      <c r="E10" s="53" t="s">
        <v>46</v>
      </c>
    </row>
    <row r="12" spans="2:8" x14ac:dyDescent="0.2">
      <c r="B12" s="53" t="s">
        <v>403</v>
      </c>
      <c r="C12" s="53" t="s">
        <v>389</v>
      </c>
      <c r="D12" s="53" t="s">
        <v>46</v>
      </c>
      <c r="E12" s="53" t="s">
        <v>46</v>
      </c>
    </row>
    <row r="14" spans="2:8" x14ac:dyDescent="0.2">
      <c r="B14" s="53" t="s">
        <v>404</v>
      </c>
      <c r="C14" s="53" t="s">
        <v>392</v>
      </c>
      <c r="D14" s="53" t="s">
        <v>46</v>
      </c>
      <c r="E14" s="53" t="s">
        <v>46</v>
      </c>
    </row>
    <row r="16" spans="2:8" x14ac:dyDescent="0.2">
      <c r="B16" s="53" t="s">
        <v>405</v>
      </c>
      <c r="C16" s="53" t="s">
        <v>395</v>
      </c>
      <c r="D16" s="53" t="s">
        <v>46</v>
      </c>
      <c r="E16" s="53" t="s">
        <v>46</v>
      </c>
    </row>
    <row r="18" spans="2:5" x14ac:dyDescent="0.2">
      <c r="B18" s="53" t="s">
        <v>406</v>
      </c>
      <c r="C18" s="53" t="s">
        <v>398</v>
      </c>
      <c r="D18" s="53" t="s">
        <v>46</v>
      </c>
      <c r="E18" s="53" t="s">
        <v>46</v>
      </c>
    </row>
    <row r="20" spans="2:5" x14ac:dyDescent="0.2">
      <c r="B20" s="53" t="s">
        <v>407</v>
      </c>
      <c r="C20" s="53" t="s">
        <v>401</v>
      </c>
      <c r="D20" s="53" t="s">
        <v>46</v>
      </c>
      <c r="E20" s="53" t="s">
        <v>46</v>
      </c>
    </row>
    <row r="22" spans="2:5" x14ac:dyDescent="0.2">
      <c r="B22" s="53" t="s">
        <v>408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412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413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418</v>
      </c>
      <c r="C32" s="53" t="s">
        <v>46</v>
      </c>
      <c r="D32" s="53" t="s">
        <v>46</v>
      </c>
      <c r="E32" s="53" t="s">
        <v>46</v>
      </c>
    </row>
  </sheetData>
  <sheetProtection algorithmName="SHA-512" hashValue="1xuBhuIwJBkzzVkRo5pn1XjwOvgW8OSGiSBEfraQKCCpcBIJDgsFKejz7/bcSa8zwZkjRHShUvmWEJOfS9phSg==" saltValue="CnVpKku2LQSXmpu0no0ZU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2026-07-15T09:44:18Z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