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00732A-9A9C-4148-8873-FBC78B4358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заказа'!$B$191:$B$191</definedName>
    <definedName name="ProductId67">'Бланк заказа'!$B$197:$B$197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заказа'!$B$210:$B$210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заказа'!$X$191:$X$191</definedName>
    <definedName name="SalesQty67">'Бланк заказа'!$X$197:$X$197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заказа'!$X$210:$X$210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заказа'!$Y$191:$Y$191</definedName>
    <definedName name="SalesRoundBox67">'Бланк заказа'!$Y$197:$Y$197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заказа'!$Y$210:$Y$210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заказа'!$W$191:$W$191</definedName>
    <definedName name="UnitOfMeasure67">'Бланк заказа'!$W$197:$W$197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заказа'!$W$210:$W$210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2" l="1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71" i="2"/>
  <c r="X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P267" i="2"/>
  <c r="BO267" i="2"/>
  <c r="BN267" i="2"/>
  <c r="BM267" i="2"/>
  <c r="Z267" i="2"/>
  <c r="Y267" i="2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P263" i="2"/>
  <c r="BO263" i="2"/>
  <c r="BN263" i="2"/>
  <c r="BM263" i="2"/>
  <c r="Z263" i="2"/>
  <c r="Y263" i="2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X257" i="2"/>
  <c r="X256" i="2"/>
  <c r="BO255" i="2"/>
  <c r="BM255" i="2"/>
  <c r="Z255" i="2"/>
  <c r="Y255" i="2"/>
  <c r="BN255" i="2" s="1"/>
  <c r="P255" i="2"/>
  <c r="BP254" i="2"/>
  <c r="BO254" i="2"/>
  <c r="BN254" i="2"/>
  <c r="BM254" i="2"/>
  <c r="Z254" i="2"/>
  <c r="Y254" i="2"/>
  <c r="P254" i="2"/>
  <c r="BO253" i="2"/>
  <c r="BM253" i="2"/>
  <c r="Z253" i="2"/>
  <c r="Y253" i="2"/>
  <c r="BP253" i="2" s="1"/>
  <c r="P253" i="2"/>
  <c r="X251" i="2"/>
  <c r="Y250" i="2"/>
  <c r="X250" i="2"/>
  <c r="BP249" i="2"/>
  <c r="BO249" i="2"/>
  <c r="BN249" i="2"/>
  <c r="BM249" i="2"/>
  <c r="Z249" i="2"/>
  <c r="Z250" i="2" s="1"/>
  <c r="Y249" i="2"/>
  <c r="Y251" i="2" s="1"/>
  <c r="P249" i="2"/>
  <c r="X247" i="2"/>
  <c r="X246" i="2"/>
  <c r="BO245" i="2"/>
  <c r="BM245" i="2"/>
  <c r="Z245" i="2"/>
  <c r="Y245" i="2"/>
  <c r="BP245" i="2" s="1"/>
  <c r="P245" i="2"/>
  <c r="BP244" i="2"/>
  <c r="BO244" i="2"/>
  <c r="BN244" i="2"/>
  <c r="BM244" i="2"/>
  <c r="Z244" i="2"/>
  <c r="Z246" i="2" s="1"/>
  <c r="Y244" i="2"/>
  <c r="Y246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Y235" i="2"/>
  <c r="X235" i="2"/>
  <c r="BP234" i="2"/>
  <c r="BO234" i="2"/>
  <c r="BN234" i="2"/>
  <c r="BM234" i="2"/>
  <c r="Z234" i="2"/>
  <c r="Z235" i="2" s="1"/>
  <c r="Y234" i="2"/>
  <c r="Y236" i="2" s="1"/>
  <c r="P234" i="2"/>
  <c r="X230" i="2"/>
  <c r="Y229" i="2"/>
  <c r="X229" i="2"/>
  <c r="BP228" i="2"/>
  <c r="BO228" i="2"/>
  <c r="BN228" i="2"/>
  <c r="BM228" i="2"/>
  <c r="Z228" i="2"/>
  <c r="Z229" i="2" s="1"/>
  <c r="Y228" i="2"/>
  <c r="Y230" i="2" s="1"/>
  <c r="P228" i="2"/>
  <c r="X224" i="2"/>
  <c r="X223" i="2"/>
  <c r="BO222" i="2"/>
  <c r="BM222" i="2"/>
  <c r="Z222" i="2"/>
  <c r="Z223" i="2" s="1"/>
  <c r="Y222" i="2"/>
  <c r="Y223" i="2" s="1"/>
  <c r="P222" i="2"/>
  <c r="X218" i="2"/>
  <c r="X217" i="2"/>
  <c r="BO216" i="2"/>
  <c r="BM216" i="2"/>
  <c r="Z216" i="2"/>
  <c r="Y216" i="2"/>
  <c r="BP216" i="2" s="1"/>
  <c r="P216" i="2"/>
  <c r="BO215" i="2"/>
  <c r="BM215" i="2"/>
  <c r="Z215" i="2"/>
  <c r="Z217" i="2" s="1"/>
  <c r="Y215" i="2"/>
  <c r="BP215" i="2" s="1"/>
  <c r="P215" i="2"/>
  <c r="X212" i="2"/>
  <c r="Y211" i="2"/>
  <c r="X211" i="2"/>
  <c r="BP210" i="2"/>
  <c r="BO210" i="2"/>
  <c r="BN210" i="2"/>
  <c r="BM210" i="2"/>
  <c r="Z210" i="2"/>
  <c r="Z211" i="2" s="1"/>
  <c r="Y210" i="2"/>
  <c r="Y212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P203" i="2"/>
  <c r="BO203" i="2"/>
  <c r="BN203" i="2"/>
  <c r="BM203" i="2"/>
  <c r="Z203" i="2"/>
  <c r="Y203" i="2"/>
  <c r="P203" i="2"/>
  <c r="BO202" i="2"/>
  <c r="BM202" i="2"/>
  <c r="Z202" i="2"/>
  <c r="Y202" i="2"/>
  <c r="Y206" i="2" s="1"/>
  <c r="P202" i="2"/>
  <c r="BO201" i="2"/>
  <c r="BM201" i="2"/>
  <c r="Z201" i="2"/>
  <c r="Y201" i="2"/>
  <c r="BP201" i="2" s="1"/>
  <c r="P201" i="2"/>
  <c r="X199" i="2"/>
  <c r="X198" i="2"/>
  <c r="BO197" i="2"/>
  <c r="BM197" i="2"/>
  <c r="Z197" i="2"/>
  <c r="Z198" i="2" s="1"/>
  <c r="Y197" i="2"/>
  <c r="Y199" i="2" s="1"/>
  <c r="P197" i="2"/>
  <c r="X193" i="2"/>
  <c r="Y192" i="2"/>
  <c r="X192" i="2"/>
  <c r="BP191" i="2"/>
  <c r="BO191" i="2"/>
  <c r="BN191" i="2"/>
  <c r="BM191" i="2"/>
  <c r="Z191" i="2"/>
  <c r="Z192" i="2" s="1"/>
  <c r="Y191" i="2"/>
  <c r="Y193" i="2" s="1"/>
  <c r="X189" i="2"/>
  <c r="X188" i="2"/>
  <c r="BO187" i="2"/>
  <c r="BM187" i="2"/>
  <c r="Z187" i="2"/>
  <c r="Y187" i="2"/>
  <c r="BP187" i="2" s="1"/>
  <c r="P187" i="2"/>
  <c r="BO186" i="2"/>
  <c r="BM186" i="2"/>
  <c r="Z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Z184" i="2"/>
  <c r="Y184" i="2"/>
  <c r="BP184" i="2" s="1"/>
  <c r="P184" i="2"/>
  <c r="X180" i="2"/>
  <c r="X179" i="2"/>
  <c r="BO178" i="2"/>
  <c r="BM178" i="2"/>
  <c r="Z178" i="2"/>
  <c r="Y178" i="2"/>
  <c r="BP178" i="2" s="1"/>
  <c r="P178" i="2"/>
  <c r="BP177" i="2"/>
  <c r="BO177" i="2"/>
  <c r="BN177" i="2"/>
  <c r="BM177" i="2"/>
  <c r="Z177" i="2"/>
  <c r="Z179" i="2" s="1"/>
  <c r="Y177" i="2"/>
  <c r="P177" i="2"/>
  <c r="X175" i="2"/>
  <c r="X174" i="2"/>
  <c r="BO173" i="2"/>
  <c r="BM173" i="2"/>
  <c r="Z173" i="2"/>
  <c r="Y173" i="2"/>
  <c r="BN173" i="2" s="1"/>
  <c r="P173" i="2"/>
  <c r="BO172" i="2"/>
  <c r="BM172" i="2"/>
  <c r="Z172" i="2"/>
  <c r="Y172" i="2"/>
  <c r="Y175" i="2" s="1"/>
  <c r="P172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Y163" i="2" s="1"/>
  <c r="P161" i="2"/>
  <c r="X158" i="2"/>
  <c r="X157" i="2"/>
  <c r="BP156" i="2"/>
  <c r="BO156" i="2"/>
  <c r="BN156" i="2"/>
  <c r="BM156" i="2"/>
  <c r="Z156" i="2"/>
  <c r="Z157" i="2" s="1"/>
  <c r="Y156" i="2"/>
  <c r="Y158" i="2" s="1"/>
  <c r="P156" i="2"/>
  <c r="X153" i="2"/>
  <c r="Z152" i="2"/>
  <c r="X152" i="2"/>
  <c r="BO151" i="2"/>
  <c r="BM151" i="2"/>
  <c r="Z151" i="2"/>
  <c r="Y151" i="2"/>
  <c r="Y153" i="2" s="1"/>
  <c r="P151" i="2"/>
  <c r="X148" i="2"/>
  <c r="X147" i="2"/>
  <c r="BO146" i="2"/>
  <c r="BM146" i="2"/>
  <c r="Z146" i="2"/>
  <c r="Z147" i="2" s="1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P140" i="2"/>
  <c r="BO139" i="2"/>
  <c r="BM139" i="2"/>
  <c r="Z139" i="2"/>
  <c r="Y139" i="2"/>
  <c r="BP139" i="2" s="1"/>
  <c r="P139" i="2"/>
  <c r="X136" i="2"/>
  <c r="X135" i="2"/>
  <c r="BO134" i="2"/>
  <c r="BM134" i="2"/>
  <c r="Z134" i="2"/>
  <c r="Y134" i="2"/>
  <c r="BP134" i="2" s="1"/>
  <c r="P134" i="2"/>
  <c r="BO133" i="2"/>
  <c r="BM133" i="2"/>
  <c r="Z133" i="2"/>
  <c r="Z135" i="2" s="1"/>
  <c r="Y133" i="2"/>
  <c r="BP133" i="2" s="1"/>
  <c r="P133" i="2"/>
  <c r="X130" i="2"/>
  <c r="Z129" i="2"/>
  <c r="X129" i="2"/>
  <c r="BO128" i="2"/>
  <c r="BM128" i="2"/>
  <c r="Z128" i="2"/>
  <c r="Y128" i="2"/>
  <c r="Y130" i="2" s="1"/>
  <c r="P128" i="2"/>
  <c r="X126" i="2"/>
  <c r="Y125" i="2"/>
  <c r="X125" i="2"/>
  <c r="BP124" i="2"/>
  <c r="BO124" i="2"/>
  <c r="BN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N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P116" i="2" s="1"/>
  <c r="P116" i="2"/>
  <c r="BO115" i="2"/>
  <c r="BM115" i="2"/>
  <c r="Z115" i="2"/>
  <c r="Z121" i="2" s="1"/>
  <c r="Y115" i="2"/>
  <c r="BP115" i="2" s="1"/>
  <c r="P115" i="2"/>
  <c r="BO114" i="2"/>
  <c r="BM114" i="2"/>
  <c r="Z114" i="2"/>
  <c r="Y114" i="2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Z110" i="2" s="1"/>
  <c r="Y108" i="2"/>
  <c r="P108" i="2"/>
  <c r="X105" i="2"/>
  <c r="X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P101" i="2"/>
  <c r="BP100" i="2"/>
  <c r="BO100" i="2"/>
  <c r="BN100" i="2"/>
  <c r="BM100" i="2"/>
  <c r="Z100" i="2"/>
  <c r="Y100" i="2"/>
  <c r="P100" i="2"/>
  <c r="BO99" i="2"/>
  <c r="BM99" i="2"/>
  <c r="Z99" i="2"/>
  <c r="Y99" i="2"/>
  <c r="P99" i="2"/>
  <c r="BO98" i="2"/>
  <c r="BM98" i="2"/>
  <c r="Z98" i="2"/>
  <c r="Y98" i="2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P92" i="2"/>
  <c r="BO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P86" i="2"/>
  <c r="X83" i="2"/>
  <c r="X82" i="2"/>
  <c r="BO81" i="2"/>
  <c r="BM81" i="2"/>
  <c r="Z81" i="2"/>
  <c r="Y81" i="2"/>
  <c r="BN81" i="2" s="1"/>
  <c r="P81" i="2"/>
  <c r="BP80" i="2"/>
  <c r="BO80" i="2"/>
  <c r="BN80" i="2"/>
  <c r="BM80" i="2"/>
  <c r="Z80" i="2"/>
  <c r="Z82" i="2" s="1"/>
  <c r="Y80" i="2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P74" i="2"/>
  <c r="BP73" i="2"/>
  <c r="BO73" i="2"/>
  <c r="BN73" i="2"/>
  <c r="BM73" i="2"/>
  <c r="Z73" i="2"/>
  <c r="Z76" i="2" s="1"/>
  <c r="Y73" i="2"/>
  <c r="P73" i="2"/>
  <c r="X71" i="2"/>
  <c r="X70" i="2"/>
  <c r="BP69" i="2"/>
  <c r="BO69" i="2"/>
  <c r="BN69" i="2"/>
  <c r="BM69" i="2"/>
  <c r="Z69" i="2"/>
  <c r="Y69" i="2"/>
  <c r="P69" i="2"/>
  <c r="BO68" i="2"/>
  <c r="BN68" i="2"/>
  <c r="BM68" i="2"/>
  <c r="Z68" i="2"/>
  <c r="Z70" i="2" s="1"/>
  <c r="Y68" i="2"/>
  <c r="Y71" i="2" s="1"/>
  <c r="P68" i="2"/>
  <c r="X66" i="2"/>
  <c r="Z65" i="2"/>
  <c r="X65" i="2"/>
  <c r="BO64" i="2"/>
  <c r="BM64" i="2"/>
  <c r="Z64" i="2"/>
  <c r="Y64" i="2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P52" i="2"/>
  <c r="BO52" i="2"/>
  <c r="BN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P46" i="2" s="1"/>
  <c r="P46" i="2"/>
  <c r="BP45" i="2"/>
  <c r="BO45" i="2"/>
  <c r="BN45" i="2"/>
  <c r="BM45" i="2"/>
  <c r="Z45" i="2"/>
  <c r="Z48" i="2" s="1"/>
  <c r="Y45" i="2"/>
  <c r="P45" i="2"/>
  <c r="X42" i="2"/>
  <c r="X41" i="2"/>
  <c r="BO40" i="2"/>
  <c r="BM40" i="2"/>
  <c r="Z40" i="2"/>
  <c r="Y40" i="2"/>
  <c r="BP40" i="2" s="1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Z34" i="2" s="1"/>
  <c r="Y33" i="2"/>
  <c r="BP33" i="2" s="1"/>
  <c r="P33" i="2"/>
  <c r="BO32" i="2"/>
  <c r="BM32" i="2"/>
  <c r="Z32" i="2"/>
  <c r="Y32" i="2"/>
  <c r="Y34" i="2" s="1"/>
  <c r="P32" i="2"/>
  <c r="X29" i="2"/>
  <c r="X272" i="2" s="1"/>
  <c r="X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P24" i="2"/>
  <c r="BP23" i="2"/>
  <c r="BO23" i="2"/>
  <c r="BN23" i="2"/>
  <c r="BM23" i="2"/>
  <c r="Z23" i="2"/>
  <c r="Y23" i="2"/>
  <c r="P23" i="2"/>
  <c r="BO22" i="2"/>
  <c r="BM22" i="2"/>
  <c r="X273" i="2" s="1"/>
  <c r="Z22" i="2"/>
  <c r="Y22" i="2"/>
  <c r="Y28" i="2" s="1"/>
  <c r="P22" i="2"/>
  <c r="H10" i="2"/>
  <c r="A9" i="2"/>
  <c r="F10" i="2" s="1"/>
  <c r="D7" i="2"/>
  <c r="Q6" i="2"/>
  <c r="P2" i="2"/>
  <c r="BP24" i="2" l="1"/>
  <c r="BN24" i="2"/>
  <c r="X274" i="2"/>
  <c r="Y41" i="2"/>
  <c r="BP55" i="2"/>
  <c r="BN55" i="2"/>
  <c r="Y66" i="2"/>
  <c r="Y65" i="2"/>
  <c r="BP64" i="2"/>
  <c r="BN64" i="2"/>
  <c r="Y121" i="2"/>
  <c r="BP114" i="2"/>
  <c r="BN114" i="2"/>
  <c r="BP118" i="2"/>
  <c r="BP74" i="2"/>
  <c r="BN74" i="2"/>
  <c r="Y76" i="2"/>
  <c r="BP81" i="2"/>
  <c r="Y87" i="2"/>
  <c r="BP86" i="2"/>
  <c r="BN86" i="2"/>
  <c r="Y88" i="2"/>
  <c r="BP99" i="2"/>
  <c r="BN99" i="2"/>
  <c r="BP101" i="2"/>
  <c r="BN101" i="2"/>
  <c r="Y136" i="2"/>
  <c r="Y148" i="2"/>
  <c r="BP204" i="2"/>
  <c r="BP255" i="2"/>
  <c r="Y256" i="2"/>
  <c r="BP166" i="2"/>
  <c r="Y167" i="2"/>
  <c r="Y180" i="2"/>
  <c r="Z28" i="2"/>
  <c r="X276" i="2"/>
  <c r="Y49" i="2"/>
  <c r="Y57" i="2"/>
  <c r="Z56" i="2"/>
  <c r="Y77" i="2"/>
  <c r="Y83" i="2"/>
  <c r="Z93" i="2"/>
  <c r="Y93" i="2"/>
  <c r="Z104" i="2"/>
  <c r="Y104" i="2"/>
  <c r="Y110" i="2"/>
  <c r="BN128" i="2"/>
  <c r="BN134" i="2"/>
  <c r="Z141" i="2"/>
  <c r="Y142" i="2"/>
  <c r="BN151" i="2"/>
  <c r="BP151" i="2"/>
  <c r="Y152" i="2"/>
  <c r="Z174" i="2"/>
  <c r="BN172" i="2"/>
  <c r="BP172" i="2"/>
  <c r="BP173" i="2"/>
  <c r="Y179" i="2"/>
  <c r="BN178" i="2"/>
  <c r="Z188" i="2"/>
  <c r="BN186" i="2"/>
  <c r="BN197" i="2"/>
  <c r="BP197" i="2"/>
  <c r="Y198" i="2"/>
  <c r="Z206" i="2"/>
  <c r="BN216" i="2"/>
  <c r="Z256" i="2"/>
  <c r="BN253" i="2"/>
  <c r="BN259" i="2"/>
  <c r="BP260" i="2"/>
  <c r="Z270" i="2"/>
  <c r="BN264" i="2"/>
  <c r="BN268" i="2"/>
  <c r="BP269" i="2"/>
  <c r="Z277" i="2"/>
  <c r="X275" i="2"/>
  <c r="Y188" i="2"/>
  <c r="Y111" i="2"/>
  <c r="BN116" i="2"/>
  <c r="BN266" i="2"/>
  <c r="Y29" i="2"/>
  <c r="Y94" i="2"/>
  <c r="Y42" i="2"/>
  <c r="BP68" i="2"/>
  <c r="BN140" i="2"/>
  <c r="BN202" i="2"/>
  <c r="Y247" i="2"/>
  <c r="BN47" i="2"/>
  <c r="BN146" i="2"/>
  <c r="BN161" i="2"/>
  <c r="Y189" i="2"/>
  <c r="J9" i="2"/>
  <c r="BN26" i="2"/>
  <c r="BN53" i="2"/>
  <c r="Y56" i="2"/>
  <c r="BN91" i="2"/>
  <c r="BN102" i="2"/>
  <c r="Y129" i="2"/>
  <c r="BP140" i="2"/>
  <c r="Y168" i="2"/>
  <c r="BP202" i="2"/>
  <c r="Y217" i="2"/>
  <c r="Y257" i="2"/>
  <c r="BN261" i="2"/>
  <c r="Y105" i="2"/>
  <c r="Y35" i="2"/>
  <c r="Y122" i="2"/>
  <c r="Y224" i="2"/>
  <c r="Y240" i="2"/>
  <c r="F9" i="2"/>
  <c r="Y82" i="2"/>
  <c r="BP128" i="2"/>
  <c r="Y174" i="2"/>
  <c r="H9" i="2"/>
  <c r="A10" i="2"/>
  <c r="BN32" i="2"/>
  <c r="BP47" i="2"/>
  <c r="BN97" i="2"/>
  <c r="BN108" i="2"/>
  <c r="BN119" i="2"/>
  <c r="Y135" i="2"/>
  <c r="BP161" i="2"/>
  <c r="BN205" i="2"/>
  <c r="Y62" i="2"/>
  <c r="Y141" i="2"/>
  <c r="BP32" i="2"/>
  <c r="Y48" i="2"/>
  <c r="BP108" i="2"/>
  <c r="Y147" i="2"/>
  <c r="Y162" i="2"/>
  <c r="Y218" i="2"/>
  <c r="Y270" i="2"/>
  <c r="BN54" i="2"/>
  <c r="Y70" i="2"/>
  <c r="BN27" i="2"/>
  <c r="BN92" i="2"/>
  <c r="BN103" i="2"/>
  <c r="BN184" i="2"/>
  <c r="BN215" i="2"/>
  <c r="BN262" i="2"/>
  <c r="BN22" i="2"/>
  <c r="BN33" i="2"/>
  <c r="BN60" i="2"/>
  <c r="BN98" i="2"/>
  <c r="BN109" i="2"/>
  <c r="BN120" i="2"/>
  <c r="BN133" i="2"/>
  <c r="Y207" i="2"/>
  <c r="BN222" i="2"/>
  <c r="BN238" i="2"/>
  <c r="BN40" i="2"/>
  <c r="BP92" i="2"/>
  <c r="BN115" i="2"/>
  <c r="BN139" i="2"/>
  <c r="Y157" i="2"/>
  <c r="BN201" i="2"/>
  <c r="BN245" i="2"/>
  <c r="Y271" i="2"/>
  <c r="BP22" i="2"/>
  <c r="BN46" i="2"/>
  <c r="BP60" i="2"/>
  <c r="BP98" i="2"/>
  <c r="BN145" i="2"/>
  <c r="BN187" i="2"/>
  <c r="BP222" i="2"/>
  <c r="BP238" i="2"/>
  <c r="BN265" i="2"/>
  <c r="Y276" i="2" l="1"/>
  <c r="Y274" i="2"/>
  <c r="A285" i="2"/>
  <c r="Y273" i="2"/>
  <c r="Y275" i="2" s="1"/>
  <c r="Y272" i="2"/>
  <c r="C285" i="2" s="1"/>
  <c r="B285" i="2" l="1"/>
</calcChain>
</file>

<file path=xl/sharedStrings.xml><?xml version="1.0" encoding="utf-8"?>
<sst xmlns="http://schemas.openxmlformats.org/spreadsheetml/2006/main" count="1687" uniqueCount="403">
  <si>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</si>
  <si>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</si>
  <si>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</si>
  <si>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</si>
  <si>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</si>
  <si>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</si>
  <si>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</si>
  <si>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</si>
  <si>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</si>
  <si>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</si>
  <si>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</si>
  <si>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</si>
  <si>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</si>
  <si>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</si>
  <si>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</si>
  <si>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</si>
  <si>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</si>
  <si>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</si>
  <si>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</si>
  <si>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</si>
  <si>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</si>
  <si>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</si>
  <si>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</si>
  <si>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</si>
  <si>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</si>
  <si>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</si>
  <si>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</si>
  <si>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</si>
  <si>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</si>
  <si>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</si>
  <si>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</si>
  <si>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</si>
  <si>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</si>
  <si>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</si>
  <si>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</si>
  <si>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</si>
  <si>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</si>
  <si>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</si>
  <si>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</si>
  <si>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</si>
  <si>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</si>
  <si>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</si>
  <si>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</si>
  <si>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</si>
  <si>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</si>
  <si>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</si>
  <si>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</si>
  <si>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</si>
  <si>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</si>
  <si>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</si>
  <si>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</si>
  <si>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</si>
  <si>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</si>
  <si>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</si>
  <si>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</si>
  <si>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</si>
  <si>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</si>
  <si>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</si>
  <si>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</si>
  <si>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</si>
  <si>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</si>
  <si>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</si>
  <si>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</si>
  <si>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</si>
  <si>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</si>
  <si>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</si>
  <si>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</si>
  <si>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</si>
  <si>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</si>
  <si>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</si>
  <si>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</si>
  <si>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28.01.2026</t>
  </si>
  <si>
    <t>26.01.2026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</si>
  <si>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</si>
  <si>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</si>
  <si>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</si>
  <si>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</si>
  <si>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</si>
  <si>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</si>
  <si>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</si>
  <si>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</si>
  <si>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</si>
  <si>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</si>
  <si>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</si>
  <si>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</si>
  <si>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</si>
  <si>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</si>
  <si>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</si>
  <si>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</si>
  <si>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</si>
  <si>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</si>
  <si>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</si>
  <si>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</si>
  <si>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</si>
  <si>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</si>
  <si>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</si>
  <si>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</si>
  <si>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</si>
  <si>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</si>
  <si>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</si>
  <si>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</si>
  <si>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</si>
  <si>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</si>
  <si>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</si>
  <si>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</si>
  <si>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</si>
  <si>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</si>
  <si>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</si>
  <si>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</si>
  <si>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</si>
  <si>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</si>
  <si>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</si>
  <si>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</si>
  <si>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</si>
  <si>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</si>
  <si>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</si>
  <si>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</si>
  <si>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</si>
  <si>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</si>
  <si>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</si>
  <si>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</si>
  <si>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</si>
  <si>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</si>
  <si>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</si>
  <si>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</si>
  <si>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</si>
  <si>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</si>
  <si>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</si>
  <si>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</si>
  <si>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</si>
  <si>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</si>
  <si>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</si>
  <si>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</si>
  <si>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</si>
  <si>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</si>
  <si>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</si>
  <si>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</si>
  <si>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</si>
  <si>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</si>
  <si>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</si>
  <si>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</si>
  <si>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</si>
  <si>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</si>
  <si>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</si>
  <si>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</si>
  <si>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</si>
  <si>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</si>
  <si>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</si>
  <si>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</si>
  <si>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</si>
  <si>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</si>
  <si>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</si>
  <si>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</si>
  <si>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</si>
  <si>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</si>
  <si>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</si>
  <si>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</si>
  <si>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</si>
  <si>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</si>
  <si>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</si>
  <si>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</si>
  <si>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</si>
  <si>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</si>
  <si>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</si>
  <si>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</si>
  <si>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</si>
  <si>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</si>
  <si>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</si>
  <si>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</si>
  <si>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</si>
  <si>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</si>
  <si>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</si>
  <si>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</si>
  <si>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</si>
  <si>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</si>
  <si>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</si>
  <si>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</si>
  <si>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</si>
  <si>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</si>
  <si>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</si>
  <si>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</si>
  <si>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</si>
  <si>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</si>
  <si>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</si>
  <si>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</si>
  <si>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</si>
  <si>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</si>
  <si>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</si>
  <si>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</si>
  <si>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</si>
  <si>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</si>
  <si>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</si>
  <si>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</si>
  <si>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</si>
  <si>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</si>
  <si>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</si>
  <si>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</si>
  <si>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</si>
  <si>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</si>
  <si>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</si>
  <si>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</si>
  <si>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</si>
  <si>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</si>
  <si>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</si>
  <si>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</si>
  <si>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</si>
  <si>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</si>
  <si>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</si>
  <si>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</si>
  <si>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</si>
  <si>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</si>
  <si>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</si>
  <si>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</si>
  <si>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</si>
  <si>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</si>
  <si>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</si>
  <si>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</si>
  <si>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</si>
  <si>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</si>
  <si>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</si>
  <si>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</si>
  <si>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</si>
  <si>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</si>
  <si>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</si>
  <si>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</si>
  <si>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</si>
  <si>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</si>
  <si>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</si>
  <si>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</si>
  <si>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</si>
  <si>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</si>
  <si>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</si>
  <si>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</si>
  <si>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</si>
  <si>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</si>
  <si>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</si>
  <si>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</si>
  <si>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</si>
  <si>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</si>
  <si>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</si>
  <si>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</si>
  <si>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</si>
  <si>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</si>
  <si>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</si>
  <si>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</si>
  <si>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</si>
  <si>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</si>
  <si>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</si>
  <si>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</si>
  <si>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</si>
  <si>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</si>
  <si>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</si>
  <si>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</si>
  <si>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</si>
  <si>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</si>
  <si>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</si>
  <si>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</si>
  <si>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</si>
  <si>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</si>
  <si>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</si>
  <si>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</si>
  <si>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</si>
  <si>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</si>
  <si>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</si>
  <si>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</si>
  <si>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</si>
  <si>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</si>
  <si>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</si>
  <si>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</si>
  <si>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</si>
  <si>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</si>
  <si>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</si>
  <si>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</si>
  <si>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</si>
  <si>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</si>
  <si>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</si>
  <si>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</si>
  <si>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</si>
  <si>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</si>
  <si>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</si>
  <si>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</si>
  <si>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</si>
  <si>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</si>
  <si>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</si>
  <si>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</si>
  <si>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</si>
  <si>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</si>
  <si>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</si>
  <si>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</si>
  <si>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</si>
  <si>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</si>
  <si>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</si>
  <si>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</si>
  <si>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</si>
  <si>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</si>
  <si>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</si>
  <si>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</si>
  <si>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</si>
  <si>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</si>
  <si>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</si>
  <si>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</si>
  <si>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</si>
  <si>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</si>
  <si>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</si>
  <si>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</si>
  <si>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</si>
  <si>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</si>
  <si>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</si>
  <si>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</si>
  <si>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</si>
  <si>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</si>
  <si>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</si>
  <si>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</si>
  <si>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</si>
  <si>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</si>
  <si>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</si>
  <si>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</si>
  <si>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</si>
  <si>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</si>
  <si>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</si>
  <si>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</si>
  <si>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</si>
  <si>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</si>
  <si>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</si>
  <si>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</si>
  <si>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</si>
  <si>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</si>
  <si>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</si>
  <si>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</si>
  <si>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</si>
  <si>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</si>
  <si>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</si>
  <si>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</si>
  <si>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</si>
  <si>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</si>
  <si>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</si>
  <si>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</si>
  <si>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</si>
  <si>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</si>
  <si>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</si>
  <si>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</si>
  <si>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</si>
  <si>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</si>
  <si>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</si>
  <si>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</si>
  <si>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</si>
  <si>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</si>
  <si>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</si>
  <si>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</si>
  <si>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</si>
  <si>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</si>
  <si>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</si>
  <si>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</si>
  <si>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</si>
  <si>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</si>
  <si>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</si>
  <si>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</si>
  <si>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</si>
  <si>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</si>
  <si>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</si>
  <si>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</si>
  <si>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SU004087</t>
  </si>
  <si>
    <t>P005235</t>
  </si>
  <si>
    <t>Снеки «Мини-сосиски в тесте» Весовой ТМ «Зареченские продукты» 5 кг</t>
  </si>
  <si>
    <t>ЕАЭС N RU Д-RU.РА02.В.58883/24</t>
  </si>
  <si>
    <t>Новинка</t>
  </si>
  <si>
    <t>SU003510</t>
  </si>
  <si>
    <t>P004457</t>
  </si>
  <si>
    <t>ЕАЭС N RU Д-RU.РА02.В.25079/24</t>
  </si>
  <si>
    <t>SU003454</t>
  </si>
  <si>
    <t>P004364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</si>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</sst>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1" t="s">
        <v>26</v>
      </c>
      <c r="E1" s="281"/>
      <c r="F1" s="281"/>
      <c r="G1" s="14" t="s">
        <v>70</v>
      </c>
      <c r="H1" s="281" t="s">
        <v>47</v>
      </c>
      <c r="I1" s="281"/>
      <c r="J1" s="281"/>
      <c r="K1" s="281"/>
      <c r="L1" s="281"/>
      <c r="M1" s="281"/>
      <c r="N1" s="281"/>
      <c r="O1" s="281"/>
      <c r="P1" s="281"/>
      <c r="Q1" s="281"/>
      <c r="R1" s="282" t="s">
        <v>71</v>
      </c>
      <c r="S1" s="283"/>
      <c r="T1" s="2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4"/>
      <c r="Q3" s="284"/>
      <c r="R3" s="284"/>
      <c r="S3" s="284"/>
      <c r="T3" s="284"/>
      <c r="U3" s="284"/>
      <c r="V3" s="284"/>
      <c r="W3" s="2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5" t="s">
        <v>8</v>
      </c>
      <c r="B5" s="285"/>
      <c r="C5" s="285"/>
      <c r="D5" s="286"/>
      <c r="E5" s="286"/>
      <c r="F5" s="287" t="s">
        <v>14</v>
      </c>
      <c r="G5" s="287"/>
      <c r="H5" s="286"/>
      <c r="I5" s="286"/>
      <c r="J5" s="286"/>
      <c r="K5" s="286"/>
      <c r="L5" s="286"/>
      <c r="M5" s="286"/>
      <c r="N5" s="75"/>
      <c r="P5" s="27" t="s">
        <v>4</v>
      </c>
      <c r="Q5" s="288">
        <v>46055</v>
      </c>
      <c r="R5" s="288"/>
      <c r="T5" s="289" t="s">
        <v>3</v>
      </c>
      <c r="U5" s="290"/>
      <c r="V5" s="291" t="s">
        <v>389</v>
      </c>
      <c r="W5" s="292"/>
      <c r="AB5" s="59"/>
      <c r="AC5" s="59"/>
      <c r="AD5" s="59"/>
      <c r="AE5" s="59"/>
    </row>
    <row r="6" spans="1:32" s="17" customFormat="1" ht="24" customHeight="1" x14ac:dyDescent="0.2">
      <c r="A6" s="285" t="s">
        <v>1</v>
      </c>
      <c r="B6" s="285"/>
      <c r="C6" s="285"/>
      <c r="D6" s="293" t="s">
        <v>79</v>
      </c>
      <c r="E6" s="293"/>
      <c r="F6" s="293"/>
      <c r="G6" s="293"/>
      <c r="H6" s="293"/>
      <c r="I6" s="293"/>
      <c r="J6" s="293"/>
      <c r="K6" s="293"/>
      <c r="L6" s="293"/>
      <c r="M6" s="293"/>
      <c r="N6" s="76"/>
      <c r="P6" s="27" t="s">
        <v>27</v>
      </c>
      <c r="Q6" s="294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295" t="s">
        <v>5</v>
      </c>
      <c r="U6" s="296"/>
      <c r="V6" s="297" t="s">
        <v>73</v>
      </c>
      <c r="W6" s="2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77"/>
      <c r="P7" s="29"/>
      <c r="Q7" s="48"/>
      <c r="R7" s="48"/>
      <c r="T7" s="295"/>
      <c r="U7" s="296"/>
      <c r="V7" s="299"/>
      <c r="W7" s="300"/>
      <c r="AB7" s="59"/>
      <c r="AC7" s="59"/>
      <c r="AD7" s="59"/>
      <c r="AE7" s="59"/>
    </row>
    <row r="8" spans="1:32" s="17" customFormat="1" ht="25.5" customHeight="1" x14ac:dyDescent="0.2">
      <c r="A8" s="306" t="s">
        <v>58</v>
      </c>
      <c r="B8" s="306"/>
      <c r="C8" s="306"/>
      <c r="D8" s="307" t="s">
        <v>80</v>
      </c>
      <c r="E8" s="307"/>
      <c r="F8" s="307"/>
      <c r="G8" s="307"/>
      <c r="H8" s="307"/>
      <c r="I8" s="307"/>
      <c r="J8" s="307"/>
      <c r="K8" s="307"/>
      <c r="L8" s="307"/>
      <c r="M8" s="307"/>
      <c r="N8" s="78"/>
      <c r="P8" s="27" t="s">
        <v>11</v>
      </c>
      <c r="Q8" s="308">
        <v>0.41666666666666669</v>
      </c>
      <c r="R8" s="308"/>
      <c r="T8" s="295"/>
      <c r="U8" s="296"/>
      <c r="V8" s="299"/>
      <c r="W8" s="300"/>
      <c r="AB8" s="59"/>
      <c r="AC8" s="59"/>
      <c r="AD8" s="59"/>
      <c r="AE8" s="59"/>
    </row>
    <row r="9" spans="1:32" s="17" customFormat="1" ht="39.950000000000003" customHeight="1" x14ac:dyDescent="0.2">
      <c r="A9" s="3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9"/>
      <c r="C9" s="309"/>
      <c r="D9" s="310" t="s">
        <v>46</v>
      </c>
      <c r="E9" s="311"/>
      <c r="F9" s="3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9"/>
      <c r="H9" s="312" t="str">
        <f>IF(AND($A$9="Тип доверенности/получателя при получении в адресе перегруза:",$D$9="Разовая доверенность"),"Введите ФИО","")</f>
        <v/>
      </c>
      <c r="I9" s="312"/>
      <c r="J9" s="3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2"/>
      <c r="L9" s="312"/>
      <c r="M9" s="312"/>
      <c r="N9" s="73"/>
      <c r="P9" s="31" t="s">
        <v>15</v>
      </c>
      <c r="Q9" s="313"/>
      <c r="R9" s="313"/>
      <c r="T9" s="295"/>
      <c r="U9" s="296"/>
      <c r="V9" s="301"/>
      <c r="W9" s="3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9"/>
      <c r="C10" s="309"/>
      <c r="D10" s="310"/>
      <c r="E10" s="311"/>
      <c r="F10" s="3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9"/>
      <c r="H10" s="314" t="str">
        <f>IFERROR(VLOOKUP($D$10,Proxy,2,FALSE),"")</f>
        <v/>
      </c>
      <c r="I10" s="314"/>
      <c r="J10" s="314"/>
      <c r="K10" s="314"/>
      <c r="L10" s="314"/>
      <c r="M10" s="314"/>
      <c r="N10" s="74"/>
      <c r="P10" s="31" t="s">
        <v>32</v>
      </c>
      <c r="Q10" s="315"/>
      <c r="R10" s="315"/>
      <c r="U10" s="29" t="s">
        <v>12</v>
      </c>
      <c r="V10" s="316" t="s">
        <v>74</v>
      </c>
      <c r="W10" s="31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8"/>
      <c r="R11" s="318"/>
      <c r="U11" s="29" t="s">
        <v>28</v>
      </c>
      <c r="V11" s="319" t="s">
        <v>55</v>
      </c>
      <c r="W11" s="31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0" t="s">
        <v>75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79"/>
      <c r="P12" s="27" t="s">
        <v>30</v>
      </c>
      <c r="Q12" s="308"/>
      <c r="R12" s="308"/>
      <c r="S12" s="28"/>
      <c r="T12"/>
      <c r="U12" s="29" t="s">
        <v>46</v>
      </c>
      <c r="V12" s="321"/>
      <c r="W12" s="321"/>
      <c r="X12"/>
      <c r="AB12" s="59"/>
      <c r="AC12" s="59"/>
      <c r="AD12" s="59"/>
      <c r="AE12" s="59"/>
    </row>
    <row r="13" spans="1:32" s="17" customFormat="1" ht="23.25" customHeight="1" x14ac:dyDescent="0.2">
      <c r="A13" s="320" t="s">
        <v>76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79"/>
      <c r="O13" s="31"/>
      <c r="P13" s="31" t="s">
        <v>31</v>
      </c>
      <c r="Q13" s="319"/>
      <c r="R13" s="31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0" t="s">
        <v>77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2" t="s">
        <v>78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80"/>
      <c r="O15"/>
      <c r="P15" s="323" t="s">
        <v>61</v>
      </c>
      <c r="Q15" s="323"/>
      <c r="R15" s="323"/>
      <c r="S15" s="323"/>
      <c r="T15" s="32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4"/>
      <c r="Q16" s="324"/>
      <c r="R16" s="324"/>
      <c r="S16" s="324"/>
      <c r="T16" s="3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7" t="s">
        <v>59</v>
      </c>
      <c r="B17" s="327" t="s">
        <v>49</v>
      </c>
      <c r="C17" s="329" t="s">
        <v>48</v>
      </c>
      <c r="D17" s="331" t="s">
        <v>50</v>
      </c>
      <c r="E17" s="332"/>
      <c r="F17" s="327" t="s">
        <v>21</v>
      </c>
      <c r="G17" s="327" t="s">
        <v>24</v>
      </c>
      <c r="H17" s="327" t="s">
        <v>22</v>
      </c>
      <c r="I17" s="327" t="s">
        <v>23</v>
      </c>
      <c r="J17" s="327" t="s">
        <v>16</v>
      </c>
      <c r="K17" s="327" t="s">
        <v>69</v>
      </c>
      <c r="L17" s="327" t="s">
        <v>67</v>
      </c>
      <c r="M17" s="327" t="s">
        <v>2</v>
      </c>
      <c r="N17" s="327" t="s">
        <v>66</v>
      </c>
      <c r="O17" s="327" t="s">
        <v>25</v>
      </c>
      <c r="P17" s="331" t="s">
        <v>17</v>
      </c>
      <c r="Q17" s="335"/>
      <c r="R17" s="335"/>
      <c r="S17" s="335"/>
      <c r="T17" s="332"/>
      <c r="U17" s="325" t="s">
        <v>56</v>
      </c>
      <c r="V17" s="326"/>
      <c r="W17" s="327" t="s">
        <v>6</v>
      </c>
      <c r="X17" s="327" t="s">
        <v>41</v>
      </c>
      <c r="Y17" s="337" t="s">
        <v>54</v>
      </c>
      <c r="Z17" s="339" t="s">
        <v>18</v>
      </c>
      <c r="AA17" s="341" t="s">
        <v>60</v>
      </c>
      <c r="AB17" s="341" t="s">
        <v>19</v>
      </c>
      <c r="AC17" s="341" t="s">
        <v>68</v>
      </c>
      <c r="AD17" s="343" t="s">
        <v>57</v>
      </c>
      <c r="AE17" s="344"/>
      <c r="AF17" s="345"/>
      <c r="AG17" s="85"/>
      <c r="BD17" s="84" t="s">
        <v>64</v>
      </c>
    </row>
    <row r="18" spans="1:68" ht="14.25" customHeight="1" x14ac:dyDescent="0.2">
      <c r="A18" s="328"/>
      <c r="B18" s="328"/>
      <c r="C18" s="330"/>
      <c r="D18" s="333"/>
      <c r="E18" s="334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33"/>
      <c r="Q18" s="336"/>
      <c r="R18" s="336"/>
      <c r="S18" s="336"/>
      <c r="T18" s="334"/>
      <c r="U18" s="86" t="s">
        <v>44</v>
      </c>
      <c r="V18" s="86" t="s">
        <v>43</v>
      </c>
      <c r="W18" s="328"/>
      <c r="X18" s="328"/>
      <c r="Y18" s="338"/>
      <c r="Z18" s="340"/>
      <c r="AA18" s="342"/>
      <c r="AB18" s="342"/>
      <c r="AC18" s="342"/>
      <c r="AD18" s="346"/>
      <c r="AE18" s="347"/>
      <c r="AF18" s="348"/>
      <c r="AG18" s="85"/>
      <c r="BD18" s="84"/>
    </row>
    <row r="19" spans="1:68" ht="27.75" customHeight="1" x14ac:dyDescent="0.2">
      <c r="A19" s="349" t="s">
        <v>81</v>
      </c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54"/>
      <c r="AB19" s="54"/>
      <c r="AC19" s="54"/>
    </row>
    <row r="20" spans="1:68" ht="16.5" customHeight="1" x14ac:dyDescent="0.25">
      <c r="A20" s="350" t="s">
        <v>81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65"/>
      <c r="AB20" s="65"/>
      <c r="AC20" s="82"/>
    </row>
    <row r="21" spans="1:68" ht="14.25" customHeight="1" x14ac:dyDescent="0.25">
      <c r="A21" s="351" t="s">
        <v>82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52">
        <v>4607111035912</v>
      </c>
      <c r="E22" s="352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4"/>
      <c r="R22" s="354"/>
      <c r="S22" s="354"/>
      <c r="T22" s="35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52">
        <v>4607111035103</v>
      </c>
      <c r="E23" s="352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4"/>
      <c r="R23" s="354"/>
      <c r="S23" s="354"/>
      <c r="T23" s="35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52">
        <v>4607111035929</v>
      </c>
      <c r="E24" s="352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4"/>
      <c r="R24" s="354"/>
      <c r="S24" s="354"/>
      <c r="T24" s="35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52">
        <v>4607111035882</v>
      </c>
      <c r="E25" s="352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4"/>
      <c r="R25" s="354"/>
      <c r="S25" s="354"/>
      <c r="T25" s="35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52">
        <v>4607111035110</v>
      </c>
      <c r="E26" s="352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4"/>
      <c r="R26" s="354"/>
      <c r="S26" s="354"/>
      <c r="T26" s="35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52">
        <v>4607111035905</v>
      </c>
      <c r="E27" s="35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4"/>
      <c r="R27" s="354"/>
      <c r="S27" s="354"/>
      <c r="T27" s="35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4"/>
      <c r="B28" s="364"/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5"/>
      <c r="P28" s="361" t="s">
        <v>40</v>
      </c>
      <c r="Q28" s="362"/>
      <c r="R28" s="362"/>
      <c r="S28" s="362"/>
      <c r="T28" s="362"/>
      <c r="U28" s="362"/>
      <c r="V28" s="363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4"/>
      <c r="B29" s="364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5"/>
      <c r="P29" s="361" t="s">
        <v>40</v>
      </c>
      <c r="Q29" s="362"/>
      <c r="R29" s="362"/>
      <c r="S29" s="362"/>
      <c r="T29" s="362"/>
      <c r="U29" s="362"/>
      <c r="V29" s="363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50" t="s">
        <v>100</v>
      </c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65"/>
      <c r="AB30" s="65"/>
      <c r="AC30" s="82"/>
    </row>
    <row r="31" spans="1:68" ht="14.25" customHeight="1" x14ac:dyDescent="0.25">
      <c r="A31" s="351" t="s">
        <v>82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52">
        <v>4607111039019</v>
      </c>
      <c r="E32" s="352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4"/>
      <c r="R32" s="354"/>
      <c r="S32" s="354"/>
      <c r="T32" s="355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52">
        <v>4607111038708</v>
      </c>
      <c r="E33" s="352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4"/>
      <c r="R33" s="354"/>
      <c r="S33" s="354"/>
      <c r="T33" s="355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4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5"/>
      <c r="P34" s="361" t="s">
        <v>40</v>
      </c>
      <c r="Q34" s="362"/>
      <c r="R34" s="362"/>
      <c r="S34" s="362"/>
      <c r="T34" s="362"/>
      <c r="U34" s="362"/>
      <c r="V34" s="363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1" t="s">
        <v>40</v>
      </c>
      <c r="Q35" s="362"/>
      <c r="R35" s="362"/>
      <c r="S35" s="362"/>
      <c r="T35" s="362"/>
      <c r="U35" s="362"/>
      <c r="V35" s="363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9" t="s">
        <v>45</v>
      </c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54"/>
      <c r="AB36" s="54"/>
      <c r="AC36" s="54"/>
    </row>
    <row r="37" spans="1:68" ht="16.5" customHeight="1" x14ac:dyDescent="0.25">
      <c r="A37" s="350" t="s">
        <v>106</v>
      </c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65"/>
      <c r="AB37" s="65"/>
      <c r="AC37" s="82"/>
    </row>
    <row r="38" spans="1:68" ht="14.25" customHeight="1" x14ac:dyDescent="0.25">
      <c r="A38" s="351" t="s">
        <v>107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52">
        <v>4607111036537</v>
      </c>
      <c r="E39" s="352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4"/>
      <c r="R39" s="354"/>
      <c r="S39" s="354"/>
      <c r="T39" s="355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52">
        <v>4607111036605</v>
      </c>
      <c r="E40" s="352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4"/>
      <c r="R40" s="354"/>
      <c r="S40" s="354"/>
      <c r="T40" s="355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4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5"/>
      <c r="P41" s="361" t="s">
        <v>40</v>
      </c>
      <c r="Q41" s="362"/>
      <c r="R41" s="362"/>
      <c r="S41" s="362"/>
      <c r="T41" s="362"/>
      <c r="U41" s="362"/>
      <c r="V41" s="363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1" t="s">
        <v>40</v>
      </c>
      <c r="Q42" s="362"/>
      <c r="R42" s="362"/>
      <c r="S42" s="362"/>
      <c r="T42" s="362"/>
      <c r="U42" s="362"/>
      <c r="V42" s="363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50" t="s">
        <v>117</v>
      </c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65"/>
      <c r="AB43" s="65"/>
      <c r="AC43" s="82"/>
    </row>
    <row r="44" spans="1:68" ht="14.25" customHeight="1" x14ac:dyDescent="0.25">
      <c r="A44" s="351" t="s">
        <v>82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52">
        <v>4620207490075</v>
      </c>
      <c r="E45" s="352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7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4"/>
      <c r="R45" s="354"/>
      <c r="S45" s="354"/>
      <c r="T45" s="355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52">
        <v>4620207490174</v>
      </c>
      <c r="E46" s="352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7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4"/>
      <c r="R46" s="354"/>
      <c r="S46" s="354"/>
      <c r="T46" s="355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52">
        <v>4620207490044</v>
      </c>
      <c r="E47" s="35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7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4"/>
      <c r="R47" s="354"/>
      <c r="S47" s="354"/>
      <c r="T47" s="35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5"/>
      <c r="P48" s="361" t="s">
        <v>40</v>
      </c>
      <c r="Q48" s="362"/>
      <c r="R48" s="362"/>
      <c r="S48" s="362"/>
      <c r="T48" s="362"/>
      <c r="U48" s="362"/>
      <c r="V48" s="363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5"/>
      <c r="P49" s="361" t="s">
        <v>40</v>
      </c>
      <c r="Q49" s="362"/>
      <c r="R49" s="362"/>
      <c r="S49" s="362"/>
      <c r="T49" s="362"/>
      <c r="U49" s="362"/>
      <c r="V49" s="363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50" t="s">
        <v>127</v>
      </c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65"/>
      <c r="AB50" s="65"/>
      <c r="AC50" s="82"/>
    </row>
    <row r="51" spans="1:68" ht="14.25" customHeight="1" x14ac:dyDescent="0.25">
      <c r="A51" s="351" t="s">
        <v>82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52">
        <v>4607111039385</v>
      </c>
      <c r="E52" s="352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4"/>
      <c r="R52" s="354"/>
      <c r="S52" s="354"/>
      <c r="T52" s="355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52">
        <v>4607111038982</v>
      </c>
      <c r="E53" s="352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4"/>
      <c r="R53" s="354"/>
      <c r="S53" s="354"/>
      <c r="T53" s="35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52">
        <v>4607111039354</v>
      </c>
      <c r="E54" s="352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4"/>
      <c r="R54" s="354"/>
      <c r="S54" s="354"/>
      <c r="T54" s="35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52">
        <v>4607111039330</v>
      </c>
      <c r="E55" s="352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4"/>
      <c r="R55" s="354"/>
      <c r="S55" s="354"/>
      <c r="T55" s="35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4"/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5"/>
      <c r="P56" s="361" t="s">
        <v>40</v>
      </c>
      <c r="Q56" s="362"/>
      <c r="R56" s="362"/>
      <c r="S56" s="362"/>
      <c r="T56" s="362"/>
      <c r="U56" s="362"/>
      <c r="V56" s="363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5"/>
      <c r="P57" s="361" t="s">
        <v>40</v>
      </c>
      <c r="Q57" s="362"/>
      <c r="R57" s="362"/>
      <c r="S57" s="362"/>
      <c r="T57" s="362"/>
      <c r="U57" s="362"/>
      <c r="V57" s="363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50" t="s">
        <v>138</v>
      </c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65"/>
      <c r="AB58" s="65"/>
      <c r="AC58" s="82"/>
    </row>
    <row r="59" spans="1:68" ht="14.25" customHeight="1" x14ac:dyDescent="0.25">
      <c r="A59" s="351" t="s">
        <v>82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52">
        <v>4620207490822</v>
      </c>
      <c r="E60" s="352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4"/>
      <c r="R60" s="354"/>
      <c r="S60" s="354"/>
      <c r="T60" s="355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4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5"/>
      <c r="P61" s="361" t="s">
        <v>40</v>
      </c>
      <c r="Q61" s="362"/>
      <c r="R61" s="362"/>
      <c r="S61" s="362"/>
      <c r="T61" s="362"/>
      <c r="U61" s="362"/>
      <c r="V61" s="363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1" t="s">
        <v>40</v>
      </c>
      <c r="Q62" s="362"/>
      <c r="R62" s="362"/>
      <c r="S62" s="362"/>
      <c r="T62" s="362"/>
      <c r="U62" s="362"/>
      <c r="V62" s="363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51" t="s">
        <v>107</v>
      </c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52">
        <v>4607111039712</v>
      </c>
      <c r="E64" s="352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4"/>
      <c r="R64" s="354"/>
      <c r="S64" s="354"/>
      <c r="T64" s="355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5"/>
      <c r="P65" s="361" t="s">
        <v>40</v>
      </c>
      <c r="Q65" s="362"/>
      <c r="R65" s="362"/>
      <c r="S65" s="362"/>
      <c r="T65" s="362"/>
      <c r="U65" s="362"/>
      <c r="V65" s="363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4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1" t="s">
        <v>40</v>
      </c>
      <c r="Q66" s="362"/>
      <c r="R66" s="362"/>
      <c r="S66" s="362"/>
      <c r="T66" s="362"/>
      <c r="U66" s="362"/>
      <c r="V66" s="363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51" t="s">
        <v>145</v>
      </c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52">
        <v>4607111037008</v>
      </c>
      <c r="E68" s="352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4"/>
      <c r="R68" s="354"/>
      <c r="S68" s="354"/>
      <c r="T68" s="355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52">
        <v>4607111037398</v>
      </c>
      <c r="E69" s="352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4"/>
      <c r="R69" s="354"/>
      <c r="S69" s="354"/>
      <c r="T69" s="35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4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5"/>
      <c r="P70" s="361" t="s">
        <v>40</v>
      </c>
      <c r="Q70" s="362"/>
      <c r="R70" s="362"/>
      <c r="S70" s="362"/>
      <c r="T70" s="362"/>
      <c r="U70" s="362"/>
      <c r="V70" s="363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4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1" t="s">
        <v>40</v>
      </c>
      <c r="Q71" s="362"/>
      <c r="R71" s="362"/>
      <c r="S71" s="362"/>
      <c r="T71" s="362"/>
      <c r="U71" s="362"/>
      <c r="V71" s="363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51" t="s">
        <v>151</v>
      </c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52">
        <v>4607111039705</v>
      </c>
      <c r="E73" s="352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4"/>
      <c r="R73" s="354"/>
      <c r="S73" s="354"/>
      <c r="T73" s="355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52">
        <v>4607111039729</v>
      </c>
      <c r="E74" s="352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4"/>
      <c r="R74" s="354"/>
      <c r="S74" s="354"/>
      <c r="T74" s="355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52">
        <v>4620207490228</v>
      </c>
      <c r="E75" s="35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4"/>
      <c r="R75" s="354"/>
      <c r="S75" s="354"/>
      <c r="T75" s="35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4"/>
      <c r="B76" s="364"/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65"/>
      <c r="P76" s="361" t="s">
        <v>40</v>
      </c>
      <c r="Q76" s="362"/>
      <c r="R76" s="362"/>
      <c r="S76" s="362"/>
      <c r="T76" s="362"/>
      <c r="U76" s="362"/>
      <c r="V76" s="363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4"/>
      <c r="B77" s="364"/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5"/>
      <c r="P77" s="361" t="s">
        <v>40</v>
      </c>
      <c r="Q77" s="362"/>
      <c r="R77" s="362"/>
      <c r="S77" s="362"/>
      <c r="T77" s="362"/>
      <c r="U77" s="362"/>
      <c r="V77" s="363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50" t="s">
        <v>159</v>
      </c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65"/>
      <c r="AB78" s="65"/>
      <c r="AC78" s="82"/>
    </row>
    <row r="79" spans="1:68" ht="14.25" customHeight="1" x14ac:dyDescent="0.25">
      <c r="A79" s="351" t="s">
        <v>82</v>
      </c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52">
        <v>4607111037411</v>
      </c>
      <c r="E80" s="352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8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4"/>
      <c r="R80" s="354"/>
      <c r="S80" s="354"/>
      <c r="T80" s="355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52">
        <v>4607111036728</v>
      </c>
      <c r="E81" s="352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4"/>
      <c r="R81" s="354"/>
      <c r="S81" s="354"/>
      <c r="T81" s="355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4"/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5"/>
      <c r="P82" s="361" t="s">
        <v>40</v>
      </c>
      <c r="Q82" s="362"/>
      <c r="R82" s="362"/>
      <c r="S82" s="362"/>
      <c r="T82" s="362"/>
      <c r="U82" s="362"/>
      <c r="V82" s="363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4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5"/>
      <c r="P83" s="361" t="s">
        <v>40</v>
      </c>
      <c r="Q83" s="362"/>
      <c r="R83" s="362"/>
      <c r="S83" s="362"/>
      <c r="T83" s="362"/>
      <c r="U83" s="362"/>
      <c r="V83" s="363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50" t="s">
        <v>166</v>
      </c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65"/>
      <c r="AB84" s="65"/>
      <c r="AC84" s="82"/>
    </row>
    <row r="85" spans="1:68" ht="14.25" customHeight="1" x14ac:dyDescent="0.25">
      <c r="A85" s="351" t="s">
        <v>151</v>
      </c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52">
        <v>4607111033659</v>
      </c>
      <c r="E86" s="352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4"/>
      <c r="R86" s="354"/>
      <c r="S86" s="354"/>
      <c r="T86" s="355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5"/>
      <c r="P87" s="361" t="s">
        <v>40</v>
      </c>
      <c r="Q87" s="362"/>
      <c r="R87" s="362"/>
      <c r="S87" s="362"/>
      <c r="T87" s="362"/>
      <c r="U87" s="362"/>
      <c r="V87" s="363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4"/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5"/>
      <c r="P88" s="361" t="s">
        <v>40</v>
      </c>
      <c r="Q88" s="362"/>
      <c r="R88" s="362"/>
      <c r="S88" s="362"/>
      <c r="T88" s="362"/>
      <c r="U88" s="362"/>
      <c r="V88" s="363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50" t="s">
        <v>170</v>
      </c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65"/>
      <c r="AB89" s="65"/>
      <c r="AC89" s="82"/>
    </row>
    <row r="90" spans="1:68" ht="14.25" customHeight="1" x14ac:dyDescent="0.25">
      <c r="A90" s="351" t="s">
        <v>171</v>
      </c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52">
        <v>4607111034120</v>
      </c>
      <c r="E91" s="352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4"/>
      <c r="R91" s="354"/>
      <c r="S91" s="354"/>
      <c r="T91" s="355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52">
        <v>4607111034137</v>
      </c>
      <c r="E92" s="352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4"/>
      <c r="R92" s="354"/>
      <c r="S92" s="354"/>
      <c r="T92" s="355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4"/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5"/>
      <c r="P93" s="361" t="s">
        <v>40</v>
      </c>
      <c r="Q93" s="362"/>
      <c r="R93" s="362"/>
      <c r="S93" s="362"/>
      <c r="T93" s="362"/>
      <c r="U93" s="362"/>
      <c r="V93" s="363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4"/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5"/>
      <c r="P94" s="361" t="s">
        <v>40</v>
      </c>
      <c r="Q94" s="362"/>
      <c r="R94" s="362"/>
      <c r="S94" s="362"/>
      <c r="T94" s="362"/>
      <c r="U94" s="362"/>
      <c r="V94" s="363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50" t="s">
        <v>178</v>
      </c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65"/>
      <c r="AB95" s="65"/>
      <c r="AC95" s="82"/>
    </row>
    <row r="96" spans="1:68" ht="14.25" customHeight="1" x14ac:dyDescent="0.25">
      <c r="A96" s="351" t="s">
        <v>151</v>
      </c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52">
        <v>4620207491027</v>
      </c>
      <c r="E97" s="35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4"/>
      <c r="R97" s="354"/>
      <c r="S97" s="354"/>
      <c r="T97" s="35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3" si="6">IFERROR(IF(X97="","",X97),"")</f>
        <v>0</v>
      </c>
      <c r="Z97" s="41">
        <f t="shared" ref="Z97:Z103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3" si="8">IFERROR(X97*I97,"0")</f>
        <v>0</v>
      </c>
      <c r="BN97" s="81">
        <f t="shared" ref="BN97:BN103" si="9">IFERROR(Y97*I97,"0")</f>
        <v>0</v>
      </c>
      <c r="BO97" s="81">
        <f t="shared" ref="BO97:BO103" si="10">IFERROR(X97/J97,"0")</f>
        <v>0</v>
      </c>
      <c r="BP97" s="81">
        <f t="shared" ref="BP97:BP103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52">
        <v>4620207491003</v>
      </c>
      <c r="E98" s="352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9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4"/>
      <c r="R98" s="354"/>
      <c r="S98" s="354"/>
      <c r="T98" s="35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52">
        <v>4620207491034</v>
      </c>
      <c r="E99" s="35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9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4"/>
      <c r="R99" s="354"/>
      <c r="S99" s="354"/>
      <c r="T99" s="35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52">
        <v>4620207491010</v>
      </c>
      <c r="E100" s="35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4"/>
      <c r="R100" s="354"/>
      <c r="S100" s="354"/>
      <c r="T100" s="355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52">
        <v>4607111035028</v>
      </c>
      <c r="E101" s="352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9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4"/>
      <c r="R101" s="354"/>
      <c r="S101" s="354"/>
      <c r="T101" s="35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52">
        <v>4607111036407</v>
      </c>
      <c r="E102" s="352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4"/>
      <c r="R102" s="354"/>
      <c r="S102" s="354"/>
      <c r="T102" s="355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193</v>
      </c>
      <c r="B103" s="63" t="s">
        <v>194</v>
      </c>
      <c r="C103" s="36">
        <v>4301135849</v>
      </c>
      <c r="D103" s="352">
        <v>4620207491423</v>
      </c>
      <c r="E103" s="352"/>
      <c r="F103" s="62">
        <v>0.22</v>
      </c>
      <c r="G103" s="37">
        <v>12</v>
      </c>
      <c r="H103" s="62">
        <v>2.64</v>
      </c>
      <c r="I103" s="62">
        <v>3.34</v>
      </c>
      <c r="J103" s="37">
        <v>70</v>
      </c>
      <c r="K103" s="37" t="s">
        <v>112</v>
      </c>
      <c r="L103" s="37" t="s">
        <v>88</v>
      </c>
      <c r="M103" s="38" t="s">
        <v>86</v>
      </c>
      <c r="N103" s="38"/>
      <c r="O103" s="37">
        <v>180</v>
      </c>
      <c r="P103" s="395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4"/>
      <c r="R103" s="354"/>
      <c r="S103" s="354"/>
      <c r="T103" s="355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195</v>
      </c>
      <c r="AG103" s="81"/>
      <c r="AJ103" s="87" t="s">
        <v>89</v>
      </c>
      <c r="AK103" s="87">
        <v>1</v>
      </c>
      <c r="BB103" s="160" t="s">
        <v>111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x14ac:dyDescent="0.2">
      <c r="A104" s="364"/>
      <c r="B104" s="364"/>
      <c r="C104" s="364"/>
      <c r="D104" s="364"/>
      <c r="E104" s="364"/>
      <c r="F104" s="364"/>
      <c r="G104" s="364"/>
      <c r="H104" s="364"/>
      <c r="I104" s="364"/>
      <c r="J104" s="364"/>
      <c r="K104" s="364"/>
      <c r="L104" s="364"/>
      <c r="M104" s="364"/>
      <c r="N104" s="364"/>
      <c r="O104" s="365"/>
      <c r="P104" s="361" t="s">
        <v>40</v>
      </c>
      <c r="Q104" s="362"/>
      <c r="R104" s="362"/>
      <c r="S104" s="362"/>
      <c r="T104" s="362"/>
      <c r="U104" s="362"/>
      <c r="V104" s="363"/>
      <c r="W104" s="42" t="s">
        <v>39</v>
      </c>
      <c r="X104" s="43">
        <f>IFERROR(SUM(X97:X103),"0")</f>
        <v>0</v>
      </c>
      <c r="Y104" s="43">
        <f>IFERROR(SUM(Y97:Y103),"0")</f>
        <v>0</v>
      </c>
      <c r="Z104" s="43">
        <f>IFERROR(IF(Z97="",0,Z97),"0")+IFERROR(IF(Z98="",0,Z98),"0")+IFERROR(IF(Z99="",0,Z99),"0")+IFERROR(IF(Z100="",0,Z100),"0")+IFERROR(IF(Z101="",0,Z101),"0")+IFERROR(IF(Z102="",0,Z102),"0")+IFERROR(IF(Z103="",0,Z103),"0")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364"/>
      <c r="B105" s="364"/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5"/>
      <c r="P105" s="361" t="s">
        <v>40</v>
      </c>
      <c r="Q105" s="362"/>
      <c r="R105" s="362"/>
      <c r="S105" s="362"/>
      <c r="T105" s="362"/>
      <c r="U105" s="362"/>
      <c r="V105" s="363"/>
      <c r="W105" s="42" t="s">
        <v>0</v>
      </c>
      <c r="X105" s="43">
        <f>IFERROR(SUMPRODUCT(X97:X103*H97:H103),"0")</f>
        <v>0</v>
      </c>
      <c r="Y105" s="43">
        <f>IFERROR(SUMPRODUCT(Y97:Y103*H97:H103),"0")</f>
        <v>0</v>
      </c>
      <c r="Z105" s="42"/>
      <c r="AA105" s="67"/>
      <c r="AB105" s="67"/>
      <c r="AC105" s="67"/>
    </row>
    <row r="106" spans="1:68" ht="16.5" customHeight="1" x14ac:dyDescent="0.25">
      <c r="A106" s="350" t="s">
        <v>196</v>
      </c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65"/>
      <c r="AB106" s="65"/>
      <c r="AC106" s="82"/>
    </row>
    <row r="107" spans="1:68" ht="14.25" customHeight="1" x14ac:dyDescent="0.25">
      <c r="A107" s="351" t="s">
        <v>145</v>
      </c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66"/>
      <c r="AB107" s="66"/>
      <c r="AC107" s="83"/>
    </row>
    <row r="108" spans="1:68" ht="27" customHeight="1" x14ac:dyDescent="0.25">
      <c r="A108" s="63" t="s">
        <v>197</v>
      </c>
      <c r="B108" s="63" t="s">
        <v>198</v>
      </c>
      <c r="C108" s="36">
        <v>4301136070</v>
      </c>
      <c r="D108" s="352">
        <v>4607025784012</v>
      </c>
      <c r="E108" s="352"/>
      <c r="F108" s="62">
        <v>0.09</v>
      </c>
      <c r="G108" s="37">
        <v>24</v>
      </c>
      <c r="H108" s="62">
        <v>2.16</v>
      </c>
      <c r="I108" s="62">
        <v>2.4912000000000001</v>
      </c>
      <c r="J108" s="37">
        <v>126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4"/>
      <c r="R108" s="354"/>
      <c r="S108" s="354"/>
      <c r="T108" s="355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IFERROR(IF(X108="","",X108*0.00936),"")</f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ht="27" customHeight="1" x14ac:dyDescent="0.25">
      <c r="A109" s="63" t="s">
        <v>200</v>
      </c>
      <c r="B109" s="63" t="s">
        <v>201</v>
      </c>
      <c r="C109" s="36">
        <v>4301136079</v>
      </c>
      <c r="D109" s="352">
        <v>4607025784319</v>
      </c>
      <c r="E109" s="352"/>
      <c r="F109" s="62">
        <v>0.36</v>
      </c>
      <c r="G109" s="37">
        <v>10</v>
      </c>
      <c r="H109" s="62">
        <v>3.6</v>
      </c>
      <c r="I109" s="62">
        <v>4.2439999999999998</v>
      </c>
      <c r="J109" s="37">
        <v>70</v>
      </c>
      <c r="K109" s="37" t="s">
        <v>112</v>
      </c>
      <c r="L109" s="37" t="s">
        <v>113</v>
      </c>
      <c r="M109" s="38" t="s">
        <v>86</v>
      </c>
      <c r="N109" s="38"/>
      <c r="O109" s="37">
        <v>180</v>
      </c>
      <c r="P109" s="39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4"/>
      <c r="R109" s="354"/>
      <c r="S109" s="354"/>
      <c r="T109" s="355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IFERROR(IF(X109="","",X109*0.01788),"")</f>
        <v>0</v>
      </c>
      <c r="AA109" s="68" t="s">
        <v>46</v>
      </c>
      <c r="AB109" s="69" t="s">
        <v>46</v>
      </c>
      <c r="AC109" s="163" t="s">
        <v>169</v>
      </c>
      <c r="AG109" s="81"/>
      <c r="AJ109" s="87" t="s">
        <v>114</v>
      </c>
      <c r="AK109" s="87">
        <v>14</v>
      </c>
      <c r="BB109" s="164" t="s">
        <v>111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x14ac:dyDescent="0.2">
      <c r="A110" s="364"/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5"/>
      <c r="P110" s="361" t="s">
        <v>40</v>
      </c>
      <c r="Q110" s="362"/>
      <c r="R110" s="362"/>
      <c r="S110" s="362"/>
      <c r="T110" s="362"/>
      <c r="U110" s="362"/>
      <c r="V110" s="363"/>
      <c r="W110" s="42" t="s">
        <v>39</v>
      </c>
      <c r="X110" s="43">
        <f>IFERROR(SUM(X108:X109),"0")</f>
        <v>0</v>
      </c>
      <c r="Y110" s="43">
        <f>IFERROR(SUM(Y108:Y109),"0")</f>
        <v>0</v>
      </c>
      <c r="Z110" s="43">
        <f>IFERROR(IF(Z108="",0,Z108),"0")+IFERROR(IF(Z109="",0,Z109),"0")</f>
        <v>0</v>
      </c>
      <c r="AA110" s="67"/>
      <c r="AB110" s="67"/>
      <c r="AC110" s="67"/>
    </row>
    <row r="111" spans="1:68" x14ac:dyDescent="0.2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5"/>
      <c r="P111" s="361" t="s">
        <v>40</v>
      </c>
      <c r="Q111" s="362"/>
      <c r="R111" s="362"/>
      <c r="S111" s="362"/>
      <c r="T111" s="362"/>
      <c r="U111" s="362"/>
      <c r="V111" s="363"/>
      <c r="W111" s="42" t="s">
        <v>0</v>
      </c>
      <c r="X111" s="43">
        <f>IFERROR(SUMPRODUCT(X108:X109*H108:H109),"0")</f>
        <v>0</v>
      </c>
      <c r="Y111" s="43">
        <f>IFERROR(SUMPRODUCT(Y108:Y109*H108:H109),"0")</f>
        <v>0</v>
      </c>
      <c r="Z111" s="42"/>
      <c r="AA111" s="67"/>
      <c r="AB111" s="67"/>
      <c r="AC111" s="67"/>
    </row>
    <row r="112" spans="1:68" ht="16.5" customHeight="1" x14ac:dyDescent="0.25">
      <c r="A112" s="350" t="s">
        <v>202</v>
      </c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65"/>
      <c r="AB112" s="65"/>
      <c r="AC112" s="82"/>
    </row>
    <row r="113" spans="1:68" ht="14.25" customHeight="1" x14ac:dyDescent="0.25">
      <c r="A113" s="351" t="s">
        <v>82</v>
      </c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66"/>
      <c r="AB113" s="66"/>
      <c r="AC113" s="83"/>
    </row>
    <row r="114" spans="1:68" ht="27" customHeight="1" x14ac:dyDescent="0.25">
      <c r="A114" s="63" t="s">
        <v>203</v>
      </c>
      <c r="B114" s="63" t="s">
        <v>204</v>
      </c>
      <c r="C114" s="36">
        <v>4301071074</v>
      </c>
      <c r="D114" s="352">
        <v>4620207491157</v>
      </c>
      <c r="E114" s="352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87</v>
      </c>
      <c r="L114" s="37" t="s">
        <v>113</v>
      </c>
      <c r="M114" s="38" t="s">
        <v>86</v>
      </c>
      <c r="N114" s="38"/>
      <c r="O114" s="37">
        <v>180</v>
      </c>
      <c r="P114" s="39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4"/>
      <c r="R114" s="354"/>
      <c r="S114" s="354"/>
      <c r="T114" s="35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ref="Y114:Y120" si="12">IFERROR(IF(X114="","",X114),"")</f>
        <v>0</v>
      </c>
      <c r="Z114" s="41">
        <f t="shared" ref="Z114:Z120" si="13">IFERROR(IF(X114="","",X114*0.0155),"")</f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114</v>
      </c>
      <c r="AK114" s="87">
        <v>12</v>
      </c>
      <c r="BB114" s="166" t="s">
        <v>70</v>
      </c>
      <c r="BM114" s="81">
        <f t="shared" ref="BM114:BM120" si="14">IFERROR(X114*I114,"0")</f>
        <v>0</v>
      </c>
      <c r="BN114" s="81">
        <f t="shared" ref="BN114:BN120" si="15">IFERROR(Y114*I114,"0")</f>
        <v>0</v>
      </c>
      <c r="BO114" s="81">
        <f t="shared" ref="BO114:BO120" si="16">IFERROR(X114/J114,"0")</f>
        <v>0</v>
      </c>
      <c r="BP114" s="81">
        <f t="shared" ref="BP114:BP120" si="17">IFERROR(Y114/J114,"0")</f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4301071121</v>
      </c>
      <c r="D115" s="352">
        <v>4620207491393</v>
      </c>
      <c r="E115" s="352"/>
      <c r="F115" s="62">
        <v>0.4</v>
      </c>
      <c r="G115" s="37">
        <v>16</v>
      </c>
      <c r="H115" s="62">
        <v>6.4</v>
      </c>
      <c r="I115" s="62">
        <v>6.71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4"/>
      <c r="R115" s="354"/>
      <c r="S115" s="354"/>
      <c r="T115" s="35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89</v>
      </c>
      <c r="AK115" s="87">
        <v>1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4301071051</v>
      </c>
      <c r="D116" s="352">
        <v>4607111039262</v>
      </c>
      <c r="E116" s="352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40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4"/>
      <c r="R116" s="354"/>
      <c r="S116" s="354"/>
      <c r="T116" s="35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4301071038</v>
      </c>
      <c r="D117" s="352">
        <v>4607111039248</v>
      </c>
      <c r="E117" s="352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113</v>
      </c>
      <c r="M117" s="38" t="s">
        <v>86</v>
      </c>
      <c r="N117" s="38"/>
      <c r="O117" s="37">
        <v>180</v>
      </c>
      <c r="P117" s="40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4"/>
      <c r="R117" s="354"/>
      <c r="S117" s="354"/>
      <c r="T117" s="35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162</v>
      </c>
      <c r="AG117" s="81"/>
      <c r="AJ117" s="87" t="s">
        <v>114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4301070979</v>
      </c>
      <c r="D118" s="352">
        <v>4607111037145</v>
      </c>
      <c r="E118" s="352"/>
      <c r="F118" s="62">
        <v>0.8</v>
      </c>
      <c r="G118" s="37">
        <v>8</v>
      </c>
      <c r="H118" s="62">
        <v>6.4</v>
      </c>
      <c r="I118" s="62">
        <v>6.6748000000000003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40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4"/>
      <c r="R118" s="354"/>
      <c r="S118" s="354"/>
      <c r="T118" s="355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215</v>
      </c>
      <c r="AG118" s="81"/>
      <c r="AJ118" s="87" t="s">
        <v>89</v>
      </c>
      <c r="AK118" s="87">
        <v>1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216</v>
      </c>
      <c r="B119" s="63" t="s">
        <v>217</v>
      </c>
      <c r="C119" s="36">
        <v>4301071049</v>
      </c>
      <c r="D119" s="352">
        <v>4607111039293</v>
      </c>
      <c r="E119" s="352"/>
      <c r="F119" s="62">
        <v>0.4</v>
      </c>
      <c r="G119" s="37">
        <v>16</v>
      </c>
      <c r="H119" s="62">
        <v>6.4</v>
      </c>
      <c r="I119" s="62">
        <v>6.7195999999999998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4"/>
      <c r="R119" s="354"/>
      <c r="S119" s="354"/>
      <c r="T119" s="35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4301071039</v>
      </c>
      <c r="D120" s="352">
        <v>4607111039279</v>
      </c>
      <c r="E120" s="352"/>
      <c r="F120" s="62">
        <v>0.7</v>
      </c>
      <c r="G120" s="37">
        <v>10</v>
      </c>
      <c r="H120" s="62">
        <v>7</v>
      </c>
      <c r="I120" s="62">
        <v>7.3</v>
      </c>
      <c r="J120" s="37">
        <v>84</v>
      </c>
      <c r="K120" s="37" t="s">
        <v>87</v>
      </c>
      <c r="L120" s="37" t="s">
        <v>113</v>
      </c>
      <c r="M120" s="38" t="s">
        <v>86</v>
      </c>
      <c r="N120" s="38"/>
      <c r="O120" s="37">
        <v>180</v>
      </c>
      <c r="P120" s="40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4"/>
      <c r="R120" s="354"/>
      <c r="S120" s="354"/>
      <c r="T120" s="355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162</v>
      </c>
      <c r="AG120" s="81"/>
      <c r="AJ120" s="87" t="s">
        <v>114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4"/>
      <c r="B121" s="364"/>
      <c r="C121" s="364"/>
      <c r="D121" s="364"/>
      <c r="E121" s="364"/>
      <c r="F121" s="364"/>
      <c r="G121" s="364"/>
      <c r="H121" s="364"/>
      <c r="I121" s="364"/>
      <c r="J121" s="364"/>
      <c r="K121" s="364"/>
      <c r="L121" s="364"/>
      <c r="M121" s="364"/>
      <c r="N121" s="364"/>
      <c r="O121" s="365"/>
      <c r="P121" s="361" t="s">
        <v>40</v>
      </c>
      <c r="Q121" s="362"/>
      <c r="R121" s="362"/>
      <c r="S121" s="362"/>
      <c r="T121" s="362"/>
      <c r="U121" s="362"/>
      <c r="V121" s="363"/>
      <c r="W121" s="42" t="s">
        <v>39</v>
      </c>
      <c r="X121" s="43">
        <f>IFERROR(SUM(X114:X120),"0")</f>
        <v>0</v>
      </c>
      <c r="Y121" s="43">
        <f>IFERROR(SUM(Y114:Y120),"0")</f>
        <v>0</v>
      </c>
      <c r="Z121" s="43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5"/>
      <c r="P122" s="361" t="s">
        <v>40</v>
      </c>
      <c r="Q122" s="362"/>
      <c r="R122" s="362"/>
      <c r="S122" s="362"/>
      <c r="T122" s="362"/>
      <c r="U122" s="362"/>
      <c r="V122" s="363"/>
      <c r="W122" s="42" t="s">
        <v>0</v>
      </c>
      <c r="X122" s="43">
        <f>IFERROR(SUMPRODUCT(X114:X120*H114:H120),"0")</f>
        <v>0</v>
      </c>
      <c r="Y122" s="43">
        <f>IFERROR(SUMPRODUCT(Y114:Y120*H114:H120),"0")</f>
        <v>0</v>
      </c>
      <c r="Z122" s="42"/>
      <c r="AA122" s="67"/>
      <c r="AB122" s="67"/>
      <c r="AC122" s="67"/>
    </row>
    <row r="123" spans="1:68" ht="14.25" customHeight="1" x14ac:dyDescent="0.25">
      <c r="A123" s="351" t="s">
        <v>151</v>
      </c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66"/>
      <c r="AB123" s="66"/>
      <c r="AC123" s="83"/>
    </row>
    <row r="124" spans="1:68" ht="27" customHeight="1" x14ac:dyDescent="0.25">
      <c r="A124" s="63" t="s">
        <v>220</v>
      </c>
      <c r="B124" s="63" t="s">
        <v>221</v>
      </c>
      <c r="C124" s="36">
        <v>4301135826</v>
      </c>
      <c r="D124" s="352">
        <v>4620207490983</v>
      </c>
      <c r="E124" s="352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4"/>
      <c r="R124" s="354"/>
      <c r="S124" s="354"/>
      <c r="T124" s="355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4"/>
      <c r="B125" s="364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5"/>
      <c r="P125" s="361" t="s">
        <v>40</v>
      </c>
      <c r="Q125" s="362"/>
      <c r="R125" s="362"/>
      <c r="S125" s="362"/>
      <c r="T125" s="362"/>
      <c r="U125" s="362"/>
      <c r="V125" s="363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4"/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5"/>
      <c r="P126" s="361" t="s">
        <v>40</v>
      </c>
      <c r="Q126" s="362"/>
      <c r="R126" s="362"/>
      <c r="S126" s="362"/>
      <c r="T126" s="362"/>
      <c r="U126" s="362"/>
      <c r="V126" s="363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51" t="s">
        <v>223</v>
      </c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352">
        <v>4620207491140</v>
      </c>
      <c r="E128" s="352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4"/>
      <c r="R128" s="354"/>
      <c r="S128" s="354"/>
      <c r="T128" s="355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4"/>
      <c r="B129" s="364"/>
      <c r="C129" s="364"/>
      <c r="D129" s="364"/>
      <c r="E129" s="364"/>
      <c r="F129" s="364"/>
      <c r="G129" s="364"/>
      <c r="H129" s="364"/>
      <c r="I129" s="364"/>
      <c r="J129" s="364"/>
      <c r="K129" s="364"/>
      <c r="L129" s="364"/>
      <c r="M129" s="364"/>
      <c r="N129" s="364"/>
      <c r="O129" s="365"/>
      <c r="P129" s="361" t="s">
        <v>40</v>
      </c>
      <c r="Q129" s="362"/>
      <c r="R129" s="362"/>
      <c r="S129" s="362"/>
      <c r="T129" s="362"/>
      <c r="U129" s="362"/>
      <c r="V129" s="363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4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1" t="s">
        <v>40</v>
      </c>
      <c r="Q130" s="362"/>
      <c r="R130" s="362"/>
      <c r="S130" s="362"/>
      <c r="T130" s="362"/>
      <c r="U130" s="362"/>
      <c r="V130" s="363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50" t="s">
        <v>227</v>
      </c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  <c r="AA131" s="65"/>
      <c r="AB131" s="65"/>
      <c r="AC131" s="82"/>
    </row>
    <row r="132" spans="1:68" ht="14.25" customHeight="1" x14ac:dyDescent="0.25">
      <c r="A132" s="351" t="s">
        <v>151</v>
      </c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352">
        <v>4607111034014</v>
      </c>
      <c r="E133" s="352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4"/>
      <c r="R133" s="354"/>
      <c r="S133" s="354"/>
      <c r="T133" s="35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352">
        <v>4607111033994</v>
      </c>
      <c r="E134" s="352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233</v>
      </c>
      <c r="M134" s="38" t="s">
        <v>86</v>
      </c>
      <c r="N134" s="38"/>
      <c r="O134" s="37">
        <v>180</v>
      </c>
      <c r="P134" s="40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4"/>
      <c r="R134" s="354"/>
      <c r="S134" s="354"/>
      <c r="T134" s="355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169</v>
      </c>
      <c r="AG134" s="81"/>
      <c r="AJ134" s="87" t="s">
        <v>234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4"/>
      <c r="B135" s="364"/>
      <c r="C135" s="364"/>
      <c r="D135" s="364"/>
      <c r="E135" s="364"/>
      <c r="F135" s="364"/>
      <c r="G135" s="364"/>
      <c r="H135" s="364"/>
      <c r="I135" s="364"/>
      <c r="J135" s="364"/>
      <c r="K135" s="364"/>
      <c r="L135" s="364"/>
      <c r="M135" s="364"/>
      <c r="N135" s="364"/>
      <c r="O135" s="365"/>
      <c r="P135" s="361" t="s">
        <v>40</v>
      </c>
      <c r="Q135" s="362"/>
      <c r="R135" s="362"/>
      <c r="S135" s="362"/>
      <c r="T135" s="362"/>
      <c r="U135" s="362"/>
      <c r="V135" s="363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4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5"/>
      <c r="P136" s="361" t="s">
        <v>40</v>
      </c>
      <c r="Q136" s="362"/>
      <c r="R136" s="362"/>
      <c r="S136" s="362"/>
      <c r="T136" s="362"/>
      <c r="U136" s="362"/>
      <c r="V136" s="363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50" t="s">
        <v>235</v>
      </c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65"/>
      <c r="AB137" s="65"/>
      <c r="AC137" s="82"/>
    </row>
    <row r="138" spans="1:68" ht="14.25" customHeight="1" x14ac:dyDescent="0.25">
      <c r="A138" s="351" t="s">
        <v>151</v>
      </c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52">
        <v>4607111039095</v>
      </c>
      <c r="E139" s="352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4"/>
      <c r="R139" s="354"/>
      <c r="S139" s="354"/>
      <c r="T139" s="35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52">
        <v>4607111034199</v>
      </c>
      <c r="E140" s="352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1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4"/>
      <c r="R140" s="354"/>
      <c r="S140" s="354"/>
      <c r="T140" s="35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4"/>
      <c r="B141" s="364"/>
      <c r="C141" s="364"/>
      <c r="D141" s="364"/>
      <c r="E141" s="364"/>
      <c r="F141" s="364"/>
      <c r="G141" s="364"/>
      <c r="H141" s="364"/>
      <c r="I141" s="364"/>
      <c r="J141" s="364"/>
      <c r="K141" s="364"/>
      <c r="L141" s="364"/>
      <c r="M141" s="364"/>
      <c r="N141" s="364"/>
      <c r="O141" s="365"/>
      <c r="P141" s="361" t="s">
        <v>40</v>
      </c>
      <c r="Q141" s="362"/>
      <c r="R141" s="362"/>
      <c r="S141" s="362"/>
      <c r="T141" s="362"/>
      <c r="U141" s="362"/>
      <c r="V141" s="363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4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5"/>
      <c r="P142" s="361" t="s">
        <v>40</v>
      </c>
      <c r="Q142" s="362"/>
      <c r="R142" s="362"/>
      <c r="S142" s="362"/>
      <c r="T142" s="362"/>
      <c r="U142" s="362"/>
      <c r="V142" s="363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50" t="s">
        <v>242</v>
      </c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  <c r="AA143" s="65"/>
      <c r="AB143" s="65"/>
      <c r="AC143" s="82"/>
    </row>
    <row r="144" spans="1:68" ht="14.25" customHeight="1" x14ac:dyDescent="0.25">
      <c r="A144" s="351" t="s">
        <v>151</v>
      </c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52">
        <v>4620207490914</v>
      </c>
      <c r="E145" s="352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4"/>
      <c r="R145" s="354"/>
      <c r="S145" s="354"/>
      <c r="T145" s="355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52">
        <v>4620207490853</v>
      </c>
      <c r="E146" s="352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4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4"/>
      <c r="R146" s="354"/>
      <c r="S146" s="354"/>
      <c r="T146" s="355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4"/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5"/>
      <c r="P147" s="361" t="s">
        <v>40</v>
      </c>
      <c r="Q147" s="362"/>
      <c r="R147" s="362"/>
      <c r="S147" s="362"/>
      <c r="T147" s="362"/>
      <c r="U147" s="362"/>
      <c r="V147" s="363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5"/>
      <c r="P148" s="361" t="s">
        <v>40</v>
      </c>
      <c r="Q148" s="362"/>
      <c r="R148" s="362"/>
      <c r="S148" s="362"/>
      <c r="T148" s="362"/>
      <c r="U148" s="362"/>
      <c r="V148" s="363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50" t="s">
        <v>247</v>
      </c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  <c r="Z149" s="350"/>
      <c r="AA149" s="65"/>
      <c r="AB149" s="65"/>
      <c r="AC149" s="82"/>
    </row>
    <row r="150" spans="1:68" ht="14.25" customHeight="1" x14ac:dyDescent="0.25">
      <c r="A150" s="351" t="s">
        <v>151</v>
      </c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52">
        <v>4607111035806</v>
      </c>
      <c r="E151" s="352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1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4"/>
      <c r="R151" s="354"/>
      <c r="S151" s="354"/>
      <c r="T151" s="355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4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5"/>
      <c r="P152" s="361" t="s">
        <v>40</v>
      </c>
      <c r="Q152" s="362"/>
      <c r="R152" s="362"/>
      <c r="S152" s="362"/>
      <c r="T152" s="362"/>
      <c r="U152" s="362"/>
      <c r="V152" s="363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5"/>
      <c r="P153" s="361" t="s">
        <v>40</v>
      </c>
      <c r="Q153" s="362"/>
      <c r="R153" s="362"/>
      <c r="S153" s="362"/>
      <c r="T153" s="362"/>
      <c r="U153" s="362"/>
      <c r="V153" s="363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50" t="s">
        <v>251</v>
      </c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65"/>
      <c r="AB154" s="65"/>
      <c r="AC154" s="82"/>
    </row>
    <row r="155" spans="1:68" ht="14.25" customHeight="1" x14ac:dyDescent="0.25">
      <c r="A155" s="351" t="s">
        <v>151</v>
      </c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52">
        <v>4607111039613</v>
      </c>
      <c r="E156" s="352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41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4"/>
      <c r="R156" s="354"/>
      <c r="S156" s="354"/>
      <c r="T156" s="355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4"/>
      <c r="B157" s="364"/>
      <c r="C157" s="364"/>
      <c r="D157" s="364"/>
      <c r="E157" s="364"/>
      <c r="F157" s="364"/>
      <c r="G157" s="364"/>
      <c r="H157" s="364"/>
      <c r="I157" s="364"/>
      <c r="J157" s="364"/>
      <c r="K157" s="364"/>
      <c r="L157" s="364"/>
      <c r="M157" s="364"/>
      <c r="N157" s="364"/>
      <c r="O157" s="365"/>
      <c r="P157" s="361" t="s">
        <v>40</v>
      </c>
      <c r="Q157" s="362"/>
      <c r="R157" s="362"/>
      <c r="S157" s="362"/>
      <c r="T157" s="362"/>
      <c r="U157" s="362"/>
      <c r="V157" s="363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4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5"/>
      <c r="P158" s="361" t="s">
        <v>40</v>
      </c>
      <c r="Q158" s="362"/>
      <c r="R158" s="362"/>
      <c r="S158" s="362"/>
      <c r="T158" s="362"/>
      <c r="U158" s="362"/>
      <c r="V158" s="363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50" t="s">
        <v>254</v>
      </c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65"/>
      <c r="AB159" s="65"/>
      <c r="AC159" s="82"/>
    </row>
    <row r="160" spans="1:68" ht="14.25" customHeight="1" x14ac:dyDescent="0.25">
      <c r="A160" s="351" t="s">
        <v>223</v>
      </c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52">
        <v>4607111035646</v>
      </c>
      <c r="E161" s="352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88</v>
      </c>
      <c r="M161" s="38" t="s">
        <v>86</v>
      </c>
      <c r="N161" s="38"/>
      <c r="O161" s="37">
        <v>180</v>
      </c>
      <c r="P161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4"/>
      <c r="R161" s="354"/>
      <c r="S161" s="354"/>
      <c r="T161" s="355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89</v>
      </c>
      <c r="AK161" s="87">
        <v>1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4"/>
      <c r="B162" s="364"/>
      <c r="C162" s="364"/>
      <c r="D162" s="364"/>
      <c r="E162" s="364"/>
      <c r="F162" s="364"/>
      <c r="G162" s="364"/>
      <c r="H162" s="364"/>
      <c r="I162" s="364"/>
      <c r="J162" s="364"/>
      <c r="K162" s="364"/>
      <c r="L162" s="364"/>
      <c r="M162" s="364"/>
      <c r="N162" s="364"/>
      <c r="O162" s="365"/>
      <c r="P162" s="361" t="s">
        <v>40</v>
      </c>
      <c r="Q162" s="362"/>
      <c r="R162" s="362"/>
      <c r="S162" s="362"/>
      <c r="T162" s="362"/>
      <c r="U162" s="362"/>
      <c r="V162" s="363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4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5"/>
      <c r="P163" s="361" t="s">
        <v>40</v>
      </c>
      <c r="Q163" s="362"/>
      <c r="R163" s="362"/>
      <c r="S163" s="362"/>
      <c r="T163" s="362"/>
      <c r="U163" s="362"/>
      <c r="V163" s="363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50" t="s">
        <v>259</v>
      </c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65"/>
      <c r="AB164" s="65"/>
      <c r="AC164" s="82"/>
    </row>
    <row r="165" spans="1:68" ht="14.25" customHeight="1" x14ac:dyDescent="0.25">
      <c r="A165" s="351" t="s">
        <v>151</v>
      </c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52">
        <v>4607111036568</v>
      </c>
      <c r="E166" s="352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4"/>
      <c r="R166" s="354"/>
      <c r="S166" s="354"/>
      <c r="T166" s="355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4"/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5"/>
      <c r="P167" s="361" t="s">
        <v>40</v>
      </c>
      <c r="Q167" s="362"/>
      <c r="R167" s="362"/>
      <c r="S167" s="362"/>
      <c r="T167" s="362"/>
      <c r="U167" s="362"/>
      <c r="V167" s="363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4"/>
      <c r="B168" s="364"/>
      <c r="C168" s="364"/>
      <c r="D168" s="364"/>
      <c r="E168" s="364"/>
      <c r="F168" s="364"/>
      <c r="G168" s="364"/>
      <c r="H168" s="364"/>
      <c r="I168" s="364"/>
      <c r="J168" s="364"/>
      <c r="K168" s="364"/>
      <c r="L168" s="364"/>
      <c r="M168" s="364"/>
      <c r="N168" s="364"/>
      <c r="O168" s="365"/>
      <c r="P168" s="361" t="s">
        <v>40</v>
      </c>
      <c r="Q168" s="362"/>
      <c r="R168" s="362"/>
      <c r="S168" s="362"/>
      <c r="T168" s="362"/>
      <c r="U168" s="362"/>
      <c r="V168" s="363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9" t="s">
        <v>263</v>
      </c>
      <c r="B169" s="349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54"/>
      <c r="AB169" s="54"/>
      <c r="AC169" s="54"/>
    </row>
    <row r="170" spans="1:68" ht="16.5" customHeight="1" x14ac:dyDescent="0.25">
      <c r="A170" s="350" t="s">
        <v>264</v>
      </c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65"/>
      <c r="AB170" s="65"/>
      <c r="AC170" s="82"/>
    </row>
    <row r="171" spans="1:68" ht="14.25" customHeight="1" x14ac:dyDescent="0.25">
      <c r="A171" s="351" t="s">
        <v>82</v>
      </c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52">
        <v>4607111036384</v>
      </c>
      <c r="E172" s="352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4"/>
      <c r="R172" s="354"/>
      <c r="S172" s="354"/>
      <c r="T172" s="355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52">
        <v>4607111036216</v>
      </c>
      <c r="E173" s="352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4"/>
      <c r="R173" s="354"/>
      <c r="S173" s="354"/>
      <c r="T173" s="35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4"/>
      <c r="B174" s="364"/>
      <c r="C174" s="364"/>
      <c r="D174" s="364"/>
      <c r="E174" s="364"/>
      <c r="F174" s="364"/>
      <c r="G174" s="364"/>
      <c r="H174" s="364"/>
      <c r="I174" s="364"/>
      <c r="J174" s="364"/>
      <c r="K174" s="364"/>
      <c r="L174" s="364"/>
      <c r="M174" s="364"/>
      <c r="N174" s="364"/>
      <c r="O174" s="365"/>
      <c r="P174" s="361" t="s">
        <v>40</v>
      </c>
      <c r="Q174" s="362"/>
      <c r="R174" s="362"/>
      <c r="S174" s="362"/>
      <c r="T174" s="362"/>
      <c r="U174" s="362"/>
      <c r="V174" s="363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4"/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5"/>
      <c r="P175" s="361" t="s">
        <v>40</v>
      </c>
      <c r="Q175" s="362"/>
      <c r="R175" s="362"/>
      <c r="S175" s="362"/>
      <c r="T175" s="362"/>
      <c r="U175" s="362"/>
      <c r="V175" s="363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14.25" customHeight="1" x14ac:dyDescent="0.25">
      <c r="A176" s="351" t="s">
        <v>271</v>
      </c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66"/>
      <c r="AB176" s="66"/>
      <c r="AC176" s="83"/>
    </row>
    <row r="177" spans="1:68" ht="27" customHeight="1" x14ac:dyDescent="0.25">
      <c r="A177" s="63" t="s">
        <v>272</v>
      </c>
      <c r="B177" s="63" t="s">
        <v>273</v>
      </c>
      <c r="C177" s="36">
        <v>4301080153</v>
      </c>
      <c r="D177" s="352">
        <v>4607111036827</v>
      </c>
      <c r="E177" s="352"/>
      <c r="F177" s="62">
        <v>1</v>
      </c>
      <c r="G177" s="37">
        <v>5</v>
      </c>
      <c r="H177" s="62">
        <v>5</v>
      </c>
      <c r="I177" s="62">
        <v>5.2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54"/>
      <c r="R177" s="354"/>
      <c r="S177" s="354"/>
      <c r="T177" s="355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274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4301080154</v>
      </c>
      <c r="D178" s="352">
        <v>4607111036834</v>
      </c>
      <c r="E178" s="352"/>
      <c r="F178" s="62">
        <v>1</v>
      </c>
      <c r="G178" s="37">
        <v>5</v>
      </c>
      <c r="H178" s="62">
        <v>5</v>
      </c>
      <c r="I178" s="62">
        <v>5.2530000000000001</v>
      </c>
      <c r="J178" s="37">
        <v>144</v>
      </c>
      <c r="K178" s="37" t="s">
        <v>87</v>
      </c>
      <c r="L178" s="37" t="s">
        <v>88</v>
      </c>
      <c r="M178" s="38" t="s">
        <v>86</v>
      </c>
      <c r="N178" s="38"/>
      <c r="O178" s="37">
        <v>90</v>
      </c>
      <c r="P178" s="42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54"/>
      <c r="R178" s="354"/>
      <c r="S178" s="354"/>
      <c r="T178" s="355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274</v>
      </c>
      <c r="AG178" s="81"/>
      <c r="AJ178" s="87" t="s">
        <v>89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64"/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5"/>
      <c r="P179" s="361" t="s">
        <v>40</v>
      </c>
      <c r="Q179" s="362"/>
      <c r="R179" s="362"/>
      <c r="S179" s="362"/>
      <c r="T179" s="362"/>
      <c r="U179" s="362"/>
      <c r="V179" s="363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364"/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5"/>
      <c r="P180" s="361" t="s">
        <v>40</v>
      </c>
      <c r="Q180" s="362"/>
      <c r="R180" s="362"/>
      <c r="S180" s="362"/>
      <c r="T180" s="362"/>
      <c r="U180" s="362"/>
      <c r="V180" s="363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27.75" customHeight="1" x14ac:dyDescent="0.2">
      <c r="A181" s="349" t="s">
        <v>277</v>
      </c>
      <c r="B181" s="349"/>
      <c r="C181" s="349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54"/>
      <c r="AB181" s="54"/>
      <c r="AC181" s="54"/>
    </row>
    <row r="182" spans="1:68" ht="16.5" customHeight="1" x14ac:dyDescent="0.25">
      <c r="A182" s="350" t="s">
        <v>278</v>
      </c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  <c r="AA182" s="65"/>
      <c r="AB182" s="65"/>
      <c r="AC182" s="82"/>
    </row>
    <row r="183" spans="1:68" ht="14.25" customHeight="1" x14ac:dyDescent="0.25">
      <c r="A183" s="351" t="s">
        <v>107</v>
      </c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66"/>
      <c r="AB183" s="66"/>
      <c r="AC183" s="83"/>
    </row>
    <row r="184" spans="1:68" ht="16.5" customHeight="1" x14ac:dyDescent="0.25">
      <c r="A184" s="63" t="s">
        <v>279</v>
      </c>
      <c r="B184" s="63" t="s">
        <v>280</v>
      </c>
      <c r="C184" s="36">
        <v>4301132179</v>
      </c>
      <c r="D184" s="352">
        <v>4607111035691</v>
      </c>
      <c r="E184" s="352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2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4" s="354"/>
      <c r="R184" s="354"/>
      <c r="S184" s="354"/>
      <c r="T184" s="355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4301132182</v>
      </c>
      <c r="D185" s="352">
        <v>4607111035721</v>
      </c>
      <c r="E185" s="352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365</v>
      </c>
      <c r="P185" s="42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5" s="354"/>
      <c r="R185" s="354"/>
      <c r="S185" s="354"/>
      <c r="T185" s="35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4301132170</v>
      </c>
      <c r="D186" s="352">
        <v>4607111038487</v>
      </c>
      <c r="E186" s="352"/>
      <c r="F186" s="62">
        <v>0.25</v>
      </c>
      <c r="G186" s="37">
        <v>12</v>
      </c>
      <c r="H186" s="62">
        <v>3</v>
      </c>
      <c r="I186" s="62">
        <v>3.7360000000000002</v>
      </c>
      <c r="J186" s="37">
        <v>70</v>
      </c>
      <c r="K186" s="37" t="s">
        <v>112</v>
      </c>
      <c r="L186" s="37" t="s">
        <v>113</v>
      </c>
      <c r="M186" s="38" t="s">
        <v>86</v>
      </c>
      <c r="N186" s="38"/>
      <c r="O186" s="37">
        <v>180</v>
      </c>
      <c r="P186" s="42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54"/>
      <c r="R186" s="354"/>
      <c r="S186" s="354"/>
      <c r="T186" s="355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114</v>
      </c>
      <c r="AK186" s="87">
        <v>14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4301132243</v>
      </c>
      <c r="D187" s="352">
        <v>4620207491195</v>
      </c>
      <c r="E187" s="352"/>
      <c r="F187" s="62">
        <v>0.23</v>
      </c>
      <c r="G187" s="37">
        <v>12</v>
      </c>
      <c r="H187" s="62">
        <v>2.76</v>
      </c>
      <c r="I187" s="62">
        <v>3.1480000000000001</v>
      </c>
      <c r="J187" s="37">
        <v>70</v>
      </c>
      <c r="K187" s="37" t="s">
        <v>112</v>
      </c>
      <c r="L187" s="37" t="s">
        <v>88</v>
      </c>
      <c r="M187" s="38" t="s">
        <v>86</v>
      </c>
      <c r="N187" s="38"/>
      <c r="O187" s="37">
        <v>180</v>
      </c>
      <c r="P187" s="4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7" s="354"/>
      <c r="R187" s="354"/>
      <c r="S187" s="354"/>
      <c r="T187" s="35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89</v>
      </c>
      <c r="AK187" s="87">
        <v>1</v>
      </c>
      <c r="BB187" s="218" t="s">
        <v>111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4"/>
      <c r="B188" s="364"/>
      <c r="C188" s="364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4"/>
      <c r="O188" s="365"/>
      <c r="P188" s="361" t="s">
        <v>40</v>
      </c>
      <c r="Q188" s="362"/>
      <c r="R188" s="362"/>
      <c r="S188" s="362"/>
      <c r="T188" s="362"/>
      <c r="U188" s="362"/>
      <c r="V188" s="363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64"/>
      <c r="B189" s="364"/>
      <c r="C189" s="364"/>
      <c r="D189" s="364"/>
      <c r="E189" s="364"/>
      <c r="F189" s="364"/>
      <c r="G189" s="364"/>
      <c r="H189" s="364"/>
      <c r="I189" s="364"/>
      <c r="J189" s="364"/>
      <c r="K189" s="364"/>
      <c r="L189" s="364"/>
      <c r="M189" s="364"/>
      <c r="N189" s="364"/>
      <c r="O189" s="365"/>
      <c r="P189" s="361" t="s">
        <v>40</v>
      </c>
      <c r="Q189" s="362"/>
      <c r="R189" s="362"/>
      <c r="S189" s="362"/>
      <c r="T189" s="362"/>
      <c r="U189" s="362"/>
      <c r="V189" s="363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4.25" customHeight="1" x14ac:dyDescent="0.25">
      <c r="A190" s="351" t="s">
        <v>291</v>
      </c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4301051855</v>
      </c>
      <c r="D191" s="352">
        <v>4680115885875</v>
      </c>
      <c r="E191" s="352"/>
      <c r="F191" s="62">
        <v>1</v>
      </c>
      <c r="G191" s="37">
        <v>9</v>
      </c>
      <c r="H191" s="62">
        <v>9</v>
      </c>
      <c r="I191" s="62">
        <v>9.41</v>
      </c>
      <c r="J191" s="37">
        <v>64</v>
      </c>
      <c r="K191" s="37" t="s">
        <v>298</v>
      </c>
      <c r="L191" s="37" t="s">
        <v>88</v>
      </c>
      <c r="M191" s="38" t="s">
        <v>297</v>
      </c>
      <c r="N191" s="38"/>
      <c r="O191" s="37">
        <v>365</v>
      </c>
      <c r="P191" s="425" t="s">
        <v>294</v>
      </c>
      <c r="Q191" s="354"/>
      <c r="R191" s="354"/>
      <c r="S191" s="354"/>
      <c r="T191" s="355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IFERROR(IF(X191="","",X191*0.01898),"")</f>
        <v>0</v>
      </c>
      <c r="AA191" s="68" t="s">
        <v>46</v>
      </c>
      <c r="AB191" s="69" t="s">
        <v>46</v>
      </c>
      <c r="AC191" s="219" t="s">
        <v>295</v>
      </c>
      <c r="AG191" s="81"/>
      <c r="AJ191" s="87" t="s">
        <v>89</v>
      </c>
      <c r="AK191" s="87">
        <v>1</v>
      </c>
      <c r="BB191" s="220" t="s">
        <v>296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4"/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5"/>
      <c r="P192" s="361" t="s">
        <v>40</v>
      </c>
      <c r="Q192" s="362"/>
      <c r="R192" s="362"/>
      <c r="S192" s="362"/>
      <c r="T192" s="362"/>
      <c r="U192" s="362"/>
      <c r="V192" s="363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4"/>
      <c r="B193" s="364"/>
      <c r="C193" s="364"/>
      <c r="D193" s="364"/>
      <c r="E193" s="364"/>
      <c r="F193" s="364"/>
      <c r="G193" s="364"/>
      <c r="H193" s="364"/>
      <c r="I193" s="364"/>
      <c r="J193" s="364"/>
      <c r="K193" s="364"/>
      <c r="L193" s="364"/>
      <c r="M193" s="364"/>
      <c r="N193" s="364"/>
      <c r="O193" s="365"/>
      <c r="P193" s="361" t="s">
        <v>40</v>
      </c>
      <c r="Q193" s="362"/>
      <c r="R193" s="362"/>
      <c r="S193" s="362"/>
      <c r="T193" s="362"/>
      <c r="U193" s="362"/>
      <c r="V193" s="363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49" t="s">
        <v>299</v>
      </c>
      <c r="B194" s="349"/>
      <c r="C194" s="349"/>
      <c r="D194" s="349"/>
      <c r="E194" s="349"/>
      <c r="F194" s="349"/>
      <c r="G194" s="349"/>
      <c r="H194" s="349"/>
      <c r="I194" s="349"/>
      <c r="J194" s="349"/>
      <c r="K194" s="349"/>
      <c r="L194" s="349"/>
      <c r="M194" s="349"/>
      <c r="N194" s="349"/>
      <c r="O194" s="349"/>
      <c r="P194" s="349"/>
      <c r="Q194" s="349"/>
      <c r="R194" s="349"/>
      <c r="S194" s="349"/>
      <c r="T194" s="349"/>
      <c r="U194" s="349"/>
      <c r="V194" s="349"/>
      <c r="W194" s="349"/>
      <c r="X194" s="349"/>
      <c r="Y194" s="349"/>
      <c r="Z194" s="349"/>
      <c r="AA194" s="54"/>
      <c r="AB194" s="54"/>
      <c r="AC194" s="54"/>
    </row>
    <row r="195" spans="1:68" ht="16.5" customHeight="1" x14ac:dyDescent="0.25">
      <c r="A195" s="350" t="s">
        <v>300</v>
      </c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  <c r="AA195" s="65"/>
      <c r="AB195" s="65"/>
      <c r="AC195" s="82"/>
    </row>
    <row r="196" spans="1:68" ht="14.25" customHeight="1" x14ac:dyDescent="0.25">
      <c r="A196" s="351" t="s">
        <v>107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4301132227</v>
      </c>
      <c r="D197" s="352">
        <v>4620207491133</v>
      </c>
      <c r="E197" s="352"/>
      <c r="F197" s="62">
        <v>0.23</v>
      </c>
      <c r="G197" s="37">
        <v>12</v>
      </c>
      <c r="H197" s="62">
        <v>2.76</v>
      </c>
      <c r="I197" s="62">
        <v>2.98</v>
      </c>
      <c r="J197" s="37">
        <v>70</v>
      </c>
      <c r="K197" s="37" t="s">
        <v>112</v>
      </c>
      <c r="L197" s="37" t="s">
        <v>113</v>
      </c>
      <c r="M197" s="38" t="s">
        <v>86</v>
      </c>
      <c r="N197" s="38"/>
      <c r="O197" s="37">
        <v>180</v>
      </c>
      <c r="P197" s="4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4"/>
      <c r="R197" s="354"/>
      <c r="S197" s="354"/>
      <c r="T197" s="355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114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64"/>
      <c r="B198" s="364"/>
      <c r="C198" s="364"/>
      <c r="D198" s="364"/>
      <c r="E198" s="364"/>
      <c r="F198" s="364"/>
      <c r="G198" s="364"/>
      <c r="H198" s="364"/>
      <c r="I198" s="364"/>
      <c r="J198" s="364"/>
      <c r="K198" s="364"/>
      <c r="L198" s="364"/>
      <c r="M198" s="364"/>
      <c r="N198" s="364"/>
      <c r="O198" s="365"/>
      <c r="P198" s="361" t="s">
        <v>40</v>
      </c>
      <c r="Q198" s="362"/>
      <c r="R198" s="362"/>
      <c r="S198" s="362"/>
      <c r="T198" s="362"/>
      <c r="U198" s="362"/>
      <c r="V198" s="363"/>
      <c r="W198" s="42" t="s">
        <v>39</v>
      </c>
      <c r="X198" s="43">
        <f>IFERROR(SUM(X197:X197),"0")</f>
        <v>0</v>
      </c>
      <c r="Y198" s="43">
        <f>IFERROR(SUM(Y197:Y197),"0")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364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1" t="s">
        <v>40</v>
      </c>
      <c r="Q199" s="362"/>
      <c r="R199" s="362"/>
      <c r="S199" s="362"/>
      <c r="T199" s="362"/>
      <c r="U199" s="362"/>
      <c r="V199" s="363"/>
      <c r="W199" s="42" t="s">
        <v>0</v>
      </c>
      <c r="X199" s="43">
        <f>IFERROR(SUMPRODUCT(X197:X197*H197:H197),"0")</f>
        <v>0</v>
      </c>
      <c r="Y199" s="43">
        <f>IFERROR(SUMPRODUCT(Y197:Y197*H197:H197),"0")</f>
        <v>0</v>
      </c>
      <c r="Z199" s="42"/>
      <c r="AA199" s="67"/>
      <c r="AB199" s="67"/>
      <c r="AC199" s="67"/>
    </row>
    <row r="200" spans="1:68" ht="14.25" customHeight="1" x14ac:dyDescent="0.25">
      <c r="A200" s="351" t="s">
        <v>151</v>
      </c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4301135834</v>
      </c>
      <c r="D201" s="352">
        <v>4620207491188</v>
      </c>
      <c r="E201" s="352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4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4"/>
      <c r="R201" s="354"/>
      <c r="S201" s="354"/>
      <c r="T201" s="355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89</v>
      </c>
      <c r="AK201" s="87">
        <v>1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4301135707</v>
      </c>
      <c r="D202" s="352">
        <v>4620207490198</v>
      </c>
      <c r="E202" s="352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113</v>
      </c>
      <c r="M202" s="38" t="s">
        <v>86</v>
      </c>
      <c r="N202" s="38"/>
      <c r="O202" s="37">
        <v>180</v>
      </c>
      <c r="P202" s="4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4"/>
      <c r="R202" s="354"/>
      <c r="S202" s="354"/>
      <c r="T202" s="355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114</v>
      </c>
      <c r="AK202" s="87">
        <v>14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4301135829</v>
      </c>
      <c r="D203" s="352">
        <v>4620207490235</v>
      </c>
      <c r="E203" s="352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4"/>
      <c r="R203" s="354"/>
      <c r="S203" s="354"/>
      <c r="T203" s="355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312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313</v>
      </c>
      <c r="B204" s="63" t="s">
        <v>314</v>
      </c>
      <c r="C204" s="36">
        <v>4301135697</v>
      </c>
      <c r="D204" s="352">
        <v>4620207490259</v>
      </c>
      <c r="E204" s="35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112</v>
      </c>
      <c r="L204" s="37" t="s">
        <v>113</v>
      </c>
      <c r="M204" s="38" t="s">
        <v>86</v>
      </c>
      <c r="N204" s="38"/>
      <c r="O204" s="37">
        <v>180</v>
      </c>
      <c r="P204" s="4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4"/>
      <c r="R204" s="354"/>
      <c r="S204" s="354"/>
      <c r="T204" s="35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309</v>
      </c>
      <c r="AG204" s="81"/>
      <c r="AJ204" s="87" t="s">
        <v>114</v>
      </c>
      <c r="AK204" s="87">
        <v>14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4301135681</v>
      </c>
      <c r="D205" s="352">
        <v>4620207490143</v>
      </c>
      <c r="E205" s="352"/>
      <c r="F205" s="62">
        <v>0.22</v>
      </c>
      <c r="G205" s="37">
        <v>12</v>
      </c>
      <c r="H205" s="62">
        <v>2.64</v>
      </c>
      <c r="I205" s="62">
        <v>3.3435999999999999</v>
      </c>
      <c r="J205" s="37">
        <v>70</v>
      </c>
      <c r="K205" s="37" t="s">
        <v>112</v>
      </c>
      <c r="L205" s="37" t="s">
        <v>88</v>
      </c>
      <c r="M205" s="38" t="s">
        <v>86</v>
      </c>
      <c r="N205" s="38"/>
      <c r="O205" s="37">
        <v>180</v>
      </c>
      <c r="P205" s="43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5" s="354"/>
      <c r="R205" s="354"/>
      <c r="S205" s="354"/>
      <c r="T205" s="35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317</v>
      </c>
      <c r="AG205" s="81"/>
      <c r="AJ205" s="87" t="s">
        <v>89</v>
      </c>
      <c r="AK205" s="87">
        <v>1</v>
      </c>
      <c r="BB205" s="232" t="s">
        <v>111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4"/>
      <c r="B206" s="364"/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65"/>
      <c r="P206" s="361" t="s">
        <v>40</v>
      </c>
      <c r="Q206" s="362"/>
      <c r="R206" s="362"/>
      <c r="S206" s="362"/>
      <c r="T206" s="362"/>
      <c r="U206" s="362"/>
      <c r="V206" s="363"/>
      <c r="W206" s="42" t="s">
        <v>39</v>
      </c>
      <c r="X206" s="43">
        <f>IFERROR(SUM(X201:X205),"0")</f>
        <v>0</v>
      </c>
      <c r="Y206" s="43">
        <f>IFERROR(SUM(Y201:Y205),"0")</f>
        <v>0</v>
      </c>
      <c r="Z206" s="43">
        <f>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64"/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5"/>
      <c r="P207" s="361" t="s">
        <v>40</v>
      </c>
      <c r="Q207" s="362"/>
      <c r="R207" s="362"/>
      <c r="S207" s="362"/>
      <c r="T207" s="362"/>
      <c r="U207" s="362"/>
      <c r="V207" s="363"/>
      <c r="W207" s="42" t="s">
        <v>0</v>
      </c>
      <c r="X207" s="43">
        <f>IFERROR(SUMPRODUCT(X201:X205*H201:H205),"0")</f>
        <v>0</v>
      </c>
      <c r="Y207" s="43">
        <f>IFERROR(SUMPRODUCT(Y201:Y205*H201:H205),"0")</f>
        <v>0</v>
      </c>
      <c r="Z207" s="42"/>
      <c r="AA207" s="67"/>
      <c r="AB207" s="67"/>
      <c r="AC207" s="67"/>
    </row>
    <row r="208" spans="1:68" ht="16.5" customHeight="1" x14ac:dyDescent="0.25">
      <c r="A208" s="350" t="s">
        <v>318</v>
      </c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65"/>
      <c r="AB208" s="65"/>
      <c r="AC208" s="82"/>
    </row>
    <row r="209" spans="1:68" ht="14.25" customHeight="1" x14ac:dyDescent="0.25">
      <c r="A209" s="351" t="s">
        <v>82</v>
      </c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66"/>
      <c r="AB209" s="66"/>
      <c r="AC209" s="83"/>
    </row>
    <row r="210" spans="1:68" ht="27" customHeight="1" x14ac:dyDescent="0.25">
      <c r="A210" s="63" t="s">
        <v>319</v>
      </c>
      <c r="B210" s="63" t="s">
        <v>320</v>
      </c>
      <c r="C210" s="36">
        <v>4301071097</v>
      </c>
      <c r="D210" s="352">
        <v>4620207491096</v>
      </c>
      <c r="E210" s="352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87</v>
      </c>
      <c r="L210" s="37" t="s">
        <v>113</v>
      </c>
      <c r="M210" s="38" t="s">
        <v>86</v>
      </c>
      <c r="N210" s="38"/>
      <c r="O210" s="37">
        <v>180</v>
      </c>
      <c r="P21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4"/>
      <c r="R210" s="354"/>
      <c r="S210" s="354"/>
      <c r="T210" s="355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3" t="s">
        <v>321</v>
      </c>
      <c r="AG210" s="81"/>
      <c r="AJ210" s="87" t="s">
        <v>114</v>
      </c>
      <c r="AK210" s="87">
        <v>12</v>
      </c>
      <c r="BB210" s="234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4"/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5"/>
      <c r="P211" s="361" t="s">
        <v>40</v>
      </c>
      <c r="Q211" s="362"/>
      <c r="R211" s="362"/>
      <c r="S211" s="362"/>
      <c r="T211" s="362"/>
      <c r="U211" s="362"/>
      <c r="V211" s="363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4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5"/>
      <c r="P212" s="361" t="s">
        <v>40</v>
      </c>
      <c r="Q212" s="362"/>
      <c r="R212" s="362"/>
      <c r="S212" s="362"/>
      <c r="T212" s="362"/>
      <c r="U212" s="362"/>
      <c r="V212" s="363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50" t="s">
        <v>322</v>
      </c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  <c r="AA213" s="65"/>
      <c r="AB213" s="65"/>
      <c r="AC213" s="82"/>
    </row>
    <row r="214" spans="1:68" ht="14.25" customHeight="1" x14ac:dyDescent="0.25">
      <c r="A214" s="351" t="s">
        <v>151</v>
      </c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66"/>
      <c r="AB214" s="66"/>
      <c r="AC214" s="83"/>
    </row>
    <row r="215" spans="1:68" ht="27" customHeight="1" x14ac:dyDescent="0.25">
      <c r="A215" s="63" t="s">
        <v>323</v>
      </c>
      <c r="B215" s="63" t="s">
        <v>324</v>
      </c>
      <c r="C215" s="36">
        <v>4301135691</v>
      </c>
      <c r="D215" s="352">
        <v>4620207490549</v>
      </c>
      <c r="E215" s="352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3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4"/>
      <c r="R215" s="354"/>
      <c r="S215" s="354"/>
      <c r="T215" s="355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325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326</v>
      </c>
      <c r="B216" s="63" t="s">
        <v>327</v>
      </c>
      <c r="C216" s="36">
        <v>4301135694</v>
      </c>
      <c r="D216" s="352">
        <v>4620207490501</v>
      </c>
      <c r="E216" s="352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112</v>
      </c>
      <c r="L216" s="37" t="s">
        <v>88</v>
      </c>
      <c r="M216" s="38" t="s">
        <v>86</v>
      </c>
      <c r="N216" s="38"/>
      <c r="O216" s="37">
        <v>180</v>
      </c>
      <c r="P216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4"/>
      <c r="R216" s="354"/>
      <c r="S216" s="354"/>
      <c r="T216" s="355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325</v>
      </c>
      <c r="AG216" s="81"/>
      <c r="AJ216" s="87" t="s">
        <v>89</v>
      </c>
      <c r="AK216" s="87">
        <v>1</v>
      </c>
      <c r="BB216" s="238" t="s">
        <v>111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64"/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5"/>
      <c r="P217" s="361" t="s">
        <v>40</v>
      </c>
      <c r="Q217" s="362"/>
      <c r="R217" s="362"/>
      <c r="S217" s="362"/>
      <c r="T217" s="362"/>
      <c r="U217" s="362"/>
      <c r="V217" s="363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64"/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5"/>
      <c r="P218" s="361" t="s">
        <v>40</v>
      </c>
      <c r="Q218" s="362"/>
      <c r="R218" s="362"/>
      <c r="S218" s="362"/>
      <c r="T218" s="362"/>
      <c r="U218" s="362"/>
      <c r="V218" s="363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49" t="s">
        <v>328</v>
      </c>
      <c r="B219" s="349"/>
      <c r="C219" s="349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54"/>
      <c r="AB219" s="54"/>
      <c r="AC219" s="54"/>
    </row>
    <row r="220" spans="1:68" ht="16.5" customHeight="1" x14ac:dyDescent="0.25">
      <c r="A220" s="350" t="s">
        <v>329</v>
      </c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65"/>
      <c r="AB220" s="65"/>
      <c r="AC220" s="82"/>
    </row>
    <row r="221" spans="1:68" ht="14.25" customHeight="1" x14ac:dyDescent="0.25">
      <c r="A221" s="351" t="s">
        <v>82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66"/>
      <c r="AB221" s="66"/>
      <c r="AC221" s="83"/>
    </row>
    <row r="222" spans="1:68" ht="27" customHeight="1" x14ac:dyDescent="0.25">
      <c r="A222" s="63" t="s">
        <v>330</v>
      </c>
      <c r="B222" s="63" t="s">
        <v>331</v>
      </c>
      <c r="C222" s="36">
        <v>4301071036</v>
      </c>
      <c r="D222" s="352">
        <v>4607111036162</v>
      </c>
      <c r="E222" s="352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87</v>
      </c>
      <c r="L222" s="37" t="s">
        <v>88</v>
      </c>
      <c r="M222" s="38" t="s">
        <v>86</v>
      </c>
      <c r="N222" s="38"/>
      <c r="O222" s="37">
        <v>90</v>
      </c>
      <c r="P222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4"/>
      <c r="R222" s="354"/>
      <c r="S222" s="354"/>
      <c r="T222" s="35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9" t="s">
        <v>332</v>
      </c>
      <c r="AG222" s="81"/>
      <c r="AJ222" s="87" t="s">
        <v>89</v>
      </c>
      <c r="AK222" s="87">
        <v>1</v>
      </c>
      <c r="BB222" s="240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4"/>
      <c r="B223" s="364"/>
      <c r="C223" s="364"/>
      <c r="D223" s="364"/>
      <c r="E223" s="364"/>
      <c r="F223" s="364"/>
      <c r="G223" s="364"/>
      <c r="H223" s="364"/>
      <c r="I223" s="364"/>
      <c r="J223" s="364"/>
      <c r="K223" s="364"/>
      <c r="L223" s="364"/>
      <c r="M223" s="364"/>
      <c r="N223" s="364"/>
      <c r="O223" s="365"/>
      <c r="P223" s="361" t="s">
        <v>40</v>
      </c>
      <c r="Q223" s="362"/>
      <c r="R223" s="362"/>
      <c r="S223" s="362"/>
      <c r="T223" s="362"/>
      <c r="U223" s="362"/>
      <c r="V223" s="363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4"/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5"/>
      <c r="P224" s="361" t="s">
        <v>40</v>
      </c>
      <c r="Q224" s="362"/>
      <c r="R224" s="362"/>
      <c r="S224" s="362"/>
      <c r="T224" s="362"/>
      <c r="U224" s="362"/>
      <c r="V224" s="363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49" t="s">
        <v>333</v>
      </c>
      <c r="B225" s="349"/>
      <c r="C225" s="349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54"/>
      <c r="AB225" s="54"/>
      <c r="AC225" s="54"/>
    </row>
    <row r="226" spans="1:68" ht="16.5" customHeight="1" x14ac:dyDescent="0.25">
      <c r="A226" s="350" t="s">
        <v>334</v>
      </c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65"/>
      <c r="AB226" s="65"/>
      <c r="AC226" s="82"/>
    </row>
    <row r="227" spans="1:68" ht="14.25" customHeight="1" x14ac:dyDescent="0.25">
      <c r="A227" s="351" t="s">
        <v>82</v>
      </c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66"/>
      <c r="AB227" s="66"/>
      <c r="AC227" s="83"/>
    </row>
    <row r="228" spans="1:68" ht="27" customHeight="1" x14ac:dyDescent="0.25">
      <c r="A228" s="63" t="s">
        <v>335</v>
      </c>
      <c r="B228" s="63" t="s">
        <v>336</v>
      </c>
      <c r="C228" s="36">
        <v>4301071029</v>
      </c>
      <c r="D228" s="352">
        <v>4607111035899</v>
      </c>
      <c r="E228" s="352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180</v>
      </c>
      <c r="P228" s="43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4"/>
      <c r="R228" s="354"/>
      <c r="S228" s="354"/>
      <c r="T228" s="35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1" t="s">
        <v>270</v>
      </c>
      <c r="AG228" s="81"/>
      <c r="AJ228" s="87" t="s">
        <v>89</v>
      </c>
      <c r="AK228" s="87">
        <v>1</v>
      </c>
      <c r="BB228" s="242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4"/>
      <c r="B229" s="36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5"/>
      <c r="P229" s="361" t="s">
        <v>40</v>
      </c>
      <c r="Q229" s="362"/>
      <c r="R229" s="362"/>
      <c r="S229" s="362"/>
      <c r="T229" s="362"/>
      <c r="U229" s="362"/>
      <c r="V229" s="363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5"/>
      <c r="P230" s="361" t="s">
        <v>40</v>
      </c>
      <c r="Q230" s="362"/>
      <c r="R230" s="362"/>
      <c r="S230" s="362"/>
      <c r="T230" s="362"/>
      <c r="U230" s="362"/>
      <c r="V230" s="363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49" t="s">
        <v>337</v>
      </c>
      <c r="B231" s="34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54"/>
      <c r="AB231" s="54"/>
      <c r="AC231" s="54"/>
    </row>
    <row r="232" spans="1:68" ht="16.5" customHeight="1" x14ac:dyDescent="0.25">
      <c r="A232" s="350" t="s">
        <v>338</v>
      </c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  <c r="AA232" s="65"/>
      <c r="AB232" s="65"/>
      <c r="AC232" s="82"/>
    </row>
    <row r="233" spans="1:68" ht="14.25" customHeight="1" x14ac:dyDescent="0.25">
      <c r="A233" s="351" t="s">
        <v>339</v>
      </c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352">
        <v>4607111039774</v>
      </c>
      <c r="E234" s="35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4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4"/>
      <c r="R234" s="354"/>
      <c r="S234" s="354"/>
      <c r="T234" s="35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342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4"/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5"/>
      <c r="P235" s="361" t="s">
        <v>40</v>
      </c>
      <c r="Q235" s="362"/>
      <c r="R235" s="362"/>
      <c r="S235" s="362"/>
      <c r="T235" s="362"/>
      <c r="U235" s="362"/>
      <c r="V235" s="363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4"/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5"/>
      <c r="P236" s="361" t="s">
        <v>40</v>
      </c>
      <c r="Q236" s="362"/>
      <c r="R236" s="362"/>
      <c r="S236" s="362"/>
      <c r="T236" s="362"/>
      <c r="U236" s="362"/>
      <c r="V236" s="363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51" t="s">
        <v>151</v>
      </c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352">
        <v>4607111039361</v>
      </c>
      <c r="E238" s="35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112</v>
      </c>
      <c r="L238" s="37" t="s">
        <v>88</v>
      </c>
      <c r="M238" s="38" t="s">
        <v>86</v>
      </c>
      <c r="N238" s="38"/>
      <c r="O238" s="37">
        <v>180</v>
      </c>
      <c r="P238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4"/>
      <c r="R238" s="354"/>
      <c r="S238" s="354"/>
      <c r="T238" s="35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5" t="s">
        <v>342</v>
      </c>
      <c r="AG238" s="81"/>
      <c r="AJ238" s="87" t="s">
        <v>89</v>
      </c>
      <c r="AK238" s="87">
        <v>1</v>
      </c>
      <c r="BB238" s="246" t="s">
        <v>111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1" t="s">
        <v>40</v>
      </c>
      <c r="Q239" s="362"/>
      <c r="R239" s="362"/>
      <c r="S239" s="362"/>
      <c r="T239" s="362"/>
      <c r="U239" s="362"/>
      <c r="V239" s="363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64"/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5"/>
      <c r="P240" s="361" t="s">
        <v>40</v>
      </c>
      <c r="Q240" s="362"/>
      <c r="R240" s="362"/>
      <c r="S240" s="362"/>
      <c r="T240" s="362"/>
      <c r="U240" s="362"/>
      <c r="V240" s="363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49" t="s">
        <v>345</v>
      </c>
      <c r="B241" s="349"/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54"/>
      <c r="AB241" s="54"/>
      <c r="AC241" s="54"/>
    </row>
    <row r="242" spans="1:68" ht="16.5" customHeight="1" x14ac:dyDescent="0.25">
      <c r="A242" s="350" t="s">
        <v>345</v>
      </c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  <c r="AA242" s="65"/>
      <c r="AB242" s="65"/>
      <c r="AC242" s="82"/>
    </row>
    <row r="243" spans="1:68" ht="14.25" customHeight="1" x14ac:dyDescent="0.25">
      <c r="A243" s="351" t="s">
        <v>82</v>
      </c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4301071014</v>
      </c>
      <c r="D244" s="352">
        <v>4640242181264</v>
      </c>
      <c r="E244" s="352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43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4"/>
      <c r="R244" s="354"/>
      <c r="S244" s="354"/>
      <c r="T244" s="35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348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349</v>
      </c>
      <c r="B245" s="63" t="s">
        <v>350</v>
      </c>
      <c r="C245" s="36">
        <v>4301071021</v>
      </c>
      <c r="D245" s="352">
        <v>4640242181325</v>
      </c>
      <c r="E245" s="352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4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4"/>
      <c r="R245" s="354"/>
      <c r="S245" s="354"/>
      <c r="T245" s="355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348</v>
      </c>
      <c r="AG245" s="81"/>
      <c r="AJ245" s="87" t="s">
        <v>89</v>
      </c>
      <c r="AK245" s="87">
        <v>1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5"/>
      <c r="P246" s="361" t="s">
        <v>40</v>
      </c>
      <c r="Q246" s="362"/>
      <c r="R246" s="362"/>
      <c r="S246" s="362"/>
      <c r="T246" s="362"/>
      <c r="U246" s="362"/>
      <c r="V246" s="363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364"/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5"/>
      <c r="P247" s="361" t="s">
        <v>40</v>
      </c>
      <c r="Q247" s="362"/>
      <c r="R247" s="362"/>
      <c r="S247" s="362"/>
      <c r="T247" s="362"/>
      <c r="U247" s="362"/>
      <c r="V247" s="363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51" t="s">
        <v>107</v>
      </c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4301132080</v>
      </c>
      <c r="D249" s="352">
        <v>4640242180397</v>
      </c>
      <c r="E249" s="352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4"/>
      <c r="R249" s="354"/>
      <c r="S249" s="354"/>
      <c r="T249" s="355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4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5"/>
      <c r="P250" s="361" t="s">
        <v>40</v>
      </c>
      <c r="Q250" s="362"/>
      <c r="R250" s="362"/>
      <c r="S250" s="362"/>
      <c r="T250" s="362"/>
      <c r="U250" s="362"/>
      <c r="V250" s="363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1" t="s">
        <v>40</v>
      </c>
      <c r="Q251" s="362"/>
      <c r="R251" s="362"/>
      <c r="S251" s="362"/>
      <c r="T251" s="362"/>
      <c r="U251" s="362"/>
      <c r="V251" s="363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51" t="s">
        <v>145</v>
      </c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66"/>
      <c r="AB252" s="66"/>
      <c r="AC252" s="83"/>
    </row>
    <row r="253" spans="1:68" ht="27" customHeight="1" x14ac:dyDescent="0.25">
      <c r="A253" s="63" t="s">
        <v>354</v>
      </c>
      <c r="B253" s="63" t="s">
        <v>355</v>
      </c>
      <c r="C253" s="36">
        <v>4301136051</v>
      </c>
      <c r="D253" s="352">
        <v>4640242180304</v>
      </c>
      <c r="E253" s="352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112</v>
      </c>
      <c r="L253" s="37" t="s">
        <v>113</v>
      </c>
      <c r="M253" s="38" t="s">
        <v>86</v>
      </c>
      <c r="N253" s="38"/>
      <c r="O253" s="37">
        <v>180</v>
      </c>
      <c r="P253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4"/>
      <c r="R253" s="354"/>
      <c r="S253" s="354"/>
      <c r="T253" s="35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356</v>
      </c>
      <c r="AG253" s="81"/>
      <c r="AJ253" s="87" t="s">
        <v>114</v>
      </c>
      <c r="AK253" s="87">
        <v>14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357</v>
      </c>
      <c r="B254" s="63" t="s">
        <v>358</v>
      </c>
      <c r="C254" s="36">
        <v>4301136053</v>
      </c>
      <c r="D254" s="352">
        <v>4640242180236</v>
      </c>
      <c r="E254" s="352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87</v>
      </c>
      <c r="L254" s="37" t="s">
        <v>113</v>
      </c>
      <c r="M254" s="38" t="s">
        <v>86</v>
      </c>
      <c r="N254" s="38"/>
      <c r="O254" s="37">
        <v>180</v>
      </c>
      <c r="P254" s="44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4"/>
      <c r="R254" s="354"/>
      <c r="S254" s="354"/>
      <c r="T254" s="35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356</v>
      </c>
      <c r="AG254" s="81"/>
      <c r="AJ254" s="87" t="s">
        <v>114</v>
      </c>
      <c r="AK254" s="87">
        <v>12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359</v>
      </c>
      <c r="B255" s="63" t="s">
        <v>360</v>
      </c>
      <c r="C255" s="36">
        <v>4301136052</v>
      </c>
      <c r="D255" s="352">
        <v>4640242180410</v>
      </c>
      <c r="E255" s="352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112</v>
      </c>
      <c r="L255" s="37" t="s">
        <v>88</v>
      </c>
      <c r="M255" s="38" t="s">
        <v>86</v>
      </c>
      <c r="N255" s="38"/>
      <c r="O255" s="37">
        <v>180</v>
      </c>
      <c r="P255" s="4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4"/>
      <c r="R255" s="354"/>
      <c r="S255" s="354"/>
      <c r="T255" s="35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356</v>
      </c>
      <c r="AG255" s="81"/>
      <c r="AJ255" s="87" t="s">
        <v>89</v>
      </c>
      <c r="AK255" s="87">
        <v>1</v>
      </c>
      <c r="BB255" s="258" t="s">
        <v>111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4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5"/>
      <c r="P256" s="361" t="s">
        <v>40</v>
      </c>
      <c r="Q256" s="362"/>
      <c r="R256" s="362"/>
      <c r="S256" s="362"/>
      <c r="T256" s="362"/>
      <c r="U256" s="362"/>
      <c r="V256" s="363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1" t="s">
        <v>40</v>
      </c>
      <c r="Q257" s="362"/>
      <c r="R257" s="362"/>
      <c r="S257" s="362"/>
      <c r="T257" s="362"/>
      <c r="U257" s="362"/>
      <c r="V257" s="363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51" t="s">
        <v>151</v>
      </c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66"/>
      <c r="AB258" s="66"/>
      <c r="AC258" s="83"/>
    </row>
    <row r="259" spans="1:68" ht="27" customHeight="1" x14ac:dyDescent="0.25">
      <c r="A259" s="63" t="s">
        <v>361</v>
      </c>
      <c r="B259" s="63" t="s">
        <v>362</v>
      </c>
      <c r="C259" s="36">
        <v>4301135873</v>
      </c>
      <c r="D259" s="352">
        <v>4640242182087</v>
      </c>
      <c r="E259" s="352"/>
      <c r="F259" s="62">
        <v>5</v>
      </c>
      <c r="G259" s="37">
        <v>1</v>
      </c>
      <c r="H259" s="62">
        <v>5</v>
      </c>
      <c r="I259" s="62">
        <v>5.23</v>
      </c>
      <c r="J259" s="37">
        <v>84</v>
      </c>
      <c r="K259" s="37" t="s">
        <v>87</v>
      </c>
      <c r="L259" s="37" t="s">
        <v>88</v>
      </c>
      <c r="M259" s="38" t="s">
        <v>86</v>
      </c>
      <c r="N259" s="38"/>
      <c r="O259" s="37">
        <v>180</v>
      </c>
      <c r="P259" s="445" t="s">
        <v>363</v>
      </c>
      <c r="Q259" s="354"/>
      <c r="R259" s="354"/>
      <c r="S259" s="354"/>
      <c r="T259" s="355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9" si="18">IFERROR(IF(X259="","",X259),"")</f>
        <v>0</v>
      </c>
      <c r="Z259" s="41">
        <f>IFERROR(IF(X259="","",X259*0.0155),"")</f>
        <v>0</v>
      </c>
      <c r="AA259" s="68" t="s">
        <v>46</v>
      </c>
      <c r="AB259" s="69" t="s">
        <v>365</v>
      </c>
      <c r="AC259" s="259" t="s">
        <v>364</v>
      </c>
      <c r="AG259" s="81"/>
      <c r="AJ259" s="87" t="s">
        <v>89</v>
      </c>
      <c r="AK259" s="87">
        <v>1</v>
      </c>
      <c r="BB259" s="260" t="s">
        <v>111</v>
      </c>
      <c r="BM259" s="81">
        <f t="shared" ref="BM259:BM269" si="19">IFERROR(X259*I259,"0")</f>
        <v>0</v>
      </c>
      <c r="BN259" s="81">
        <f t="shared" ref="BN259:BN269" si="20">IFERROR(Y259*I259,"0")</f>
        <v>0</v>
      </c>
      <c r="BO259" s="81">
        <f t="shared" ref="BO259:BO269" si="21">IFERROR(X259/J259,"0")</f>
        <v>0</v>
      </c>
      <c r="BP259" s="81">
        <f t="shared" ref="BP259:BP269" si="22">IFERROR(Y259/J259,"0")</f>
        <v>0</v>
      </c>
    </row>
    <row r="260" spans="1:68" ht="37.5" customHeight="1" x14ac:dyDescent="0.25">
      <c r="A260" s="63" t="s">
        <v>366</v>
      </c>
      <c r="B260" s="63" t="s">
        <v>367</v>
      </c>
      <c r="C260" s="36">
        <v>4301135504</v>
      </c>
      <c r="D260" s="352">
        <v>4640242181554</v>
      </c>
      <c r="E260" s="352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4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354"/>
      <c r="R260" s="354"/>
      <c r="S260" s="354"/>
      <c r="T260" s="355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368</v>
      </c>
      <c r="AG260" s="81"/>
      <c r="AJ260" s="87" t="s">
        <v>89</v>
      </c>
      <c r="AK260" s="87">
        <v>1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369</v>
      </c>
      <c r="B261" s="63" t="s">
        <v>370</v>
      </c>
      <c r="C261" s="36">
        <v>4301135518</v>
      </c>
      <c r="D261" s="352">
        <v>4640242181561</v>
      </c>
      <c r="E261" s="352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4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354"/>
      <c r="R261" s="354"/>
      <c r="S261" s="354"/>
      <c r="T261" s="355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3" t="s">
        <v>364</v>
      </c>
      <c r="AG261" s="81"/>
      <c r="AJ261" s="87" t="s">
        <v>114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371</v>
      </c>
      <c r="B262" s="63" t="s">
        <v>372</v>
      </c>
      <c r="C262" s="36">
        <v>4301135374</v>
      </c>
      <c r="D262" s="352">
        <v>4640242181424</v>
      </c>
      <c r="E262" s="352"/>
      <c r="F262" s="62">
        <v>5.5</v>
      </c>
      <c r="G262" s="37">
        <v>1</v>
      </c>
      <c r="H262" s="62">
        <v>5.5</v>
      </c>
      <c r="I262" s="62">
        <v>5.7350000000000003</v>
      </c>
      <c r="J262" s="37">
        <v>84</v>
      </c>
      <c r="K262" s="37" t="s">
        <v>87</v>
      </c>
      <c r="L262" s="37" t="s">
        <v>113</v>
      </c>
      <c r="M262" s="38" t="s">
        <v>86</v>
      </c>
      <c r="N262" s="38"/>
      <c r="O262" s="37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354"/>
      <c r="R262" s="354"/>
      <c r="S262" s="354"/>
      <c r="T262" s="355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5" t="s">
        <v>368</v>
      </c>
      <c r="AG262" s="81"/>
      <c r="AJ262" s="87" t="s">
        <v>114</v>
      </c>
      <c r="AK262" s="87">
        <v>12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373</v>
      </c>
      <c r="B263" s="63" t="s">
        <v>374</v>
      </c>
      <c r="C263" s="36">
        <v>4301135405</v>
      </c>
      <c r="D263" s="352">
        <v>4640242181523</v>
      </c>
      <c r="E263" s="352"/>
      <c r="F263" s="62">
        <v>3</v>
      </c>
      <c r="G263" s="37">
        <v>1</v>
      </c>
      <c r="H263" s="62">
        <v>3</v>
      </c>
      <c r="I263" s="62">
        <v>3.1920000000000002</v>
      </c>
      <c r="J263" s="37">
        <v>126</v>
      </c>
      <c r="K263" s="37" t="s">
        <v>112</v>
      </c>
      <c r="L263" s="37" t="s">
        <v>113</v>
      </c>
      <c r="M263" s="38" t="s">
        <v>86</v>
      </c>
      <c r="N263" s="38"/>
      <c r="O263" s="37">
        <v>180</v>
      </c>
      <c r="P263" s="44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354"/>
      <c r="R263" s="354"/>
      <c r="S263" s="354"/>
      <c r="T263" s="355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ref="Z263:Z268" si="23">IFERROR(IF(X263="","",X263*0.00936),"")</f>
        <v>0</v>
      </c>
      <c r="AA263" s="68" t="s">
        <v>46</v>
      </c>
      <c r="AB263" s="69" t="s">
        <v>46</v>
      </c>
      <c r="AC263" s="267" t="s">
        <v>364</v>
      </c>
      <c r="AG263" s="81"/>
      <c r="AJ263" s="87" t="s">
        <v>114</v>
      </c>
      <c r="AK263" s="87">
        <v>14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375</v>
      </c>
      <c r="B264" s="63" t="s">
        <v>376</v>
      </c>
      <c r="C264" s="36">
        <v>4301135375</v>
      </c>
      <c r="D264" s="352">
        <v>4640242181486</v>
      </c>
      <c r="E264" s="352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233</v>
      </c>
      <c r="M264" s="38" t="s">
        <v>86</v>
      </c>
      <c r="N264" s="38"/>
      <c r="O264" s="37">
        <v>180</v>
      </c>
      <c r="P264" s="45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354"/>
      <c r="R264" s="354"/>
      <c r="S264" s="354"/>
      <c r="T264" s="355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368</v>
      </c>
      <c r="AG264" s="81"/>
      <c r="AJ264" s="87" t="s">
        <v>234</v>
      </c>
      <c r="AK264" s="87">
        <v>126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377</v>
      </c>
      <c r="B265" s="63" t="s">
        <v>378</v>
      </c>
      <c r="C265" s="36">
        <v>4301135402</v>
      </c>
      <c r="D265" s="352">
        <v>4640242181493</v>
      </c>
      <c r="E265" s="352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112</v>
      </c>
      <c r="L265" s="37" t="s">
        <v>113</v>
      </c>
      <c r="M265" s="38" t="s">
        <v>86</v>
      </c>
      <c r="N265" s="38"/>
      <c r="O265" s="37">
        <v>180</v>
      </c>
      <c r="P265" s="45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354"/>
      <c r="R265" s="354"/>
      <c r="S265" s="354"/>
      <c r="T265" s="355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368</v>
      </c>
      <c r="AG265" s="81"/>
      <c r="AJ265" s="87" t="s">
        <v>114</v>
      </c>
      <c r="AK265" s="87">
        <v>14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37.5" customHeight="1" x14ac:dyDescent="0.25">
      <c r="A266" s="63" t="s">
        <v>379</v>
      </c>
      <c r="B266" s="63" t="s">
        <v>380</v>
      </c>
      <c r="C266" s="36">
        <v>4301135403</v>
      </c>
      <c r="D266" s="352">
        <v>4640242181509</v>
      </c>
      <c r="E266" s="352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5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354"/>
      <c r="R266" s="354"/>
      <c r="S266" s="354"/>
      <c r="T266" s="355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368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381</v>
      </c>
      <c r="B267" s="63" t="s">
        <v>382</v>
      </c>
      <c r="C267" s="36">
        <v>4301135304</v>
      </c>
      <c r="D267" s="352">
        <v>4640242181240</v>
      </c>
      <c r="E267" s="352"/>
      <c r="F267" s="62">
        <v>0.3</v>
      </c>
      <c r="G267" s="37">
        <v>9</v>
      </c>
      <c r="H267" s="62">
        <v>2.7</v>
      </c>
      <c r="I267" s="62">
        <v>2.88</v>
      </c>
      <c r="J267" s="37">
        <v>126</v>
      </c>
      <c r="K267" s="37" t="s">
        <v>112</v>
      </c>
      <c r="L267" s="37" t="s">
        <v>88</v>
      </c>
      <c r="M267" s="38" t="s">
        <v>86</v>
      </c>
      <c r="N267" s="38"/>
      <c r="O267" s="37">
        <v>180</v>
      </c>
      <c r="P267" s="45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354"/>
      <c r="R267" s="354"/>
      <c r="S267" s="354"/>
      <c r="T267" s="355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368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383</v>
      </c>
      <c r="B268" s="63" t="s">
        <v>384</v>
      </c>
      <c r="C268" s="36">
        <v>4301135610</v>
      </c>
      <c r="D268" s="352">
        <v>4640242181318</v>
      </c>
      <c r="E268" s="352"/>
      <c r="F268" s="62">
        <v>0.3</v>
      </c>
      <c r="G268" s="37">
        <v>9</v>
      </c>
      <c r="H268" s="62">
        <v>2.7</v>
      </c>
      <c r="I268" s="62">
        <v>2.988</v>
      </c>
      <c r="J268" s="37">
        <v>126</v>
      </c>
      <c r="K268" s="37" t="s">
        <v>112</v>
      </c>
      <c r="L268" s="37" t="s">
        <v>88</v>
      </c>
      <c r="M268" s="38" t="s">
        <v>86</v>
      </c>
      <c r="N268" s="38"/>
      <c r="O268" s="37">
        <v>180</v>
      </c>
      <c r="P268" s="45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354"/>
      <c r="R268" s="354"/>
      <c r="S268" s="354"/>
      <c r="T268" s="355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7" t="s">
        <v>364</v>
      </c>
      <c r="AG268" s="81"/>
      <c r="AJ268" s="87" t="s">
        <v>89</v>
      </c>
      <c r="AK268" s="87">
        <v>1</v>
      </c>
      <c r="BB268" s="278" t="s">
        <v>111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385</v>
      </c>
      <c r="B269" s="63" t="s">
        <v>386</v>
      </c>
      <c r="C269" s="36">
        <v>4301135306</v>
      </c>
      <c r="D269" s="352">
        <v>4640242181387</v>
      </c>
      <c r="E269" s="352"/>
      <c r="F269" s="62">
        <v>0.3</v>
      </c>
      <c r="G269" s="37">
        <v>9</v>
      </c>
      <c r="H269" s="62">
        <v>2.7</v>
      </c>
      <c r="I269" s="62">
        <v>2.8450000000000002</v>
      </c>
      <c r="J269" s="37">
        <v>234</v>
      </c>
      <c r="K269" s="37" t="s">
        <v>163</v>
      </c>
      <c r="L269" s="37" t="s">
        <v>88</v>
      </c>
      <c r="M269" s="38" t="s">
        <v>86</v>
      </c>
      <c r="N269" s="38"/>
      <c r="O269" s="37">
        <v>180</v>
      </c>
      <c r="P269" s="45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354"/>
      <c r="R269" s="354"/>
      <c r="S269" s="354"/>
      <c r="T269" s="355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IFERROR(IF(X269="","",X269*0.00502),"")</f>
        <v>0</v>
      </c>
      <c r="AA269" s="68" t="s">
        <v>46</v>
      </c>
      <c r="AB269" s="69" t="s">
        <v>46</v>
      </c>
      <c r="AC269" s="279" t="s">
        <v>368</v>
      </c>
      <c r="AG269" s="81"/>
      <c r="AJ269" s="87" t="s">
        <v>89</v>
      </c>
      <c r="AK269" s="87">
        <v>1</v>
      </c>
      <c r="BB269" s="280" t="s">
        <v>111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1" t="s">
        <v>40</v>
      </c>
      <c r="Q270" s="362"/>
      <c r="R270" s="362"/>
      <c r="S270" s="362"/>
      <c r="T270" s="362"/>
      <c r="U270" s="362"/>
      <c r="V270" s="363"/>
      <c r="W270" s="42" t="s">
        <v>39</v>
      </c>
      <c r="X270" s="43">
        <f>IFERROR(SUM(X259:X269),"0")</f>
        <v>0</v>
      </c>
      <c r="Y270" s="43">
        <f>IFERROR(SUM(Y259:Y269),"0")</f>
        <v>0</v>
      </c>
      <c r="Z270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</v>
      </c>
      <c r="AA270" s="67"/>
      <c r="AB270" s="67"/>
      <c r="AC270" s="67"/>
    </row>
    <row r="271" spans="1:68" x14ac:dyDescent="0.2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5"/>
      <c r="P271" s="361" t="s">
        <v>40</v>
      </c>
      <c r="Q271" s="362"/>
      <c r="R271" s="362"/>
      <c r="S271" s="362"/>
      <c r="T271" s="362"/>
      <c r="U271" s="362"/>
      <c r="V271" s="363"/>
      <c r="W271" s="42" t="s">
        <v>0</v>
      </c>
      <c r="X271" s="43">
        <f>IFERROR(SUMPRODUCT(X259:X269*H259:H269),"0")</f>
        <v>0</v>
      </c>
      <c r="Y271" s="43">
        <f>IFERROR(SUMPRODUCT(Y259:Y269*H259:H269),"0")</f>
        <v>0</v>
      </c>
      <c r="Z271" s="42"/>
      <c r="AA271" s="67"/>
      <c r="AB271" s="67"/>
      <c r="AC271" s="67"/>
    </row>
    <row r="272" spans="1:68" ht="15" customHeight="1" x14ac:dyDescent="0.2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459"/>
      <c r="P272" s="456" t="s">
        <v>33</v>
      </c>
      <c r="Q272" s="457"/>
      <c r="R272" s="457"/>
      <c r="S272" s="457"/>
      <c r="T272" s="457"/>
      <c r="U272" s="457"/>
      <c r="V272" s="458"/>
      <c r="W272" s="42" t="s">
        <v>0</v>
      </c>
      <c r="X272" s="43">
        <f>IFERROR(X29+X35+X42+X49+X57+X62+X66+X71+X77+X83+X88+X94+X105+X111+X122+X126+X130+X136+X142+X148+X153+X158+X163+X168+X175+X180+X189+X193+X199+X207+X212+X218+X224+X230+X236+X240+X247+X251+X257+X271,"0")</f>
        <v>0</v>
      </c>
      <c r="Y272" s="43">
        <f>IFERROR(Y29+Y35+Y42+Y49+Y57+Y62+Y66+Y71+Y77+Y83+Y88+Y94+Y105+Y111+Y122+Y126+Y130+Y136+Y142+Y148+Y153+Y158+Y163+Y168+Y175+Y180+Y189+Y193+Y199+Y207+Y212+Y218+Y224+Y230+Y236+Y240+Y247+Y251+Y257+Y271,"0")</f>
        <v>0</v>
      </c>
      <c r="Z272" s="42"/>
      <c r="AA272" s="67"/>
      <c r="AB272" s="67"/>
      <c r="AC272" s="67"/>
    </row>
    <row r="273" spans="1:32" x14ac:dyDescent="0.2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459"/>
      <c r="P273" s="456" t="s">
        <v>34</v>
      </c>
      <c r="Q273" s="457"/>
      <c r="R273" s="457"/>
      <c r="S273" s="457"/>
      <c r="T273" s="457"/>
      <c r="U273" s="457"/>
      <c r="V273" s="458"/>
      <c r="W273" s="42" t="s">
        <v>0</v>
      </c>
      <c r="X273" s="43">
        <f>IFERROR(SUM(BM22:BM269),"0")</f>
        <v>0</v>
      </c>
      <c r="Y273" s="43">
        <f>IFERROR(SUM(BN22:BN269),"0")</f>
        <v>0</v>
      </c>
      <c r="Z273" s="42"/>
      <c r="AA273" s="67"/>
      <c r="AB273" s="67"/>
      <c r="AC273" s="67"/>
    </row>
    <row r="274" spans="1:32" x14ac:dyDescent="0.2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459"/>
      <c r="P274" s="456" t="s">
        <v>35</v>
      </c>
      <c r="Q274" s="457"/>
      <c r="R274" s="457"/>
      <c r="S274" s="457"/>
      <c r="T274" s="457"/>
      <c r="U274" s="457"/>
      <c r="V274" s="458"/>
      <c r="W274" s="42" t="s">
        <v>20</v>
      </c>
      <c r="X274" s="44">
        <f>ROUNDUP(SUM(BO22:BO269),0)</f>
        <v>0</v>
      </c>
      <c r="Y274" s="44">
        <f>ROUNDUP(SUM(BP22:BP269),0)</f>
        <v>0</v>
      </c>
      <c r="Z274" s="42"/>
      <c r="AA274" s="67"/>
      <c r="AB274" s="67"/>
      <c r="AC274" s="67"/>
    </row>
    <row r="275" spans="1:32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459"/>
      <c r="P275" s="456" t="s">
        <v>36</v>
      </c>
      <c r="Q275" s="457"/>
      <c r="R275" s="457"/>
      <c r="S275" s="457"/>
      <c r="T275" s="457"/>
      <c r="U275" s="457"/>
      <c r="V275" s="458"/>
      <c r="W275" s="42" t="s">
        <v>0</v>
      </c>
      <c r="X275" s="43">
        <f>GrossWeightTotal+PalletQtyTotal*25</f>
        <v>0</v>
      </c>
      <c r="Y275" s="43">
        <f>GrossWeightTotalR+PalletQtyTotalR*25</f>
        <v>0</v>
      </c>
      <c r="Z275" s="42"/>
      <c r="AA275" s="67"/>
      <c r="AB275" s="67"/>
      <c r="AC275" s="67"/>
    </row>
    <row r="276" spans="1:32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459"/>
      <c r="P276" s="456" t="s">
        <v>37</v>
      </c>
      <c r="Q276" s="457"/>
      <c r="R276" s="457"/>
      <c r="S276" s="457"/>
      <c r="T276" s="457"/>
      <c r="U276" s="457"/>
      <c r="V276" s="458"/>
      <c r="W276" s="42" t="s">
        <v>20</v>
      </c>
      <c r="X276" s="43">
        <f>IFERROR(X28+X34+X41+X48+X56+X61+X65+X70+X76+X82+X87+X93+X104+X110+X121+X125+X129+X135+X141+X147+X152+X157+X162+X167+X174+X179+X188+X192+X198+X206+X211+X217+X223+X229+X235+X239+X246+X250+X256+X270,"0")</f>
        <v>0</v>
      </c>
      <c r="Y276" s="43">
        <f>IFERROR(Y28+Y34+Y41+Y48+Y56+Y61+Y65+Y70+Y76+Y82+Y87+Y93+Y104+Y110+Y121+Y125+Y129+Y135+Y141+Y147+Y152+Y157+Y162+Y167+Y174+Y179+Y188+Y192+Y198+Y206+Y211+Y217+Y223+Y229+Y235+Y239+Y246+Y250+Y256+Y270,"0")</f>
        <v>0</v>
      </c>
      <c r="Z276" s="42"/>
      <c r="AA276" s="67"/>
      <c r="AB276" s="67"/>
      <c r="AC276" s="67"/>
    </row>
    <row r="277" spans="1:32" ht="14.25" x14ac:dyDescent="0.2">
      <c r="A277" s="364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459"/>
      <c r="P277" s="456" t="s">
        <v>38</v>
      </c>
      <c r="Q277" s="457"/>
      <c r="R277" s="457"/>
      <c r="S277" s="457"/>
      <c r="T277" s="457"/>
      <c r="U277" s="457"/>
      <c r="V277" s="458"/>
      <c r="W277" s="45" t="s">
        <v>52</v>
      </c>
      <c r="X277" s="42"/>
      <c r="Y277" s="42"/>
      <c r="Z277" s="42">
        <f>IFERROR(Z28+Z34+Z41+Z48+Z56+Z61+Z65+Z70+Z76+Z82+Z87+Z93+Z104+Z110+Z121+Z125+Z129+Z135+Z141+Z147+Z152+Z157+Z162+Z167+Z174+Z179+Z188+Z192+Z198+Z206+Z211+Z217+Z223+Z229+Z235+Z239+Z246+Z250+Z256+Z270,"0")</f>
        <v>0</v>
      </c>
      <c r="AA277" s="67"/>
      <c r="AB277" s="67"/>
      <c r="AC277" s="67"/>
    </row>
    <row r="278" spans="1:32" ht="13.5" thickBot="1" x14ac:dyDescent="0.25"/>
    <row r="279" spans="1:32" ht="27" thickTop="1" thickBot="1" x14ac:dyDescent="0.25">
      <c r="A279" s="46" t="s">
        <v>9</v>
      </c>
      <c r="B279" s="462" t="s">
        <v>81</v>
      </c>
      <c r="C279" s="462" t="s">
        <v>81</v>
      </c>
      <c r="D279" s="462" t="s">
        <v>45</v>
      </c>
      <c r="E279" s="462" t="s">
        <v>45</v>
      </c>
      <c r="F279" s="462" t="s">
        <v>45</v>
      </c>
      <c r="G279" s="462" t="s">
        <v>45</v>
      </c>
      <c r="H279" s="462" t="s">
        <v>45</v>
      </c>
      <c r="I279" s="462" t="s">
        <v>45</v>
      </c>
      <c r="J279" s="462" t="s">
        <v>45</v>
      </c>
      <c r="K279" s="462" t="s">
        <v>45</v>
      </c>
      <c r="L279" s="462" t="s">
        <v>45</v>
      </c>
      <c r="M279" s="462" t="s">
        <v>45</v>
      </c>
      <c r="N279" s="463"/>
      <c r="O279" s="462" t="s">
        <v>45</v>
      </c>
      <c r="P279" s="462" t="s">
        <v>45</v>
      </c>
      <c r="Q279" s="462" t="s">
        <v>45</v>
      </c>
      <c r="R279" s="462" t="s">
        <v>45</v>
      </c>
      <c r="S279" s="462" t="s">
        <v>45</v>
      </c>
      <c r="T279" s="462" t="s">
        <v>45</v>
      </c>
      <c r="U279" s="462" t="s">
        <v>45</v>
      </c>
      <c r="V279" s="88" t="s">
        <v>263</v>
      </c>
      <c r="W279" s="88" t="s">
        <v>277</v>
      </c>
      <c r="X279" s="462" t="s">
        <v>299</v>
      </c>
      <c r="Y279" s="462" t="s">
        <v>299</v>
      </c>
      <c r="Z279" s="462" t="s">
        <v>299</v>
      </c>
      <c r="AA279" s="88" t="s">
        <v>328</v>
      </c>
      <c r="AB279" s="88" t="s">
        <v>333</v>
      </c>
      <c r="AC279" s="88" t="s">
        <v>337</v>
      </c>
      <c r="AD279" s="88" t="s">
        <v>345</v>
      </c>
      <c r="AF279" s="1"/>
    </row>
    <row r="280" spans="1:32" ht="14.25" customHeight="1" thickTop="1" x14ac:dyDescent="0.2">
      <c r="A280" s="460" t="s">
        <v>10</v>
      </c>
      <c r="B280" s="462" t="s">
        <v>81</v>
      </c>
      <c r="C280" s="462" t="s">
        <v>100</v>
      </c>
      <c r="D280" s="462" t="s">
        <v>106</v>
      </c>
      <c r="E280" s="462" t="s">
        <v>117</v>
      </c>
      <c r="F280" s="462" t="s">
        <v>127</v>
      </c>
      <c r="G280" s="462" t="s">
        <v>138</v>
      </c>
      <c r="H280" s="462" t="s">
        <v>159</v>
      </c>
      <c r="I280" s="462" t="s">
        <v>166</v>
      </c>
      <c r="J280" s="462" t="s">
        <v>170</v>
      </c>
      <c r="K280" s="462" t="s">
        <v>178</v>
      </c>
      <c r="L280" s="462" t="s">
        <v>196</v>
      </c>
      <c r="M280" s="462" t="s">
        <v>202</v>
      </c>
      <c r="N280" s="1"/>
      <c r="O280" s="462" t="s">
        <v>227</v>
      </c>
      <c r="P280" s="462" t="s">
        <v>235</v>
      </c>
      <c r="Q280" s="462" t="s">
        <v>242</v>
      </c>
      <c r="R280" s="462" t="s">
        <v>247</v>
      </c>
      <c r="S280" s="462" t="s">
        <v>251</v>
      </c>
      <c r="T280" s="462" t="s">
        <v>254</v>
      </c>
      <c r="U280" s="462" t="s">
        <v>259</v>
      </c>
      <c r="V280" s="462" t="s">
        <v>264</v>
      </c>
      <c r="W280" s="462" t="s">
        <v>278</v>
      </c>
      <c r="X280" s="462" t="s">
        <v>300</v>
      </c>
      <c r="Y280" s="462" t="s">
        <v>318</v>
      </c>
      <c r="Z280" s="462" t="s">
        <v>322</v>
      </c>
      <c r="AA280" s="462" t="s">
        <v>329</v>
      </c>
      <c r="AB280" s="462" t="s">
        <v>334</v>
      </c>
      <c r="AC280" s="462" t="s">
        <v>338</v>
      </c>
      <c r="AD280" s="462" t="s">
        <v>345</v>
      </c>
      <c r="AF280" s="1"/>
    </row>
    <row r="281" spans="1:32" ht="13.5" thickBot="1" x14ac:dyDescent="0.25">
      <c r="A281" s="461"/>
      <c r="B281" s="462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1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F281" s="1"/>
    </row>
    <row r="282" spans="1:32" ht="18" thickTop="1" thickBot="1" x14ac:dyDescent="0.25">
      <c r="A282" s="46" t="s">
        <v>13</v>
      </c>
      <c r="B282" s="52">
        <f>IFERROR(X22*H22,"0")+IFERROR(X23*H23,"0")+IFERROR(X24*H24,"0")+IFERROR(X25*H25,"0")+IFERROR(X26*H26,"0")+IFERROR(X27*H27,"0")</f>
        <v>0</v>
      </c>
      <c r="C282" s="52">
        <f>IFERROR(X32*H32,"0")+IFERROR(X33*H33,"0")</f>
        <v>0</v>
      </c>
      <c r="D282" s="52">
        <f>IFERROR(X39*H39,"0")+IFERROR(X40*H40,"0")</f>
        <v>0</v>
      </c>
      <c r="E282" s="52">
        <f>IFERROR(X45*H45,"0")+IFERROR(X46*H46,"0")+IFERROR(X47*H47,"0")</f>
        <v>0</v>
      </c>
      <c r="F282" s="52">
        <f>IFERROR(X52*H52,"0")+IFERROR(X53*H53,"0")+IFERROR(X54*H54,"0")+IFERROR(X55*H55,"0")</f>
        <v>0</v>
      </c>
      <c r="G282" s="52">
        <f>IFERROR(X60*H60,"0")+IFERROR(X64*H64,"0")+IFERROR(X68*H68,"0")+IFERROR(X69*H69,"0")+IFERROR(X73*H73,"0")+IFERROR(X74*H74,"0")+IFERROR(X75*H75,"0")</f>
        <v>0</v>
      </c>
      <c r="H282" s="52">
        <f>IFERROR(X80*H80,"0")+IFERROR(X81*H81,"0")</f>
        <v>0</v>
      </c>
      <c r="I282" s="52">
        <f>IFERROR(X86*H86,"0")</f>
        <v>0</v>
      </c>
      <c r="J282" s="52">
        <f>IFERROR(X91*H91,"0")+IFERROR(X92*H92,"0")</f>
        <v>0</v>
      </c>
      <c r="K282" s="52">
        <f>IFERROR(X97*H97,"0")+IFERROR(X98*H98,"0")+IFERROR(X99*H99,"0")+IFERROR(X100*H100,"0")+IFERROR(X101*H101,"0")+IFERROR(X102*H102,"0")+IFERROR(X103*H103,"0")</f>
        <v>0</v>
      </c>
      <c r="L282" s="52">
        <f>IFERROR(X108*H108,"0")+IFERROR(X109*H109,"0")</f>
        <v>0</v>
      </c>
      <c r="M282" s="52">
        <f>IFERROR(X114*H114,"0")+IFERROR(X115*H115,"0")+IFERROR(X116*H116,"0")+IFERROR(X117*H117,"0")+IFERROR(X118*H118,"0")+IFERROR(X119*H119,"0")+IFERROR(X120*H120,"0")+IFERROR(X124*H124,"0")+IFERROR(X128*H128,"0")</f>
        <v>0</v>
      </c>
      <c r="N282" s="1"/>
      <c r="O282" s="52">
        <f>IFERROR(X133*H133,"0")+IFERROR(X134*H134,"0")</f>
        <v>0</v>
      </c>
      <c r="P282" s="52">
        <f>IFERROR(X139*H139,"0")+IFERROR(X140*H140,"0")</f>
        <v>0</v>
      </c>
      <c r="Q282" s="52">
        <f>IFERROR(X145*H145,"0")+IFERROR(X146*H146,"0")</f>
        <v>0</v>
      </c>
      <c r="R282" s="52">
        <f>IFERROR(X151*H151,"0")</f>
        <v>0</v>
      </c>
      <c r="S282" s="52">
        <f>IFERROR(X156*H156,"0")</f>
        <v>0</v>
      </c>
      <c r="T282" s="52">
        <f>IFERROR(X161*H161,"0")</f>
        <v>0</v>
      </c>
      <c r="U282" s="52">
        <f>IFERROR(X166*H166,"0")</f>
        <v>0</v>
      </c>
      <c r="V282" s="52">
        <f>IFERROR(X172*H172,"0")+IFERROR(X173*H173,"0")+IFERROR(X177*H177,"0")+IFERROR(X178*H178,"0")</f>
        <v>0</v>
      </c>
      <c r="W282" s="52">
        <f>IFERROR(X184*H184,"0")+IFERROR(X185*H185,"0")+IFERROR(X186*H186,"0")+IFERROR(X187*H187,"0")+IFERROR(X191*H191,"0")</f>
        <v>0</v>
      </c>
      <c r="X282" s="52">
        <f>IFERROR(X197*H197,"0")+IFERROR(X201*H201,"0")+IFERROR(X202*H202,"0")+IFERROR(X203*H203,"0")+IFERROR(X204*H204,"0")+IFERROR(X205*H205,"0")</f>
        <v>0</v>
      </c>
      <c r="Y282" s="52">
        <f>IFERROR(X210*H210,"0")</f>
        <v>0</v>
      </c>
      <c r="Z282" s="52">
        <f>IFERROR(X215*H215,"0")+IFERROR(X216*H216,"0")</f>
        <v>0</v>
      </c>
      <c r="AA282" s="52">
        <f>IFERROR(X222*H222,"0")</f>
        <v>0</v>
      </c>
      <c r="AB282" s="52">
        <f>IFERROR(X228*H228,"0")</f>
        <v>0</v>
      </c>
      <c r="AC282" s="52">
        <f>IFERROR(X234*H234,"0")+IFERROR(X238*H238,"0")</f>
        <v>0</v>
      </c>
      <c r="AD282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+IFERROR(X269*H269,"0")</f>
        <v>0</v>
      </c>
      <c r="AF282" s="1"/>
    </row>
    <row r="283" spans="1:32" ht="13.5" thickTop="1" x14ac:dyDescent="0.2">
      <c r="C283" s="1"/>
    </row>
    <row r="284" spans="1:32" ht="19.5" customHeight="1" x14ac:dyDescent="0.2">
      <c r="A284" s="70" t="s">
        <v>62</v>
      </c>
      <c r="B284" s="70" t="s">
        <v>63</v>
      </c>
      <c r="C284" s="70" t="s">
        <v>65</v>
      </c>
    </row>
    <row r="285" spans="1:32" x14ac:dyDescent="0.2">
      <c r="A285" s="71">
        <f>SUMPRODUCT(--(BB:BB="ЗПФ"),--(W:W="кор"),H:H,Y:Y)+SUMPRODUCT(--(BB:BB="ЗПФ"),--(W:W="кг"),Y:Y)</f>
        <v>0</v>
      </c>
      <c r="B285" s="72">
        <f>SUMPRODUCT(--(BB:BB="ПГП"),--(W:W="кор"),H:H,Y:Y)+SUMPRODUCT(--(BB:BB="ПГП"),--(W:W="кг"),Y:Y)</f>
        <v>0</v>
      </c>
      <c r="C285" s="72">
        <f>SUMPRODUCT(--(BB:BB="КИЗ"),--(W:W="кор"),H:H,Y:Y)+SUMPRODUCT(--(BB:BB="КИЗ"),--(W:W="кг"),Y:Y)</f>
        <v>0</v>
      </c>
    </row>
  </sheetData>
  <sheetProtection algorithmName="SHA-512" hashValue="lWnx0l/P9+Jnt4+uluUQDVmeP7paU4K2Awcuo5RyuG+cuFnVSGNcGaEx9e6wL/brX7YMWEDPDnwnjaT1Awgocg==" saltValue="mS81wm2N7KlCBSHSdART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B279:C279"/>
    <mergeCell ref="D279:U279"/>
    <mergeCell ref="X279:Z279"/>
    <mergeCell ref="J280:J281"/>
    <mergeCell ref="K280:K281"/>
    <mergeCell ref="L280:L281"/>
    <mergeCell ref="M280:M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D268:E268"/>
    <mergeCell ref="P268:T268"/>
    <mergeCell ref="D269:E269"/>
    <mergeCell ref="P269:T269"/>
    <mergeCell ref="P270:V270"/>
    <mergeCell ref="A270:O271"/>
    <mergeCell ref="P271:V271"/>
    <mergeCell ref="P272:V272"/>
    <mergeCell ref="A272:O277"/>
    <mergeCell ref="P273:V273"/>
    <mergeCell ref="P274:V274"/>
    <mergeCell ref="P275:V275"/>
    <mergeCell ref="P276:V276"/>
    <mergeCell ref="P277:V277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D185:E185"/>
    <mergeCell ref="P185:T185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6:X269 X259:X260 X255 X244:X245 X238 X234 X228 X222 X215:X216 X205 X203 X201 X191 X187 X177:X178 X172 X161 X145 X139 X128 X124 X118 X115 X103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 X261:X263 X253:X254 X249 X210 X204 X202 X197 X184:X186 X173 X166 X156 X151 X146 X140 X133 X119:X120 X116:X117 X114 X108:X109 X97:X102 X91:X92 X86 X80:X81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4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9"/>
    </row>
    <row r="3" spans="2:8" x14ac:dyDescent="0.2">
      <c r="B3" s="53" t="s">
        <v>388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390</v>
      </c>
      <c r="D6" s="53" t="s">
        <v>391</v>
      </c>
      <c r="E6" s="53" t="s">
        <v>46</v>
      </c>
    </row>
    <row r="8" spans="2:8" x14ac:dyDescent="0.2">
      <c r="B8" s="53" t="s">
        <v>80</v>
      </c>
      <c r="C8" s="53" t="s">
        <v>390</v>
      </c>
      <c r="D8" s="53" t="s">
        <v>46</v>
      </c>
      <c r="E8" s="53" t="s">
        <v>46</v>
      </c>
    </row>
    <row r="10" spans="2:8" x14ac:dyDescent="0.2">
      <c r="B10" s="53" t="s">
        <v>392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402</v>
      </c>
      <c r="C20" s="53" t="s">
        <v>46</v>
      </c>
      <c r="D20" s="53" t="s">
        <v>46</v>
      </c>
      <c r="E20" s="53" t="s">
        <v>46</v>
      </c>
    </row>
  </sheetData>
  <sheetProtection algorithmName="SHA-512" hashValue="AcAa69p/1+OZBaIx0ODKOG0yh/KDJhcnHNYjDgE6WNotp4hhr+mZwa9z6aKMEr+0QGgJclXOkvQJOLQArvkaHQ==" saltValue="qtoOLP7QZRG+MT+CbNwU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426</vt:i4>
      </vt:variant>
    </vt:vector>
  </HeadingPairs>
  <TitlesOfParts>
    <vt:vector size="4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