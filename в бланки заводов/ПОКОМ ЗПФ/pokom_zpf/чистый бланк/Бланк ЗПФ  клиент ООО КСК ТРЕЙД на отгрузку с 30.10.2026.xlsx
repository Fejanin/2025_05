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1540" windowHeight="8916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заказа'!$B$38:$B$38</definedName>
    <definedName name="ProductId100">'Бланк заказа'!$B$274:$B$274</definedName>
    <definedName name="ProductId101">'Бланк заказа'!$B$275:$B$275</definedName>
    <definedName name="ProductId102">'Бланк заказа'!$B$276:$B$276</definedName>
    <definedName name="ProductId103">'Бланк заказа'!$B$277:$B$277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заказа'!$B$53:$B$53</definedName>
    <definedName name="ProductId17">'Бланк заказа'!$B$54:$B$54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заказа'!$B$61:$B$61</definedName>
    <definedName name="ProductId21">'Бланк заказа'!$B$62:$B$62</definedName>
    <definedName name="ProductId22">'Бланк заказа'!$B$67:$B$67</definedName>
    <definedName name="ProductId23">'Бланк заказа'!$B$68:$B$68</definedName>
    <definedName name="ProductId24">'Бланк заказа'!$B$73:$B$73</definedName>
    <definedName name="ProductId25">'Бланк заказа'!$B$78:$B$78</definedName>
    <definedName name="ProductId26">'Бланк заказа'!$B$79:$B$79</definedName>
    <definedName name="ProductId27">'Бланк заказа'!$B$84:$B$84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заказа'!$B$87:$B$87</definedName>
    <definedName name="ProductId31">'Бланк заказа'!$B$88:$B$88</definedName>
    <definedName name="ProductId32">'Бланк заказа'!$B$89:$B$89</definedName>
    <definedName name="ProductId33">'Бланк заказа'!$B$90:$B$90</definedName>
    <definedName name="ProductId34">'Бланк заказа'!$B$91:$B$91</definedName>
    <definedName name="ProductId35">'Бланк заказа'!$B$96:$B$96</definedName>
    <definedName name="ProductId36">'Бланк заказа'!$B$97:$B$97</definedName>
    <definedName name="ProductId37">'Бланк заказа'!$B$102:$B$102</definedName>
    <definedName name="ProductId38">'Бланк заказа'!$B$103:$B$103</definedName>
    <definedName name="ProductId39">'Бланк заказа'!$B$104:$B$104</definedName>
    <definedName name="ProductId4">'Бланк заказа'!$B$25:$B$25</definedName>
    <definedName name="ProductId40">'Бланк заказа'!$B$105:$B$105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заказа'!$B$117:$B$117</definedName>
    <definedName name="ProductId47">'Бланк заказа'!$B$122:$B$122</definedName>
    <definedName name="ProductId48">'Бланк заказа'!$B$126:$B$126</definedName>
    <definedName name="ProductId49">'Бланк заказа'!$B$127:$B$127</definedName>
    <definedName name="ProductId5">'Бланк заказа'!$B$26:$B$26</definedName>
    <definedName name="ProductId50">'Бланк заказа'!$B$128:$B$128</definedName>
    <definedName name="ProductId51">'Бланк заказа'!$B$129:$B$129</definedName>
    <definedName name="ProductId52">'Бланк заказа'!$B$133:$B$133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заказа'!$B$147:$B$147</definedName>
    <definedName name="ProductId59">'Бланк заказа'!$B$148:$B$148</definedName>
    <definedName name="ProductId6">'Бланк заказа'!$B$27:$B$27</definedName>
    <definedName name="ProductId60">'Бланк заказа'!$B$153:$B$153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заказа'!$B$161:$B$161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заказа'!$B$181:$B$181</definedName>
    <definedName name="ProductId69">'Бланк заказа'!$B$182:$B$182</definedName>
    <definedName name="ProductId7">'Бланк заказа'!$B$28:$B$28</definedName>
    <definedName name="ProductId70">'Бланк заказа'!$B$187:$B$187</definedName>
    <definedName name="ProductId71">'Бланк заказа'!$B$188:$B$188</definedName>
    <definedName name="ProductId72">'Бланк заказа'!$B$193:$B$193</definedName>
    <definedName name="ProductId73">'Бланк заказа'!$B$199:$B$199</definedName>
    <definedName name="ProductId74">'Бланк заказа'!$B$200:$B$200</definedName>
    <definedName name="ProductId75">'Бланк заказа'!$B$201:$B$201</definedName>
    <definedName name="ProductId76">'Бланк заказа'!$B$202:$B$202</definedName>
    <definedName name="ProductId77">'Бланк заказа'!$B$208:$B$208</definedName>
    <definedName name="ProductId78">'Бланк заказа'!$B$212:$B$212</definedName>
    <definedName name="ProductId79">'Бланк заказа'!$B$213:$B$213</definedName>
    <definedName name="ProductId8">'Бланк заказа'!$B$29:$B$29</definedName>
    <definedName name="ProductId80">'Бланк заказа'!$B$218:$B$218</definedName>
    <definedName name="ProductId81">'Бланк заказа'!$B$219:$B$219</definedName>
    <definedName name="ProductId82">'Бланк заказа'!$B$224:$B$224</definedName>
    <definedName name="ProductId83">'Бланк заказа'!$B$230:$B$230</definedName>
    <definedName name="ProductId84">'Бланк заказа'!$B$236:$B$236</definedName>
    <definedName name="ProductId85">'Бланк заказа'!$B$240:$B$240</definedName>
    <definedName name="ProductId86">'Бланк заказа'!$B$246:$B$246</definedName>
    <definedName name="ProductId87">'Бланк заказа'!$B$250:$B$250</definedName>
    <definedName name="ProductId88">'Бланк заказа'!$B$256:$B$256</definedName>
    <definedName name="ProductId89">'Бланк заказа'!$B$257:$B$257</definedName>
    <definedName name="ProductId9">'Бланк заказа'!$B$33:$B$33</definedName>
    <definedName name="ProductId90">'Бланк заказа'!$B$261:$B$261</definedName>
    <definedName name="ProductId91">'Бланк заказа'!$B$262:$B$262</definedName>
    <definedName name="ProductId92">'Бланк заказа'!$B$263:$B$263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ductId98">'Бланк заказа'!$B$272:$B$272</definedName>
    <definedName name="ProductId99">'Бланк заказа'!$B$273:$B$273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00">'Бланк заказа'!$X$274:$X$274</definedName>
    <definedName name="SalesQty101">'Бланк заказа'!$X$275:$X$275</definedName>
    <definedName name="SalesQty102">'Бланк заказа'!$X$276:$X$276</definedName>
    <definedName name="SalesQty103">'Бланк заказа'!$X$277:$X$277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заказа'!$X$53:$X$53</definedName>
    <definedName name="SalesQty17">'Бланк заказа'!$X$54:$X$54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заказа'!$X$61:$X$61</definedName>
    <definedName name="SalesQty21">'Бланк заказа'!$X$62:$X$62</definedName>
    <definedName name="SalesQty22">'Бланк заказа'!$X$67:$X$67</definedName>
    <definedName name="SalesQty23">'Бланк заказа'!$X$68:$X$68</definedName>
    <definedName name="SalesQty24">'Бланк заказа'!$X$73:$X$73</definedName>
    <definedName name="SalesQty25">'Бланк заказа'!$X$78:$X$78</definedName>
    <definedName name="SalesQty26">'Бланк заказа'!$X$79:$X$79</definedName>
    <definedName name="SalesQty27">'Бланк заказа'!$X$84:$X$84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заказа'!$X$87:$X$87</definedName>
    <definedName name="SalesQty31">'Бланк заказа'!$X$88:$X$88</definedName>
    <definedName name="SalesQty32">'Бланк заказа'!$X$89:$X$89</definedName>
    <definedName name="SalesQty33">'Бланк заказа'!$X$90:$X$90</definedName>
    <definedName name="SalesQty34">'Бланк заказа'!$X$91:$X$91</definedName>
    <definedName name="SalesQty35">'Бланк заказа'!$X$96:$X$96</definedName>
    <definedName name="SalesQty36">'Бланк заказа'!$X$97:$X$97</definedName>
    <definedName name="SalesQty37">'Бланк заказа'!$X$102:$X$102</definedName>
    <definedName name="SalesQty38">'Бланк заказа'!$X$103:$X$103</definedName>
    <definedName name="SalesQty39">'Бланк заказа'!$X$104:$X$104</definedName>
    <definedName name="SalesQty4">'Бланк заказа'!$X$25:$X$25</definedName>
    <definedName name="SalesQty40">'Бланк заказа'!$X$105:$X$105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заказа'!$X$117:$X$117</definedName>
    <definedName name="SalesQty47">'Бланк заказа'!$X$122:$X$122</definedName>
    <definedName name="SalesQty48">'Бланк заказа'!$X$126:$X$126</definedName>
    <definedName name="SalesQty49">'Бланк заказа'!$X$127:$X$127</definedName>
    <definedName name="SalesQty5">'Бланк заказа'!$X$26:$X$26</definedName>
    <definedName name="SalesQty50">'Бланк заказа'!$X$128:$X$128</definedName>
    <definedName name="SalesQty51">'Бланк заказа'!$X$129:$X$129</definedName>
    <definedName name="SalesQty52">'Бланк заказа'!$X$133:$X$133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заказа'!$X$147:$X$147</definedName>
    <definedName name="SalesQty59">'Бланк заказа'!$X$148:$X$148</definedName>
    <definedName name="SalesQty6">'Бланк заказа'!$X$27:$X$27</definedName>
    <definedName name="SalesQty60">'Бланк заказа'!$X$153:$X$153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заказа'!$X$161:$X$161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заказа'!$X$181:$X$181</definedName>
    <definedName name="SalesQty69">'Бланк заказа'!$X$182:$X$182</definedName>
    <definedName name="SalesQty7">'Бланк заказа'!$X$28:$X$28</definedName>
    <definedName name="SalesQty70">'Бланк заказа'!$X$187:$X$187</definedName>
    <definedName name="SalesQty71">'Бланк заказа'!$X$188:$X$188</definedName>
    <definedName name="SalesQty72">'Бланк заказа'!$X$193:$X$193</definedName>
    <definedName name="SalesQty73">'Бланк заказа'!$X$199:$X$199</definedName>
    <definedName name="SalesQty74">'Бланк заказа'!$X$200:$X$200</definedName>
    <definedName name="SalesQty75">'Бланк заказа'!$X$201:$X$201</definedName>
    <definedName name="SalesQty76">'Бланк заказа'!$X$202:$X$202</definedName>
    <definedName name="SalesQty77">'Бланк заказа'!$X$208:$X$208</definedName>
    <definedName name="SalesQty78">'Бланк заказа'!$X$212:$X$212</definedName>
    <definedName name="SalesQty79">'Бланк заказа'!$X$213:$X$213</definedName>
    <definedName name="SalesQty8">'Бланк заказа'!$X$29:$X$29</definedName>
    <definedName name="SalesQty80">'Бланк заказа'!$X$218:$X$218</definedName>
    <definedName name="SalesQty81">'Бланк заказа'!$X$219:$X$219</definedName>
    <definedName name="SalesQty82">'Бланк заказа'!$X$224:$X$224</definedName>
    <definedName name="SalesQty83">'Бланк заказа'!$X$230:$X$230</definedName>
    <definedName name="SalesQty84">'Бланк заказа'!$X$236:$X$236</definedName>
    <definedName name="SalesQty85">'Бланк заказа'!$X$240:$X$240</definedName>
    <definedName name="SalesQty86">'Бланк заказа'!$X$246:$X$246</definedName>
    <definedName name="SalesQty87">'Бланк заказа'!$X$250:$X$250</definedName>
    <definedName name="SalesQty88">'Бланк заказа'!$X$256:$X$256</definedName>
    <definedName name="SalesQty89">'Бланк заказа'!$X$257:$X$257</definedName>
    <definedName name="SalesQty9">'Бланк заказа'!$X$33:$X$33</definedName>
    <definedName name="SalesQty90">'Бланк заказа'!$X$261:$X$261</definedName>
    <definedName name="SalesQty91">'Бланк заказа'!$X$262:$X$262</definedName>
    <definedName name="SalesQty92">'Бланк заказа'!$X$263:$X$263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Qty98">'Бланк заказа'!$X$272:$X$272</definedName>
    <definedName name="SalesQty99">'Бланк заказа'!$X$273:$X$273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00">'Бланк заказа'!$Y$274:$Y$274</definedName>
    <definedName name="SalesRoundBox101">'Бланк заказа'!$Y$275:$Y$275</definedName>
    <definedName name="SalesRoundBox102">'Бланк заказа'!$Y$276:$Y$276</definedName>
    <definedName name="SalesRoundBox103">'Бланк заказа'!$Y$277:$Y$277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заказа'!$Y$53:$Y$53</definedName>
    <definedName name="SalesRoundBox17">'Бланк заказа'!$Y$54:$Y$54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заказа'!$Y$61:$Y$61</definedName>
    <definedName name="SalesRoundBox21">'Бланк заказа'!$Y$62:$Y$62</definedName>
    <definedName name="SalesRoundBox22">'Бланк заказа'!$Y$67:$Y$67</definedName>
    <definedName name="SalesRoundBox23">'Бланк заказа'!$Y$68:$Y$68</definedName>
    <definedName name="SalesRoundBox24">'Бланк заказа'!$Y$73:$Y$73</definedName>
    <definedName name="SalesRoundBox25">'Бланк заказа'!$Y$78:$Y$78</definedName>
    <definedName name="SalesRoundBox26">'Бланк заказа'!$Y$79:$Y$79</definedName>
    <definedName name="SalesRoundBox27">'Бланк заказа'!$Y$84:$Y$84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заказа'!$Y$87:$Y$87</definedName>
    <definedName name="SalesRoundBox31">'Бланк заказа'!$Y$88:$Y$88</definedName>
    <definedName name="SalesRoundBox32">'Бланк заказа'!$Y$89:$Y$89</definedName>
    <definedName name="SalesRoundBox33">'Бланк заказа'!$Y$90:$Y$90</definedName>
    <definedName name="SalesRoundBox34">'Бланк заказа'!$Y$91:$Y$91</definedName>
    <definedName name="SalesRoundBox35">'Бланк заказа'!$Y$96:$Y$96</definedName>
    <definedName name="SalesRoundBox36">'Бланк заказа'!$Y$97:$Y$97</definedName>
    <definedName name="SalesRoundBox37">'Бланк заказа'!$Y$102:$Y$102</definedName>
    <definedName name="SalesRoundBox38">'Бланк заказа'!$Y$103:$Y$103</definedName>
    <definedName name="SalesRoundBox39">'Бланк заказа'!$Y$104:$Y$104</definedName>
    <definedName name="SalesRoundBox4">'Бланк заказа'!$Y$25:$Y$25</definedName>
    <definedName name="SalesRoundBox40">'Бланк заказа'!$Y$105:$Y$105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заказа'!$Y$117:$Y$117</definedName>
    <definedName name="SalesRoundBox47">'Бланк заказа'!$Y$122:$Y$122</definedName>
    <definedName name="SalesRoundBox48">'Бланк заказа'!$Y$126:$Y$126</definedName>
    <definedName name="SalesRoundBox49">'Бланк заказа'!$Y$127:$Y$127</definedName>
    <definedName name="SalesRoundBox5">'Бланк заказа'!$Y$26:$Y$26</definedName>
    <definedName name="SalesRoundBox50">'Бланк заказа'!$Y$128:$Y$128</definedName>
    <definedName name="SalesRoundBox51">'Бланк заказа'!$Y$129:$Y$129</definedName>
    <definedName name="SalesRoundBox52">'Бланк заказа'!$Y$133:$Y$133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заказа'!$Y$147:$Y$147</definedName>
    <definedName name="SalesRoundBox59">'Бланк заказа'!$Y$148:$Y$148</definedName>
    <definedName name="SalesRoundBox6">'Бланк заказа'!$Y$27:$Y$27</definedName>
    <definedName name="SalesRoundBox60">'Бланк заказа'!$Y$153:$Y$153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заказа'!$Y$161:$Y$161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заказа'!$Y$181:$Y$181</definedName>
    <definedName name="SalesRoundBox69">'Бланк заказа'!$Y$182:$Y$182</definedName>
    <definedName name="SalesRoundBox7">'Бланк заказа'!$Y$28:$Y$28</definedName>
    <definedName name="SalesRoundBox70">'Бланк заказа'!$Y$187:$Y$187</definedName>
    <definedName name="SalesRoundBox71">'Бланк заказа'!$Y$188:$Y$188</definedName>
    <definedName name="SalesRoundBox72">'Бланк заказа'!$Y$193:$Y$193</definedName>
    <definedName name="SalesRoundBox73">'Бланк заказа'!$Y$199:$Y$199</definedName>
    <definedName name="SalesRoundBox74">'Бланк заказа'!$Y$200:$Y$200</definedName>
    <definedName name="SalesRoundBox75">'Бланк заказа'!$Y$201:$Y$201</definedName>
    <definedName name="SalesRoundBox76">'Бланк заказа'!$Y$202:$Y$202</definedName>
    <definedName name="SalesRoundBox77">'Бланк заказа'!$Y$208:$Y$208</definedName>
    <definedName name="SalesRoundBox78">'Бланк заказа'!$Y$212:$Y$212</definedName>
    <definedName name="SalesRoundBox79">'Бланк заказа'!$Y$213:$Y$213</definedName>
    <definedName name="SalesRoundBox8">'Бланк заказа'!$Y$29:$Y$29</definedName>
    <definedName name="SalesRoundBox80">'Бланк заказа'!$Y$218:$Y$218</definedName>
    <definedName name="SalesRoundBox81">'Бланк заказа'!$Y$219:$Y$219</definedName>
    <definedName name="SalesRoundBox82">'Бланк заказа'!$Y$224:$Y$224</definedName>
    <definedName name="SalesRoundBox83">'Бланк заказа'!$Y$230:$Y$230</definedName>
    <definedName name="SalesRoundBox84">'Бланк заказа'!$Y$236:$Y$236</definedName>
    <definedName name="SalesRoundBox85">'Бланк заказа'!$Y$240:$Y$240</definedName>
    <definedName name="SalesRoundBox86">'Бланк заказа'!$Y$246:$Y$246</definedName>
    <definedName name="SalesRoundBox87">'Бланк заказа'!$Y$250:$Y$250</definedName>
    <definedName name="SalesRoundBox88">'Бланк заказа'!$Y$256:$Y$256</definedName>
    <definedName name="SalesRoundBox89">'Бланк заказа'!$Y$257:$Y$257</definedName>
    <definedName name="SalesRoundBox9">'Бланк заказа'!$Y$33:$Y$33</definedName>
    <definedName name="SalesRoundBox90">'Бланк заказа'!$Y$261:$Y$261</definedName>
    <definedName name="SalesRoundBox91">'Бланк заказа'!$Y$262:$Y$262</definedName>
    <definedName name="SalesRoundBox92">'Бланк заказа'!$Y$263:$Y$263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SalesRoundBox98">'Бланк заказа'!$Y$272:$Y$272</definedName>
    <definedName name="SalesRoundBox99">'Бланк заказа'!$Y$273:$Y$273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00">'Бланк заказа'!$W$274:$W$274</definedName>
    <definedName name="UnitOfMeasure101">'Бланк заказа'!$W$275:$W$275</definedName>
    <definedName name="UnitOfMeasure102">'Бланк заказа'!$W$276:$W$276</definedName>
    <definedName name="UnitOfMeasure103">'Бланк заказа'!$W$277:$W$277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заказа'!$W$53:$W$53</definedName>
    <definedName name="UnitOfMeasure17">'Бланк заказа'!$W$54:$W$54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заказа'!$W$61:$W$61</definedName>
    <definedName name="UnitOfMeasure21">'Бланк заказа'!$W$62:$W$62</definedName>
    <definedName name="UnitOfMeasure22">'Бланк заказа'!$W$67:$W$67</definedName>
    <definedName name="UnitOfMeasure23">'Бланк заказа'!$W$68:$W$68</definedName>
    <definedName name="UnitOfMeasure24">'Бланк заказа'!$W$73:$W$73</definedName>
    <definedName name="UnitOfMeasure25">'Бланк заказа'!$W$78:$W$78</definedName>
    <definedName name="UnitOfMeasure26">'Бланк заказа'!$W$79:$W$79</definedName>
    <definedName name="UnitOfMeasure27">'Бланк заказа'!$W$84:$W$84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заказа'!$W$87:$W$87</definedName>
    <definedName name="UnitOfMeasure31">'Бланк заказа'!$W$88:$W$88</definedName>
    <definedName name="UnitOfMeasure32">'Бланк заказа'!$W$89:$W$89</definedName>
    <definedName name="UnitOfMeasure33">'Бланк заказа'!$W$90:$W$90</definedName>
    <definedName name="UnitOfMeasure34">'Бланк заказа'!$W$91:$W$91</definedName>
    <definedName name="UnitOfMeasure35">'Бланк заказа'!$W$96:$W$96</definedName>
    <definedName name="UnitOfMeasure36">'Бланк заказа'!$W$97:$W$97</definedName>
    <definedName name="UnitOfMeasure37">'Бланк заказа'!$W$102:$W$102</definedName>
    <definedName name="UnitOfMeasure38">'Бланк заказа'!$W$103:$W$103</definedName>
    <definedName name="UnitOfMeasure39">'Бланк заказа'!$W$104:$W$104</definedName>
    <definedName name="UnitOfMeasure4">'Бланк заказа'!$W$25:$W$25</definedName>
    <definedName name="UnitOfMeasure40">'Бланк заказа'!$W$105:$W$105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заказа'!$W$117:$W$117</definedName>
    <definedName name="UnitOfMeasure47">'Бланк заказа'!$W$122:$W$122</definedName>
    <definedName name="UnitOfMeasure48">'Бланк заказа'!$W$126:$W$126</definedName>
    <definedName name="UnitOfMeasure49">'Бланк заказа'!$W$127:$W$127</definedName>
    <definedName name="UnitOfMeasure5">'Бланк заказа'!$W$26:$W$26</definedName>
    <definedName name="UnitOfMeasure50">'Бланк заказа'!$W$128:$W$128</definedName>
    <definedName name="UnitOfMeasure51">'Бланк заказа'!$W$129:$W$129</definedName>
    <definedName name="UnitOfMeasure52">'Бланк заказа'!$W$133:$W$133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заказа'!$W$147:$W$147</definedName>
    <definedName name="UnitOfMeasure59">'Бланк заказа'!$W$148:$W$148</definedName>
    <definedName name="UnitOfMeasure6">'Бланк заказа'!$W$27:$W$27</definedName>
    <definedName name="UnitOfMeasure60">'Бланк заказа'!$W$153:$W$153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заказа'!$W$161:$W$161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заказа'!$W$181:$W$181</definedName>
    <definedName name="UnitOfMeasure69">'Бланк заказа'!$W$182:$W$182</definedName>
    <definedName name="UnitOfMeasure7">'Бланк заказа'!$W$28:$W$28</definedName>
    <definedName name="UnitOfMeasure70">'Бланк заказа'!$W$187:$W$187</definedName>
    <definedName name="UnitOfMeasure71">'Бланк заказа'!$W$188:$W$188</definedName>
    <definedName name="UnitOfMeasure72">'Бланк заказа'!$W$193:$W$193</definedName>
    <definedName name="UnitOfMeasure73">'Бланк заказа'!$W$199:$W$199</definedName>
    <definedName name="UnitOfMeasure74">'Бланк заказа'!$W$200:$W$200</definedName>
    <definedName name="UnitOfMeasure75">'Бланк заказа'!$W$201:$W$201</definedName>
    <definedName name="UnitOfMeasure76">'Бланк заказа'!$W$202:$W$202</definedName>
    <definedName name="UnitOfMeasure77">'Бланк заказа'!$W$208:$W$208</definedName>
    <definedName name="UnitOfMeasure78">'Бланк заказа'!$W$212:$W$212</definedName>
    <definedName name="UnitOfMeasure79">'Бланк заказа'!$W$213:$W$213</definedName>
    <definedName name="UnitOfMeasure8">'Бланк заказа'!$W$29:$W$29</definedName>
    <definedName name="UnitOfMeasure80">'Бланк заказа'!$W$218:$W$218</definedName>
    <definedName name="UnitOfMeasure81">'Бланк заказа'!$W$219:$W$219</definedName>
    <definedName name="UnitOfMeasure82">'Бланк заказа'!$W$224:$W$224</definedName>
    <definedName name="UnitOfMeasure83">'Бланк заказа'!$W$230:$W$230</definedName>
    <definedName name="UnitOfMeasure84">'Бланк заказа'!$W$236:$W$236</definedName>
    <definedName name="UnitOfMeasure85">'Бланк заказа'!$W$240:$W$240</definedName>
    <definedName name="UnitOfMeasure86">'Бланк заказа'!$W$246:$W$246</definedName>
    <definedName name="UnitOfMeasure87">'Бланк заказа'!$W$250:$W$250</definedName>
    <definedName name="UnitOfMeasure88">'Бланк заказа'!$W$256:$W$256</definedName>
    <definedName name="UnitOfMeasure89">'Бланк заказа'!$W$257:$W$257</definedName>
    <definedName name="UnitOfMeasure9">'Бланк заказа'!$W$33:$W$33</definedName>
    <definedName name="UnitOfMeasure90">'Бланк заказа'!$W$261:$W$261</definedName>
    <definedName name="UnitOfMeasure91">'Бланк заказа'!$W$262:$W$262</definedName>
    <definedName name="UnitOfMeasure92">'Бланк заказа'!$W$263:$W$263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itOfMeasure98">'Бланк заказа'!$W$272:$W$272</definedName>
    <definedName name="UnitOfMeasure99">'Бланк заказа'!$W$273:$W$273</definedName>
    <definedName name="UnloadAddress">'Бланк заказа'!$D$8</definedName>
    <definedName name="UnloadAdressList0001">Setting!$B$8:$B$8</definedName>
  </definedNames>
  <calcPr calcId="162913"/>
</workbook>
</file>

<file path=xl/calcChain.xml><?xml version="1.0" encoding="utf-8"?>
<calcChain xmlns="http://schemas.openxmlformats.org/spreadsheetml/2006/main">
  <c r="AE290" i="2" l="1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N277" i="2" s="1"/>
  <c r="P277" i="2"/>
  <c r="BP276" i="2"/>
  <c r="BO276" i="2"/>
  <c r="BM276" i="2"/>
  <c r="Z276" i="2"/>
  <c r="Y276" i="2"/>
  <c r="BN276" i="2" s="1"/>
  <c r="BP275" i="2"/>
  <c r="BO275" i="2"/>
  <c r="BM275" i="2"/>
  <c r="Z275" i="2"/>
  <c r="Y275" i="2"/>
  <c r="BN275" i="2" s="1"/>
  <c r="P275" i="2"/>
  <c r="BO274" i="2"/>
  <c r="BM274" i="2"/>
  <c r="Z274" i="2"/>
  <c r="Y274" i="2"/>
  <c r="BP274" i="2" s="1"/>
  <c r="BP273" i="2"/>
  <c r="BO273" i="2"/>
  <c r="BM273" i="2"/>
  <c r="Z273" i="2"/>
  <c r="Y273" i="2"/>
  <c r="BN273" i="2" s="1"/>
  <c r="BO272" i="2"/>
  <c r="BM272" i="2"/>
  <c r="Z272" i="2"/>
  <c r="Y272" i="2"/>
  <c r="BP272" i="2" s="1"/>
  <c r="BO271" i="2"/>
  <c r="BM271" i="2"/>
  <c r="Z271" i="2"/>
  <c r="Y271" i="2"/>
  <c r="BP271" i="2" s="1"/>
  <c r="BP270" i="2"/>
  <c r="BO270" i="2"/>
  <c r="BM270" i="2"/>
  <c r="Z270" i="2"/>
  <c r="Y270" i="2"/>
  <c r="BN270" i="2" s="1"/>
  <c r="BO269" i="2"/>
  <c r="BM269" i="2"/>
  <c r="Z269" i="2"/>
  <c r="Y269" i="2"/>
  <c r="BP269" i="2" s="1"/>
  <c r="BO268" i="2"/>
  <c r="BM268" i="2"/>
  <c r="Z268" i="2"/>
  <c r="Y268" i="2"/>
  <c r="BP268" i="2" s="1"/>
  <c r="BP267" i="2"/>
  <c r="BO267" i="2"/>
  <c r="BM267" i="2"/>
  <c r="Z267" i="2"/>
  <c r="Z278" i="2" s="1"/>
  <c r="Y267" i="2"/>
  <c r="BN267" i="2" s="1"/>
  <c r="X265" i="2"/>
  <c r="X264" i="2"/>
  <c r="BO263" i="2"/>
  <c r="BM263" i="2"/>
  <c r="Z263" i="2"/>
  <c r="Y263" i="2"/>
  <c r="Y265" i="2" s="1"/>
  <c r="BP262" i="2"/>
  <c r="BO262" i="2"/>
  <c r="BM262" i="2"/>
  <c r="Z262" i="2"/>
  <c r="Y262" i="2"/>
  <c r="BN262" i="2" s="1"/>
  <c r="BP261" i="2"/>
  <c r="BO261" i="2"/>
  <c r="BN261" i="2"/>
  <c r="BM261" i="2"/>
  <c r="Z261" i="2"/>
  <c r="Z264" i="2" s="1"/>
  <c r="Y261" i="2"/>
  <c r="Y264" i="2" s="1"/>
  <c r="Y259" i="2"/>
  <c r="X259" i="2"/>
  <c r="Z258" i="2"/>
  <c r="Y258" i="2"/>
  <c r="X258" i="2"/>
  <c r="BP257" i="2"/>
  <c r="BO257" i="2"/>
  <c r="BN257" i="2"/>
  <c r="BM257" i="2"/>
  <c r="Z257" i="2"/>
  <c r="Y257" i="2"/>
  <c r="P257" i="2"/>
  <c r="BP256" i="2"/>
  <c r="BO256" i="2"/>
  <c r="BN256" i="2"/>
  <c r="BM256" i="2"/>
  <c r="Z256" i="2"/>
  <c r="Y256" i="2"/>
  <c r="P256" i="2"/>
  <c r="X252" i="2"/>
  <c r="Z251" i="2"/>
  <c r="X251" i="2"/>
  <c r="BP250" i="2"/>
  <c r="BO250" i="2"/>
  <c r="BM250" i="2"/>
  <c r="Z250" i="2"/>
  <c r="Y250" i="2"/>
  <c r="BN250" i="2" s="1"/>
  <c r="P250" i="2"/>
  <c r="X248" i="2"/>
  <c r="X247" i="2"/>
  <c r="BO246" i="2"/>
  <c r="BM246" i="2"/>
  <c r="Z246" i="2"/>
  <c r="Z247" i="2" s="1"/>
  <c r="Y246" i="2"/>
  <c r="Y248" i="2" s="1"/>
  <c r="P246" i="2"/>
  <c r="Y242" i="2"/>
  <c r="X242" i="2"/>
  <c r="X241" i="2"/>
  <c r="BP240" i="2"/>
  <c r="BO240" i="2"/>
  <c r="BN240" i="2"/>
  <c r="BM240" i="2"/>
  <c r="Z240" i="2"/>
  <c r="Z241" i="2" s="1"/>
  <c r="Y240" i="2"/>
  <c r="Y241" i="2" s="1"/>
  <c r="P240" i="2"/>
  <c r="X238" i="2"/>
  <c r="Z237" i="2"/>
  <c r="X237" i="2"/>
  <c r="BP236" i="2"/>
  <c r="BO236" i="2"/>
  <c r="BM236" i="2"/>
  <c r="Z236" i="2"/>
  <c r="Y236" i="2"/>
  <c r="BN236" i="2" s="1"/>
  <c r="P236" i="2"/>
  <c r="X232" i="2"/>
  <c r="X231" i="2"/>
  <c r="BO230" i="2"/>
  <c r="BM230" i="2"/>
  <c r="Z230" i="2"/>
  <c r="Z231" i="2" s="1"/>
  <c r="Y230" i="2"/>
  <c r="Y232" i="2" s="1"/>
  <c r="P230" i="2"/>
  <c r="Y226" i="2"/>
  <c r="X226" i="2"/>
  <c r="X225" i="2"/>
  <c r="BP224" i="2"/>
  <c r="BO224" i="2"/>
  <c r="BN224" i="2"/>
  <c r="BM224" i="2"/>
  <c r="Z224" i="2"/>
  <c r="Z225" i="2" s="1"/>
  <c r="Y224" i="2"/>
  <c r="Y225" i="2" s="1"/>
  <c r="P224" i="2"/>
  <c r="X221" i="2"/>
  <c r="Z220" i="2"/>
  <c r="X220" i="2"/>
  <c r="BP219" i="2"/>
  <c r="BO219" i="2"/>
  <c r="BM219" i="2"/>
  <c r="Z219" i="2"/>
  <c r="Y219" i="2"/>
  <c r="BN219" i="2" s="1"/>
  <c r="P219" i="2"/>
  <c r="BO218" i="2"/>
  <c r="BM218" i="2"/>
  <c r="Z218" i="2"/>
  <c r="Y218" i="2"/>
  <c r="BP218" i="2" s="1"/>
  <c r="P218" i="2"/>
  <c r="X215" i="2"/>
  <c r="X214" i="2"/>
  <c r="BP213" i="2"/>
  <c r="BO213" i="2"/>
  <c r="BM213" i="2"/>
  <c r="Z213" i="2"/>
  <c r="Z214" i="2" s="1"/>
  <c r="Y213" i="2"/>
  <c r="BN213" i="2" s="1"/>
  <c r="P213" i="2"/>
  <c r="BO212" i="2"/>
  <c r="BM212" i="2"/>
  <c r="Z212" i="2"/>
  <c r="Y212" i="2"/>
  <c r="BP212" i="2" s="1"/>
  <c r="P212" i="2"/>
  <c r="Y210" i="2"/>
  <c r="X210" i="2"/>
  <c r="Y209" i="2"/>
  <c r="X209" i="2"/>
  <c r="BP208" i="2"/>
  <c r="BO208" i="2"/>
  <c r="BM208" i="2"/>
  <c r="Z208" i="2"/>
  <c r="Z209" i="2" s="1"/>
  <c r="Y208" i="2"/>
  <c r="BN208" i="2" s="1"/>
  <c r="P208" i="2"/>
  <c r="X204" i="2"/>
  <c r="X203" i="2"/>
  <c r="BO202" i="2"/>
  <c r="BM202" i="2"/>
  <c r="Z202" i="2"/>
  <c r="Y202" i="2"/>
  <c r="BN202" i="2" s="1"/>
  <c r="P202" i="2"/>
  <c r="BO201" i="2"/>
  <c r="BN201" i="2"/>
  <c r="BM201" i="2"/>
  <c r="Z201" i="2"/>
  <c r="Y201" i="2"/>
  <c r="BP201" i="2" s="1"/>
  <c r="P201" i="2"/>
  <c r="BO200" i="2"/>
  <c r="BM200" i="2"/>
  <c r="Z200" i="2"/>
  <c r="Z203" i="2" s="1"/>
  <c r="Y200" i="2"/>
  <c r="BP200" i="2" s="1"/>
  <c r="P200" i="2"/>
  <c r="BP199" i="2"/>
  <c r="BO199" i="2"/>
  <c r="BN199" i="2"/>
  <c r="BM199" i="2"/>
  <c r="Z199" i="2"/>
  <c r="Y199" i="2"/>
  <c r="Y204" i="2" s="1"/>
  <c r="P199" i="2"/>
  <c r="Y195" i="2"/>
  <c r="X195" i="2"/>
  <c r="X194" i="2"/>
  <c r="BO193" i="2"/>
  <c r="BM193" i="2"/>
  <c r="Z193" i="2"/>
  <c r="Z194" i="2" s="1"/>
  <c r="Y193" i="2"/>
  <c r="Y194" i="2" s="1"/>
  <c r="P193" i="2"/>
  <c r="Y190" i="2"/>
  <c r="X190" i="2"/>
  <c r="X189" i="2"/>
  <c r="BP188" i="2"/>
  <c r="BO188" i="2"/>
  <c r="BN188" i="2"/>
  <c r="BM188" i="2"/>
  <c r="Z188" i="2"/>
  <c r="Y188" i="2"/>
  <c r="P188" i="2"/>
  <c r="BO187" i="2"/>
  <c r="BM187" i="2"/>
  <c r="Z187" i="2"/>
  <c r="Z189" i="2" s="1"/>
  <c r="Y187" i="2"/>
  <c r="Y189" i="2" s="1"/>
  <c r="P187" i="2"/>
  <c r="Y184" i="2"/>
  <c r="X184" i="2"/>
  <c r="X183" i="2"/>
  <c r="BP182" i="2"/>
  <c r="BO182" i="2"/>
  <c r="BN182" i="2"/>
  <c r="BM182" i="2"/>
  <c r="Z182" i="2"/>
  <c r="Y182" i="2"/>
  <c r="P182" i="2"/>
  <c r="BO181" i="2"/>
  <c r="BM181" i="2"/>
  <c r="Z181" i="2"/>
  <c r="Z183" i="2" s="1"/>
  <c r="Y181" i="2"/>
  <c r="Y183" i="2" s="1"/>
  <c r="P181" i="2"/>
  <c r="Y179" i="2"/>
  <c r="X179" i="2"/>
  <c r="Y178" i="2"/>
  <c r="X178" i="2"/>
  <c r="BO177" i="2"/>
  <c r="BM177" i="2"/>
  <c r="Z177" i="2"/>
  <c r="Z178" i="2" s="1"/>
  <c r="Y177" i="2"/>
  <c r="BP177" i="2" s="1"/>
  <c r="P177" i="2"/>
  <c r="X173" i="2"/>
  <c r="X172" i="2"/>
  <c r="BP171" i="2"/>
  <c r="BO171" i="2"/>
  <c r="BM171" i="2"/>
  <c r="Z171" i="2"/>
  <c r="Z172" i="2" s="1"/>
  <c r="Y171" i="2"/>
  <c r="BN171" i="2" s="1"/>
  <c r="P171" i="2"/>
  <c r="X168" i="2"/>
  <c r="X167" i="2"/>
  <c r="BO166" i="2"/>
  <c r="BM166" i="2"/>
  <c r="Z166" i="2"/>
  <c r="Z167" i="2" s="1"/>
  <c r="Y166" i="2"/>
  <c r="Y168" i="2" s="1"/>
  <c r="P166" i="2"/>
  <c r="X163" i="2"/>
  <c r="X162" i="2"/>
  <c r="BP161" i="2"/>
  <c r="BO161" i="2"/>
  <c r="BM161" i="2"/>
  <c r="Z161" i="2"/>
  <c r="Y161" i="2"/>
  <c r="BN161" i="2" s="1"/>
  <c r="P161" i="2"/>
  <c r="BO160" i="2"/>
  <c r="BM160" i="2"/>
  <c r="Z160" i="2"/>
  <c r="Z162" i="2" s="1"/>
  <c r="Y160" i="2"/>
  <c r="Y163" i="2" s="1"/>
  <c r="P160" i="2"/>
  <c r="X157" i="2"/>
  <c r="Y156" i="2"/>
  <c r="X156" i="2"/>
  <c r="BO155" i="2"/>
  <c r="BM155" i="2"/>
  <c r="Z155" i="2"/>
  <c r="Y155" i="2"/>
  <c r="BP155" i="2" s="1"/>
  <c r="P155" i="2"/>
  <c r="BO154" i="2"/>
  <c r="BN154" i="2"/>
  <c r="BM154" i="2"/>
  <c r="Z154" i="2"/>
  <c r="Z156" i="2" s="1"/>
  <c r="Y154" i="2"/>
  <c r="Y157" i="2" s="1"/>
  <c r="P154" i="2"/>
  <c r="BO153" i="2"/>
  <c r="BN153" i="2"/>
  <c r="BM153" i="2"/>
  <c r="Z153" i="2"/>
  <c r="Y153" i="2"/>
  <c r="BP153" i="2" s="1"/>
  <c r="P153" i="2"/>
  <c r="X150" i="2"/>
  <c r="Y149" i="2"/>
  <c r="X149" i="2"/>
  <c r="BP148" i="2"/>
  <c r="BO148" i="2"/>
  <c r="BN148" i="2"/>
  <c r="BM148" i="2"/>
  <c r="Z148" i="2"/>
  <c r="Z149" i="2" s="1"/>
  <c r="Y148" i="2"/>
  <c r="Y150" i="2" s="1"/>
  <c r="P148" i="2"/>
  <c r="BP147" i="2"/>
  <c r="BO147" i="2"/>
  <c r="BN147" i="2"/>
  <c r="BM147" i="2"/>
  <c r="Z147" i="2"/>
  <c r="Y147" i="2"/>
  <c r="P147" i="2"/>
  <c r="X144" i="2"/>
  <c r="X143" i="2"/>
  <c r="BP142" i="2"/>
  <c r="BO142" i="2"/>
  <c r="BN142" i="2"/>
  <c r="BM142" i="2"/>
  <c r="Z142" i="2"/>
  <c r="Y142" i="2"/>
  <c r="P142" i="2"/>
  <c r="BP141" i="2"/>
  <c r="BO141" i="2"/>
  <c r="BM141" i="2"/>
  <c r="Z141" i="2"/>
  <c r="Y141" i="2"/>
  <c r="BN141" i="2" s="1"/>
  <c r="P141" i="2"/>
  <c r="BO140" i="2"/>
  <c r="BM140" i="2"/>
  <c r="Z140" i="2"/>
  <c r="Z143" i="2" s="1"/>
  <c r="Y140" i="2"/>
  <c r="BP140" i="2" s="1"/>
  <c r="P140" i="2"/>
  <c r="X137" i="2"/>
  <c r="X136" i="2"/>
  <c r="BP135" i="2"/>
  <c r="BO135" i="2"/>
  <c r="BM135" i="2"/>
  <c r="Z135" i="2"/>
  <c r="Y135" i="2"/>
  <c r="BN135" i="2" s="1"/>
  <c r="P135" i="2"/>
  <c r="BO134" i="2"/>
  <c r="BM134" i="2"/>
  <c r="Z134" i="2"/>
  <c r="Y134" i="2"/>
  <c r="Y137" i="2" s="1"/>
  <c r="P134" i="2"/>
  <c r="BP133" i="2"/>
  <c r="BO133" i="2"/>
  <c r="BN133" i="2"/>
  <c r="BM133" i="2"/>
  <c r="Z133" i="2"/>
  <c r="Z136" i="2" s="1"/>
  <c r="Y133" i="2"/>
  <c r="P133" i="2"/>
  <c r="X131" i="2"/>
  <c r="X130" i="2"/>
  <c r="BO129" i="2"/>
  <c r="BN129" i="2"/>
  <c r="BM129" i="2"/>
  <c r="Z129" i="2"/>
  <c r="Y129" i="2"/>
  <c r="BP129" i="2" s="1"/>
  <c r="P129" i="2"/>
  <c r="BO128" i="2"/>
  <c r="BN128" i="2"/>
  <c r="BM128" i="2"/>
  <c r="Z128" i="2"/>
  <c r="Y128" i="2"/>
  <c r="BP128" i="2" s="1"/>
  <c r="P128" i="2"/>
  <c r="BO127" i="2"/>
  <c r="BM127" i="2"/>
  <c r="Z127" i="2"/>
  <c r="Z130" i="2" s="1"/>
  <c r="Y127" i="2"/>
  <c r="BP127" i="2" s="1"/>
  <c r="P127" i="2"/>
  <c r="BP126" i="2"/>
  <c r="BO126" i="2"/>
  <c r="BM126" i="2"/>
  <c r="Z126" i="2"/>
  <c r="Y126" i="2"/>
  <c r="BN126" i="2" s="1"/>
  <c r="P126" i="2"/>
  <c r="X124" i="2"/>
  <c r="X123" i="2"/>
  <c r="BO122" i="2"/>
  <c r="BM122" i="2"/>
  <c r="Z122" i="2"/>
  <c r="Z123" i="2" s="1"/>
  <c r="Y122" i="2"/>
  <c r="Y124" i="2" s="1"/>
  <c r="P122" i="2"/>
  <c r="Y119" i="2"/>
  <c r="X119" i="2"/>
  <c r="Z118" i="2"/>
  <c r="X118" i="2"/>
  <c r="BP117" i="2"/>
  <c r="BO117" i="2"/>
  <c r="BM117" i="2"/>
  <c r="Z117" i="2"/>
  <c r="Y117" i="2"/>
  <c r="Y118" i="2" s="1"/>
  <c r="P117" i="2"/>
  <c r="X115" i="2"/>
  <c r="Z114" i="2"/>
  <c r="X114" i="2"/>
  <c r="BP113" i="2"/>
  <c r="BO113" i="2"/>
  <c r="BM113" i="2"/>
  <c r="Z113" i="2"/>
  <c r="Y113" i="2"/>
  <c r="BN113" i="2" s="1"/>
  <c r="P113" i="2"/>
  <c r="X111" i="2"/>
  <c r="X110" i="2"/>
  <c r="BO109" i="2"/>
  <c r="BM109" i="2"/>
  <c r="Z109" i="2"/>
  <c r="Y109" i="2"/>
  <c r="BP109" i="2" s="1"/>
  <c r="P109" i="2"/>
  <c r="BP108" i="2"/>
  <c r="BO108" i="2"/>
  <c r="BM108" i="2"/>
  <c r="Z108" i="2"/>
  <c r="Y108" i="2"/>
  <c r="BN108" i="2" s="1"/>
  <c r="P108" i="2"/>
  <c r="BO107" i="2"/>
  <c r="BM107" i="2"/>
  <c r="Z107" i="2"/>
  <c r="Y107" i="2"/>
  <c r="BP107" i="2" s="1"/>
  <c r="P107" i="2"/>
  <c r="BO106" i="2"/>
  <c r="BN106" i="2"/>
  <c r="BM106" i="2"/>
  <c r="Z106" i="2"/>
  <c r="Y106" i="2"/>
  <c r="BP106" i="2" s="1"/>
  <c r="P106" i="2"/>
  <c r="BO105" i="2"/>
  <c r="BN105" i="2"/>
  <c r="BM105" i="2"/>
  <c r="Z105" i="2"/>
  <c r="Y105" i="2"/>
  <c r="BP105" i="2" s="1"/>
  <c r="P105" i="2"/>
  <c r="BO104" i="2"/>
  <c r="BM104" i="2"/>
  <c r="Z104" i="2"/>
  <c r="Y104" i="2"/>
  <c r="BN104" i="2" s="1"/>
  <c r="P104" i="2"/>
  <c r="BP103" i="2"/>
  <c r="BO103" i="2"/>
  <c r="BM103" i="2"/>
  <c r="Z103" i="2"/>
  <c r="Y103" i="2"/>
  <c r="BN103" i="2" s="1"/>
  <c r="P103" i="2"/>
  <c r="BP102" i="2"/>
  <c r="BO102" i="2"/>
  <c r="BM102" i="2"/>
  <c r="Z102" i="2"/>
  <c r="Z110" i="2" s="1"/>
  <c r="Y102" i="2"/>
  <c r="BN102" i="2" s="1"/>
  <c r="P102" i="2"/>
  <c r="X99" i="2"/>
  <c r="X98" i="2"/>
  <c r="BP97" i="2"/>
  <c r="BO97" i="2"/>
  <c r="BM97" i="2"/>
  <c r="Z97" i="2"/>
  <c r="Z98" i="2" s="1"/>
  <c r="Y97" i="2"/>
  <c r="BN97" i="2" s="1"/>
  <c r="P97" i="2"/>
  <c r="BO96" i="2"/>
  <c r="BM96" i="2"/>
  <c r="Z96" i="2"/>
  <c r="Y96" i="2"/>
  <c r="BP96" i="2" s="1"/>
  <c r="P96" i="2"/>
  <c r="X93" i="2"/>
  <c r="Y92" i="2"/>
  <c r="X92" i="2"/>
  <c r="BP91" i="2"/>
  <c r="BO91" i="2"/>
  <c r="BM91" i="2"/>
  <c r="Z91" i="2"/>
  <c r="Y91" i="2"/>
  <c r="BN91" i="2" s="1"/>
  <c r="P91" i="2"/>
  <c r="BO90" i="2"/>
  <c r="BM90" i="2"/>
  <c r="Z90" i="2"/>
  <c r="Y90" i="2"/>
  <c r="BP90" i="2" s="1"/>
  <c r="P90" i="2"/>
  <c r="BP89" i="2"/>
  <c r="BO89" i="2"/>
  <c r="BN89" i="2"/>
  <c r="BM89" i="2"/>
  <c r="Z89" i="2"/>
  <c r="Y89" i="2"/>
  <c r="P89" i="2"/>
  <c r="BP88" i="2"/>
  <c r="BO88" i="2"/>
  <c r="BN88" i="2"/>
  <c r="BM88" i="2"/>
  <c r="Z88" i="2"/>
  <c r="Y88" i="2"/>
  <c r="P88" i="2"/>
  <c r="BO87" i="2"/>
  <c r="BM87" i="2"/>
  <c r="Z87" i="2"/>
  <c r="Y87" i="2"/>
  <c r="BP87" i="2" s="1"/>
  <c r="P87" i="2"/>
  <c r="BP86" i="2"/>
  <c r="BO86" i="2"/>
  <c r="BM86" i="2"/>
  <c r="Z86" i="2"/>
  <c r="Y86" i="2"/>
  <c r="BN86" i="2" s="1"/>
  <c r="P86" i="2"/>
  <c r="BO85" i="2"/>
  <c r="BM85" i="2"/>
  <c r="Z85" i="2"/>
  <c r="Y85" i="2"/>
  <c r="BP85" i="2" s="1"/>
  <c r="P85" i="2"/>
  <c r="BO84" i="2"/>
  <c r="BN84" i="2"/>
  <c r="BM84" i="2"/>
  <c r="Z84" i="2"/>
  <c r="Z92" i="2" s="1"/>
  <c r="Y84" i="2"/>
  <c r="BP84" i="2" s="1"/>
  <c r="P84" i="2"/>
  <c r="X81" i="2"/>
  <c r="Z80" i="2"/>
  <c r="X80" i="2"/>
  <c r="BO79" i="2"/>
  <c r="BM79" i="2"/>
  <c r="Z79" i="2"/>
  <c r="Y79" i="2"/>
  <c r="BP79" i="2" s="1"/>
  <c r="P79" i="2"/>
  <c r="BP78" i="2"/>
  <c r="BO78" i="2"/>
  <c r="BN78" i="2"/>
  <c r="BM78" i="2"/>
  <c r="Z78" i="2"/>
  <c r="Y78" i="2"/>
  <c r="Y81" i="2" s="1"/>
  <c r="P78" i="2"/>
  <c r="Y75" i="2"/>
  <c r="X75" i="2"/>
  <c r="X74" i="2"/>
  <c r="BO73" i="2"/>
  <c r="BM73" i="2"/>
  <c r="Z73" i="2"/>
  <c r="Z74" i="2" s="1"/>
  <c r="Y73" i="2"/>
  <c r="Y74" i="2" s="1"/>
  <c r="P73" i="2"/>
  <c r="Y70" i="2"/>
  <c r="X70" i="2"/>
  <c r="Z69" i="2"/>
  <c r="X69" i="2"/>
  <c r="BP68" i="2"/>
  <c r="BO68" i="2"/>
  <c r="BN68" i="2"/>
  <c r="BM68" i="2"/>
  <c r="Z68" i="2"/>
  <c r="Y68" i="2"/>
  <c r="P68" i="2"/>
  <c r="BO67" i="2"/>
  <c r="BM67" i="2"/>
  <c r="Z67" i="2"/>
  <c r="Y67" i="2"/>
  <c r="Y69" i="2" s="1"/>
  <c r="P67" i="2"/>
  <c r="Y64" i="2"/>
  <c r="X64" i="2"/>
  <c r="X63" i="2"/>
  <c r="BP62" i="2"/>
  <c r="BO62" i="2"/>
  <c r="BN62" i="2"/>
  <c r="BM62" i="2"/>
  <c r="Z62" i="2"/>
  <c r="Y62" i="2"/>
  <c r="P62" i="2"/>
  <c r="BO61" i="2"/>
  <c r="BM61" i="2"/>
  <c r="Z61" i="2"/>
  <c r="Y61" i="2"/>
  <c r="BN61" i="2" s="1"/>
  <c r="P61" i="2"/>
  <c r="BP60" i="2"/>
  <c r="BO60" i="2"/>
  <c r="BM60" i="2"/>
  <c r="Z60" i="2"/>
  <c r="Z63" i="2" s="1"/>
  <c r="Y60" i="2"/>
  <c r="Y63" i="2" s="1"/>
  <c r="P60" i="2"/>
  <c r="BO59" i="2"/>
  <c r="BM59" i="2"/>
  <c r="Z59" i="2"/>
  <c r="Y59" i="2"/>
  <c r="BP59" i="2" s="1"/>
  <c r="P59" i="2"/>
  <c r="X56" i="2"/>
  <c r="Y55" i="2"/>
  <c r="X55" i="2"/>
  <c r="BO54" i="2"/>
  <c r="BM54" i="2"/>
  <c r="Z54" i="2"/>
  <c r="Z55" i="2" s="1"/>
  <c r="Y54" i="2"/>
  <c r="BP54" i="2" s="1"/>
  <c r="P54" i="2"/>
  <c r="BO53" i="2"/>
  <c r="BM53" i="2"/>
  <c r="Z53" i="2"/>
  <c r="Y53" i="2"/>
  <c r="BP53" i="2" s="1"/>
  <c r="P53" i="2"/>
  <c r="BP52" i="2"/>
  <c r="BO52" i="2"/>
  <c r="BN52" i="2"/>
  <c r="BM52" i="2"/>
  <c r="Z52" i="2"/>
  <c r="Y52" i="2"/>
  <c r="P52" i="2"/>
  <c r="BP51" i="2"/>
  <c r="BO51" i="2"/>
  <c r="BN51" i="2"/>
  <c r="BM51" i="2"/>
  <c r="Z51" i="2"/>
  <c r="Y51" i="2"/>
  <c r="P51" i="2"/>
  <c r="Y48" i="2"/>
  <c r="X48" i="2"/>
  <c r="Z47" i="2"/>
  <c r="Y47" i="2"/>
  <c r="X47" i="2"/>
  <c r="BP46" i="2"/>
  <c r="BO46" i="2"/>
  <c r="BN46" i="2"/>
  <c r="BM46" i="2"/>
  <c r="Z46" i="2"/>
  <c r="Y46" i="2"/>
  <c r="P46" i="2"/>
  <c r="BP45" i="2"/>
  <c r="BO45" i="2"/>
  <c r="BM45" i="2"/>
  <c r="Z45" i="2"/>
  <c r="Y45" i="2"/>
  <c r="BN45" i="2" s="1"/>
  <c r="P45" i="2"/>
  <c r="X41" i="2"/>
  <c r="Z40" i="2"/>
  <c r="X40" i="2"/>
  <c r="BP39" i="2"/>
  <c r="BO39" i="2"/>
  <c r="X282" i="2" s="1"/>
  <c r="BM39" i="2"/>
  <c r="Z39" i="2"/>
  <c r="Y39" i="2"/>
  <c r="BN39" i="2" s="1"/>
  <c r="P39" i="2"/>
  <c r="BP38" i="2"/>
  <c r="BO38" i="2"/>
  <c r="BM38" i="2"/>
  <c r="Z38" i="2"/>
  <c r="Y38" i="2"/>
  <c r="BN38" i="2" s="1"/>
  <c r="P38" i="2"/>
  <c r="X35" i="2"/>
  <c r="X34" i="2"/>
  <c r="X284" i="2" s="1"/>
  <c r="BP33" i="2"/>
  <c r="BO33" i="2"/>
  <c r="BM33" i="2"/>
  <c r="Z33" i="2"/>
  <c r="Z34" i="2" s="1"/>
  <c r="Y33" i="2"/>
  <c r="BN33" i="2" s="1"/>
  <c r="P33" i="2"/>
  <c r="X31" i="2"/>
  <c r="X280" i="2" s="1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P26" i="2"/>
  <c r="BO26" i="2"/>
  <c r="BN26" i="2"/>
  <c r="BM26" i="2"/>
  <c r="Z26" i="2"/>
  <c r="Y26" i="2"/>
  <c r="P26" i="2"/>
  <c r="BP25" i="2"/>
  <c r="BO25" i="2"/>
  <c r="BN25" i="2"/>
  <c r="BM25" i="2"/>
  <c r="Z25" i="2"/>
  <c r="Y25" i="2"/>
  <c r="P25" i="2"/>
  <c r="BO24" i="2"/>
  <c r="BM24" i="2"/>
  <c r="Z24" i="2"/>
  <c r="Y24" i="2"/>
  <c r="BP24" i="2" s="1"/>
  <c r="P24" i="2"/>
  <c r="BP23" i="2"/>
  <c r="BO23" i="2"/>
  <c r="BM23" i="2"/>
  <c r="Z23" i="2"/>
  <c r="Y23" i="2"/>
  <c r="BN23" i="2" s="1"/>
  <c r="P23" i="2"/>
  <c r="BO22" i="2"/>
  <c r="BM22" i="2"/>
  <c r="X281" i="2" s="1"/>
  <c r="Z22" i="2"/>
  <c r="Z30" i="2" s="1"/>
  <c r="Z285" i="2" s="1"/>
  <c r="Y22" i="2"/>
  <c r="Y31" i="2" s="1"/>
  <c r="P22" i="2"/>
  <c r="H10" i="2"/>
  <c r="J9" i="2"/>
  <c r="H9" i="2"/>
  <c r="A9" i="2"/>
  <c r="F9" i="2" s="1"/>
  <c r="D7" i="2"/>
  <c r="Q6" i="2"/>
  <c r="P2" i="2"/>
  <c r="X283" i="2" l="1"/>
  <c r="Y167" i="2"/>
  <c r="BP193" i="2"/>
  <c r="BP277" i="2"/>
  <c r="Y56" i="2"/>
  <c r="Y93" i="2"/>
  <c r="Y143" i="2"/>
  <c r="BP154" i="2"/>
  <c r="BN181" i="2"/>
  <c r="BN24" i="2"/>
  <c r="Y35" i="2"/>
  <c r="Y280" i="2" s="1"/>
  <c r="BN87" i="2"/>
  <c r="BN109" i="2"/>
  <c r="Y215" i="2"/>
  <c r="BN263" i="2"/>
  <c r="BN67" i="2"/>
  <c r="Y115" i="2"/>
  <c r="BN127" i="2"/>
  <c r="BP61" i="2"/>
  <c r="BN73" i="2"/>
  <c r="BP122" i="2"/>
  <c r="Y144" i="2"/>
  <c r="BP187" i="2"/>
  <c r="BN200" i="2"/>
  <c r="Y203" i="2"/>
  <c r="BP230" i="2"/>
  <c r="BP246" i="2"/>
  <c r="BP263" i="2"/>
  <c r="BN27" i="2"/>
  <c r="BN53" i="2"/>
  <c r="BP67" i="2"/>
  <c r="BN79" i="2"/>
  <c r="BN90" i="2"/>
  <c r="BP104" i="2"/>
  <c r="BN22" i="2"/>
  <c r="Y281" i="2" s="1"/>
  <c r="BN59" i="2"/>
  <c r="BP73" i="2"/>
  <c r="BN85" i="2"/>
  <c r="BN96" i="2"/>
  <c r="BN107" i="2"/>
  <c r="Y110" i="2"/>
  <c r="Y123" i="2"/>
  <c r="Y131" i="2"/>
  <c r="BN155" i="2"/>
  <c r="BN212" i="2"/>
  <c r="Y231" i="2"/>
  <c r="Y247" i="2"/>
  <c r="Y98" i="2"/>
  <c r="Y172" i="2"/>
  <c r="Y214" i="2"/>
  <c r="F10" i="2"/>
  <c r="Y40" i="2"/>
  <c r="BN134" i="2"/>
  <c r="BN160" i="2"/>
  <c r="Y237" i="2"/>
  <c r="Y251" i="2"/>
  <c r="BN29" i="2"/>
  <c r="BN140" i="2"/>
  <c r="BN268" i="2"/>
  <c r="BN271" i="2"/>
  <c r="BN274" i="2"/>
  <c r="Y99" i="2"/>
  <c r="BN122" i="2"/>
  <c r="BP160" i="2"/>
  <c r="Y173" i="2"/>
  <c r="BP202" i="2"/>
  <c r="BN230" i="2"/>
  <c r="BN246" i="2"/>
  <c r="BP166" i="2"/>
  <c r="BP181" i="2"/>
  <c r="BN193" i="2"/>
  <c r="Y221" i="2"/>
  <c r="Y30" i="2"/>
  <c r="BN177" i="2"/>
  <c r="BN218" i="2"/>
  <c r="BN269" i="2"/>
  <c r="BN272" i="2"/>
  <c r="Y278" i="2"/>
  <c r="A10" i="2"/>
  <c r="Y34" i="2"/>
  <c r="Y114" i="2"/>
  <c r="Y220" i="2"/>
  <c r="BN166" i="2"/>
  <c r="BP134" i="2"/>
  <c r="BN187" i="2"/>
  <c r="Y41" i="2"/>
  <c r="Y130" i="2"/>
  <c r="Y238" i="2"/>
  <c r="Y252" i="2"/>
  <c r="BP22" i="2"/>
  <c r="BN117" i="2"/>
  <c r="Y80" i="2"/>
  <c r="Y111" i="2"/>
  <c r="Y279" i="2"/>
  <c r="BN28" i="2"/>
  <c r="BN54" i="2"/>
  <c r="BN60" i="2"/>
  <c r="Y136" i="2"/>
  <c r="Y162" i="2"/>
  <c r="Y284" i="2" l="1"/>
  <c r="Y282" i="2"/>
  <c r="Y283" i="2" s="1"/>
  <c r="C293" i="2" l="1"/>
  <c r="B293" i="2"/>
  <c r="A293" i="2"/>
</calcChain>
</file>

<file path=xl/sharedStrings.xml><?xml version="1.0" encoding="utf-8"?>
<sst xmlns="http://schemas.openxmlformats.org/spreadsheetml/2006/main" count="1791" uniqueCount="426">
  <si>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</si>
  <si>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</si>
  <si>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</si>
  <si>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</si>
  <si>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</si>
  <si>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</si>
  <si>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</si>
  <si>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</si>
  <si>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</si>
  <si>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</si>
  <si>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</si>
  <si>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</si>
  <si>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</si>
  <si>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</si>
  <si>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</si>
  <si>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</si>
  <si>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</si>
  <si>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</si>
  <si>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</si>
  <si>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</si>
  <si>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</si>
  <si>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</si>
  <si>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</si>
  <si>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</si>
  <si>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</si>
  <si>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</si>
  <si>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</si>
  <si>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</si>
  <si>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</si>
  <si>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</si>
  <si>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</si>
  <si>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</si>
  <si>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</si>
  <si>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</si>
  <si>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</si>
  <si>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</si>
  <si>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</si>
  <si>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</si>
  <si>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</si>
  <si>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</si>
  <si>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</si>
  <si>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</si>
  <si>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</si>
  <si>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</si>
  <si>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</si>
  <si>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</si>
  <si>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</si>
  <si>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</si>
  <si>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</si>
  <si>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</si>
  <si>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</si>
  <si>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</si>
  <si>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</si>
  <si>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</si>
  <si>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</si>
  <si>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</si>
  <si>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</si>
  <si>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</si>
  <si>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</si>
  <si>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</si>
  <si>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</si>
  <si>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</si>
  <si>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</si>
  <si>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</si>
  <si>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</si>
  <si>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</si>
  <si>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</si>
  <si>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</si>
  <si>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</si>
  <si>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</si>
  <si>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</si>
  <si>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30.10.2026</t>
  </si>
  <si>
    <t>27.10.2026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</si>
  <si>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</si>
  <si>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</si>
  <si>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</si>
  <si>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</si>
  <si>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</si>
  <si>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</si>
  <si>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</si>
  <si>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</si>
  <si>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</si>
  <si>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</si>
  <si>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</si>
  <si>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</si>
  <si>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</si>
  <si>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</si>
  <si>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</si>
  <si>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</si>
  <si>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</si>
  <si>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</si>
  <si>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</si>
  <si>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</si>
  <si>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</si>
  <si>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</si>
  <si>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</si>
  <si>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</si>
  <si>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</si>
  <si>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</si>
  <si>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</si>
  <si>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</si>
  <si>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</si>
  <si>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</si>
  <si>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</si>
  <si>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</si>
  <si>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</si>
  <si>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Вареники</t>
  </si>
  <si>
    <t>SU004310</t>
  </si>
  <si>
    <t>P005660</t>
  </si>
  <si>
    <t>ЕАЭС N RU Д-RU.РА04.В.71581/26</t>
  </si>
  <si>
    <t>Новинка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</si>
  <si>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</si>
  <si>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</si>
  <si>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</si>
  <si>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</si>
  <si>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</si>
  <si>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</si>
  <si>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</si>
  <si>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</si>
  <si>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</si>
  <si>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</si>
  <si>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</si>
  <si>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</si>
  <si>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</si>
  <si>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</si>
  <si>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</si>
  <si>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</si>
  <si>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</si>
  <si>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</si>
  <si>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</si>
  <si>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</si>
  <si>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</si>
  <si>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</si>
  <si>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</si>
  <si>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</si>
  <si>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</si>
  <si>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</si>
  <si>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</si>
  <si>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</si>
  <si>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</si>
  <si>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</si>
  <si>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</si>
  <si>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</si>
  <si>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</si>
  <si>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</si>
  <si>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</si>
  <si>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</si>
  <si>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</si>
  <si>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</si>
  <si>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</si>
  <si>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</si>
  <si>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</si>
  <si>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</si>
  <si>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</si>
  <si>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</si>
  <si>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</si>
  <si>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</si>
  <si>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</si>
  <si>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</si>
  <si>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</si>
  <si>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</si>
  <si>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</si>
  <si>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</si>
  <si>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</si>
  <si>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</si>
  <si>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</si>
  <si>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</si>
  <si>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</si>
  <si>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</si>
  <si>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</si>
  <si>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</si>
  <si>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</si>
  <si>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</si>
  <si>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</si>
  <si>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</si>
  <si>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</si>
  <si>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SU003882</t>
  </si>
  <si>
    <t>P004964</t>
  </si>
  <si>
    <t>SU004207</t>
  </si>
  <si>
    <t>P005473</t>
  </si>
  <si>
    <t>ЕАЭС N RU Д-RU.РА03.В.73991/26</t>
  </si>
  <si>
    <t>SU003883</t>
  </si>
  <si>
    <t>P004965</t>
  </si>
  <si>
    <t>ЕАЭС N RU Д-RU.РА01.В.13713/23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</si>
  <si>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</si>
  <si>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</si>
  <si>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</si>
  <si>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</si>
  <si>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</si>
  <si>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</si>
  <si>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</si>
  <si>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</si>
  <si>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</si>
  <si>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</si>
  <si>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</si>
  <si>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</si>
  <si>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</si>
  <si>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</si>
  <si>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</si>
  <si>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</si>
  <si>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</si>
  <si>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</si>
  <si>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</si>
  <si>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</si>
  <si>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</si>
  <si>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</si>
  <si>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</si>
  <si>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</si>
  <si>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</si>
  <si>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</si>
  <si>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</si>
  <si>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</si>
  <si>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</si>
  <si>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</si>
  <si>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</si>
  <si>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</si>
  <si>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</si>
  <si>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</si>
  <si>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</si>
  <si>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</si>
  <si>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</si>
  <si>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</si>
  <si>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</si>
  <si>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</si>
  <si>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</si>
  <si>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</si>
  <si>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</si>
  <si>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</si>
  <si>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</si>
  <si>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</si>
  <si>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</si>
  <si>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</si>
  <si>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</si>
  <si>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</si>
  <si>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</si>
  <si>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</si>
  <si>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</si>
  <si>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</si>
  <si>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</si>
  <si>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</si>
  <si>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</si>
  <si>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</si>
  <si>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</si>
  <si>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</si>
  <si>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</si>
  <si>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</si>
  <si>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</si>
  <si>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</si>
  <si>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</si>
  <si>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</si>
  <si>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</si>
  <si>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</si>
  <si>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</si>
  <si>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SU002430</t>
  </si>
  <si>
    <t>P004638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</si>
  <si>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</si>
  <si>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</si>
  <si>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</si>
  <si>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</si>
  <si>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</si>
  <si>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</si>
  <si>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</si>
  <si>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</si>
  <si>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</si>
  <si>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</si>
  <si>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</si>
  <si>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</si>
  <si>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SU004217</t>
  </si>
  <si>
    <t>P005483</t>
  </si>
  <si>
    <t>SU004219</t>
  </si>
  <si>
    <t>P005485</t>
  </si>
  <si>
    <t>Пекерсы</t>
  </si>
  <si>
    <t>SU003596</t>
  </si>
  <si>
    <t>P004594</t>
  </si>
  <si>
    <t>ЕАЭС N RU Д-RU.РА05.В.54714/24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</si>
  <si>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</si>
  <si>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</si>
  <si>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</si>
  <si>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</si>
  <si>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</si>
  <si>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</si>
  <si>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</si>
  <si>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</si>
  <si>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</si>
  <si>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</si>
  <si>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</si>
  <si>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</si>
  <si>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</si>
  <si>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</si>
  <si>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SU004372</t>
  </si>
  <si>
    <t>P005749</t>
  </si>
  <si>
    <t>ЕАЭС N RU Д-RU.РА04.В.70329/26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</si>
  <si>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</si>
  <si>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</si>
  <si>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</si>
  <si>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</si>
  <si>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</si>
  <si>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</si>
  <si>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</si>
  <si>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</si>
  <si>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</si>
  <si>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</si>
  <si>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</si>
  <si>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</si>
  <si>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</si>
  <si>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</si>
  <si>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</si>
  <si>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</si>
  <si>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</si>
  <si>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</si>
  <si>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</si>
  <si>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</si>
  <si>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</si>
  <si>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</si>
  <si>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</si>
  <si>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</si>
  <si>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</si>
  <si>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</si>
  <si>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</si>
  <si>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</si>
  <si>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</si>
  <si>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</si>
  <si>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</si>
  <si>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</si>
  <si>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</si>
  <si>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</si>
  <si>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</si>
  <si>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</si>
  <si>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</si>
  <si>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</si>
  <si>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</si>
  <si>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</si>
  <si>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</si>
  <si>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</si>
  <si>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</si>
  <si>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</si>
  <si>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</si>
  <si>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</si>
  <si>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</si>
  <si>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</si>
  <si>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</si>
  <si>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</si>
  <si>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</si>
  <si>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</si>
  <si>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</si>
  <si>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</si>
  <si>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</si>
  <si>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</si>
  <si>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</si>
  <si>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</si>
  <si>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</si>
  <si>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</si>
  <si>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</si>
  <si>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</si>
  <si>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</si>
  <si>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</si>
  <si>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</si>
  <si>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</si>
  <si>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</si>
  <si>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</si>
  <si>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</si>
  <si>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</si>
  <si>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</si>
  <si>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</si>
  <si>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</si>
  <si>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</si>
  <si>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</si>
  <si>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</si>
  <si>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</si>
  <si>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</si>
  <si>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</si>
  <si>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</si>
  <si>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</si>
  <si>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</si>
  <si>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</si>
  <si>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</si>
  <si>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SU004393</t>
  </si>
  <si>
    <t>P005767</t>
  </si>
  <si>
    <t>Снеки «Жареные пельмени с мясом по-грузински» Весовой ТМ «Зареченские продукты» 3,7 кг</t>
  </si>
  <si>
    <t>ЕАЭС N RU Д-RU.РА07.В.36084/26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</si>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</sst>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8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7" fillId="0" borderId="11" xfId="0" applyFont="1" applyFill="1" applyBorder="1" applyAlignment="1" applyProtection="1">
      <alignment wrapText="1"/>
      <protection hidden="1"/>
    </xf>
    <xf numFmtId="0" fontId="368" fillId="0" borderId="0" xfId="0" applyFont="1"/>
    <xf numFmtId="0" fontId="370" fillId="0" borderId="11" xfId="0" applyFont="1" applyFill="1" applyBorder="1" applyAlignment="1" applyProtection="1">
      <alignment wrapText="1"/>
      <protection hidden="1"/>
    </xf>
    <xf numFmtId="0" fontId="37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6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69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293"/>
  <sheetViews>
    <sheetView showGridLines="0" tabSelected="1" topLeftCell="C1" zoomScale="85" zoomScaleNormal="85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474" t="s">
        <v>26</v>
      </c>
      <c r="E1" s="474"/>
      <c r="F1" s="474"/>
      <c r="G1" s="14" t="s">
        <v>70</v>
      </c>
      <c r="H1" s="474" t="s">
        <v>47</v>
      </c>
      <c r="I1" s="474"/>
      <c r="J1" s="474"/>
      <c r="K1" s="474"/>
      <c r="L1" s="474"/>
      <c r="M1" s="474"/>
      <c r="N1" s="474"/>
      <c r="O1" s="474"/>
      <c r="P1" s="474"/>
      <c r="Q1" s="474"/>
      <c r="R1" s="475" t="s">
        <v>71</v>
      </c>
      <c r="S1" s="476"/>
      <c r="T1" s="47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7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77"/>
      <c r="R2" s="477"/>
      <c r="S2" s="477"/>
      <c r="T2" s="477"/>
      <c r="U2" s="477"/>
      <c r="V2" s="477"/>
      <c r="W2" s="47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77"/>
      <c r="Q3" s="477"/>
      <c r="R3" s="477"/>
      <c r="S3" s="477"/>
      <c r="T3" s="477"/>
      <c r="U3" s="477"/>
      <c r="V3" s="477"/>
      <c r="W3" s="47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456" t="s">
        <v>8</v>
      </c>
      <c r="B5" s="456"/>
      <c r="C5" s="456"/>
      <c r="D5" s="478"/>
      <c r="E5" s="478"/>
      <c r="F5" s="479" t="s">
        <v>14</v>
      </c>
      <c r="G5" s="479"/>
      <c r="H5" s="478"/>
      <c r="I5" s="478"/>
      <c r="J5" s="478"/>
      <c r="K5" s="478"/>
      <c r="L5" s="478"/>
      <c r="M5" s="478"/>
      <c r="N5" s="75"/>
      <c r="P5" s="27" t="s">
        <v>4</v>
      </c>
      <c r="Q5" s="480">
        <v>46327</v>
      </c>
      <c r="R5" s="480"/>
      <c r="T5" s="481" t="s">
        <v>3</v>
      </c>
      <c r="U5" s="482"/>
      <c r="V5" s="483" t="s">
        <v>412</v>
      </c>
      <c r="W5" s="484"/>
      <c r="AB5" s="59"/>
      <c r="AC5" s="59"/>
      <c r="AD5" s="59"/>
      <c r="AE5" s="59"/>
    </row>
    <row r="6" spans="1:32" s="17" customFormat="1" ht="24" customHeight="1" x14ac:dyDescent="0.25">
      <c r="A6" s="456" t="s">
        <v>1</v>
      </c>
      <c r="B6" s="456"/>
      <c r="C6" s="456"/>
      <c r="D6" s="457" t="s">
        <v>79</v>
      </c>
      <c r="E6" s="457"/>
      <c r="F6" s="457"/>
      <c r="G6" s="457"/>
      <c r="H6" s="457"/>
      <c r="I6" s="457"/>
      <c r="J6" s="457"/>
      <c r="K6" s="457"/>
      <c r="L6" s="457"/>
      <c r="M6" s="457"/>
      <c r="N6" s="76"/>
      <c r="P6" s="27" t="s">
        <v>27</v>
      </c>
      <c r="Q6" s="458" t="str">
        <f>IF(Q5=0," ",CHOOSE(WEEKDAY(Q5,2),"Понедельник","Вторник","Среда","Четверг","Пятница","Суббота","Воскресенье"))</f>
        <v>Воскресенье</v>
      </c>
      <c r="R6" s="458"/>
      <c r="T6" s="459" t="s">
        <v>5</v>
      </c>
      <c r="U6" s="460"/>
      <c r="V6" s="461" t="s">
        <v>73</v>
      </c>
      <c r="W6" s="462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467" t="str">
        <f>IFERROR(VLOOKUP(DeliveryAddress,Table,3,0),1)</f>
        <v>1</v>
      </c>
      <c r="E7" s="468"/>
      <c r="F7" s="468"/>
      <c r="G7" s="468"/>
      <c r="H7" s="468"/>
      <c r="I7" s="468"/>
      <c r="J7" s="468"/>
      <c r="K7" s="468"/>
      <c r="L7" s="468"/>
      <c r="M7" s="469"/>
      <c r="N7" s="77"/>
      <c r="P7" s="29"/>
      <c r="Q7" s="48"/>
      <c r="R7" s="48"/>
      <c r="T7" s="459"/>
      <c r="U7" s="460"/>
      <c r="V7" s="463"/>
      <c r="W7" s="464"/>
      <c r="AB7" s="59"/>
      <c r="AC7" s="59"/>
      <c r="AD7" s="59"/>
      <c r="AE7" s="59"/>
    </row>
    <row r="8" spans="1:32" s="17" customFormat="1" ht="25.5" customHeight="1" x14ac:dyDescent="0.25">
      <c r="A8" s="470" t="s">
        <v>58</v>
      </c>
      <c r="B8" s="470"/>
      <c r="C8" s="470"/>
      <c r="D8" s="471" t="s">
        <v>80</v>
      </c>
      <c r="E8" s="471"/>
      <c r="F8" s="471"/>
      <c r="G8" s="471"/>
      <c r="H8" s="471"/>
      <c r="I8" s="471"/>
      <c r="J8" s="471"/>
      <c r="K8" s="471"/>
      <c r="L8" s="471"/>
      <c r="M8" s="471"/>
      <c r="N8" s="78"/>
      <c r="P8" s="27" t="s">
        <v>11</v>
      </c>
      <c r="Q8" s="454">
        <v>4.1666666666666664E-2</v>
      </c>
      <c r="R8" s="454"/>
      <c r="T8" s="459"/>
      <c r="U8" s="460"/>
      <c r="V8" s="463"/>
      <c r="W8" s="464"/>
      <c r="AB8" s="59"/>
      <c r="AC8" s="59"/>
      <c r="AD8" s="59"/>
      <c r="AE8" s="59"/>
    </row>
    <row r="9" spans="1:32" s="17" customFormat="1" ht="39.9" customHeight="1" x14ac:dyDescent="0.25">
      <c r="A9" s="44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46"/>
      <c r="C9" s="446"/>
      <c r="D9" s="447" t="s">
        <v>46</v>
      </c>
      <c r="E9" s="448"/>
      <c r="F9" s="44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46"/>
      <c r="H9" s="472" t="str">
        <f>IF(AND($A$9="Тип доверенности/получателя при получении в адресе перегруза:",$D$9="Разовая доверенность"),"Введите ФИО","")</f>
        <v/>
      </c>
      <c r="I9" s="472"/>
      <c r="J9" s="4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72"/>
      <c r="L9" s="472"/>
      <c r="M9" s="472"/>
      <c r="N9" s="73"/>
      <c r="P9" s="31" t="s">
        <v>15</v>
      </c>
      <c r="Q9" s="473"/>
      <c r="R9" s="473"/>
      <c r="T9" s="459"/>
      <c r="U9" s="460"/>
      <c r="V9" s="465"/>
      <c r="W9" s="46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44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46"/>
      <c r="C10" s="446"/>
      <c r="D10" s="447"/>
      <c r="E10" s="448"/>
      <c r="F10" s="44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46"/>
      <c r="H10" s="449" t="str">
        <f>IFERROR(VLOOKUP($D$10,Proxy,2,FALSE),"")</f>
        <v/>
      </c>
      <c r="I10" s="449"/>
      <c r="J10" s="449"/>
      <c r="K10" s="449"/>
      <c r="L10" s="449"/>
      <c r="M10" s="449"/>
      <c r="N10" s="74"/>
      <c r="P10" s="31" t="s">
        <v>32</v>
      </c>
      <c r="Q10" s="450"/>
      <c r="R10" s="450"/>
      <c r="U10" s="29" t="s">
        <v>12</v>
      </c>
      <c r="V10" s="451" t="s">
        <v>74</v>
      </c>
      <c r="W10" s="45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53"/>
      <c r="R11" s="453"/>
      <c r="U11" s="29" t="s">
        <v>28</v>
      </c>
      <c r="V11" s="432" t="s">
        <v>55</v>
      </c>
      <c r="W11" s="43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431" t="s">
        <v>75</v>
      </c>
      <c r="B12" s="431"/>
      <c r="C12" s="431"/>
      <c r="D12" s="431"/>
      <c r="E12" s="431"/>
      <c r="F12" s="431"/>
      <c r="G12" s="431"/>
      <c r="H12" s="431"/>
      <c r="I12" s="431"/>
      <c r="J12" s="431"/>
      <c r="K12" s="431"/>
      <c r="L12" s="431"/>
      <c r="M12" s="431"/>
      <c r="N12" s="79"/>
      <c r="P12" s="27" t="s">
        <v>30</v>
      </c>
      <c r="Q12" s="454"/>
      <c r="R12" s="454"/>
      <c r="S12" s="28"/>
      <c r="T12"/>
      <c r="U12" s="29" t="s">
        <v>46</v>
      </c>
      <c r="V12" s="455"/>
      <c r="W12" s="455"/>
      <c r="X12"/>
      <c r="AB12" s="59"/>
      <c r="AC12" s="59"/>
      <c r="AD12" s="59"/>
      <c r="AE12" s="59"/>
    </row>
    <row r="13" spans="1:32" s="17" customFormat="1" ht="23.25" customHeight="1" x14ac:dyDescent="0.25">
      <c r="A13" s="431" t="s">
        <v>76</v>
      </c>
      <c r="B13" s="431"/>
      <c r="C13" s="431"/>
      <c r="D13" s="431"/>
      <c r="E13" s="431"/>
      <c r="F13" s="431"/>
      <c r="G13" s="431"/>
      <c r="H13" s="431"/>
      <c r="I13" s="431"/>
      <c r="J13" s="431"/>
      <c r="K13" s="431"/>
      <c r="L13" s="431"/>
      <c r="M13" s="431"/>
      <c r="N13" s="79"/>
      <c r="O13" s="31"/>
      <c r="P13" s="31" t="s">
        <v>31</v>
      </c>
      <c r="Q13" s="432"/>
      <c r="R13" s="43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431" t="s">
        <v>77</v>
      </c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  <c r="M14" s="431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433" t="s">
        <v>78</v>
      </c>
      <c r="B15" s="433"/>
      <c r="C15" s="433"/>
      <c r="D15" s="433"/>
      <c r="E15" s="433"/>
      <c r="F15" s="433"/>
      <c r="G15" s="433"/>
      <c r="H15" s="433"/>
      <c r="I15" s="433"/>
      <c r="J15" s="433"/>
      <c r="K15" s="433"/>
      <c r="L15" s="433"/>
      <c r="M15" s="433"/>
      <c r="N15" s="80"/>
      <c r="O15"/>
      <c r="P15" s="434" t="s">
        <v>61</v>
      </c>
      <c r="Q15" s="434"/>
      <c r="R15" s="434"/>
      <c r="S15" s="434"/>
      <c r="T15" s="43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35"/>
      <c r="Q16" s="435"/>
      <c r="R16" s="435"/>
      <c r="S16" s="435"/>
      <c r="T16" s="43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417" t="s">
        <v>59</v>
      </c>
      <c r="B17" s="417" t="s">
        <v>49</v>
      </c>
      <c r="C17" s="438" t="s">
        <v>48</v>
      </c>
      <c r="D17" s="440" t="s">
        <v>50</v>
      </c>
      <c r="E17" s="441"/>
      <c r="F17" s="417" t="s">
        <v>21</v>
      </c>
      <c r="G17" s="417" t="s">
        <v>24</v>
      </c>
      <c r="H17" s="417" t="s">
        <v>22</v>
      </c>
      <c r="I17" s="417" t="s">
        <v>23</v>
      </c>
      <c r="J17" s="417" t="s">
        <v>16</v>
      </c>
      <c r="K17" s="417" t="s">
        <v>69</v>
      </c>
      <c r="L17" s="417" t="s">
        <v>67</v>
      </c>
      <c r="M17" s="417" t="s">
        <v>2</v>
      </c>
      <c r="N17" s="417" t="s">
        <v>66</v>
      </c>
      <c r="O17" s="417" t="s">
        <v>25</v>
      </c>
      <c r="P17" s="440" t="s">
        <v>17</v>
      </c>
      <c r="Q17" s="444"/>
      <c r="R17" s="444"/>
      <c r="S17" s="444"/>
      <c r="T17" s="441"/>
      <c r="U17" s="436" t="s">
        <v>56</v>
      </c>
      <c r="V17" s="437"/>
      <c r="W17" s="417" t="s">
        <v>6</v>
      </c>
      <c r="X17" s="417" t="s">
        <v>41</v>
      </c>
      <c r="Y17" s="419" t="s">
        <v>54</v>
      </c>
      <c r="Z17" s="421" t="s">
        <v>18</v>
      </c>
      <c r="AA17" s="423" t="s">
        <v>60</v>
      </c>
      <c r="AB17" s="423" t="s">
        <v>19</v>
      </c>
      <c r="AC17" s="423" t="s">
        <v>68</v>
      </c>
      <c r="AD17" s="425" t="s">
        <v>57</v>
      </c>
      <c r="AE17" s="426"/>
      <c r="AF17" s="427"/>
      <c r="AG17" s="85"/>
      <c r="BD17" s="84" t="s">
        <v>64</v>
      </c>
    </row>
    <row r="18" spans="1:68" ht="14.25" customHeight="1" x14ac:dyDescent="0.25">
      <c r="A18" s="418"/>
      <c r="B18" s="418"/>
      <c r="C18" s="439"/>
      <c r="D18" s="442"/>
      <c r="E18" s="443"/>
      <c r="F18" s="418"/>
      <c r="G18" s="418"/>
      <c r="H18" s="418"/>
      <c r="I18" s="418"/>
      <c r="J18" s="418"/>
      <c r="K18" s="418"/>
      <c r="L18" s="418"/>
      <c r="M18" s="418"/>
      <c r="N18" s="418"/>
      <c r="O18" s="418"/>
      <c r="P18" s="442"/>
      <c r="Q18" s="445"/>
      <c r="R18" s="445"/>
      <c r="S18" s="445"/>
      <c r="T18" s="443"/>
      <c r="U18" s="86" t="s">
        <v>44</v>
      </c>
      <c r="V18" s="86" t="s">
        <v>43</v>
      </c>
      <c r="W18" s="418"/>
      <c r="X18" s="418"/>
      <c r="Y18" s="420"/>
      <c r="Z18" s="422"/>
      <c r="AA18" s="424"/>
      <c r="AB18" s="424"/>
      <c r="AC18" s="424"/>
      <c r="AD18" s="428"/>
      <c r="AE18" s="429"/>
      <c r="AF18" s="430"/>
      <c r="AG18" s="85"/>
      <c r="BD18" s="84"/>
    </row>
    <row r="19" spans="1:68" ht="27.75" customHeight="1" x14ac:dyDescent="0.25">
      <c r="A19" s="326" t="s">
        <v>81</v>
      </c>
      <c r="B19" s="326"/>
      <c r="C19" s="326"/>
      <c r="D19" s="326"/>
      <c r="E19" s="326"/>
      <c r="F19" s="326"/>
      <c r="G19" s="326"/>
      <c r="H19" s="326"/>
      <c r="I19" s="326"/>
      <c r="J19" s="326"/>
      <c r="K19" s="326"/>
      <c r="L19" s="326"/>
      <c r="M19" s="326"/>
      <c r="N19" s="326"/>
      <c r="O19" s="326"/>
      <c r="P19" s="326"/>
      <c r="Q19" s="326"/>
      <c r="R19" s="326"/>
      <c r="S19" s="326"/>
      <c r="T19" s="326"/>
      <c r="U19" s="326"/>
      <c r="V19" s="326"/>
      <c r="W19" s="326"/>
      <c r="X19" s="326"/>
      <c r="Y19" s="326"/>
      <c r="Z19" s="326"/>
      <c r="AA19" s="54"/>
      <c r="AB19" s="54"/>
      <c r="AC19" s="54"/>
    </row>
    <row r="20" spans="1:68" ht="16.5" customHeight="1" x14ac:dyDescent="0.25">
      <c r="A20" s="327" t="s">
        <v>81</v>
      </c>
      <c r="B20" s="327"/>
      <c r="C20" s="327"/>
      <c r="D20" s="327"/>
      <c r="E20" s="327"/>
      <c r="F20" s="327"/>
      <c r="G20" s="327"/>
      <c r="H20" s="327"/>
      <c r="I20" s="327"/>
      <c r="J20" s="327"/>
      <c r="K20" s="327"/>
      <c r="L20" s="327"/>
      <c r="M20" s="327"/>
      <c r="N20" s="327"/>
      <c r="O20" s="327"/>
      <c r="P20" s="327"/>
      <c r="Q20" s="327"/>
      <c r="R20" s="327"/>
      <c r="S20" s="327"/>
      <c r="T20" s="327"/>
      <c r="U20" s="327"/>
      <c r="V20" s="327"/>
      <c r="W20" s="327"/>
      <c r="X20" s="327"/>
      <c r="Y20" s="327"/>
      <c r="Z20" s="327"/>
      <c r="AA20" s="65"/>
      <c r="AB20" s="65"/>
      <c r="AC20" s="82"/>
    </row>
    <row r="21" spans="1:68" ht="14.25" customHeight="1" x14ac:dyDescent="0.25">
      <c r="A21" s="318" t="s">
        <v>82</v>
      </c>
      <c r="B21" s="318"/>
      <c r="C21" s="318"/>
      <c r="D21" s="318"/>
      <c r="E21" s="318"/>
      <c r="F21" s="318"/>
      <c r="G21" s="318"/>
      <c r="H21" s="318"/>
      <c r="I21" s="318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299">
        <v>4620207491508</v>
      </c>
      <c r="E22" s="299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1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01"/>
      <c r="R22" s="301"/>
      <c r="S22" s="301"/>
      <c r="T22" s="302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299">
        <v>4620207491256</v>
      </c>
      <c r="E23" s="299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1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01"/>
      <c r="R23" s="301"/>
      <c r="S23" s="301"/>
      <c r="T23" s="302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4301071135</v>
      </c>
      <c r="D24" s="299">
        <v>4620207491713</v>
      </c>
      <c r="E24" s="299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15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01"/>
      <c r="R24" s="301"/>
      <c r="S24" s="301"/>
      <c r="T24" s="302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4301071134</v>
      </c>
      <c r="D25" s="299">
        <v>4620207491720</v>
      </c>
      <c r="E25" s="299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1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01"/>
      <c r="R25" s="301"/>
      <c r="S25" s="301"/>
      <c r="T25" s="302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4301071108</v>
      </c>
      <c r="D26" s="299">
        <v>4607111035912</v>
      </c>
      <c r="E26" s="299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0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01"/>
      <c r="R26" s="301"/>
      <c r="S26" s="301"/>
      <c r="T26" s="302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299">
        <v>4607111035929</v>
      </c>
      <c r="E27" s="299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1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01"/>
      <c r="R27" s="301"/>
      <c r="S27" s="301"/>
      <c r="T27" s="302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102</v>
      </c>
      <c r="B28" s="63" t="s">
        <v>103</v>
      </c>
      <c r="C28" s="36">
        <v>4301071106</v>
      </c>
      <c r="D28" s="299">
        <v>4607111035882</v>
      </c>
      <c r="E28" s="299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1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01"/>
      <c r="R28" s="301"/>
      <c r="S28" s="301"/>
      <c r="T28" s="302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104</v>
      </c>
      <c r="B29" s="63" t="s">
        <v>105</v>
      </c>
      <c r="C29" s="36">
        <v>4301071107</v>
      </c>
      <c r="D29" s="299">
        <v>4607111035905</v>
      </c>
      <c r="E29" s="299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1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01"/>
      <c r="R29" s="301"/>
      <c r="S29" s="301"/>
      <c r="T29" s="302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5">
      <c r="A30" s="307"/>
      <c r="B30" s="307"/>
      <c r="C30" s="307"/>
      <c r="D30" s="307"/>
      <c r="E30" s="307"/>
      <c r="F30" s="307"/>
      <c r="G30" s="307"/>
      <c r="H30" s="307"/>
      <c r="I30" s="307"/>
      <c r="J30" s="307"/>
      <c r="K30" s="307"/>
      <c r="L30" s="307"/>
      <c r="M30" s="307"/>
      <c r="N30" s="307"/>
      <c r="O30" s="308"/>
      <c r="P30" s="304" t="s">
        <v>40</v>
      </c>
      <c r="Q30" s="305"/>
      <c r="R30" s="305"/>
      <c r="S30" s="305"/>
      <c r="T30" s="305"/>
      <c r="U30" s="305"/>
      <c r="V30" s="306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5">
      <c r="A31" s="307"/>
      <c r="B31" s="307"/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08"/>
      <c r="P31" s="304" t="s">
        <v>40</v>
      </c>
      <c r="Q31" s="305"/>
      <c r="R31" s="305"/>
      <c r="S31" s="305"/>
      <c r="T31" s="305"/>
      <c r="U31" s="305"/>
      <c r="V31" s="306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4.25" customHeight="1" x14ac:dyDescent="0.25">
      <c r="A32" s="318" t="s">
        <v>106</v>
      </c>
      <c r="B32" s="318"/>
      <c r="C32" s="318"/>
      <c r="D32" s="318"/>
      <c r="E32" s="318"/>
      <c r="F32" s="318"/>
      <c r="G32" s="318"/>
      <c r="H32" s="318"/>
      <c r="I32" s="318"/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66"/>
      <c r="AB32" s="66"/>
      <c r="AC32" s="83"/>
    </row>
    <row r="33" spans="1:68" ht="37.5" customHeight="1" x14ac:dyDescent="0.25">
      <c r="A33" s="63" t="s">
        <v>107</v>
      </c>
      <c r="B33" s="63" t="s">
        <v>108</v>
      </c>
      <c r="C33" s="36">
        <v>4301080162</v>
      </c>
      <c r="D33" s="299">
        <v>4620207492178</v>
      </c>
      <c r="E33" s="299"/>
      <c r="F33" s="62">
        <v>0.6</v>
      </c>
      <c r="G33" s="37">
        <v>10</v>
      </c>
      <c r="H33" s="62">
        <v>6</v>
      </c>
      <c r="I33" s="62">
        <v>6.23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407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301"/>
      <c r="R33" s="301"/>
      <c r="S33" s="301"/>
      <c r="T33" s="302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110</v>
      </c>
      <c r="AC33" s="105" t="s">
        <v>109</v>
      </c>
      <c r="AG33" s="81"/>
      <c r="AJ33" s="87" t="s">
        <v>89</v>
      </c>
      <c r="AK33" s="87">
        <v>1</v>
      </c>
      <c r="BB33" s="106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5">
      <c r="A34" s="307"/>
      <c r="B34" s="307"/>
      <c r="C34" s="307"/>
      <c r="D34" s="307"/>
      <c r="E34" s="307"/>
      <c r="F34" s="307"/>
      <c r="G34" s="307"/>
      <c r="H34" s="307"/>
      <c r="I34" s="307"/>
      <c r="J34" s="307"/>
      <c r="K34" s="307"/>
      <c r="L34" s="307"/>
      <c r="M34" s="307"/>
      <c r="N34" s="307"/>
      <c r="O34" s="308"/>
      <c r="P34" s="304" t="s">
        <v>40</v>
      </c>
      <c r="Q34" s="305"/>
      <c r="R34" s="305"/>
      <c r="S34" s="305"/>
      <c r="T34" s="305"/>
      <c r="U34" s="305"/>
      <c r="V34" s="306"/>
      <c r="W34" s="42" t="s">
        <v>39</v>
      </c>
      <c r="X34" s="43">
        <f>IFERROR(SUM(X33:X33),"0")</f>
        <v>0</v>
      </c>
      <c r="Y34" s="43">
        <f>IFERROR(SUM(Y33:Y33),"0")</f>
        <v>0</v>
      </c>
      <c r="Z34" s="43">
        <f>IFERROR(IF(Z33="",0,Z33),"0")</f>
        <v>0</v>
      </c>
      <c r="AA34" s="67"/>
      <c r="AB34" s="67"/>
      <c r="AC34" s="67"/>
    </row>
    <row r="35" spans="1:68" x14ac:dyDescent="0.25">
      <c r="A35" s="307"/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8"/>
      <c r="P35" s="304" t="s">
        <v>40</v>
      </c>
      <c r="Q35" s="305"/>
      <c r="R35" s="305"/>
      <c r="S35" s="305"/>
      <c r="T35" s="305"/>
      <c r="U35" s="305"/>
      <c r="V35" s="306"/>
      <c r="W35" s="42" t="s">
        <v>0</v>
      </c>
      <c r="X35" s="43">
        <f>IFERROR(SUMPRODUCT(X33:X33*H33:H33),"0")</f>
        <v>0</v>
      </c>
      <c r="Y35" s="43">
        <f>IFERROR(SUMPRODUCT(Y33:Y33*H33:H33),"0")</f>
        <v>0</v>
      </c>
      <c r="Z35" s="42"/>
      <c r="AA35" s="67"/>
      <c r="AB35" s="67"/>
      <c r="AC35" s="67"/>
    </row>
    <row r="36" spans="1:68" ht="16.5" customHeight="1" x14ac:dyDescent="0.25">
      <c r="A36" s="327" t="s">
        <v>111</v>
      </c>
      <c r="B36" s="327"/>
      <c r="C36" s="327"/>
      <c r="D36" s="327"/>
      <c r="E36" s="327"/>
      <c r="F36" s="327"/>
      <c r="G36" s="327"/>
      <c r="H36" s="327"/>
      <c r="I36" s="327"/>
      <c r="J36" s="327"/>
      <c r="K36" s="327"/>
      <c r="L36" s="327"/>
      <c r="M36" s="327"/>
      <c r="N36" s="327"/>
      <c r="O36" s="327"/>
      <c r="P36" s="327"/>
      <c r="Q36" s="327"/>
      <c r="R36" s="327"/>
      <c r="S36" s="327"/>
      <c r="T36" s="327"/>
      <c r="U36" s="327"/>
      <c r="V36" s="327"/>
      <c r="W36" s="327"/>
      <c r="X36" s="327"/>
      <c r="Y36" s="327"/>
      <c r="Z36" s="327"/>
      <c r="AA36" s="65"/>
      <c r="AB36" s="65"/>
      <c r="AC36" s="82"/>
    </row>
    <row r="37" spans="1:68" ht="14.25" customHeight="1" x14ac:dyDescent="0.25">
      <c r="A37" s="318" t="s">
        <v>82</v>
      </c>
      <c r="B37" s="318"/>
      <c r="C37" s="318"/>
      <c r="D37" s="318"/>
      <c r="E37" s="318"/>
      <c r="F37" s="318"/>
      <c r="G37" s="318"/>
      <c r="H37" s="318"/>
      <c r="I37" s="318"/>
      <c r="J37" s="318"/>
      <c r="K37" s="318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66"/>
      <c r="AB37" s="66"/>
      <c r="AC37" s="83"/>
    </row>
    <row r="38" spans="1:68" ht="16.5" customHeight="1" x14ac:dyDescent="0.25">
      <c r="A38" s="63" t="s">
        <v>112</v>
      </c>
      <c r="B38" s="63" t="s">
        <v>113</v>
      </c>
      <c r="C38" s="36">
        <v>4301071099</v>
      </c>
      <c r="D38" s="299">
        <v>4607111039019</v>
      </c>
      <c r="E38" s="299"/>
      <c r="F38" s="62">
        <v>0.43</v>
      </c>
      <c r="G38" s="37">
        <v>16</v>
      </c>
      <c r="H38" s="62">
        <v>6.88</v>
      </c>
      <c r="I38" s="62">
        <v>7.2060000000000004</v>
      </c>
      <c r="J38" s="37">
        <v>84</v>
      </c>
      <c r="K38" s="37" t="s">
        <v>87</v>
      </c>
      <c r="L38" s="37" t="s">
        <v>88</v>
      </c>
      <c r="M38" s="38" t="s">
        <v>86</v>
      </c>
      <c r="N38" s="38"/>
      <c r="O38" s="37">
        <v>180</v>
      </c>
      <c r="P38" s="40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301"/>
      <c r="R38" s="301"/>
      <c r="S38" s="301"/>
      <c r="T38" s="302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IFERROR(IF(X38="","",X38*0.0155),"")</f>
        <v>0</v>
      </c>
      <c r="AA38" s="68" t="s">
        <v>46</v>
      </c>
      <c r="AB38" s="69" t="s">
        <v>46</v>
      </c>
      <c r="AC38" s="107" t="s">
        <v>114</v>
      </c>
      <c r="AG38" s="81"/>
      <c r="AJ38" s="87" t="s">
        <v>89</v>
      </c>
      <c r="AK38" s="87">
        <v>1</v>
      </c>
      <c r="BB38" s="108" t="s">
        <v>70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ht="16.5" customHeight="1" x14ac:dyDescent="0.25">
      <c r="A39" s="63" t="s">
        <v>115</v>
      </c>
      <c r="B39" s="63" t="s">
        <v>116</v>
      </c>
      <c r="C39" s="36">
        <v>4301071100</v>
      </c>
      <c r="D39" s="299">
        <v>4607111038708</v>
      </c>
      <c r="E39" s="299"/>
      <c r="F39" s="62">
        <v>0.8</v>
      </c>
      <c r="G39" s="37">
        <v>8</v>
      </c>
      <c r="H39" s="62">
        <v>6.4</v>
      </c>
      <c r="I39" s="62">
        <v>6.67</v>
      </c>
      <c r="J39" s="37">
        <v>84</v>
      </c>
      <c r="K39" s="37" t="s">
        <v>87</v>
      </c>
      <c r="L39" s="37" t="s">
        <v>88</v>
      </c>
      <c r="M39" s="38" t="s">
        <v>86</v>
      </c>
      <c r="N39" s="38"/>
      <c r="O39" s="37">
        <v>180</v>
      </c>
      <c r="P39" s="40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301"/>
      <c r="R39" s="301"/>
      <c r="S39" s="301"/>
      <c r="T39" s="302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IFERROR(IF(X39="","",X39*0.0155),"")</f>
        <v>0</v>
      </c>
      <c r="AA39" s="68" t="s">
        <v>46</v>
      </c>
      <c r="AB39" s="69" t="s">
        <v>46</v>
      </c>
      <c r="AC39" s="109" t="s">
        <v>114</v>
      </c>
      <c r="AG39" s="81"/>
      <c r="AJ39" s="87" t="s">
        <v>89</v>
      </c>
      <c r="AK39" s="87">
        <v>1</v>
      </c>
      <c r="BB39" s="110" t="s">
        <v>70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x14ac:dyDescent="0.25">
      <c r="A40" s="307"/>
      <c r="B40" s="307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8"/>
      <c r="P40" s="304" t="s">
        <v>40</v>
      </c>
      <c r="Q40" s="305"/>
      <c r="R40" s="305"/>
      <c r="S40" s="305"/>
      <c r="T40" s="305"/>
      <c r="U40" s="305"/>
      <c r="V40" s="306"/>
      <c r="W40" s="42" t="s">
        <v>39</v>
      </c>
      <c r="X40" s="43">
        <f>IFERROR(SUM(X38:X39),"0")</f>
        <v>0</v>
      </c>
      <c r="Y40" s="43">
        <f>IFERROR(SUM(Y38:Y39),"0")</f>
        <v>0</v>
      </c>
      <c r="Z40" s="43">
        <f>IFERROR(IF(Z38="",0,Z38),"0")+IFERROR(IF(Z39="",0,Z39),"0")</f>
        <v>0</v>
      </c>
      <c r="AA40" s="67"/>
      <c r="AB40" s="67"/>
      <c r="AC40" s="67"/>
    </row>
    <row r="41" spans="1:68" x14ac:dyDescent="0.25">
      <c r="A41" s="307"/>
      <c r="B41" s="307"/>
      <c r="C41" s="307"/>
      <c r="D41" s="307"/>
      <c r="E41" s="307"/>
      <c r="F41" s="307"/>
      <c r="G41" s="307"/>
      <c r="H41" s="307"/>
      <c r="I41" s="307"/>
      <c r="J41" s="307"/>
      <c r="K41" s="307"/>
      <c r="L41" s="307"/>
      <c r="M41" s="307"/>
      <c r="N41" s="307"/>
      <c r="O41" s="308"/>
      <c r="P41" s="304" t="s">
        <v>40</v>
      </c>
      <c r="Q41" s="305"/>
      <c r="R41" s="305"/>
      <c r="S41" s="305"/>
      <c r="T41" s="305"/>
      <c r="U41" s="305"/>
      <c r="V41" s="306"/>
      <c r="W41" s="42" t="s">
        <v>0</v>
      </c>
      <c r="X41" s="43">
        <f>IFERROR(SUMPRODUCT(X38:X39*H38:H39),"0")</f>
        <v>0</v>
      </c>
      <c r="Y41" s="43">
        <f>IFERROR(SUMPRODUCT(Y38:Y39*H38:H39),"0")</f>
        <v>0</v>
      </c>
      <c r="Z41" s="42"/>
      <c r="AA41" s="67"/>
      <c r="AB41" s="67"/>
      <c r="AC41" s="67"/>
    </row>
    <row r="42" spans="1:68" ht="27.75" customHeight="1" x14ac:dyDescent="0.25">
      <c r="A42" s="326" t="s">
        <v>45</v>
      </c>
      <c r="B42" s="326"/>
      <c r="C42" s="326"/>
      <c r="D42" s="326"/>
      <c r="E42" s="326"/>
      <c r="F42" s="326"/>
      <c r="G42" s="326"/>
      <c r="H42" s="326"/>
      <c r="I42" s="326"/>
      <c r="J42" s="326"/>
      <c r="K42" s="326"/>
      <c r="L42" s="326"/>
      <c r="M42" s="326"/>
      <c r="N42" s="326"/>
      <c r="O42" s="326"/>
      <c r="P42" s="326"/>
      <c r="Q42" s="326"/>
      <c r="R42" s="326"/>
      <c r="S42" s="326"/>
      <c r="T42" s="326"/>
      <c r="U42" s="326"/>
      <c r="V42" s="326"/>
      <c r="W42" s="326"/>
      <c r="X42" s="326"/>
      <c r="Y42" s="326"/>
      <c r="Z42" s="326"/>
      <c r="AA42" s="54"/>
      <c r="AB42" s="54"/>
      <c r="AC42" s="54"/>
    </row>
    <row r="43" spans="1:68" ht="16.5" customHeight="1" x14ac:dyDescent="0.25">
      <c r="A43" s="327" t="s">
        <v>117</v>
      </c>
      <c r="B43" s="327"/>
      <c r="C43" s="327"/>
      <c r="D43" s="327"/>
      <c r="E43" s="327"/>
      <c r="F43" s="327"/>
      <c r="G43" s="327"/>
      <c r="H43" s="327"/>
      <c r="I43" s="327"/>
      <c r="J43" s="327"/>
      <c r="K43" s="327"/>
      <c r="L43" s="327"/>
      <c r="M43" s="327"/>
      <c r="N43" s="327"/>
      <c r="O43" s="327"/>
      <c r="P43" s="327"/>
      <c r="Q43" s="327"/>
      <c r="R43" s="327"/>
      <c r="S43" s="327"/>
      <c r="T43" s="327"/>
      <c r="U43" s="327"/>
      <c r="V43" s="327"/>
      <c r="W43" s="327"/>
      <c r="X43" s="327"/>
      <c r="Y43" s="327"/>
      <c r="Z43" s="327"/>
      <c r="AA43" s="65"/>
      <c r="AB43" s="65"/>
      <c r="AC43" s="82"/>
    </row>
    <row r="44" spans="1:68" ht="14.25" customHeight="1" x14ac:dyDescent="0.25">
      <c r="A44" s="318" t="s">
        <v>118</v>
      </c>
      <c r="B44" s="318"/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66"/>
      <c r="AB44" s="66"/>
      <c r="AC44" s="83"/>
    </row>
    <row r="45" spans="1:68" ht="27" customHeight="1" x14ac:dyDescent="0.25">
      <c r="A45" s="63" t="s">
        <v>119</v>
      </c>
      <c r="B45" s="63" t="s">
        <v>120</v>
      </c>
      <c r="C45" s="36">
        <v>4301132190</v>
      </c>
      <c r="D45" s="299">
        <v>4607111036537</v>
      </c>
      <c r="E45" s="299"/>
      <c r="F45" s="62">
        <v>0.25</v>
      </c>
      <c r="G45" s="37">
        <v>6</v>
      </c>
      <c r="H45" s="62">
        <v>1.5</v>
      </c>
      <c r="I45" s="62">
        <v>1.9218</v>
      </c>
      <c r="J45" s="37">
        <v>140</v>
      </c>
      <c r="K45" s="37" t="s">
        <v>123</v>
      </c>
      <c r="L45" s="37" t="s">
        <v>124</v>
      </c>
      <c r="M45" s="38" t="s">
        <v>86</v>
      </c>
      <c r="N45" s="38"/>
      <c r="O45" s="37">
        <v>365</v>
      </c>
      <c r="P45" s="40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301"/>
      <c r="R45" s="301"/>
      <c r="S45" s="301"/>
      <c r="T45" s="302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IFERROR(IF(X45="","",X45*0.00941),"")</f>
        <v>0</v>
      </c>
      <c r="AA45" s="68" t="s">
        <v>46</v>
      </c>
      <c r="AB45" s="69" t="s">
        <v>46</v>
      </c>
      <c r="AC45" s="111" t="s">
        <v>121</v>
      </c>
      <c r="AG45" s="81"/>
      <c r="AJ45" s="87" t="s">
        <v>125</v>
      </c>
      <c r="AK45" s="87">
        <v>14</v>
      </c>
      <c r="BB45" s="112" t="s">
        <v>122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126</v>
      </c>
      <c r="B46" s="63" t="s">
        <v>127</v>
      </c>
      <c r="C46" s="36">
        <v>4301132188</v>
      </c>
      <c r="D46" s="299">
        <v>4607111036605</v>
      </c>
      <c r="E46" s="299"/>
      <c r="F46" s="62">
        <v>0.25</v>
      </c>
      <c r="G46" s="37">
        <v>6</v>
      </c>
      <c r="H46" s="62">
        <v>1.5</v>
      </c>
      <c r="I46" s="62">
        <v>1.9218</v>
      </c>
      <c r="J46" s="37">
        <v>140</v>
      </c>
      <c r="K46" s="37" t="s">
        <v>123</v>
      </c>
      <c r="L46" s="37" t="s">
        <v>88</v>
      </c>
      <c r="M46" s="38" t="s">
        <v>86</v>
      </c>
      <c r="N46" s="38"/>
      <c r="O46" s="37">
        <v>365</v>
      </c>
      <c r="P46" s="40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301"/>
      <c r="R46" s="301"/>
      <c r="S46" s="301"/>
      <c r="T46" s="302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IFERROR(IF(X46="","",X46*0.00941),"")</f>
        <v>0</v>
      </c>
      <c r="AA46" s="68" t="s">
        <v>46</v>
      </c>
      <c r="AB46" s="69" t="s">
        <v>46</v>
      </c>
      <c r="AC46" s="113" t="s">
        <v>121</v>
      </c>
      <c r="AG46" s="81"/>
      <c r="AJ46" s="87" t="s">
        <v>89</v>
      </c>
      <c r="AK46" s="87">
        <v>1</v>
      </c>
      <c r="BB46" s="114" t="s">
        <v>122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x14ac:dyDescent="0.25">
      <c r="A47" s="307"/>
      <c r="B47" s="307"/>
      <c r="C47" s="307"/>
      <c r="D47" s="307"/>
      <c r="E47" s="307"/>
      <c r="F47" s="307"/>
      <c r="G47" s="307"/>
      <c r="H47" s="307"/>
      <c r="I47" s="307"/>
      <c r="J47" s="307"/>
      <c r="K47" s="307"/>
      <c r="L47" s="307"/>
      <c r="M47" s="307"/>
      <c r="N47" s="307"/>
      <c r="O47" s="308"/>
      <c r="P47" s="304" t="s">
        <v>40</v>
      </c>
      <c r="Q47" s="305"/>
      <c r="R47" s="305"/>
      <c r="S47" s="305"/>
      <c r="T47" s="305"/>
      <c r="U47" s="305"/>
      <c r="V47" s="306"/>
      <c r="W47" s="42" t="s">
        <v>39</v>
      </c>
      <c r="X47" s="43">
        <f>IFERROR(SUM(X45:X46),"0")</f>
        <v>0</v>
      </c>
      <c r="Y47" s="43">
        <f>IFERROR(SUM(Y45:Y46),"0")</f>
        <v>0</v>
      </c>
      <c r="Z47" s="43">
        <f>IFERROR(IF(Z45="",0,Z45),"0")+IFERROR(IF(Z46="",0,Z46),"0")</f>
        <v>0</v>
      </c>
      <c r="AA47" s="67"/>
      <c r="AB47" s="67"/>
      <c r="AC47" s="67"/>
    </row>
    <row r="48" spans="1:68" x14ac:dyDescent="0.25">
      <c r="A48" s="307"/>
      <c r="B48" s="307"/>
      <c r="C48" s="307"/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8"/>
      <c r="P48" s="304" t="s">
        <v>40</v>
      </c>
      <c r="Q48" s="305"/>
      <c r="R48" s="305"/>
      <c r="S48" s="305"/>
      <c r="T48" s="305"/>
      <c r="U48" s="305"/>
      <c r="V48" s="306"/>
      <c r="W48" s="42" t="s">
        <v>0</v>
      </c>
      <c r="X48" s="43">
        <f>IFERROR(SUMPRODUCT(X45:X46*H45:H46),"0")</f>
        <v>0</v>
      </c>
      <c r="Y48" s="43">
        <f>IFERROR(SUMPRODUCT(Y45:Y46*H45:H46),"0")</f>
        <v>0</v>
      </c>
      <c r="Z48" s="42"/>
      <c r="AA48" s="67"/>
      <c r="AB48" s="67"/>
      <c r="AC48" s="67"/>
    </row>
    <row r="49" spans="1:68" ht="16.5" customHeight="1" x14ac:dyDescent="0.25">
      <c r="A49" s="327" t="s">
        <v>128</v>
      </c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27"/>
      <c r="X49" s="327"/>
      <c r="Y49" s="327"/>
      <c r="Z49" s="327"/>
      <c r="AA49" s="65"/>
      <c r="AB49" s="65"/>
      <c r="AC49" s="82"/>
    </row>
    <row r="50" spans="1:68" ht="14.25" customHeight="1" x14ac:dyDescent="0.25">
      <c r="A50" s="318" t="s">
        <v>82</v>
      </c>
      <c r="B50" s="318"/>
      <c r="C50" s="318"/>
      <c r="D50" s="318"/>
      <c r="E50" s="318"/>
      <c r="F50" s="31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66"/>
      <c r="AB50" s="66"/>
      <c r="AC50" s="83"/>
    </row>
    <row r="51" spans="1:68" ht="27" customHeight="1" x14ac:dyDescent="0.25">
      <c r="A51" s="63" t="s">
        <v>129</v>
      </c>
      <c r="B51" s="63" t="s">
        <v>130</v>
      </c>
      <c r="C51" s="36">
        <v>4301071044</v>
      </c>
      <c r="D51" s="299">
        <v>4607111039385</v>
      </c>
      <c r="E51" s="299"/>
      <c r="F51" s="62">
        <v>0.7</v>
      </c>
      <c r="G51" s="37">
        <v>10</v>
      </c>
      <c r="H51" s="62">
        <v>7</v>
      </c>
      <c r="I51" s="62">
        <v>7.3</v>
      </c>
      <c r="J51" s="37">
        <v>84</v>
      </c>
      <c r="K51" s="37" t="s">
        <v>87</v>
      </c>
      <c r="L51" s="37" t="s">
        <v>124</v>
      </c>
      <c r="M51" s="38" t="s">
        <v>86</v>
      </c>
      <c r="N51" s="38"/>
      <c r="O51" s="37">
        <v>180</v>
      </c>
      <c r="P51" s="40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1" s="301"/>
      <c r="R51" s="301"/>
      <c r="S51" s="301"/>
      <c r="T51" s="302"/>
      <c r="U51" s="39" t="s">
        <v>46</v>
      </c>
      <c r="V51" s="39" t="s">
        <v>46</v>
      </c>
      <c r="W51" s="40" t="s">
        <v>39</v>
      </c>
      <c r="X51" s="58">
        <v>0</v>
      </c>
      <c r="Y51" s="55">
        <f>IFERROR(IF(X51="","",X51),"")</f>
        <v>0</v>
      </c>
      <c r="Z51" s="41">
        <f>IFERROR(IF(X51="","",X51*0.0155),"")</f>
        <v>0</v>
      </c>
      <c r="AA51" s="68" t="s">
        <v>46</v>
      </c>
      <c r="AB51" s="69" t="s">
        <v>46</v>
      </c>
      <c r="AC51" s="115" t="s">
        <v>131</v>
      </c>
      <c r="AG51" s="81"/>
      <c r="AJ51" s="87" t="s">
        <v>125</v>
      </c>
      <c r="AK51" s="87">
        <v>12</v>
      </c>
      <c r="BB51" s="116" t="s">
        <v>70</v>
      </c>
      <c r="BM51" s="81">
        <f>IFERROR(X51*I51,"0")</f>
        <v>0</v>
      </c>
      <c r="BN51" s="81">
        <f>IFERROR(Y51*I51,"0")</f>
        <v>0</v>
      </c>
      <c r="BO51" s="81">
        <f>IFERROR(X51/J51,"0")</f>
        <v>0</v>
      </c>
      <c r="BP51" s="81">
        <f>IFERROR(Y51/J51,"0")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4301071031</v>
      </c>
      <c r="D52" s="299">
        <v>4607111038982</v>
      </c>
      <c r="E52" s="299"/>
      <c r="F52" s="62">
        <v>0.7</v>
      </c>
      <c r="G52" s="37">
        <v>10</v>
      </c>
      <c r="H52" s="62">
        <v>7</v>
      </c>
      <c r="I52" s="62">
        <v>7.2859999999999996</v>
      </c>
      <c r="J52" s="37">
        <v>84</v>
      </c>
      <c r="K52" s="37" t="s">
        <v>87</v>
      </c>
      <c r="L52" s="37" t="s">
        <v>124</v>
      </c>
      <c r="M52" s="38" t="s">
        <v>86</v>
      </c>
      <c r="N52" s="38"/>
      <c r="O52" s="37">
        <v>180</v>
      </c>
      <c r="P52" s="40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2" s="301"/>
      <c r="R52" s="301"/>
      <c r="S52" s="301"/>
      <c r="T52" s="302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7" t="s">
        <v>134</v>
      </c>
      <c r="AG52" s="81"/>
      <c r="AJ52" s="87" t="s">
        <v>125</v>
      </c>
      <c r="AK52" s="87">
        <v>12</v>
      </c>
      <c r="BB52" s="118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135</v>
      </c>
      <c r="B53" s="63" t="s">
        <v>136</v>
      </c>
      <c r="C53" s="36">
        <v>4301071046</v>
      </c>
      <c r="D53" s="299">
        <v>4607111039354</v>
      </c>
      <c r="E53" s="299"/>
      <c r="F53" s="62">
        <v>0.4</v>
      </c>
      <c r="G53" s="37">
        <v>16</v>
      </c>
      <c r="H53" s="62">
        <v>6.4</v>
      </c>
      <c r="I53" s="62">
        <v>6.7195999999999998</v>
      </c>
      <c r="J53" s="37">
        <v>84</v>
      </c>
      <c r="K53" s="37" t="s">
        <v>87</v>
      </c>
      <c r="L53" s="37" t="s">
        <v>124</v>
      </c>
      <c r="M53" s="38" t="s">
        <v>86</v>
      </c>
      <c r="N53" s="38"/>
      <c r="O53" s="37">
        <v>180</v>
      </c>
      <c r="P53" s="40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3" s="301"/>
      <c r="R53" s="301"/>
      <c r="S53" s="301"/>
      <c r="T53" s="302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9" t="s">
        <v>134</v>
      </c>
      <c r="AG53" s="81"/>
      <c r="AJ53" s="87" t="s">
        <v>125</v>
      </c>
      <c r="AK53" s="87">
        <v>12</v>
      </c>
      <c r="BB53" s="120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4301071047</v>
      </c>
      <c r="D54" s="299">
        <v>4607111039330</v>
      </c>
      <c r="E54" s="299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124</v>
      </c>
      <c r="M54" s="38" t="s">
        <v>86</v>
      </c>
      <c r="N54" s="38"/>
      <c r="O54" s="37">
        <v>180</v>
      </c>
      <c r="P54" s="40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4" s="301"/>
      <c r="R54" s="301"/>
      <c r="S54" s="301"/>
      <c r="T54" s="302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21" t="s">
        <v>134</v>
      </c>
      <c r="AG54" s="81"/>
      <c r="AJ54" s="87" t="s">
        <v>125</v>
      </c>
      <c r="AK54" s="87">
        <v>12</v>
      </c>
      <c r="BB54" s="122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x14ac:dyDescent="0.25">
      <c r="A55" s="307"/>
      <c r="B55" s="307"/>
      <c r="C55" s="307"/>
      <c r="D55" s="307"/>
      <c r="E55" s="307"/>
      <c r="F55" s="307"/>
      <c r="G55" s="307"/>
      <c r="H55" s="307"/>
      <c r="I55" s="307"/>
      <c r="J55" s="307"/>
      <c r="K55" s="307"/>
      <c r="L55" s="307"/>
      <c r="M55" s="307"/>
      <c r="N55" s="307"/>
      <c r="O55" s="308"/>
      <c r="P55" s="304" t="s">
        <v>40</v>
      </c>
      <c r="Q55" s="305"/>
      <c r="R55" s="305"/>
      <c r="S55" s="305"/>
      <c r="T55" s="305"/>
      <c r="U55" s="305"/>
      <c r="V55" s="306"/>
      <c r="W55" s="42" t="s">
        <v>39</v>
      </c>
      <c r="X55" s="43">
        <f>IFERROR(SUM(X51:X54),"0")</f>
        <v>0</v>
      </c>
      <c r="Y55" s="43">
        <f>IFERROR(SUM(Y51:Y54),"0")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5">
      <c r="A56" s="307"/>
      <c r="B56" s="307"/>
      <c r="C56" s="307"/>
      <c r="D56" s="307"/>
      <c r="E56" s="307"/>
      <c r="F56" s="307"/>
      <c r="G56" s="307"/>
      <c r="H56" s="307"/>
      <c r="I56" s="307"/>
      <c r="J56" s="307"/>
      <c r="K56" s="307"/>
      <c r="L56" s="307"/>
      <c r="M56" s="307"/>
      <c r="N56" s="307"/>
      <c r="O56" s="308"/>
      <c r="P56" s="304" t="s">
        <v>40</v>
      </c>
      <c r="Q56" s="305"/>
      <c r="R56" s="305"/>
      <c r="S56" s="305"/>
      <c r="T56" s="305"/>
      <c r="U56" s="305"/>
      <c r="V56" s="306"/>
      <c r="W56" s="42" t="s">
        <v>0</v>
      </c>
      <c r="X56" s="43">
        <f>IFERROR(SUMPRODUCT(X51:X54*H51:H54),"0")</f>
        <v>0</v>
      </c>
      <c r="Y56" s="43">
        <f>IFERROR(SUMPRODUCT(Y51:Y54*H51:H54),"0")</f>
        <v>0</v>
      </c>
      <c r="Z56" s="42"/>
      <c r="AA56" s="67"/>
      <c r="AB56" s="67"/>
      <c r="AC56" s="67"/>
    </row>
    <row r="57" spans="1:68" ht="16.5" customHeight="1" x14ac:dyDescent="0.25">
      <c r="A57" s="327" t="s">
        <v>139</v>
      </c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27"/>
      <c r="X57" s="327"/>
      <c r="Y57" s="327"/>
      <c r="Z57" s="327"/>
      <c r="AA57" s="65"/>
      <c r="AB57" s="65"/>
      <c r="AC57" s="82"/>
    </row>
    <row r="58" spans="1:68" ht="14.25" customHeight="1" x14ac:dyDescent="0.25">
      <c r="A58" s="318" t="s">
        <v>140</v>
      </c>
      <c r="B58" s="318"/>
      <c r="C58" s="318"/>
      <c r="D58" s="318"/>
      <c r="E58" s="318"/>
      <c r="F58" s="318"/>
      <c r="G58" s="318"/>
      <c r="H58" s="318"/>
      <c r="I58" s="318"/>
      <c r="J58" s="318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66"/>
      <c r="AB58" s="66"/>
      <c r="AC58" s="83"/>
    </row>
    <row r="59" spans="1:68" ht="27" customHeight="1" x14ac:dyDescent="0.25">
      <c r="A59" s="63" t="s">
        <v>141</v>
      </c>
      <c r="B59" s="63" t="s">
        <v>142</v>
      </c>
      <c r="C59" s="36">
        <v>4301132194</v>
      </c>
      <c r="D59" s="299">
        <v>4607111039712</v>
      </c>
      <c r="E59" s="299"/>
      <c r="F59" s="62">
        <v>0.2</v>
      </c>
      <c r="G59" s="37">
        <v>6</v>
      </c>
      <c r="H59" s="62">
        <v>1.2</v>
      </c>
      <c r="I59" s="62">
        <v>1.56</v>
      </c>
      <c r="J59" s="37">
        <v>140</v>
      </c>
      <c r="K59" s="37" t="s">
        <v>123</v>
      </c>
      <c r="L59" s="37" t="s">
        <v>88</v>
      </c>
      <c r="M59" s="38" t="s">
        <v>86</v>
      </c>
      <c r="N59" s="38"/>
      <c r="O59" s="37">
        <v>365</v>
      </c>
      <c r="P59" s="396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9" s="301"/>
      <c r="R59" s="301"/>
      <c r="S59" s="301"/>
      <c r="T59" s="302"/>
      <c r="U59" s="39" t="s">
        <v>46</v>
      </c>
      <c r="V59" s="39" t="s">
        <v>46</v>
      </c>
      <c r="W59" s="40" t="s">
        <v>39</v>
      </c>
      <c r="X59" s="58">
        <v>0</v>
      </c>
      <c r="Y59" s="55">
        <f>IFERROR(IF(X59="","",X59),"")</f>
        <v>0</v>
      </c>
      <c r="Z59" s="41">
        <f>IFERROR(IF(X59="","",X59*0.00941),"")</f>
        <v>0</v>
      </c>
      <c r="AA59" s="68" t="s">
        <v>46</v>
      </c>
      <c r="AB59" s="69" t="s">
        <v>46</v>
      </c>
      <c r="AC59" s="123" t="s">
        <v>143</v>
      </c>
      <c r="AG59" s="81"/>
      <c r="AJ59" s="87" t="s">
        <v>89</v>
      </c>
      <c r="AK59" s="87">
        <v>1</v>
      </c>
      <c r="BB59" s="124" t="s">
        <v>122</v>
      </c>
      <c r="BM59" s="81">
        <f>IFERROR(X59*I59,"0")</f>
        <v>0</v>
      </c>
      <c r="BN59" s="81">
        <f>IFERROR(Y59*I59,"0")</f>
        <v>0</v>
      </c>
      <c r="BO59" s="81">
        <f>IFERROR(X59/J59,"0")</f>
        <v>0</v>
      </c>
      <c r="BP59" s="81">
        <f>IFERROR(Y59/J59,"0")</f>
        <v>0</v>
      </c>
    </row>
    <row r="60" spans="1:68" ht="27" customHeight="1" x14ac:dyDescent="0.25">
      <c r="A60" s="63" t="s">
        <v>144</v>
      </c>
      <c r="B60" s="63" t="s">
        <v>145</v>
      </c>
      <c r="C60" s="36">
        <v>4301135664</v>
      </c>
      <c r="D60" s="299">
        <v>4607111039705</v>
      </c>
      <c r="E60" s="299"/>
      <c r="F60" s="62">
        <v>0.2</v>
      </c>
      <c r="G60" s="37">
        <v>6</v>
      </c>
      <c r="H60" s="62">
        <v>1.2</v>
      </c>
      <c r="I60" s="62">
        <v>1.56</v>
      </c>
      <c r="J60" s="37">
        <v>140</v>
      </c>
      <c r="K60" s="37" t="s">
        <v>123</v>
      </c>
      <c r="L60" s="37" t="s">
        <v>88</v>
      </c>
      <c r="M60" s="38" t="s">
        <v>86</v>
      </c>
      <c r="N60" s="38"/>
      <c r="O60" s="37">
        <v>365</v>
      </c>
      <c r="P60" s="397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0" s="301"/>
      <c r="R60" s="301"/>
      <c r="S60" s="301"/>
      <c r="T60" s="302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IFERROR(IF(X60="","",X60*0.00941),"")</f>
        <v>0</v>
      </c>
      <c r="AA60" s="68" t="s">
        <v>46</v>
      </c>
      <c r="AB60" s="69" t="s">
        <v>46</v>
      </c>
      <c r="AC60" s="125" t="s">
        <v>146</v>
      </c>
      <c r="AG60" s="81"/>
      <c r="AJ60" s="87" t="s">
        <v>89</v>
      </c>
      <c r="AK60" s="87">
        <v>1</v>
      </c>
      <c r="BB60" s="126" t="s">
        <v>122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ht="27" customHeight="1" x14ac:dyDescent="0.25">
      <c r="A61" s="63" t="s">
        <v>147</v>
      </c>
      <c r="B61" s="63" t="s">
        <v>148</v>
      </c>
      <c r="C61" s="36">
        <v>4301135665</v>
      </c>
      <c r="D61" s="299">
        <v>4607111039729</v>
      </c>
      <c r="E61" s="299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123</v>
      </c>
      <c r="L61" s="37" t="s">
        <v>124</v>
      </c>
      <c r="M61" s="38" t="s">
        <v>86</v>
      </c>
      <c r="N61" s="38"/>
      <c r="O61" s="37">
        <v>365</v>
      </c>
      <c r="P61" s="398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1" s="301"/>
      <c r="R61" s="301"/>
      <c r="S61" s="301"/>
      <c r="T61" s="302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7" t="s">
        <v>149</v>
      </c>
      <c r="AG61" s="81"/>
      <c r="AJ61" s="87" t="s">
        <v>125</v>
      </c>
      <c r="AK61" s="87">
        <v>14</v>
      </c>
      <c r="BB61" s="128" t="s">
        <v>122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t="27" customHeight="1" x14ac:dyDescent="0.25">
      <c r="A62" s="63" t="s">
        <v>150</v>
      </c>
      <c r="B62" s="63" t="s">
        <v>151</v>
      </c>
      <c r="C62" s="36">
        <v>4301135702</v>
      </c>
      <c r="D62" s="299">
        <v>4620207490228</v>
      </c>
      <c r="E62" s="299"/>
      <c r="F62" s="62">
        <v>0.2</v>
      </c>
      <c r="G62" s="37">
        <v>6</v>
      </c>
      <c r="H62" s="62">
        <v>1.2</v>
      </c>
      <c r="I62" s="62">
        <v>1.56</v>
      </c>
      <c r="J62" s="37">
        <v>140</v>
      </c>
      <c r="K62" s="37" t="s">
        <v>123</v>
      </c>
      <c r="L62" s="37" t="s">
        <v>124</v>
      </c>
      <c r="M62" s="38" t="s">
        <v>86</v>
      </c>
      <c r="N62" s="38"/>
      <c r="O62" s="37">
        <v>365</v>
      </c>
      <c r="P62" s="399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2" s="301"/>
      <c r="R62" s="301"/>
      <c r="S62" s="301"/>
      <c r="T62" s="302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IFERROR(IF(X62="","",X62*0.00941),"")</f>
        <v>0</v>
      </c>
      <c r="AA62" s="68" t="s">
        <v>46</v>
      </c>
      <c r="AB62" s="69" t="s">
        <v>46</v>
      </c>
      <c r="AC62" s="129" t="s">
        <v>149</v>
      </c>
      <c r="AG62" s="81"/>
      <c r="AJ62" s="87" t="s">
        <v>125</v>
      </c>
      <c r="AK62" s="87">
        <v>14</v>
      </c>
      <c r="BB62" s="130" t="s">
        <v>122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x14ac:dyDescent="0.25">
      <c r="A63" s="307"/>
      <c r="B63" s="307"/>
      <c r="C63" s="307"/>
      <c r="D63" s="307"/>
      <c r="E63" s="307"/>
      <c r="F63" s="307"/>
      <c r="G63" s="307"/>
      <c r="H63" s="307"/>
      <c r="I63" s="307"/>
      <c r="J63" s="307"/>
      <c r="K63" s="307"/>
      <c r="L63" s="307"/>
      <c r="M63" s="307"/>
      <c r="N63" s="307"/>
      <c r="O63" s="308"/>
      <c r="P63" s="304" t="s">
        <v>40</v>
      </c>
      <c r="Q63" s="305"/>
      <c r="R63" s="305"/>
      <c r="S63" s="305"/>
      <c r="T63" s="305"/>
      <c r="U63" s="305"/>
      <c r="V63" s="306"/>
      <c r="W63" s="42" t="s">
        <v>39</v>
      </c>
      <c r="X63" s="43">
        <f>IFERROR(SUM(X59:X62),"0")</f>
        <v>0</v>
      </c>
      <c r="Y63" s="43">
        <f>IFERROR(SUM(Y59:Y62),"0")</f>
        <v>0</v>
      </c>
      <c r="Z63" s="43">
        <f>IFERROR(IF(Z59="",0,Z59),"0")+IFERROR(IF(Z60="",0,Z60),"0")+IFERROR(IF(Z61="",0,Z61),"0")+IFERROR(IF(Z62="",0,Z62),"0")</f>
        <v>0</v>
      </c>
      <c r="AA63" s="67"/>
      <c r="AB63" s="67"/>
      <c r="AC63" s="67"/>
    </row>
    <row r="64" spans="1:68" x14ac:dyDescent="0.25">
      <c r="A64" s="307"/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8"/>
      <c r="P64" s="304" t="s">
        <v>40</v>
      </c>
      <c r="Q64" s="305"/>
      <c r="R64" s="305"/>
      <c r="S64" s="305"/>
      <c r="T64" s="305"/>
      <c r="U64" s="305"/>
      <c r="V64" s="306"/>
      <c r="W64" s="42" t="s">
        <v>0</v>
      </c>
      <c r="X64" s="43">
        <f>IFERROR(SUMPRODUCT(X59:X62*H59:H62),"0")</f>
        <v>0</v>
      </c>
      <c r="Y64" s="43">
        <f>IFERROR(SUMPRODUCT(Y59:Y62*H59:H62),"0")</f>
        <v>0</v>
      </c>
      <c r="Z64" s="42"/>
      <c r="AA64" s="67"/>
      <c r="AB64" s="67"/>
      <c r="AC64" s="67"/>
    </row>
    <row r="65" spans="1:68" ht="16.5" customHeight="1" x14ac:dyDescent="0.25">
      <c r="A65" s="327" t="s">
        <v>152</v>
      </c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7"/>
      <c r="Q65" s="327"/>
      <c r="R65" s="327"/>
      <c r="S65" s="327"/>
      <c r="T65" s="327"/>
      <c r="U65" s="327"/>
      <c r="V65" s="327"/>
      <c r="W65" s="327"/>
      <c r="X65" s="327"/>
      <c r="Y65" s="327"/>
      <c r="Z65" s="327"/>
      <c r="AA65" s="65"/>
      <c r="AB65" s="65"/>
      <c r="AC65" s="82"/>
    </row>
    <row r="66" spans="1:68" ht="14.25" customHeight="1" x14ac:dyDescent="0.25">
      <c r="A66" s="318" t="s">
        <v>82</v>
      </c>
      <c r="B66" s="318"/>
      <c r="C66" s="318"/>
      <c r="D66" s="318"/>
      <c r="E66" s="318"/>
      <c r="F66" s="31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66"/>
      <c r="AB66" s="66"/>
      <c r="AC66" s="83"/>
    </row>
    <row r="67" spans="1:68" ht="27" customHeight="1" x14ac:dyDescent="0.25">
      <c r="A67" s="63" t="s">
        <v>153</v>
      </c>
      <c r="B67" s="63" t="s">
        <v>154</v>
      </c>
      <c r="C67" s="36">
        <v>4301070977</v>
      </c>
      <c r="D67" s="299">
        <v>4607111037411</v>
      </c>
      <c r="E67" s="299"/>
      <c r="F67" s="62">
        <v>2.7</v>
      </c>
      <c r="G67" s="37">
        <v>1</v>
      </c>
      <c r="H67" s="62">
        <v>2.7</v>
      </c>
      <c r="I67" s="62">
        <v>2.8132000000000001</v>
      </c>
      <c r="J67" s="37">
        <v>234</v>
      </c>
      <c r="K67" s="37" t="s">
        <v>156</v>
      </c>
      <c r="L67" s="37" t="s">
        <v>124</v>
      </c>
      <c r="M67" s="38" t="s">
        <v>86</v>
      </c>
      <c r="N67" s="38"/>
      <c r="O67" s="37">
        <v>180</v>
      </c>
      <c r="P67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7" s="301"/>
      <c r="R67" s="301"/>
      <c r="S67" s="301"/>
      <c r="T67" s="302"/>
      <c r="U67" s="39" t="s">
        <v>46</v>
      </c>
      <c r="V67" s="39" t="s">
        <v>46</v>
      </c>
      <c r="W67" s="40" t="s">
        <v>39</v>
      </c>
      <c r="X67" s="58">
        <v>0</v>
      </c>
      <c r="Y67" s="55">
        <f>IFERROR(IF(X67="","",X67),"")</f>
        <v>0</v>
      </c>
      <c r="Z67" s="41">
        <f>IFERROR(IF(X67="","",X67*0.00502),"")</f>
        <v>0</v>
      </c>
      <c r="AA67" s="68" t="s">
        <v>46</v>
      </c>
      <c r="AB67" s="69" t="s">
        <v>46</v>
      </c>
      <c r="AC67" s="131" t="s">
        <v>155</v>
      </c>
      <c r="AG67" s="81"/>
      <c r="AJ67" s="87" t="s">
        <v>125</v>
      </c>
      <c r="AK67" s="87">
        <v>18</v>
      </c>
      <c r="BB67" s="132" t="s">
        <v>70</v>
      </c>
      <c r="BM67" s="81">
        <f>IFERROR(X67*I67,"0")</f>
        <v>0</v>
      </c>
      <c r="BN67" s="81">
        <f>IFERROR(Y67*I67,"0")</f>
        <v>0</v>
      </c>
      <c r="BO67" s="81">
        <f>IFERROR(X67/J67,"0")</f>
        <v>0</v>
      </c>
      <c r="BP67" s="81">
        <f>IFERROR(Y67/J67,"0")</f>
        <v>0</v>
      </c>
    </row>
    <row r="68" spans="1:68" ht="27" customHeight="1" x14ac:dyDescent="0.25">
      <c r="A68" s="63" t="s">
        <v>157</v>
      </c>
      <c r="B68" s="63" t="s">
        <v>158</v>
      </c>
      <c r="C68" s="36">
        <v>4301070981</v>
      </c>
      <c r="D68" s="299">
        <v>4607111036728</v>
      </c>
      <c r="E68" s="299"/>
      <c r="F68" s="62">
        <v>5</v>
      </c>
      <c r="G68" s="37">
        <v>1</v>
      </c>
      <c r="H68" s="62">
        <v>5</v>
      </c>
      <c r="I68" s="62">
        <v>5.2131999999999996</v>
      </c>
      <c r="J68" s="37">
        <v>144</v>
      </c>
      <c r="K68" s="37" t="s">
        <v>87</v>
      </c>
      <c r="L68" s="37" t="s">
        <v>124</v>
      </c>
      <c r="M68" s="38" t="s">
        <v>86</v>
      </c>
      <c r="N68" s="38"/>
      <c r="O68" s="37">
        <v>180</v>
      </c>
      <c r="P68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68" s="301"/>
      <c r="R68" s="301"/>
      <c r="S68" s="301"/>
      <c r="T68" s="302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IFERROR(IF(X68="","",X68*0.00866),"")</f>
        <v>0</v>
      </c>
      <c r="AA68" s="68" t="s">
        <v>46</v>
      </c>
      <c r="AB68" s="69" t="s">
        <v>46</v>
      </c>
      <c r="AC68" s="133" t="s">
        <v>155</v>
      </c>
      <c r="AG68" s="81"/>
      <c r="AJ68" s="87" t="s">
        <v>125</v>
      </c>
      <c r="AK68" s="87">
        <v>12</v>
      </c>
      <c r="BB68" s="134" t="s">
        <v>70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x14ac:dyDescent="0.25">
      <c r="A69" s="307"/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8"/>
      <c r="P69" s="304" t="s">
        <v>40</v>
      </c>
      <c r="Q69" s="305"/>
      <c r="R69" s="305"/>
      <c r="S69" s="305"/>
      <c r="T69" s="305"/>
      <c r="U69" s="305"/>
      <c r="V69" s="306"/>
      <c r="W69" s="42" t="s">
        <v>39</v>
      </c>
      <c r="X69" s="43">
        <f>IFERROR(SUM(X67:X68),"0")</f>
        <v>0</v>
      </c>
      <c r="Y69" s="43">
        <f>IFERROR(SUM(Y67:Y68),"0")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5">
      <c r="A70" s="307"/>
      <c r="B70" s="307"/>
      <c r="C70" s="307"/>
      <c r="D70" s="307"/>
      <c r="E70" s="307"/>
      <c r="F70" s="307"/>
      <c r="G70" s="307"/>
      <c r="H70" s="307"/>
      <c r="I70" s="307"/>
      <c r="J70" s="307"/>
      <c r="K70" s="307"/>
      <c r="L70" s="307"/>
      <c r="M70" s="307"/>
      <c r="N70" s="307"/>
      <c r="O70" s="308"/>
      <c r="P70" s="304" t="s">
        <v>40</v>
      </c>
      <c r="Q70" s="305"/>
      <c r="R70" s="305"/>
      <c r="S70" s="305"/>
      <c r="T70" s="305"/>
      <c r="U70" s="305"/>
      <c r="V70" s="306"/>
      <c r="W70" s="42" t="s">
        <v>0</v>
      </c>
      <c r="X70" s="43">
        <f>IFERROR(SUMPRODUCT(X67:X68*H67:H68),"0")</f>
        <v>0</v>
      </c>
      <c r="Y70" s="43">
        <f>IFERROR(SUMPRODUCT(Y67:Y68*H67:H68),"0")</f>
        <v>0</v>
      </c>
      <c r="Z70" s="42"/>
      <c r="AA70" s="67"/>
      <c r="AB70" s="67"/>
      <c r="AC70" s="67"/>
    </row>
    <row r="71" spans="1:68" ht="16.5" customHeight="1" x14ac:dyDescent="0.25">
      <c r="A71" s="327" t="s">
        <v>159</v>
      </c>
      <c r="B71" s="327"/>
      <c r="C71" s="327"/>
      <c r="D71" s="327"/>
      <c r="E71" s="327"/>
      <c r="F71" s="327"/>
      <c r="G71" s="327"/>
      <c r="H71" s="327"/>
      <c r="I71" s="327"/>
      <c r="J71" s="327"/>
      <c r="K71" s="327"/>
      <c r="L71" s="327"/>
      <c r="M71" s="327"/>
      <c r="N71" s="327"/>
      <c r="O71" s="327"/>
      <c r="P71" s="327"/>
      <c r="Q71" s="327"/>
      <c r="R71" s="327"/>
      <c r="S71" s="327"/>
      <c r="T71" s="327"/>
      <c r="U71" s="327"/>
      <c r="V71" s="327"/>
      <c r="W71" s="327"/>
      <c r="X71" s="327"/>
      <c r="Y71" s="327"/>
      <c r="Z71" s="327"/>
      <c r="AA71" s="65"/>
      <c r="AB71" s="65"/>
      <c r="AC71" s="82"/>
    </row>
    <row r="72" spans="1:68" ht="14.25" customHeight="1" x14ac:dyDescent="0.25">
      <c r="A72" s="318" t="s">
        <v>160</v>
      </c>
      <c r="B72" s="318"/>
      <c r="C72" s="318"/>
      <c r="D72" s="318"/>
      <c r="E72" s="318"/>
      <c r="F72" s="318"/>
      <c r="G72" s="318"/>
      <c r="H72" s="318"/>
      <c r="I72" s="318"/>
      <c r="J72" s="318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66"/>
      <c r="AB72" s="66"/>
      <c r="AC72" s="83"/>
    </row>
    <row r="73" spans="1:68" ht="27" customHeight="1" x14ac:dyDescent="0.25">
      <c r="A73" s="63" t="s">
        <v>161</v>
      </c>
      <c r="B73" s="63" t="s">
        <v>162</v>
      </c>
      <c r="C73" s="36">
        <v>4301135910</v>
      </c>
      <c r="D73" s="299">
        <v>4620207491638</v>
      </c>
      <c r="E73" s="299"/>
      <c r="F73" s="62">
        <v>0.3</v>
      </c>
      <c r="G73" s="37">
        <v>12</v>
      </c>
      <c r="H73" s="62">
        <v>3.6</v>
      </c>
      <c r="I73" s="62">
        <v>4.3036000000000003</v>
      </c>
      <c r="J73" s="37">
        <v>70</v>
      </c>
      <c r="K73" s="37" t="s">
        <v>123</v>
      </c>
      <c r="L73" s="37" t="s">
        <v>88</v>
      </c>
      <c r="M73" s="38" t="s">
        <v>86</v>
      </c>
      <c r="N73" s="38"/>
      <c r="O73" s="37">
        <v>180</v>
      </c>
      <c r="P73" s="393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73" s="301"/>
      <c r="R73" s="301"/>
      <c r="S73" s="301"/>
      <c r="T73" s="302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IFERROR(IF(X73="","",X73*0.01788),"")</f>
        <v>0</v>
      </c>
      <c r="AA73" s="68" t="s">
        <v>46</v>
      </c>
      <c r="AB73" s="69" t="s">
        <v>46</v>
      </c>
      <c r="AC73" s="135" t="s">
        <v>163</v>
      </c>
      <c r="AG73" s="81"/>
      <c r="AJ73" s="87" t="s">
        <v>89</v>
      </c>
      <c r="AK73" s="87">
        <v>1</v>
      </c>
      <c r="BB73" s="136" t="s">
        <v>122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x14ac:dyDescent="0.25">
      <c r="A74" s="307"/>
      <c r="B74" s="307"/>
      <c r="C74" s="307"/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8"/>
      <c r="P74" s="304" t="s">
        <v>40</v>
      </c>
      <c r="Q74" s="305"/>
      <c r="R74" s="305"/>
      <c r="S74" s="305"/>
      <c r="T74" s="305"/>
      <c r="U74" s="305"/>
      <c r="V74" s="306"/>
      <c r="W74" s="42" t="s">
        <v>39</v>
      </c>
      <c r="X74" s="43">
        <f>IFERROR(SUM(X73:X73),"0")</f>
        <v>0</v>
      </c>
      <c r="Y74" s="43">
        <f>IFERROR(SUM(Y73:Y73),"0")</f>
        <v>0</v>
      </c>
      <c r="Z74" s="43">
        <f>IFERROR(IF(Z73="",0,Z73),"0")</f>
        <v>0</v>
      </c>
      <c r="AA74" s="67"/>
      <c r="AB74" s="67"/>
      <c r="AC74" s="67"/>
    </row>
    <row r="75" spans="1:68" x14ac:dyDescent="0.25">
      <c r="A75" s="307"/>
      <c r="B75" s="307"/>
      <c r="C75" s="307"/>
      <c r="D75" s="307"/>
      <c r="E75" s="307"/>
      <c r="F75" s="307"/>
      <c r="G75" s="307"/>
      <c r="H75" s="307"/>
      <c r="I75" s="307"/>
      <c r="J75" s="307"/>
      <c r="K75" s="307"/>
      <c r="L75" s="307"/>
      <c r="M75" s="307"/>
      <c r="N75" s="307"/>
      <c r="O75" s="308"/>
      <c r="P75" s="304" t="s">
        <v>40</v>
      </c>
      <c r="Q75" s="305"/>
      <c r="R75" s="305"/>
      <c r="S75" s="305"/>
      <c r="T75" s="305"/>
      <c r="U75" s="305"/>
      <c r="V75" s="306"/>
      <c r="W75" s="42" t="s">
        <v>0</v>
      </c>
      <c r="X75" s="43">
        <f>IFERROR(SUMPRODUCT(X73:X73*H73:H73),"0")</f>
        <v>0</v>
      </c>
      <c r="Y75" s="43">
        <f>IFERROR(SUMPRODUCT(Y73:Y73*H73:H73),"0")</f>
        <v>0</v>
      </c>
      <c r="Z75" s="42"/>
      <c r="AA75" s="67"/>
      <c r="AB75" s="67"/>
      <c r="AC75" s="67"/>
    </row>
    <row r="76" spans="1:68" ht="16.5" customHeight="1" x14ac:dyDescent="0.25">
      <c r="A76" s="327" t="s">
        <v>164</v>
      </c>
      <c r="B76" s="327"/>
      <c r="C76" s="327"/>
      <c r="D76" s="327"/>
      <c r="E76" s="327"/>
      <c r="F76" s="327"/>
      <c r="G76" s="327"/>
      <c r="H76" s="327"/>
      <c r="I76" s="327"/>
      <c r="J76" s="327"/>
      <c r="K76" s="327"/>
      <c r="L76" s="327"/>
      <c r="M76" s="327"/>
      <c r="N76" s="327"/>
      <c r="O76" s="327"/>
      <c r="P76" s="327"/>
      <c r="Q76" s="327"/>
      <c r="R76" s="327"/>
      <c r="S76" s="327"/>
      <c r="T76" s="327"/>
      <c r="U76" s="327"/>
      <c r="V76" s="327"/>
      <c r="W76" s="327"/>
      <c r="X76" s="327"/>
      <c r="Y76" s="327"/>
      <c r="Z76" s="327"/>
      <c r="AA76" s="65"/>
      <c r="AB76" s="65"/>
      <c r="AC76" s="82"/>
    </row>
    <row r="77" spans="1:68" ht="14.25" customHeight="1" x14ac:dyDescent="0.25">
      <c r="A77" s="318" t="s">
        <v>165</v>
      </c>
      <c r="B77" s="318"/>
      <c r="C77" s="318"/>
      <c r="D77" s="318"/>
      <c r="E77" s="318"/>
      <c r="F77" s="318"/>
      <c r="G77" s="318"/>
      <c r="H77" s="318"/>
      <c r="I77" s="318"/>
      <c r="J77" s="318"/>
      <c r="K77" s="318"/>
      <c r="L77" s="318"/>
      <c r="M77" s="318"/>
      <c r="N77" s="318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  <c r="AA77" s="66"/>
      <c r="AB77" s="66"/>
      <c r="AC77" s="83"/>
    </row>
    <row r="78" spans="1:68" ht="27" customHeight="1" x14ac:dyDescent="0.25">
      <c r="A78" s="63" t="s">
        <v>166</v>
      </c>
      <c r="B78" s="63" t="s">
        <v>167</v>
      </c>
      <c r="C78" s="36">
        <v>4301131047</v>
      </c>
      <c r="D78" s="299">
        <v>4607111034120</v>
      </c>
      <c r="E78" s="299"/>
      <c r="F78" s="62">
        <v>0.3</v>
      </c>
      <c r="G78" s="37">
        <v>12</v>
      </c>
      <c r="H78" s="62">
        <v>3.6</v>
      </c>
      <c r="I78" s="62">
        <v>4.3036000000000003</v>
      </c>
      <c r="J78" s="37">
        <v>70</v>
      </c>
      <c r="K78" s="37" t="s">
        <v>123</v>
      </c>
      <c r="L78" s="37" t="s">
        <v>124</v>
      </c>
      <c r="M78" s="38" t="s">
        <v>86</v>
      </c>
      <c r="N78" s="38"/>
      <c r="O78" s="37">
        <v>180</v>
      </c>
      <c r="P78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78" s="301"/>
      <c r="R78" s="301"/>
      <c r="S78" s="301"/>
      <c r="T78" s="302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IFERROR(IF(X78="","",X78*0.01788),"")</f>
        <v>0</v>
      </c>
      <c r="AA78" s="68" t="s">
        <v>46</v>
      </c>
      <c r="AB78" s="69" t="s">
        <v>46</v>
      </c>
      <c r="AC78" s="137" t="s">
        <v>168</v>
      </c>
      <c r="AG78" s="81"/>
      <c r="AJ78" s="87" t="s">
        <v>125</v>
      </c>
      <c r="AK78" s="87">
        <v>14</v>
      </c>
      <c r="BB78" s="138" t="s">
        <v>122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t="27" customHeight="1" x14ac:dyDescent="0.25">
      <c r="A79" s="63" t="s">
        <v>169</v>
      </c>
      <c r="B79" s="63" t="s">
        <v>170</v>
      </c>
      <c r="C79" s="36">
        <v>4301131046</v>
      </c>
      <c r="D79" s="299">
        <v>4607111034137</v>
      </c>
      <c r="E79" s="299"/>
      <c r="F79" s="62">
        <v>0.3</v>
      </c>
      <c r="G79" s="37">
        <v>12</v>
      </c>
      <c r="H79" s="62">
        <v>3.6</v>
      </c>
      <c r="I79" s="62">
        <v>4.3036000000000003</v>
      </c>
      <c r="J79" s="37">
        <v>70</v>
      </c>
      <c r="K79" s="37" t="s">
        <v>123</v>
      </c>
      <c r="L79" s="37" t="s">
        <v>124</v>
      </c>
      <c r="M79" s="38" t="s">
        <v>86</v>
      </c>
      <c r="N79" s="38"/>
      <c r="O79" s="37">
        <v>180</v>
      </c>
      <c r="P79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79" s="301"/>
      <c r="R79" s="301"/>
      <c r="S79" s="301"/>
      <c r="T79" s="302"/>
      <c r="U79" s="39" t="s">
        <v>46</v>
      </c>
      <c r="V79" s="39" t="s">
        <v>46</v>
      </c>
      <c r="W79" s="40" t="s">
        <v>39</v>
      </c>
      <c r="X79" s="58">
        <v>0</v>
      </c>
      <c r="Y79" s="55">
        <f>IFERROR(IF(X79="","",X79),"")</f>
        <v>0</v>
      </c>
      <c r="Z79" s="41">
        <f>IFERROR(IF(X79="","",X79*0.01788),"")</f>
        <v>0</v>
      </c>
      <c r="AA79" s="68" t="s">
        <v>46</v>
      </c>
      <c r="AB79" s="69" t="s">
        <v>46</v>
      </c>
      <c r="AC79" s="139" t="s">
        <v>171</v>
      </c>
      <c r="AG79" s="81"/>
      <c r="AJ79" s="87" t="s">
        <v>125</v>
      </c>
      <c r="AK79" s="87">
        <v>14</v>
      </c>
      <c r="BB79" s="140" t="s">
        <v>122</v>
      </c>
      <c r="BM79" s="81">
        <f>IFERROR(X79*I79,"0")</f>
        <v>0</v>
      </c>
      <c r="BN79" s="81">
        <f>IFERROR(Y79*I79,"0")</f>
        <v>0</v>
      </c>
      <c r="BO79" s="81">
        <f>IFERROR(X79/J79,"0")</f>
        <v>0</v>
      </c>
      <c r="BP79" s="81">
        <f>IFERROR(Y79/J79,"0")</f>
        <v>0</v>
      </c>
    </row>
    <row r="80" spans="1:68" x14ac:dyDescent="0.25">
      <c r="A80" s="307"/>
      <c r="B80" s="307"/>
      <c r="C80" s="307"/>
      <c r="D80" s="307"/>
      <c r="E80" s="307"/>
      <c r="F80" s="307"/>
      <c r="G80" s="307"/>
      <c r="H80" s="307"/>
      <c r="I80" s="307"/>
      <c r="J80" s="307"/>
      <c r="K80" s="307"/>
      <c r="L80" s="307"/>
      <c r="M80" s="307"/>
      <c r="N80" s="307"/>
      <c r="O80" s="308"/>
      <c r="P80" s="304" t="s">
        <v>40</v>
      </c>
      <c r="Q80" s="305"/>
      <c r="R80" s="305"/>
      <c r="S80" s="305"/>
      <c r="T80" s="305"/>
      <c r="U80" s="305"/>
      <c r="V80" s="306"/>
      <c r="W80" s="42" t="s">
        <v>39</v>
      </c>
      <c r="X80" s="43">
        <f>IFERROR(SUM(X78:X79),"0")</f>
        <v>0</v>
      </c>
      <c r="Y80" s="43">
        <f>IFERROR(SUM(Y78:Y79),"0")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5">
      <c r="A81" s="307"/>
      <c r="B81" s="307"/>
      <c r="C81" s="307"/>
      <c r="D81" s="307"/>
      <c r="E81" s="307"/>
      <c r="F81" s="307"/>
      <c r="G81" s="307"/>
      <c r="H81" s="307"/>
      <c r="I81" s="307"/>
      <c r="J81" s="307"/>
      <c r="K81" s="307"/>
      <c r="L81" s="307"/>
      <c r="M81" s="307"/>
      <c r="N81" s="307"/>
      <c r="O81" s="308"/>
      <c r="P81" s="304" t="s">
        <v>40</v>
      </c>
      <c r="Q81" s="305"/>
      <c r="R81" s="305"/>
      <c r="S81" s="305"/>
      <c r="T81" s="305"/>
      <c r="U81" s="305"/>
      <c r="V81" s="306"/>
      <c r="W81" s="42" t="s">
        <v>0</v>
      </c>
      <c r="X81" s="43">
        <f>IFERROR(SUMPRODUCT(X78:X79*H78:H79),"0")</f>
        <v>0</v>
      </c>
      <c r="Y81" s="43">
        <f>IFERROR(SUMPRODUCT(Y78:Y79*H78:H79),"0")</f>
        <v>0</v>
      </c>
      <c r="Z81" s="42"/>
      <c r="AA81" s="67"/>
      <c r="AB81" s="67"/>
      <c r="AC81" s="67"/>
    </row>
    <row r="82" spans="1:68" ht="16.5" customHeight="1" x14ac:dyDescent="0.25">
      <c r="A82" s="327" t="s">
        <v>172</v>
      </c>
      <c r="B82" s="327"/>
      <c r="C82" s="327"/>
      <c r="D82" s="327"/>
      <c r="E82" s="327"/>
      <c r="F82" s="327"/>
      <c r="G82" s="327"/>
      <c r="H82" s="327"/>
      <c r="I82" s="327"/>
      <c r="J82" s="327"/>
      <c r="K82" s="327"/>
      <c r="L82" s="327"/>
      <c r="M82" s="327"/>
      <c r="N82" s="327"/>
      <c r="O82" s="327"/>
      <c r="P82" s="327"/>
      <c r="Q82" s="327"/>
      <c r="R82" s="327"/>
      <c r="S82" s="327"/>
      <c r="T82" s="327"/>
      <c r="U82" s="327"/>
      <c r="V82" s="327"/>
      <c r="W82" s="327"/>
      <c r="X82" s="327"/>
      <c r="Y82" s="327"/>
      <c r="Z82" s="327"/>
      <c r="AA82" s="65"/>
      <c r="AB82" s="65"/>
      <c r="AC82" s="82"/>
    </row>
    <row r="83" spans="1:68" ht="14.25" customHeight="1" x14ac:dyDescent="0.25">
      <c r="A83" s="318" t="s">
        <v>160</v>
      </c>
      <c r="B83" s="318"/>
      <c r="C83" s="318"/>
      <c r="D83" s="318"/>
      <c r="E83" s="318"/>
      <c r="F83" s="318"/>
      <c r="G83" s="318"/>
      <c r="H83" s="318"/>
      <c r="I83" s="318"/>
      <c r="J83" s="318"/>
      <c r="K83" s="318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66"/>
      <c r="AB83" s="66"/>
      <c r="AC83" s="83"/>
    </row>
    <row r="84" spans="1:68" ht="27" customHeight="1" x14ac:dyDescent="0.25">
      <c r="A84" s="63" t="s">
        <v>173</v>
      </c>
      <c r="B84" s="63" t="s">
        <v>174</v>
      </c>
      <c r="C84" s="36">
        <v>4301135763</v>
      </c>
      <c r="D84" s="299">
        <v>4620207491027</v>
      </c>
      <c r="E84" s="299"/>
      <c r="F84" s="62">
        <v>0.24</v>
      </c>
      <c r="G84" s="37">
        <v>12</v>
      </c>
      <c r="H84" s="62">
        <v>2.88</v>
      </c>
      <c r="I84" s="62">
        <v>3.5836000000000001</v>
      </c>
      <c r="J84" s="37">
        <v>70</v>
      </c>
      <c r="K84" s="37" t="s">
        <v>123</v>
      </c>
      <c r="L84" s="37" t="s">
        <v>124</v>
      </c>
      <c r="M84" s="38" t="s">
        <v>86</v>
      </c>
      <c r="N84" s="38"/>
      <c r="O84" s="37">
        <v>180</v>
      </c>
      <c r="P84" s="38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4" s="301"/>
      <c r="R84" s="301"/>
      <c r="S84" s="301"/>
      <c r="T84" s="302"/>
      <c r="U84" s="39" t="s">
        <v>46</v>
      </c>
      <c r="V84" s="39" t="s">
        <v>46</v>
      </c>
      <c r="W84" s="40" t="s">
        <v>39</v>
      </c>
      <c r="X84" s="58">
        <v>0</v>
      </c>
      <c r="Y84" s="55">
        <f t="shared" ref="Y84:Y91" si="6">IFERROR(IF(X84="","",X84),"")</f>
        <v>0</v>
      </c>
      <c r="Z84" s="41">
        <f t="shared" ref="Z84:Z91" si="7">IFERROR(IF(X84="","",X84*0.01788),"")</f>
        <v>0</v>
      </c>
      <c r="AA84" s="68" t="s">
        <v>46</v>
      </c>
      <c r="AB84" s="69" t="s">
        <v>46</v>
      </c>
      <c r="AC84" s="141" t="s">
        <v>175</v>
      </c>
      <c r="AG84" s="81"/>
      <c r="AJ84" s="87" t="s">
        <v>125</v>
      </c>
      <c r="AK84" s="87">
        <v>14</v>
      </c>
      <c r="BB84" s="142" t="s">
        <v>122</v>
      </c>
      <c r="BM84" s="81">
        <f t="shared" ref="BM84:BM91" si="8">IFERROR(X84*I84,"0")</f>
        <v>0</v>
      </c>
      <c r="BN84" s="81">
        <f t="shared" ref="BN84:BN91" si="9">IFERROR(Y84*I84,"0")</f>
        <v>0</v>
      </c>
      <c r="BO84" s="81">
        <f t="shared" ref="BO84:BO91" si="10">IFERROR(X84/J84,"0")</f>
        <v>0</v>
      </c>
      <c r="BP84" s="81">
        <f t="shared" ref="BP84:BP91" si="11">IFERROR(Y84/J84,"0")</f>
        <v>0</v>
      </c>
    </row>
    <row r="85" spans="1:68" ht="27" customHeight="1" x14ac:dyDescent="0.25">
      <c r="A85" s="63" t="s">
        <v>176</v>
      </c>
      <c r="B85" s="63" t="s">
        <v>177</v>
      </c>
      <c r="C85" s="36">
        <v>4301135758</v>
      </c>
      <c r="D85" s="299">
        <v>4620207491003</v>
      </c>
      <c r="E85" s="299"/>
      <c r="F85" s="62">
        <v>0.24</v>
      </c>
      <c r="G85" s="37">
        <v>12</v>
      </c>
      <c r="H85" s="62">
        <v>2.88</v>
      </c>
      <c r="I85" s="62">
        <v>3.5836000000000001</v>
      </c>
      <c r="J85" s="37">
        <v>70</v>
      </c>
      <c r="K85" s="37" t="s">
        <v>123</v>
      </c>
      <c r="L85" s="37" t="s">
        <v>88</v>
      </c>
      <c r="M85" s="38" t="s">
        <v>86</v>
      </c>
      <c r="N85" s="38"/>
      <c r="O85" s="37">
        <v>180</v>
      </c>
      <c r="P85" s="388" t="str">
        <f>HYPERLINK("https://abi.ru/products/Замороженные/Горячая штучка/Чебупели/Снеки/P004964/","Снеки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5" s="301"/>
      <c r="R85" s="301"/>
      <c r="S85" s="301"/>
      <c r="T85" s="302"/>
      <c r="U85" s="39" t="s">
        <v>46</v>
      </c>
      <c r="V85" s="39" t="s">
        <v>46</v>
      </c>
      <c r="W85" s="40" t="s">
        <v>39</v>
      </c>
      <c r="X85" s="58">
        <v>0</v>
      </c>
      <c r="Y85" s="55">
        <f t="shared" si="6"/>
        <v>0</v>
      </c>
      <c r="Z85" s="41">
        <f t="shared" si="7"/>
        <v>0</v>
      </c>
      <c r="AA85" s="68" t="s">
        <v>46</v>
      </c>
      <c r="AB85" s="69" t="s">
        <v>46</v>
      </c>
      <c r="AC85" s="143" t="s">
        <v>175</v>
      </c>
      <c r="AG85" s="81"/>
      <c r="AJ85" s="87" t="s">
        <v>89</v>
      </c>
      <c r="AK85" s="87">
        <v>1</v>
      </c>
      <c r="BB85" s="144" t="s">
        <v>122</v>
      </c>
      <c r="BM85" s="81">
        <f t="shared" si="8"/>
        <v>0</v>
      </c>
      <c r="BN85" s="81">
        <f t="shared" si="9"/>
        <v>0</v>
      </c>
      <c r="BO85" s="81">
        <f t="shared" si="10"/>
        <v>0</v>
      </c>
      <c r="BP85" s="81">
        <f t="shared" si="11"/>
        <v>0</v>
      </c>
    </row>
    <row r="86" spans="1:68" ht="27" customHeight="1" x14ac:dyDescent="0.25">
      <c r="A86" s="63" t="s">
        <v>178</v>
      </c>
      <c r="B86" s="63" t="s">
        <v>179</v>
      </c>
      <c r="C86" s="36">
        <v>4301135914</v>
      </c>
      <c r="D86" s="299">
        <v>4620207491621</v>
      </c>
      <c r="E86" s="299"/>
      <c r="F86" s="62">
        <v>0.24</v>
      </c>
      <c r="G86" s="37">
        <v>12</v>
      </c>
      <c r="H86" s="62">
        <v>2.88</v>
      </c>
      <c r="I86" s="62">
        <v>3.5836000000000001</v>
      </c>
      <c r="J86" s="37">
        <v>70</v>
      </c>
      <c r="K86" s="37" t="s">
        <v>123</v>
      </c>
      <c r="L86" s="37" t="s">
        <v>88</v>
      </c>
      <c r="M86" s="38" t="s">
        <v>86</v>
      </c>
      <c r="N86" s="38"/>
      <c r="O86" s="37">
        <v>180</v>
      </c>
      <c r="P86" s="389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6" s="301"/>
      <c r="R86" s="301"/>
      <c r="S86" s="301"/>
      <c r="T86" s="302"/>
      <c r="U86" s="39" t="s">
        <v>46</v>
      </c>
      <c r="V86" s="39" t="s">
        <v>46</v>
      </c>
      <c r="W86" s="40" t="s">
        <v>39</v>
      </c>
      <c r="X86" s="58">
        <v>0</v>
      </c>
      <c r="Y86" s="55">
        <f t="shared" si="6"/>
        <v>0</v>
      </c>
      <c r="Z86" s="41">
        <f t="shared" si="7"/>
        <v>0</v>
      </c>
      <c r="AA86" s="68" t="s">
        <v>46</v>
      </c>
      <c r="AB86" s="69" t="s">
        <v>46</v>
      </c>
      <c r="AC86" s="145" t="s">
        <v>180</v>
      </c>
      <c r="AG86" s="81"/>
      <c r="AJ86" s="87" t="s">
        <v>89</v>
      </c>
      <c r="AK86" s="87">
        <v>1</v>
      </c>
      <c r="BB86" s="146" t="s">
        <v>122</v>
      </c>
      <c r="BM86" s="81">
        <f t="shared" si="8"/>
        <v>0</v>
      </c>
      <c r="BN86" s="81">
        <f t="shared" si="9"/>
        <v>0</v>
      </c>
      <c r="BO86" s="81">
        <f t="shared" si="10"/>
        <v>0</v>
      </c>
      <c r="BP86" s="81">
        <f t="shared" si="11"/>
        <v>0</v>
      </c>
    </row>
    <row r="87" spans="1:68" ht="27" customHeight="1" x14ac:dyDescent="0.25">
      <c r="A87" s="63" t="s">
        <v>181</v>
      </c>
      <c r="B87" s="63" t="s">
        <v>182</v>
      </c>
      <c r="C87" s="36">
        <v>4301135759</v>
      </c>
      <c r="D87" s="299">
        <v>4620207491034</v>
      </c>
      <c r="E87" s="299"/>
      <c r="F87" s="62">
        <v>0.24</v>
      </c>
      <c r="G87" s="37">
        <v>12</v>
      </c>
      <c r="H87" s="62">
        <v>2.88</v>
      </c>
      <c r="I87" s="62">
        <v>3.5836000000000001</v>
      </c>
      <c r="J87" s="37">
        <v>70</v>
      </c>
      <c r="K87" s="37" t="s">
        <v>123</v>
      </c>
      <c r="L87" s="37" t="s">
        <v>88</v>
      </c>
      <c r="M87" s="38" t="s">
        <v>86</v>
      </c>
      <c r="N87" s="38"/>
      <c r="O87" s="37">
        <v>180</v>
      </c>
      <c r="P87" s="390" t="str">
        <f>HYPERLINK("https://abi.ru/products/Замороженные/Горячая штучка/Чебупели/Снеки/P004965/","Снеки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7" s="301"/>
      <c r="R87" s="301"/>
      <c r="S87" s="301"/>
      <c r="T87" s="302"/>
      <c r="U87" s="39" t="s">
        <v>46</v>
      </c>
      <c r="V87" s="39" t="s">
        <v>46</v>
      </c>
      <c r="W87" s="40" t="s">
        <v>39</v>
      </c>
      <c r="X87" s="58">
        <v>0</v>
      </c>
      <c r="Y87" s="55">
        <f t="shared" si="6"/>
        <v>0</v>
      </c>
      <c r="Z87" s="41">
        <f t="shared" si="7"/>
        <v>0</v>
      </c>
      <c r="AA87" s="68" t="s">
        <v>46</v>
      </c>
      <c r="AB87" s="69" t="s">
        <v>46</v>
      </c>
      <c r="AC87" s="147" t="s">
        <v>183</v>
      </c>
      <c r="AG87" s="81"/>
      <c r="AJ87" s="87" t="s">
        <v>89</v>
      </c>
      <c r="AK87" s="87">
        <v>1</v>
      </c>
      <c r="BB87" s="148" t="s">
        <v>122</v>
      </c>
      <c r="BM87" s="81">
        <f t="shared" si="8"/>
        <v>0</v>
      </c>
      <c r="BN87" s="81">
        <f t="shared" si="9"/>
        <v>0</v>
      </c>
      <c r="BO87" s="81">
        <f t="shared" si="10"/>
        <v>0</v>
      </c>
      <c r="BP87" s="81">
        <f t="shared" si="11"/>
        <v>0</v>
      </c>
    </row>
    <row r="88" spans="1:68" ht="27" customHeight="1" x14ac:dyDescent="0.25">
      <c r="A88" s="63" t="s">
        <v>184</v>
      </c>
      <c r="B88" s="63" t="s">
        <v>185</v>
      </c>
      <c r="C88" s="36">
        <v>4301135990</v>
      </c>
      <c r="D88" s="299">
        <v>4620207491881</v>
      </c>
      <c r="E88" s="299"/>
      <c r="F88" s="62">
        <v>0.24</v>
      </c>
      <c r="G88" s="37">
        <v>12</v>
      </c>
      <c r="H88" s="62">
        <v>2.88</v>
      </c>
      <c r="I88" s="62">
        <v>3.5836000000000001</v>
      </c>
      <c r="J88" s="37">
        <v>70</v>
      </c>
      <c r="K88" s="37" t="s">
        <v>123</v>
      </c>
      <c r="L88" s="37" t="s">
        <v>88</v>
      </c>
      <c r="M88" s="38" t="s">
        <v>86</v>
      </c>
      <c r="N88" s="38"/>
      <c r="O88" s="37">
        <v>180</v>
      </c>
      <c r="P88" s="383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88" s="301"/>
      <c r="R88" s="301"/>
      <c r="S88" s="301"/>
      <c r="T88" s="302"/>
      <c r="U88" s="39" t="s">
        <v>46</v>
      </c>
      <c r="V88" s="39" t="s">
        <v>46</v>
      </c>
      <c r="W88" s="40" t="s">
        <v>39</v>
      </c>
      <c r="X88" s="58">
        <v>0</v>
      </c>
      <c r="Y88" s="55">
        <f t="shared" si="6"/>
        <v>0</v>
      </c>
      <c r="Z88" s="41">
        <f t="shared" si="7"/>
        <v>0</v>
      </c>
      <c r="AA88" s="68" t="s">
        <v>46</v>
      </c>
      <c r="AB88" s="69" t="s">
        <v>46</v>
      </c>
      <c r="AC88" s="149" t="s">
        <v>180</v>
      </c>
      <c r="AG88" s="81"/>
      <c r="AJ88" s="87" t="s">
        <v>89</v>
      </c>
      <c r="AK88" s="87">
        <v>1</v>
      </c>
      <c r="BB88" s="150" t="s">
        <v>122</v>
      </c>
      <c r="BM88" s="81">
        <f t="shared" si="8"/>
        <v>0</v>
      </c>
      <c r="BN88" s="81">
        <f t="shared" si="9"/>
        <v>0</v>
      </c>
      <c r="BO88" s="81">
        <f t="shared" si="10"/>
        <v>0</v>
      </c>
      <c r="BP88" s="81">
        <f t="shared" si="11"/>
        <v>0</v>
      </c>
    </row>
    <row r="89" spans="1:68" ht="27" customHeight="1" x14ac:dyDescent="0.25">
      <c r="A89" s="63" t="s">
        <v>186</v>
      </c>
      <c r="B89" s="63" t="s">
        <v>187</v>
      </c>
      <c r="C89" s="36">
        <v>4301135920</v>
      </c>
      <c r="D89" s="299">
        <v>4620207491577</v>
      </c>
      <c r="E89" s="299"/>
      <c r="F89" s="62">
        <v>0.24</v>
      </c>
      <c r="G89" s="37">
        <v>12</v>
      </c>
      <c r="H89" s="62">
        <v>2.88</v>
      </c>
      <c r="I89" s="62">
        <v>3.5836000000000001</v>
      </c>
      <c r="J89" s="37">
        <v>70</v>
      </c>
      <c r="K89" s="37" t="s">
        <v>123</v>
      </c>
      <c r="L89" s="37" t="s">
        <v>88</v>
      </c>
      <c r="M89" s="38" t="s">
        <v>86</v>
      </c>
      <c r="N89" s="38"/>
      <c r="O89" s="37">
        <v>180</v>
      </c>
      <c r="P89" s="384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301"/>
      <c r="R89" s="301"/>
      <c r="S89" s="301"/>
      <c r="T89" s="302"/>
      <c r="U89" s="39" t="s">
        <v>46</v>
      </c>
      <c r="V89" s="39" t="s">
        <v>46</v>
      </c>
      <c r="W89" s="40" t="s">
        <v>39</v>
      </c>
      <c r="X89" s="58">
        <v>0</v>
      </c>
      <c r="Y89" s="55">
        <f t="shared" si="6"/>
        <v>0</v>
      </c>
      <c r="Z89" s="41">
        <f t="shared" si="7"/>
        <v>0</v>
      </c>
      <c r="AA89" s="68" t="s">
        <v>46</v>
      </c>
      <c r="AB89" s="69" t="s">
        <v>46</v>
      </c>
      <c r="AC89" s="151" t="s">
        <v>180</v>
      </c>
      <c r="AG89" s="81"/>
      <c r="AJ89" s="87" t="s">
        <v>89</v>
      </c>
      <c r="AK89" s="87">
        <v>1</v>
      </c>
      <c r="BB89" s="152" t="s">
        <v>122</v>
      </c>
      <c r="BM89" s="81">
        <f t="shared" si="8"/>
        <v>0</v>
      </c>
      <c r="BN89" s="81">
        <f t="shared" si="9"/>
        <v>0</v>
      </c>
      <c r="BO89" s="81">
        <f t="shared" si="10"/>
        <v>0</v>
      </c>
      <c r="BP89" s="81">
        <f t="shared" si="11"/>
        <v>0</v>
      </c>
    </row>
    <row r="90" spans="1:68" ht="27" customHeight="1" x14ac:dyDescent="0.25">
      <c r="A90" s="63" t="s">
        <v>188</v>
      </c>
      <c r="B90" s="63" t="s">
        <v>189</v>
      </c>
      <c r="C90" s="36">
        <v>4301135984</v>
      </c>
      <c r="D90" s="299">
        <v>4620207491874</v>
      </c>
      <c r="E90" s="299"/>
      <c r="F90" s="62">
        <v>0.48</v>
      </c>
      <c r="G90" s="37">
        <v>8</v>
      </c>
      <c r="H90" s="62">
        <v>3.84</v>
      </c>
      <c r="I90" s="62">
        <v>4.4488000000000003</v>
      </c>
      <c r="J90" s="37">
        <v>70</v>
      </c>
      <c r="K90" s="37" t="s">
        <v>123</v>
      </c>
      <c r="L90" s="37" t="s">
        <v>88</v>
      </c>
      <c r="M90" s="38" t="s">
        <v>86</v>
      </c>
      <c r="N90" s="38"/>
      <c r="O90" s="37">
        <v>180</v>
      </c>
      <c r="P90" s="385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301"/>
      <c r="R90" s="301"/>
      <c r="S90" s="301"/>
      <c r="T90" s="302"/>
      <c r="U90" s="39" t="s">
        <v>46</v>
      </c>
      <c r="V90" s="39" t="s">
        <v>46</v>
      </c>
      <c r="W90" s="40" t="s">
        <v>39</v>
      </c>
      <c r="X90" s="58">
        <v>0</v>
      </c>
      <c r="Y90" s="55">
        <f t="shared" si="6"/>
        <v>0</v>
      </c>
      <c r="Z90" s="41">
        <f t="shared" si="7"/>
        <v>0</v>
      </c>
      <c r="AA90" s="68" t="s">
        <v>46</v>
      </c>
      <c r="AB90" s="69" t="s">
        <v>46</v>
      </c>
      <c r="AC90" s="153" t="s">
        <v>180</v>
      </c>
      <c r="AG90" s="81"/>
      <c r="AJ90" s="87" t="s">
        <v>89</v>
      </c>
      <c r="AK90" s="87">
        <v>1</v>
      </c>
      <c r="BB90" s="154" t="s">
        <v>122</v>
      </c>
      <c r="BM90" s="81">
        <f t="shared" si="8"/>
        <v>0</v>
      </c>
      <c r="BN90" s="81">
        <f t="shared" si="9"/>
        <v>0</v>
      </c>
      <c r="BO90" s="81">
        <f t="shared" si="10"/>
        <v>0</v>
      </c>
      <c r="BP90" s="81">
        <f t="shared" si="11"/>
        <v>0</v>
      </c>
    </row>
    <row r="91" spans="1:68" ht="27" customHeight="1" x14ac:dyDescent="0.25">
      <c r="A91" s="63" t="s">
        <v>190</v>
      </c>
      <c r="B91" s="63" t="s">
        <v>191</v>
      </c>
      <c r="C91" s="36">
        <v>4301137008</v>
      </c>
      <c r="D91" s="299">
        <v>4620207491782</v>
      </c>
      <c r="E91" s="299"/>
      <c r="F91" s="62">
        <v>0.3</v>
      </c>
      <c r="G91" s="37">
        <v>14</v>
      </c>
      <c r="H91" s="62">
        <v>4.2</v>
      </c>
      <c r="I91" s="62">
        <v>4.5292000000000003</v>
      </c>
      <c r="J91" s="37">
        <v>70</v>
      </c>
      <c r="K91" s="37" t="s">
        <v>123</v>
      </c>
      <c r="L91" s="37" t="s">
        <v>88</v>
      </c>
      <c r="M91" s="38" t="s">
        <v>86</v>
      </c>
      <c r="N91" s="38"/>
      <c r="O91" s="37">
        <v>180</v>
      </c>
      <c r="P91" s="386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1" s="301"/>
      <c r="R91" s="301"/>
      <c r="S91" s="301"/>
      <c r="T91" s="302"/>
      <c r="U91" s="39" t="s">
        <v>46</v>
      </c>
      <c r="V91" s="39" t="s">
        <v>46</v>
      </c>
      <c r="W91" s="40" t="s">
        <v>39</v>
      </c>
      <c r="X91" s="58">
        <v>0</v>
      </c>
      <c r="Y91" s="55">
        <f t="shared" si="6"/>
        <v>0</v>
      </c>
      <c r="Z91" s="41">
        <f t="shared" si="7"/>
        <v>0</v>
      </c>
      <c r="AA91" s="68" t="s">
        <v>46</v>
      </c>
      <c r="AB91" s="69" t="s">
        <v>46</v>
      </c>
      <c r="AC91" s="155" t="s">
        <v>180</v>
      </c>
      <c r="AG91" s="81"/>
      <c r="AJ91" s="87" t="s">
        <v>89</v>
      </c>
      <c r="AK91" s="87">
        <v>1</v>
      </c>
      <c r="BB91" s="156" t="s">
        <v>122</v>
      </c>
      <c r="BM91" s="81">
        <f t="shared" si="8"/>
        <v>0</v>
      </c>
      <c r="BN91" s="81">
        <f t="shared" si="9"/>
        <v>0</v>
      </c>
      <c r="BO91" s="81">
        <f t="shared" si="10"/>
        <v>0</v>
      </c>
      <c r="BP91" s="81">
        <f t="shared" si="11"/>
        <v>0</v>
      </c>
    </row>
    <row r="92" spans="1:68" x14ac:dyDescent="0.25">
      <c r="A92" s="307"/>
      <c r="B92" s="307"/>
      <c r="C92" s="307"/>
      <c r="D92" s="307"/>
      <c r="E92" s="307"/>
      <c r="F92" s="307"/>
      <c r="G92" s="307"/>
      <c r="H92" s="307"/>
      <c r="I92" s="307"/>
      <c r="J92" s="307"/>
      <c r="K92" s="307"/>
      <c r="L92" s="307"/>
      <c r="M92" s="307"/>
      <c r="N92" s="307"/>
      <c r="O92" s="308"/>
      <c r="P92" s="304" t="s">
        <v>40</v>
      </c>
      <c r="Q92" s="305"/>
      <c r="R92" s="305"/>
      <c r="S92" s="305"/>
      <c r="T92" s="305"/>
      <c r="U92" s="305"/>
      <c r="V92" s="306"/>
      <c r="W92" s="42" t="s">
        <v>39</v>
      </c>
      <c r="X92" s="43">
        <f>IFERROR(SUM(X84:X91),"0")</f>
        <v>0</v>
      </c>
      <c r="Y92" s="43">
        <f>IFERROR(SUM(Y84:Y91),"0")</f>
        <v>0</v>
      </c>
      <c r="Z92" s="43">
        <f>IFERROR(IF(Z84="",0,Z84),"0")+IFERROR(IF(Z85="",0,Z85),"0")+IFERROR(IF(Z86="",0,Z86),"0")+IFERROR(IF(Z87="",0,Z87),"0")+IFERROR(IF(Z88="",0,Z88),"0")+IFERROR(IF(Z89="",0,Z89),"0")+IFERROR(IF(Z90="",0,Z90),"0")+IFERROR(IF(Z91="",0,Z91),"0")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5">
      <c r="A93" s="307"/>
      <c r="B93" s="307"/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307"/>
      <c r="O93" s="308"/>
      <c r="P93" s="304" t="s">
        <v>40</v>
      </c>
      <c r="Q93" s="305"/>
      <c r="R93" s="305"/>
      <c r="S93" s="305"/>
      <c r="T93" s="305"/>
      <c r="U93" s="305"/>
      <c r="V93" s="306"/>
      <c r="W93" s="42" t="s">
        <v>0</v>
      </c>
      <c r="X93" s="43">
        <f>IFERROR(SUMPRODUCT(X84:X91*H84:H91),"0")</f>
        <v>0</v>
      </c>
      <c r="Y93" s="43">
        <f>IFERROR(SUMPRODUCT(Y84:Y91*H84:H91),"0")</f>
        <v>0</v>
      </c>
      <c r="Z93" s="42"/>
      <c r="AA93" s="67"/>
      <c r="AB93" s="67"/>
      <c r="AC93" s="67"/>
    </row>
    <row r="94" spans="1:68" ht="16.5" customHeight="1" x14ac:dyDescent="0.25">
      <c r="A94" s="327" t="s">
        <v>192</v>
      </c>
      <c r="B94" s="327"/>
      <c r="C94" s="327"/>
      <c r="D94" s="327"/>
      <c r="E94" s="327"/>
      <c r="F94" s="327"/>
      <c r="G94" s="327"/>
      <c r="H94" s="327"/>
      <c r="I94" s="327"/>
      <c r="J94" s="327"/>
      <c r="K94" s="327"/>
      <c r="L94" s="327"/>
      <c r="M94" s="327"/>
      <c r="N94" s="327"/>
      <c r="O94" s="327"/>
      <c r="P94" s="327"/>
      <c r="Q94" s="327"/>
      <c r="R94" s="327"/>
      <c r="S94" s="327"/>
      <c r="T94" s="327"/>
      <c r="U94" s="327"/>
      <c r="V94" s="327"/>
      <c r="W94" s="327"/>
      <c r="X94" s="327"/>
      <c r="Y94" s="327"/>
      <c r="Z94" s="327"/>
      <c r="AA94" s="65"/>
      <c r="AB94" s="65"/>
      <c r="AC94" s="82"/>
    </row>
    <row r="95" spans="1:68" ht="14.25" customHeight="1" x14ac:dyDescent="0.25">
      <c r="A95" s="318" t="s">
        <v>193</v>
      </c>
      <c r="B95" s="318"/>
      <c r="C95" s="318"/>
      <c r="D95" s="318"/>
      <c r="E95" s="318"/>
      <c r="F95" s="318"/>
      <c r="G95" s="318"/>
      <c r="H95" s="318"/>
      <c r="I95" s="318"/>
      <c r="J95" s="318"/>
      <c r="K95" s="318"/>
      <c r="L95" s="318"/>
      <c r="M95" s="318"/>
      <c r="N95" s="318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  <c r="AA95" s="66"/>
      <c r="AB95" s="66"/>
      <c r="AC95" s="83"/>
    </row>
    <row r="96" spans="1:68" ht="27" customHeight="1" x14ac:dyDescent="0.25">
      <c r="A96" s="63" t="s">
        <v>194</v>
      </c>
      <c r="B96" s="63" t="s">
        <v>195</v>
      </c>
      <c r="C96" s="36">
        <v>4301136101</v>
      </c>
      <c r="D96" s="299">
        <v>4620207491652</v>
      </c>
      <c r="E96" s="299"/>
      <c r="F96" s="62">
        <v>0.09</v>
      </c>
      <c r="G96" s="37">
        <v>24</v>
      </c>
      <c r="H96" s="62">
        <v>2.16</v>
      </c>
      <c r="I96" s="62">
        <v>2.4912000000000001</v>
      </c>
      <c r="J96" s="37">
        <v>126</v>
      </c>
      <c r="K96" s="37" t="s">
        <v>123</v>
      </c>
      <c r="L96" s="37" t="s">
        <v>88</v>
      </c>
      <c r="M96" s="38" t="s">
        <v>86</v>
      </c>
      <c r="N96" s="38"/>
      <c r="O96" s="37">
        <v>180</v>
      </c>
      <c r="P96" s="381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96" s="301"/>
      <c r="R96" s="301"/>
      <c r="S96" s="301"/>
      <c r="T96" s="302"/>
      <c r="U96" s="39" t="s">
        <v>46</v>
      </c>
      <c r="V96" s="39" t="s">
        <v>46</v>
      </c>
      <c r="W96" s="40" t="s">
        <v>39</v>
      </c>
      <c r="X96" s="58">
        <v>0</v>
      </c>
      <c r="Y96" s="55">
        <f>IFERROR(IF(X96="","",X96),"")</f>
        <v>0</v>
      </c>
      <c r="Z96" s="41">
        <f>IFERROR(IF(X96="","",X96*0.00936),"")</f>
        <v>0</v>
      </c>
      <c r="AA96" s="68" t="s">
        <v>46</v>
      </c>
      <c r="AB96" s="69" t="s">
        <v>46</v>
      </c>
      <c r="AC96" s="157" t="s">
        <v>196</v>
      </c>
      <c r="AG96" s="81"/>
      <c r="AJ96" s="87" t="s">
        <v>89</v>
      </c>
      <c r="AK96" s="87">
        <v>1</v>
      </c>
      <c r="BB96" s="158" t="s">
        <v>122</v>
      </c>
      <c r="BM96" s="81">
        <f>IFERROR(X96*I96,"0")</f>
        <v>0</v>
      </c>
      <c r="BN96" s="81">
        <f>IFERROR(Y96*I96,"0")</f>
        <v>0</v>
      </c>
      <c r="BO96" s="81">
        <f>IFERROR(X96/J96,"0")</f>
        <v>0</v>
      </c>
      <c r="BP96" s="81">
        <f>IFERROR(Y96/J96,"0")</f>
        <v>0</v>
      </c>
    </row>
    <row r="97" spans="1:68" ht="27" customHeight="1" x14ac:dyDescent="0.25">
      <c r="A97" s="63" t="s">
        <v>197</v>
      </c>
      <c r="B97" s="63" t="s">
        <v>198</v>
      </c>
      <c r="C97" s="36">
        <v>4301136103</v>
      </c>
      <c r="D97" s="299">
        <v>4620207491645</v>
      </c>
      <c r="E97" s="299"/>
      <c r="F97" s="62">
        <v>0.36</v>
      </c>
      <c r="G97" s="37">
        <v>10</v>
      </c>
      <c r="H97" s="62">
        <v>3.6</v>
      </c>
      <c r="I97" s="62">
        <v>4.2439999999999998</v>
      </c>
      <c r="J97" s="37">
        <v>70</v>
      </c>
      <c r="K97" s="37" t="s">
        <v>123</v>
      </c>
      <c r="L97" s="37" t="s">
        <v>88</v>
      </c>
      <c r="M97" s="38" t="s">
        <v>86</v>
      </c>
      <c r="N97" s="38"/>
      <c r="O97" s="37">
        <v>180</v>
      </c>
      <c r="P97" s="382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97" s="301"/>
      <c r="R97" s="301"/>
      <c r="S97" s="301"/>
      <c r="T97" s="302"/>
      <c r="U97" s="39" t="s">
        <v>46</v>
      </c>
      <c r="V97" s="39" t="s">
        <v>46</v>
      </c>
      <c r="W97" s="40" t="s">
        <v>39</v>
      </c>
      <c r="X97" s="58">
        <v>0</v>
      </c>
      <c r="Y97" s="55">
        <f>IFERROR(IF(X97="","",X97),"")</f>
        <v>0</v>
      </c>
      <c r="Z97" s="41">
        <f>IFERROR(IF(X97="","",X97*0.01788),"")</f>
        <v>0</v>
      </c>
      <c r="AA97" s="68" t="s">
        <v>46</v>
      </c>
      <c r="AB97" s="69" t="s">
        <v>46</v>
      </c>
      <c r="AC97" s="159" t="s">
        <v>196</v>
      </c>
      <c r="AG97" s="81"/>
      <c r="AJ97" s="87" t="s">
        <v>89</v>
      </c>
      <c r="AK97" s="87">
        <v>1</v>
      </c>
      <c r="BB97" s="160" t="s">
        <v>122</v>
      </c>
      <c r="BM97" s="81">
        <f>IFERROR(X97*I97,"0")</f>
        <v>0</v>
      </c>
      <c r="BN97" s="81">
        <f>IFERROR(Y97*I97,"0")</f>
        <v>0</v>
      </c>
      <c r="BO97" s="81">
        <f>IFERROR(X97/J97,"0")</f>
        <v>0</v>
      </c>
      <c r="BP97" s="81">
        <f>IFERROR(Y97/J97,"0")</f>
        <v>0</v>
      </c>
    </row>
    <row r="98" spans="1:68" x14ac:dyDescent="0.25">
      <c r="A98" s="307"/>
      <c r="B98" s="307"/>
      <c r="C98" s="307"/>
      <c r="D98" s="307"/>
      <c r="E98" s="307"/>
      <c r="F98" s="307"/>
      <c r="G98" s="307"/>
      <c r="H98" s="307"/>
      <c r="I98" s="307"/>
      <c r="J98" s="307"/>
      <c r="K98" s="307"/>
      <c r="L98" s="307"/>
      <c r="M98" s="307"/>
      <c r="N98" s="307"/>
      <c r="O98" s="308"/>
      <c r="P98" s="304" t="s">
        <v>40</v>
      </c>
      <c r="Q98" s="305"/>
      <c r="R98" s="305"/>
      <c r="S98" s="305"/>
      <c r="T98" s="305"/>
      <c r="U98" s="305"/>
      <c r="V98" s="306"/>
      <c r="W98" s="42" t="s">
        <v>39</v>
      </c>
      <c r="X98" s="43">
        <f>IFERROR(SUM(X96:X97),"0")</f>
        <v>0</v>
      </c>
      <c r="Y98" s="43">
        <f>IFERROR(SUM(Y96:Y97),"0")</f>
        <v>0</v>
      </c>
      <c r="Z98" s="43">
        <f>IFERROR(IF(Z96="",0,Z96),"0")+IFERROR(IF(Z97="",0,Z97),"0")</f>
        <v>0</v>
      </c>
      <c r="AA98" s="67"/>
      <c r="AB98" s="67"/>
      <c r="AC98" s="67"/>
    </row>
    <row r="99" spans="1:68" x14ac:dyDescent="0.25">
      <c r="A99" s="307"/>
      <c r="B99" s="307"/>
      <c r="C99" s="307"/>
      <c r="D99" s="307"/>
      <c r="E99" s="307"/>
      <c r="F99" s="307"/>
      <c r="G99" s="307"/>
      <c r="H99" s="307"/>
      <c r="I99" s="307"/>
      <c r="J99" s="307"/>
      <c r="K99" s="307"/>
      <c r="L99" s="307"/>
      <c r="M99" s="307"/>
      <c r="N99" s="307"/>
      <c r="O99" s="308"/>
      <c r="P99" s="304" t="s">
        <v>40</v>
      </c>
      <c r="Q99" s="305"/>
      <c r="R99" s="305"/>
      <c r="S99" s="305"/>
      <c r="T99" s="305"/>
      <c r="U99" s="305"/>
      <c r="V99" s="306"/>
      <c r="W99" s="42" t="s">
        <v>0</v>
      </c>
      <c r="X99" s="43">
        <f>IFERROR(SUMPRODUCT(X96:X97*H96:H97),"0")</f>
        <v>0</v>
      </c>
      <c r="Y99" s="43">
        <f>IFERROR(SUMPRODUCT(Y96:Y97*H96:H97),"0")</f>
        <v>0</v>
      </c>
      <c r="Z99" s="42"/>
      <c r="AA99" s="67"/>
      <c r="AB99" s="67"/>
      <c r="AC99" s="67"/>
    </row>
    <row r="100" spans="1:68" ht="16.5" customHeight="1" x14ac:dyDescent="0.25">
      <c r="A100" s="327" t="s">
        <v>199</v>
      </c>
      <c r="B100" s="327"/>
      <c r="C100" s="327"/>
      <c r="D100" s="327"/>
      <c r="E100" s="327"/>
      <c r="F100" s="327"/>
      <c r="G100" s="327"/>
      <c r="H100" s="327"/>
      <c r="I100" s="327"/>
      <c r="J100" s="327"/>
      <c r="K100" s="327"/>
      <c r="L100" s="327"/>
      <c r="M100" s="327"/>
      <c r="N100" s="327"/>
      <c r="O100" s="327"/>
      <c r="P100" s="327"/>
      <c r="Q100" s="327"/>
      <c r="R100" s="327"/>
      <c r="S100" s="327"/>
      <c r="T100" s="327"/>
      <c r="U100" s="327"/>
      <c r="V100" s="327"/>
      <c r="W100" s="327"/>
      <c r="X100" s="327"/>
      <c r="Y100" s="327"/>
      <c r="Z100" s="327"/>
      <c r="AA100" s="65"/>
      <c r="AB100" s="65"/>
      <c r="AC100" s="82"/>
    </row>
    <row r="101" spans="1:68" ht="14.25" customHeight="1" x14ac:dyDescent="0.25">
      <c r="A101" s="318" t="s">
        <v>82</v>
      </c>
      <c r="B101" s="318"/>
      <c r="C101" s="318"/>
      <c r="D101" s="318"/>
      <c r="E101" s="318"/>
      <c r="F101" s="318"/>
      <c r="G101" s="318"/>
      <c r="H101" s="318"/>
      <c r="I101" s="318"/>
      <c r="J101" s="318"/>
      <c r="K101" s="318"/>
      <c r="L101" s="318"/>
      <c r="M101" s="318"/>
      <c r="N101" s="318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  <c r="AA101" s="66"/>
      <c r="AB101" s="66"/>
      <c r="AC101" s="83"/>
    </row>
    <row r="102" spans="1:68" ht="27" customHeight="1" x14ac:dyDescent="0.25">
      <c r="A102" s="63" t="s">
        <v>200</v>
      </c>
      <c r="B102" s="63" t="s">
        <v>201</v>
      </c>
      <c r="C102" s="36">
        <v>4301071074</v>
      </c>
      <c r="D102" s="299">
        <v>4620207491157</v>
      </c>
      <c r="E102" s="299"/>
      <c r="F102" s="62">
        <v>0.7</v>
      </c>
      <c r="G102" s="37">
        <v>10</v>
      </c>
      <c r="H102" s="62">
        <v>7</v>
      </c>
      <c r="I102" s="62">
        <v>7.28</v>
      </c>
      <c r="J102" s="37">
        <v>84</v>
      </c>
      <c r="K102" s="37" t="s">
        <v>87</v>
      </c>
      <c r="L102" s="37" t="s">
        <v>124</v>
      </c>
      <c r="M102" s="38" t="s">
        <v>86</v>
      </c>
      <c r="N102" s="38"/>
      <c r="O102" s="37">
        <v>180</v>
      </c>
      <c r="P102" s="37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301"/>
      <c r="R102" s="301"/>
      <c r="S102" s="301"/>
      <c r="T102" s="302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ref="Y102:Y109" si="12">IFERROR(IF(X102="","",X102),"")</f>
        <v>0</v>
      </c>
      <c r="Z102" s="41">
        <f t="shared" ref="Z102:Z109" si="13">IFERROR(IF(X102="","",X102*0.0155),"")</f>
        <v>0</v>
      </c>
      <c r="AA102" s="68" t="s">
        <v>46</v>
      </c>
      <c r="AB102" s="69" t="s">
        <v>46</v>
      </c>
      <c r="AC102" s="161" t="s">
        <v>202</v>
      </c>
      <c r="AG102" s="81"/>
      <c r="AJ102" s="87" t="s">
        <v>125</v>
      </c>
      <c r="AK102" s="87">
        <v>12</v>
      </c>
      <c r="BB102" s="162" t="s">
        <v>70</v>
      </c>
      <c r="BM102" s="81">
        <f t="shared" ref="BM102:BM109" si="14">IFERROR(X102*I102,"0")</f>
        <v>0</v>
      </c>
      <c r="BN102" s="81">
        <f t="shared" ref="BN102:BN109" si="15">IFERROR(Y102*I102,"0")</f>
        <v>0</v>
      </c>
      <c r="BO102" s="81">
        <f t="shared" ref="BO102:BO109" si="16">IFERROR(X102/J102,"0")</f>
        <v>0</v>
      </c>
      <c r="BP102" s="81">
        <f t="shared" ref="BP102:BP109" si="17">IFERROR(Y102/J102,"0")</f>
        <v>0</v>
      </c>
    </row>
    <row r="103" spans="1:68" ht="27" customHeight="1" x14ac:dyDescent="0.25">
      <c r="A103" s="63" t="s">
        <v>203</v>
      </c>
      <c r="B103" s="63" t="s">
        <v>204</v>
      </c>
      <c r="C103" s="36">
        <v>4301071121</v>
      </c>
      <c r="D103" s="299">
        <v>4620207491393</v>
      </c>
      <c r="E103" s="299"/>
      <c r="F103" s="62">
        <v>0.4</v>
      </c>
      <c r="G103" s="37">
        <v>16</v>
      </c>
      <c r="H103" s="62">
        <v>6.4</v>
      </c>
      <c r="I103" s="62">
        <v>6.71</v>
      </c>
      <c r="J103" s="37">
        <v>84</v>
      </c>
      <c r="K103" s="37" t="s">
        <v>87</v>
      </c>
      <c r="L103" s="37" t="s">
        <v>88</v>
      </c>
      <c r="M103" s="38" t="s">
        <v>86</v>
      </c>
      <c r="N103" s="38"/>
      <c r="O103" s="37">
        <v>180</v>
      </c>
      <c r="P103" s="37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3" s="301"/>
      <c r="R103" s="301"/>
      <c r="S103" s="301"/>
      <c r="T103" s="302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12"/>
        <v>0</v>
      </c>
      <c r="Z103" s="41">
        <f t="shared" si="13"/>
        <v>0</v>
      </c>
      <c r="AA103" s="68" t="s">
        <v>46</v>
      </c>
      <c r="AB103" s="69" t="s">
        <v>46</v>
      </c>
      <c r="AC103" s="163" t="s">
        <v>205</v>
      </c>
      <c r="AG103" s="81"/>
      <c r="AJ103" s="87" t="s">
        <v>89</v>
      </c>
      <c r="AK103" s="87">
        <v>1</v>
      </c>
      <c r="BB103" s="164" t="s">
        <v>70</v>
      </c>
      <c r="BM103" s="81">
        <f t="shared" si="14"/>
        <v>0</v>
      </c>
      <c r="BN103" s="81">
        <f t="shared" si="15"/>
        <v>0</v>
      </c>
      <c r="BO103" s="81">
        <f t="shared" si="16"/>
        <v>0</v>
      </c>
      <c r="BP103" s="81">
        <f t="shared" si="17"/>
        <v>0</v>
      </c>
    </row>
    <row r="104" spans="1:68" ht="27" customHeight="1" x14ac:dyDescent="0.25">
      <c r="A104" s="63" t="s">
        <v>206</v>
      </c>
      <c r="B104" s="63" t="s">
        <v>207</v>
      </c>
      <c r="C104" s="36">
        <v>4301071051</v>
      </c>
      <c r="D104" s="299">
        <v>4607111039262</v>
      </c>
      <c r="E104" s="299"/>
      <c r="F104" s="62">
        <v>0.4</v>
      </c>
      <c r="G104" s="37">
        <v>16</v>
      </c>
      <c r="H104" s="62">
        <v>6.4</v>
      </c>
      <c r="I104" s="62">
        <v>6.7195999999999998</v>
      </c>
      <c r="J104" s="37">
        <v>84</v>
      </c>
      <c r="K104" s="37" t="s">
        <v>87</v>
      </c>
      <c r="L104" s="37" t="s">
        <v>124</v>
      </c>
      <c r="M104" s="38" t="s">
        <v>86</v>
      </c>
      <c r="N104" s="38"/>
      <c r="O104" s="37">
        <v>180</v>
      </c>
      <c r="P104" s="37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4" s="301"/>
      <c r="R104" s="301"/>
      <c r="S104" s="301"/>
      <c r="T104" s="302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12"/>
        <v>0</v>
      </c>
      <c r="Z104" s="41">
        <f t="shared" si="13"/>
        <v>0</v>
      </c>
      <c r="AA104" s="68" t="s">
        <v>46</v>
      </c>
      <c r="AB104" s="69" t="s">
        <v>46</v>
      </c>
      <c r="AC104" s="165" t="s">
        <v>155</v>
      </c>
      <c r="AG104" s="81"/>
      <c r="AJ104" s="87" t="s">
        <v>125</v>
      </c>
      <c r="AK104" s="87">
        <v>12</v>
      </c>
      <c r="BB104" s="166" t="s">
        <v>70</v>
      </c>
      <c r="BM104" s="81">
        <f t="shared" si="14"/>
        <v>0</v>
      </c>
      <c r="BN104" s="81">
        <f t="shared" si="15"/>
        <v>0</v>
      </c>
      <c r="BO104" s="81">
        <f t="shared" si="16"/>
        <v>0</v>
      </c>
      <c r="BP104" s="81">
        <f t="shared" si="17"/>
        <v>0</v>
      </c>
    </row>
    <row r="105" spans="1:68" ht="27" customHeight="1" x14ac:dyDescent="0.25">
      <c r="A105" s="63" t="s">
        <v>208</v>
      </c>
      <c r="B105" s="63" t="s">
        <v>209</v>
      </c>
      <c r="C105" s="36">
        <v>4301071038</v>
      </c>
      <c r="D105" s="299">
        <v>4607111039248</v>
      </c>
      <c r="E105" s="299"/>
      <c r="F105" s="62">
        <v>0.7</v>
      </c>
      <c r="G105" s="37">
        <v>10</v>
      </c>
      <c r="H105" s="62">
        <v>7</v>
      </c>
      <c r="I105" s="62">
        <v>7.3</v>
      </c>
      <c r="J105" s="37">
        <v>84</v>
      </c>
      <c r="K105" s="37" t="s">
        <v>87</v>
      </c>
      <c r="L105" s="37" t="s">
        <v>124</v>
      </c>
      <c r="M105" s="38" t="s">
        <v>86</v>
      </c>
      <c r="N105" s="38"/>
      <c r="O105" s="37">
        <v>180</v>
      </c>
      <c r="P105" s="38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5" s="301"/>
      <c r="R105" s="301"/>
      <c r="S105" s="301"/>
      <c r="T105" s="302"/>
      <c r="U105" s="39" t="s">
        <v>46</v>
      </c>
      <c r="V105" s="39" t="s">
        <v>46</v>
      </c>
      <c r="W105" s="40" t="s">
        <v>39</v>
      </c>
      <c r="X105" s="58">
        <v>0</v>
      </c>
      <c r="Y105" s="55">
        <f t="shared" si="12"/>
        <v>0</v>
      </c>
      <c r="Z105" s="41">
        <f t="shared" si="13"/>
        <v>0</v>
      </c>
      <c r="AA105" s="68" t="s">
        <v>46</v>
      </c>
      <c r="AB105" s="69" t="s">
        <v>46</v>
      </c>
      <c r="AC105" s="167" t="s">
        <v>155</v>
      </c>
      <c r="AG105" s="81"/>
      <c r="AJ105" s="87" t="s">
        <v>125</v>
      </c>
      <c r="AK105" s="87">
        <v>12</v>
      </c>
      <c r="BB105" s="168" t="s">
        <v>70</v>
      </c>
      <c r="BM105" s="81">
        <f t="shared" si="14"/>
        <v>0</v>
      </c>
      <c r="BN105" s="81">
        <f t="shared" si="15"/>
        <v>0</v>
      </c>
      <c r="BO105" s="81">
        <f t="shared" si="16"/>
        <v>0</v>
      </c>
      <c r="BP105" s="81">
        <f t="shared" si="17"/>
        <v>0</v>
      </c>
    </row>
    <row r="106" spans="1:68" ht="27" customHeight="1" x14ac:dyDescent="0.25">
      <c r="A106" s="63" t="s">
        <v>210</v>
      </c>
      <c r="B106" s="63" t="s">
        <v>211</v>
      </c>
      <c r="C106" s="36">
        <v>4301070979</v>
      </c>
      <c r="D106" s="299">
        <v>4607111037145</v>
      </c>
      <c r="E106" s="299"/>
      <c r="F106" s="62">
        <v>0.8</v>
      </c>
      <c r="G106" s="37">
        <v>8</v>
      </c>
      <c r="H106" s="62">
        <v>6.4</v>
      </c>
      <c r="I106" s="62">
        <v>6.6748000000000003</v>
      </c>
      <c r="J106" s="37">
        <v>84</v>
      </c>
      <c r="K106" s="37" t="s">
        <v>87</v>
      </c>
      <c r="L106" s="37" t="s">
        <v>88</v>
      </c>
      <c r="M106" s="38" t="s">
        <v>86</v>
      </c>
      <c r="N106" s="38"/>
      <c r="O106" s="37">
        <v>180</v>
      </c>
      <c r="P106" s="37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6" s="301"/>
      <c r="R106" s="301"/>
      <c r="S106" s="301"/>
      <c r="T106" s="302"/>
      <c r="U106" s="39" t="s">
        <v>46</v>
      </c>
      <c r="V106" s="39" t="s">
        <v>46</v>
      </c>
      <c r="W106" s="40" t="s">
        <v>39</v>
      </c>
      <c r="X106" s="58">
        <v>0</v>
      </c>
      <c r="Y106" s="55">
        <f t="shared" si="12"/>
        <v>0</v>
      </c>
      <c r="Z106" s="41">
        <f t="shared" si="13"/>
        <v>0</v>
      </c>
      <c r="AA106" s="68" t="s">
        <v>46</v>
      </c>
      <c r="AB106" s="69" t="s">
        <v>46</v>
      </c>
      <c r="AC106" s="169" t="s">
        <v>212</v>
      </c>
      <c r="AG106" s="81"/>
      <c r="AJ106" s="87" t="s">
        <v>89</v>
      </c>
      <c r="AK106" s="87">
        <v>1</v>
      </c>
      <c r="BB106" s="170" t="s">
        <v>70</v>
      </c>
      <c r="BM106" s="81">
        <f t="shared" si="14"/>
        <v>0</v>
      </c>
      <c r="BN106" s="81">
        <f t="shared" si="15"/>
        <v>0</v>
      </c>
      <c r="BO106" s="81">
        <f t="shared" si="16"/>
        <v>0</v>
      </c>
      <c r="BP106" s="81">
        <f t="shared" si="17"/>
        <v>0</v>
      </c>
    </row>
    <row r="107" spans="1:68" ht="27" customHeight="1" x14ac:dyDescent="0.25">
      <c r="A107" s="63" t="s">
        <v>213</v>
      </c>
      <c r="B107" s="63" t="s">
        <v>214</v>
      </c>
      <c r="C107" s="36">
        <v>4301071075</v>
      </c>
      <c r="D107" s="299">
        <v>4620207491102</v>
      </c>
      <c r="E107" s="299"/>
      <c r="F107" s="62">
        <v>0.7</v>
      </c>
      <c r="G107" s="37">
        <v>10</v>
      </c>
      <c r="H107" s="62">
        <v>7</v>
      </c>
      <c r="I107" s="62">
        <v>7.23</v>
      </c>
      <c r="J107" s="37">
        <v>84</v>
      </c>
      <c r="K107" s="37" t="s">
        <v>87</v>
      </c>
      <c r="L107" s="37" t="s">
        <v>88</v>
      </c>
      <c r="M107" s="38" t="s">
        <v>86</v>
      </c>
      <c r="N107" s="38"/>
      <c r="O107" s="37">
        <v>180</v>
      </c>
      <c r="P107" s="37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7" s="301"/>
      <c r="R107" s="301"/>
      <c r="S107" s="301"/>
      <c r="T107" s="302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si="12"/>
        <v>0</v>
      </c>
      <c r="Z107" s="41">
        <f t="shared" si="13"/>
        <v>0</v>
      </c>
      <c r="AA107" s="68" t="s">
        <v>46</v>
      </c>
      <c r="AB107" s="69" t="s">
        <v>46</v>
      </c>
      <c r="AC107" s="171" t="s">
        <v>215</v>
      </c>
      <c r="AG107" s="81"/>
      <c r="AJ107" s="87" t="s">
        <v>89</v>
      </c>
      <c r="AK107" s="87">
        <v>1</v>
      </c>
      <c r="BB107" s="172" t="s">
        <v>70</v>
      </c>
      <c r="BM107" s="81">
        <f t="shared" si="14"/>
        <v>0</v>
      </c>
      <c r="BN107" s="81">
        <f t="shared" si="15"/>
        <v>0</v>
      </c>
      <c r="BO107" s="81">
        <f t="shared" si="16"/>
        <v>0</v>
      </c>
      <c r="BP107" s="81">
        <f t="shared" si="17"/>
        <v>0</v>
      </c>
    </row>
    <row r="108" spans="1:68" ht="27" customHeight="1" x14ac:dyDescent="0.25">
      <c r="A108" s="63" t="s">
        <v>216</v>
      </c>
      <c r="B108" s="63" t="s">
        <v>217</v>
      </c>
      <c r="C108" s="36">
        <v>4301071139</v>
      </c>
      <c r="D108" s="299">
        <v>4607111039293</v>
      </c>
      <c r="E108" s="299"/>
      <c r="F108" s="62">
        <v>0.4</v>
      </c>
      <c r="G108" s="37">
        <v>16</v>
      </c>
      <c r="H108" s="62">
        <v>6.4</v>
      </c>
      <c r="I108" s="62">
        <v>6.7195999999999998</v>
      </c>
      <c r="J108" s="37">
        <v>84</v>
      </c>
      <c r="K108" s="37" t="s">
        <v>87</v>
      </c>
      <c r="L108" s="37" t="s">
        <v>88</v>
      </c>
      <c r="M108" s="38" t="s">
        <v>86</v>
      </c>
      <c r="N108" s="38"/>
      <c r="O108" s="37">
        <v>180</v>
      </c>
      <c r="P108" s="37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8" s="301"/>
      <c r="R108" s="301"/>
      <c r="S108" s="301"/>
      <c r="T108" s="302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12"/>
        <v>0</v>
      </c>
      <c r="Z108" s="41">
        <f t="shared" si="13"/>
        <v>0</v>
      </c>
      <c r="AA108" s="68" t="s">
        <v>46</v>
      </c>
      <c r="AB108" s="69" t="s">
        <v>46</v>
      </c>
      <c r="AC108" s="173" t="s">
        <v>218</v>
      </c>
      <c r="AG108" s="81"/>
      <c r="AJ108" s="87" t="s">
        <v>89</v>
      </c>
      <c r="AK108" s="87">
        <v>1</v>
      </c>
      <c r="BB108" s="174" t="s">
        <v>70</v>
      </c>
      <c r="BM108" s="81">
        <f t="shared" si="14"/>
        <v>0</v>
      </c>
      <c r="BN108" s="81">
        <f t="shared" si="15"/>
        <v>0</v>
      </c>
      <c r="BO108" s="81">
        <f t="shared" si="16"/>
        <v>0</v>
      </c>
      <c r="BP108" s="81">
        <f t="shared" si="17"/>
        <v>0</v>
      </c>
    </row>
    <row r="109" spans="1:68" ht="27" customHeight="1" x14ac:dyDescent="0.25">
      <c r="A109" s="63" t="s">
        <v>219</v>
      </c>
      <c r="B109" s="63" t="s">
        <v>220</v>
      </c>
      <c r="C109" s="36">
        <v>4301071138</v>
      </c>
      <c r="D109" s="299">
        <v>4607111039279</v>
      </c>
      <c r="E109" s="299"/>
      <c r="F109" s="62">
        <v>0.7</v>
      </c>
      <c r="G109" s="37">
        <v>10</v>
      </c>
      <c r="H109" s="62">
        <v>7</v>
      </c>
      <c r="I109" s="62">
        <v>7.3</v>
      </c>
      <c r="J109" s="37">
        <v>84</v>
      </c>
      <c r="K109" s="37" t="s">
        <v>87</v>
      </c>
      <c r="L109" s="37" t="s">
        <v>88</v>
      </c>
      <c r="M109" s="38" t="s">
        <v>86</v>
      </c>
      <c r="N109" s="38"/>
      <c r="O109" s="37">
        <v>180</v>
      </c>
      <c r="P109" s="376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9" s="301"/>
      <c r="R109" s="301"/>
      <c r="S109" s="301"/>
      <c r="T109" s="302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si="12"/>
        <v>0</v>
      </c>
      <c r="Z109" s="41">
        <f t="shared" si="13"/>
        <v>0</v>
      </c>
      <c r="AA109" s="68" t="s">
        <v>46</v>
      </c>
      <c r="AB109" s="69" t="s">
        <v>46</v>
      </c>
      <c r="AC109" s="175" t="s">
        <v>218</v>
      </c>
      <c r="AG109" s="81"/>
      <c r="AJ109" s="87" t="s">
        <v>89</v>
      </c>
      <c r="AK109" s="87">
        <v>1</v>
      </c>
      <c r="BB109" s="176" t="s">
        <v>70</v>
      </c>
      <c r="BM109" s="81">
        <f t="shared" si="14"/>
        <v>0</v>
      </c>
      <c r="BN109" s="81">
        <f t="shared" si="15"/>
        <v>0</v>
      </c>
      <c r="BO109" s="81">
        <f t="shared" si="16"/>
        <v>0</v>
      </c>
      <c r="BP109" s="81">
        <f t="shared" si="17"/>
        <v>0</v>
      </c>
    </row>
    <row r="110" spans="1:68" x14ac:dyDescent="0.25">
      <c r="A110" s="307"/>
      <c r="B110" s="307"/>
      <c r="C110" s="307"/>
      <c r="D110" s="307"/>
      <c r="E110" s="307"/>
      <c r="F110" s="307"/>
      <c r="G110" s="307"/>
      <c r="H110" s="307"/>
      <c r="I110" s="307"/>
      <c r="J110" s="307"/>
      <c r="K110" s="307"/>
      <c r="L110" s="307"/>
      <c r="M110" s="307"/>
      <c r="N110" s="307"/>
      <c r="O110" s="308"/>
      <c r="P110" s="304" t="s">
        <v>40</v>
      </c>
      <c r="Q110" s="305"/>
      <c r="R110" s="305"/>
      <c r="S110" s="305"/>
      <c r="T110" s="305"/>
      <c r="U110" s="305"/>
      <c r="V110" s="306"/>
      <c r="W110" s="42" t="s">
        <v>39</v>
      </c>
      <c r="X110" s="43">
        <f>IFERROR(SUM(X102:X109),"0")</f>
        <v>0</v>
      </c>
      <c r="Y110" s="43">
        <f>IFERROR(SUM(Y102:Y109),"0")</f>
        <v>0</v>
      </c>
      <c r="Z110" s="43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5">
      <c r="A111" s="307"/>
      <c r="B111" s="307"/>
      <c r="C111" s="307"/>
      <c r="D111" s="307"/>
      <c r="E111" s="307"/>
      <c r="F111" s="307"/>
      <c r="G111" s="307"/>
      <c r="H111" s="307"/>
      <c r="I111" s="307"/>
      <c r="J111" s="307"/>
      <c r="K111" s="307"/>
      <c r="L111" s="307"/>
      <c r="M111" s="307"/>
      <c r="N111" s="307"/>
      <c r="O111" s="308"/>
      <c r="P111" s="304" t="s">
        <v>40</v>
      </c>
      <c r="Q111" s="305"/>
      <c r="R111" s="305"/>
      <c r="S111" s="305"/>
      <c r="T111" s="305"/>
      <c r="U111" s="305"/>
      <c r="V111" s="306"/>
      <c r="W111" s="42" t="s">
        <v>0</v>
      </c>
      <c r="X111" s="43">
        <f>IFERROR(SUMPRODUCT(X102:X109*H102:H109),"0")</f>
        <v>0</v>
      </c>
      <c r="Y111" s="43">
        <f>IFERROR(SUMPRODUCT(Y102:Y109*H102:H109),"0")</f>
        <v>0</v>
      </c>
      <c r="Z111" s="42"/>
      <c r="AA111" s="67"/>
      <c r="AB111" s="67"/>
      <c r="AC111" s="67"/>
    </row>
    <row r="112" spans="1:68" ht="14.25" customHeight="1" x14ac:dyDescent="0.25">
      <c r="A112" s="318" t="s">
        <v>160</v>
      </c>
      <c r="B112" s="318"/>
      <c r="C112" s="318"/>
      <c r="D112" s="318"/>
      <c r="E112" s="318"/>
      <c r="F112" s="318"/>
      <c r="G112" s="318"/>
      <c r="H112" s="318"/>
      <c r="I112" s="318"/>
      <c r="J112" s="318"/>
      <c r="K112" s="318"/>
      <c r="L112" s="318"/>
      <c r="M112" s="318"/>
      <c r="N112" s="318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  <c r="AA112" s="66"/>
      <c r="AB112" s="66"/>
      <c r="AC112" s="83"/>
    </row>
    <row r="113" spans="1:68" ht="27" customHeight="1" x14ac:dyDescent="0.25">
      <c r="A113" s="63" t="s">
        <v>221</v>
      </c>
      <c r="B113" s="63" t="s">
        <v>222</v>
      </c>
      <c r="C113" s="36">
        <v>4301135826</v>
      </c>
      <c r="D113" s="299">
        <v>4620207490983</v>
      </c>
      <c r="E113" s="299"/>
      <c r="F113" s="62">
        <v>0.22</v>
      </c>
      <c r="G113" s="37">
        <v>12</v>
      </c>
      <c r="H113" s="62">
        <v>2.64</v>
      </c>
      <c r="I113" s="62">
        <v>3.3435999999999999</v>
      </c>
      <c r="J113" s="37">
        <v>70</v>
      </c>
      <c r="K113" s="37" t="s">
        <v>123</v>
      </c>
      <c r="L113" s="37" t="s">
        <v>88</v>
      </c>
      <c r="M113" s="38" t="s">
        <v>86</v>
      </c>
      <c r="N113" s="38"/>
      <c r="O113" s="37">
        <v>180</v>
      </c>
      <c r="P113" s="37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301"/>
      <c r="R113" s="301"/>
      <c r="S113" s="301"/>
      <c r="T113" s="302"/>
      <c r="U113" s="39" t="s">
        <v>46</v>
      </c>
      <c r="V113" s="39" t="s">
        <v>46</v>
      </c>
      <c r="W113" s="40" t="s">
        <v>39</v>
      </c>
      <c r="X113" s="58">
        <v>0</v>
      </c>
      <c r="Y113" s="55">
        <f>IFERROR(IF(X113="","",X113),"")</f>
        <v>0</v>
      </c>
      <c r="Z113" s="41">
        <f>IFERROR(IF(X113="","",X113*0.01788),"")</f>
        <v>0</v>
      </c>
      <c r="AA113" s="68" t="s">
        <v>46</v>
      </c>
      <c r="AB113" s="69" t="s">
        <v>46</v>
      </c>
      <c r="AC113" s="177" t="s">
        <v>223</v>
      </c>
      <c r="AG113" s="81"/>
      <c r="AJ113" s="87" t="s">
        <v>89</v>
      </c>
      <c r="AK113" s="87">
        <v>1</v>
      </c>
      <c r="BB113" s="178" t="s">
        <v>122</v>
      </c>
      <c r="BM113" s="81">
        <f>IFERROR(X113*I113,"0")</f>
        <v>0</v>
      </c>
      <c r="BN113" s="81">
        <f>IFERROR(Y113*I113,"0")</f>
        <v>0</v>
      </c>
      <c r="BO113" s="81">
        <f>IFERROR(X113/J113,"0")</f>
        <v>0</v>
      </c>
      <c r="BP113" s="81">
        <f>IFERROR(Y113/J113,"0")</f>
        <v>0</v>
      </c>
    </row>
    <row r="114" spans="1:68" x14ac:dyDescent="0.25">
      <c r="A114" s="307"/>
      <c r="B114" s="307"/>
      <c r="C114" s="307"/>
      <c r="D114" s="307"/>
      <c r="E114" s="307"/>
      <c r="F114" s="307"/>
      <c r="G114" s="307"/>
      <c r="H114" s="307"/>
      <c r="I114" s="307"/>
      <c r="J114" s="307"/>
      <c r="K114" s="307"/>
      <c r="L114" s="307"/>
      <c r="M114" s="307"/>
      <c r="N114" s="307"/>
      <c r="O114" s="308"/>
      <c r="P114" s="304" t="s">
        <v>40</v>
      </c>
      <c r="Q114" s="305"/>
      <c r="R114" s="305"/>
      <c r="S114" s="305"/>
      <c r="T114" s="305"/>
      <c r="U114" s="305"/>
      <c r="V114" s="306"/>
      <c r="W114" s="42" t="s">
        <v>39</v>
      </c>
      <c r="X114" s="43">
        <f>IFERROR(SUM(X113:X113),"0")</f>
        <v>0</v>
      </c>
      <c r="Y114" s="43">
        <f>IFERROR(SUM(Y113:Y113),"0")</f>
        <v>0</v>
      </c>
      <c r="Z114" s="43">
        <f>IFERROR(IF(Z113="",0,Z113),"0")</f>
        <v>0</v>
      </c>
      <c r="AA114" s="67"/>
      <c r="AB114" s="67"/>
      <c r="AC114" s="67"/>
    </row>
    <row r="115" spans="1:68" x14ac:dyDescent="0.25">
      <c r="A115" s="307"/>
      <c r="B115" s="307"/>
      <c r="C115" s="307"/>
      <c r="D115" s="307"/>
      <c r="E115" s="307"/>
      <c r="F115" s="307"/>
      <c r="G115" s="307"/>
      <c r="H115" s="307"/>
      <c r="I115" s="307"/>
      <c r="J115" s="307"/>
      <c r="K115" s="307"/>
      <c r="L115" s="307"/>
      <c r="M115" s="307"/>
      <c r="N115" s="307"/>
      <c r="O115" s="308"/>
      <c r="P115" s="304" t="s">
        <v>40</v>
      </c>
      <c r="Q115" s="305"/>
      <c r="R115" s="305"/>
      <c r="S115" s="305"/>
      <c r="T115" s="305"/>
      <c r="U115" s="305"/>
      <c r="V115" s="306"/>
      <c r="W115" s="42" t="s">
        <v>0</v>
      </c>
      <c r="X115" s="43">
        <f>IFERROR(SUMPRODUCT(X113:X113*H113:H113),"0")</f>
        <v>0</v>
      </c>
      <c r="Y115" s="43">
        <f>IFERROR(SUMPRODUCT(Y113:Y113*H113:H113),"0")</f>
        <v>0</v>
      </c>
      <c r="Z115" s="42"/>
      <c r="AA115" s="67"/>
      <c r="AB115" s="67"/>
      <c r="AC115" s="67"/>
    </row>
    <row r="116" spans="1:68" ht="14.25" customHeight="1" x14ac:dyDescent="0.25">
      <c r="A116" s="318" t="s">
        <v>224</v>
      </c>
      <c r="B116" s="318"/>
      <c r="C116" s="318"/>
      <c r="D116" s="318"/>
      <c r="E116" s="318"/>
      <c r="F116" s="318"/>
      <c r="G116" s="318"/>
      <c r="H116" s="318"/>
      <c r="I116" s="318"/>
      <c r="J116" s="318"/>
      <c r="K116" s="318"/>
      <c r="L116" s="318"/>
      <c r="M116" s="318"/>
      <c r="N116" s="318"/>
      <c r="O116" s="318"/>
      <c r="P116" s="318"/>
      <c r="Q116" s="318"/>
      <c r="R116" s="318"/>
      <c r="S116" s="318"/>
      <c r="T116" s="318"/>
      <c r="U116" s="318"/>
      <c r="V116" s="318"/>
      <c r="W116" s="318"/>
      <c r="X116" s="318"/>
      <c r="Y116" s="318"/>
      <c r="Z116" s="318"/>
      <c r="AA116" s="66"/>
      <c r="AB116" s="66"/>
      <c r="AC116" s="83"/>
    </row>
    <row r="117" spans="1:68" ht="27" customHeight="1" x14ac:dyDescent="0.25">
      <c r="A117" s="63" t="s">
        <v>225</v>
      </c>
      <c r="B117" s="63" t="s">
        <v>226</v>
      </c>
      <c r="C117" s="36">
        <v>4301071094</v>
      </c>
      <c r="D117" s="299">
        <v>4620207491140</v>
      </c>
      <c r="E117" s="299"/>
      <c r="F117" s="62">
        <v>0.6</v>
      </c>
      <c r="G117" s="37">
        <v>10</v>
      </c>
      <c r="H117" s="62">
        <v>6</v>
      </c>
      <c r="I117" s="62">
        <v>6.28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7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301"/>
      <c r="R117" s="301"/>
      <c r="S117" s="301"/>
      <c r="T117" s="302"/>
      <c r="U117" s="39" t="s">
        <v>46</v>
      </c>
      <c r="V117" s="39" t="s">
        <v>46</v>
      </c>
      <c r="W117" s="40" t="s">
        <v>39</v>
      </c>
      <c r="X117" s="58">
        <v>0</v>
      </c>
      <c r="Y117" s="55">
        <f>IFERROR(IF(X117="","",X117),"")</f>
        <v>0</v>
      </c>
      <c r="Z117" s="41">
        <f>IFERROR(IF(X117="","",X117*0.0155),"")</f>
        <v>0</v>
      </c>
      <c r="AA117" s="68" t="s">
        <v>46</v>
      </c>
      <c r="AB117" s="69" t="s">
        <v>46</v>
      </c>
      <c r="AC117" s="179" t="s">
        <v>227</v>
      </c>
      <c r="AG117" s="81"/>
      <c r="AJ117" s="87" t="s">
        <v>89</v>
      </c>
      <c r="AK117" s="87">
        <v>1</v>
      </c>
      <c r="BB117" s="180" t="s">
        <v>122</v>
      </c>
      <c r="BM117" s="81">
        <f>IFERROR(X117*I117,"0")</f>
        <v>0</v>
      </c>
      <c r="BN117" s="81">
        <f>IFERROR(Y117*I117,"0")</f>
        <v>0</v>
      </c>
      <c r="BO117" s="81">
        <f>IFERROR(X117/J117,"0")</f>
        <v>0</v>
      </c>
      <c r="BP117" s="81">
        <f>IFERROR(Y117/J117,"0")</f>
        <v>0</v>
      </c>
    </row>
    <row r="118" spans="1:68" x14ac:dyDescent="0.25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  <c r="N118" s="307"/>
      <c r="O118" s="308"/>
      <c r="P118" s="304" t="s">
        <v>40</v>
      </c>
      <c r="Q118" s="305"/>
      <c r="R118" s="305"/>
      <c r="S118" s="305"/>
      <c r="T118" s="305"/>
      <c r="U118" s="305"/>
      <c r="V118" s="306"/>
      <c r="W118" s="42" t="s">
        <v>39</v>
      </c>
      <c r="X118" s="43">
        <f>IFERROR(SUM(X117:X117),"0")</f>
        <v>0</v>
      </c>
      <c r="Y118" s="43">
        <f>IFERROR(SUM(Y117:Y117),"0")</f>
        <v>0</v>
      </c>
      <c r="Z118" s="43">
        <f>IFERROR(IF(Z117="",0,Z117),"0")</f>
        <v>0</v>
      </c>
      <c r="AA118" s="67"/>
      <c r="AB118" s="67"/>
      <c r="AC118" s="67"/>
    </row>
    <row r="119" spans="1:68" x14ac:dyDescent="0.25">
      <c r="A119" s="307"/>
      <c r="B119" s="307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  <c r="N119" s="307"/>
      <c r="O119" s="308"/>
      <c r="P119" s="304" t="s">
        <v>40</v>
      </c>
      <c r="Q119" s="305"/>
      <c r="R119" s="305"/>
      <c r="S119" s="305"/>
      <c r="T119" s="305"/>
      <c r="U119" s="305"/>
      <c r="V119" s="306"/>
      <c r="W119" s="42" t="s">
        <v>0</v>
      </c>
      <c r="X119" s="43">
        <f>IFERROR(SUMPRODUCT(X117:X117*H117:H117),"0")</f>
        <v>0</v>
      </c>
      <c r="Y119" s="43">
        <f>IFERROR(SUMPRODUCT(Y117:Y117*H117:H117),"0")</f>
        <v>0</v>
      </c>
      <c r="Z119" s="42"/>
      <c r="AA119" s="67"/>
      <c r="AB119" s="67"/>
      <c r="AC119" s="67"/>
    </row>
    <row r="120" spans="1:68" ht="16.5" customHeight="1" x14ac:dyDescent="0.25">
      <c r="A120" s="327" t="s">
        <v>228</v>
      </c>
      <c r="B120" s="327"/>
      <c r="C120" s="327"/>
      <c r="D120" s="327"/>
      <c r="E120" s="327"/>
      <c r="F120" s="327"/>
      <c r="G120" s="327"/>
      <c r="H120" s="327"/>
      <c r="I120" s="327"/>
      <c r="J120" s="327"/>
      <c r="K120" s="327"/>
      <c r="L120" s="327"/>
      <c r="M120" s="327"/>
      <c r="N120" s="327"/>
      <c r="O120" s="327"/>
      <c r="P120" s="327"/>
      <c r="Q120" s="327"/>
      <c r="R120" s="327"/>
      <c r="S120" s="327"/>
      <c r="T120" s="327"/>
      <c r="U120" s="327"/>
      <c r="V120" s="327"/>
      <c r="W120" s="327"/>
      <c r="X120" s="327"/>
      <c r="Y120" s="327"/>
      <c r="Z120" s="327"/>
      <c r="AA120" s="65"/>
      <c r="AB120" s="65"/>
      <c r="AC120" s="82"/>
    </row>
    <row r="121" spans="1:68" ht="14.25" customHeight="1" x14ac:dyDescent="0.25">
      <c r="A121" s="318" t="s">
        <v>82</v>
      </c>
      <c r="B121" s="318"/>
      <c r="C121" s="318"/>
      <c r="D121" s="318"/>
      <c r="E121" s="318"/>
      <c r="F121" s="318"/>
      <c r="G121" s="318"/>
      <c r="H121" s="318"/>
      <c r="I121" s="318"/>
      <c r="J121" s="318"/>
      <c r="K121" s="318"/>
      <c r="L121" s="318"/>
      <c r="M121" s="318"/>
      <c r="N121" s="318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  <c r="AA121" s="66"/>
      <c r="AB121" s="66"/>
      <c r="AC121" s="83"/>
    </row>
    <row r="122" spans="1:68" ht="27" customHeight="1" x14ac:dyDescent="0.25">
      <c r="A122" s="63" t="s">
        <v>229</v>
      </c>
      <c r="B122" s="63" t="s">
        <v>230</v>
      </c>
      <c r="C122" s="36">
        <v>4301071142</v>
      </c>
      <c r="D122" s="299">
        <v>4620207491904</v>
      </c>
      <c r="E122" s="299"/>
      <c r="F122" s="62">
        <v>0.56999999999999995</v>
      </c>
      <c r="G122" s="37">
        <v>10</v>
      </c>
      <c r="H122" s="62">
        <v>5.7</v>
      </c>
      <c r="I122" s="62">
        <v>5.98</v>
      </c>
      <c r="J122" s="37">
        <v>84</v>
      </c>
      <c r="K122" s="37" t="s">
        <v>87</v>
      </c>
      <c r="L122" s="37" t="s">
        <v>88</v>
      </c>
      <c r="M122" s="38" t="s">
        <v>86</v>
      </c>
      <c r="N122" s="38"/>
      <c r="O122" s="37">
        <v>180</v>
      </c>
      <c r="P122" s="370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2" s="301"/>
      <c r="R122" s="301"/>
      <c r="S122" s="301"/>
      <c r="T122" s="302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IFERROR(IF(X122="","",X122*0.0155),"")</f>
        <v>0</v>
      </c>
      <c r="AA122" s="68" t="s">
        <v>46</v>
      </c>
      <c r="AB122" s="69" t="s">
        <v>110</v>
      </c>
      <c r="AC122" s="181" t="s">
        <v>231</v>
      </c>
      <c r="AG122" s="81"/>
      <c r="AJ122" s="87" t="s">
        <v>89</v>
      </c>
      <c r="AK122" s="87">
        <v>1</v>
      </c>
      <c r="BB122" s="182" t="s">
        <v>70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x14ac:dyDescent="0.25">
      <c r="A123" s="307"/>
      <c r="B123" s="307"/>
      <c r="C123" s="307"/>
      <c r="D123" s="307"/>
      <c r="E123" s="307"/>
      <c r="F123" s="307"/>
      <c r="G123" s="307"/>
      <c r="H123" s="307"/>
      <c r="I123" s="307"/>
      <c r="J123" s="307"/>
      <c r="K123" s="307"/>
      <c r="L123" s="307"/>
      <c r="M123" s="307"/>
      <c r="N123" s="307"/>
      <c r="O123" s="308"/>
      <c r="P123" s="304" t="s">
        <v>40</v>
      </c>
      <c r="Q123" s="305"/>
      <c r="R123" s="305"/>
      <c r="S123" s="305"/>
      <c r="T123" s="305"/>
      <c r="U123" s="305"/>
      <c r="V123" s="306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5">
      <c r="A124" s="307"/>
      <c r="B124" s="307"/>
      <c r="C124" s="307"/>
      <c r="D124" s="307"/>
      <c r="E124" s="307"/>
      <c r="F124" s="307"/>
      <c r="G124" s="307"/>
      <c r="H124" s="307"/>
      <c r="I124" s="307"/>
      <c r="J124" s="307"/>
      <c r="K124" s="307"/>
      <c r="L124" s="307"/>
      <c r="M124" s="307"/>
      <c r="N124" s="307"/>
      <c r="O124" s="308"/>
      <c r="P124" s="304" t="s">
        <v>40</v>
      </c>
      <c r="Q124" s="305"/>
      <c r="R124" s="305"/>
      <c r="S124" s="305"/>
      <c r="T124" s="305"/>
      <c r="U124" s="305"/>
      <c r="V124" s="306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customHeight="1" x14ac:dyDescent="0.25">
      <c r="A125" s="318" t="s">
        <v>160</v>
      </c>
      <c r="B125" s="318"/>
      <c r="C125" s="318"/>
      <c r="D125" s="318"/>
      <c r="E125" s="318"/>
      <c r="F125" s="318"/>
      <c r="G125" s="318"/>
      <c r="H125" s="318"/>
      <c r="I125" s="318"/>
      <c r="J125" s="318"/>
      <c r="K125" s="318"/>
      <c r="L125" s="318"/>
      <c r="M125" s="318"/>
      <c r="N125" s="318"/>
      <c r="O125" s="318"/>
      <c r="P125" s="318"/>
      <c r="Q125" s="318"/>
      <c r="R125" s="318"/>
      <c r="S125" s="318"/>
      <c r="T125" s="318"/>
      <c r="U125" s="318"/>
      <c r="V125" s="318"/>
      <c r="W125" s="318"/>
      <c r="X125" s="318"/>
      <c r="Y125" s="318"/>
      <c r="Z125" s="318"/>
      <c r="AA125" s="66"/>
      <c r="AB125" s="66"/>
      <c r="AC125" s="83"/>
    </row>
    <row r="126" spans="1:68" ht="27" customHeight="1" x14ac:dyDescent="0.25">
      <c r="A126" s="63" t="s">
        <v>232</v>
      </c>
      <c r="B126" s="63" t="s">
        <v>233</v>
      </c>
      <c r="C126" s="36">
        <v>4301135850</v>
      </c>
      <c r="D126" s="299">
        <v>4620207491492</v>
      </c>
      <c r="E126" s="299"/>
      <c r="F126" s="62">
        <v>0.23</v>
      </c>
      <c r="G126" s="37">
        <v>6</v>
      </c>
      <c r="H126" s="62">
        <v>1.38</v>
      </c>
      <c r="I126" s="62">
        <v>1.8</v>
      </c>
      <c r="J126" s="37">
        <v>140</v>
      </c>
      <c r="K126" s="37" t="s">
        <v>123</v>
      </c>
      <c r="L126" s="37" t="s">
        <v>88</v>
      </c>
      <c r="M126" s="38" t="s">
        <v>86</v>
      </c>
      <c r="N126" s="38"/>
      <c r="O126" s="37">
        <v>180</v>
      </c>
      <c r="P126" s="36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6" s="301"/>
      <c r="R126" s="301"/>
      <c r="S126" s="301"/>
      <c r="T126" s="302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IFERROR(IF(X126="","",X126*0.00941),"")</f>
        <v>0</v>
      </c>
      <c r="AA126" s="68" t="s">
        <v>46</v>
      </c>
      <c r="AB126" s="69" t="s">
        <v>46</v>
      </c>
      <c r="AC126" s="183" t="s">
        <v>234</v>
      </c>
      <c r="AG126" s="81"/>
      <c r="AJ126" s="87" t="s">
        <v>89</v>
      </c>
      <c r="AK126" s="87">
        <v>1</v>
      </c>
      <c r="BB126" s="184" t="s">
        <v>122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t="27" customHeight="1" x14ac:dyDescent="0.25">
      <c r="A127" s="63" t="s">
        <v>235</v>
      </c>
      <c r="B127" s="63" t="s">
        <v>236</v>
      </c>
      <c r="C127" s="36">
        <v>4301190118</v>
      </c>
      <c r="D127" s="299">
        <v>4620207491461</v>
      </c>
      <c r="E127" s="299"/>
      <c r="F127" s="62">
        <v>0.22</v>
      </c>
      <c r="G127" s="37">
        <v>6</v>
      </c>
      <c r="H127" s="62">
        <v>1.32</v>
      </c>
      <c r="I127" s="62">
        <v>1.74</v>
      </c>
      <c r="J127" s="37">
        <v>140</v>
      </c>
      <c r="K127" s="37" t="s">
        <v>123</v>
      </c>
      <c r="L127" s="37" t="s">
        <v>88</v>
      </c>
      <c r="M127" s="38" t="s">
        <v>86</v>
      </c>
      <c r="N127" s="38"/>
      <c r="O127" s="37">
        <v>180</v>
      </c>
      <c r="P127" s="36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27" s="301"/>
      <c r="R127" s="301"/>
      <c r="S127" s="301"/>
      <c r="T127" s="302"/>
      <c r="U127" s="39" t="s">
        <v>46</v>
      </c>
      <c r="V127" s="39" t="s">
        <v>46</v>
      </c>
      <c r="W127" s="40" t="s">
        <v>39</v>
      </c>
      <c r="X127" s="58">
        <v>0</v>
      </c>
      <c r="Y127" s="55">
        <f>IFERROR(IF(X127="","",X127),"")</f>
        <v>0</v>
      </c>
      <c r="Z127" s="41">
        <f>IFERROR(IF(X127="","",X127*0.00941),"")</f>
        <v>0</v>
      </c>
      <c r="AA127" s="68" t="s">
        <v>46</v>
      </c>
      <c r="AB127" s="69" t="s">
        <v>46</v>
      </c>
      <c r="AC127" s="185" t="s">
        <v>234</v>
      </c>
      <c r="AG127" s="81"/>
      <c r="AJ127" s="87" t="s">
        <v>89</v>
      </c>
      <c r="AK127" s="87">
        <v>1</v>
      </c>
      <c r="BB127" s="186" t="s">
        <v>122</v>
      </c>
      <c r="BM127" s="81">
        <f>IFERROR(X127*I127,"0")</f>
        <v>0</v>
      </c>
      <c r="BN127" s="81">
        <f>IFERROR(Y127*I127,"0")</f>
        <v>0</v>
      </c>
      <c r="BO127" s="81">
        <f>IFERROR(X127/J127,"0")</f>
        <v>0</v>
      </c>
      <c r="BP127" s="81">
        <f>IFERROR(Y127/J127,"0")</f>
        <v>0</v>
      </c>
    </row>
    <row r="128" spans="1:68" ht="27" customHeight="1" x14ac:dyDescent="0.25">
      <c r="A128" s="63" t="s">
        <v>237</v>
      </c>
      <c r="B128" s="63" t="s">
        <v>238</v>
      </c>
      <c r="C128" s="36">
        <v>4301135865</v>
      </c>
      <c r="D128" s="299">
        <v>4620207491485</v>
      </c>
      <c r="E128" s="299"/>
      <c r="F128" s="62">
        <v>0.23</v>
      </c>
      <c r="G128" s="37">
        <v>6</v>
      </c>
      <c r="H128" s="62">
        <v>1.38</v>
      </c>
      <c r="I128" s="62">
        <v>1.8</v>
      </c>
      <c r="J128" s="37">
        <v>140</v>
      </c>
      <c r="K128" s="37" t="s">
        <v>123</v>
      </c>
      <c r="L128" s="37" t="s">
        <v>88</v>
      </c>
      <c r="M128" s="38" t="s">
        <v>86</v>
      </c>
      <c r="N128" s="38"/>
      <c r="O128" s="37">
        <v>180</v>
      </c>
      <c r="P128" s="368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28" s="301"/>
      <c r="R128" s="301"/>
      <c r="S128" s="301"/>
      <c r="T128" s="302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IFERROR(IF(X128="","",X128*0.00941),"")</f>
        <v>0</v>
      </c>
      <c r="AA128" s="68" t="s">
        <v>46</v>
      </c>
      <c r="AB128" s="69" t="s">
        <v>46</v>
      </c>
      <c r="AC128" s="187" t="s">
        <v>234</v>
      </c>
      <c r="AG128" s="81"/>
      <c r="AJ128" s="87" t="s">
        <v>89</v>
      </c>
      <c r="AK128" s="87">
        <v>1</v>
      </c>
      <c r="BB128" s="188" t="s">
        <v>122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ht="27" customHeight="1" x14ac:dyDescent="0.25">
      <c r="A129" s="63" t="s">
        <v>239</v>
      </c>
      <c r="B129" s="63" t="s">
        <v>240</v>
      </c>
      <c r="C129" s="36">
        <v>4301135848</v>
      </c>
      <c r="D129" s="299">
        <v>4620207491799</v>
      </c>
      <c r="E129" s="299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123</v>
      </c>
      <c r="L129" s="37" t="s">
        <v>88</v>
      </c>
      <c r="M129" s="38" t="s">
        <v>86</v>
      </c>
      <c r="N129" s="38"/>
      <c r="O129" s="37">
        <v>180</v>
      </c>
      <c r="P129" s="369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301"/>
      <c r="R129" s="301"/>
      <c r="S129" s="301"/>
      <c r="T129" s="302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IFERROR(IF(X129="","",X129*0.00941),"")</f>
        <v>0</v>
      </c>
      <c r="AA129" s="68" t="s">
        <v>46</v>
      </c>
      <c r="AB129" s="69" t="s">
        <v>46</v>
      </c>
      <c r="AC129" s="189" t="s">
        <v>234</v>
      </c>
      <c r="AG129" s="81"/>
      <c r="AJ129" s="87" t="s">
        <v>89</v>
      </c>
      <c r="AK129" s="87">
        <v>1</v>
      </c>
      <c r="BB129" s="190" t="s">
        <v>122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5">
      <c r="A130" s="307"/>
      <c r="B130" s="307"/>
      <c r="C130" s="307"/>
      <c r="D130" s="307"/>
      <c r="E130" s="307"/>
      <c r="F130" s="307"/>
      <c r="G130" s="307"/>
      <c r="H130" s="307"/>
      <c r="I130" s="307"/>
      <c r="J130" s="307"/>
      <c r="K130" s="307"/>
      <c r="L130" s="307"/>
      <c r="M130" s="307"/>
      <c r="N130" s="307"/>
      <c r="O130" s="308"/>
      <c r="P130" s="304" t="s">
        <v>40</v>
      </c>
      <c r="Q130" s="305"/>
      <c r="R130" s="305"/>
      <c r="S130" s="305"/>
      <c r="T130" s="305"/>
      <c r="U130" s="305"/>
      <c r="V130" s="306"/>
      <c r="W130" s="42" t="s">
        <v>39</v>
      </c>
      <c r="X130" s="43">
        <f>IFERROR(SUM(X126:X129),"0")</f>
        <v>0</v>
      </c>
      <c r="Y130" s="43">
        <f>IFERROR(SUM(Y126:Y129),"0")</f>
        <v>0</v>
      </c>
      <c r="Z130" s="43">
        <f>IFERROR(IF(Z126="",0,Z126),"0")+IFERROR(IF(Z127="",0,Z127),"0")+IFERROR(IF(Z128="",0,Z128),"0")+IFERROR(IF(Z129="",0,Z129),"0")</f>
        <v>0</v>
      </c>
      <c r="AA130" s="67"/>
      <c r="AB130" s="67"/>
      <c r="AC130" s="67"/>
    </row>
    <row r="131" spans="1:68" x14ac:dyDescent="0.25">
      <c r="A131" s="307"/>
      <c r="B131" s="307"/>
      <c r="C131" s="307"/>
      <c r="D131" s="307"/>
      <c r="E131" s="307"/>
      <c r="F131" s="307"/>
      <c r="G131" s="307"/>
      <c r="H131" s="307"/>
      <c r="I131" s="307"/>
      <c r="J131" s="307"/>
      <c r="K131" s="307"/>
      <c r="L131" s="307"/>
      <c r="M131" s="307"/>
      <c r="N131" s="307"/>
      <c r="O131" s="308"/>
      <c r="P131" s="304" t="s">
        <v>40</v>
      </c>
      <c r="Q131" s="305"/>
      <c r="R131" s="305"/>
      <c r="S131" s="305"/>
      <c r="T131" s="305"/>
      <c r="U131" s="305"/>
      <c r="V131" s="306"/>
      <c r="W131" s="42" t="s">
        <v>0</v>
      </c>
      <c r="X131" s="43">
        <f>IFERROR(SUMPRODUCT(X126:X129*H126:H129),"0")</f>
        <v>0</v>
      </c>
      <c r="Y131" s="43">
        <f>IFERROR(SUMPRODUCT(Y126:Y129*H126:H129),"0")</f>
        <v>0</v>
      </c>
      <c r="Z131" s="42"/>
      <c r="AA131" s="67"/>
      <c r="AB131" s="67"/>
      <c r="AC131" s="67"/>
    </row>
    <row r="132" spans="1:68" ht="14.25" customHeight="1" x14ac:dyDescent="0.25">
      <c r="A132" s="318" t="s">
        <v>241</v>
      </c>
      <c r="B132" s="318"/>
      <c r="C132" s="318"/>
      <c r="D132" s="318"/>
      <c r="E132" s="318"/>
      <c r="F132" s="318"/>
      <c r="G132" s="318"/>
      <c r="H132" s="318"/>
      <c r="I132" s="318"/>
      <c r="J132" s="318"/>
      <c r="K132" s="318"/>
      <c r="L132" s="318"/>
      <c r="M132" s="318"/>
      <c r="N132" s="318"/>
      <c r="O132" s="318"/>
      <c r="P132" s="318"/>
      <c r="Q132" s="318"/>
      <c r="R132" s="318"/>
      <c r="S132" s="318"/>
      <c r="T132" s="318"/>
      <c r="U132" s="318"/>
      <c r="V132" s="318"/>
      <c r="W132" s="318"/>
      <c r="X132" s="318"/>
      <c r="Y132" s="318"/>
      <c r="Z132" s="318"/>
      <c r="AA132" s="66"/>
      <c r="AB132" s="66"/>
      <c r="AC132" s="83"/>
    </row>
    <row r="133" spans="1:68" ht="27" customHeight="1" x14ac:dyDescent="0.25">
      <c r="A133" s="63" t="s">
        <v>242</v>
      </c>
      <c r="B133" s="63" t="s">
        <v>243</v>
      </c>
      <c r="C133" s="36">
        <v>4301190117</v>
      </c>
      <c r="D133" s="299">
        <v>4620207491386</v>
      </c>
      <c r="E133" s="299"/>
      <c r="F133" s="62">
        <v>0.18</v>
      </c>
      <c r="G133" s="37">
        <v>6</v>
      </c>
      <c r="H133" s="62">
        <v>1.08</v>
      </c>
      <c r="I133" s="62">
        <v>1.3979999999999999</v>
      </c>
      <c r="J133" s="37">
        <v>140</v>
      </c>
      <c r="K133" s="37" t="s">
        <v>123</v>
      </c>
      <c r="L133" s="37" t="s">
        <v>88</v>
      </c>
      <c r="M133" s="38" t="s">
        <v>86</v>
      </c>
      <c r="N133" s="38"/>
      <c r="O133" s="37">
        <v>180</v>
      </c>
      <c r="P133" s="36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3" s="301"/>
      <c r="R133" s="301"/>
      <c r="S133" s="301"/>
      <c r="T133" s="302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91" t="s">
        <v>244</v>
      </c>
      <c r="AG133" s="81"/>
      <c r="AJ133" s="87" t="s">
        <v>89</v>
      </c>
      <c r="AK133" s="87">
        <v>1</v>
      </c>
      <c r="BB133" s="192" t="s">
        <v>122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245</v>
      </c>
      <c r="B134" s="63" t="s">
        <v>246</v>
      </c>
      <c r="C134" s="36">
        <v>4301190115</v>
      </c>
      <c r="D134" s="299">
        <v>4620207491362</v>
      </c>
      <c r="E134" s="299"/>
      <c r="F134" s="62">
        <v>0.18</v>
      </c>
      <c r="G134" s="37">
        <v>6</v>
      </c>
      <c r="H134" s="62">
        <v>1.08</v>
      </c>
      <c r="I134" s="62">
        <v>1.3979999999999999</v>
      </c>
      <c r="J134" s="37">
        <v>140</v>
      </c>
      <c r="K134" s="37" t="s">
        <v>123</v>
      </c>
      <c r="L134" s="37" t="s">
        <v>88</v>
      </c>
      <c r="M134" s="38" t="s">
        <v>86</v>
      </c>
      <c r="N134" s="38"/>
      <c r="O134" s="37">
        <v>180</v>
      </c>
      <c r="P134" s="36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4" s="301"/>
      <c r="R134" s="301"/>
      <c r="S134" s="301"/>
      <c r="T134" s="302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93" t="s">
        <v>244</v>
      </c>
      <c r="AG134" s="81"/>
      <c r="AJ134" s="87" t="s">
        <v>89</v>
      </c>
      <c r="AK134" s="87">
        <v>1</v>
      </c>
      <c r="BB134" s="194" t="s">
        <v>122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247</v>
      </c>
      <c r="B135" s="63" t="s">
        <v>248</v>
      </c>
      <c r="C135" s="36">
        <v>4301190116</v>
      </c>
      <c r="D135" s="299">
        <v>4620207491379</v>
      </c>
      <c r="E135" s="299"/>
      <c r="F135" s="62">
        <v>0.18</v>
      </c>
      <c r="G135" s="37">
        <v>6</v>
      </c>
      <c r="H135" s="62">
        <v>1.08</v>
      </c>
      <c r="I135" s="62">
        <v>1.3979999999999999</v>
      </c>
      <c r="J135" s="37">
        <v>140</v>
      </c>
      <c r="K135" s="37" t="s">
        <v>123</v>
      </c>
      <c r="L135" s="37" t="s">
        <v>88</v>
      </c>
      <c r="M135" s="38" t="s">
        <v>86</v>
      </c>
      <c r="N135" s="38"/>
      <c r="O135" s="37">
        <v>180</v>
      </c>
      <c r="P135" s="36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5" s="301"/>
      <c r="R135" s="301"/>
      <c r="S135" s="301"/>
      <c r="T135" s="302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95" t="s">
        <v>244</v>
      </c>
      <c r="AG135" s="81"/>
      <c r="AJ135" s="87" t="s">
        <v>89</v>
      </c>
      <c r="AK135" s="87">
        <v>1</v>
      </c>
      <c r="BB135" s="196" t="s">
        <v>122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x14ac:dyDescent="0.25">
      <c r="A136" s="307"/>
      <c r="B136" s="307"/>
      <c r="C136" s="307"/>
      <c r="D136" s="307"/>
      <c r="E136" s="307"/>
      <c r="F136" s="307"/>
      <c r="G136" s="307"/>
      <c r="H136" s="307"/>
      <c r="I136" s="307"/>
      <c r="J136" s="307"/>
      <c r="K136" s="307"/>
      <c r="L136" s="307"/>
      <c r="M136" s="307"/>
      <c r="N136" s="307"/>
      <c r="O136" s="308"/>
      <c r="P136" s="304" t="s">
        <v>40</v>
      </c>
      <c r="Q136" s="305"/>
      <c r="R136" s="305"/>
      <c r="S136" s="305"/>
      <c r="T136" s="305"/>
      <c r="U136" s="305"/>
      <c r="V136" s="306"/>
      <c r="W136" s="42" t="s">
        <v>39</v>
      </c>
      <c r="X136" s="43">
        <f>IFERROR(SUM(X133:X135),"0")</f>
        <v>0</v>
      </c>
      <c r="Y136" s="43">
        <f>IFERROR(SUM(Y133:Y135),"0")</f>
        <v>0</v>
      </c>
      <c r="Z136" s="43">
        <f>IFERROR(IF(Z133="",0,Z133),"0")+IFERROR(IF(Z134="",0,Z134),"0")+IFERROR(IF(Z135="",0,Z135),"0")</f>
        <v>0</v>
      </c>
      <c r="AA136" s="67"/>
      <c r="AB136" s="67"/>
      <c r="AC136" s="67"/>
    </row>
    <row r="137" spans="1:68" x14ac:dyDescent="0.25">
      <c r="A137" s="307"/>
      <c r="B137" s="307"/>
      <c r="C137" s="307"/>
      <c r="D137" s="307"/>
      <c r="E137" s="307"/>
      <c r="F137" s="307"/>
      <c r="G137" s="307"/>
      <c r="H137" s="307"/>
      <c r="I137" s="307"/>
      <c r="J137" s="307"/>
      <c r="K137" s="307"/>
      <c r="L137" s="307"/>
      <c r="M137" s="307"/>
      <c r="N137" s="307"/>
      <c r="O137" s="308"/>
      <c r="P137" s="304" t="s">
        <v>40</v>
      </c>
      <c r="Q137" s="305"/>
      <c r="R137" s="305"/>
      <c r="S137" s="305"/>
      <c r="T137" s="305"/>
      <c r="U137" s="305"/>
      <c r="V137" s="306"/>
      <c r="W137" s="42" t="s">
        <v>0</v>
      </c>
      <c r="X137" s="43">
        <f>IFERROR(SUMPRODUCT(X133:X135*H133:H135),"0")</f>
        <v>0</v>
      </c>
      <c r="Y137" s="43">
        <f>IFERROR(SUMPRODUCT(Y133:Y135*H133:H135),"0")</f>
        <v>0</v>
      </c>
      <c r="Z137" s="42"/>
      <c r="AA137" s="67"/>
      <c r="AB137" s="67"/>
      <c r="AC137" s="67"/>
    </row>
    <row r="138" spans="1:68" ht="16.5" customHeight="1" x14ac:dyDescent="0.25">
      <c r="A138" s="327" t="s">
        <v>249</v>
      </c>
      <c r="B138" s="327"/>
      <c r="C138" s="327"/>
      <c r="D138" s="327"/>
      <c r="E138" s="327"/>
      <c r="F138" s="327"/>
      <c r="G138" s="327"/>
      <c r="H138" s="327"/>
      <c r="I138" s="327"/>
      <c r="J138" s="327"/>
      <c r="K138" s="327"/>
      <c r="L138" s="327"/>
      <c r="M138" s="327"/>
      <c r="N138" s="327"/>
      <c r="O138" s="327"/>
      <c r="P138" s="327"/>
      <c r="Q138" s="327"/>
      <c r="R138" s="327"/>
      <c r="S138" s="327"/>
      <c r="T138" s="327"/>
      <c r="U138" s="327"/>
      <c r="V138" s="327"/>
      <c r="W138" s="327"/>
      <c r="X138" s="327"/>
      <c r="Y138" s="327"/>
      <c r="Z138" s="327"/>
      <c r="AA138" s="65"/>
      <c r="AB138" s="65"/>
      <c r="AC138" s="82"/>
    </row>
    <row r="139" spans="1:68" ht="14.25" customHeight="1" x14ac:dyDescent="0.25">
      <c r="A139" s="318" t="s">
        <v>160</v>
      </c>
      <c r="B139" s="318"/>
      <c r="C139" s="318"/>
      <c r="D139" s="318"/>
      <c r="E139" s="318"/>
      <c r="F139" s="318"/>
      <c r="G139" s="318"/>
      <c r="H139" s="318"/>
      <c r="I139" s="318"/>
      <c r="J139" s="318"/>
      <c r="K139" s="318"/>
      <c r="L139" s="318"/>
      <c r="M139" s="318"/>
      <c r="N139" s="318"/>
      <c r="O139" s="318"/>
      <c r="P139" s="318"/>
      <c r="Q139" s="318"/>
      <c r="R139" s="318"/>
      <c r="S139" s="318"/>
      <c r="T139" s="318"/>
      <c r="U139" s="318"/>
      <c r="V139" s="318"/>
      <c r="W139" s="318"/>
      <c r="X139" s="318"/>
      <c r="Y139" s="318"/>
      <c r="Z139" s="318"/>
      <c r="AA139" s="66"/>
      <c r="AB139" s="66"/>
      <c r="AC139" s="83"/>
    </row>
    <row r="140" spans="1:68" ht="27" customHeight="1" x14ac:dyDescent="0.25">
      <c r="A140" s="63" t="s">
        <v>250</v>
      </c>
      <c r="B140" s="63" t="s">
        <v>251</v>
      </c>
      <c r="C140" s="36">
        <v>4301135956</v>
      </c>
      <c r="D140" s="299">
        <v>4620207491560</v>
      </c>
      <c r="E140" s="299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123</v>
      </c>
      <c r="L140" s="37" t="s">
        <v>88</v>
      </c>
      <c r="M140" s="38" t="s">
        <v>86</v>
      </c>
      <c r="N140" s="38"/>
      <c r="O140" s="37">
        <v>180</v>
      </c>
      <c r="P140" s="361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0" s="301"/>
      <c r="R140" s="301"/>
      <c r="S140" s="301"/>
      <c r="T140" s="302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97" t="s">
        <v>252</v>
      </c>
      <c r="AG140" s="81"/>
      <c r="AJ140" s="87" t="s">
        <v>89</v>
      </c>
      <c r="AK140" s="87">
        <v>1</v>
      </c>
      <c r="BB140" s="198" t="s">
        <v>122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27" customHeight="1" x14ac:dyDescent="0.25">
      <c r="A141" s="63" t="s">
        <v>253</v>
      </c>
      <c r="B141" s="63" t="s">
        <v>254</v>
      </c>
      <c r="C141" s="36">
        <v>4301135602</v>
      </c>
      <c r="D141" s="299">
        <v>4607111033994</v>
      </c>
      <c r="E141" s="299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123</v>
      </c>
      <c r="L141" s="37" t="s">
        <v>88</v>
      </c>
      <c r="M141" s="38" t="s">
        <v>86</v>
      </c>
      <c r="N141" s="38"/>
      <c r="O141" s="37">
        <v>180</v>
      </c>
      <c r="P141" s="362" t="str">
        <f>HYPERLINK("https://abi.ru/products/Замороженные/Горячая штучка/Чебупицца/Снеки/P004638/","Снеки «Чебупицца Пепперони» Фикс.вес 0,25 Лоток ТМ «Горячая штучка»")</f>
        <v>Снеки «Чебупицца Пепперони» Фикс.вес 0,25 Лоток ТМ «Горячая штучка»</v>
      </c>
      <c r="Q141" s="301"/>
      <c r="R141" s="301"/>
      <c r="S141" s="301"/>
      <c r="T141" s="302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IFERROR(IF(X141="","",X141*0.01788),"")</f>
        <v>0</v>
      </c>
      <c r="AA141" s="68" t="s">
        <v>46</v>
      </c>
      <c r="AB141" s="69" t="s">
        <v>46</v>
      </c>
      <c r="AC141" s="199" t="s">
        <v>175</v>
      </c>
      <c r="AG141" s="81"/>
      <c r="AJ141" s="87" t="s">
        <v>89</v>
      </c>
      <c r="AK141" s="87">
        <v>1</v>
      </c>
      <c r="BB141" s="200" t="s">
        <v>122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customHeight="1" x14ac:dyDescent="0.25">
      <c r="A142" s="63" t="s">
        <v>255</v>
      </c>
      <c r="B142" s="63" t="s">
        <v>256</v>
      </c>
      <c r="C142" s="36">
        <v>4301135962</v>
      </c>
      <c r="D142" s="299">
        <v>4620207491584</v>
      </c>
      <c r="E142" s="299"/>
      <c r="F142" s="62">
        <v>0.25</v>
      </c>
      <c r="G142" s="37">
        <v>12</v>
      </c>
      <c r="H142" s="62">
        <v>3</v>
      </c>
      <c r="I142" s="62">
        <v>3.7035999999999998</v>
      </c>
      <c r="J142" s="37">
        <v>70</v>
      </c>
      <c r="K142" s="37" t="s">
        <v>123</v>
      </c>
      <c r="L142" s="37" t="s">
        <v>88</v>
      </c>
      <c r="M142" s="38" t="s">
        <v>86</v>
      </c>
      <c r="N142" s="38"/>
      <c r="O142" s="37">
        <v>180</v>
      </c>
      <c r="P142" s="359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2" s="301"/>
      <c r="R142" s="301"/>
      <c r="S142" s="301"/>
      <c r="T142" s="302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IFERROR(IF(X142="","",X142*0.01788),"")</f>
        <v>0</v>
      </c>
      <c r="AA142" s="68" t="s">
        <v>46</v>
      </c>
      <c r="AB142" s="69" t="s">
        <v>46</v>
      </c>
      <c r="AC142" s="201" t="s">
        <v>252</v>
      </c>
      <c r="AG142" s="81"/>
      <c r="AJ142" s="87" t="s">
        <v>89</v>
      </c>
      <c r="AK142" s="87">
        <v>1</v>
      </c>
      <c r="BB142" s="202" t="s">
        <v>122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x14ac:dyDescent="0.25">
      <c r="A143" s="307"/>
      <c r="B143" s="307"/>
      <c r="C143" s="307"/>
      <c r="D143" s="307"/>
      <c r="E143" s="307"/>
      <c r="F143" s="307"/>
      <c r="G143" s="307"/>
      <c r="H143" s="307"/>
      <c r="I143" s="307"/>
      <c r="J143" s="307"/>
      <c r="K143" s="307"/>
      <c r="L143" s="307"/>
      <c r="M143" s="307"/>
      <c r="N143" s="307"/>
      <c r="O143" s="308"/>
      <c r="P143" s="304" t="s">
        <v>40</v>
      </c>
      <c r="Q143" s="305"/>
      <c r="R143" s="305"/>
      <c r="S143" s="305"/>
      <c r="T143" s="305"/>
      <c r="U143" s="305"/>
      <c r="V143" s="306"/>
      <c r="W143" s="42" t="s">
        <v>39</v>
      </c>
      <c r="X143" s="43">
        <f>IFERROR(SUM(X140:X142),"0")</f>
        <v>0</v>
      </c>
      <c r="Y143" s="43">
        <f>IFERROR(SUM(Y140:Y142),"0")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5">
      <c r="A144" s="307"/>
      <c r="B144" s="307"/>
      <c r="C144" s="307"/>
      <c r="D144" s="307"/>
      <c r="E144" s="307"/>
      <c r="F144" s="307"/>
      <c r="G144" s="307"/>
      <c r="H144" s="307"/>
      <c r="I144" s="307"/>
      <c r="J144" s="307"/>
      <c r="K144" s="307"/>
      <c r="L144" s="307"/>
      <c r="M144" s="307"/>
      <c r="N144" s="307"/>
      <c r="O144" s="308"/>
      <c r="P144" s="304" t="s">
        <v>40</v>
      </c>
      <c r="Q144" s="305"/>
      <c r="R144" s="305"/>
      <c r="S144" s="305"/>
      <c r="T144" s="305"/>
      <c r="U144" s="305"/>
      <c r="V144" s="306"/>
      <c r="W144" s="42" t="s">
        <v>0</v>
      </c>
      <c r="X144" s="43">
        <f>IFERROR(SUMPRODUCT(X140:X142*H140:H142),"0")</f>
        <v>0</v>
      </c>
      <c r="Y144" s="43">
        <f>IFERROR(SUMPRODUCT(Y140:Y142*H140:H142),"0")</f>
        <v>0</v>
      </c>
      <c r="Z144" s="42"/>
      <c r="AA144" s="67"/>
      <c r="AB144" s="67"/>
      <c r="AC144" s="67"/>
    </row>
    <row r="145" spans="1:68" ht="16.5" customHeight="1" x14ac:dyDescent="0.25">
      <c r="A145" s="327" t="s">
        <v>257</v>
      </c>
      <c r="B145" s="327"/>
      <c r="C145" s="327"/>
      <c r="D145" s="327"/>
      <c r="E145" s="327"/>
      <c r="F145" s="327"/>
      <c r="G145" s="327"/>
      <c r="H145" s="327"/>
      <c r="I145" s="327"/>
      <c r="J145" s="327"/>
      <c r="K145" s="327"/>
      <c r="L145" s="327"/>
      <c r="M145" s="327"/>
      <c r="N145" s="327"/>
      <c r="O145" s="327"/>
      <c r="P145" s="327"/>
      <c r="Q145" s="327"/>
      <c r="R145" s="327"/>
      <c r="S145" s="327"/>
      <c r="T145" s="327"/>
      <c r="U145" s="327"/>
      <c r="V145" s="327"/>
      <c r="W145" s="327"/>
      <c r="X145" s="327"/>
      <c r="Y145" s="327"/>
      <c r="Z145" s="327"/>
      <c r="AA145" s="65"/>
      <c r="AB145" s="65"/>
      <c r="AC145" s="82"/>
    </row>
    <row r="146" spans="1:68" ht="14.25" customHeight="1" x14ac:dyDescent="0.25">
      <c r="A146" s="318" t="s">
        <v>160</v>
      </c>
      <c r="B146" s="318"/>
      <c r="C146" s="318"/>
      <c r="D146" s="318"/>
      <c r="E146" s="318"/>
      <c r="F146" s="318"/>
      <c r="G146" s="318"/>
      <c r="H146" s="318"/>
      <c r="I146" s="318"/>
      <c r="J146" s="318"/>
      <c r="K146" s="318"/>
      <c r="L146" s="318"/>
      <c r="M146" s="318"/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  <c r="AA146" s="66"/>
      <c r="AB146" s="66"/>
      <c r="AC146" s="83"/>
    </row>
    <row r="147" spans="1:68" ht="27" customHeight="1" x14ac:dyDescent="0.25">
      <c r="A147" s="63" t="s">
        <v>258</v>
      </c>
      <c r="B147" s="63" t="s">
        <v>259</v>
      </c>
      <c r="C147" s="36">
        <v>4301135954</v>
      </c>
      <c r="D147" s="299">
        <v>4620207491768</v>
      </c>
      <c r="E147" s="299"/>
      <c r="F147" s="62">
        <v>0.25</v>
      </c>
      <c r="G147" s="37">
        <v>12</v>
      </c>
      <c r="H147" s="62">
        <v>3</v>
      </c>
      <c r="I147" s="62">
        <v>3.7480000000000002</v>
      </c>
      <c r="J147" s="37">
        <v>70</v>
      </c>
      <c r="K147" s="37" t="s">
        <v>123</v>
      </c>
      <c r="L147" s="37" t="s">
        <v>88</v>
      </c>
      <c r="M147" s="38" t="s">
        <v>86</v>
      </c>
      <c r="N147" s="38"/>
      <c r="O147" s="37">
        <v>180</v>
      </c>
      <c r="P147" s="360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7" s="301"/>
      <c r="R147" s="301"/>
      <c r="S147" s="301"/>
      <c r="T147" s="302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203" t="s">
        <v>260</v>
      </c>
      <c r="AG147" s="81"/>
      <c r="AJ147" s="87" t="s">
        <v>89</v>
      </c>
      <c r="AK147" s="87">
        <v>1</v>
      </c>
      <c r="BB147" s="204" t="s">
        <v>122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ht="16.5" customHeight="1" x14ac:dyDescent="0.25">
      <c r="A148" s="63" t="s">
        <v>261</v>
      </c>
      <c r="B148" s="63" t="s">
        <v>262</v>
      </c>
      <c r="C148" s="36">
        <v>4301135946</v>
      </c>
      <c r="D148" s="299">
        <v>4620207491553</v>
      </c>
      <c r="E148" s="299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123</v>
      </c>
      <c r="L148" s="37" t="s">
        <v>88</v>
      </c>
      <c r="M148" s="38" t="s">
        <v>86</v>
      </c>
      <c r="N148" s="38"/>
      <c r="O148" s="37">
        <v>180</v>
      </c>
      <c r="P148" s="357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48" s="301"/>
      <c r="R148" s="301"/>
      <c r="S148" s="301"/>
      <c r="T148" s="302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205" t="s">
        <v>260</v>
      </c>
      <c r="AG148" s="81"/>
      <c r="AJ148" s="87" t="s">
        <v>89</v>
      </c>
      <c r="AK148" s="87">
        <v>1</v>
      </c>
      <c r="BB148" s="206" t="s">
        <v>122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x14ac:dyDescent="0.25">
      <c r="A149" s="307"/>
      <c r="B149" s="307"/>
      <c r="C149" s="307"/>
      <c r="D149" s="307"/>
      <c r="E149" s="307"/>
      <c r="F149" s="307"/>
      <c r="G149" s="307"/>
      <c r="H149" s="307"/>
      <c r="I149" s="307"/>
      <c r="J149" s="307"/>
      <c r="K149" s="307"/>
      <c r="L149" s="307"/>
      <c r="M149" s="307"/>
      <c r="N149" s="307"/>
      <c r="O149" s="308"/>
      <c r="P149" s="304" t="s">
        <v>40</v>
      </c>
      <c r="Q149" s="305"/>
      <c r="R149" s="305"/>
      <c r="S149" s="305"/>
      <c r="T149" s="305"/>
      <c r="U149" s="305"/>
      <c r="V149" s="306"/>
      <c r="W149" s="42" t="s">
        <v>39</v>
      </c>
      <c r="X149" s="43">
        <f>IFERROR(SUM(X147:X148),"0")</f>
        <v>0</v>
      </c>
      <c r="Y149" s="43">
        <f>IFERROR(SUM(Y147:Y148),"0")</f>
        <v>0</v>
      </c>
      <c r="Z149" s="43">
        <f>IFERROR(IF(Z147="",0,Z147),"0")+IFERROR(IF(Z148="",0,Z148),"0")</f>
        <v>0</v>
      </c>
      <c r="AA149" s="67"/>
      <c r="AB149" s="67"/>
      <c r="AC149" s="67"/>
    </row>
    <row r="150" spans="1:68" x14ac:dyDescent="0.25">
      <c r="A150" s="307"/>
      <c r="B150" s="307"/>
      <c r="C150" s="307"/>
      <c r="D150" s="307"/>
      <c r="E150" s="307"/>
      <c r="F150" s="307"/>
      <c r="G150" s="307"/>
      <c r="H150" s="307"/>
      <c r="I150" s="307"/>
      <c r="J150" s="307"/>
      <c r="K150" s="307"/>
      <c r="L150" s="307"/>
      <c r="M150" s="307"/>
      <c r="N150" s="307"/>
      <c r="O150" s="308"/>
      <c r="P150" s="304" t="s">
        <v>40</v>
      </c>
      <c r="Q150" s="305"/>
      <c r="R150" s="305"/>
      <c r="S150" s="305"/>
      <c r="T150" s="305"/>
      <c r="U150" s="305"/>
      <c r="V150" s="306"/>
      <c r="W150" s="42" t="s">
        <v>0</v>
      </c>
      <c r="X150" s="43">
        <f>IFERROR(SUMPRODUCT(X147:X148*H147:H148),"0")</f>
        <v>0</v>
      </c>
      <c r="Y150" s="43">
        <f>IFERROR(SUMPRODUCT(Y147:Y148*H147:H148),"0")</f>
        <v>0</v>
      </c>
      <c r="Z150" s="42"/>
      <c r="AA150" s="67"/>
      <c r="AB150" s="67"/>
      <c r="AC150" s="67"/>
    </row>
    <row r="151" spans="1:68" ht="16.5" customHeight="1" x14ac:dyDescent="0.25">
      <c r="A151" s="327" t="s">
        <v>263</v>
      </c>
      <c r="B151" s="327"/>
      <c r="C151" s="327"/>
      <c r="D151" s="327"/>
      <c r="E151" s="327"/>
      <c r="F151" s="327"/>
      <c r="G151" s="327"/>
      <c r="H151" s="327"/>
      <c r="I151" s="327"/>
      <c r="J151" s="327"/>
      <c r="K151" s="327"/>
      <c r="L151" s="327"/>
      <c r="M151" s="327"/>
      <c r="N151" s="327"/>
      <c r="O151" s="327"/>
      <c r="P151" s="327"/>
      <c r="Q151" s="327"/>
      <c r="R151" s="327"/>
      <c r="S151" s="327"/>
      <c r="T151" s="327"/>
      <c r="U151" s="327"/>
      <c r="V151" s="327"/>
      <c r="W151" s="327"/>
      <c r="X151" s="327"/>
      <c r="Y151" s="327"/>
      <c r="Z151" s="327"/>
      <c r="AA151" s="65"/>
      <c r="AB151" s="65"/>
      <c r="AC151" s="82"/>
    </row>
    <row r="152" spans="1:68" ht="14.25" customHeight="1" x14ac:dyDescent="0.25">
      <c r="A152" s="318" t="s">
        <v>160</v>
      </c>
      <c r="B152" s="318"/>
      <c r="C152" s="318"/>
      <c r="D152" s="318"/>
      <c r="E152" s="318"/>
      <c r="F152" s="318"/>
      <c r="G152" s="318"/>
      <c r="H152" s="318"/>
      <c r="I152" s="318"/>
      <c r="J152" s="318"/>
      <c r="K152" s="318"/>
      <c r="L152" s="318"/>
      <c r="M152" s="318"/>
      <c r="N152" s="318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8"/>
      <c r="AA152" s="66"/>
      <c r="AB152" s="66"/>
      <c r="AC152" s="83"/>
    </row>
    <row r="153" spans="1:68" ht="27" customHeight="1" x14ac:dyDescent="0.25">
      <c r="A153" s="63" t="s">
        <v>264</v>
      </c>
      <c r="B153" s="63" t="s">
        <v>265</v>
      </c>
      <c r="C153" s="36">
        <v>4301135926</v>
      </c>
      <c r="D153" s="299">
        <v>4620207491669</v>
      </c>
      <c r="E153" s="299"/>
      <c r="F153" s="62">
        <v>0.2</v>
      </c>
      <c r="G153" s="37">
        <v>12</v>
      </c>
      <c r="H153" s="62">
        <v>2.4</v>
      </c>
      <c r="I153" s="62">
        <v>2.68</v>
      </c>
      <c r="J153" s="37">
        <v>70</v>
      </c>
      <c r="K153" s="37" t="s">
        <v>123</v>
      </c>
      <c r="L153" s="37" t="s">
        <v>88</v>
      </c>
      <c r="M153" s="38" t="s">
        <v>86</v>
      </c>
      <c r="N153" s="38"/>
      <c r="O153" s="37">
        <v>180</v>
      </c>
      <c r="P153" s="358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3" s="301"/>
      <c r="R153" s="301"/>
      <c r="S153" s="301"/>
      <c r="T153" s="302"/>
      <c r="U153" s="39" t="s">
        <v>46</v>
      </c>
      <c r="V153" s="39" t="s">
        <v>46</v>
      </c>
      <c r="W153" s="40" t="s">
        <v>39</v>
      </c>
      <c r="X153" s="58">
        <v>0</v>
      </c>
      <c r="Y153" s="55">
        <f>IFERROR(IF(X153="","",X153),"")</f>
        <v>0</v>
      </c>
      <c r="Z153" s="41">
        <f>IFERROR(IF(X153="","",X153*0.01788),"")</f>
        <v>0</v>
      </c>
      <c r="AA153" s="68" t="s">
        <v>46</v>
      </c>
      <c r="AB153" s="69" t="s">
        <v>46</v>
      </c>
      <c r="AC153" s="207" t="s">
        <v>266</v>
      </c>
      <c r="AG153" s="81"/>
      <c r="AJ153" s="87" t="s">
        <v>89</v>
      </c>
      <c r="AK153" s="87">
        <v>1</v>
      </c>
      <c r="BB153" s="208" t="s">
        <v>122</v>
      </c>
      <c r="BM153" s="81">
        <f>IFERROR(X153*I153,"0")</f>
        <v>0</v>
      </c>
      <c r="BN153" s="81">
        <f>IFERROR(Y153*I153,"0")</f>
        <v>0</v>
      </c>
      <c r="BO153" s="81">
        <f>IFERROR(X153/J153,"0")</f>
        <v>0</v>
      </c>
      <c r="BP153" s="81">
        <f>IFERROR(Y153/J153,"0")</f>
        <v>0</v>
      </c>
    </row>
    <row r="154" spans="1:68" ht="27" customHeight="1" x14ac:dyDescent="0.25">
      <c r="A154" s="63" t="s">
        <v>267</v>
      </c>
      <c r="B154" s="63" t="s">
        <v>268</v>
      </c>
      <c r="C154" s="36">
        <v>4301135928</v>
      </c>
      <c r="D154" s="299">
        <v>4620207491669</v>
      </c>
      <c r="E154" s="299"/>
      <c r="F154" s="62">
        <v>0.2</v>
      </c>
      <c r="G154" s="37">
        <v>6</v>
      </c>
      <c r="H154" s="62">
        <v>1.2</v>
      </c>
      <c r="I154" s="62">
        <v>1.41</v>
      </c>
      <c r="J154" s="37">
        <v>140</v>
      </c>
      <c r="K154" s="37" t="s">
        <v>123</v>
      </c>
      <c r="L154" s="37" t="s">
        <v>88</v>
      </c>
      <c r="M154" s="38" t="s">
        <v>86</v>
      </c>
      <c r="N154" s="38"/>
      <c r="O154" s="37">
        <v>180</v>
      </c>
      <c r="P154" s="355" t="str">
        <f>HYPERLINK("https://abi.ru/products/Замороженные/Горячая штучка/Круггетсы/Снеки/P005483/","Снеки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4" s="301"/>
      <c r="R154" s="301"/>
      <c r="S154" s="301"/>
      <c r="T154" s="302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IFERROR(IF(X154="","",X154*0.00941),"")</f>
        <v>0</v>
      </c>
      <c r="AA154" s="68" t="s">
        <v>46</v>
      </c>
      <c r="AB154" s="69" t="s">
        <v>46</v>
      </c>
      <c r="AC154" s="209" t="s">
        <v>266</v>
      </c>
      <c r="AG154" s="81"/>
      <c r="AJ154" s="87" t="s">
        <v>89</v>
      </c>
      <c r="AK154" s="87">
        <v>1</v>
      </c>
      <c r="BB154" s="210" t="s">
        <v>122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ht="27" customHeight="1" x14ac:dyDescent="0.25">
      <c r="A155" s="63" t="s">
        <v>269</v>
      </c>
      <c r="B155" s="63" t="s">
        <v>270</v>
      </c>
      <c r="C155" s="36">
        <v>4301135932</v>
      </c>
      <c r="D155" s="299">
        <v>4620207491676</v>
      </c>
      <c r="E155" s="299"/>
      <c r="F155" s="62">
        <v>0.2</v>
      </c>
      <c r="G155" s="37">
        <v>12</v>
      </c>
      <c r="H155" s="62">
        <v>2.4</v>
      </c>
      <c r="I155" s="62">
        <v>2.68</v>
      </c>
      <c r="J155" s="37">
        <v>70</v>
      </c>
      <c r="K155" s="37" t="s">
        <v>123</v>
      </c>
      <c r="L155" s="37" t="s">
        <v>88</v>
      </c>
      <c r="M155" s="38" t="s">
        <v>86</v>
      </c>
      <c r="N155" s="38"/>
      <c r="O155" s="37">
        <v>180</v>
      </c>
      <c r="P155" s="356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5" s="301"/>
      <c r="R155" s="301"/>
      <c r="S155" s="301"/>
      <c r="T155" s="302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IFERROR(IF(X155="","",X155*0.01788),"")</f>
        <v>0</v>
      </c>
      <c r="AA155" s="68" t="s">
        <v>46</v>
      </c>
      <c r="AB155" s="69" t="s">
        <v>46</v>
      </c>
      <c r="AC155" s="211" t="s">
        <v>266</v>
      </c>
      <c r="AG155" s="81"/>
      <c r="AJ155" s="87" t="s">
        <v>89</v>
      </c>
      <c r="AK155" s="87">
        <v>1</v>
      </c>
      <c r="BB155" s="212" t="s">
        <v>122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5">
      <c r="A156" s="307"/>
      <c r="B156" s="307"/>
      <c r="C156" s="307"/>
      <c r="D156" s="307"/>
      <c r="E156" s="307"/>
      <c r="F156" s="307"/>
      <c r="G156" s="307"/>
      <c r="H156" s="307"/>
      <c r="I156" s="307"/>
      <c r="J156" s="307"/>
      <c r="K156" s="307"/>
      <c r="L156" s="307"/>
      <c r="M156" s="307"/>
      <c r="N156" s="307"/>
      <c r="O156" s="308"/>
      <c r="P156" s="304" t="s">
        <v>40</v>
      </c>
      <c r="Q156" s="305"/>
      <c r="R156" s="305"/>
      <c r="S156" s="305"/>
      <c r="T156" s="305"/>
      <c r="U156" s="305"/>
      <c r="V156" s="306"/>
      <c r="W156" s="42" t="s">
        <v>39</v>
      </c>
      <c r="X156" s="43">
        <f>IFERROR(SUM(X153:X155),"0")</f>
        <v>0</v>
      </c>
      <c r="Y156" s="43">
        <f>IFERROR(SUM(Y153:Y155),"0")</f>
        <v>0</v>
      </c>
      <c r="Z156" s="43">
        <f>IFERROR(IF(Z153="",0,Z153),"0")+IFERROR(IF(Z154="",0,Z154),"0")+IFERROR(IF(Z155="",0,Z155),"0")</f>
        <v>0</v>
      </c>
      <c r="AA156" s="67"/>
      <c r="AB156" s="67"/>
      <c r="AC156" s="67"/>
    </row>
    <row r="157" spans="1:68" x14ac:dyDescent="0.25">
      <c r="A157" s="307"/>
      <c r="B157" s="307"/>
      <c r="C157" s="307"/>
      <c r="D157" s="307"/>
      <c r="E157" s="307"/>
      <c r="F157" s="307"/>
      <c r="G157" s="307"/>
      <c r="H157" s="307"/>
      <c r="I157" s="307"/>
      <c r="J157" s="307"/>
      <c r="K157" s="307"/>
      <c r="L157" s="307"/>
      <c r="M157" s="307"/>
      <c r="N157" s="307"/>
      <c r="O157" s="308"/>
      <c r="P157" s="304" t="s">
        <v>40</v>
      </c>
      <c r="Q157" s="305"/>
      <c r="R157" s="305"/>
      <c r="S157" s="305"/>
      <c r="T157" s="305"/>
      <c r="U157" s="305"/>
      <c r="V157" s="306"/>
      <c r="W157" s="42" t="s">
        <v>0</v>
      </c>
      <c r="X157" s="43">
        <f>IFERROR(SUMPRODUCT(X153:X155*H153:H155),"0")</f>
        <v>0</v>
      </c>
      <c r="Y157" s="43">
        <f>IFERROR(SUMPRODUCT(Y153:Y155*H153:H155),"0")</f>
        <v>0</v>
      </c>
      <c r="Z157" s="42"/>
      <c r="AA157" s="67"/>
      <c r="AB157" s="67"/>
      <c r="AC157" s="67"/>
    </row>
    <row r="158" spans="1:68" ht="16.5" customHeight="1" x14ac:dyDescent="0.25">
      <c r="A158" s="327" t="s">
        <v>271</v>
      </c>
      <c r="B158" s="327"/>
      <c r="C158" s="327"/>
      <c r="D158" s="327"/>
      <c r="E158" s="327"/>
      <c r="F158" s="327"/>
      <c r="G158" s="327"/>
      <c r="H158" s="327"/>
      <c r="I158" s="327"/>
      <c r="J158" s="327"/>
      <c r="K158" s="327"/>
      <c r="L158" s="327"/>
      <c r="M158" s="327"/>
      <c r="N158" s="327"/>
      <c r="O158" s="327"/>
      <c r="P158" s="327"/>
      <c r="Q158" s="327"/>
      <c r="R158" s="327"/>
      <c r="S158" s="327"/>
      <c r="T158" s="327"/>
      <c r="U158" s="327"/>
      <c r="V158" s="327"/>
      <c r="W158" s="327"/>
      <c r="X158" s="327"/>
      <c r="Y158" s="327"/>
      <c r="Z158" s="327"/>
      <c r="AA158" s="65"/>
      <c r="AB158" s="65"/>
      <c r="AC158" s="82"/>
    </row>
    <row r="159" spans="1:68" ht="14.25" customHeight="1" x14ac:dyDescent="0.25">
      <c r="A159" s="318" t="s">
        <v>160</v>
      </c>
      <c r="B159" s="318"/>
      <c r="C159" s="318"/>
      <c r="D159" s="318"/>
      <c r="E159" s="318"/>
      <c r="F159" s="318"/>
      <c r="G159" s="318"/>
      <c r="H159" s="318"/>
      <c r="I159" s="318"/>
      <c r="J159" s="318"/>
      <c r="K159" s="318"/>
      <c r="L159" s="318"/>
      <c r="M159" s="318"/>
      <c r="N159" s="318"/>
      <c r="O159" s="318"/>
      <c r="P159" s="318"/>
      <c r="Q159" s="318"/>
      <c r="R159" s="318"/>
      <c r="S159" s="318"/>
      <c r="T159" s="318"/>
      <c r="U159" s="318"/>
      <c r="V159" s="318"/>
      <c r="W159" s="318"/>
      <c r="X159" s="318"/>
      <c r="Y159" s="318"/>
      <c r="Z159" s="318"/>
      <c r="AA159" s="66"/>
      <c r="AB159" s="66"/>
      <c r="AC159" s="83"/>
    </row>
    <row r="160" spans="1:68" ht="27" customHeight="1" x14ac:dyDescent="0.25">
      <c r="A160" s="63" t="s">
        <v>272</v>
      </c>
      <c r="B160" s="63" t="s">
        <v>273</v>
      </c>
      <c r="C160" s="36">
        <v>4301135570</v>
      </c>
      <c r="D160" s="299">
        <v>4607111035806</v>
      </c>
      <c r="E160" s="299"/>
      <c r="F160" s="62">
        <v>0.25</v>
      </c>
      <c r="G160" s="37">
        <v>12</v>
      </c>
      <c r="H160" s="62">
        <v>3</v>
      </c>
      <c r="I160" s="62">
        <v>3.7035999999999998</v>
      </c>
      <c r="J160" s="37">
        <v>70</v>
      </c>
      <c r="K160" s="37" t="s">
        <v>123</v>
      </c>
      <c r="L160" s="37" t="s">
        <v>124</v>
      </c>
      <c r="M160" s="38" t="s">
        <v>86</v>
      </c>
      <c r="N160" s="38"/>
      <c r="O160" s="37">
        <v>180</v>
      </c>
      <c r="P160" s="35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0" s="301"/>
      <c r="R160" s="301"/>
      <c r="S160" s="301"/>
      <c r="T160" s="302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IFERROR(IF(X160="","",X160*0.01788),"")</f>
        <v>0</v>
      </c>
      <c r="AA160" s="68" t="s">
        <v>46</v>
      </c>
      <c r="AB160" s="69" t="s">
        <v>46</v>
      </c>
      <c r="AC160" s="213" t="s">
        <v>274</v>
      </c>
      <c r="AG160" s="81"/>
      <c r="AJ160" s="87" t="s">
        <v>125</v>
      </c>
      <c r="AK160" s="87">
        <v>14</v>
      </c>
      <c r="BB160" s="214" t="s">
        <v>122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ht="27" customHeight="1" x14ac:dyDescent="0.25">
      <c r="A161" s="63" t="s">
        <v>275</v>
      </c>
      <c r="B161" s="63" t="s">
        <v>276</v>
      </c>
      <c r="C161" s="36">
        <v>4301135940</v>
      </c>
      <c r="D161" s="299">
        <v>4620207491614</v>
      </c>
      <c r="E161" s="299"/>
      <c r="F161" s="62">
        <v>0.25</v>
      </c>
      <c r="G161" s="37">
        <v>12</v>
      </c>
      <c r="H161" s="62">
        <v>3</v>
      </c>
      <c r="I161" s="62">
        <v>3.7035999999999998</v>
      </c>
      <c r="J161" s="37">
        <v>70</v>
      </c>
      <c r="K161" s="37" t="s">
        <v>123</v>
      </c>
      <c r="L161" s="37" t="s">
        <v>88</v>
      </c>
      <c r="M161" s="38" t="s">
        <v>86</v>
      </c>
      <c r="N161" s="38"/>
      <c r="O161" s="37">
        <v>180</v>
      </c>
      <c r="P161" s="354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301"/>
      <c r="R161" s="301"/>
      <c r="S161" s="301"/>
      <c r="T161" s="302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IFERROR(IF(X161="","",X161*0.01788),"")</f>
        <v>0</v>
      </c>
      <c r="AA161" s="68" t="s">
        <v>46</v>
      </c>
      <c r="AB161" s="69" t="s">
        <v>46</v>
      </c>
      <c r="AC161" s="215" t="s">
        <v>163</v>
      </c>
      <c r="AG161" s="81"/>
      <c r="AJ161" s="87" t="s">
        <v>89</v>
      </c>
      <c r="AK161" s="87">
        <v>1</v>
      </c>
      <c r="BB161" s="216" t="s">
        <v>122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5">
      <c r="A162" s="307"/>
      <c r="B162" s="307"/>
      <c r="C162" s="307"/>
      <c r="D162" s="307"/>
      <c r="E162" s="307"/>
      <c r="F162" s="307"/>
      <c r="G162" s="307"/>
      <c r="H162" s="307"/>
      <c r="I162" s="307"/>
      <c r="J162" s="307"/>
      <c r="K162" s="307"/>
      <c r="L162" s="307"/>
      <c r="M162" s="307"/>
      <c r="N162" s="307"/>
      <c r="O162" s="308"/>
      <c r="P162" s="304" t="s">
        <v>40</v>
      </c>
      <c r="Q162" s="305"/>
      <c r="R162" s="305"/>
      <c r="S162" s="305"/>
      <c r="T162" s="305"/>
      <c r="U162" s="305"/>
      <c r="V162" s="306"/>
      <c r="W162" s="42" t="s">
        <v>39</v>
      </c>
      <c r="X162" s="43">
        <f>IFERROR(SUM(X160:X161),"0")</f>
        <v>0</v>
      </c>
      <c r="Y162" s="43">
        <f>IFERROR(SUM(Y160:Y161),"0")</f>
        <v>0</v>
      </c>
      <c r="Z162" s="43">
        <f>IFERROR(IF(Z160="",0,Z160),"0")+IFERROR(IF(Z161="",0,Z161),"0")</f>
        <v>0</v>
      </c>
      <c r="AA162" s="67"/>
      <c r="AB162" s="67"/>
      <c r="AC162" s="67"/>
    </row>
    <row r="163" spans="1:68" x14ac:dyDescent="0.25">
      <c r="A163" s="307"/>
      <c r="B163" s="307"/>
      <c r="C163" s="307"/>
      <c r="D163" s="307"/>
      <c r="E163" s="307"/>
      <c r="F163" s="307"/>
      <c r="G163" s="307"/>
      <c r="H163" s="307"/>
      <c r="I163" s="307"/>
      <c r="J163" s="307"/>
      <c r="K163" s="307"/>
      <c r="L163" s="307"/>
      <c r="M163" s="307"/>
      <c r="N163" s="307"/>
      <c r="O163" s="308"/>
      <c r="P163" s="304" t="s">
        <v>40</v>
      </c>
      <c r="Q163" s="305"/>
      <c r="R163" s="305"/>
      <c r="S163" s="305"/>
      <c r="T163" s="305"/>
      <c r="U163" s="305"/>
      <c r="V163" s="306"/>
      <c r="W163" s="42" t="s">
        <v>0</v>
      </c>
      <c r="X163" s="43">
        <f>IFERROR(SUMPRODUCT(X160:X161*H160:H161),"0")</f>
        <v>0</v>
      </c>
      <c r="Y163" s="43">
        <f>IFERROR(SUMPRODUCT(Y160:Y161*H160:H161),"0")</f>
        <v>0</v>
      </c>
      <c r="Z163" s="42"/>
      <c r="AA163" s="67"/>
      <c r="AB163" s="67"/>
      <c r="AC163" s="67"/>
    </row>
    <row r="164" spans="1:68" ht="16.5" customHeight="1" x14ac:dyDescent="0.25">
      <c r="A164" s="327" t="s">
        <v>277</v>
      </c>
      <c r="B164" s="327"/>
      <c r="C164" s="327"/>
      <c r="D164" s="327"/>
      <c r="E164" s="327"/>
      <c r="F164" s="327"/>
      <c r="G164" s="327"/>
      <c r="H164" s="327"/>
      <c r="I164" s="327"/>
      <c r="J164" s="327"/>
      <c r="K164" s="327"/>
      <c r="L164" s="327"/>
      <c r="M164" s="327"/>
      <c r="N164" s="327"/>
      <c r="O164" s="327"/>
      <c r="P164" s="327"/>
      <c r="Q164" s="327"/>
      <c r="R164" s="327"/>
      <c r="S164" s="327"/>
      <c r="T164" s="327"/>
      <c r="U164" s="327"/>
      <c r="V164" s="327"/>
      <c r="W164" s="327"/>
      <c r="X164" s="327"/>
      <c r="Y164" s="327"/>
      <c r="Z164" s="327"/>
      <c r="AA164" s="65"/>
      <c r="AB164" s="65"/>
      <c r="AC164" s="82"/>
    </row>
    <row r="165" spans="1:68" ht="14.25" customHeight="1" x14ac:dyDescent="0.25">
      <c r="A165" s="318" t="s">
        <v>160</v>
      </c>
      <c r="B165" s="318"/>
      <c r="C165" s="318"/>
      <c r="D165" s="318"/>
      <c r="E165" s="318"/>
      <c r="F165" s="318"/>
      <c r="G165" s="318"/>
      <c r="H165" s="318"/>
      <c r="I165" s="318"/>
      <c r="J165" s="318"/>
      <c r="K165" s="318"/>
      <c r="L165" s="318"/>
      <c r="M165" s="318"/>
      <c r="N165" s="318"/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  <c r="AA165" s="66"/>
      <c r="AB165" s="66"/>
      <c r="AC165" s="83"/>
    </row>
    <row r="166" spans="1:68" ht="16.5" customHeight="1" x14ac:dyDescent="0.25">
      <c r="A166" s="63" t="s">
        <v>278</v>
      </c>
      <c r="B166" s="63" t="s">
        <v>279</v>
      </c>
      <c r="C166" s="36">
        <v>4301135607</v>
      </c>
      <c r="D166" s="299">
        <v>4607111039613</v>
      </c>
      <c r="E166" s="299"/>
      <c r="F166" s="62">
        <v>0.09</v>
      </c>
      <c r="G166" s="37">
        <v>30</v>
      </c>
      <c r="H166" s="62">
        <v>2.7</v>
      </c>
      <c r="I166" s="62">
        <v>3.09</v>
      </c>
      <c r="J166" s="37">
        <v>126</v>
      </c>
      <c r="K166" s="37" t="s">
        <v>123</v>
      </c>
      <c r="L166" s="37" t="s">
        <v>124</v>
      </c>
      <c r="M166" s="38" t="s">
        <v>86</v>
      </c>
      <c r="N166" s="38"/>
      <c r="O166" s="37">
        <v>180</v>
      </c>
      <c r="P166" s="35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301"/>
      <c r="R166" s="301"/>
      <c r="S166" s="301"/>
      <c r="T166" s="302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IFERROR(IF(X166="","",X166*0.00936),"")</f>
        <v>0</v>
      </c>
      <c r="AA166" s="68" t="s">
        <v>46</v>
      </c>
      <c r="AB166" s="69" t="s">
        <v>46</v>
      </c>
      <c r="AC166" s="217" t="s">
        <v>280</v>
      </c>
      <c r="AG166" s="81"/>
      <c r="AJ166" s="87" t="s">
        <v>125</v>
      </c>
      <c r="AK166" s="87">
        <v>14</v>
      </c>
      <c r="BB166" s="218" t="s">
        <v>122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5">
      <c r="A167" s="307"/>
      <c r="B167" s="307"/>
      <c r="C167" s="307"/>
      <c r="D167" s="307"/>
      <c r="E167" s="307"/>
      <c r="F167" s="307"/>
      <c r="G167" s="307"/>
      <c r="H167" s="307"/>
      <c r="I167" s="307"/>
      <c r="J167" s="307"/>
      <c r="K167" s="307"/>
      <c r="L167" s="307"/>
      <c r="M167" s="307"/>
      <c r="N167" s="307"/>
      <c r="O167" s="308"/>
      <c r="P167" s="304" t="s">
        <v>40</v>
      </c>
      <c r="Q167" s="305"/>
      <c r="R167" s="305"/>
      <c r="S167" s="305"/>
      <c r="T167" s="305"/>
      <c r="U167" s="305"/>
      <c r="V167" s="306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5">
      <c r="A168" s="307"/>
      <c r="B168" s="307"/>
      <c r="C168" s="307"/>
      <c r="D168" s="307"/>
      <c r="E168" s="307"/>
      <c r="F168" s="307"/>
      <c r="G168" s="307"/>
      <c r="H168" s="307"/>
      <c r="I168" s="307"/>
      <c r="J168" s="307"/>
      <c r="K168" s="307"/>
      <c r="L168" s="307"/>
      <c r="M168" s="307"/>
      <c r="N168" s="307"/>
      <c r="O168" s="308"/>
      <c r="P168" s="304" t="s">
        <v>40</v>
      </c>
      <c r="Q168" s="305"/>
      <c r="R168" s="305"/>
      <c r="S168" s="305"/>
      <c r="T168" s="305"/>
      <c r="U168" s="305"/>
      <c r="V168" s="306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16.5" customHeight="1" x14ac:dyDescent="0.25">
      <c r="A169" s="327" t="s">
        <v>281</v>
      </c>
      <c r="B169" s="327"/>
      <c r="C169" s="327"/>
      <c r="D169" s="327"/>
      <c r="E169" s="327"/>
      <c r="F169" s="327"/>
      <c r="G169" s="327"/>
      <c r="H169" s="327"/>
      <c r="I169" s="327"/>
      <c r="J169" s="327"/>
      <c r="K169" s="327"/>
      <c r="L169" s="327"/>
      <c r="M169" s="327"/>
      <c r="N169" s="327"/>
      <c r="O169" s="327"/>
      <c r="P169" s="327"/>
      <c r="Q169" s="327"/>
      <c r="R169" s="327"/>
      <c r="S169" s="327"/>
      <c r="T169" s="327"/>
      <c r="U169" s="327"/>
      <c r="V169" s="327"/>
      <c r="W169" s="327"/>
      <c r="X169" s="327"/>
      <c r="Y169" s="327"/>
      <c r="Z169" s="327"/>
      <c r="AA169" s="65"/>
      <c r="AB169" s="65"/>
      <c r="AC169" s="82"/>
    </row>
    <row r="170" spans="1:68" ht="14.25" customHeight="1" x14ac:dyDescent="0.25">
      <c r="A170" s="318" t="s">
        <v>160</v>
      </c>
      <c r="B170" s="318"/>
      <c r="C170" s="318"/>
      <c r="D170" s="318"/>
      <c r="E170" s="318"/>
      <c r="F170" s="318"/>
      <c r="G170" s="318"/>
      <c r="H170" s="318"/>
      <c r="I170" s="318"/>
      <c r="J170" s="318"/>
      <c r="K170" s="318"/>
      <c r="L170" s="318"/>
      <c r="M170" s="318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  <c r="AA170" s="66"/>
      <c r="AB170" s="66"/>
      <c r="AC170" s="83"/>
    </row>
    <row r="171" spans="1:68" ht="27" customHeight="1" x14ac:dyDescent="0.25">
      <c r="A171" s="63" t="s">
        <v>282</v>
      </c>
      <c r="B171" s="63" t="s">
        <v>283</v>
      </c>
      <c r="C171" s="36">
        <v>4301135912</v>
      </c>
      <c r="D171" s="299">
        <v>4620207491751</v>
      </c>
      <c r="E171" s="299"/>
      <c r="F171" s="62">
        <v>0.28000000000000003</v>
      </c>
      <c r="G171" s="37">
        <v>6</v>
      </c>
      <c r="H171" s="62">
        <v>1.68</v>
      </c>
      <c r="I171" s="62">
        <v>2.1017999999999999</v>
      </c>
      <c r="J171" s="37">
        <v>140</v>
      </c>
      <c r="K171" s="37" t="s">
        <v>123</v>
      </c>
      <c r="L171" s="37" t="s">
        <v>88</v>
      </c>
      <c r="M171" s="38" t="s">
        <v>86</v>
      </c>
      <c r="N171" s="38"/>
      <c r="O171" s="37">
        <v>180</v>
      </c>
      <c r="P171" s="352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1" s="301"/>
      <c r="R171" s="301"/>
      <c r="S171" s="301"/>
      <c r="T171" s="302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IFERROR(IF(X171="","",X171*0.00941),"")</f>
        <v>0</v>
      </c>
      <c r="AA171" s="68" t="s">
        <v>46</v>
      </c>
      <c r="AB171" s="69" t="s">
        <v>46</v>
      </c>
      <c r="AC171" s="219" t="s">
        <v>163</v>
      </c>
      <c r="AG171" s="81"/>
      <c r="AJ171" s="87" t="s">
        <v>89</v>
      </c>
      <c r="AK171" s="87">
        <v>1</v>
      </c>
      <c r="BB171" s="220" t="s">
        <v>122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x14ac:dyDescent="0.25">
      <c r="A172" s="307"/>
      <c r="B172" s="307"/>
      <c r="C172" s="307"/>
      <c r="D172" s="307"/>
      <c r="E172" s="307"/>
      <c r="F172" s="307"/>
      <c r="G172" s="307"/>
      <c r="H172" s="307"/>
      <c r="I172" s="307"/>
      <c r="J172" s="307"/>
      <c r="K172" s="307"/>
      <c r="L172" s="307"/>
      <c r="M172" s="307"/>
      <c r="N172" s="307"/>
      <c r="O172" s="308"/>
      <c r="P172" s="304" t="s">
        <v>40</v>
      </c>
      <c r="Q172" s="305"/>
      <c r="R172" s="305"/>
      <c r="S172" s="305"/>
      <c r="T172" s="305"/>
      <c r="U172" s="305"/>
      <c r="V172" s="306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x14ac:dyDescent="0.25">
      <c r="A173" s="307"/>
      <c r="B173" s="307"/>
      <c r="C173" s="307"/>
      <c r="D173" s="307"/>
      <c r="E173" s="307"/>
      <c r="F173" s="307"/>
      <c r="G173" s="307"/>
      <c r="H173" s="307"/>
      <c r="I173" s="307"/>
      <c r="J173" s="307"/>
      <c r="K173" s="307"/>
      <c r="L173" s="307"/>
      <c r="M173" s="307"/>
      <c r="N173" s="307"/>
      <c r="O173" s="308"/>
      <c r="P173" s="304" t="s">
        <v>40</v>
      </c>
      <c r="Q173" s="305"/>
      <c r="R173" s="305"/>
      <c r="S173" s="305"/>
      <c r="T173" s="305"/>
      <c r="U173" s="305"/>
      <c r="V173" s="306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27.75" customHeight="1" x14ac:dyDescent="0.25">
      <c r="A174" s="326" t="s">
        <v>284</v>
      </c>
      <c r="B174" s="326"/>
      <c r="C174" s="326"/>
      <c r="D174" s="326"/>
      <c r="E174" s="326"/>
      <c r="F174" s="326"/>
      <c r="G174" s="326"/>
      <c r="H174" s="326"/>
      <c r="I174" s="326"/>
      <c r="J174" s="326"/>
      <c r="K174" s="326"/>
      <c r="L174" s="326"/>
      <c r="M174" s="326"/>
      <c r="N174" s="326"/>
      <c r="O174" s="326"/>
      <c r="P174" s="326"/>
      <c r="Q174" s="326"/>
      <c r="R174" s="326"/>
      <c r="S174" s="326"/>
      <c r="T174" s="326"/>
      <c r="U174" s="326"/>
      <c r="V174" s="326"/>
      <c r="W174" s="326"/>
      <c r="X174" s="326"/>
      <c r="Y174" s="326"/>
      <c r="Z174" s="326"/>
      <c r="AA174" s="54"/>
      <c r="AB174" s="54"/>
      <c r="AC174" s="54"/>
    </row>
    <row r="175" spans="1:68" ht="16.5" customHeight="1" x14ac:dyDescent="0.25">
      <c r="A175" s="327" t="s">
        <v>285</v>
      </c>
      <c r="B175" s="327"/>
      <c r="C175" s="327"/>
      <c r="D175" s="327"/>
      <c r="E175" s="327"/>
      <c r="F175" s="327"/>
      <c r="G175" s="327"/>
      <c r="H175" s="327"/>
      <c r="I175" s="327"/>
      <c r="J175" s="327"/>
      <c r="K175" s="327"/>
      <c r="L175" s="327"/>
      <c r="M175" s="327"/>
      <c r="N175" s="327"/>
      <c r="O175" s="327"/>
      <c r="P175" s="327"/>
      <c r="Q175" s="327"/>
      <c r="R175" s="327"/>
      <c r="S175" s="327"/>
      <c r="T175" s="327"/>
      <c r="U175" s="327"/>
      <c r="V175" s="327"/>
      <c r="W175" s="327"/>
      <c r="X175" s="327"/>
      <c r="Y175" s="327"/>
      <c r="Z175" s="327"/>
      <c r="AA175" s="65"/>
      <c r="AB175" s="65"/>
      <c r="AC175" s="82"/>
    </row>
    <row r="176" spans="1:68" ht="14.25" customHeight="1" x14ac:dyDescent="0.25">
      <c r="A176" s="318" t="s">
        <v>118</v>
      </c>
      <c r="B176" s="318"/>
      <c r="C176" s="318"/>
      <c r="D176" s="318"/>
      <c r="E176" s="318"/>
      <c r="F176" s="318"/>
      <c r="G176" s="318"/>
      <c r="H176" s="318"/>
      <c r="I176" s="318"/>
      <c r="J176" s="318"/>
      <c r="K176" s="318"/>
      <c r="L176" s="318"/>
      <c r="M176" s="318"/>
      <c r="N176" s="318"/>
      <c r="O176" s="318"/>
      <c r="P176" s="318"/>
      <c r="Q176" s="318"/>
      <c r="R176" s="318"/>
      <c r="S176" s="318"/>
      <c r="T176" s="318"/>
      <c r="U176" s="318"/>
      <c r="V176" s="318"/>
      <c r="W176" s="318"/>
      <c r="X176" s="318"/>
      <c r="Y176" s="318"/>
      <c r="Z176" s="318"/>
      <c r="AA176" s="66"/>
      <c r="AB176" s="66"/>
      <c r="AC176" s="83"/>
    </row>
    <row r="177" spans="1:68" ht="27" customHeight="1" x14ac:dyDescent="0.25">
      <c r="A177" s="63" t="s">
        <v>286</v>
      </c>
      <c r="B177" s="63" t="s">
        <v>287</v>
      </c>
      <c r="C177" s="36">
        <v>4301132226</v>
      </c>
      <c r="D177" s="299">
        <v>4620207490631</v>
      </c>
      <c r="E177" s="299"/>
      <c r="F177" s="62">
        <v>6</v>
      </c>
      <c r="G177" s="37">
        <v>1</v>
      </c>
      <c r="H177" s="62">
        <v>6</v>
      </c>
      <c r="I177" s="62">
        <v>6.2350000000000003</v>
      </c>
      <c r="J177" s="37">
        <v>84</v>
      </c>
      <c r="K177" s="37" t="s">
        <v>87</v>
      </c>
      <c r="L177" s="37" t="s">
        <v>88</v>
      </c>
      <c r="M177" s="38" t="s">
        <v>86</v>
      </c>
      <c r="N177" s="38"/>
      <c r="O177" s="37">
        <v>180</v>
      </c>
      <c r="P177" s="350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7" s="301"/>
      <c r="R177" s="301"/>
      <c r="S177" s="301"/>
      <c r="T177" s="302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IFERROR(IF(X177="","",X177*0.0155),"")</f>
        <v>0</v>
      </c>
      <c r="AA177" s="68" t="s">
        <v>46</v>
      </c>
      <c r="AB177" s="69" t="s">
        <v>46</v>
      </c>
      <c r="AC177" s="221" t="s">
        <v>288</v>
      </c>
      <c r="AG177" s="81"/>
      <c r="AJ177" s="87" t="s">
        <v>89</v>
      </c>
      <c r="AK177" s="87">
        <v>1</v>
      </c>
      <c r="BB177" s="222" t="s">
        <v>122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x14ac:dyDescent="0.25">
      <c r="A178" s="307"/>
      <c r="B178" s="307"/>
      <c r="C178" s="307"/>
      <c r="D178" s="307"/>
      <c r="E178" s="307"/>
      <c r="F178" s="307"/>
      <c r="G178" s="307"/>
      <c r="H178" s="307"/>
      <c r="I178" s="307"/>
      <c r="J178" s="307"/>
      <c r="K178" s="307"/>
      <c r="L178" s="307"/>
      <c r="M178" s="307"/>
      <c r="N178" s="307"/>
      <c r="O178" s="308"/>
      <c r="P178" s="304" t="s">
        <v>40</v>
      </c>
      <c r="Q178" s="305"/>
      <c r="R178" s="305"/>
      <c r="S178" s="305"/>
      <c r="T178" s="305"/>
      <c r="U178" s="305"/>
      <c r="V178" s="306"/>
      <c r="W178" s="42" t="s">
        <v>39</v>
      </c>
      <c r="X178" s="43">
        <f>IFERROR(SUM(X177:X177),"0")</f>
        <v>0</v>
      </c>
      <c r="Y178" s="43">
        <f>IFERROR(SUM(Y177:Y177),"0")</f>
        <v>0</v>
      </c>
      <c r="Z178" s="43">
        <f>IFERROR(IF(Z177="",0,Z177),"0")</f>
        <v>0</v>
      </c>
      <c r="AA178" s="67"/>
      <c r="AB178" s="67"/>
      <c r="AC178" s="67"/>
    </row>
    <row r="179" spans="1:68" x14ac:dyDescent="0.25">
      <c r="A179" s="307"/>
      <c r="B179" s="307"/>
      <c r="C179" s="307"/>
      <c r="D179" s="307"/>
      <c r="E179" s="307"/>
      <c r="F179" s="307"/>
      <c r="G179" s="307"/>
      <c r="H179" s="307"/>
      <c r="I179" s="307"/>
      <c r="J179" s="307"/>
      <c r="K179" s="307"/>
      <c r="L179" s="307"/>
      <c r="M179" s="307"/>
      <c r="N179" s="307"/>
      <c r="O179" s="308"/>
      <c r="P179" s="304" t="s">
        <v>40</v>
      </c>
      <c r="Q179" s="305"/>
      <c r="R179" s="305"/>
      <c r="S179" s="305"/>
      <c r="T179" s="305"/>
      <c r="U179" s="305"/>
      <c r="V179" s="306"/>
      <c r="W179" s="42" t="s">
        <v>0</v>
      </c>
      <c r="X179" s="43">
        <f>IFERROR(SUMPRODUCT(X177:X177*H177:H177),"0")</f>
        <v>0</v>
      </c>
      <c r="Y179" s="43">
        <f>IFERROR(SUMPRODUCT(Y177:Y177*H177:H177),"0")</f>
        <v>0</v>
      </c>
      <c r="Z179" s="42"/>
      <c r="AA179" s="67"/>
      <c r="AB179" s="67"/>
      <c r="AC179" s="67"/>
    </row>
    <row r="180" spans="1:68" ht="14.25" customHeight="1" x14ac:dyDescent="0.25">
      <c r="A180" s="318" t="s">
        <v>160</v>
      </c>
      <c r="B180" s="318"/>
      <c r="C180" s="318"/>
      <c r="D180" s="318"/>
      <c r="E180" s="318"/>
      <c r="F180" s="318"/>
      <c r="G180" s="318"/>
      <c r="H180" s="318"/>
      <c r="I180" s="318"/>
      <c r="J180" s="318"/>
      <c r="K180" s="318"/>
      <c r="L180" s="318"/>
      <c r="M180" s="318"/>
      <c r="N180" s="318"/>
      <c r="O180" s="318"/>
      <c r="P180" s="318"/>
      <c r="Q180" s="318"/>
      <c r="R180" s="318"/>
      <c r="S180" s="318"/>
      <c r="T180" s="318"/>
      <c r="U180" s="318"/>
      <c r="V180" s="318"/>
      <c r="W180" s="318"/>
      <c r="X180" s="318"/>
      <c r="Y180" s="318"/>
      <c r="Z180" s="318"/>
      <c r="AA180" s="66"/>
      <c r="AB180" s="66"/>
      <c r="AC180" s="83"/>
    </row>
    <row r="181" spans="1:68" ht="16.5" customHeight="1" x14ac:dyDescent="0.25">
      <c r="A181" s="63" t="s">
        <v>289</v>
      </c>
      <c r="B181" s="63" t="s">
        <v>290</v>
      </c>
      <c r="C181" s="36">
        <v>4301137080</v>
      </c>
      <c r="D181" s="299">
        <v>4620207492062</v>
      </c>
      <c r="E181" s="299"/>
      <c r="F181" s="62">
        <v>5.5</v>
      </c>
      <c r="G181" s="37">
        <v>1</v>
      </c>
      <c r="H181" s="62">
        <v>5.5</v>
      </c>
      <c r="I181" s="62">
        <v>5.7350000000000003</v>
      </c>
      <c r="J181" s="37">
        <v>84</v>
      </c>
      <c r="K181" s="37" t="s">
        <v>87</v>
      </c>
      <c r="L181" s="37" t="s">
        <v>88</v>
      </c>
      <c r="M181" s="38" t="s">
        <v>86</v>
      </c>
      <c r="N181" s="38"/>
      <c r="O181" s="37">
        <v>180</v>
      </c>
      <c r="P181" s="348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81" s="301"/>
      <c r="R181" s="301"/>
      <c r="S181" s="301"/>
      <c r="T181" s="302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IFERROR(IF(X181="","",X181*0.0155),"")</f>
        <v>0</v>
      </c>
      <c r="AA181" s="68" t="s">
        <v>46</v>
      </c>
      <c r="AB181" s="69" t="s">
        <v>46</v>
      </c>
      <c r="AC181" s="223" t="s">
        <v>291</v>
      </c>
      <c r="AG181" s="81"/>
      <c r="AJ181" s="87" t="s">
        <v>89</v>
      </c>
      <c r="AK181" s="87">
        <v>1</v>
      </c>
      <c r="BB181" s="224" t="s">
        <v>122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customHeight="1" x14ac:dyDescent="0.25">
      <c r="A182" s="63" t="s">
        <v>292</v>
      </c>
      <c r="B182" s="63" t="s">
        <v>293</v>
      </c>
      <c r="C182" s="36">
        <v>4301135392</v>
      </c>
      <c r="D182" s="299">
        <v>4607111039132</v>
      </c>
      <c r="E182" s="299"/>
      <c r="F182" s="62">
        <v>3.7</v>
      </c>
      <c r="G182" s="37">
        <v>1</v>
      </c>
      <c r="H182" s="62">
        <v>3.7</v>
      </c>
      <c r="I182" s="62">
        <v>3.8919999999999999</v>
      </c>
      <c r="J182" s="37">
        <v>126</v>
      </c>
      <c r="K182" s="37" t="s">
        <v>123</v>
      </c>
      <c r="L182" s="37" t="s">
        <v>88</v>
      </c>
      <c r="M182" s="38" t="s">
        <v>86</v>
      </c>
      <c r="N182" s="38"/>
      <c r="O182" s="37">
        <v>180</v>
      </c>
      <c r="P182" s="349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301"/>
      <c r="R182" s="301"/>
      <c r="S182" s="301"/>
      <c r="T182" s="302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IFERROR(IF(X182="","",X182*0.00936),"")</f>
        <v>0</v>
      </c>
      <c r="AA182" s="68" t="s">
        <v>46</v>
      </c>
      <c r="AB182" s="69" t="s">
        <v>46</v>
      </c>
      <c r="AC182" s="225" t="s">
        <v>294</v>
      </c>
      <c r="AG182" s="81"/>
      <c r="AJ182" s="87" t="s">
        <v>89</v>
      </c>
      <c r="AK182" s="87">
        <v>1</v>
      </c>
      <c r="BB182" s="226" t="s">
        <v>122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5">
      <c r="A183" s="307"/>
      <c r="B183" s="307"/>
      <c r="C183" s="307"/>
      <c r="D183" s="307"/>
      <c r="E183" s="307"/>
      <c r="F183" s="307"/>
      <c r="G183" s="307"/>
      <c r="H183" s="307"/>
      <c r="I183" s="307"/>
      <c r="J183" s="307"/>
      <c r="K183" s="307"/>
      <c r="L183" s="307"/>
      <c r="M183" s="307"/>
      <c r="N183" s="307"/>
      <c r="O183" s="308"/>
      <c r="P183" s="304" t="s">
        <v>40</v>
      </c>
      <c r="Q183" s="305"/>
      <c r="R183" s="305"/>
      <c r="S183" s="305"/>
      <c r="T183" s="305"/>
      <c r="U183" s="305"/>
      <c r="V183" s="306"/>
      <c r="W183" s="42" t="s">
        <v>39</v>
      </c>
      <c r="X183" s="43">
        <f>IFERROR(SUM(X181:X182),"0")</f>
        <v>0</v>
      </c>
      <c r="Y183" s="43">
        <f>IFERROR(SUM(Y181:Y182),"0")</f>
        <v>0</v>
      </c>
      <c r="Z183" s="43">
        <f>IFERROR(IF(Z181="",0,Z181),"0")+IFERROR(IF(Z182="",0,Z182),"0")</f>
        <v>0</v>
      </c>
      <c r="AA183" s="67"/>
      <c r="AB183" s="67"/>
      <c r="AC183" s="67"/>
    </row>
    <row r="184" spans="1:68" x14ac:dyDescent="0.25">
      <c r="A184" s="307"/>
      <c r="B184" s="307"/>
      <c r="C184" s="307"/>
      <c r="D184" s="307"/>
      <c r="E184" s="307"/>
      <c r="F184" s="307"/>
      <c r="G184" s="307"/>
      <c r="H184" s="307"/>
      <c r="I184" s="307"/>
      <c r="J184" s="307"/>
      <c r="K184" s="307"/>
      <c r="L184" s="307"/>
      <c r="M184" s="307"/>
      <c r="N184" s="307"/>
      <c r="O184" s="308"/>
      <c r="P184" s="304" t="s">
        <v>40</v>
      </c>
      <c r="Q184" s="305"/>
      <c r="R184" s="305"/>
      <c r="S184" s="305"/>
      <c r="T184" s="305"/>
      <c r="U184" s="305"/>
      <c r="V184" s="306"/>
      <c r="W184" s="42" t="s">
        <v>0</v>
      </c>
      <c r="X184" s="43">
        <f>IFERROR(SUMPRODUCT(X181:X182*H181:H182),"0")</f>
        <v>0</v>
      </c>
      <c r="Y184" s="43">
        <f>IFERROR(SUMPRODUCT(Y181:Y182*H181:H182),"0")</f>
        <v>0</v>
      </c>
      <c r="Z184" s="42"/>
      <c r="AA184" s="67"/>
      <c r="AB184" s="67"/>
      <c r="AC184" s="67"/>
    </row>
    <row r="185" spans="1:68" ht="16.5" customHeight="1" x14ac:dyDescent="0.25">
      <c r="A185" s="327" t="s">
        <v>295</v>
      </c>
      <c r="B185" s="327"/>
      <c r="C185" s="327"/>
      <c r="D185" s="327"/>
      <c r="E185" s="327"/>
      <c r="F185" s="327"/>
      <c r="G185" s="327"/>
      <c r="H185" s="327"/>
      <c r="I185" s="327"/>
      <c r="J185" s="327"/>
      <c r="K185" s="327"/>
      <c r="L185" s="327"/>
      <c r="M185" s="327"/>
      <c r="N185" s="327"/>
      <c r="O185" s="327"/>
      <c r="P185" s="327"/>
      <c r="Q185" s="327"/>
      <c r="R185" s="327"/>
      <c r="S185" s="327"/>
      <c r="T185" s="327"/>
      <c r="U185" s="327"/>
      <c r="V185" s="327"/>
      <c r="W185" s="327"/>
      <c r="X185" s="327"/>
      <c r="Y185" s="327"/>
      <c r="Z185" s="327"/>
      <c r="AA185" s="65"/>
      <c r="AB185" s="65"/>
      <c r="AC185" s="82"/>
    </row>
    <row r="186" spans="1:68" ht="14.25" customHeight="1" x14ac:dyDescent="0.25">
      <c r="A186" s="318" t="s">
        <v>82</v>
      </c>
      <c r="B186" s="318"/>
      <c r="C186" s="318"/>
      <c r="D186" s="318"/>
      <c r="E186" s="318"/>
      <c r="F186" s="318"/>
      <c r="G186" s="318"/>
      <c r="H186" s="318"/>
      <c r="I186" s="318"/>
      <c r="J186" s="318"/>
      <c r="K186" s="318"/>
      <c r="L186" s="318"/>
      <c r="M186" s="318"/>
      <c r="N186" s="318"/>
      <c r="O186" s="318"/>
      <c r="P186" s="318"/>
      <c r="Q186" s="318"/>
      <c r="R186" s="318"/>
      <c r="S186" s="318"/>
      <c r="T186" s="318"/>
      <c r="U186" s="318"/>
      <c r="V186" s="318"/>
      <c r="W186" s="318"/>
      <c r="X186" s="318"/>
      <c r="Y186" s="318"/>
      <c r="Z186" s="318"/>
      <c r="AA186" s="66"/>
      <c r="AB186" s="66"/>
      <c r="AC186" s="83"/>
    </row>
    <row r="187" spans="1:68" ht="16.5" customHeight="1" x14ac:dyDescent="0.25">
      <c r="A187" s="63" t="s">
        <v>296</v>
      </c>
      <c r="B187" s="63" t="s">
        <v>297</v>
      </c>
      <c r="C187" s="36">
        <v>4301071062</v>
      </c>
      <c r="D187" s="299">
        <v>4607111036384</v>
      </c>
      <c r="E187" s="299"/>
      <c r="F187" s="62">
        <v>5</v>
      </c>
      <c r="G187" s="37">
        <v>1</v>
      </c>
      <c r="H187" s="62">
        <v>5</v>
      </c>
      <c r="I187" s="62">
        <v>5.2106000000000003</v>
      </c>
      <c r="J187" s="37">
        <v>144</v>
      </c>
      <c r="K187" s="37" t="s">
        <v>87</v>
      </c>
      <c r="L187" s="37" t="s">
        <v>124</v>
      </c>
      <c r="M187" s="38" t="s">
        <v>86</v>
      </c>
      <c r="N187" s="38"/>
      <c r="O187" s="37">
        <v>180</v>
      </c>
      <c r="P187" s="34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301"/>
      <c r="R187" s="301"/>
      <c r="S187" s="301"/>
      <c r="T187" s="302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IFERROR(IF(X187="","",X187*0.00866),"")</f>
        <v>0</v>
      </c>
      <c r="AA187" s="68" t="s">
        <v>46</v>
      </c>
      <c r="AB187" s="69" t="s">
        <v>46</v>
      </c>
      <c r="AC187" s="227" t="s">
        <v>298</v>
      </c>
      <c r="AG187" s="81"/>
      <c r="AJ187" s="87" t="s">
        <v>125</v>
      </c>
      <c r="AK187" s="87">
        <v>12</v>
      </c>
      <c r="BB187" s="228" t="s">
        <v>70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t="27" customHeight="1" x14ac:dyDescent="0.25">
      <c r="A188" s="63" t="s">
        <v>299</v>
      </c>
      <c r="B188" s="63" t="s">
        <v>300</v>
      </c>
      <c r="C188" s="36">
        <v>4301071050</v>
      </c>
      <c r="D188" s="299">
        <v>4607111036216</v>
      </c>
      <c r="E188" s="299"/>
      <c r="F188" s="62">
        <v>5</v>
      </c>
      <c r="G188" s="37">
        <v>1</v>
      </c>
      <c r="H188" s="62">
        <v>5</v>
      </c>
      <c r="I188" s="62">
        <v>5.2131999999999996</v>
      </c>
      <c r="J188" s="37">
        <v>144</v>
      </c>
      <c r="K188" s="37" t="s">
        <v>87</v>
      </c>
      <c r="L188" s="37" t="s">
        <v>124</v>
      </c>
      <c r="M188" s="38" t="s">
        <v>86</v>
      </c>
      <c r="N188" s="38"/>
      <c r="O188" s="37">
        <v>180</v>
      </c>
      <c r="P188" s="34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301"/>
      <c r="R188" s="301"/>
      <c r="S188" s="301"/>
      <c r="T188" s="302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IFERROR(IF(X188="","",X188*0.00866),"")</f>
        <v>0</v>
      </c>
      <c r="AA188" s="68" t="s">
        <v>46</v>
      </c>
      <c r="AB188" s="69" t="s">
        <v>46</v>
      </c>
      <c r="AC188" s="229" t="s">
        <v>301</v>
      </c>
      <c r="AG188" s="81"/>
      <c r="AJ188" s="87" t="s">
        <v>125</v>
      </c>
      <c r="AK188" s="87">
        <v>12</v>
      </c>
      <c r="BB188" s="230" t="s">
        <v>70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x14ac:dyDescent="0.25">
      <c r="A189" s="307"/>
      <c r="B189" s="307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  <c r="M189" s="307"/>
      <c r="N189" s="307"/>
      <c r="O189" s="308"/>
      <c r="P189" s="304" t="s">
        <v>40</v>
      </c>
      <c r="Q189" s="305"/>
      <c r="R189" s="305"/>
      <c r="S189" s="305"/>
      <c r="T189" s="305"/>
      <c r="U189" s="305"/>
      <c r="V189" s="306"/>
      <c r="W189" s="42" t="s">
        <v>39</v>
      </c>
      <c r="X189" s="43">
        <f>IFERROR(SUM(X187:X188),"0")</f>
        <v>0</v>
      </c>
      <c r="Y189" s="43">
        <f>IFERROR(SUM(Y187:Y188),"0")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5">
      <c r="A190" s="307"/>
      <c r="B190" s="307"/>
      <c r="C190" s="307"/>
      <c r="D190" s="307"/>
      <c r="E190" s="307"/>
      <c r="F190" s="307"/>
      <c r="G190" s="307"/>
      <c r="H190" s="307"/>
      <c r="I190" s="307"/>
      <c r="J190" s="307"/>
      <c r="K190" s="307"/>
      <c r="L190" s="307"/>
      <c r="M190" s="307"/>
      <c r="N190" s="307"/>
      <c r="O190" s="308"/>
      <c r="P190" s="304" t="s">
        <v>40</v>
      </c>
      <c r="Q190" s="305"/>
      <c r="R190" s="305"/>
      <c r="S190" s="305"/>
      <c r="T190" s="305"/>
      <c r="U190" s="305"/>
      <c r="V190" s="306"/>
      <c r="W190" s="42" t="s">
        <v>0</v>
      </c>
      <c r="X190" s="43">
        <f>IFERROR(SUMPRODUCT(X187:X188*H187:H188),"0")</f>
        <v>0</v>
      </c>
      <c r="Y190" s="43">
        <f>IFERROR(SUMPRODUCT(Y187:Y188*H187:H188),"0")</f>
        <v>0</v>
      </c>
      <c r="Z190" s="42"/>
      <c r="AA190" s="67"/>
      <c r="AB190" s="67"/>
      <c r="AC190" s="67"/>
    </row>
    <row r="191" spans="1:68" ht="16.5" customHeight="1" x14ac:dyDescent="0.25">
      <c r="A191" s="327" t="s">
        <v>302</v>
      </c>
      <c r="B191" s="327"/>
      <c r="C191" s="327"/>
      <c r="D191" s="327"/>
      <c r="E191" s="327"/>
      <c r="F191" s="327"/>
      <c r="G191" s="327"/>
      <c r="H191" s="327"/>
      <c r="I191" s="327"/>
      <c r="J191" s="327"/>
      <c r="K191" s="327"/>
      <c r="L191" s="327"/>
      <c r="M191" s="327"/>
      <c r="N191" s="327"/>
      <c r="O191" s="327"/>
      <c r="P191" s="327"/>
      <c r="Q191" s="327"/>
      <c r="R191" s="327"/>
      <c r="S191" s="327"/>
      <c r="T191" s="327"/>
      <c r="U191" s="327"/>
      <c r="V191" s="327"/>
      <c r="W191" s="327"/>
      <c r="X191" s="327"/>
      <c r="Y191" s="327"/>
      <c r="Z191" s="327"/>
      <c r="AA191" s="65"/>
      <c r="AB191" s="65"/>
      <c r="AC191" s="82"/>
    </row>
    <row r="192" spans="1:68" ht="14.25" customHeight="1" x14ac:dyDescent="0.25">
      <c r="A192" s="318" t="s">
        <v>82</v>
      </c>
      <c r="B192" s="318"/>
      <c r="C192" s="318"/>
      <c r="D192" s="318"/>
      <c r="E192" s="318"/>
      <c r="F192" s="318"/>
      <c r="G192" s="318"/>
      <c r="H192" s="318"/>
      <c r="I192" s="318"/>
      <c r="J192" s="318"/>
      <c r="K192" s="318"/>
      <c r="L192" s="318"/>
      <c r="M192" s="318"/>
      <c r="N192" s="318"/>
      <c r="O192" s="318"/>
      <c r="P192" s="318"/>
      <c r="Q192" s="318"/>
      <c r="R192" s="318"/>
      <c r="S192" s="318"/>
      <c r="T192" s="318"/>
      <c r="U192" s="318"/>
      <c r="V192" s="318"/>
      <c r="W192" s="318"/>
      <c r="X192" s="318"/>
      <c r="Y192" s="318"/>
      <c r="Z192" s="318"/>
      <c r="AA192" s="66"/>
      <c r="AB192" s="66"/>
      <c r="AC192" s="83"/>
    </row>
    <row r="193" spans="1:68" ht="27" customHeight="1" x14ac:dyDescent="0.25">
      <c r="A193" s="63" t="s">
        <v>303</v>
      </c>
      <c r="B193" s="63" t="s">
        <v>304</v>
      </c>
      <c r="C193" s="36">
        <v>4301071117</v>
      </c>
      <c r="D193" s="299">
        <v>4620207491737</v>
      </c>
      <c r="E193" s="299"/>
      <c r="F193" s="62">
        <v>1</v>
      </c>
      <c r="G193" s="37">
        <v>5</v>
      </c>
      <c r="H193" s="62">
        <v>5</v>
      </c>
      <c r="I193" s="62">
        <v>5.2619999999999996</v>
      </c>
      <c r="J193" s="37">
        <v>84</v>
      </c>
      <c r="K193" s="37" t="s">
        <v>87</v>
      </c>
      <c r="L193" s="37" t="s">
        <v>88</v>
      </c>
      <c r="M193" s="38" t="s">
        <v>86</v>
      </c>
      <c r="N193" s="38"/>
      <c r="O193" s="37">
        <v>180</v>
      </c>
      <c r="P193" s="345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301"/>
      <c r="R193" s="301"/>
      <c r="S193" s="301"/>
      <c r="T193" s="302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IFERROR(IF(X193="","",X193*0.0155),"")</f>
        <v>0</v>
      </c>
      <c r="AA193" s="68" t="s">
        <v>46</v>
      </c>
      <c r="AB193" s="69" t="s">
        <v>46</v>
      </c>
      <c r="AC193" s="231" t="s">
        <v>301</v>
      </c>
      <c r="AG193" s="81"/>
      <c r="AJ193" s="87" t="s">
        <v>89</v>
      </c>
      <c r="AK193" s="87">
        <v>1</v>
      </c>
      <c r="BB193" s="232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x14ac:dyDescent="0.25">
      <c r="A194" s="307"/>
      <c r="B194" s="307"/>
      <c r="C194" s="307"/>
      <c r="D194" s="307"/>
      <c r="E194" s="307"/>
      <c r="F194" s="307"/>
      <c r="G194" s="307"/>
      <c r="H194" s="307"/>
      <c r="I194" s="307"/>
      <c r="J194" s="307"/>
      <c r="K194" s="307"/>
      <c r="L194" s="307"/>
      <c r="M194" s="307"/>
      <c r="N194" s="307"/>
      <c r="O194" s="308"/>
      <c r="P194" s="304" t="s">
        <v>40</v>
      </c>
      <c r="Q194" s="305"/>
      <c r="R194" s="305"/>
      <c r="S194" s="305"/>
      <c r="T194" s="305"/>
      <c r="U194" s="305"/>
      <c r="V194" s="306"/>
      <c r="W194" s="42" t="s">
        <v>39</v>
      </c>
      <c r="X194" s="43">
        <f>IFERROR(SUM(X193:X193),"0")</f>
        <v>0</v>
      </c>
      <c r="Y194" s="43">
        <f>IFERROR(SUM(Y193:Y193),"0")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5">
      <c r="A195" s="307"/>
      <c r="B195" s="307"/>
      <c r="C195" s="307"/>
      <c r="D195" s="307"/>
      <c r="E195" s="307"/>
      <c r="F195" s="307"/>
      <c r="G195" s="307"/>
      <c r="H195" s="307"/>
      <c r="I195" s="307"/>
      <c r="J195" s="307"/>
      <c r="K195" s="307"/>
      <c r="L195" s="307"/>
      <c r="M195" s="307"/>
      <c r="N195" s="307"/>
      <c r="O195" s="308"/>
      <c r="P195" s="304" t="s">
        <v>40</v>
      </c>
      <c r="Q195" s="305"/>
      <c r="R195" s="305"/>
      <c r="S195" s="305"/>
      <c r="T195" s="305"/>
      <c r="U195" s="305"/>
      <c r="V195" s="306"/>
      <c r="W195" s="42" t="s">
        <v>0</v>
      </c>
      <c r="X195" s="43">
        <f>IFERROR(SUMPRODUCT(X193:X193*H193:H193),"0")</f>
        <v>0</v>
      </c>
      <c r="Y195" s="43">
        <f>IFERROR(SUMPRODUCT(Y193:Y193*H193:H193),"0")</f>
        <v>0</v>
      </c>
      <c r="Z195" s="42"/>
      <c r="AA195" s="67"/>
      <c r="AB195" s="67"/>
      <c r="AC195" s="67"/>
    </row>
    <row r="196" spans="1:68" ht="27.75" customHeight="1" x14ac:dyDescent="0.25">
      <c r="A196" s="326" t="s">
        <v>305</v>
      </c>
      <c r="B196" s="326"/>
      <c r="C196" s="326"/>
      <c r="D196" s="326"/>
      <c r="E196" s="326"/>
      <c r="F196" s="326"/>
      <c r="G196" s="326"/>
      <c r="H196" s="326"/>
      <c r="I196" s="326"/>
      <c r="J196" s="326"/>
      <c r="K196" s="326"/>
      <c r="L196" s="326"/>
      <c r="M196" s="326"/>
      <c r="N196" s="326"/>
      <c r="O196" s="326"/>
      <c r="P196" s="326"/>
      <c r="Q196" s="326"/>
      <c r="R196" s="326"/>
      <c r="S196" s="326"/>
      <c r="T196" s="326"/>
      <c r="U196" s="326"/>
      <c r="V196" s="326"/>
      <c r="W196" s="326"/>
      <c r="X196" s="326"/>
      <c r="Y196" s="326"/>
      <c r="Z196" s="326"/>
      <c r="AA196" s="54"/>
      <c r="AB196" s="54"/>
      <c r="AC196" s="54"/>
    </row>
    <row r="197" spans="1:68" ht="16.5" customHeight="1" x14ac:dyDescent="0.25">
      <c r="A197" s="327" t="s">
        <v>306</v>
      </c>
      <c r="B197" s="327"/>
      <c r="C197" s="327"/>
      <c r="D197" s="327"/>
      <c r="E197" s="327"/>
      <c r="F197" s="327"/>
      <c r="G197" s="327"/>
      <c r="H197" s="327"/>
      <c r="I197" s="327"/>
      <c r="J197" s="327"/>
      <c r="K197" s="327"/>
      <c r="L197" s="327"/>
      <c r="M197" s="327"/>
      <c r="N197" s="327"/>
      <c r="O197" s="327"/>
      <c r="P197" s="327"/>
      <c r="Q197" s="327"/>
      <c r="R197" s="327"/>
      <c r="S197" s="327"/>
      <c r="T197" s="327"/>
      <c r="U197" s="327"/>
      <c r="V197" s="327"/>
      <c r="W197" s="327"/>
      <c r="X197" s="327"/>
      <c r="Y197" s="327"/>
      <c r="Z197" s="327"/>
      <c r="AA197" s="65"/>
      <c r="AB197" s="65"/>
      <c r="AC197" s="82"/>
    </row>
    <row r="198" spans="1:68" ht="14.25" customHeight="1" x14ac:dyDescent="0.25">
      <c r="A198" s="318" t="s">
        <v>118</v>
      </c>
      <c r="B198" s="318"/>
      <c r="C198" s="318"/>
      <c r="D198" s="318"/>
      <c r="E198" s="318"/>
      <c r="F198" s="318"/>
      <c r="G198" s="318"/>
      <c r="H198" s="318"/>
      <c r="I198" s="318"/>
      <c r="J198" s="318"/>
      <c r="K198" s="318"/>
      <c r="L198" s="318"/>
      <c r="M198" s="318"/>
      <c r="N198" s="318"/>
      <c r="O198" s="318"/>
      <c r="P198" s="318"/>
      <c r="Q198" s="318"/>
      <c r="R198" s="318"/>
      <c r="S198" s="318"/>
      <c r="T198" s="318"/>
      <c r="U198" s="318"/>
      <c r="V198" s="318"/>
      <c r="W198" s="318"/>
      <c r="X198" s="318"/>
      <c r="Y198" s="318"/>
      <c r="Z198" s="318"/>
      <c r="AA198" s="66"/>
      <c r="AB198" s="66"/>
      <c r="AC198" s="83"/>
    </row>
    <row r="199" spans="1:68" ht="16.5" customHeight="1" x14ac:dyDescent="0.25">
      <c r="A199" s="63" t="s">
        <v>307</v>
      </c>
      <c r="B199" s="63" t="s">
        <v>308</v>
      </c>
      <c r="C199" s="36">
        <v>4301132179</v>
      </c>
      <c r="D199" s="299">
        <v>4607111035691</v>
      </c>
      <c r="E199" s="299"/>
      <c r="F199" s="62">
        <v>0.25</v>
      </c>
      <c r="G199" s="37">
        <v>12</v>
      </c>
      <c r="H199" s="62">
        <v>3</v>
      </c>
      <c r="I199" s="62">
        <v>3.3879999999999999</v>
      </c>
      <c r="J199" s="37">
        <v>70</v>
      </c>
      <c r="K199" s="37" t="s">
        <v>123</v>
      </c>
      <c r="L199" s="37" t="s">
        <v>124</v>
      </c>
      <c r="M199" s="38" t="s">
        <v>86</v>
      </c>
      <c r="N199" s="38"/>
      <c r="O199" s="37">
        <v>365</v>
      </c>
      <c r="P199" s="34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301"/>
      <c r="R199" s="301"/>
      <c r="S199" s="301"/>
      <c r="T199" s="302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33" t="s">
        <v>309</v>
      </c>
      <c r="AG199" s="81"/>
      <c r="AJ199" s="87" t="s">
        <v>125</v>
      </c>
      <c r="AK199" s="87">
        <v>14</v>
      </c>
      <c r="BB199" s="234" t="s">
        <v>122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310</v>
      </c>
      <c r="B200" s="63" t="s">
        <v>311</v>
      </c>
      <c r="C200" s="36">
        <v>4301132182</v>
      </c>
      <c r="D200" s="299">
        <v>4607111035721</v>
      </c>
      <c r="E200" s="299"/>
      <c r="F200" s="62">
        <v>0.25</v>
      </c>
      <c r="G200" s="37">
        <v>12</v>
      </c>
      <c r="H200" s="62">
        <v>3</v>
      </c>
      <c r="I200" s="62">
        <v>3.3879999999999999</v>
      </c>
      <c r="J200" s="37">
        <v>70</v>
      </c>
      <c r="K200" s="37" t="s">
        <v>123</v>
      </c>
      <c r="L200" s="37" t="s">
        <v>124</v>
      </c>
      <c r="M200" s="38" t="s">
        <v>86</v>
      </c>
      <c r="N200" s="38"/>
      <c r="O200" s="37">
        <v>365</v>
      </c>
      <c r="P200" s="34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301"/>
      <c r="R200" s="301"/>
      <c r="S200" s="301"/>
      <c r="T200" s="302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35" t="s">
        <v>312</v>
      </c>
      <c r="AG200" s="81"/>
      <c r="AJ200" s="87" t="s">
        <v>125</v>
      </c>
      <c r="AK200" s="87">
        <v>14</v>
      </c>
      <c r="BB200" s="236" t="s">
        <v>122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ht="27" customHeight="1" x14ac:dyDescent="0.25">
      <c r="A201" s="63" t="s">
        <v>313</v>
      </c>
      <c r="B201" s="63" t="s">
        <v>314</v>
      </c>
      <c r="C201" s="36">
        <v>4301132170</v>
      </c>
      <c r="D201" s="299">
        <v>4607111038487</v>
      </c>
      <c r="E201" s="299"/>
      <c r="F201" s="62">
        <v>0.25</v>
      </c>
      <c r="G201" s="37">
        <v>12</v>
      </c>
      <c r="H201" s="62">
        <v>3</v>
      </c>
      <c r="I201" s="62">
        <v>3.7360000000000002</v>
      </c>
      <c r="J201" s="37">
        <v>70</v>
      </c>
      <c r="K201" s="37" t="s">
        <v>123</v>
      </c>
      <c r="L201" s="37" t="s">
        <v>124</v>
      </c>
      <c r="M201" s="38" t="s">
        <v>86</v>
      </c>
      <c r="N201" s="38"/>
      <c r="O201" s="37">
        <v>180</v>
      </c>
      <c r="P201" s="34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301"/>
      <c r="R201" s="301"/>
      <c r="S201" s="301"/>
      <c r="T201" s="302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37" t="s">
        <v>315</v>
      </c>
      <c r="AG201" s="81"/>
      <c r="AJ201" s="87" t="s">
        <v>125</v>
      </c>
      <c r="AK201" s="87">
        <v>14</v>
      </c>
      <c r="BB201" s="238" t="s">
        <v>122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27" customHeight="1" x14ac:dyDescent="0.25">
      <c r="A202" s="63" t="s">
        <v>316</v>
      </c>
      <c r="B202" s="63" t="s">
        <v>317</v>
      </c>
      <c r="C202" s="36">
        <v>4301132243</v>
      </c>
      <c r="D202" s="299">
        <v>4620207491195</v>
      </c>
      <c r="E202" s="299"/>
      <c r="F202" s="62">
        <v>0.23</v>
      </c>
      <c r="G202" s="37">
        <v>12</v>
      </c>
      <c r="H202" s="62">
        <v>2.76</v>
      </c>
      <c r="I202" s="62">
        <v>3.1480000000000001</v>
      </c>
      <c r="J202" s="37">
        <v>70</v>
      </c>
      <c r="K202" s="37" t="s">
        <v>123</v>
      </c>
      <c r="L202" s="37" t="s">
        <v>88</v>
      </c>
      <c r="M202" s="38" t="s">
        <v>86</v>
      </c>
      <c r="N202" s="38"/>
      <c r="O202" s="37">
        <v>180</v>
      </c>
      <c r="P202" s="34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301"/>
      <c r="R202" s="301"/>
      <c r="S202" s="301"/>
      <c r="T202" s="302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39" t="s">
        <v>318</v>
      </c>
      <c r="AG202" s="81"/>
      <c r="AJ202" s="87" t="s">
        <v>89</v>
      </c>
      <c r="AK202" s="87">
        <v>1</v>
      </c>
      <c r="BB202" s="240" t="s">
        <v>122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x14ac:dyDescent="0.25">
      <c r="A203" s="307"/>
      <c r="B203" s="307"/>
      <c r="C203" s="307"/>
      <c r="D203" s="307"/>
      <c r="E203" s="307"/>
      <c r="F203" s="307"/>
      <c r="G203" s="307"/>
      <c r="H203" s="307"/>
      <c r="I203" s="307"/>
      <c r="J203" s="307"/>
      <c r="K203" s="307"/>
      <c r="L203" s="307"/>
      <c r="M203" s="307"/>
      <c r="N203" s="307"/>
      <c r="O203" s="308"/>
      <c r="P203" s="304" t="s">
        <v>40</v>
      </c>
      <c r="Q203" s="305"/>
      <c r="R203" s="305"/>
      <c r="S203" s="305"/>
      <c r="T203" s="305"/>
      <c r="U203" s="305"/>
      <c r="V203" s="306"/>
      <c r="W203" s="42" t="s">
        <v>39</v>
      </c>
      <c r="X203" s="43">
        <f>IFERROR(SUM(X199:X202),"0")</f>
        <v>0</v>
      </c>
      <c r="Y203" s="43">
        <f>IFERROR(SUM(Y199:Y202),"0")</f>
        <v>0</v>
      </c>
      <c r="Z203" s="43">
        <f>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5">
      <c r="A204" s="307"/>
      <c r="B204" s="307"/>
      <c r="C204" s="307"/>
      <c r="D204" s="307"/>
      <c r="E204" s="307"/>
      <c r="F204" s="307"/>
      <c r="G204" s="307"/>
      <c r="H204" s="307"/>
      <c r="I204" s="307"/>
      <c r="J204" s="307"/>
      <c r="K204" s="307"/>
      <c r="L204" s="307"/>
      <c r="M204" s="307"/>
      <c r="N204" s="307"/>
      <c r="O204" s="308"/>
      <c r="P204" s="304" t="s">
        <v>40</v>
      </c>
      <c r="Q204" s="305"/>
      <c r="R204" s="305"/>
      <c r="S204" s="305"/>
      <c r="T204" s="305"/>
      <c r="U204" s="305"/>
      <c r="V204" s="306"/>
      <c r="W204" s="42" t="s">
        <v>0</v>
      </c>
      <c r="X204" s="43">
        <f>IFERROR(SUMPRODUCT(X199:X202*H199:H202),"0")</f>
        <v>0</v>
      </c>
      <c r="Y204" s="43">
        <f>IFERROR(SUMPRODUCT(Y199:Y202*H199:H202),"0")</f>
        <v>0</v>
      </c>
      <c r="Z204" s="42"/>
      <c r="AA204" s="67"/>
      <c r="AB204" s="67"/>
      <c r="AC204" s="67"/>
    </row>
    <row r="205" spans="1:68" ht="27.75" customHeight="1" x14ac:dyDescent="0.25">
      <c r="A205" s="326" t="s">
        <v>319</v>
      </c>
      <c r="B205" s="326"/>
      <c r="C205" s="326"/>
      <c r="D205" s="326"/>
      <c r="E205" s="326"/>
      <c r="F205" s="326"/>
      <c r="G205" s="326"/>
      <c r="H205" s="326"/>
      <c r="I205" s="326"/>
      <c r="J205" s="326"/>
      <c r="K205" s="326"/>
      <c r="L205" s="326"/>
      <c r="M205" s="326"/>
      <c r="N205" s="326"/>
      <c r="O205" s="326"/>
      <c r="P205" s="326"/>
      <c r="Q205" s="326"/>
      <c r="R205" s="326"/>
      <c r="S205" s="326"/>
      <c r="T205" s="326"/>
      <c r="U205" s="326"/>
      <c r="V205" s="326"/>
      <c r="W205" s="326"/>
      <c r="X205" s="326"/>
      <c r="Y205" s="326"/>
      <c r="Z205" s="326"/>
      <c r="AA205" s="54"/>
      <c r="AB205" s="54"/>
      <c r="AC205" s="54"/>
    </row>
    <row r="206" spans="1:68" ht="16.5" customHeight="1" x14ac:dyDescent="0.25">
      <c r="A206" s="327" t="s">
        <v>320</v>
      </c>
      <c r="B206" s="327"/>
      <c r="C206" s="327"/>
      <c r="D206" s="327"/>
      <c r="E206" s="327"/>
      <c r="F206" s="327"/>
      <c r="G206" s="327"/>
      <c r="H206" s="327"/>
      <c r="I206" s="327"/>
      <c r="J206" s="327"/>
      <c r="K206" s="327"/>
      <c r="L206" s="327"/>
      <c r="M206" s="327"/>
      <c r="N206" s="327"/>
      <c r="O206" s="327"/>
      <c r="P206" s="327"/>
      <c r="Q206" s="327"/>
      <c r="R206" s="327"/>
      <c r="S206" s="327"/>
      <c r="T206" s="327"/>
      <c r="U206" s="327"/>
      <c r="V206" s="327"/>
      <c r="W206" s="327"/>
      <c r="X206" s="327"/>
      <c r="Y206" s="327"/>
      <c r="Z206" s="327"/>
      <c r="AA206" s="65"/>
      <c r="AB206" s="65"/>
      <c r="AC206" s="82"/>
    </row>
    <row r="207" spans="1:68" ht="14.25" customHeight="1" x14ac:dyDescent="0.25">
      <c r="A207" s="318" t="s">
        <v>118</v>
      </c>
      <c r="B207" s="318"/>
      <c r="C207" s="318"/>
      <c r="D207" s="318"/>
      <c r="E207" s="318"/>
      <c r="F207" s="318"/>
      <c r="G207" s="318"/>
      <c r="H207" s="318"/>
      <c r="I207" s="318"/>
      <c r="J207" s="318"/>
      <c r="K207" s="318"/>
      <c r="L207" s="318"/>
      <c r="M207" s="318"/>
      <c r="N207" s="318"/>
      <c r="O207" s="318"/>
      <c r="P207" s="318"/>
      <c r="Q207" s="318"/>
      <c r="R207" s="318"/>
      <c r="S207" s="318"/>
      <c r="T207" s="318"/>
      <c r="U207" s="318"/>
      <c r="V207" s="318"/>
      <c r="W207" s="318"/>
      <c r="X207" s="318"/>
      <c r="Y207" s="318"/>
      <c r="Z207" s="318"/>
      <c r="AA207" s="66"/>
      <c r="AB207" s="66"/>
      <c r="AC207" s="83"/>
    </row>
    <row r="208" spans="1:68" ht="27" customHeight="1" x14ac:dyDescent="0.25">
      <c r="A208" s="63" t="s">
        <v>321</v>
      </c>
      <c r="B208" s="63" t="s">
        <v>322</v>
      </c>
      <c r="C208" s="36">
        <v>4301132227</v>
      </c>
      <c r="D208" s="299">
        <v>4620207491133</v>
      </c>
      <c r="E208" s="299"/>
      <c r="F208" s="62">
        <v>0.23</v>
      </c>
      <c r="G208" s="37">
        <v>12</v>
      </c>
      <c r="H208" s="62">
        <v>2.76</v>
      </c>
      <c r="I208" s="62">
        <v>2.98</v>
      </c>
      <c r="J208" s="37">
        <v>70</v>
      </c>
      <c r="K208" s="37" t="s">
        <v>123</v>
      </c>
      <c r="L208" s="37" t="s">
        <v>124</v>
      </c>
      <c r="M208" s="38" t="s">
        <v>86</v>
      </c>
      <c r="N208" s="38"/>
      <c r="O208" s="37">
        <v>180</v>
      </c>
      <c r="P208" s="34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301"/>
      <c r="R208" s="301"/>
      <c r="S208" s="301"/>
      <c r="T208" s="302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41" t="s">
        <v>323</v>
      </c>
      <c r="AG208" s="81"/>
      <c r="AJ208" s="87" t="s">
        <v>125</v>
      </c>
      <c r="AK208" s="87">
        <v>14</v>
      </c>
      <c r="BB208" s="242" t="s">
        <v>122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x14ac:dyDescent="0.25">
      <c r="A209" s="307"/>
      <c r="B209" s="307"/>
      <c r="C209" s="307"/>
      <c r="D209" s="307"/>
      <c r="E209" s="307"/>
      <c r="F209" s="307"/>
      <c r="G209" s="307"/>
      <c r="H209" s="307"/>
      <c r="I209" s="307"/>
      <c r="J209" s="307"/>
      <c r="K209" s="307"/>
      <c r="L209" s="307"/>
      <c r="M209" s="307"/>
      <c r="N209" s="307"/>
      <c r="O209" s="308"/>
      <c r="P209" s="304" t="s">
        <v>40</v>
      </c>
      <c r="Q209" s="305"/>
      <c r="R209" s="305"/>
      <c r="S209" s="305"/>
      <c r="T209" s="305"/>
      <c r="U209" s="305"/>
      <c r="V209" s="306"/>
      <c r="W209" s="42" t="s">
        <v>39</v>
      </c>
      <c r="X209" s="43">
        <f>IFERROR(SUM(X208:X208),"0")</f>
        <v>0</v>
      </c>
      <c r="Y209" s="43">
        <f>IFERROR(SUM(Y208:Y208),"0")</f>
        <v>0</v>
      </c>
      <c r="Z209" s="43">
        <f>IFERROR(IF(Z208="",0,Z208),"0")</f>
        <v>0</v>
      </c>
      <c r="AA209" s="67"/>
      <c r="AB209" s="67"/>
      <c r="AC209" s="67"/>
    </row>
    <row r="210" spans="1:68" x14ac:dyDescent="0.25">
      <c r="A210" s="307"/>
      <c r="B210" s="307"/>
      <c r="C210" s="307"/>
      <c r="D210" s="307"/>
      <c r="E210" s="307"/>
      <c r="F210" s="307"/>
      <c r="G210" s="307"/>
      <c r="H210" s="307"/>
      <c r="I210" s="307"/>
      <c r="J210" s="307"/>
      <c r="K210" s="307"/>
      <c r="L210" s="307"/>
      <c r="M210" s="307"/>
      <c r="N210" s="307"/>
      <c r="O210" s="308"/>
      <c r="P210" s="304" t="s">
        <v>40</v>
      </c>
      <c r="Q210" s="305"/>
      <c r="R210" s="305"/>
      <c r="S210" s="305"/>
      <c r="T210" s="305"/>
      <c r="U210" s="305"/>
      <c r="V210" s="306"/>
      <c r="W210" s="42" t="s">
        <v>0</v>
      </c>
      <c r="X210" s="43">
        <f>IFERROR(SUMPRODUCT(X208:X208*H208:H208),"0")</f>
        <v>0</v>
      </c>
      <c r="Y210" s="43">
        <f>IFERROR(SUMPRODUCT(Y208:Y208*H208:H208),"0")</f>
        <v>0</v>
      </c>
      <c r="Z210" s="42"/>
      <c r="AA210" s="67"/>
      <c r="AB210" s="67"/>
      <c r="AC210" s="67"/>
    </row>
    <row r="211" spans="1:68" ht="14.25" customHeight="1" x14ac:dyDescent="0.25">
      <c r="A211" s="318" t="s">
        <v>160</v>
      </c>
      <c r="B211" s="318"/>
      <c r="C211" s="318"/>
      <c r="D211" s="318"/>
      <c r="E211" s="318"/>
      <c r="F211" s="318"/>
      <c r="G211" s="318"/>
      <c r="H211" s="318"/>
      <c r="I211" s="318"/>
      <c r="J211" s="318"/>
      <c r="K211" s="318"/>
      <c r="L211" s="318"/>
      <c r="M211" s="318"/>
      <c r="N211" s="318"/>
      <c r="O211" s="318"/>
      <c r="P211" s="318"/>
      <c r="Q211" s="318"/>
      <c r="R211" s="318"/>
      <c r="S211" s="318"/>
      <c r="T211" s="318"/>
      <c r="U211" s="318"/>
      <c r="V211" s="318"/>
      <c r="W211" s="318"/>
      <c r="X211" s="318"/>
      <c r="Y211" s="318"/>
      <c r="Z211" s="318"/>
      <c r="AA211" s="66"/>
      <c r="AB211" s="66"/>
      <c r="AC211" s="83"/>
    </row>
    <row r="212" spans="1:68" ht="27" customHeight="1" x14ac:dyDescent="0.25">
      <c r="A212" s="63" t="s">
        <v>324</v>
      </c>
      <c r="B212" s="63" t="s">
        <v>325</v>
      </c>
      <c r="C212" s="36">
        <v>4301135834</v>
      </c>
      <c r="D212" s="299">
        <v>4620207491188</v>
      </c>
      <c r="E212" s="299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123</v>
      </c>
      <c r="L212" s="37" t="s">
        <v>88</v>
      </c>
      <c r="M212" s="38" t="s">
        <v>86</v>
      </c>
      <c r="N212" s="38"/>
      <c r="O212" s="37">
        <v>180</v>
      </c>
      <c r="P212" s="33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301"/>
      <c r="R212" s="301"/>
      <c r="S212" s="301"/>
      <c r="T212" s="302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3" t="s">
        <v>326</v>
      </c>
      <c r="AG212" s="81"/>
      <c r="AJ212" s="87" t="s">
        <v>89</v>
      </c>
      <c r="AK212" s="87">
        <v>1</v>
      </c>
      <c r="BB212" s="244" t="s">
        <v>122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t="27" customHeight="1" x14ac:dyDescent="0.25">
      <c r="A213" s="63" t="s">
        <v>327</v>
      </c>
      <c r="B213" s="63" t="s">
        <v>328</v>
      </c>
      <c r="C213" s="36">
        <v>4301135697</v>
      </c>
      <c r="D213" s="299">
        <v>4620207490259</v>
      </c>
      <c r="E213" s="299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123</v>
      </c>
      <c r="L213" s="37" t="s">
        <v>124</v>
      </c>
      <c r="M213" s="38" t="s">
        <v>86</v>
      </c>
      <c r="N213" s="38"/>
      <c r="O213" s="37">
        <v>180</v>
      </c>
      <c r="P213" s="33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3" s="301"/>
      <c r="R213" s="301"/>
      <c r="S213" s="301"/>
      <c r="T213" s="302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45" t="s">
        <v>329</v>
      </c>
      <c r="AG213" s="81"/>
      <c r="AJ213" s="87" t="s">
        <v>125</v>
      </c>
      <c r="AK213" s="87">
        <v>14</v>
      </c>
      <c r="BB213" s="246" t="s">
        <v>122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x14ac:dyDescent="0.25">
      <c r="A214" s="307"/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  <c r="M214" s="307"/>
      <c r="N214" s="307"/>
      <c r="O214" s="308"/>
      <c r="P214" s="304" t="s">
        <v>40</v>
      </c>
      <c r="Q214" s="305"/>
      <c r="R214" s="305"/>
      <c r="S214" s="305"/>
      <c r="T214" s="305"/>
      <c r="U214" s="305"/>
      <c r="V214" s="306"/>
      <c r="W214" s="42" t="s">
        <v>39</v>
      </c>
      <c r="X214" s="43">
        <f>IFERROR(SUM(X212:X213),"0")</f>
        <v>0</v>
      </c>
      <c r="Y214" s="43">
        <f>IFERROR(SUM(Y212:Y213),"0")</f>
        <v>0</v>
      </c>
      <c r="Z214" s="43">
        <f>IFERROR(IF(Z212="",0,Z212),"0")+IFERROR(IF(Z213="",0,Z213),"0")</f>
        <v>0</v>
      </c>
      <c r="AA214" s="67"/>
      <c r="AB214" s="67"/>
      <c r="AC214" s="67"/>
    </row>
    <row r="215" spans="1:68" x14ac:dyDescent="0.25">
      <c r="A215" s="307"/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  <c r="M215" s="307"/>
      <c r="N215" s="307"/>
      <c r="O215" s="308"/>
      <c r="P215" s="304" t="s">
        <v>40</v>
      </c>
      <c r="Q215" s="305"/>
      <c r="R215" s="305"/>
      <c r="S215" s="305"/>
      <c r="T215" s="305"/>
      <c r="U215" s="305"/>
      <c r="V215" s="306"/>
      <c r="W215" s="42" t="s">
        <v>0</v>
      </c>
      <c r="X215" s="43">
        <f>IFERROR(SUMPRODUCT(X212:X213*H212:H213),"0")</f>
        <v>0</v>
      </c>
      <c r="Y215" s="43">
        <f>IFERROR(SUMPRODUCT(Y212:Y213*H212:H213),"0")</f>
        <v>0</v>
      </c>
      <c r="Z215" s="42"/>
      <c r="AA215" s="67"/>
      <c r="AB215" s="67"/>
      <c r="AC215" s="67"/>
    </row>
    <row r="216" spans="1:68" ht="16.5" customHeight="1" x14ac:dyDescent="0.25">
      <c r="A216" s="327" t="s">
        <v>330</v>
      </c>
      <c r="B216" s="327"/>
      <c r="C216" s="327"/>
      <c r="D216" s="327"/>
      <c r="E216" s="327"/>
      <c r="F216" s="327"/>
      <c r="G216" s="327"/>
      <c r="H216" s="327"/>
      <c r="I216" s="327"/>
      <c r="J216" s="327"/>
      <c r="K216" s="327"/>
      <c r="L216" s="327"/>
      <c r="M216" s="327"/>
      <c r="N216" s="327"/>
      <c r="O216" s="327"/>
      <c r="P216" s="327"/>
      <c r="Q216" s="327"/>
      <c r="R216" s="327"/>
      <c r="S216" s="327"/>
      <c r="T216" s="327"/>
      <c r="U216" s="327"/>
      <c r="V216" s="327"/>
      <c r="W216" s="327"/>
      <c r="X216" s="327"/>
      <c r="Y216" s="327"/>
      <c r="Z216" s="327"/>
      <c r="AA216" s="65"/>
      <c r="AB216" s="65"/>
      <c r="AC216" s="82"/>
    </row>
    <row r="217" spans="1:68" ht="14.25" customHeight="1" x14ac:dyDescent="0.25">
      <c r="A217" s="318" t="s">
        <v>160</v>
      </c>
      <c r="B217" s="318"/>
      <c r="C217" s="318"/>
      <c r="D217" s="318"/>
      <c r="E217" s="318"/>
      <c r="F217" s="318"/>
      <c r="G217" s="318"/>
      <c r="H217" s="318"/>
      <c r="I217" s="318"/>
      <c r="J217" s="318"/>
      <c r="K217" s="318"/>
      <c r="L217" s="318"/>
      <c r="M217" s="318"/>
      <c r="N217" s="318"/>
      <c r="O217" s="318"/>
      <c r="P217" s="318"/>
      <c r="Q217" s="318"/>
      <c r="R217" s="318"/>
      <c r="S217" s="318"/>
      <c r="T217" s="318"/>
      <c r="U217" s="318"/>
      <c r="V217" s="318"/>
      <c r="W217" s="318"/>
      <c r="X217" s="318"/>
      <c r="Y217" s="318"/>
      <c r="Z217" s="318"/>
      <c r="AA217" s="66"/>
      <c r="AB217" s="66"/>
      <c r="AC217" s="83"/>
    </row>
    <row r="218" spans="1:68" ht="27" customHeight="1" x14ac:dyDescent="0.25">
      <c r="A218" s="63" t="s">
        <v>331</v>
      </c>
      <c r="B218" s="63" t="s">
        <v>332</v>
      </c>
      <c r="C218" s="36">
        <v>4301135854</v>
      </c>
      <c r="D218" s="299">
        <v>4620207491706</v>
      </c>
      <c r="E218" s="299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123</v>
      </c>
      <c r="L218" s="37" t="s">
        <v>88</v>
      </c>
      <c r="M218" s="38" t="s">
        <v>86</v>
      </c>
      <c r="N218" s="38"/>
      <c r="O218" s="37">
        <v>180</v>
      </c>
      <c r="P218" s="33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8" s="301"/>
      <c r="R218" s="301"/>
      <c r="S218" s="301"/>
      <c r="T218" s="302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47" t="s">
        <v>333</v>
      </c>
      <c r="AG218" s="81"/>
      <c r="AJ218" s="87" t="s">
        <v>89</v>
      </c>
      <c r="AK218" s="87">
        <v>1</v>
      </c>
      <c r="BB218" s="248" t="s">
        <v>122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customHeight="1" x14ac:dyDescent="0.25">
      <c r="A219" s="63" t="s">
        <v>334</v>
      </c>
      <c r="B219" s="63" t="s">
        <v>335</v>
      </c>
      <c r="C219" s="36">
        <v>4301135895</v>
      </c>
      <c r="D219" s="299">
        <v>4620207491522</v>
      </c>
      <c r="E219" s="299"/>
      <c r="F219" s="62">
        <v>0.28000000000000003</v>
      </c>
      <c r="G219" s="37">
        <v>12</v>
      </c>
      <c r="H219" s="62">
        <v>3.36</v>
      </c>
      <c r="I219" s="62">
        <v>4.0636000000000001</v>
      </c>
      <c r="J219" s="37">
        <v>70</v>
      </c>
      <c r="K219" s="37" t="s">
        <v>123</v>
      </c>
      <c r="L219" s="37" t="s">
        <v>88</v>
      </c>
      <c r="M219" s="38" t="s">
        <v>86</v>
      </c>
      <c r="N219" s="38"/>
      <c r="O219" s="37">
        <v>180</v>
      </c>
      <c r="P219" s="337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9" s="301"/>
      <c r="R219" s="301"/>
      <c r="S219" s="301"/>
      <c r="T219" s="302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9" t="s">
        <v>336</v>
      </c>
      <c r="AG219" s="81"/>
      <c r="AJ219" s="87" t="s">
        <v>89</v>
      </c>
      <c r="AK219" s="87">
        <v>1</v>
      </c>
      <c r="BB219" s="250" t="s">
        <v>122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x14ac:dyDescent="0.25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  <c r="M220" s="307"/>
      <c r="N220" s="307"/>
      <c r="O220" s="308"/>
      <c r="P220" s="304" t="s">
        <v>40</v>
      </c>
      <c r="Q220" s="305"/>
      <c r="R220" s="305"/>
      <c r="S220" s="305"/>
      <c r="T220" s="305"/>
      <c r="U220" s="305"/>
      <c r="V220" s="306"/>
      <c r="W220" s="42" t="s">
        <v>39</v>
      </c>
      <c r="X220" s="43">
        <f>IFERROR(SUM(X218:X219),"0")</f>
        <v>0</v>
      </c>
      <c r="Y220" s="43">
        <f>IFERROR(SUM(Y218:Y219),"0")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5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  <c r="M221" s="307"/>
      <c r="N221" s="307"/>
      <c r="O221" s="308"/>
      <c r="P221" s="304" t="s">
        <v>40</v>
      </c>
      <c r="Q221" s="305"/>
      <c r="R221" s="305"/>
      <c r="S221" s="305"/>
      <c r="T221" s="305"/>
      <c r="U221" s="305"/>
      <c r="V221" s="306"/>
      <c r="W221" s="42" t="s">
        <v>0</v>
      </c>
      <c r="X221" s="43">
        <f>IFERROR(SUMPRODUCT(X218:X219*H218:H219),"0")</f>
        <v>0</v>
      </c>
      <c r="Y221" s="43">
        <f>IFERROR(SUMPRODUCT(Y218:Y219*H218:H219),"0")</f>
        <v>0</v>
      </c>
      <c r="Z221" s="42"/>
      <c r="AA221" s="67"/>
      <c r="AB221" s="67"/>
      <c r="AC221" s="67"/>
    </row>
    <row r="222" spans="1:68" ht="16.5" customHeight="1" x14ac:dyDescent="0.25">
      <c r="A222" s="327" t="s">
        <v>337</v>
      </c>
      <c r="B222" s="327"/>
      <c r="C222" s="327"/>
      <c r="D222" s="327"/>
      <c r="E222" s="327"/>
      <c r="F222" s="327"/>
      <c r="G222" s="327"/>
      <c r="H222" s="327"/>
      <c r="I222" s="327"/>
      <c r="J222" s="327"/>
      <c r="K222" s="327"/>
      <c r="L222" s="327"/>
      <c r="M222" s="327"/>
      <c r="N222" s="327"/>
      <c r="O222" s="327"/>
      <c r="P222" s="327"/>
      <c r="Q222" s="327"/>
      <c r="R222" s="327"/>
      <c r="S222" s="327"/>
      <c r="T222" s="327"/>
      <c r="U222" s="327"/>
      <c r="V222" s="327"/>
      <c r="W222" s="327"/>
      <c r="X222" s="327"/>
      <c r="Y222" s="327"/>
      <c r="Z222" s="327"/>
      <c r="AA222" s="65"/>
      <c r="AB222" s="65"/>
      <c r="AC222" s="82"/>
    </row>
    <row r="223" spans="1:68" ht="14.25" customHeight="1" x14ac:dyDescent="0.25">
      <c r="A223" s="318" t="s">
        <v>82</v>
      </c>
      <c r="B223" s="318"/>
      <c r="C223" s="318"/>
      <c r="D223" s="318"/>
      <c r="E223" s="318"/>
      <c r="F223" s="318"/>
      <c r="G223" s="318"/>
      <c r="H223" s="318"/>
      <c r="I223" s="318"/>
      <c r="J223" s="318"/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  <c r="U223" s="318"/>
      <c r="V223" s="318"/>
      <c r="W223" s="318"/>
      <c r="X223" s="318"/>
      <c r="Y223" s="318"/>
      <c r="Z223" s="318"/>
      <c r="AA223" s="66"/>
      <c r="AB223" s="66"/>
      <c r="AC223" s="83"/>
    </row>
    <row r="224" spans="1:68" ht="27" customHeight="1" x14ac:dyDescent="0.25">
      <c r="A224" s="63" t="s">
        <v>338</v>
      </c>
      <c r="B224" s="63" t="s">
        <v>339</v>
      </c>
      <c r="C224" s="36">
        <v>4301071097</v>
      </c>
      <c r="D224" s="299">
        <v>4620207491096</v>
      </c>
      <c r="E224" s="299"/>
      <c r="F224" s="62">
        <v>1</v>
      </c>
      <c r="G224" s="37">
        <v>5</v>
      </c>
      <c r="H224" s="62">
        <v>5</v>
      </c>
      <c r="I224" s="62">
        <v>5.23</v>
      </c>
      <c r="J224" s="37">
        <v>84</v>
      </c>
      <c r="K224" s="37" t="s">
        <v>87</v>
      </c>
      <c r="L224" s="37" t="s">
        <v>124</v>
      </c>
      <c r="M224" s="38" t="s">
        <v>86</v>
      </c>
      <c r="N224" s="38"/>
      <c r="O224" s="37">
        <v>180</v>
      </c>
      <c r="P224" s="33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4" s="301"/>
      <c r="R224" s="301"/>
      <c r="S224" s="301"/>
      <c r="T224" s="302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IFERROR(IF(X224="","",X224*0.0155),"")</f>
        <v>0</v>
      </c>
      <c r="AA224" s="68" t="s">
        <v>46</v>
      </c>
      <c r="AB224" s="69" t="s">
        <v>46</v>
      </c>
      <c r="AC224" s="251" t="s">
        <v>340</v>
      </c>
      <c r="AG224" s="81"/>
      <c r="AJ224" s="87" t="s">
        <v>125</v>
      </c>
      <c r="AK224" s="87">
        <v>12</v>
      </c>
      <c r="BB224" s="252" t="s">
        <v>70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x14ac:dyDescent="0.25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08"/>
      <c r="P225" s="304" t="s">
        <v>40</v>
      </c>
      <c r="Q225" s="305"/>
      <c r="R225" s="305"/>
      <c r="S225" s="305"/>
      <c r="T225" s="305"/>
      <c r="U225" s="305"/>
      <c r="V225" s="306"/>
      <c r="W225" s="42" t="s">
        <v>39</v>
      </c>
      <c r="X225" s="43">
        <f>IFERROR(SUM(X224:X224),"0")</f>
        <v>0</v>
      </c>
      <c r="Y225" s="43">
        <f>IFERROR(SUM(Y224:Y224),"0")</f>
        <v>0</v>
      </c>
      <c r="Z225" s="43">
        <f>IFERROR(IF(Z224="",0,Z224),"0")</f>
        <v>0</v>
      </c>
      <c r="AA225" s="67"/>
      <c r="AB225" s="67"/>
      <c r="AC225" s="67"/>
    </row>
    <row r="226" spans="1:68" x14ac:dyDescent="0.25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  <c r="M226" s="307"/>
      <c r="N226" s="307"/>
      <c r="O226" s="308"/>
      <c r="P226" s="304" t="s">
        <v>40</v>
      </c>
      <c r="Q226" s="305"/>
      <c r="R226" s="305"/>
      <c r="S226" s="305"/>
      <c r="T226" s="305"/>
      <c r="U226" s="305"/>
      <c r="V226" s="306"/>
      <c r="W226" s="42" t="s">
        <v>0</v>
      </c>
      <c r="X226" s="43">
        <f>IFERROR(SUMPRODUCT(X224:X224*H224:H224),"0")</f>
        <v>0</v>
      </c>
      <c r="Y226" s="43">
        <f>IFERROR(SUMPRODUCT(Y224:Y224*H224:H224),"0")</f>
        <v>0</v>
      </c>
      <c r="Z226" s="42"/>
      <c r="AA226" s="67"/>
      <c r="AB226" s="67"/>
      <c r="AC226" s="67"/>
    </row>
    <row r="227" spans="1:68" ht="27.75" customHeight="1" x14ac:dyDescent="0.25">
      <c r="A227" s="326" t="s">
        <v>341</v>
      </c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  <c r="AA227" s="54"/>
      <c r="AB227" s="54"/>
      <c r="AC227" s="54"/>
    </row>
    <row r="228" spans="1:68" ht="16.5" customHeight="1" x14ac:dyDescent="0.25">
      <c r="A228" s="327" t="s">
        <v>342</v>
      </c>
      <c r="B228" s="327"/>
      <c r="C228" s="327"/>
      <c r="D228" s="327"/>
      <c r="E228" s="327"/>
      <c r="F228" s="327"/>
      <c r="G228" s="327"/>
      <c r="H228" s="327"/>
      <c r="I228" s="327"/>
      <c r="J228" s="327"/>
      <c r="K228" s="327"/>
      <c r="L228" s="327"/>
      <c r="M228" s="327"/>
      <c r="N228" s="327"/>
      <c r="O228" s="327"/>
      <c r="P228" s="327"/>
      <c r="Q228" s="327"/>
      <c r="R228" s="327"/>
      <c r="S228" s="327"/>
      <c r="T228" s="327"/>
      <c r="U228" s="327"/>
      <c r="V228" s="327"/>
      <c r="W228" s="327"/>
      <c r="X228" s="327"/>
      <c r="Y228" s="327"/>
      <c r="Z228" s="327"/>
      <c r="AA228" s="65"/>
      <c r="AB228" s="65"/>
      <c r="AC228" s="82"/>
    </row>
    <row r="229" spans="1:68" ht="14.25" customHeight="1" x14ac:dyDescent="0.25">
      <c r="A229" s="318" t="s">
        <v>82</v>
      </c>
      <c r="B229" s="318"/>
      <c r="C229" s="318"/>
      <c r="D229" s="318"/>
      <c r="E229" s="318"/>
      <c r="F229" s="318"/>
      <c r="G229" s="318"/>
      <c r="H229" s="318"/>
      <c r="I229" s="318"/>
      <c r="J229" s="318"/>
      <c r="K229" s="318"/>
      <c r="L229" s="318"/>
      <c r="M229" s="318"/>
      <c r="N229" s="318"/>
      <c r="O229" s="318"/>
      <c r="P229" s="318"/>
      <c r="Q229" s="318"/>
      <c r="R229" s="318"/>
      <c r="S229" s="318"/>
      <c r="T229" s="318"/>
      <c r="U229" s="318"/>
      <c r="V229" s="318"/>
      <c r="W229" s="318"/>
      <c r="X229" s="318"/>
      <c r="Y229" s="318"/>
      <c r="Z229" s="318"/>
      <c r="AA229" s="66"/>
      <c r="AB229" s="66"/>
      <c r="AC229" s="83"/>
    </row>
    <row r="230" spans="1:68" ht="27" customHeight="1" x14ac:dyDescent="0.25">
      <c r="A230" s="63" t="s">
        <v>343</v>
      </c>
      <c r="B230" s="63" t="s">
        <v>344</v>
      </c>
      <c r="C230" s="36">
        <v>4301071036</v>
      </c>
      <c r="D230" s="299">
        <v>4607111036162</v>
      </c>
      <c r="E230" s="299"/>
      <c r="F230" s="62">
        <v>0.8</v>
      </c>
      <c r="G230" s="37">
        <v>8</v>
      </c>
      <c r="H230" s="62">
        <v>6.4</v>
      </c>
      <c r="I230" s="62">
        <v>6.6811999999999996</v>
      </c>
      <c r="J230" s="37">
        <v>84</v>
      </c>
      <c r="K230" s="37" t="s">
        <v>87</v>
      </c>
      <c r="L230" s="37" t="s">
        <v>88</v>
      </c>
      <c r="M230" s="38" t="s">
        <v>86</v>
      </c>
      <c r="N230" s="38"/>
      <c r="O230" s="37">
        <v>90</v>
      </c>
      <c r="P230" s="33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301"/>
      <c r="R230" s="301"/>
      <c r="S230" s="301"/>
      <c r="T230" s="302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IFERROR(IF(X230="","",X230*0.0155),"")</f>
        <v>0</v>
      </c>
      <c r="AA230" s="68" t="s">
        <v>46</v>
      </c>
      <c r="AB230" s="69" t="s">
        <v>46</v>
      </c>
      <c r="AC230" s="253" t="s">
        <v>345</v>
      </c>
      <c r="AG230" s="81"/>
      <c r="AJ230" s="87" t="s">
        <v>89</v>
      </c>
      <c r="AK230" s="87">
        <v>1</v>
      </c>
      <c r="BB230" s="254" t="s">
        <v>70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x14ac:dyDescent="0.25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08"/>
      <c r="P231" s="304" t="s">
        <v>40</v>
      </c>
      <c r="Q231" s="305"/>
      <c r="R231" s="305"/>
      <c r="S231" s="305"/>
      <c r="T231" s="305"/>
      <c r="U231" s="305"/>
      <c r="V231" s="306"/>
      <c r="W231" s="42" t="s">
        <v>39</v>
      </c>
      <c r="X231" s="43">
        <f>IFERROR(SUM(X230:X230),"0")</f>
        <v>0</v>
      </c>
      <c r="Y231" s="43">
        <f>IFERROR(SUM(Y230:Y230),"0")</f>
        <v>0</v>
      </c>
      <c r="Z231" s="43">
        <f>IFERROR(IF(Z230="",0,Z230),"0")</f>
        <v>0</v>
      </c>
      <c r="AA231" s="67"/>
      <c r="AB231" s="67"/>
      <c r="AC231" s="67"/>
    </row>
    <row r="232" spans="1:68" x14ac:dyDescent="0.25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  <c r="M232" s="307"/>
      <c r="N232" s="307"/>
      <c r="O232" s="308"/>
      <c r="P232" s="304" t="s">
        <v>40</v>
      </c>
      <c r="Q232" s="305"/>
      <c r="R232" s="305"/>
      <c r="S232" s="305"/>
      <c r="T232" s="305"/>
      <c r="U232" s="305"/>
      <c r="V232" s="306"/>
      <c r="W232" s="42" t="s">
        <v>0</v>
      </c>
      <c r="X232" s="43">
        <f>IFERROR(SUMPRODUCT(X230:X230*H230:H230),"0")</f>
        <v>0</v>
      </c>
      <c r="Y232" s="43">
        <f>IFERROR(SUMPRODUCT(Y230:Y230*H230:H230),"0")</f>
        <v>0</v>
      </c>
      <c r="Z232" s="42"/>
      <c r="AA232" s="67"/>
      <c r="AB232" s="67"/>
      <c r="AC232" s="67"/>
    </row>
    <row r="233" spans="1:68" ht="27.75" customHeight="1" x14ac:dyDescent="0.25">
      <c r="A233" s="326" t="s">
        <v>346</v>
      </c>
      <c r="B233" s="326"/>
      <c r="C233" s="326"/>
      <c r="D233" s="326"/>
      <c r="E233" s="326"/>
      <c r="F233" s="326"/>
      <c r="G233" s="326"/>
      <c r="H233" s="326"/>
      <c r="I233" s="326"/>
      <c r="J233" s="326"/>
      <c r="K233" s="326"/>
      <c r="L233" s="326"/>
      <c r="M233" s="326"/>
      <c r="N233" s="326"/>
      <c r="O233" s="326"/>
      <c r="P233" s="326"/>
      <c r="Q233" s="326"/>
      <c r="R233" s="326"/>
      <c r="S233" s="326"/>
      <c r="T233" s="326"/>
      <c r="U233" s="326"/>
      <c r="V233" s="326"/>
      <c r="W233" s="326"/>
      <c r="X233" s="326"/>
      <c r="Y233" s="326"/>
      <c r="Z233" s="326"/>
      <c r="AA233" s="54"/>
      <c r="AB233" s="54"/>
      <c r="AC233" s="54"/>
    </row>
    <row r="234" spans="1:68" ht="16.5" customHeight="1" x14ac:dyDescent="0.25">
      <c r="A234" s="327" t="s">
        <v>347</v>
      </c>
      <c r="B234" s="327"/>
      <c r="C234" s="327"/>
      <c r="D234" s="327"/>
      <c r="E234" s="327"/>
      <c r="F234" s="327"/>
      <c r="G234" s="327"/>
      <c r="H234" s="327"/>
      <c r="I234" s="327"/>
      <c r="J234" s="327"/>
      <c r="K234" s="327"/>
      <c r="L234" s="327"/>
      <c r="M234" s="327"/>
      <c r="N234" s="327"/>
      <c r="O234" s="327"/>
      <c r="P234" s="327"/>
      <c r="Q234" s="327"/>
      <c r="R234" s="327"/>
      <c r="S234" s="327"/>
      <c r="T234" s="327"/>
      <c r="U234" s="327"/>
      <c r="V234" s="327"/>
      <c r="W234" s="327"/>
      <c r="X234" s="327"/>
      <c r="Y234" s="327"/>
      <c r="Z234" s="327"/>
      <c r="AA234" s="65"/>
      <c r="AB234" s="65"/>
      <c r="AC234" s="82"/>
    </row>
    <row r="235" spans="1:68" ht="14.25" customHeight="1" x14ac:dyDescent="0.25">
      <c r="A235" s="318" t="s">
        <v>348</v>
      </c>
      <c r="B235" s="318"/>
      <c r="C235" s="318"/>
      <c r="D235" s="318"/>
      <c r="E235" s="318"/>
      <c r="F235" s="318"/>
      <c r="G235" s="318"/>
      <c r="H235" s="318"/>
      <c r="I235" s="318"/>
      <c r="J235" s="318"/>
      <c r="K235" s="318"/>
      <c r="L235" s="318"/>
      <c r="M235" s="318"/>
      <c r="N235" s="318"/>
      <c r="O235" s="318"/>
      <c r="P235" s="318"/>
      <c r="Q235" s="318"/>
      <c r="R235" s="318"/>
      <c r="S235" s="318"/>
      <c r="T235" s="318"/>
      <c r="U235" s="318"/>
      <c r="V235" s="318"/>
      <c r="W235" s="318"/>
      <c r="X235" s="318"/>
      <c r="Y235" s="318"/>
      <c r="Z235" s="318"/>
      <c r="AA235" s="66"/>
      <c r="AB235" s="66"/>
      <c r="AC235" s="83"/>
    </row>
    <row r="236" spans="1:68" ht="27" customHeight="1" x14ac:dyDescent="0.25">
      <c r="A236" s="63" t="s">
        <v>349</v>
      </c>
      <c r="B236" s="63" t="s">
        <v>350</v>
      </c>
      <c r="C236" s="36">
        <v>4301133004</v>
      </c>
      <c r="D236" s="299">
        <v>4607111039774</v>
      </c>
      <c r="E236" s="299"/>
      <c r="F236" s="62">
        <v>0.25</v>
      </c>
      <c r="G236" s="37">
        <v>12</v>
      </c>
      <c r="H236" s="62">
        <v>3</v>
      </c>
      <c r="I236" s="62">
        <v>3.22</v>
      </c>
      <c r="J236" s="37">
        <v>70</v>
      </c>
      <c r="K236" s="37" t="s">
        <v>123</v>
      </c>
      <c r="L236" s="37" t="s">
        <v>88</v>
      </c>
      <c r="M236" s="38" t="s">
        <v>86</v>
      </c>
      <c r="N236" s="38"/>
      <c r="O236" s="37">
        <v>180</v>
      </c>
      <c r="P236" s="33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301"/>
      <c r="R236" s="301"/>
      <c r="S236" s="301"/>
      <c r="T236" s="302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55" t="s">
        <v>351</v>
      </c>
      <c r="AG236" s="81"/>
      <c r="AJ236" s="87" t="s">
        <v>89</v>
      </c>
      <c r="AK236" s="87">
        <v>1</v>
      </c>
      <c r="BB236" s="256" t="s">
        <v>122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x14ac:dyDescent="0.25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  <c r="M237" s="307"/>
      <c r="N237" s="307"/>
      <c r="O237" s="308"/>
      <c r="P237" s="304" t="s">
        <v>40</v>
      </c>
      <c r="Q237" s="305"/>
      <c r="R237" s="305"/>
      <c r="S237" s="305"/>
      <c r="T237" s="305"/>
      <c r="U237" s="305"/>
      <c r="V237" s="306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5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  <c r="M238" s="307"/>
      <c r="N238" s="307"/>
      <c r="O238" s="308"/>
      <c r="P238" s="304" t="s">
        <v>40</v>
      </c>
      <c r="Q238" s="305"/>
      <c r="R238" s="305"/>
      <c r="S238" s="305"/>
      <c r="T238" s="305"/>
      <c r="U238" s="305"/>
      <c r="V238" s="306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14.25" customHeight="1" x14ac:dyDescent="0.25">
      <c r="A239" s="318" t="s">
        <v>160</v>
      </c>
      <c r="B239" s="318"/>
      <c r="C239" s="318"/>
      <c r="D239" s="318"/>
      <c r="E239" s="318"/>
      <c r="F239" s="318"/>
      <c r="G239" s="318"/>
      <c r="H239" s="318"/>
      <c r="I239" s="318"/>
      <c r="J239" s="318"/>
      <c r="K239" s="318"/>
      <c r="L239" s="318"/>
      <c r="M239" s="318"/>
      <c r="N239" s="318"/>
      <c r="O239" s="318"/>
      <c r="P239" s="318"/>
      <c r="Q239" s="318"/>
      <c r="R239" s="318"/>
      <c r="S239" s="318"/>
      <c r="T239" s="318"/>
      <c r="U239" s="318"/>
      <c r="V239" s="318"/>
      <c r="W239" s="318"/>
      <c r="X239" s="318"/>
      <c r="Y239" s="318"/>
      <c r="Z239" s="318"/>
      <c r="AA239" s="66"/>
      <c r="AB239" s="66"/>
      <c r="AC239" s="83"/>
    </row>
    <row r="240" spans="1:68" ht="37.5" customHeight="1" x14ac:dyDescent="0.25">
      <c r="A240" s="63" t="s">
        <v>352</v>
      </c>
      <c r="B240" s="63" t="s">
        <v>353</v>
      </c>
      <c r="C240" s="36">
        <v>4301135400</v>
      </c>
      <c r="D240" s="299">
        <v>4607111039361</v>
      </c>
      <c r="E240" s="299"/>
      <c r="F240" s="62">
        <v>0.25</v>
      </c>
      <c r="G240" s="37">
        <v>12</v>
      </c>
      <c r="H240" s="62">
        <v>3</v>
      </c>
      <c r="I240" s="62">
        <v>3.7035999999999998</v>
      </c>
      <c r="J240" s="37">
        <v>70</v>
      </c>
      <c r="K240" s="37" t="s">
        <v>123</v>
      </c>
      <c r="L240" s="37" t="s">
        <v>88</v>
      </c>
      <c r="M240" s="38" t="s">
        <v>86</v>
      </c>
      <c r="N240" s="38"/>
      <c r="O240" s="37">
        <v>180</v>
      </c>
      <c r="P240" s="33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301"/>
      <c r="R240" s="301"/>
      <c r="S240" s="301"/>
      <c r="T240" s="302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IFERROR(IF(X240="","",X240*0.01788),"")</f>
        <v>0</v>
      </c>
      <c r="AA240" s="68" t="s">
        <v>46</v>
      </c>
      <c r="AB240" s="69" t="s">
        <v>46</v>
      </c>
      <c r="AC240" s="257" t="s">
        <v>351</v>
      </c>
      <c r="AG240" s="81"/>
      <c r="AJ240" s="87" t="s">
        <v>89</v>
      </c>
      <c r="AK240" s="87">
        <v>1</v>
      </c>
      <c r="BB240" s="258" t="s">
        <v>122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x14ac:dyDescent="0.25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  <c r="M241" s="307"/>
      <c r="N241" s="307"/>
      <c r="O241" s="308"/>
      <c r="P241" s="304" t="s">
        <v>40</v>
      </c>
      <c r="Q241" s="305"/>
      <c r="R241" s="305"/>
      <c r="S241" s="305"/>
      <c r="T241" s="305"/>
      <c r="U241" s="305"/>
      <c r="V241" s="306"/>
      <c r="W241" s="42" t="s">
        <v>39</v>
      </c>
      <c r="X241" s="43">
        <f>IFERROR(SUM(X240:X240),"0")</f>
        <v>0</v>
      </c>
      <c r="Y241" s="43">
        <f>IFERROR(SUM(Y240:Y240),"0")</f>
        <v>0</v>
      </c>
      <c r="Z241" s="43">
        <f>IFERROR(IF(Z240="",0,Z240),"0")</f>
        <v>0</v>
      </c>
      <c r="AA241" s="67"/>
      <c r="AB241" s="67"/>
      <c r="AC241" s="67"/>
    </row>
    <row r="242" spans="1:68" x14ac:dyDescent="0.25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  <c r="M242" s="307"/>
      <c r="N242" s="307"/>
      <c r="O242" s="308"/>
      <c r="P242" s="304" t="s">
        <v>40</v>
      </c>
      <c r="Q242" s="305"/>
      <c r="R242" s="305"/>
      <c r="S242" s="305"/>
      <c r="T242" s="305"/>
      <c r="U242" s="305"/>
      <c r="V242" s="306"/>
      <c r="W242" s="42" t="s">
        <v>0</v>
      </c>
      <c r="X242" s="43">
        <f>IFERROR(SUMPRODUCT(X240:X240*H240:H240),"0")</f>
        <v>0</v>
      </c>
      <c r="Y242" s="43">
        <f>IFERROR(SUMPRODUCT(Y240:Y240*H240:H240),"0")</f>
        <v>0</v>
      </c>
      <c r="Z242" s="42"/>
      <c r="AA242" s="67"/>
      <c r="AB242" s="67"/>
      <c r="AC242" s="67"/>
    </row>
    <row r="243" spans="1:68" ht="27.75" customHeight="1" x14ac:dyDescent="0.25">
      <c r="A243" s="326" t="s">
        <v>354</v>
      </c>
      <c r="B243" s="326"/>
      <c r="C243" s="326"/>
      <c r="D243" s="326"/>
      <c r="E243" s="326"/>
      <c r="F243" s="326"/>
      <c r="G243" s="326"/>
      <c r="H243" s="326"/>
      <c r="I243" s="326"/>
      <c r="J243" s="326"/>
      <c r="K243" s="326"/>
      <c r="L243" s="326"/>
      <c r="M243" s="326"/>
      <c r="N243" s="326"/>
      <c r="O243" s="326"/>
      <c r="P243" s="326"/>
      <c r="Q243" s="326"/>
      <c r="R243" s="326"/>
      <c r="S243" s="326"/>
      <c r="T243" s="326"/>
      <c r="U243" s="326"/>
      <c r="V243" s="326"/>
      <c r="W243" s="326"/>
      <c r="X243" s="326"/>
      <c r="Y243" s="326"/>
      <c r="Z243" s="326"/>
      <c r="AA243" s="54"/>
      <c r="AB243" s="54"/>
      <c r="AC243" s="54"/>
    </row>
    <row r="244" spans="1:68" ht="16.5" customHeight="1" x14ac:dyDescent="0.25">
      <c r="A244" s="327" t="s">
        <v>354</v>
      </c>
      <c r="B244" s="327"/>
      <c r="C244" s="327"/>
      <c r="D244" s="327"/>
      <c r="E244" s="327"/>
      <c r="F244" s="327"/>
      <c r="G244" s="327"/>
      <c r="H244" s="327"/>
      <c r="I244" s="327"/>
      <c r="J244" s="327"/>
      <c r="K244" s="327"/>
      <c r="L244" s="327"/>
      <c r="M244" s="327"/>
      <c r="N244" s="327"/>
      <c r="O244" s="327"/>
      <c r="P244" s="327"/>
      <c r="Q244" s="327"/>
      <c r="R244" s="327"/>
      <c r="S244" s="327"/>
      <c r="T244" s="327"/>
      <c r="U244" s="327"/>
      <c r="V244" s="327"/>
      <c r="W244" s="327"/>
      <c r="X244" s="327"/>
      <c r="Y244" s="327"/>
      <c r="Z244" s="327"/>
      <c r="AA244" s="65"/>
      <c r="AB244" s="65"/>
      <c r="AC244" s="82"/>
    </row>
    <row r="245" spans="1:68" ht="14.25" customHeight="1" x14ac:dyDescent="0.25">
      <c r="A245" s="318" t="s">
        <v>118</v>
      </c>
      <c r="B245" s="318"/>
      <c r="C245" s="318"/>
      <c r="D245" s="318"/>
      <c r="E245" s="318"/>
      <c r="F245" s="318"/>
      <c r="G245" s="318"/>
      <c r="H245" s="318"/>
      <c r="I245" s="318"/>
      <c r="J245" s="318"/>
      <c r="K245" s="318"/>
      <c r="L245" s="318"/>
      <c r="M245" s="318"/>
      <c r="N245" s="318"/>
      <c r="O245" s="318"/>
      <c r="P245" s="318"/>
      <c r="Q245" s="318"/>
      <c r="R245" s="318"/>
      <c r="S245" s="318"/>
      <c r="T245" s="318"/>
      <c r="U245" s="318"/>
      <c r="V245" s="318"/>
      <c r="W245" s="318"/>
      <c r="X245" s="318"/>
      <c r="Y245" s="318"/>
      <c r="Z245" s="318"/>
      <c r="AA245" s="66"/>
      <c r="AB245" s="66"/>
      <c r="AC245" s="83"/>
    </row>
    <row r="246" spans="1:68" ht="27" customHeight="1" x14ac:dyDescent="0.25">
      <c r="A246" s="63" t="s">
        <v>355</v>
      </c>
      <c r="B246" s="63" t="s">
        <v>356</v>
      </c>
      <c r="C246" s="36">
        <v>4301132228</v>
      </c>
      <c r="D246" s="299">
        <v>4640242181950</v>
      </c>
      <c r="E246" s="299"/>
      <c r="F246" s="62">
        <v>0.23</v>
      </c>
      <c r="G246" s="37">
        <v>12</v>
      </c>
      <c r="H246" s="62">
        <v>2.76</v>
      </c>
      <c r="I246" s="62">
        <v>3.22</v>
      </c>
      <c r="J246" s="37">
        <v>70</v>
      </c>
      <c r="K246" s="37" t="s">
        <v>123</v>
      </c>
      <c r="L246" s="37" t="s">
        <v>88</v>
      </c>
      <c r="M246" s="38" t="s">
        <v>86</v>
      </c>
      <c r="N246" s="38"/>
      <c r="O246" s="37">
        <v>365</v>
      </c>
      <c r="P246" s="330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6" s="301"/>
      <c r="R246" s="301"/>
      <c r="S246" s="301"/>
      <c r="T246" s="302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IFERROR(IF(X246="","",X246*0.01788),"")</f>
        <v>0</v>
      </c>
      <c r="AA246" s="68" t="s">
        <v>46</v>
      </c>
      <c r="AB246" s="69" t="s">
        <v>46</v>
      </c>
      <c r="AC246" s="259" t="s">
        <v>357</v>
      </c>
      <c r="AG246" s="81"/>
      <c r="AJ246" s="87" t="s">
        <v>89</v>
      </c>
      <c r="AK246" s="87">
        <v>1</v>
      </c>
      <c r="BB246" s="260" t="s">
        <v>122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x14ac:dyDescent="0.25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  <c r="M247" s="307"/>
      <c r="N247" s="307"/>
      <c r="O247" s="308"/>
      <c r="P247" s="304" t="s">
        <v>40</v>
      </c>
      <c r="Q247" s="305"/>
      <c r="R247" s="305"/>
      <c r="S247" s="305"/>
      <c r="T247" s="305"/>
      <c r="U247" s="305"/>
      <c r="V247" s="306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5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  <c r="M248" s="307"/>
      <c r="N248" s="307"/>
      <c r="O248" s="308"/>
      <c r="P248" s="304" t="s">
        <v>40</v>
      </c>
      <c r="Q248" s="305"/>
      <c r="R248" s="305"/>
      <c r="S248" s="305"/>
      <c r="T248" s="305"/>
      <c r="U248" s="305"/>
      <c r="V248" s="306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14.25" customHeight="1" x14ac:dyDescent="0.25">
      <c r="A249" s="318" t="s">
        <v>193</v>
      </c>
      <c r="B249" s="318"/>
      <c r="C249" s="318"/>
      <c r="D249" s="318"/>
      <c r="E249" s="318"/>
      <c r="F249" s="318"/>
      <c r="G249" s="318"/>
      <c r="H249" s="318"/>
      <c r="I249" s="318"/>
      <c r="J249" s="318"/>
      <c r="K249" s="318"/>
      <c r="L249" s="318"/>
      <c r="M249" s="318"/>
      <c r="N249" s="318"/>
      <c r="O249" s="318"/>
      <c r="P249" s="318"/>
      <c r="Q249" s="318"/>
      <c r="R249" s="318"/>
      <c r="S249" s="318"/>
      <c r="T249" s="318"/>
      <c r="U249" s="318"/>
      <c r="V249" s="318"/>
      <c r="W249" s="318"/>
      <c r="X249" s="318"/>
      <c r="Y249" s="318"/>
      <c r="Z249" s="318"/>
      <c r="AA249" s="66"/>
      <c r="AB249" s="66"/>
      <c r="AC249" s="83"/>
    </row>
    <row r="250" spans="1:68" ht="27" customHeight="1" x14ac:dyDescent="0.25">
      <c r="A250" s="63" t="s">
        <v>358</v>
      </c>
      <c r="B250" s="63" t="s">
        <v>359</v>
      </c>
      <c r="C250" s="36">
        <v>4301136098</v>
      </c>
      <c r="D250" s="299">
        <v>4640242181943</v>
      </c>
      <c r="E250" s="299"/>
      <c r="F250" s="62">
        <v>0.09</v>
      </c>
      <c r="G250" s="37">
        <v>24</v>
      </c>
      <c r="H250" s="62">
        <v>2.16</v>
      </c>
      <c r="I250" s="62">
        <v>2.34</v>
      </c>
      <c r="J250" s="37">
        <v>126</v>
      </c>
      <c r="K250" s="37" t="s">
        <v>123</v>
      </c>
      <c r="L250" s="37" t="s">
        <v>88</v>
      </c>
      <c r="M250" s="38" t="s">
        <v>86</v>
      </c>
      <c r="N250" s="38"/>
      <c r="O250" s="37">
        <v>180</v>
      </c>
      <c r="P250" s="331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301"/>
      <c r="R250" s="301"/>
      <c r="S250" s="301"/>
      <c r="T250" s="302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IFERROR(IF(X250="","",X250*0.00936),"")</f>
        <v>0</v>
      </c>
      <c r="AA250" s="68" t="s">
        <v>46</v>
      </c>
      <c r="AB250" s="69" t="s">
        <v>46</v>
      </c>
      <c r="AC250" s="261" t="s">
        <v>360</v>
      </c>
      <c r="AG250" s="81"/>
      <c r="AJ250" s="87" t="s">
        <v>89</v>
      </c>
      <c r="AK250" s="87">
        <v>1</v>
      </c>
      <c r="BB250" s="262" t="s">
        <v>122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x14ac:dyDescent="0.25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  <c r="M251" s="307"/>
      <c r="N251" s="307"/>
      <c r="O251" s="308"/>
      <c r="P251" s="304" t="s">
        <v>40</v>
      </c>
      <c r="Q251" s="305"/>
      <c r="R251" s="305"/>
      <c r="S251" s="305"/>
      <c r="T251" s="305"/>
      <c r="U251" s="305"/>
      <c r="V251" s="306"/>
      <c r="W251" s="42" t="s">
        <v>39</v>
      </c>
      <c r="X251" s="43">
        <f>IFERROR(SUM(X250:X250),"0")</f>
        <v>0</v>
      </c>
      <c r="Y251" s="43">
        <f>IFERROR(SUM(Y250:Y250),"0")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5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  <c r="M252" s="307"/>
      <c r="N252" s="307"/>
      <c r="O252" s="308"/>
      <c r="P252" s="304" t="s">
        <v>40</v>
      </c>
      <c r="Q252" s="305"/>
      <c r="R252" s="305"/>
      <c r="S252" s="305"/>
      <c r="T252" s="305"/>
      <c r="U252" s="305"/>
      <c r="V252" s="306"/>
      <c r="W252" s="42" t="s">
        <v>0</v>
      </c>
      <c r="X252" s="43">
        <f>IFERROR(SUMPRODUCT(X250:X250*H250:H250),"0")</f>
        <v>0</v>
      </c>
      <c r="Y252" s="43">
        <f>IFERROR(SUMPRODUCT(Y250:Y250*H250:H250),"0")</f>
        <v>0</v>
      </c>
      <c r="Z252" s="42"/>
      <c r="AA252" s="67"/>
      <c r="AB252" s="67"/>
      <c r="AC252" s="67"/>
    </row>
    <row r="253" spans="1:68" ht="27.75" customHeight="1" x14ac:dyDescent="0.25">
      <c r="A253" s="326" t="s">
        <v>285</v>
      </c>
      <c r="B253" s="326"/>
      <c r="C253" s="326"/>
      <c r="D253" s="326"/>
      <c r="E253" s="326"/>
      <c r="F253" s="326"/>
      <c r="G253" s="326"/>
      <c r="H253" s="326"/>
      <c r="I253" s="326"/>
      <c r="J253" s="326"/>
      <c r="K253" s="326"/>
      <c r="L253" s="326"/>
      <c r="M253" s="326"/>
      <c r="N253" s="326"/>
      <c r="O253" s="326"/>
      <c r="P253" s="326"/>
      <c r="Q253" s="326"/>
      <c r="R253" s="326"/>
      <c r="S253" s="326"/>
      <c r="T253" s="326"/>
      <c r="U253" s="326"/>
      <c r="V253" s="326"/>
      <c r="W253" s="326"/>
      <c r="X253" s="326"/>
      <c r="Y253" s="326"/>
      <c r="Z253" s="326"/>
      <c r="AA253" s="54"/>
      <c r="AB253" s="54"/>
      <c r="AC253" s="54"/>
    </row>
    <row r="254" spans="1:68" ht="16.5" customHeight="1" x14ac:dyDescent="0.25">
      <c r="A254" s="327" t="s">
        <v>285</v>
      </c>
      <c r="B254" s="327"/>
      <c r="C254" s="327"/>
      <c r="D254" s="327"/>
      <c r="E254" s="327"/>
      <c r="F254" s="327"/>
      <c r="G254" s="327"/>
      <c r="H254" s="327"/>
      <c r="I254" s="327"/>
      <c r="J254" s="327"/>
      <c r="K254" s="327"/>
      <c r="L254" s="327"/>
      <c r="M254" s="327"/>
      <c r="N254" s="327"/>
      <c r="O254" s="327"/>
      <c r="P254" s="327"/>
      <c r="Q254" s="327"/>
      <c r="R254" s="327"/>
      <c r="S254" s="327"/>
      <c r="T254" s="327"/>
      <c r="U254" s="327"/>
      <c r="V254" s="327"/>
      <c r="W254" s="327"/>
      <c r="X254" s="327"/>
      <c r="Y254" s="327"/>
      <c r="Z254" s="327"/>
      <c r="AA254" s="65"/>
      <c r="AB254" s="65"/>
      <c r="AC254" s="82"/>
    </row>
    <row r="255" spans="1:68" ht="14.25" customHeight="1" x14ac:dyDescent="0.25">
      <c r="A255" s="318" t="s">
        <v>82</v>
      </c>
      <c r="B255" s="318"/>
      <c r="C255" s="318"/>
      <c r="D255" s="318"/>
      <c r="E255" s="318"/>
      <c r="F255" s="318"/>
      <c r="G255" s="318"/>
      <c r="H255" s="318"/>
      <c r="I255" s="318"/>
      <c r="J255" s="318"/>
      <c r="K255" s="318"/>
      <c r="L255" s="318"/>
      <c r="M255" s="318"/>
      <c r="N255" s="318"/>
      <c r="O255" s="318"/>
      <c r="P255" s="318"/>
      <c r="Q255" s="318"/>
      <c r="R255" s="318"/>
      <c r="S255" s="318"/>
      <c r="T255" s="318"/>
      <c r="U255" s="318"/>
      <c r="V255" s="318"/>
      <c r="W255" s="318"/>
      <c r="X255" s="318"/>
      <c r="Y255" s="318"/>
      <c r="Z255" s="318"/>
      <c r="AA255" s="66"/>
      <c r="AB255" s="66"/>
      <c r="AC255" s="83"/>
    </row>
    <row r="256" spans="1:68" ht="27" customHeight="1" x14ac:dyDescent="0.25">
      <c r="A256" s="63" t="s">
        <v>361</v>
      </c>
      <c r="B256" s="63" t="s">
        <v>362</v>
      </c>
      <c r="C256" s="36">
        <v>4301071014</v>
      </c>
      <c r="D256" s="299">
        <v>4640242181264</v>
      </c>
      <c r="E256" s="299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32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301"/>
      <c r="R256" s="301"/>
      <c r="S256" s="301"/>
      <c r="T256" s="302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3" t="s">
        <v>363</v>
      </c>
      <c r="AG256" s="81"/>
      <c r="AJ256" s="87" t="s">
        <v>89</v>
      </c>
      <c r="AK256" s="87">
        <v>1</v>
      </c>
      <c r="BB256" s="264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364</v>
      </c>
      <c r="B257" s="63" t="s">
        <v>365</v>
      </c>
      <c r="C257" s="36">
        <v>4301071141</v>
      </c>
      <c r="D257" s="299">
        <v>4620207491980</v>
      </c>
      <c r="E257" s="299"/>
      <c r="F257" s="62">
        <v>0.7</v>
      </c>
      <c r="G257" s="37">
        <v>10</v>
      </c>
      <c r="H257" s="62">
        <v>7</v>
      </c>
      <c r="I257" s="62">
        <v>7.28</v>
      </c>
      <c r="J257" s="37">
        <v>84</v>
      </c>
      <c r="K257" s="37" t="s">
        <v>87</v>
      </c>
      <c r="L257" s="37" t="s">
        <v>88</v>
      </c>
      <c r="M257" s="38" t="s">
        <v>86</v>
      </c>
      <c r="N257" s="38"/>
      <c r="O257" s="37">
        <v>180</v>
      </c>
      <c r="P257" s="32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7" s="301"/>
      <c r="R257" s="301"/>
      <c r="S257" s="301"/>
      <c r="T257" s="302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65" t="s">
        <v>366</v>
      </c>
      <c r="AG257" s="81"/>
      <c r="AJ257" s="87" t="s">
        <v>89</v>
      </c>
      <c r="AK257" s="87">
        <v>1</v>
      </c>
      <c r="BB257" s="266" t="s">
        <v>70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x14ac:dyDescent="0.25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  <c r="M258" s="307"/>
      <c r="N258" s="307"/>
      <c r="O258" s="308"/>
      <c r="P258" s="304" t="s">
        <v>40</v>
      </c>
      <c r="Q258" s="305"/>
      <c r="R258" s="305"/>
      <c r="S258" s="305"/>
      <c r="T258" s="305"/>
      <c r="U258" s="305"/>
      <c r="V258" s="306"/>
      <c r="W258" s="42" t="s">
        <v>39</v>
      </c>
      <c r="X258" s="43">
        <f>IFERROR(SUM(X256:X257),"0")</f>
        <v>0</v>
      </c>
      <c r="Y258" s="43">
        <f>IFERROR(SUM(Y256:Y257),"0")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x14ac:dyDescent="0.25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  <c r="M259" s="307"/>
      <c r="N259" s="307"/>
      <c r="O259" s="308"/>
      <c r="P259" s="304" t="s">
        <v>40</v>
      </c>
      <c r="Q259" s="305"/>
      <c r="R259" s="305"/>
      <c r="S259" s="305"/>
      <c r="T259" s="305"/>
      <c r="U259" s="305"/>
      <c r="V259" s="306"/>
      <c r="W259" s="42" t="s">
        <v>0</v>
      </c>
      <c r="X259" s="43">
        <f>IFERROR(SUMPRODUCT(X256:X257*H256:H257),"0")</f>
        <v>0</v>
      </c>
      <c r="Y259" s="43">
        <f>IFERROR(SUMPRODUCT(Y256:Y257*H256:H257),"0")</f>
        <v>0</v>
      </c>
      <c r="Z259" s="42"/>
      <c r="AA259" s="67"/>
      <c r="AB259" s="67"/>
      <c r="AC259" s="67"/>
    </row>
    <row r="260" spans="1:68" ht="14.25" customHeight="1" x14ac:dyDescent="0.25">
      <c r="A260" s="318" t="s">
        <v>193</v>
      </c>
      <c r="B260" s="318"/>
      <c r="C260" s="318"/>
      <c r="D260" s="318"/>
      <c r="E260" s="318"/>
      <c r="F260" s="318"/>
      <c r="G260" s="318"/>
      <c r="H260" s="318"/>
      <c r="I260" s="318"/>
      <c r="J260" s="318"/>
      <c r="K260" s="318"/>
      <c r="L260" s="318"/>
      <c r="M260" s="318"/>
      <c r="N260" s="318"/>
      <c r="O260" s="318"/>
      <c r="P260" s="318"/>
      <c r="Q260" s="318"/>
      <c r="R260" s="318"/>
      <c r="S260" s="318"/>
      <c r="T260" s="318"/>
      <c r="U260" s="318"/>
      <c r="V260" s="318"/>
      <c r="W260" s="318"/>
      <c r="X260" s="318"/>
      <c r="Y260" s="318"/>
      <c r="Z260" s="318"/>
      <c r="AA260" s="66"/>
      <c r="AB260" s="66"/>
      <c r="AC260" s="83"/>
    </row>
    <row r="261" spans="1:68" ht="27" customHeight="1" x14ac:dyDescent="0.25">
      <c r="A261" s="63" t="s">
        <v>367</v>
      </c>
      <c r="B261" s="63" t="s">
        <v>368</v>
      </c>
      <c r="C261" s="36">
        <v>4301136116</v>
      </c>
      <c r="D261" s="299">
        <v>4620207492147</v>
      </c>
      <c r="E261" s="299"/>
      <c r="F261" s="62">
        <v>2.7</v>
      </c>
      <c r="G261" s="37">
        <v>1</v>
      </c>
      <c r="H261" s="62">
        <v>2.7</v>
      </c>
      <c r="I261" s="62">
        <v>2.8906000000000001</v>
      </c>
      <c r="J261" s="37">
        <v>126</v>
      </c>
      <c r="K261" s="37" t="s">
        <v>123</v>
      </c>
      <c r="L261" s="37" t="s">
        <v>88</v>
      </c>
      <c r="M261" s="38" t="s">
        <v>86</v>
      </c>
      <c r="N261" s="38"/>
      <c r="O261" s="37">
        <v>180</v>
      </c>
      <c r="P261" s="323" t="s">
        <v>369</v>
      </c>
      <c r="Q261" s="301"/>
      <c r="R261" s="301"/>
      <c r="S261" s="301"/>
      <c r="T261" s="302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67" t="s">
        <v>196</v>
      </c>
      <c r="AG261" s="81"/>
      <c r="AJ261" s="87" t="s">
        <v>89</v>
      </c>
      <c r="AK261" s="87">
        <v>1</v>
      </c>
      <c r="BB261" s="268" t="s">
        <v>122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t="27" customHeight="1" x14ac:dyDescent="0.25">
      <c r="A262" s="63" t="s">
        <v>370</v>
      </c>
      <c r="B262" s="63" t="s">
        <v>371</v>
      </c>
      <c r="C262" s="36">
        <v>4301136112</v>
      </c>
      <c r="D262" s="299">
        <v>4620207492154</v>
      </c>
      <c r="E262" s="299"/>
      <c r="F262" s="62">
        <v>5</v>
      </c>
      <c r="G262" s="37">
        <v>1</v>
      </c>
      <c r="H262" s="62">
        <v>5</v>
      </c>
      <c r="I262" s="62">
        <v>5.2350000000000003</v>
      </c>
      <c r="J262" s="37">
        <v>84</v>
      </c>
      <c r="K262" s="37" t="s">
        <v>87</v>
      </c>
      <c r="L262" s="37" t="s">
        <v>88</v>
      </c>
      <c r="M262" s="38" t="s">
        <v>86</v>
      </c>
      <c r="N262" s="38"/>
      <c r="O262" s="37">
        <v>180</v>
      </c>
      <c r="P262" s="324" t="s">
        <v>372</v>
      </c>
      <c r="Q262" s="301"/>
      <c r="R262" s="301"/>
      <c r="S262" s="301"/>
      <c r="T262" s="302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9" t="s">
        <v>196</v>
      </c>
      <c r="AG262" s="81"/>
      <c r="AJ262" s="87" t="s">
        <v>89</v>
      </c>
      <c r="AK262" s="87">
        <v>1</v>
      </c>
      <c r="BB262" s="270" t="s">
        <v>122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373</v>
      </c>
      <c r="B263" s="63" t="s">
        <v>374</v>
      </c>
      <c r="C263" s="36">
        <v>4301136114</v>
      </c>
      <c r="D263" s="299">
        <v>4620207492086</v>
      </c>
      <c r="E263" s="299"/>
      <c r="F263" s="62">
        <v>2.2400000000000002</v>
      </c>
      <c r="G263" s="37">
        <v>1</v>
      </c>
      <c r="H263" s="62">
        <v>2.2400000000000002</v>
      </c>
      <c r="I263" s="62">
        <v>2.4319999999999999</v>
      </c>
      <c r="J263" s="37">
        <v>126</v>
      </c>
      <c r="K263" s="37" t="s">
        <v>123</v>
      </c>
      <c r="L263" s="37" t="s">
        <v>88</v>
      </c>
      <c r="M263" s="38" t="s">
        <v>86</v>
      </c>
      <c r="N263" s="38"/>
      <c r="O263" s="37">
        <v>180</v>
      </c>
      <c r="P263" s="325" t="s">
        <v>375</v>
      </c>
      <c r="Q263" s="301"/>
      <c r="R263" s="301"/>
      <c r="S263" s="301"/>
      <c r="T263" s="302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71" t="s">
        <v>196</v>
      </c>
      <c r="AG263" s="81"/>
      <c r="AJ263" s="87" t="s">
        <v>89</v>
      </c>
      <c r="AK263" s="87">
        <v>1</v>
      </c>
      <c r="BB263" s="272" t="s">
        <v>122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x14ac:dyDescent="0.25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  <c r="M264" s="307"/>
      <c r="N264" s="307"/>
      <c r="O264" s="308"/>
      <c r="P264" s="304" t="s">
        <v>40</v>
      </c>
      <c r="Q264" s="305"/>
      <c r="R264" s="305"/>
      <c r="S264" s="305"/>
      <c r="T264" s="305"/>
      <c r="U264" s="305"/>
      <c r="V264" s="306"/>
      <c r="W264" s="42" t="s">
        <v>39</v>
      </c>
      <c r="X264" s="43">
        <f>IFERROR(SUM(X261:X263),"0")</f>
        <v>0</v>
      </c>
      <c r="Y264" s="43">
        <f>IFERROR(SUM(Y261:Y263),"0")</f>
        <v>0</v>
      </c>
      <c r="Z264" s="43">
        <f>IFERROR(IF(Z261="",0,Z261),"0")+IFERROR(IF(Z262="",0,Z262),"0")+IFERROR(IF(Z263="",0,Z263),"0")</f>
        <v>0</v>
      </c>
      <c r="AA264" s="67"/>
      <c r="AB264" s="67"/>
      <c r="AC264" s="67"/>
    </row>
    <row r="265" spans="1:68" x14ac:dyDescent="0.25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  <c r="M265" s="307"/>
      <c r="N265" s="307"/>
      <c r="O265" s="308"/>
      <c r="P265" s="304" t="s">
        <v>40</v>
      </c>
      <c r="Q265" s="305"/>
      <c r="R265" s="305"/>
      <c r="S265" s="305"/>
      <c r="T265" s="305"/>
      <c r="U265" s="305"/>
      <c r="V265" s="306"/>
      <c r="W265" s="42" t="s">
        <v>0</v>
      </c>
      <c r="X265" s="43">
        <f>IFERROR(SUMPRODUCT(X261:X263*H261:H263),"0")</f>
        <v>0</v>
      </c>
      <c r="Y265" s="43">
        <f>IFERROR(SUMPRODUCT(Y261:Y263*H261:H263),"0")</f>
        <v>0</v>
      </c>
      <c r="Z265" s="42"/>
      <c r="AA265" s="67"/>
      <c r="AB265" s="67"/>
      <c r="AC265" s="67"/>
    </row>
    <row r="266" spans="1:68" ht="14.25" customHeight="1" x14ac:dyDescent="0.25">
      <c r="A266" s="318" t="s">
        <v>160</v>
      </c>
      <c r="B266" s="318"/>
      <c r="C266" s="318"/>
      <c r="D266" s="318"/>
      <c r="E266" s="318"/>
      <c r="F266" s="318"/>
      <c r="G266" s="318"/>
      <c r="H266" s="318"/>
      <c r="I266" s="318"/>
      <c r="J266" s="318"/>
      <c r="K266" s="318"/>
      <c r="L266" s="318"/>
      <c r="M266" s="318"/>
      <c r="N266" s="318"/>
      <c r="O266" s="318"/>
      <c r="P266" s="318"/>
      <c r="Q266" s="318"/>
      <c r="R266" s="318"/>
      <c r="S266" s="318"/>
      <c r="T266" s="318"/>
      <c r="U266" s="318"/>
      <c r="V266" s="318"/>
      <c r="W266" s="318"/>
      <c r="X266" s="318"/>
      <c r="Y266" s="318"/>
      <c r="Z266" s="318"/>
      <c r="AA266" s="66"/>
      <c r="AB266" s="66"/>
      <c r="AC266" s="83"/>
    </row>
    <row r="267" spans="1:68" ht="27" customHeight="1" x14ac:dyDescent="0.25">
      <c r="A267" s="63" t="s">
        <v>376</v>
      </c>
      <c r="B267" s="63" t="s">
        <v>377</v>
      </c>
      <c r="C267" s="36">
        <v>4301137094</v>
      </c>
      <c r="D267" s="299">
        <v>4620207492284</v>
      </c>
      <c r="E267" s="299"/>
      <c r="F267" s="62">
        <v>3.7</v>
      </c>
      <c r="G267" s="37">
        <v>1</v>
      </c>
      <c r="H267" s="62">
        <v>3.7</v>
      </c>
      <c r="I267" s="62">
        <v>4.0599999999999996</v>
      </c>
      <c r="J267" s="37">
        <v>126</v>
      </c>
      <c r="K267" s="37" t="s">
        <v>123</v>
      </c>
      <c r="L267" s="37" t="s">
        <v>88</v>
      </c>
      <c r="M267" s="38" t="s">
        <v>86</v>
      </c>
      <c r="N267" s="38"/>
      <c r="O267" s="37">
        <v>180</v>
      </c>
      <c r="P267" s="319" t="s">
        <v>378</v>
      </c>
      <c r="Q267" s="301"/>
      <c r="R267" s="301"/>
      <c r="S267" s="301"/>
      <c r="T267" s="302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ref="Y267:Y277" si="18">IFERROR(IF(X267="","",X267),"")</f>
        <v>0</v>
      </c>
      <c r="Z267" s="41">
        <f>IFERROR(IF(X267="","",X267*0.00936),"")</f>
        <v>0</v>
      </c>
      <c r="AA267" s="68" t="s">
        <v>46</v>
      </c>
      <c r="AB267" s="69" t="s">
        <v>110</v>
      </c>
      <c r="AC267" s="273" t="s">
        <v>379</v>
      </c>
      <c r="AG267" s="81"/>
      <c r="AJ267" s="87" t="s">
        <v>89</v>
      </c>
      <c r="AK267" s="87">
        <v>1</v>
      </c>
      <c r="BB267" s="274" t="s">
        <v>122</v>
      </c>
      <c r="BM267" s="81">
        <f t="shared" ref="BM267:BM277" si="19">IFERROR(X267*I267,"0")</f>
        <v>0</v>
      </c>
      <c r="BN267" s="81">
        <f t="shared" ref="BN267:BN277" si="20">IFERROR(Y267*I267,"0")</f>
        <v>0</v>
      </c>
      <c r="BO267" s="81">
        <f t="shared" ref="BO267:BO277" si="21">IFERROR(X267/J267,"0")</f>
        <v>0</v>
      </c>
      <c r="BP267" s="81">
        <f t="shared" ref="BP267:BP277" si="22">IFERROR(Y267/J267,"0")</f>
        <v>0</v>
      </c>
    </row>
    <row r="268" spans="1:68" ht="16.5" customHeight="1" x14ac:dyDescent="0.25">
      <c r="A268" s="63" t="s">
        <v>380</v>
      </c>
      <c r="B268" s="63" t="s">
        <v>381</v>
      </c>
      <c r="C268" s="36">
        <v>4301137066</v>
      </c>
      <c r="D268" s="299">
        <v>4620207492109</v>
      </c>
      <c r="E268" s="299"/>
      <c r="F268" s="62">
        <v>5.5</v>
      </c>
      <c r="G268" s="37">
        <v>1</v>
      </c>
      <c r="H268" s="62">
        <v>5.5</v>
      </c>
      <c r="I268" s="62">
        <v>5.7350000000000003</v>
      </c>
      <c r="J268" s="37">
        <v>84</v>
      </c>
      <c r="K268" s="37" t="s">
        <v>87</v>
      </c>
      <c r="L268" s="37" t="s">
        <v>88</v>
      </c>
      <c r="M268" s="38" t="s">
        <v>86</v>
      </c>
      <c r="N268" s="38"/>
      <c r="O268" s="37">
        <v>180</v>
      </c>
      <c r="P268" s="320" t="s">
        <v>382</v>
      </c>
      <c r="Q268" s="301"/>
      <c r="R268" s="301"/>
      <c r="S268" s="301"/>
      <c r="T268" s="302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IFERROR(IF(X268="","",X268*0.0155),"")</f>
        <v>0</v>
      </c>
      <c r="AA268" s="68" t="s">
        <v>46</v>
      </c>
      <c r="AB268" s="69" t="s">
        <v>46</v>
      </c>
      <c r="AC268" s="275" t="s">
        <v>291</v>
      </c>
      <c r="AG268" s="81"/>
      <c r="AJ268" s="87" t="s">
        <v>89</v>
      </c>
      <c r="AK268" s="87">
        <v>1</v>
      </c>
      <c r="BB268" s="276" t="s">
        <v>122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37.5" customHeight="1" x14ac:dyDescent="0.25">
      <c r="A269" s="63" t="s">
        <v>383</v>
      </c>
      <c r="B269" s="63" t="s">
        <v>384</v>
      </c>
      <c r="C269" s="36">
        <v>4301137068</v>
      </c>
      <c r="D269" s="299">
        <v>4620207492161</v>
      </c>
      <c r="E269" s="299"/>
      <c r="F269" s="62">
        <v>3</v>
      </c>
      <c r="G269" s="37">
        <v>1</v>
      </c>
      <c r="H269" s="62">
        <v>3</v>
      </c>
      <c r="I269" s="62">
        <v>3.1920000000000002</v>
      </c>
      <c r="J269" s="37">
        <v>126</v>
      </c>
      <c r="K269" s="37" t="s">
        <v>123</v>
      </c>
      <c r="L269" s="37" t="s">
        <v>88</v>
      </c>
      <c r="M269" s="38" t="s">
        <v>86</v>
      </c>
      <c r="N269" s="38"/>
      <c r="O269" s="37">
        <v>180</v>
      </c>
      <c r="P269" s="321" t="s">
        <v>385</v>
      </c>
      <c r="Q269" s="301"/>
      <c r="R269" s="301"/>
      <c r="S269" s="301"/>
      <c r="T269" s="302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77" t="s">
        <v>386</v>
      </c>
      <c r="AG269" s="81"/>
      <c r="AJ269" s="87" t="s">
        <v>89</v>
      </c>
      <c r="AK269" s="87">
        <v>1</v>
      </c>
      <c r="BB269" s="278" t="s">
        <v>122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387</v>
      </c>
      <c r="B270" s="63" t="s">
        <v>388</v>
      </c>
      <c r="C270" s="36">
        <v>4301137046</v>
      </c>
      <c r="D270" s="299">
        <v>4620207492093</v>
      </c>
      <c r="E270" s="299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123</v>
      </c>
      <c r="L270" s="37" t="s">
        <v>88</v>
      </c>
      <c r="M270" s="38" t="s">
        <v>86</v>
      </c>
      <c r="N270" s="38"/>
      <c r="O270" s="37">
        <v>180</v>
      </c>
      <c r="P270" s="322" t="s">
        <v>389</v>
      </c>
      <c r="Q270" s="301"/>
      <c r="R270" s="301"/>
      <c r="S270" s="301"/>
      <c r="T270" s="302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9" t="s">
        <v>390</v>
      </c>
      <c r="AG270" s="81"/>
      <c r="AJ270" s="87" t="s">
        <v>89</v>
      </c>
      <c r="AK270" s="87">
        <v>1</v>
      </c>
      <c r="BB270" s="280" t="s">
        <v>122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391</v>
      </c>
      <c r="B271" s="63" t="s">
        <v>392</v>
      </c>
      <c r="C271" s="36">
        <v>4301137072</v>
      </c>
      <c r="D271" s="299">
        <v>4620207492222</v>
      </c>
      <c r="E271" s="299"/>
      <c r="F271" s="62">
        <v>5</v>
      </c>
      <c r="G271" s="37">
        <v>1</v>
      </c>
      <c r="H271" s="62">
        <v>5</v>
      </c>
      <c r="I271" s="62">
        <v>5.23</v>
      </c>
      <c r="J271" s="37">
        <v>84</v>
      </c>
      <c r="K271" s="37" t="s">
        <v>87</v>
      </c>
      <c r="L271" s="37" t="s">
        <v>88</v>
      </c>
      <c r="M271" s="38" t="s">
        <v>86</v>
      </c>
      <c r="N271" s="38"/>
      <c r="O271" s="37">
        <v>180</v>
      </c>
      <c r="P271" s="313" t="s">
        <v>393</v>
      </c>
      <c r="Q271" s="301"/>
      <c r="R271" s="301"/>
      <c r="S271" s="301"/>
      <c r="T271" s="302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IFERROR(IF(X271="","",X271*0.0155),"")</f>
        <v>0</v>
      </c>
      <c r="AA271" s="68" t="s">
        <v>46</v>
      </c>
      <c r="AB271" s="69" t="s">
        <v>46</v>
      </c>
      <c r="AC271" s="281" t="s">
        <v>390</v>
      </c>
      <c r="AG271" s="81"/>
      <c r="AJ271" s="87" t="s">
        <v>89</v>
      </c>
      <c r="AK271" s="87">
        <v>1</v>
      </c>
      <c r="BB271" s="282" t="s">
        <v>122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394</v>
      </c>
      <c r="B272" s="63" t="s">
        <v>395</v>
      </c>
      <c r="C272" s="36">
        <v>4301137074</v>
      </c>
      <c r="D272" s="299">
        <v>4620207492116</v>
      </c>
      <c r="E272" s="299"/>
      <c r="F272" s="62">
        <v>3</v>
      </c>
      <c r="G272" s="37">
        <v>1</v>
      </c>
      <c r="H272" s="62">
        <v>3</v>
      </c>
      <c r="I272" s="62">
        <v>3.1920000000000002</v>
      </c>
      <c r="J272" s="37">
        <v>126</v>
      </c>
      <c r="K272" s="37" t="s">
        <v>123</v>
      </c>
      <c r="L272" s="37" t="s">
        <v>88</v>
      </c>
      <c r="M272" s="38" t="s">
        <v>86</v>
      </c>
      <c r="N272" s="38"/>
      <c r="O272" s="37">
        <v>180</v>
      </c>
      <c r="P272" s="314" t="s">
        <v>396</v>
      </c>
      <c r="Q272" s="301"/>
      <c r="R272" s="301"/>
      <c r="S272" s="301"/>
      <c r="T272" s="302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ref="Z272:Z277" si="23">IFERROR(IF(X272="","",X272*0.00936),"")</f>
        <v>0</v>
      </c>
      <c r="AA272" s="68" t="s">
        <v>46</v>
      </c>
      <c r="AB272" s="69" t="s">
        <v>46</v>
      </c>
      <c r="AC272" s="283" t="s">
        <v>291</v>
      </c>
      <c r="AG272" s="81"/>
      <c r="AJ272" s="87" t="s">
        <v>89</v>
      </c>
      <c r="AK272" s="87">
        <v>1</v>
      </c>
      <c r="BB272" s="284" t="s">
        <v>122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customHeight="1" x14ac:dyDescent="0.25">
      <c r="A273" s="63" t="s">
        <v>397</v>
      </c>
      <c r="B273" s="63" t="s">
        <v>398</v>
      </c>
      <c r="C273" s="36">
        <v>4301137070</v>
      </c>
      <c r="D273" s="299">
        <v>4620207492123</v>
      </c>
      <c r="E273" s="299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123</v>
      </c>
      <c r="L273" s="37" t="s">
        <v>88</v>
      </c>
      <c r="M273" s="38" t="s">
        <v>86</v>
      </c>
      <c r="N273" s="38"/>
      <c r="O273" s="37">
        <v>180</v>
      </c>
      <c r="P273" s="315" t="s">
        <v>399</v>
      </c>
      <c r="Q273" s="301"/>
      <c r="R273" s="301"/>
      <c r="S273" s="301"/>
      <c r="T273" s="302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85" t="s">
        <v>386</v>
      </c>
      <c r="AG273" s="81"/>
      <c r="AJ273" s="87" t="s">
        <v>89</v>
      </c>
      <c r="AK273" s="87">
        <v>1</v>
      </c>
      <c r="BB273" s="286" t="s">
        <v>122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customHeight="1" x14ac:dyDescent="0.25">
      <c r="A274" s="63" t="s">
        <v>400</v>
      </c>
      <c r="B274" s="63" t="s">
        <v>401</v>
      </c>
      <c r="C274" s="36">
        <v>4301137078</v>
      </c>
      <c r="D274" s="299">
        <v>4620207492130</v>
      </c>
      <c r="E274" s="299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123</v>
      </c>
      <c r="L274" s="37" t="s">
        <v>88</v>
      </c>
      <c r="M274" s="38" t="s">
        <v>86</v>
      </c>
      <c r="N274" s="38"/>
      <c r="O274" s="37">
        <v>180</v>
      </c>
      <c r="P274" s="316" t="s">
        <v>402</v>
      </c>
      <c r="Q274" s="301"/>
      <c r="R274" s="301"/>
      <c r="S274" s="301"/>
      <c r="T274" s="302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87" t="s">
        <v>386</v>
      </c>
      <c r="AG274" s="81"/>
      <c r="AJ274" s="87" t="s">
        <v>89</v>
      </c>
      <c r="AK274" s="87">
        <v>1</v>
      </c>
      <c r="BB274" s="288" t="s">
        <v>122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403</v>
      </c>
      <c r="B275" s="63" t="s">
        <v>404</v>
      </c>
      <c r="C275" s="36">
        <v>4301137092</v>
      </c>
      <c r="D275" s="299">
        <v>4620207491942</v>
      </c>
      <c r="E275" s="299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123</v>
      </c>
      <c r="L275" s="37" t="s">
        <v>88</v>
      </c>
      <c r="M275" s="38" t="s">
        <v>86</v>
      </c>
      <c r="N275" s="38"/>
      <c r="O275" s="37">
        <v>180</v>
      </c>
      <c r="P275" s="317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5" s="301"/>
      <c r="R275" s="301"/>
      <c r="S275" s="301"/>
      <c r="T275" s="302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9" t="s">
        <v>386</v>
      </c>
      <c r="AG275" s="81"/>
      <c r="AJ275" s="87" t="s">
        <v>89</v>
      </c>
      <c r="AK275" s="87">
        <v>1</v>
      </c>
      <c r="BB275" s="290" t="s">
        <v>122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405</v>
      </c>
      <c r="B276" s="63" t="s">
        <v>406</v>
      </c>
      <c r="C276" s="36">
        <v>4301137014</v>
      </c>
      <c r="D276" s="299">
        <v>4620207491911</v>
      </c>
      <c r="E276" s="299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123</v>
      </c>
      <c r="L276" s="37" t="s">
        <v>88</v>
      </c>
      <c r="M276" s="38" t="s">
        <v>86</v>
      </c>
      <c r="N276" s="38"/>
      <c r="O276" s="37">
        <v>180</v>
      </c>
      <c r="P276" s="300" t="s">
        <v>407</v>
      </c>
      <c r="Q276" s="301"/>
      <c r="R276" s="301"/>
      <c r="S276" s="301"/>
      <c r="T276" s="302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91" t="s">
        <v>390</v>
      </c>
      <c r="AG276" s="81"/>
      <c r="AJ276" s="87" t="s">
        <v>89</v>
      </c>
      <c r="AK276" s="87">
        <v>1</v>
      </c>
      <c r="BB276" s="292" t="s">
        <v>122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408</v>
      </c>
      <c r="B277" s="63" t="s">
        <v>409</v>
      </c>
      <c r="C277" s="36">
        <v>4301137012</v>
      </c>
      <c r="D277" s="299">
        <v>4620207491935</v>
      </c>
      <c r="E277" s="299"/>
      <c r="F277" s="62">
        <v>0.3</v>
      </c>
      <c r="G277" s="37">
        <v>9</v>
      </c>
      <c r="H277" s="62">
        <v>2.7</v>
      </c>
      <c r="I277" s="62">
        <v>2.9249999999999998</v>
      </c>
      <c r="J277" s="37">
        <v>126</v>
      </c>
      <c r="K277" s="37" t="s">
        <v>123</v>
      </c>
      <c r="L277" s="37" t="s">
        <v>88</v>
      </c>
      <c r="M277" s="38" t="s">
        <v>86</v>
      </c>
      <c r="N277" s="38"/>
      <c r="O277" s="37">
        <v>180</v>
      </c>
      <c r="P277" s="30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7" s="301"/>
      <c r="R277" s="301"/>
      <c r="S277" s="301"/>
      <c r="T277" s="302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93" t="s">
        <v>291</v>
      </c>
      <c r="AG277" s="81"/>
      <c r="AJ277" s="87" t="s">
        <v>89</v>
      </c>
      <c r="AK277" s="87">
        <v>1</v>
      </c>
      <c r="BB277" s="294" t="s">
        <v>122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x14ac:dyDescent="0.25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  <c r="M278" s="307"/>
      <c r="N278" s="307"/>
      <c r="O278" s="308"/>
      <c r="P278" s="304" t="s">
        <v>40</v>
      </c>
      <c r="Q278" s="305"/>
      <c r="R278" s="305"/>
      <c r="S278" s="305"/>
      <c r="T278" s="305"/>
      <c r="U278" s="305"/>
      <c r="V278" s="306"/>
      <c r="W278" s="42" t="s">
        <v>39</v>
      </c>
      <c r="X278" s="43">
        <f>IFERROR(SUM(X267:X277),"0")</f>
        <v>0</v>
      </c>
      <c r="Y278" s="43">
        <f>IFERROR(SUM(Y267:Y277),"0")</f>
        <v>0</v>
      </c>
      <c r="Z278" s="43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x14ac:dyDescent="0.25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  <c r="M279" s="307"/>
      <c r="N279" s="307"/>
      <c r="O279" s="308"/>
      <c r="P279" s="304" t="s">
        <v>40</v>
      </c>
      <c r="Q279" s="305"/>
      <c r="R279" s="305"/>
      <c r="S279" s="305"/>
      <c r="T279" s="305"/>
      <c r="U279" s="305"/>
      <c r="V279" s="306"/>
      <c r="W279" s="42" t="s">
        <v>0</v>
      </c>
      <c r="X279" s="43">
        <f>IFERROR(SUMPRODUCT(X267:X277*H267:H277),"0")</f>
        <v>0</v>
      </c>
      <c r="Y279" s="43">
        <f>IFERROR(SUMPRODUCT(Y267:Y277*H267:H277),"0")</f>
        <v>0</v>
      </c>
      <c r="Z279" s="42"/>
      <c r="AA279" s="67"/>
      <c r="AB279" s="67"/>
      <c r="AC279" s="67"/>
    </row>
    <row r="280" spans="1:68" ht="15" customHeight="1" x14ac:dyDescent="0.25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  <c r="M280" s="307"/>
      <c r="N280" s="307"/>
      <c r="O280" s="312"/>
      <c r="P280" s="309" t="s">
        <v>33</v>
      </c>
      <c r="Q280" s="310"/>
      <c r="R280" s="310"/>
      <c r="S280" s="310"/>
      <c r="T280" s="310"/>
      <c r="U280" s="310"/>
      <c r="V280" s="311"/>
      <c r="W280" s="42" t="s">
        <v>0</v>
      </c>
      <c r="X280" s="43">
        <f>IFERROR(X31+X35+X41+X48+X56+X64+X70+X75+X81+X93+X99+X111+X115+X119+X124+X131+X137+X144+X150+X157+X163+X168+X173+X179+X184+X190+X195+X204+X210+X215+X221+X226+X232+X238+X242+X248+X252+X259+X265+X279,"0")</f>
        <v>0</v>
      </c>
      <c r="Y280" s="43">
        <f>IFERROR(Y31+Y35+Y41+Y48+Y56+Y64+Y70+Y75+Y81+Y93+Y99+Y111+Y115+Y119+Y124+Y131+Y137+Y144+Y150+Y157+Y163+Y168+Y173+Y179+Y184+Y190+Y195+Y204+Y210+Y215+Y221+Y226+Y232+Y238+Y242+Y248+Y252+Y259+Y265+Y279,"0")</f>
        <v>0</v>
      </c>
      <c r="Z280" s="42"/>
      <c r="AA280" s="67"/>
      <c r="AB280" s="67"/>
      <c r="AC280" s="67"/>
    </row>
    <row r="281" spans="1:68" x14ac:dyDescent="0.25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  <c r="O281" s="312"/>
      <c r="P281" s="309" t="s">
        <v>34</v>
      </c>
      <c r="Q281" s="310"/>
      <c r="R281" s="310"/>
      <c r="S281" s="310"/>
      <c r="T281" s="310"/>
      <c r="U281" s="310"/>
      <c r="V281" s="311"/>
      <c r="W281" s="42" t="s">
        <v>0</v>
      </c>
      <c r="X281" s="43">
        <f>IFERROR(SUM(BM22:BM277),"0")</f>
        <v>0</v>
      </c>
      <c r="Y281" s="43">
        <f>IFERROR(SUM(BN22:BN277),"0")</f>
        <v>0</v>
      </c>
      <c r="Z281" s="42"/>
      <c r="AA281" s="67"/>
      <c r="AB281" s="67"/>
      <c r="AC281" s="67"/>
    </row>
    <row r="282" spans="1:68" x14ac:dyDescent="0.25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  <c r="M282" s="307"/>
      <c r="N282" s="307"/>
      <c r="O282" s="312"/>
      <c r="P282" s="309" t="s">
        <v>35</v>
      </c>
      <c r="Q282" s="310"/>
      <c r="R282" s="310"/>
      <c r="S282" s="310"/>
      <c r="T282" s="310"/>
      <c r="U282" s="310"/>
      <c r="V282" s="311"/>
      <c r="W282" s="42" t="s">
        <v>20</v>
      </c>
      <c r="X282" s="44">
        <f>ROUNDUP(SUM(BO22:BO277),0)</f>
        <v>0</v>
      </c>
      <c r="Y282" s="44">
        <f>ROUNDUP(SUM(BP22:BP277),0)</f>
        <v>0</v>
      </c>
      <c r="Z282" s="42"/>
      <c r="AA282" s="67"/>
      <c r="AB282" s="67"/>
      <c r="AC282" s="67"/>
    </row>
    <row r="283" spans="1:68" x14ac:dyDescent="0.25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  <c r="M283" s="307"/>
      <c r="N283" s="307"/>
      <c r="O283" s="312"/>
      <c r="P283" s="309" t="s">
        <v>36</v>
      </c>
      <c r="Q283" s="310"/>
      <c r="R283" s="310"/>
      <c r="S283" s="310"/>
      <c r="T283" s="310"/>
      <c r="U283" s="310"/>
      <c r="V283" s="311"/>
      <c r="W283" s="42" t="s">
        <v>0</v>
      </c>
      <c r="X283" s="43">
        <f>GrossWeightTotal+PalletQtyTotal*25</f>
        <v>0</v>
      </c>
      <c r="Y283" s="43">
        <f>GrossWeightTotalR+PalletQtyTotalR*25</f>
        <v>0</v>
      </c>
      <c r="Z283" s="42"/>
      <c r="AA283" s="67"/>
      <c r="AB283" s="67"/>
      <c r="AC283" s="67"/>
    </row>
    <row r="284" spans="1:68" x14ac:dyDescent="0.25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  <c r="M284" s="307"/>
      <c r="N284" s="307"/>
      <c r="O284" s="312"/>
      <c r="P284" s="309" t="s">
        <v>37</v>
      </c>
      <c r="Q284" s="310"/>
      <c r="R284" s="310"/>
      <c r="S284" s="310"/>
      <c r="T284" s="310"/>
      <c r="U284" s="310"/>
      <c r="V284" s="311"/>
      <c r="W284" s="42" t="s">
        <v>20</v>
      </c>
      <c r="X284" s="43">
        <f>IFERROR(X30+X34+X40+X47+X55+X63+X69+X74+X80+X92+X98+X110+X114+X118+X123+X130+X136+X143+X149+X156+X162+X167+X172+X178+X183+X189+X194+X203+X209+X214+X220+X225+X231+X237+X241+X247+X251+X258+X264+X278,"0")</f>
        <v>0</v>
      </c>
      <c r="Y284" s="43">
        <f>IFERROR(Y30+Y34+Y40+Y47+Y55+Y63+Y69+Y74+Y80+Y92+Y98+Y110+Y114+Y118+Y123+Y130+Y136+Y143+Y149+Y156+Y162+Y167+Y172+Y178+Y183+Y189+Y194+Y203+Y209+Y214+Y220+Y225+Y231+Y237+Y241+Y247+Y251+Y258+Y264+Y278,"0")</f>
        <v>0</v>
      </c>
      <c r="Z284" s="42"/>
      <c r="AA284" s="67"/>
      <c r="AB284" s="67"/>
      <c r="AC284" s="67"/>
    </row>
    <row r="285" spans="1:68" ht="15.6" x14ac:dyDescent="0.25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  <c r="M285" s="307"/>
      <c r="N285" s="307"/>
      <c r="O285" s="312"/>
      <c r="P285" s="309" t="s">
        <v>38</v>
      </c>
      <c r="Q285" s="310"/>
      <c r="R285" s="310"/>
      <c r="S285" s="310"/>
      <c r="T285" s="310"/>
      <c r="U285" s="310"/>
      <c r="V285" s="311"/>
      <c r="W285" s="45" t="s">
        <v>52</v>
      </c>
      <c r="X285" s="42"/>
      <c r="Y285" s="42"/>
      <c r="Z285" s="42">
        <f>IFERROR(Z30+Z34+Z40+Z47+Z55+Z63+Z69+Z74+Z80+Z92+Z98+Z110+Z114+Z118+Z123+Z130+Z136+Z143+Z149+Z156+Z162+Z167+Z172+Z178+Z183+Z189+Z194+Z203+Z209+Z214+Z220+Z225+Z231+Z237+Z241+Z247+Z251+Z258+Z264+Z278,"0")</f>
        <v>0</v>
      </c>
      <c r="AA285" s="67"/>
      <c r="AB285" s="67"/>
      <c r="AC285" s="67"/>
    </row>
    <row r="286" spans="1:68" ht="13.8" thickBot="1" x14ac:dyDescent="0.3"/>
    <row r="287" spans="1:68" ht="28.8" thickTop="1" thickBot="1" x14ac:dyDescent="0.3">
      <c r="A287" s="46" t="s">
        <v>9</v>
      </c>
      <c r="B287" s="295" t="s">
        <v>81</v>
      </c>
      <c r="C287" s="295" t="s">
        <v>81</v>
      </c>
      <c r="D287" s="295" t="s">
        <v>45</v>
      </c>
      <c r="E287" s="295" t="s">
        <v>45</v>
      </c>
      <c r="F287" s="295" t="s">
        <v>45</v>
      </c>
      <c r="G287" s="295" t="s">
        <v>45</v>
      </c>
      <c r="H287" s="295" t="s">
        <v>45</v>
      </c>
      <c r="I287" s="295" t="s">
        <v>45</v>
      </c>
      <c r="J287" s="295" t="s">
        <v>45</v>
      </c>
      <c r="K287" s="295" t="s">
        <v>45</v>
      </c>
      <c r="L287" s="295" t="s">
        <v>45</v>
      </c>
      <c r="M287" s="295" t="s">
        <v>45</v>
      </c>
      <c r="N287" s="296"/>
      <c r="O287" s="295" t="s">
        <v>45</v>
      </c>
      <c r="P287" s="295" t="s">
        <v>45</v>
      </c>
      <c r="Q287" s="295" t="s">
        <v>45</v>
      </c>
      <c r="R287" s="295" t="s">
        <v>45</v>
      </c>
      <c r="S287" s="295" t="s">
        <v>45</v>
      </c>
      <c r="T287" s="295" t="s">
        <v>45</v>
      </c>
      <c r="U287" s="295" t="s">
        <v>284</v>
      </c>
      <c r="V287" s="295" t="s">
        <v>284</v>
      </c>
      <c r="W287" s="295" t="s">
        <v>284</v>
      </c>
      <c r="X287" s="88" t="s">
        <v>305</v>
      </c>
      <c r="Y287" s="295" t="s">
        <v>319</v>
      </c>
      <c r="Z287" s="295" t="s">
        <v>319</v>
      </c>
      <c r="AA287" s="295" t="s">
        <v>319</v>
      </c>
      <c r="AB287" s="88" t="s">
        <v>341</v>
      </c>
      <c r="AC287" s="88" t="s">
        <v>346</v>
      </c>
      <c r="AD287" s="88" t="s">
        <v>354</v>
      </c>
      <c r="AE287" s="88" t="s">
        <v>285</v>
      </c>
      <c r="AF287" s="1"/>
    </row>
    <row r="288" spans="1:68" ht="14.25" customHeight="1" thickTop="1" x14ac:dyDescent="0.25">
      <c r="A288" s="297" t="s">
        <v>10</v>
      </c>
      <c r="B288" s="295" t="s">
        <v>81</v>
      </c>
      <c r="C288" s="295" t="s">
        <v>111</v>
      </c>
      <c r="D288" s="295" t="s">
        <v>117</v>
      </c>
      <c r="E288" s="295" t="s">
        <v>128</v>
      </c>
      <c r="F288" s="295" t="s">
        <v>139</v>
      </c>
      <c r="G288" s="295" t="s">
        <v>152</v>
      </c>
      <c r="H288" s="295" t="s">
        <v>159</v>
      </c>
      <c r="I288" s="295" t="s">
        <v>164</v>
      </c>
      <c r="J288" s="295" t="s">
        <v>172</v>
      </c>
      <c r="K288" s="295" t="s">
        <v>192</v>
      </c>
      <c r="L288" s="295" t="s">
        <v>199</v>
      </c>
      <c r="M288" s="295" t="s">
        <v>228</v>
      </c>
      <c r="N288" s="1"/>
      <c r="O288" s="295" t="s">
        <v>249</v>
      </c>
      <c r="P288" s="295" t="s">
        <v>257</v>
      </c>
      <c r="Q288" s="295" t="s">
        <v>263</v>
      </c>
      <c r="R288" s="295" t="s">
        <v>271</v>
      </c>
      <c r="S288" s="295" t="s">
        <v>277</v>
      </c>
      <c r="T288" s="295" t="s">
        <v>281</v>
      </c>
      <c r="U288" s="295" t="s">
        <v>285</v>
      </c>
      <c r="V288" s="295" t="s">
        <v>295</v>
      </c>
      <c r="W288" s="295" t="s">
        <v>302</v>
      </c>
      <c r="X288" s="295" t="s">
        <v>306</v>
      </c>
      <c r="Y288" s="295" t="s">
        <v>320</v>
      </c>
      <c r="Z288" s="295" t="s">
        <v>330</v>
      </c>
      <c r="AA288" s="295" t="s">
        <v>337</v>
      </c>
      <c r="AB288" s="295" t="s">
        <v>342</v>
      </c>
      <c r="AC288" s="295" t="s">
        <v>347</v>
      </c>
      <c r="AD288" s="295" t="s">
        <v>354</v>
      </c>
      <c r="AE288" s="295" t="s">
        <v>285</v>
      </c>
      <c r="AF288" s="1"/>
    </row>
    <row r="289" spans="1:32" ht="13.8" thickBot="1" x14ac:dyDescent="0.3">
      <c r="A289" s="298"/>
      <c r="B289" s="295"/>
      <c r="C289" s="295"/>
      <c r="D289" s="295"/>
      <c r="E289" s="295"/>
      <c r="F289" s="295"/>
      <c r="G289" s="295"/>
      <c r="H289" s="295"/>
      <c r="I289" s="295"/>
      <c r="J289" s="295"/>
      <c r="K289" s="295"/>
      <c r="L289" s="295"/>
      <c r="M289" s="295"/>
      <c r="N289" s="1"/>
      <c r="O289" s="295"/>
      <c r="P289" s="295"/>
      <c r="Q289" s="295"/>
      <c r="R289" s="295"/>
      <c r="S289" s="295"/>
      <c r="T289" s="295"/>
      <c r="U289" s="295"/>
      <c r="V289" s="295"/>
      <c r="W289" s="295"/>
      <c r="X289" s="295"/>
      <c r="Y289" s="295"/>
      <c r="Z289" s="295"/>
      <c r="AA289" s="295"/>
      <c r="AB289" s="295"/>
      <c r="AC289" s="295"/>
      <c r="AD289" s="295"/>
      <c r="AE289" s="295"/>
      <c r="AF289" s="1"/>
    </row>
    <row r="290" spans="1:32" ht="15" thickTop="1" thickBot="1" x14ac:dyDescent="0.3">
      <c r="A290" s="46" t="s">
        <v>13</v>
      </c>
      <c r="B290" s="52">
        <f>IFERROR(X22*H22,"0")+IFERROR(X23*H23,"0")+IFERROR(X24*H24,"0")+IFERROR(X25*H25,"0")+IFERROR(X26*H26,"0")+IFERROR(X27*H27,"0")+IFERROR(X28*H28,"0")+IFERROR(X29*H29,"0")+IFERROR(X33*H33,"0")</f>
        <v>0</v>
      </c>
      <c r="C290" s="52">
        <f>IFERROR(X38*H38,"0")+IFERROR(X39*H39,"0")</f>
        <v>0</v>
      </c>
      <c r="D290" s="52">
        <f>IFERROR(X45*H45,"0")+IFERROR(X46*H46,"0")</f>
        <v>0</v>
      </c>
      <c r="E290" s="52">
        <f>IFERROR(X51*H51,"0")+IFERROR(X52*H52,"0")+IFERROR(X53*H53,"0")+IFERROR(X54*H54,"0")</f>
        <v>0</v>
      </c>
      <c r="F290" s="52">
        <f>IFERROR(X59*H59,"0")+IFERROR(X60*H60,"0")+IFERROR(X61*H61,"0")+IFERROR(X62*H62,"0")</f>
        <v>0</v>
      </c>
      <c r="G290" s="52">
        <f>IFERROR(X67*H67,"0")+IFERROR(X68*H68,"0")</f>
        <v>0</v>
      </c>
      <c r="H290" s="52">
        <f>IFERROR(X73*H73,"0")</f>
        <v>0</v>
      </c>
      <c r="I290" s="52">
        <f>IFERROR(X78*H78,"0")+IFERROR(X79*H79,"0")</f>
        <v>0</v>
      </c>
      <c r="J290" s="52">
        <f>IFERROR(X84*H84,"0")+IFERROR(X85*H85,"0")+IFERROR(X86*H86,"0")+IFERROR(X87*H87,"0")+IFERROR(X88*H88,"0")+IFERROR(X89*H89,"0")+IFERROR(X90*H90,"0")+IFERROR(X91*H91,"0")</f>
        <v>0</v>
      </c>
      <c r="K290" s="52">
        <f>IFERROR(X96*H96,"0")+IFERROR(X97*H97,"0")</f>
        <v>0</v>
      </c>
      <c r="L290" s="52">
        <f>IFERROR(X102*H102,"0")+IFERROR(X103*H103,"0")+IFERROR(X104*H104,"0")+IFERROR(X105*H105,"0")+IFERROR(X106*H106,"0")+IFERROR(X107*H107,"0")+IFERROR(X108*H108,"0")+IFERROR(X109*H109,"0")+IFERROR(X113*H113,"0")+IFERROR(X117*H117,"0")</f>
        <v>0</v>
      </c>
      <c r="M290" s="52">
        <f>IFERROR(X122*H122,"0")+IFERROR(X126*H126,"0")+IFERROR(X127*H127,"0")+IFERROR(X128*H128,"0")+IFERROR(X129*H129,"0")+IFERROR(X133*H133,"0")+IFERROR(X134*H134,"0")+IFERROR(X135*H135,"0")</f>
        <v>0</v>
      </c>
      <c r="N290" s="1"/>
      <c r="O290" s="52">
        <f>IFERROR(X140*H140,"0")+IFERROR(X141*H141,"0")+IFERROR(X142*H142,"0")</f>
        <v>0</v>
      </c>
      <c r="P290" s="52">
        <f>IFERROR(X147*H147,"0")+IFERROR(X148*H148,"0")</f>
        <v>0</v>
      </c>
      <c r="Q290" s="52">
        <f>IFERROR(X153*H153,"0")+IFERROR(X154*H154,"0")+IFERROR(X155*H155,"0")</f>
        <v>0</v>
      </c>
      <c r="R290" s="52">
        <f>IFERROR(X160*H160,"0")+IFERROR(X161*H161,"0")</f>
        <v>0</v>
      </c>
      <c r="S290" s="52">
        <f>IFERROR(X166*H166,"0")</f>
        <v>0</v>
      </c>
      <c r="T290" s="52">
        <f>IFERROR(X171*H171,"0")</f>
        <v>0</v>
      </c>
      <c r="U290" s="52">
        <f>IFERROR(X177*H177,"0")+IFERROR(X181*H181,"0")+IFERROR(X182*H182,"0")</f>
        <v>0</v>
      </c>
      <c r="V290" s="52">
        <f>IFERROR(X187*H187,"0")+IFERROR(X188*H188,"0")</f>
        <v>0</v>
      </c>
      <c r="W290" s="52">
        <f>IFERROR(X193*H193,"0")</f>
        <v>0</v>
      </c>
      <c r="X290" s="52">
        <f>IFERROR(X199*H199,"0")+IFERROR(X200*H200,"0")+IFERROR(X201*H201,"0")+IFERROR(X202*H202,"0")</f>
        <v>0</v>
      </c>
      <c r="Y290" s="52">
        <f>IFERROR(X208*H208,"0")+IFERROR(X212*H212,"0")+IFERROR(X213*H213,"0")</f>
        <v>0</v>
      </c>
      <c r="Z290" s="52">
        <f>IFERROR(X218*H218,"0")+IFERROR(X219*H219,"0")</f>
        <v>0</v>
      </c>
      <c r="AA290" s="52">
        <f>IFERROR(X224*H224,"0")</f>
        <v>0</v>
      </c>
      <c r="AB290" s="52">
        <f>IFERROR(X230*H230,"0")</f>
        <v>0</v>
      </c>
      <c r="AC290" s="52">
        <f>IFERROR(X236*H236,"0")+IFERROR(X240*H240,"0")</f>
        <v>0</v>
      </c>
      <c r="AD290" s="52">
        <f>IFERROR(X246*H246,"0")+IFERROR(X250*H250,"0")</f>
        <v>0</v>
      </c>
      <c r="AE290" s="52">
        <f>IFERROR(X256*H256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+IFERROR(X277*H277,"0")</f>
        <v>0</v>
      </c>
      <c r="AF290" s="1"/>
    </row>
    <row r="291" spans="1:32" ht="13.8" thickTop="1" x14ac:dyDescent="0.25">
      <c r="C291" s="1"/>
    </row>
    <row r="292" spans="1:32" ht="19.5" customHeight="1" x14ac:dyDescent="0.25">
      <c r="A292" s="70" t="s">
        <v>62</v>
      </c>
      <c r="B292" s="70" t="s">
        <v>63</v>
      </c>
      <c r="C292" s="70" t="s">
        <v>65</v>
      </c>
    </row>
    <row r="293" spans="1:32" x14ac:dyDescent="0.25">
      <c r="A293" s="71">
        <f>SUMPRODUCT(--(BB:BB="ЗПФ"),--(W:W="кор"),H:H,Y:Y)+SUMPRODUCT(--(BB:BB="ЗПФ"),--(W:W="кг"),Y:Y)</f>
        <v>0</v>
      </c>
      <c r="B293" s="72">
        <f>SUMPRODUCT(--(BB:BB="ПГП"),--(W:W="кор"),H:H,Y:Y)+SUMPRODUCT(--(BB:BB="ПГП"),--(W:W="кг"),Y:Y)</f>
        <v>0</v>
      </c>
      <c r="C293" s="72">
        <f>SUMPRODUCT(--(BB:BB="КИЗ"),--(W:W="кор"),H:H,Y:Y)+SUMPRODUCT(--(BB:BB="КИЗ"),--(W:W="кг"),Y:Y)</f>
        <v>0</v>
      </c>
    </row>
  </sheetData>
  <sheetProtection algorithmName="SHA-512" hashValue="BQc8YN8KHyG6kKEfvvhoXPSP8VCvG9YEgHpGABAWl2Zjc7dKPz/KJmjXByVbnNT2MLzhpC6Aj3uPeSJi6ncayg==" saltValue="I7CsWYAb3Sm2npcwuJfhcg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1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D33:E33"/>
    <mergeCell ref="P33:T33"/>
    <mergeCell ref="P34:V34"/>
    <mergeCell ref="A34:O35"/>
    <mergeCell ref="P35:V35"/>
    <mergeCell ref="A36:Z36"/>
    <mergeCell ref="A37:Z37"/>
    <mergeCell ref="D38:E38"/>
    <mergeCell ref="P38:T38"/>
    <mergeCell ref="D39:E39"/>
    <mergeCell ref="P39:T39"/>
    <mergeCell ref="P40:V40"/>
    <mergeCell ref="A40:O41"/>
    <mergeCell ref="P41:V41"/>
    <mergeCell ref="A42:Z42"/>
    <mergeCell ref="A43:Z43"/>
    <mergeCell ref="A44:Z44"/>
    <mergeCell ref="D45:E45"/>
    <mergeCell ref="P45:T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A66:Z66"/>
    <mergeCell ref="D67:E67"/>
    <mergeCell ref="P67:T67"/>
    <mergeCell ref="D68:E68"/>
    <mergeCell ref="P68:T68"/>
    <mergeCell ref="P69:V69"/>
    <mergeCell ref="A69:O70"/>
    <mergeCell ref="P70:V70"/>
    <mergeCell ref="A71:Z71"/>
    <mergeCell ref="A72:Z72"/>
    <mergeCell ref="D73:E73"/>
    <mergeCell ref="P73:T73"/>
    <mergeCell ref="P74:V74"/>
    <mergeCell ref="A74:O75"/>
    <mergeCell ref="P75:V75"/>
    <mergeCell ref="A76:Z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A95:Z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18:V118"/>
    <mergeCell ref="A118:O119"/>
    <mergeCell ref="P119:V119"/>
    <mergeCell ref="A120:Z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A222:Z222"/>
    <mergeCell ref="A223:Z223"/>
    <mergeCell ref="D224:E224"/>
    <mergeCell ref="P224:T224"/>
    <mergeCell ref="P225:V225"/>
    <mergeCell ref="A225:O226"/>
    <mergeCell ref="P226:V226"/>
    <mergeCell ref="A227:Z227"/>
    <mergeCell ref="A228:Z228"/>
    <mergeCell ref="A229:Z229"/>
    <mergeCell ref="D230:E230"/>
    <mergeCell ref="P230:T230"/>
    <mergeCell ref="P231:V231"/>
    <mergeCell ref="A231:O232"/>
    <mergeCell ref="P232:V232"/>
    <mergeCell ref="A233:Z233"/>
    <mergeCell ref="A234:Z234"/>
    <mergeCell ref="A235:Z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A243:Z243"/>
    <mergeCell ref="A244:Z244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T287"/>
    <mergeCell ref="U287:W287"/>
    <mergeCell ref="Y287:AA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T288:T289"/>
    <mergeCell ref="U288:U289"/>
    <mergeCell ref="AE288:AE289"/>
    <mergeCell ref="V288:V289"/>
    <mergeCell ref="W288:W289"/>
    <mergeCell ref="X288:X289"/>
    <mergeCell ref="Y288:Y289"/>
    <mergeCell ref="Z288:Z289"/>
    <mergeCell ref="AA288:AA289"/>
    <mergeCell ref="AB288:AB289"/>
    <mergeCell ref="AC288:AC289"/>
    <mergeCell ref="AD288:AD28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20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3">
      <formula1>IF(AK23&gt;0,OR(X23=0,AND(IF(X23-AK23&gt;=0,TRUE,FALSE),X23&gt;0)),FALSE)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4">
      <formula1>IF(AK24&gt;0,OR(X24=0,AND(IF(X24-AK24&gt;=0,TRUE,FALSE),X24&gt;0)),FALSE)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">
      <formula1>IF(AK25&gt;0,OR(X25=0,AND(IF(X25-AK25&gt;=0,TRUE,FALSE),X25&gt;0)),FALSE)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">
      <formula1>IF(AK26&gt;0,OR(X26=0,AND(IF(X26-AK26&gt;=0,TRUE,FALSE),X26&gt;0)),FALSE)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">
      <formula1>IF(AK27&gt;0,OR(X27=0,AND(IF(X27-AK27&gt;=0,TRUE,FALSE),X27&gt;0)),FALSE)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">
      <formula1>IF(AK28&gt;0,OR(X28=0,AND(IF(X28-AK28&gt;=0,TRUE,FALSE),X28&gt;0)),FALSE)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9">
      <formula1>IF(AK29&gt;0,OR(X29=0,AND(IF(X29-AK29&gt;=0,TRUE,FALSE),X29&gt;0)),FALSE)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33">
      <formula1>IF(AK33&gt;0,OR(X33=0,AND(IF(X33-AK33&gt;=0,TRUE,FALSE),X33&gt;0)),FALSE)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38">
      <formula1>IF(AK38&gt;0,OR(X38=0,AND(IF(X38-AK38&gt;=0,TRUE,FALSE),X38&gt;0)),FALSE)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39">
      <formula1>IF(AK39&gt;0,OR(X39=0,AND(IF(X39-AK39&gt;=0,TRUE,FALSE),X39&gt;0)),FALSE)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">
      <formula1>IF(AK45&gt;0,OR(X45=0,AND(IF(X45-AK45&gt;=0,TRUE,FALSE),X45&gt;0,IF(X45/K45=ROUND(X45/K45,0),TRUE,FALSE))),FALSE)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46">
      <formula1>IF(AK46&gt;0,OR(X46=0,AND(IF(X46-AK46&gt;=0,TRUE,FALSE),X46&gt;0)),FALSE)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51">
      <formula1>IF(AK51&gt;0,OR(X51=0,AND(IF(X51-AK51&gt;=0,TRUE,FALSE),X51&gt;0,IF(X51/K51=ROUND(X51/K51,0),TRUE,FALSE))),FALSE)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52">
      <formula1>IF(AK52&gt;0,OR(X52=0,AND(IF(X52-AK52&gt;=0,TRUE,FALSE),X52&gt;0,IF(X52/K52=ROUND(X52/K52,0),TRUE,FALSE))),FALSE)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53">
      <formula1>IF(AK53&gt;0,OR(X53=0,AND(IF(X53-AK53&gt;=0,TRUE,FALSE),X53&gt;0,IF(X53/K53=ROUND(X53/K53,0),TRUE,FALSE))),FALSE)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54">
      <formula1>IF(AK54&gt;0,OR(X54=0,AND(IF(X54-AK54&gt;=0,TRUE,FALSE),X54&gt;0,IF(X54/K54=ROUND(X54/K54,0),TRUE,FALSE))),FALSE)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59">
      <formula1>IF(AK59&gt;0,OR(X59=0,AND(IF(X59-AK59&gt;=0,TRUE,FALSE),X59&gt;0)),FALSE)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60">
      <formula1>IF(AK60&gt;0,OR(X60=0,AND(IF(X60-AK60&gt;=0,TRUE,FALSE),X60&gt;0)),FALSE)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61">
      <formula1>IF(AK61&gt;0,OR(X61=0,AND(IF(X61-AK61&gt;=0,TRUE,FALSE),X61&gt;0,IF(X61/K61=ROUND(X61/K61,0),TRUE,FALSE))),FALSE)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62">
      <formula1>IF(AK62&gt;0,OR(X62=0,AND(IF(X62-AK62&gt;=0,TRUE,FALSE),X62&gt;0,IF(X62/K62=ROUND(X62/K62,0),TRUE,FALSE))),FALSE)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67">
      <formula1>IF(AK67&gt;0,OR(X67=0,AND(IF(X67-AK67&gt;=0,TRUE,FALSE),X67&gt;0,IF(X67/K67=ROUND(X67/K67,0),TRUE,FALSE))),FALSE)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68">
      <formula1>IF(AK68&gt;0,OR(X68=0,AND(IF(X68-AK68&gt;=0,TRUE,FALSE),X68&gt;0,IF(X68/K68=ROUND(X68/K68,0),TRUE,FALSE))),FALSE)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73">
      <formula1>IF(AK73&gt;0,OR(X73=0,AND(IF(X73-AK73&gt;=0,TRUE,FALSE),X73&gt;0)),FALSE)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8">
      <formula1>IF(AK78&gt;0,OR(X78=0,AND(IF(X78-AK78&gt;=0,TRUE,FALSE),X78&gt;0,IF(X78/K78=ROUND(X78/K78,0),TRUE,FALSE))),FALSE)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9">
      <formula1>IF(AK79&gt;0,OR(X79=0,AND(IF(X79-AK79&gt;=0,TRUE,FALSE),X79&gt;0,IF(X79/K79=ROUND(X79/K79,0),TRUE,FALSE))),FALSE)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84">
      <formula1>IF(AK84&gt;0,OR(X84=0,AND(IF(X84-AK84&gt;=0,TRUE,FALSE),X84&gt;0,IF(X84/K84=ROUND(X84/K84,0),TRUE,FALSE))),FALSE)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85">
      <formula1>IF(AK85&gt;0,OR(X85=0,AND(IF(X85-AK85&gt;=0,TRUE,FALSE),X85&gt;0)),FALSE)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86">
      <formula1>IF(AK86&gt;0,OR(X86=0,AND(IF(X86-AK86&gt;=0,TRUE,FALSE),X86&gt;0)),FALSE)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87">
      <formula1>IF(AK87&gt;0,OR(X87=0,AND(IF(X87-AK87&gt;=0,TRUE,FALSE),X87&gt;0)),FALSE)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88">
      <formula1>IF(AK88&gt;0,OR(X88=0,AND(IF(X88-AK88&gt;=0,TRUE,FALSE),X88&gt;0)),FALSE)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89">
      <formula1>IF(AK89&gt;0,OR(X89=0,AND(IF(X89-AK89&gt;=0,TRUE,FALSE),X89&gt;0)),FALSE)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90">
      <formula1>IF(AK90&gt;0,OR(X90=0,AND(IF(X90-AK90&gt;=0,TRUE,FALSE),X90&gt;0)),FALSE)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91">
      <formula1>IF(AK91&gt;0,OR(X91=0,AND(IF(X91-AK91&gt;=0,TRUE,FALSE),X91&gt;0)),FALSE)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96">
      <formula1>IF(AK96&gt;0,OR(X96=0,AND(IF(X96-AK96&gt;=0,TRUE,FALSE),X96&gt;0)),FALSE)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97">
      <formula1>IF(AK97&gt;0,OR(X97=0,AND(IF(X97-AK97&gt;=0,TRUE,FALSE),X97&gt;0)),FALSE)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02">
      <formula1>IF(AK102&gt;0,OR(X102=0,AND(IF(X102-AK102&gt;=0,TRUE,FALSE),X102&gt;0,IF(X102/K102=ROUND(X102/K102,0),TRUE,FALSE))),FALSE)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03">
      <formula1>IF(AK103&gt;0,OR(X103=0,AND(IF(X103-AK103&gt;=0,TRUE,FALSE),X103&gt;0)),FALSE)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04">
      <formula1>IF(AK104&gt;0,OR(X104=0,AND(IF(X104-AK104&gt;=0,TRUE,FALSE),X104&gt;0,IF(X104/K104=ROUND(X104/K104,0),TRUE,FALSE))),FALSE)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05">
      <formula1>IF(AK105&gt;0,OR(X105=0,AND(IF(X105-AK105&gt;=0,TRUE,FALSE),X105&gt;0,IF(X105/K105=ROUND(X105/K105,0),TRUE,FALSE))),FALSE)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06">
      <formula1>IF(AK106&gt;0,OR(X106=0,AND(IF(X106-AK106&gt;=0,TRUE,FALSE),X106&gt;0)),FALSE)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07">
      <formula1>IF(AK107&gt;0,OR(X107=0,AND(IF(X107-AK107&gt;=0,TRUE,FALSE),X107&gt;0)),FALSE)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08">
      <formula1>IF(AK108&gt;0,OR(X108=0,AND(IF(X108-AK108&gt;=0,TRUE,FALSE),X108&gt;0)),FALSE)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09">
      <formula1>IF(AK109&gt;0,OR(X109=0,AND(IF(X109-AK109&gt;=0,TRUE,FALSE),X109&gt;0)),FALSE)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13">
      <formula1>IF(AK113&gt;0,OR(X113=0,AND(IF(X113-AK113&gt;=0,TRUE,FALSE),X113&gt;0)),FALSE)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17">
      <formula1>IF(AK117&gt;0,OR(X117=0,AND(IF(X117-AK117&gt;=0,TRUE,FALSE),X117&gt;0)),FALSE)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22">
      <formula1>IF(AK122&gt;0,OR(X122=0,AND(IF(X122-AK122&gt;=0,TRUE,FALSE),X122&gt;0)),FALSE)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26">
      <formula1>IF(AK126&gt;0,OR(X126=0,AND(IF(X126-AK126&gt;=0,TRUE,FALSE),X126&gt;0)),FALSE)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27">
      <formula1>IF(AK127&gt;0,OR(X127=0,AND(IF(X127-AK127&gt;=0,TRUE,FALSE),X127&gt;0)),FALSE)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28">
      <formula1>IF(AK128&gt;0,OR(X128=0,AND(IF(X128-AK128&gt;=0,TRUE,FALSE),X128&gt;0)),FALSE)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29">
      <formula1>IF(AK129&gt;0,OR(X129=0,AND(IF(X129-AK129&gt;=0,TRUE,FALSE),X129&gt;0)),FALSE)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33">
      <formula1>IF(AK133&gt;0,OR(X133=0,AND(IF(X133-AK133&gt;=0,TRUE,FALSE),X133&gt;0)),FALSE)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34">
      <formula1>IF(AK134&gt;0,OR(X134=0,AND(IF(X134-AK134&gt;=0,TRUE,FALSE),X134&gt;0)),FALSE)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35">
      <formula1>IF(AK135&gt;0,OR(X135=0,AND(IF(X135-AK135&gt;=0,TRUE,FALSE),X135&gt;0)),FALSE)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40">
      <formula1>IF(AK140&gt;0,OR(X140=0,AND(IF(X140-AK140&gt;=0,TRUE,FALSE),X140&gt;0)),FALSE)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41">
      <formula1>IF(AK141&gt;0,OR(X141=0,AND(IF(X141-AK141&gt;=0,TRUE,FALSE),X141&gt;0)),FALSE)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42">
      <formula1>IF(AK142&gt;0,OR(X142=0,AND(IF(X142-AK142&gt;=0,TRUE,FALSE),X142&gt;0)),FALSE)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47">
      <formula1>IF(AK147&gt;0,OR(X147=0,AND(IF(X147-AK147&gt;=0,TRUE,FALSE),X147&gt;0)),FALSE)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48">
      <formula1>IF(AK148&gt;0,OR(X148=0,AND(IF(X148-AK148&gt;=0,TRUE,FALSE),X148&gt;0)),FALSE)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53">
      <formula1>IF(AK153&gt;0,OR(X153=0,AND(IF(X153-AK153&gt;=0,TRUE,FALSE),X153&gt;0)),FALSE)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54">
      <formula1>IF(AK154&gt;0,OR(X154=0,AND(IF(X154-AK154&gt;=0,TRUE,FALSE),X154&gt;0)),FALSE)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55">
      <formula1>IF(AK155&gt;0,OR(X155=0,AND(IF(X155-AK155&gt;=0,TRUE,FALSE),X155&gt;0)),FALSE)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60">
      <formula1>IF(AK160&gt;0,OR(X160=0,AND(IF(X160-AK160&gt;=0,TRUE,FALSE),X160&gt;0,IF(X160/K160=ROUND(X160/K160,0),TRUE,FALSE))),FALSE)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61">
      <formula1>IF(AK161&gt;0,OR(X161=0,AND(IF(X161-AK161&gt;=0,TRUE,FALSE),X161&gt;0)),FALSE)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66">
      <formula1>IF(AK166&gt;0,OR(X166=0,AND(IF(X166-AK166&gt;=0,TRUE,FALSE),X166&gt;0,IF(X166/K166=ROUND(X166/K166,0),TRUE,FALSE))),FALSE)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71">
      <formula1>IF(AK171&gt;0,OR(X171=0,AND(IF(X171-AK171&gt;=0,TRUE,FALSE),X171&gt;0)),FALSE)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77">
      <formula1>IF(AK177&gt;0,OR(X177=0,AND(IF(X177-AK177&gt;=0,TRUE,FALSE),X177&gt;0)),FALSE)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81">
      <formula1>IF(AK181&gt;0,OR(X181=0,AND(IF(X181-AK181&gt;=0,TRUE,FALSE),X181&gt;0)),FALSE)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82">
      <formula1>IF(AK182&gt;0,OR(X182=0,AND(IF(X182-AK182&gt;=0,TRUE,FALSE),X182&gt;0)),FALSE)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87">
      <formula1>IF(AK187&gt;0,OR(X187=0,AND(IF(X187-AK187&gt;=0,TRUE,FALSE),X187&gt;0,IF(X187/K187=ROUND(X187/K187,0),TRUE,FALSE))),FALSE)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88">
      <formula1>IF(AK188&gt;0,OR(X188=0,AND(IF(X188-AK188&gt;=0,TRUE,FALSE),X188&gt;0,IF(X188/K188=ROUND(X188/K188,0),TRUE,FALSE))),FALSE)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93">
      <formula1>IF(AK193&gt;0,OR(X193=0,AND(IF(X193-AK193&gt;=0,TRUE,FALSE),X193&gt;0)),FALSE)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99">
      <formula1>IF(AK199&gt;0,OR(X199=0,AND(IF(X199-AK199&gt;=0,TRUE,FALSE),X199&gt;0,IF(X199/K199=ROUND(X199/K199,0),TRUE,FALSE))),FALSE)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00">
      <formula1>IF(AK200&gt;0,OR(X200=0,AND(IF(X200-AK200&gt;=0,TRUE,FALSE),X200&gt;0,IF(X200/K200=ROUND(X200/K200,0),TRUE,FALSE))),FALSE)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01">
      <formula1>IF(AK201&gt;0,OR(X201=0,AND(IF(X201-AK201&gt;=0,TRUE,FALSE),X201&gt;0,IF(X201/K201=ROUND(X201/K201,0),TRUE,FALSE))),FALSE)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02">
      <formula1>IF(AK202&gt;0,OR(X202=0,AND(IF(X202-AK202&gt;=0,TRUE,FALSE),X202&gt;0)),FALSE)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08">
      <formula1>IF(AK208&gt;0,OR(X208=0,AND(IF(X208-AK208&gt;=0,TRUE,FALSE),X208&gt;0,IF(X208/K208=ROUND(X208/K208,0),TRUE,FALSE))),FALSE)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12">
      <formula1>IF(AK212&gt;0,OR(X212=0,AND(IF(X212-AK212&gt;=0,TRUE,FALSE),X212&gt;0)),FALSE)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13">
      <formula1>IF(AK213&gt;0,OR(X213=0,AND(IF(X213-AK213&gt;=0,TRUE,FALSE),X213&gt;0,IF(X213/K213=ROUND(X213/K213,0),TRUE,FALSE))),FALSE)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18">
      <formula1>IF(AK218&gt;0,OR(X218=0,AND(IF(X218-AK218&gt;=0,TRUE,FALSE),X218&gt;0)),FALSE)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19">
      <formula1>IF(AK219&gt;0,OR(X219=0,AND(IF(X219-AK219&gt;=0,TRUE,FALSE),X219&gt;0)),FALSE)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24">
      <formula1>IF(AK224&gt;0,OR(X224=0,AND(IF(X224-AK224&gt;=0,TRUE,FALSE),X224&gt;0,IF(X224/K224=ROUND(X224/K224,0),TRUE,FALSE))),FALSE)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30">
      <formula1>IF(AK230&gt;0,OR(X230=0,AND(IF(X230-AK230&gt;=0,TRUE,FALSE),X230&gt;0)),FALSE)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36">
      <formula1>IF(AK236&gt;0,OR(X236=0,AND(IF(X236-AK236&gt;=0,TRUE,FALSE),X236&gt;0)),FALSE)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40">
      <formula1>IF(AK240&gt;0,OR(X240=0,AND(IF(X240-AK240&gt;=0,TRUE,FALSE),X240&gt;0)),FALSE)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46">
      <formula1>IF(AK246&gt;0,OR(X246=0,AND(IF(X246-AK246&gt;=0,TRUE,FALSE),X246&gt;0)),FALSE)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0">
      <formula1>IF(AK250&gt;0,OR(X250=0,AND(IF(X250-AK250&gt;=0,TRUE,FALSE),X250&gt;0)),FALSE)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6">
      <formula1>IF(AK256&gt;0,OR(X256=0,AND(IF(X256-AK256&gt;=0,TRUE,FALSE),X256&gt;0)),FALSE)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7">
      <formula1>IF(AK257&gt;0,OR(X257=0,AND(IF(X257-AK257&gt;=0,TRUE,FALSE),X257&gt;0)),FALSE)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1">
      <formula1>IF(AK261&gt;0,OR(X261=0,AND(IF(X261-AK261&gt;=0,TRUE,FALSE),X261&gt;0)),FALSE)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2">
      <formula1>IF(AK262&gt;0,OR(X262=0,AND(IF(X262-AK262&gt;=0,TRUE,FALSE),X262&gt;0)),FALSE)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3">
      <formula1>IF(AK263&gt;0,OR(X263=0,AND(IF(X263-AK263&gt;=0,TRUE,FALSE),X263&gt;0)),FALSE)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7">
      <formula1>IF(AK267&gt;0,OR(X267=0,AND(IF(X267-AK267&gt;=0,TRUE,FALSE),X267&gt;0)),FALSE)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">
      <formula1>IF(AK268&gt;0,OR(X268=0,AND(IF(X268-AK268&gt;=0,TRUE,FALSE),X268&gt;0)),FALSE)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9">
      <formula1>IF(AK269&gt;0,OR(X269=0,AND(IF(X269-AK269&gt;=0,TRUE,FALSE),X269&gt;0)),FALSE)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0">
      <formula1>IF(AK270&gt;0,OR(X270=0,AND(IF(X270-AK270&gt;=0,TRUE,FALSE),X270&gt;0)),FALSE)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1">
      <formula1>IF(AK271&gt;0,OR(X271=0,AND(IF(X271-AK271&gt;=0,TRUE,FALSE),X271&gt;0)),FALSE)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2">
      <formula1>IF(AK272&gt;0,OR(X272=0,AND(IF(X272-AK272&gt;=0,TRUE,FALSE),X272&gt;0)),FALSE)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3">
      <formula1>IF(AK273&gt;0,OR(X273=0,AND(IF(X273-AK273&gt;=0,TRUE,FALSE),X273&gt;0)),FALSE)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">
      <formula1>IF(AK274&gt;0,OR(X274=0,AND(IF(X274-AK274&gt;=0,TRUE,FALSE),X274&gt;0)),FALSE)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5">
      <formula1>IF(AK275&gt;0,OR(X275=0,AND(IF(X275-AK275&gt;=0,TRUE,FALSE),X275&gt;0)),FALSE)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6">
      <formula1>IF(AK276&gt;0,OR(X276=0,AND(IF(X276-AK276&gt;=0,TRUE,FALSE),X276&gt;0)),FALSE)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">
      <formula1>IF(AK277&gt;0,OR(X277=0,AND(IF(X277-AK277&gt;=0,TRUE,FALSE),X277&gt;0)),FALSE)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0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410</v>
      </c>
      <c r="H1" s="9"/>
    </row>
    <row r="3" spans="2:8" x14ac:dyDescent="0.25">
      <c r="B3" s="53" t="s">
        <v>411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412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79</v>
      </c>
      <c r="C6" s="53" t="s">
        <v>413</v>
      </c>
      <c r="D6" s="53" t="s">
        <v>414</v>
      </c>
      <c r="E6" s="53" t="s">
        <v>46</v>
      </c>
    </row>
    <row r="8" spans="2:8" x14ac:dyDescent="0.25">
      <c r="B8" s="53" t="s">
        <v>80</v>
      </c>
      <c r="C8" s="53" t="s">
        <v>413</v>
      </c>
      <c r="D8" s="53" t="s">
        <v>46</v>
      </c>
      <c r="E8" s="53" t="s">
        <v>46</v>
      </c>
    </row>
    <row r="10" spans="2:8" x14ac:dyDescent="0.25">
      <c r="B10" s="53" t="s">
        <v>415</v>
      </c>
      <c r="C10" s="53" t="s">
        <v>46</v>
      </c>
      <c r="D10" s="53" t="s">
        <v>46</v>
      </c>
      <c r="E10" s="53" t="s">
        <v>46</v>
      </c>
    </row>
    <row r="11" spans="2:8" x14ac:dyDescent="0.25">
      <c r="B11" s="53" t="s">
        <v>416</v>
      </c>
      <c r="C11" s="53" t="s">
        <v>46</v>
      </c>
      <c r="D11" s="53" t="s">
        <v>46</v>
      </c>
      <c r="E11" s="53" t="s">
        <v>46</v>
      </c>
    </row>
    <row r="12" spans="2:8" x14ac:dyDescent="0.25">
      <c r="B12" s="53" t="s">
        <v>417</v>
      </c>
      <c r="C12" s="53" t="s">
        <v>46</v>
      </c>
      <c r="D12" s="53" t="s">
        <v>46</v>
      </c>
      <c r="E12" s="53" t="s">
        <v>46</v>
      </c>
    </row>
    <row r="13" spans="2:8" x14ac:dyDescent="0.25">
      <c r="B13" s="53" t="s">
        <v>418</v>
      </c>
      <c r="C13" s="53" t="s">
        <v>46</v>
      </c>
      <c r="D13" s="53" t="s">
        <v>46</v>
      </c>
      <c r="E13" s="53" t="s">
        <v>46</v>
      </c>
    </row>
    <row r="14" spans="2:8" x14ac:dyDescent="0.25">
      <c r="B14" s="53" t="s">
        <v>419</v>
      </c>
      <c r="C14" s="53" t="s">
        <v>46</v>
      </c>
      <c r="D14" s="53" t="s">
        <v>46</v>
      </c>
      <c r="E14" s="53" t="s">
        <v>46</v>
      </c>
    </row>
    <row r="15" spans="2:8" x14ac:dyDescent="0.25">
      <c r="B15" s="53" t="s">
        <v>420</v>
      </c>
      <c r="C15" s="53" t="s">
        <v>46</v>
      </c>
      <c r="D15" s="53" t="s">
        <v>46</v>
      </c>
      <c r="E15" s="53" t="s">
        <v>46</v>
      </c>
    </row>
    <row r="16" spans="2:8" x14ac:dyDescent="0.25">
      <c r="B16" s="53" t="s">
        <v>421</v>
      </c>
      <c r="C16" s="53" t="s">
        <v>46</v>
      </c>
      <c r="D16" s="53" t="s">
        <v>46</v>
      </c>
      <c r="E16" s="53" t="s">
        <v>46</v>
      </c>
    </row>
    <row r="17" spans="2:5" x14ac:dyDescent="0.25">
      <c r="B17" s="53" t="s">
        <v>422</v>
      </c>
      <c r="C17" s="53" t="s">
        <v>46</v>
      </c>
      <c r="D17" s="53" t="s">
        <v>46</v>
      </c>
      <c r="E17" s="53" t="s">
        <v>46</v>
      </c>
    </row>
    <row r="18" spans="2:5" x14ac:dyDescent="0.25">
      <c r="B18" s="53" t="s">
        <v>423</v>
      </c>
      <c r="C18" s="53" t="s">
        <v>46</v>
      </c>
      <c r="D18" s="53" t="s">
        <v>46</v>
      </c>
      <c r="E18" s="53" t="s">
        <v>46</v>
      </c>
    </row>
    <row r="19" spans="2:5" x14ac:dyDescent="0.25">
      <c r="B19" s="53" t="s">
        <v>424</v>
      </c>
      <c r="C19" s="53" t="s">
        <v>46</v>
      </c>
      <c r="D19" s="53" t="s">
        <v>46</v>
      </c>
      <c r="E19" s="53" t="s">
        <v>46</v>
      </c>
    </row>
    <row r="20" spans="2:5" x14ac:dyDescent="0.25">
      <c r="B20" s="53" t="s">
        <v>425</v>
      </c>
      <c r="C20" s="53" t="s">
        <v>46</v>
      </c>
      <c r="D20" s="53" t="s">
        <v>46</v>
      </c>
      <c r="E20" s="53" t="s">
        <v>46</v>
      </c>
    </row>
  </sheetData>
  <sheetProtection algorithmName="SHA-512" hashValue="qfZP3cmtQZ6hqT4qp4ClX/EhRjZaC8wtTHn3O6Jn9ryNDxtcrzT20uYTq1EMonbpZK1jL9gaw1GD2bIlWYbpog==" saltValue="MPIeU3Tc5qHymL2DMuvVA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454</vt:i4>
      </vt:variant>
    </vt:vector>
  </HeadingPairs>
  <TitlesOfParts>
    <vt:vector size="45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2026-10-27T16:51:36Z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