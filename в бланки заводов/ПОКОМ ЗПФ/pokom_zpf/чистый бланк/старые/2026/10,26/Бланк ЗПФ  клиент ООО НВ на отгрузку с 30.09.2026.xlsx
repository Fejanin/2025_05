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110682DD-70BC-48EB-BE63-11E7B94B55C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BP276" i="2"/>
  <c r="BO276" i="2"/>
  <c r="BM276" i="2"/>
  <c r="Z276" i="2"/>
  <c r="Y276" i="2"/>
  <c r="BN276" i="2" s="1"/>
  <c r="BO275" i="2"/>
  <c r="BN275" i="2"/>
  <c r="BM275" i="2"/>
  <c r="Z275" i="2"/>
  <c r="Y275" i="2"/>
  <c r="BP275" i="2" s="1"/>
  <c r="P275" i="2"/>
  <c r="BO274" i="2"/>
  <c r="BM274" i="2"/>
  <c r="Z274" i="2"/>
  <c r="Y274" i="2"/>
  <c r="BP274" i="2" s="1"/>
  <c r="BO273" i="2"/>
  <c r="BN273" i="2"/>
  <c r="BM273" i="2"/>
  <c r="Z273" i="2"/>
  <c r="Y273" i="2"/>
  <c r="BP273" i="2" s="1"/>
  <c r="BO272" i="2"/>
  <c r="BM272" i="2"/>
  <c r="Z272" i="2"/>
  <c r="Y272" i="2"/>
  <c r="BP272" i="2" s="1"/>
  <c r="BO271" i="2"/>
  <c r="BN271" i="2"/>
  <c r="BM271" i="2"/>
  <c r="Z271" i="2"/>
  <c r="Y271" i="2"/>
  <c r="BP271" i="2" s="1"/>
  <c r="BO270" i="2"/>
  <c r="BM270" i="2"/>
  <c r="Z270" i="2"/>
  <c r="Y270" i="2"/>
  <c r="BP270" i="2" s="1"/>
  <c r="X268" i="2"/>
  <c r="X267" i="2"/>
  <c r="BO266" i="2"/>
  <c r="BM266" i="2"/>
  <c r="Z266" i="2"/>
  <c r="Y266" i="2"/>
  <c r="BP266" i="2" s="1"/>
  <c r="BP265" i="2"/>
  <c r="BO265" i="2"/>
  <c r="BM265" i="2"/>
  <c r="Z265" i="2"/>
  <c r="Y265" i="2"/>
  <c r="BN265" i="2" s="1"/>
  <c r="BO264" i="2"/>
  <c r="BN264" i="2"/>
  <c r="BM264" i="2"/>
  <c r="Z264" i="2"/>
  <c r="Y264" i="2"/>
  <c r="BP264" i="2" s="1"/>
  <c r="X262" i="2"/>
  <c r="X261" i="2"/>
  <c r="BO260" i="2"/>
  <c r="BM260" i="2"/>
  <c r="Z260" i="2"/>
  <c r="Y260" i="2"/>
  <c r="BP260" i="2" s="1"/>
  <c r="P260" i="2"/>
  <c r="BO259" i="2"/>
  <c r="BM259" i="2"/>
  <c r="Z259" i="2"/>
  <c r="Z261" i="2" s="1"/>
  <c r="Y259" i="2"/>
  <c r="BP259" i="2" s="1"/>
  <c r="P259" i="2"/>
  <c r="X255" i="2"/>
  <c r="X254" i="2"/>
  <c r="BP253" i="2"/>
  <c r="BO253" i="2"/>
  <c r="BM253" i="2"/>
  <c r="Z253" i="2"/>
  <c r="Z254" i="2" s="1"/>
  <c r="Y253" i="2"/>
  <c r="Y254" i="2" s="1"/>
  <c r="P253" i="2"/>
  <c r="X251" i="2"/>
  <c r="X250" i="2"/>
  <c r="BO249" i="2"/>
  <c r="BM249" i="2"/>
  <c r="Z249" i="2"/>
  <c r="Z250" i="2" s="1"/>
  <c r="Y249" i="2"/>
  <c r="Y251" i="2" s="1"/>
  <c r="P249" i="2"/>
  <c r="X245" i="2"/>
  <c r="Y244" i="2"/>
  <c r="X244" i="2"/>
  <c r="BO243" i="2"/>
  <c r="BM243" i="2"/>
  <c r="Z243" i="2"/>
  <c r="Z244" i="2" s="1"/>
  <c r="Y243" i="2"/>
  <c r="Y245" i="2" s="1"/>
  <c r="P243" i="2"/>
  <c r="Y241" i="2"/>
  <c r="X241" i="2"/>
  <c r="X240" i="2"/>
  <c r="BP239" i="2"/>
  <c r="BO239" i="2"/>
  <c r="BM239" i="2"/>
  <c r="Z239" i="2"/>
  <c r="Z240" i="2" s="1"/>
  <c r="Y239" i="2"/>
  <c r="Y240" i="2" s="1"/>
  <c r="P239" i="2"/>
  <c r="Y235" i="2"/>
  <c r="X235" i="2"/>
  <c r="X234" i="2"/>
  <c r="BP233" i="2"/>
  <c r="BO233" i="2"/>
  <c r="BM233" i="2"/>
  <c r="Z233" i="2"/>
  <c r="Z234" i="2" s="1"/>
  <c r="Y233" i="2"/>
  <c r="Y234" i="2" s="1"/>
  <c r="P233" i="2"/>
  <c r="X229" i="2"/>
  <c r="Z228" i="2"/>
  <c r="Y228" i="2"/>
  <c r="X228" i="2"/>
  <c r="BO227" i="2"/>
  <c r="BN227" i="2"/>
  <c r="BM227" i="2"/>
  <c r="Z227" i="2"/>
  <c r="Y227" i="2"/>
  <c r="Y229" i="2" s="1"/>
  <c r="P227" i="2"/>
  <c r="X224" i="2"/>
  <c r="Y223" i="2"/>
  <c r="X223" i="2"/>
  <c r="BP222" i="2"/>
  <c r="BO222" i="2"/>
  <c r="BN222" i="2"/>
  <c r="BM222" i="2"/>
  <c r="Z222" i="2"/>
  <c r="Y222" i="2"/>
  <c r="P222" i="2"/>
  <c r="BO221" i="2"/>
  <c r="BM221" i="2"/>
  <c r="Z221" i="2"/>
  <c r="Z223" i="2" s="1"/>
  <c r="Y221" i="2"/>
  <c r="BN221" i="2" s="1"/>
  <c r="P221" i="2"/>
  <c r="X218" i="2"/>
  <c r="X217" i="2"/>
  <c r="BO216" i="2"/>
  <c r="BN216" i="2"/>
  <c r="BM216" i="2"/>
  <c r="Z216" i="2"/>
  <c r="Y216" i="2"/>
  <c r="BP216" i="2" s="1"/>
  <c r="P216" i="2"/>
  <c r="BO215" i="2"/>
  <c r="BM215" i="2"/>
  <c r="Z215" i="2"/>
  <c r="Y215" i="2"/>
  <c r="BN215" i="2" s="1"/>
  <c r="P215" i="2"/>
  <c r="BO214" i="2"/>
  <c r="BM214" i="2"/>
  <c r="Z214" i="2"/>
  <c r="Z217" i="2" s="1"/>
  <c r="Y214" i="2"/>
  <c r="P214" i="2"/>
  <c r="X212" i="2"/>
  <c r="X211" i="2"/>
  <c r="BO210" i="2"/>
  <c r="BM210" i="2"/>
  <c r="Z210" i="2"/>
  <c r="Z211" i="2" s="1"/>
  <c r="Y210" i="2"/>
  <c r="BP210" i="2" s="1"/>
  <c r="P210" i="2"/>
  <c r="X206" i="2"/>
  <c r="X205" i="2"/>
  <c r="BO204" i="2"/>
  <c r="BM204" i="2"/>
  <c r="Z204" i="2"/>
  <c r="Y204" i="2"/>
  <c r="BP204" i="2" s="1"/>
  <c r="P204" i="2"/>
  <c r="BO203" i="2"/>
  <c r="BM203" i="2"/>
  <c r="Z203" i="2"/>
  <c r="Z205" i="2" s="1"/>
  <c r="Y203" i="2"/>
  <c r="BP203" i="2" s="1"/>
  <c r="P203" i="2"/>
  <c r="BO202" i="2"/>
  <c r="BM202" i="2"/>
  <c r="Z202" i="2"/>
  <c r="Y202" i="2"/>
  <c r="BP202" i="2" s="1"/>
  <c r="P202" i="2"/>
  <c r="BO201" i="2"/>
  <c r="BM201" i="2"/>
  <c r="Z201" i="2"/>
  <c r="Y201" i="2"/>
  <c r="Y205" i="2" s="1"/>
  <c r="P201" i="2"/>
  <c r="X197" i="2"/>
  <c r="Y196" i="2"/>
  <c r="X196" i="2"/>
  <c r="BP195" i="2"/>
  <c r="BO195" i="2"/>
  <c r="BN195" i="2"/>
  <c r="BM195" i="2"/>
  <c r="Z195" i="2"/>
  <c r="Z196" i="2" s="1"/>
  <c r="Y195" i="2"/>
  <c r="Y197" i="2" s="1"/>
  <c r="P195" i="2"/>
  <c r="X192" i="2"/>
  <c r="X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Y186" i="2"/>
  <c r="X186" i="2"/>
  <c r="X185" i="2"/>
  <c r="BO184" i="2"/>
  <c r="BN184" i="2"/>
  <c r="BM184" i="2"/>
  <c r="Z184" i="2"/>
  <c r="Z185" i="2" s="1"/>
  <c r="Y184" i="2"/>
  <c r="Y185" i="2" s="1"/>
  <c r="P184" i="2"/>
  <c r="X182" i="2"/>
  <c r="Y181" i="2"/>
  <c r="X181" i="2"/>
  <c r="BP180" i="2"/>
  <c r="BO180" i="2"/>
  <c r="BN180" i="2"/>
  <c r="BM180" i="2"/>
  <c r="Z180" i="2"/>
  <c r="Z181" i="2" s="1"/>
  <c r="Y180" i="2"/>
  <c r="Y182" i="2" s="1"/>
  <c r="P180" i="2"/>
  <c r="X176" i="2"/>
  <c r="X175" i="2"/>
  <c r="BO174" i="2"/>
  <c r="BN174" i="2"/>
  <c r="BM174" i="2"/>
  <c r="Z174" i="2"/>
  <c r="Z175" i="2" s="1"/>
  <c r="Y174" i="2"/>
  <c r="Y175" i="2" s="1"/>
  <c r="P174" i="2"/>
  <c r="X171" i="2"/>
  <c r="X170" i="2"/>
  <c r="BO169" i="2"/>
  <c r="BN169" i="2"/>
  <c r="BM169" i="2"/>
  <c r="Z169" i="2"/>
  <c r="Z170" i="2" s="1"/>
  <c r="Y169" i="2"/>
  <c r="BP169" i="2" s="1"/>
  <c r="P169" i="2"/>
  <c r="X166" i="2"/>
  <c r="Y165" i="2"/>
  <c r="X165" i="2"/>
  <c r="BP164" i="2"/>
  <c r="BO164" i="2"/>
  <c r="BN164" i="2"/>
  <c r="BM164" i="2"/>
  <c r="Z164" i="2"/>
  <c r="Z165" i="2" s="1"/>
  <c r="Y164" i="2"/>
  <c r="Y166" i="2" s="1"/>
  <c r="P164" i="2"/>
  <c r="X161" i="2"/>
  <c r="X160" i="2"/>
  <c r="BO159" i="2"/>
  <c r="BN159" i="2"/>
  <c r="BM159" i="2"/>
  <c r="Z159" i="2"/>
  <c r="Y159" i="2"/>
  <c r="BP159" i="2" s="1"/>
  <c r="P159" i="2"/>
  <c r="BO158" i="2"/>
  <c r="BM158" i="2"/>
  <c r="Z158" i="2"/>
  <c r="Z160" i="2" s="1"/>
  <c r="Y158" i="2"/>
  <c r="Y160" i="2" s="1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Y154" i="2" s="1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Z148" i="2" s="1"/>
  <c r="Y146" i="2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Y142" i="2" s="1"/>
  <c r="P140" i="2"/>
  <c r="BP139" i="2"/>
  <c r="BO139" i="2"/>
  <c r="BN139" i="2"/>
  <c r="BM139" i="2"/>
  <c r="Z139" i="2"/>
  <c r="Z142" i="2" s="1"/>
  <c r="Y139" i="2"/>
  <c r="P139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Y130" i="2"/>
  <c r="X130" i="2"/>
  <c r="Y129" i="2"/>
  <c r="X129" i="2"/>
  <c r="BO128" i="2"/>
  <c r="BM128" i="2"/>
  <c r="Z128" i="2"/>
  <c r="Z129" i="2" s="1"/>
  <c r="Y128" i="2"/>
  <c r="BP128" i="2" s="1"/>
  <c r="P128" i="2"/>
  <c r="Y125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Z120" i="2" s="1"/>
  <c r="Y119" i="2"/>
  <c r="BN119" i="2" s="1"/>
  <c r="P119" i="2"/>
  <c r="X117" i="2"/>
  <c r="X116" i="2"/>
  <c r="BO115" i="2"/>
  <c r="BM115" i="2"/>
  <c r="Z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Z105" i="2" s="1"/>
  <c r="Y103" i="2"/>
  <c r="BN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N96" i="2"/>
  <c r="BM96" i="2"/>
  <c r="Z96" i="2"/>
  <c r="Y96" i="2"/>
  <c r="BP96" i="2" s="1"/>
  <c r="P96" i="2"/>
  <c r="BO95" i="2"/>
  <c r="BN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Z99" i="2" s="1"/>
  <c r="Y93" i="2"/>
  <c r="P93" i="2"/>
  <c r="X90" i="2"/>
  <c r="X89" i="2"/>
  <c r="BO88" i="2"/>
  <c r="BM88" i="2"/>
  <c r="Z88" i="2"/>
  <c r="Y88" i="2"/>
  <c r="BP88" i="2" s="1"/>
  <c r="P88" i="2"/>
  <c r="BO87" i="2"/>
  <c r="BM87" i="2"/>
  <c r="Z87" i="2"/>
  <c r="Z89" i="2" s="1"/>
  <c r="Y87" i="2"/>
  <c r="Y90" i="2" s="1"/>
  <c r="P87" i="2"/>
  <c r="X84" i="2"/>
  <c r="Y83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Z78" i="2" s="1"/>
  <c r="Y76" i="2"/>
  <c r="BP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Z72" i="2" s="1"/>
  <c r="Y70" i="2"/>
  <c r="BP70" i="2" s="1"/>
  <c r="P70" i="2"/>
  <c r="BO69" i="2"/>
  <c r="BN69" i="2"/>
  <c r="BM69" i="2"/>
  <c r="Z69" i="2"/>
  <c r="Y69" i="2"/>
  <c r="P69" i="2"/>
  <c r="Y67" i="2"/>
  <c r="X67" i="2"/>
  <c r="Z66" i="2"/>
  <c r="Y66" i="2"/>
  <c r="X66" i="2"/>
  <c r="BO65" i="2"/>
  <c r="BN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N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Z49" i="2" s="1"/>
  <c r="Y47" i="2"/>
  <c r="BP47" i="2" s="1"/>
  <c r="P47" i="2"/>
  <c r="X44" i="2"/>
  <c r="X43" i="2"/>
  <c r="BO42" i="2"/>
  <c r="BM42" i="2"/>
  <c r="Z42" i="2"/>
  <c r="Z43" i="2" s="1"/>
  <c r="Y42" i="2"/>
  <c r="P42" i="2"/>
  <c r="BO41" i="2"/>
  <c r="BM41" i="2"/>
  <c r="Z41" i="2"/>
  <c r="Y41" i="2"/>
  <c r="Y44" i="2" s="1"/>
  <c r="P41" i="2"/>
  <c r="X37" i="2"/>
  <c r="X36" i="2"/>
  <c r="BO35" i="2"/>
  <c r="BM35" i="2"/>
  <c r="Z35" i="2"/>
  <c r="Z36" i="2" s="1"/>
  <c r="Y35" i="2"/>
  <c r="BP35" i="2" s="1"/>
  <c r="P35" i="2"/>
  <c r="BO34" i="2"/>
  <c r="BM34" i="2"/>
  <c r="Z34" i="2"/>
  <c r="Y34" i="2"/>
  <c r="BP34" i="2" s="1"/>
  <c r="P34" i="2"/>
  <c r="X31" i="2"/>
  <c r="X283" i="2" s="1"/>
  <c r="X30" i="2"/>
  <c r="X287" i="2" s="1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Z30" i="2" s="1"/>
  <c r="Y24" i="2"/>
  <c r="BP24" i="2" s="1"/>
  <c r="P24" i="2"/>
  <c r="BO23" i="2"/>
  <c r="BN23" i="2"/>
  <c r="BM23" i="2"/>
  <c r="Z23" i="2"/>
  <c r="Y23" i="2"/>
  <c r="BP23" i="2" s="1"/>
  <c r="P23" i="2"/>
  <c r="BO22" i="2"/>
  <c r="BN22" i="2"/>
  <c r="BM22" i="2"/>
  <c r="X284" i="2" s="1"/>
  <c r="Z22" i="2"/>
  <c r="Y22" i="2"/>
  <c r="BP22" i="2" s="1"/>
  <c r="P22" i="2"/>
  <c r="H10" i="2"/>
  <c r="A9" i="2"/>
  <c r="A10" i="2" s="1"/>
  <c r="D7" i="2"/>
  <c r="Q6" i="2"/>
  <c r="P2" i="2"/>
  <c r="BN35" i="2" l="1"/>
  <c r="BP41" i="2"/>
  <c r="Y49" i="2"/>
  <c r="BP53" i="2"/>
  <c r="Y58" i="2"/>
  <c r="Y73" i="2"/>
  <c r="BN76" i="2"/>
  <c r="BP82" i="2"/>
  <c r="BN111" i="2"/>
  <c r="BN113" i="2"/>
  <c r="Y116" i="2"/>
  <c r="BP119" i="2"/>
  <c r="BN134" i="2"/>
  <c r="Z136" i="2"/>
  <c r="Y143" i="2"/>
  <c r="BP141" i="2"/>
  <c r="Y148" i="2"/>
  <c r="Y155" i="2"/>
  <c r="Y161" i="2"/>
  <c r="Y170" i="2"/>
  <c r="Y176" i="2"/>
  <c r="BN190" i="2"/>
  <c r="Y192" i="2"/>
  <c r="BN201" i="2"/>
  <c r="Y212" i="2"/>
  <c r="BP215" i="2"/>
  <c r="BP221" i="2"/>
  <c r="Y224" i="2"/>
  <c r="BN249" i="2"/>
  <c r="Y250" i="2"/>
  <c r="BN266" i="2"/>
  <c r="BN270" i="2"/>
  <c r="BN277" i="2"/>
  <c r="BN279" i="2"/>
  <c r="X285" i="2"/>
  <c r="BN24" i="2"/>
  <c r="BN29" i="2"/>
  <c r="Y31" i="2"/>
  <c r="Y37" i="2"/>
  <c r="BN61" i="2"/>
  <c r="BN70" i="2"/>
  <c r="Y72" i="2"/>
  <c r="Y78" i="2"/>
  <c r="Y89" i="2"/>
  <c r="Y105" i="2"/>
  <c r="BP109" i="2"/>
  <c r="BP132" i="2"/>
  <c r="F10" i="2"/>
  <c r="BP26" i="2"/>
  <c r="BN34" i="2"/>
  <c r="BN41" i="2"/>
  <c r="Y43" i="2"/>
  <c r="Y63" i="2"/>
  <c r="Y100" i="2"/>
  <c r="Y99" i="2"/>
  <c r="BP103" i="2"/>
  <c r="Z116" i="2"/>
  <c r="BN112" i="2"/>
  <c r="Y117" i="2"/>
  <c r="BN135" i="2"/>
  <c r="Y137" i="2"/>
  <c r="Z154" i="2"/>
  <c r="BP158" i="2"/>
  <c r="Y171" i="2"/>
  <c r="BN189" i="2"/>
  <c r="Z191" i="2"/>
  <c r="Y211" i="2"/>
  <c r="Y217" i="2"/>
  <c r="BP214" i="2"/>
  <c r="Y218" i="2"/>
  <c r="BN239" i="2"/>
  <c r="BN243" i="2"/>
  <c r="BP249" i="2"/>
  <c r="Y255" i="2"/>
  <c r="Z281" i="2"/>
  <c r="Y36" i="2"/>
  <c r="BP77" i="2"/>
  <c r="Y106" i="2"/>
  <c r="BP110" i="2"/>
  <c r="BP133" i="2"/>
  <c r="Y149" i="2"/>
  <c r="Y206" i="2"/>
  <c r="BN233" i="2"/>
  <c r="BN253" i="2"/>
  <c r="BN259" i="2"/>
  <c r="Y261" i="2"/>
  <c r="Z267" i="2"/>
  <c r="Z288" i="2" s="1"/>
  <c r="BN274" i="2"/>
  <c r="BP278" i="2"/>
  <c r="X286" i="2"/>
  <c r="BN42" i="2"/>
  <c r="BP69" i="2"/>
  <c r="Y120" i="2"/>
  <c r="BN140" i="2"/>
  <c r="BP184" i="2"/>
  <c r="BN48" i="2"/>
  <c r="BN87" i="2"/>
  <c r="BN98" i="2"/>
  <c r="BN146" i="2"/>
  <c r="BN203" i="2"/>
  <c r="Y262" i="2"/>
  <c r="BN27" i="2"/>
  <c r="Y30" i="2"/>
  <c r="BP42" i="2"/>
  <c r="BN54" i="2"/>
  <c r="Y57" i="2"/>
  <c r="Y79" i="2"/>
  <c r="BN93" i="2"/>
  <c r="BN104" i="2"/>
  <c r="BN115" i="2"/>
  <c r="BN128" i="2"/>
  <c r="BP140" i="2"/>
  <c r="BN152" i="2"/>
  <c r="BN210" i="2"/>
  <c r="BN280" i="2"/>
  <c r="BP87" i="2"/>
  <c r="Y121" i="2"/>
  <c r="Y136" i="2"/>
  <c r="BP146" i="2"/>
  <c r="BN158" i="2"/>
  <c r="Y191" i="2"/>
  <c r="Y267" i="2"/>
  <c r="BP93" i="2"/>
  <c r="BP152" i="2"/>
  <c r="BN272" i="2"/>
  <c r="Y268" i="2"/>
  <c r="Y281" i="2"/>
  <c r="BN82" i="2"/>
  <c r="BP201" i="2"/>
  <c r="BP227" i="2"/>
  <c r="BP243" i="2"/>
  <c r="Y50" i="2"/>
  <c r="BN88" i="2"/>
  <c r="BN123" i="2"/>
  <c r="BN147" i="2"/>
  <c r="BN204" i="2"/>
  <c r="Y282" i="2"/>
  <c r="BN55" i="2"/>
  <c r="BP123" i="2"/>
  <c r="F9" i="2"/>
  <c r="BP28" i="2"/>
  <c r="BN94" i="2"/>
  <c r="BP153" i="2"/>
  <c r="H9" i="2"/>
  <c r="BN47" i="2"/>
  <c r="BP61" i="2"/>
  <c r="BN71" i="2"/>
  <c r="BN97" i="2"/>
  <c r="BP174" i="2"/>
  <c r="BN202" i="2"/>
  <c r="BN260" i="2"/>
  <c r="J9" i="2"/>
  <c r="BN214" i="2"/>
  <c r="Y287" i="2" l="1"/>
  <c r="Y284" i="2"/>
  <c r="Y286" i="2" s="1"/>
  <c r="Y283" i="2"/>
  <c r="Y285" i="2"/>
  <c r="C296" i="2" l="1"/>
  <c r="B296" i="2"/>
  <c r="A296" i="2"/>
</calcChain>
</file>

<file path=xl/sharedStrings.xml><?xml version="1.0" encoding="utf-8"?>
<sst xmlns="http://schemas.openxmlformats.org/spreadsheetml/2006/main" count="1788" uniqueCount="436">
  <si>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</si>
  <si>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</si>
  <si>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</si>
  <si>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</si>
  <si>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</si>
  <si>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</si>
  <si>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</si>
  <si>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</si>
  <si>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</si>
  <si>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</si>
  <si>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</si>
  <si>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</si>
  <si>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</si>
  <si>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</si>
  <si>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</si>
  <si>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</si>
  <si>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</si>
  <si>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</si>
  <si>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</si>
  <si>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</si>
  <si>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</si>
  <si>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</si>
  <si>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</si>
  <si>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</si>
  <si>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</si>
  <si>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</si>
  <si>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</si>
  <si>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</si>
  <si>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</si>
  <si>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</si>
  <si>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</si>
  <si>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</si>
  <si>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</si>
  <si>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</si>
  <si>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</si>
  <si>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</si>
  <si>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</si>
  <si>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</si>
  <si>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</si>
  <si>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</si>
  <si>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</si>
  <si>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</si>
  <si>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</si>
  <si>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</si>
  <si>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</si>
  <si>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</si>
  <si>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</si>
  <si>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</si>
  <si>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</si>
  <si>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</si>
  <si>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</si>
  <si>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</si>
  <si>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</si>
  <si>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</si>
  <si>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</si>
  <si>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</si>
  <si>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</si>
  <si>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</si>
  <si>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</si>
  <si>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</si>
  <si>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</si>
  <si>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</si>
  <si>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</si>
  <si>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</si>
  <si>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</si>
  <si>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</si>
  <si>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</si>
  <si>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</si>
  <si>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</si>
  <si>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</si>
  <si>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</si>
  <si>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</si>
  <si>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29.09.2026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</si>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</sst>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>
        <v>46300</v>
      </c>
      <c r="R5" s="469"/>
      <c r="T5" s="470" t="s">
        <v>3</v>
      </c>
      <c r="U5" s="471"/>
      <c r="V5" s="472" t="s">
        <v>400</v>
      </c>
      <c r="W5" s="473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21" t="s">
        <v>79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54"/>
      <c r="AB19" s="54"/>
      <c r="AC19" s="54"/>
    </row>
    <row r="20" spans="1:68" ht="16.5" customHeight="1" x14ac:dyDescent="0.25">
      <c r="A20" s="322" t="s">
        <v>79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  <c r="AA20" s="65"/>
      <c r="AB20" s="65"/>
      <c r="AC20" s="82"/>
    </row>
    <row r="21" spans="1:68" ht="14.25" customHeight="1" x14ac:dyDescent="0.25">
      <c r="A21" s="315" t="s">
        <v>80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00">
        <v>4620207491508</v>
      </c>
      <c r="E22" s="30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2"/>
      <c r="R22" s="302"/>
      <c r="S22" s="302"/>
      <c r="T22" s="30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00">
        <v>4620207491256</v>
      </c>
      <c r="E23" s="30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2"/>
      <c r="R23" s="302"/>
      <c r="S23" s="302"/>
      <c r="T23" s="30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00">
        <v>4620207491713</v>
      </c>
      <c r="E24" s="30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2"/>
      <c r="R24" s="302"/>
      <c r="S24" s="302"/>
      <c r="T24" s="30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00">
        <v>4620207491720</v>
      </c>
      <c r="E25" s="30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2"/>
      <c r="R25" s="302"/>
      <c r="S25" s="302"/>
      <c r="T25" s="30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00">
        <v>4607111035912</v>
      </c>
      <c r="E26" s="30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2"/>
      <c r="R26" s="302"/>
      <c r="S26" s="302"/>
      <c r="T26" s="30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00">
        <v>4607111035929</v>
      </c>
      <c r="E27" s="30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2"/>
      <c r="R27" s="302"/>
      <c r="S27" s="302"/>
      <c r="T27" s="30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00">
        <v>4607111035882</v>
      </c>
      <c r="E28" s="30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2"/>
      <c r="R28" s="302"/>
      <c r="S28" s="302"/>
      <c r="T28" s="30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00">
        <v>4607111035905</v>
      </c>
      <c r="E29" s="30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2"/>
      <c r="R29" s="302"/>
      <c r="S29" s="302"/>
      <c r="T29" s="30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2" t="s">
        <v>104</v>
      </c>
      <c r="B32" s="322"/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65"/>
      <c r="AB32" s="65"/>
      <c r="AC32" s="82"/>
    </row>
    <row r="33" spans="1:68" ht="14.25" customHeight="1" x14ac:dyDescent="0.25">
      <c r="A33" s="315" t="s">
        <v>80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00">
        <v>4607111039019</v>
      </c>
      <c r="E34" s="30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2"/>
      <c r="R34" s="302"/>
      <c r="S34" s="302"/>
      <c r="T34" s="30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00">
        <v>4607111038708</v>
      </c>
      <c r="E35" s="30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2"/>
      <c r="R35" s="302"/>
      <c r="S35" s="302"/>
      <c r="T35" s="30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1" t="s">
        <v>45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54"/>
      <c r="AB38" s="54"/>
      <c r="AC38" s="54"/>
    </row>
    <row r="39" spans="1:68" ht="16.5" customHeight="1" x14ac:dyDescent="0.25">
      <c r="A39" s="322" t="s">
        <v>110</v>
      </c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  <c r="AA39" s="65"/>
      <c r="AB39" s="65"/>
      <c r="AC39" s="82"/>
    </row>
    <row r="40" spans="1:68" ht="14.25" customHeight="1" x14ac:dyDescent="0.25">
      <c r="A40" s="315" t="s">
        <v>111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00">
        <v>4607111036537</v>
      </c>
      <c r="E41" s="30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2"/>
      <c r="R41" s="302"/>
      <c r="S41" s="302"/>
      <c r="T41" s="303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00">
        <v>4607111036605</v>
      </c>
      <c r="E42" s="30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2"/>
      <c r="R42" s="302"/>
      <c r="S42" s="302"/>
      <c r="T42" s="30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2" t="s">
        <v>121</v>
      </c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65"/>
      <c r="AB45" s="65"/>
      <c r="AC45" s="82"/>
    </row>
    <row r="46" spans="1:68" ht="14.25" customHeight="1" x14ac:dyDescent="0.25">
      <c r="A46" s="315" t="s">
        <v>80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00">
        <v>4620207490075</v>
      </c>
      <c r="E47" s="30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2"/>
      <c r="R47" s="302"/>
      <c r="S47" s="302"/>
      <c r="T47" s="30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00">
        <v>4620207490174</v>
      </c>
      <c r="E48" s="30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2"/>
      <c r="R48" s="302"/>
      <c r="S48" s="302"/>
      <c r="T48" s="30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5"/>
      <c r="P49" s="291" t="s">
        <v>40</v>
      </c>
      <c r="Q49" s="292"/>
      <c r="R49" s="292"/>
      <c r="S49" s="292"/>
      <c r="T49" s="292"/>
      <c r="U49" s="292"/>
      <c r="V49" s="293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2" t="s">
        <v>128</v>
      </c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65"/>
      <c r="AB51" s="65"/>
      <c r="AC51" s="82"/>
    </row>
    <row r="52" spans="1:68" ht="14.25" customHeight="1" x14ac:dyDescent="0.25">
      <c r="A52" s="315" t="s">
        <v>80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00">
        <v>4607111039385</v>
      </c>
      <c r="E53" s="30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2"/>
      <c r="R53" s="302"/>
      <c r="S53" s="302"/>
      <c r="T53" s="30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00">
        <v>4607111038982</v>
      </c>
      <c r="E54" s="30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2"/>
      <c r="R54" s="302"/>
      <c r="S54" s="302"/>
      <c r="T54" s="30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00">
        <v>4607111039354</v>
      </c>
      <c r="E55" s="30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2"/>
      <c r="R55" s="302"/>
      <c r="S55" s="302"/>
      <c r="T55" s="30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00">
        <v>4607111039330</v>
      </c>
      <c r="E56" s="30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2"/>
      <c r="R56" s="302"/>
      <c r="S56" s="302"/>
      <c r="T56" s="30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5"/>
      <c r="P57" s="291" t="s">
        <v>40</v>
      </c>
      <c r="Q57" s="292"/>
      <c r="R57" s="292"/>
      <c r="S57" s="292"/>
      <c r="T57" s="292"/>
      <c r="U57" s="292"/>
      <c r="V57" s="293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2" t="s">
        <v>139</v>
      </c>
      <c r="B59" s="322"/>
      <c r="C59" s="322"/>
      <c r="D59" s="322"/>
      <c r="E59" s="322"/>
      <c r="F59" s="322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65"/>
      <c r="AB59" s="65"/>
      <c r="AC59" s="82"/>
    </row>
    <row r="60" spans="1:68" ht="14.25" customHeight="1" x14ac:dyDescent="0.25">
      <c r="A60" s="315" t="s">
        <v>111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00">
        <v>4607111039712</v>
      </c>
      <c r="E61" s="30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2"/>
      <c r="R61" s="302"/>
      <c r="S61" s="302"/>
      <c r="T61" s="30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5"/>
      <c r="P62" s="291" t="s">
        <v>40</v>
      </c>
      <c r="Q62" s="292"/>
      <c r="R62" s="292"/>
      <c r="S62" s="292"/>
      <c r="T62" s="292"/>
      <c r="U62" s="292"/>
      <c r="V62" s="293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5" t="s">
        <v>143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4301136015</v>
      </c>
      <c r="D65" s="300">
        <v>4607111037398</v>
      </c>
      <c r="E65" s="30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2"/>
      <c r="R65" s="302"/>
      <c r="S65" s="302"/>
      <c r="T65" s="30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5"/>
      <c r="P66" s="291" t="s">
        <v>40</v>
      </c>
      <c r="Q66" s="292"/>
      <c r="R66" s="292"/>
      <c r="S66" s="292"/>
      <c r="T66" s="292"/>
      <c r="U66" s="292"/>
      <c r="V66" s="293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15" t="s">
        <v>147</v>
      </c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66"/>
      <c r="AB68" s="66"/>
      <c r="AC68" s="83"/>
    </row>
    <row r="69" spans="1:68" ht="27" customHeight="1" x14ac:dyDescent="0.25">
      <c r="A69" s="63" t="s">
        <v>148</v>
      </c>
      <c r="B69" s="63" t="s">
        <v>149</v>
      </c>
      <c r="C69" s="36">
        <v>4301135664</v>
      </c>
      <c r="D69" s="300">
        <v>4607111039705</v>
      </c>
      <c r="E69" s="30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2"/>
      <c r="R69" s="302"/>
      <c r="S69" s="302"/>
      <c r="T69" s="30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4301135665</v>
      </c>
      <c r="D70" s="300">
        <v>4607111039729</v>
      </c>
      <c r="E70" s="30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2"/>
      <c r="R70" s="302"/>
      <c r="S70" s="302"/>
      <c r="T70" s="30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4301135702</v>
      </c>
      <c r="D71" s="300">
        <v>4620207490228</v>
      </c>
      <c r="E71" s="30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2"/>
      <c r="R71" s="302"/>
      <c r="S71" s="302"/>
      <c r="T71" s="30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22" t="s">
        <v>155</v>
      </c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65"/>
      <c r="AB74" s="65"/>
      <c r="AC74" s="82"/>
    </row>
    <row r="75" spans="1:68" ht="14.25" customHeight="1" x14ac:dyDescent="0.25">
      <c r="A75" s="315" t="s">
        <v>80</v>
      </c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300">
        <v>4607111037411</v>
      </c>
      <c r="E76" s="30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2"/>
      <c r="R76" s="302"/>
      <c r="S76" s="302"/>
      <c r="T76" s="30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160</v>
      </c>
      <c r="B77" s="63" t="s">
        <v>161</v>
      </c>
      <c r="C77" s="36">
        <v>4301070981</v>
      </c>
      <c r="D77" s="300">
        <v>4607111036728</v>
      </c>
      <c r="E77" s="30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2"/>
      <c r="R77" s="302"/>
      <c r="S77" s="302"/>
      <c r="T77" s="30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22" t="s">
        <v>162</v>
      </c>
      <c r="B80" s="322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65"/>
      <c r="AB80" s="65"/>
      <c r="AC80" s="82"/>
    </row>
    <row r="81" spans="1:68" ht="14.25" customHeight="1" x14ac:dyDescent="0.25">
      <c r="A81" s="315" t="s">
        <v>147</v>
      </c>
      <c r="B81" s="315"/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4301135910</v>
      </c>
      <c r="D82" s="300">
        <v>4620207491638</v>
      </c>
      <c r="E82" s="30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86</v>
      </c>
      <c r="M82" s="38" t="s">
        <v>84</v>
      </c>
      <c r="N82" s="38"/>
      <c r="O82" s="37">
        <v>180</v>
      </c>
      <c r="P82" s="378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2"/>
      <c r="R82" s="302"/>
      <c r="S82" s="302"/>
      <c r="T82" s="30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165</v>
      </c>
      <c r="AG82" s="81"/>
      <c r="AJ82" s="87" t="s">
        <v>87</v>
      </c>
      <c r="AK82" s="87">
        <v>1</v>
      </c>
      <c r="BB82" s="140" t="s">
        <v>115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5"/>
      <c r="P83" s="291" t="s">
        <v>40</v>
      </c>
      <c r="Q83" s="292"/>
      <c r="R83" s="292"/>
      <c r="S83" s="292"/>
      <c r="T83" s="292"/>
      <c r="U83" s="292"/>
      <c r="V83" s="293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22" t="s">
        <v>166</v>
      </c>
      <c r="B85" s="322"/>
      <c r="C85" s="322"/>
      <c r="D85" s="322"/>
      <c r="E85" s="322"/>
      <c r="F85" s="322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65"/>
      <c r="AB85" s="65"/>
      <c r="AC85" s="82"/>
    </row>
    <row r="86" spans="1:68" ht="14.25" customHeight="1" x14ac:dyDescent="0.25">
      <c r="A86" s="315" t="s">
        <v>167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00">
        <v>4607111034120</v>
      </c>
      <c r="E87" s="30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2"/>
      <c r="R87" s="302"/>
      <c r="S87" s="302"/>
      <c r="T87" s="303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00">
        <v>4607111034137</v>
      </c>
      <c r="E88" s="30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2"/>
      <c r="R88" s="302"/>
      <c r="S88" s="302"/>
      <c r="T88" s="303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22" t="s">
        <v>174</v>
      </c>
      <c r="B91" s="322"/>
      <c r="C91" s="322"/>
      <c r="D91" s="322"/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65"/>
      <c r="AB91" s="65"/>
      <c r="AC91" s="82"/>
    </row>
    <row r="92" spans="1:68" ht="14.25" customHeight="1" x14ac:dyDescent="0.25">
      <c r="A92" s="315" t="s">
        <v>147</v>
      </c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00">
        <v>4620207491027</v>
      </c>
      <c r="E93" s="30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2"/>
      <c r="R93" s="302"/>
      <c r="S93" s="302"/>
      <c r="T93" s="303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177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178</v>
      </c>
      <c r="B94" s="63" t="s">
        <v>179</v>
      </c>
      <c r="C94" s="36">
        <v>4301135914</v>
      </c>
      <c r="D94" s="300">
        <v>4620207491621</v>
      </c>
      <c r="E94" s="30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7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2"/>
      <c r="R94" s="302"/>
      <c r="S94" s="302"/>
      <c r="T94" s="30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180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4301135990</v>
      </c>
      <c r="D95" s="300">
        <v>4620207491881</v>
      </c>
      <c r="E95" s="30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7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2"/>
      <c r="R95" s="302"/>
      <c r="S95" s="302"/>
      <c r="T95" s="30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180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4301135920</v>
      </c>
      <c r="D96" s="300">
        <v>4620207491577</v>
      </c>
      <c r="E96" s="30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7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2"/>
      <c r="R96" s="302"/>
      <c r="S96" s="302"/>
      <c r="T96" s="30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180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4301135984</v>
      </c>
      <c r="D97" s="300">
        <v>4620207491874</v>
      </c>
      <c r="E97" s="30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7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2"/>
      <c r="R97" s="302"/>
      <c r="S97" s="302"/>
      <c r="T97" s="30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180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4301137008</v>
      </c>
      <c r="D98" s="300">
        <v>4620207491782</v>
      </c>
      <c r="E98" s="30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75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2"/>
      <c r="R98" s="302"/>
      <c r="S98" s="302"/>
      <c r="T98" s="30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180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5"/>
      <c r="P99" s="291" t="s">
        <v>40</v>
      </c>
      <c r="Q99" s="292"/>
      <c r="R99" s="292"/>
      <c r="S99" s="292"/>
      <c r="T99" s="292"/>
      <c r="U99" s="292"/>
      <c r="V99" s="293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5"/>
      <c r="P100" s="291" t="s">
        <v>40</v>
      </c>
      <c r="Q100" s="292"/>
      <c r="R100" s="292"/>
      <c r="S100" s="292"/>
      <c r="T100" s="292"/>
      <c r="U100" s="292"/>
      <c r="V100" s="293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22" t="s">
        <v>189</v>
      </c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65"/>
      <c r="AB101" s="65"/>
      <c r="AC101" s="82"/>
    </row>
    <row r="102" spans="1:68" ht="14.25" customHeight="1" x14ac:dyDescent="0.25">
      <c r="A102" s="315" t="s">
        <v>143</v>
      </c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66"/>
      <c r="AB102" s="66"/>
      <c r="AC102" s="83"/>
    </row>
    <row r="103" spans="1:68" ht="27" customHeight="1" x14ac:dyDescent="0.25">
      <c r="A103" s="63" t="s">
        <v>190</v>
      </c>
      <c r="B103" s="63" t="s">
        <v>191</v>
      </c>
      <c r="C103" s="36">
        <v>4301136101</v>
      </c>
      <c r="D103" s="300">
        <v>4620207491652</v>
      </c>
      <c r="E103" s="30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6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2"/>
      <c r="R103" s="302"/>
      <c r="S103" s="302"/>
      <c r="T103" s="30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193</v>
      </c>
      <c r="B104" s="63" t="s">
        <v>194</v>
      </c>
      <c r="C104" s="36">
        <v>4301136103</v>
      </c>
      <c r="D104" s="300">
        <v>4620207491645</v>
      </c>
      <c r="E104" s="30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2"/>
      <c r="R104" s="302"/>
      <c r="S104" s="302"/>
      <c r="T104" s="30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22" t="s">
        <v>195</v>
      </c>
      <c r="B107" s="322"/>
      <c r="C107" s="322"/>
      <c r="D107" s="322"/>
      <c r="E107" s="322"/>
      <c r="F107" s="322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65"/>
      <c r="AB107" s="65"/>
      <c r="AC107" s="82"/>
    </row>
    <row r="108" spans="1:68" ht="14.25" customHeight="1" x14ac:dyDescent="0.25">
      <c r="A108" s="315" t="s">
        <v>80</v>
      </c>
      <c r="B108" s="315"/>
      <c r="C108" s="315"/>
      <c r="D108" s="315"/>
      <c r="E108" s="315"/>
      <c r="F108" s="315"/>
      <c r="G108" s="315"/>
      <c r="H108" s="315"/>
      <c r="I108" s="315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66"/>
      <c r="AB108" s="66"/>
      <c r="AC108" s="83"/>
    </row>
    <row r="109" spans="1:68" ht="27" customHeight="1" x14ac:dyDescent="0.25">
      <c r="A109" s="63" t="s">
        <v>196</v>
      </c>
      <c r="B109" s="63" t="s">
        <v>197</v>
      </c>
      <c r="C109" s="36">
        <v>4301071074</v>
      </c>
      <c r="D109" s="300">
        <v>4620207491157</v>
      </c>
      <c r="E109" s="30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2"/>
      <c r="R109" s="302"/>
      <c r="S109" s="302"/>
      <c r="T109" s="303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customHeight="1" x14ac:dyDescent="0.25">
      <c r="A110" s="63" t="s">
        <v>199</v>
      </c>
      <c r="B110" s="63" t="s">
        <v>200</v>
      </c>
      <c r="C110" s="36">
        <v>4301071121</v>
      </c>
      <c r="D110" s="300">
        <v>4620207491393</v>
      </c>
      <c r="E110" s="30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2"/>
      <c r="R110" s="302"/>
      <c r="S110" s="302"/>
      <c r="T110" s="30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00">
        <v>4607111039262</v>
      </c>
      <c r="E111" s="30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2"/>
      <c r="R111" s="302"/>
      <c r="S111" s="302"/>
      <c r="T111" s="30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00">
        <v>4607111039248</v>
      </c>
      <c r="E112" s="30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2"/>
      <c r="R112" s="302"/>
      <c r="S112" s="302"/>
      <c r="T112" s="303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4301070979</v>
      </c>
      <c r="D113" s="300">
        <v>4607111037145</v>
      </c>
      <c r="E113" s="30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2"/>
      <c r="R113" s="302"/>
      <c r="S113" s="302"/>
      <c r="T113" s="30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4301071139</v>
      </c>
      <c r="D114" s="300">
        <v>4607111039293</v>
      </c>
      <c r="E114" s="300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3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2"/>
      <c r="R114" s="302"/>
      <c r="S114" s="302"/>
      <c r="T114" s="30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4301071039</v>
      </c>
      <c r="D115" s="300">
        <v>4607111039279</v>
      </c>
      <c r="E115" s="300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2"/>
      <c r="R115" s="302"/>
      <c r="S115" s="302"/>
      <c r="T115" s="30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x14ac:dyDescent="0.2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5"/>
      <c r="P116" s="291" t="s">
        <v>40</v>
      </c>
      <c r="Q116" s="292"/>
      <c r="R116" s="292"/>
      <c r="S116" s="292"/>
      <c r="T116" s="292"/>
      <c r="U116" s="292"/>
      <c r="V116" s="293"/>
      <c r="W116" s="42" t="s">
        <v>39</v>
      </c>
      <c r="X116" s="43">
        <f>IFERROR(SUM(X109:X115),"0")</f>
        <v>0</v>
      </c>
      <c r="Y116" s="43">
        <f>IFERROR(SUM(Y109:Y115),"0")</f>
        <v>0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5"/>
      <c r="P117" s="291" t="s">
        <v>40</v>
      </c>
      <c r="Q117" s="292"/>
      <c r="R117" s="292"/>
      <c r="S117" s="292"/>
      <c r="T117" s="292"/>
      <c r="U117" s="292"/>
      <c r="V117" s="293"/>
      <c r="W117" s="42" t="s">
        <v>0</v>
      </c>
      <c r="X117" s="43">
        <f>IFERROR(SUMPRODUCT(X109:X115*H109:H115),"0")</f>
        <v>0</v>
      </c>
      <c r="Y117" s="43">
        <f>IFERROR(SUMPRODUCT(Y109:Y115*H109:H115),"0")</f>
        <v>0</v>
      </c>
      <c r="Z117" s="42"/>
      <c r="AA117" s="67"/>
      <c r="AB117" s="67"/>
      <c r="AC117" s="67"/>
    </row>
    <row r="118" spans="1:68" ht="14.25" customHeight="1" x14ac:dyDescent="0.25">
      <c r="A118" s="315" t="s">
        <v>147</v>
      </c>
      <c r="B118" s="315"/>
      <c r="C118" s="315"/>
      <c r="D118" s="315"/>
      <c r="E118" s="315"/>
      <c r="F118" s="315"/>
      <c r="G118" s="315"/>
      <c r="H118" s="315"/>
      <c r="I118" s="315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66"/>
      <c r="AB118" s="66"/>
      <c r="AC118" s="83"/>
    </row>
    <row r="119" spans="1:68" ht="27" customHeight="1" x14ac:dyDescent="0.25">
      <c r="A119" s="63" t="s">
        <v>214</v>
      </c>
      <c r="B119" s="63" t="s">
        <v>215</v>
      </c>
      <c r="C119" s="36">
        <v>4301135826</v>
      </c>
      <c r="D119" s="300">
        <v>4620207490983</v>
      </c>
      <c r="E119" s="300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2"/>
      <c r="R119" s="302"/>
      <c r="S119" s="302"/>
      <c r="T119" s="303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IFERROR(IF(X119="","",X119*0.01788),"")</f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x14ac:dyDescent="0.2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5"/>
      <c r="P120" s="291" t="s">
        <v>40</v>
      </c>
      <c r="Q120" s="292"/>
      <c r="R120" s="292"/>
      <c r="S120" s="292"/>
      <c r="T120" s="292"/>
      <c r="U120" s="292"/>
      <c r="V120" s="293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5"/>
      <c r="P121" s="291" t="s">
        <v>40</v>
      </c>
      <c r="Q121" s="292"/>
      <c r="R121" s="292"/>
      <c r="S121" s="292"/>
      <c r="T121" s="292"/>
      <c r="U121" s="292"/>
      <c r="V121" s="293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customHeight="1" x14ac:dyDescent="0.25">
      <c r="A122" s="315" t="s">
        <v>217</v>
      </c>
      <c r="B122" s="315"/>
      <c r="C122" s="315"/>
      <c r="D122" s="315"/>
      <c r="E122" s="315"/>
      <c r="F122" s="315"/>
      <c r="G122" s="315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66"/>
      <c r="AB122" s="66"/>
      <c r="AC122" s="83"/>
    </row>
    <row r="123" spans="1:68" ht="27" customHeight="1" x14ac:dyDescent="0.25">
      <c r="A123" s="63" t="s">
        <v>218</v>
      </c>
      <c r="B123" s="63" t="s">
        <v>219</v>
      </c>
      <c r="C123" s="36">
        <v>4301071094</v>
      </c>
      <c r="D123" s="300">
        <v>4620207491140</v>
      </c>
      <c r="E123" s="300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2"/>
      <c r="R123" s="302"/>
      <c r="S123" s="302"/>
      <c r="T123" s="303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220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5"/>
      <c r="P124" s="291" t="s">
        <v>40</v>
      </c>
      <c r="Q124" s="292"/>
      <c r="R124" s="292"/>
      <c r="S124" s="292"/>
      <c r="T124" s="292"/>
      <c r="U124" s="292"/>
      <c r="V124" s="293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5"/>
      <c r="P125" s="291" t="s">
        <v>40</v>
      </c>
      <c r="Q125" s="292"/>
      <c r="R125" s="292"/>
      <c r="S125" s="292"/>
      <c r="T125" s="292"/>
      <c r="U125" s="292"/>
      <c r="V125" s="293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customHeight="1" x14ac:dyDescent="0.25">
      <c r="A126" s="322" t="s">
        <v>221</v>
      </c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65"/>
      <c r="AB126" s="65"/>
      <c r="AC126" s="82"/>
    </row>
    <row r="127" spans="1:68" ht="14.25" customHeight="1" x14ac:dyDescent="0.25">
      <c r="A127" s="315" t="s">
        <v>80</v>
      </c>
      <c r="B127" s="315"/>
      <c r="C127" s="315"/>
      <c r="D127" s="315"/>
      <c r="E127" s="315"/>
      <c r="F127" s="315"/>
      <c r="G127" s="315"/>
      <c r="H127" s="315"/>
      <c r="I127" s="315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66"/>
      <c r="AB127" s="66"/>
      <c r="AC127" s="83"/>
    </row>
    <row r="128" spans="1:68" ht="27" customHeight="1" x14ac:dyDescent="0.25">
      <c r="A128" s="63" t="s">
        <v>222</v>
      </c>
      <c r="B128" s="63" t="s">
        <v>223</v>
      </c>
      <c r="C128" s="36">
        <v>4301071142</v>
      </c>
      <c r="D128" s="300">
        <v>4620207491904</v>
      </c>
      <c r="E128" s="300"/>
      <c r="F128" s="62">
        <v>0.56999999999999995</v>
      </c>
      <c r="G128" s="37">
        <v>10</v>
      </c>
      <c r="H128" s="62">
        <v>5.7</v>
      </c>
      <c r="I128" s="62">
        <v>5.98</v>
      </c>
      <c r="J128" s="37">
        <v>84</v>
      </c>
      <c r="K128" s="37" t="s">
        <v>85</v>
      </c>
      <c r="L128" s="37" t="s">
        <v>86</v>
      </c>
      <c r="M128" s="38" t="s">
        <v>84</v>
      </c>
      <c r="N128" s="38"/>
      <c r="O128" s="37">
        <v>180</v>
      </c>
      <c r="P128" s="36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2"/>
      <c r="R128" s="302"/>
      <c r="S128" s="302"/>
      <c r="T128" s="303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225</v>
      </c>
      <c r="AC128" s="179" t="s">
        <v>224</v>
      </c>
      <c r="AG128" s="81"/>
      <c r="AJ128" s="87" t="s">
        <v>87</v>
      </c>
      <c r="AK128" s="87">
        <v>1</v>
      </c>
      <c r="BB128" s="180" t="s">
        <v>70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5"/>
      <c r="P129" s="291" t="s">
        <v>40</v>
      </c>
      <c r="Q129" s="292"/>
      <c r="R129" s="292"/>
      <c r="S129" s="292"/>
      <c r="T129" s="292"/>
      <c r="U129" s="292"/>
      <c r="V129" s="293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4.25" customHeight="1" x14ac:dyDescent="0.25">
      <c r="A131" s="315" t="s">
        <v>147</v>
      </c>
      <c r="B131" s="315"/>
      <c r="C131" s="315"/>
      <c r="D131" s="315"/>
      <c r="E131" s="315"/>
      <c r="F131" s="315"/>
      <c r="G131" s="315"/>
      <c r="H131" s="315"/>
      <c r="I131" s="315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66"/>
      <c r="AB131" s="66"/>
      <c r="AC131" s="83"/>
    </row>
    <row r="132" spans="1:68" ht="27" customHeight="1" x14ac:dyDescent="0.25">
      <c r="A132" s="63" t="s">
        <v>226</v>
      </c>
      <c r="B132" s="63" t="s">
        <v>227</v>
      </c>
      <c r="C132" s="36">
        <v>4301135848</v>
      </c>
      <c r="D132" s="300">
        <v>4620207491799</v>
      </c>
      <c r="E132" s="300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2"/>
      <c r="R132" s="302"/>
      <c r="S132" s="302"/>
      <c r="T132" s="303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1" t="s">
        <v>228</v>
      </c>
      <c r="AG132" s="81"/>
      <c r="AJ132" s="87" t="s">
        <v>87</v>
      </c>
      <c r="AK132" s="87">
        <v>1</v>
      </c>
      <c r="BB132" s="182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229</v>
      </c>
      <c r="B133" s="63" t="s">
        <v>230</v>
      </c>
      <c r="C133" s="36">
        <v>4301135850</v>
      </c>
      <c r="D133" s="300">
        <v>4620207491492</v>
      </c>
      <c r="E133" s="30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2"/>
      <c r="R133" s="302"/>
      <c r="S133" s="302"/>
      <c r="T133" s="303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3" t="s">
        <v>228</v>
      </c>
      <c r="AG133" s="81"/>
      <c r="AJ133" s="87" t="s">
        <v>87</v>
      </c>
      <c r="AK133" s="87">
        <v>1</v>
      </c>
      <c r="BB133" s="184" t="s">
        <v>115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4301190118</v>
      </c>
      <c r="D134" s="300">
        <v>4620207491461</v>
      </c>
      <c r="E134" s="300"/>
      <c r="F134" s="62">
        <v>0.22</v>
      </c>
      <c r="G134" s="37">
        <v>6</v>
      </c>
      <c r="H134" s="62">
        <v>1.32</v>
      </c>
      <c r="I134" s="62">
        <v>1.74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2"/>
      <c r="R134" s="302"/>
      <c r="S134" s="302"/>
      <c r="T134" s="30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228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233</v>
      </c>
      <c r="B135" s="63" t="s">
        <v>234</v>
      </c>
      <c r="C135" s="36">
        <v>4301135865</v>
      </c>
      <c r="D135" s="300">
        <v>4620207491485</v>
      </c>
      <c r="E135" s="30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2"/>
      <c r="R135" s="302"/>
      <c r="S135" s="302"/>
      <c r="T135" s="30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228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39</v>
      </c>
      <c r="X136" s="43">
        <f>IFERROR(SUM(X132:X135),"0")</f>
        <v>0</v>
      </c>
      <c r="Y136" s="43">
        <f>IFERROR(SUM(Y132:Y135),"0")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5"/>
      <c r="P137" s="291" t="s">
        <v>40</v>
      </c>
      <c r="Q137" s="292"/>
      <c r="R137" s="292"/>
      <c r="S137" s="292"/>
      <c r="T137" s="292"/>
      <c r="U137" s="292"/>
      <c r="V137" s="293"/>
      <c r="W137" s="42" t="s">
        <v>0</v>
      </c>
      <c r="X137" s="43">
        <f>IFERROR(SUMPRODUCT(X132:X135*H132:H135),"0")</f>
        <v>0</v>
      </c>
      <c r="Y137" s="43">
        <f>IFERROR(SUMPRODUCT(Y132:Y135*H132:H135),"0")</f>
        <v>0</v>
      </c>
      <c r="Z137" s="42"/>
      <c r="AA137" s="67"/>
      <c r="AB137" s="67"/>
      <c r="AC137" s="67"/>
    </row>
    <row r="138" spans="1:68" ht="14.25" customHeight="1" x14ac:dyDescent="0.25">
      <c r="A138" s="315" t="s">
        <v>235</v>
      </c>
      <c r="B138" s="315"/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4301190117</v>
      </c>
      <c r="D139" s="300">
        <v>4620207491386</v>
      </c>
      <c r="E139" s="300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2"/>
      <c r="R139" s="302"/>
      <c r="S139" s="302"/>
      <c r="T139" s="30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238</v>
      </c>
      <c r="AG139" s="81"/>
      <c r="AJ139" s="87" t="s">
        <v>87</v>
      </c>
      <c r="AK139" s="87">
        <v>1</v>
      </c>
      <c r="BB139" s="190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239</v>
      </c>
      <c r="B140" s="63" t="s">
        <v>240</v>
      </c>
      <c r="C140" s="36">
        <v>4301190115</v>
      </c>
      <c r="D140" s="300">
        <v>4620207491362</v>
      </c>
      <c r="E140" s="300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3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2"/>
      <c r="R140" s="302"/>
      <c r="S140" s="302"/>
      <c r="T140" s="30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238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241</v>
      </c>
      <c r="B141" s="63" t="s">
        <v>242</v>
      </c>
      <c r="C141" s="36">
        <v>4301190116</v>
      </c>
      <c r="D141" s="300">
        <v>4620207491379</v>
      </c>
      <c r="E141" s="30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2"/>
      <c r="R141" s="302"/>
      <c r="S141" s="302"/>
      <c r="T141" s="30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238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0</v>
      </c>
      <c r="Y142" s="43">
        <f>IFERROR(SUM(Y139:Y141),"0")</f>
        <v>0</v>
      </c>
      <c r="Z142" s="43">
        <f>IFERROR(IF(Z139="",0,Z139),"0")+IFERROR(IF(Z140="",0,Z140),"0")+IFERROR(IF(Z141="",0,Z141),"0")</f>
        <v>0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0</v>
      </c>
      <c r="Y143" s="43">
        <f>IFERROR(SUMPRODUCT(Y139:Y141*H139:H141),"0")</f>
        <v>0</v>
      </c>
      <c r="Z143" s="42"/>
      <c r="AA143" s="67"/>
      <c r="AB143" s="67"/>
      <c r="AC143" s="67"/>
    </row>
    <row r="144" spans="1:68" ht="16.5" customHeight="1" x14ac:dyDescent="0.25">
      <c r="A144" s="322" t="s">
        <v>243</v>
      </c>
      <c r="B144" s="322"/>
      <c r="C144" s="322"/>
      <c r="D144" s="322"/>
      <c r="E144" s="322"/>
      <c r="F144" s="322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65"/>
      <c r="AB144" s="65"/>
      <c r="AC144" s="82"/>
    </row>
    <row r="145" spans="1:68" ht="14.25" customHeight="1" x14ac:dyDescent="0.25">
      <c r="A145" s="315" t="s">
        <v>147</v>
      </c>
      <c r="B145" s="315"/>
      <c r="C145" s="315"/>
      <c r="D145" s="315"/>
      <c r="E145" s="315"/>
      <c r="F145" s="315"/>
      <c r="G145" s="315"/>
      <c r="H145" s="315"/>
      <c r="I145" s="315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4301135956</v>
      </c>
      <c r="D146" s="300">
        <v>4620207491560</v>
      </c>
      <c r="E146" s="300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116</v>
      </c>
      <c r="L146" s="37" t="s">
        <v>86</v>
      </c>
      <c r="M146" s="38" t="s">
        <v>84</v>
      </c>
      <c r="N146" s="38"/>
      <c r="O146" s="37">
        <v>180</v>
      </c>
      <c r="P146" s="35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2"/>
      <c r="R146" s="302"/>
      <c r="S146" s="302"/>
      <c r="T146" s="30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5" t="s">
        <v>246</v>
      </c>
      <c r="AG146" s="81"/>
      <c r="AJ146" s="87" t="s">
        <v>87</v>
      </c>
      <c r="AK146" s="87">
        <v>1</v>
      </c>
      <c r="BB146" s="196" t="s">
        <v>115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247</v>
      </c>
      <c r="B147" s="63" t="s">
        <v>248</v>
      </c>
      <c r="C147" s="36">
        <v>4301135532</v>
      </c>
      <c r="D147" s="300">
        <v>4607111033994</v>
      </c>
      <c r="E147" s="300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2"/>
      <c r="R147" s="302"/>
      <c r="S147" s="302"/>
      <c r="T147" s="30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7" t="s">
        <v>177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5"/>
      <c r="P148" s="291" t="s">
        <v>40</v>
      </c>
      <c r="Q148" s="292"/>
      <c r="R148" s="292"/>
      <c r="S148" s="292"/>
      <c r="T148" s="292"/>
      <c r="U148" s="292"/>
      <c r="V148" s="293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22" t="s">
        <v>249</v>
      </c>
      <c r="B150" s="322"/>
      <c r="C150" s="322"/>
      <c r="D150" s="322"/>
      <c r="E150" s="322"/>
      <c r="F150" s="322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65"/>
      <c r="AB150" s="65"/>
      <c r="AC150" s="82"/>
    </row>
    <row r="151" spans="1:68" ht="14.25" customHeight="1" x14ac:dyDescent="0.25">
      <c r="A151" s="315" t="s">
        <v>147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4301135954</v>
      </c>
      <c r="D152" s="300">
        <v>4620207491768</v>
      </c>
      <c r="E152" s="300"/>
      <c r="F152" s="62">
        <v>0.25</v>
      </c>
      <c r="G152" s="37">
        <v>12</v>
      </c>
      <c r="H152" s="62">
        <v>3</v>
      </c>
      <c r="I152" s="62">
        <v>3.7480000000000002</v>
      </c>
      <c r="J152" s="37">
        <v>70</v>
      </c>
      <c r="K152" s="37" t="s">
        <v>116</v>
      </c>
      <c r="L152" s="37" t="s">
        <v>86</v>
      </c>
      <c r="M152" s="38" t="s">
        <v>84</v>
      </c>
      <c r="N152" s="38"/>
      <c r="O152" s="37">
        <v>180</v>
      </c>
      <c r="P152" s="35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2"/>
      <c r="R152" s="302"/>
      <c r="S152" s="302"/>
      <c r="T152" s="303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9" t="s">
        <v>252</v>
      </c>
      <c r="AG152" s="81"/>
      <c r="AJ152" s="87" t="s">
        <v>87</v>
      </c>
      <c r="AK152" s="87">
        <v>1</v>
      </c>
      <c r="BB152" s="200" t="s">
        <v>115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ht="16.5" customHeight="1" x14ac:dyDescent="0.25">
      <c r="A153" s="63" t="s">
        <v>253</v>
      </c>
      <c r="B153" s="63" t="s">
        <v>254</v>
      </c>
      <c r="C153" s="36">
        <v>4301135946</v>
      </c>
      <c r="D153" s="300">
        <v>4620207491553</v>
      </c>
      <c r="E153" s="300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2"/>
      <c r="R153" s="302"/>
      <c r="S153" s="302"/>
      <c r="T153" s="303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1" t="s">
        <v>252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5"/>
      <c r="P154" s="291" t="s">
        <v>40</v>
      </c>
      <c r="Q154" s="292"/>
      <c r="R154" s="292"/>
      <c r="S154" s="292"/>
      <c r="T154" s="292"/>
      <c r="U154" s="292"/>
      <c r="V154" s="293"/>
      <c r="W154" s="42" t="s">
        <v>39</v>
      </c>
      <c r="X154" s="43">
        <f>IFERROR(SUM(X152:X153),"0")</f>
        <v>0</v>
      </c>
      <c r="Y154" s="43">
        <f>IFERROR(SUM(Y152:Y153),"0")</f>
        <v>0</v>
      </c>
      <c r="Z154" s="43">
        <f>IFERROR(IF(Z152="",0,Z152),"0")+IFERROR(IF(Z153="",0,Z153),"0")</f>
        <v>0</v>
      </c>
      <c r="AA154" s="67"/>
      <c r="AB154" s="67"/>
      <c r="AC154" s="67"/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0</v>
      </c>
      <c r="X155" s="43">
        <f>IFERROR(SUMPRODUCT(X152:X153*H152:H153),"0")</f>
        <v>0</v>
      </c>
      <c r="Y155" s="43">
        <f>IFERROR(SUMPRODUCT(Y152:Y153*H152:H153),"0")</f>
        <v>0</v>
      </c>
      <c r="Z155" s="42"/>
      <c r="AA155" s="67"/>
      <c r="AB155" s="67"/>
      <c r="AC155" s="67"/>
    </row>
    <row r="156" spans="1:68" ht="16.5" customHeight="1" x14ac:dyDescent="0.25">
      <c r="A156" s="322" t="s">
        <v>255</v>
      </c>
      <c r="B156" s="322"/>
      <c r="C156" s="322"/>
      <c r="D156" s="322"/>
      <c r="E156" s="322"/>
      <c r="F156" s="322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65"/>
      <c r="AB156" s="65"/>
      <c r="AC156" s="82"/>
    </row>
    <row r="157" spans="1:68" ht="14.25" customHeight="1" x14ac:dyDescent="0.25">
      <c r="A157" s="315" t="s">
        <v>147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6"/>
      <c r="AB157" s="66"/>
      <c r="AC157" s="83"/>
    </row>
    <row r="158" spans="1:68" ht="27" customHeight="1" x14ac:dyDescent="0.25">
      <c r="A158" s="63" t="s">
        <v>256</v>
      </c>
      <c r="B158" s="63" t="s">
        <v>257</v>
      </c>
      <c r="C158" s="36">
        <v>4301135753</v>
      </c>
      <c r="D158" s="300">
        <v>4620207490914</v>
      </c>
      <c r="E158" s="300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116</v>
      </c>
      <c r="L158" s="37" t="s">
        <v>86</v>
      </c>
      <c r="M158" s="38" t="s">
        <v>84</v>
      </c>
      <c r="N158" s="38"/>
      <c r="O158" s="37">
        <v>180</v>
      </c>
      <c r="P158" s="3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2"/>
      <c r="R158" s="302"/>
      <c r="S158" s="302"/>
      <c r="T158" s="303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3" t="s">
        <v>258</v>
      </c>
      <c r="AG158" s="81"/>
      <c r="AJ158" s="87" t="s">
        <v>87</v>
      </c>
      <c r="AK158" s="87">
        <v>1</v>
      </c>
      <c r="BB158" s="204" t="s">
        <v>115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t="27" customHeight="1" x14ac:dyDescent="0.25">
      <c r="A159" s="63" t="s">
        <v>259</v>
      </c>
      <c r="B159" s="63" t="s">
        <v>260</v>
      </c>
      <c r="C159" s="36">
        <v>4301135932</v>
      </c>
      <c r="D159" s="300">
        <v>4620207491676</v>
      </c>
      <c r="E159" s="300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345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2"/>
      <c r="R159" s="302"/>
      <c r="S159" s="302"/>
      <c r="T159" s="303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05" t="s">
        <v>261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IFERROR(SUM(X158:X159),"0")</f>
        <v>0</v>
      </c>
      <c r="Y160" s="43">
        <f>IFERROR(SUM(Y158:Y159),"0")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IFERROR(SUMPRODUCT(X158:X159*H158:H159),"0")</f>
        <v>0</v>
      </c>
      <c r="Y161" s="43">
        <f>IFERROR(SUMPRODUCT(Y158:Y159*H158:H159),"0")</f>
        <v>0</v>
      </c>
      <c r="Z161" s="42"/>
      <c r="AA161" s="67"/>
      <c r="AB161" s="67"/>
      <c r="AC161" s="67"/>
    </row>
    <row r="162" spans="1:68" ht="16.5" customHeight="1" x14ac:dyDescent="0.25">
      <c r="A162" s="322" t="s">
        <v>262</v>
      </c>
      <c r="B162" s="322"/>
      <c r="C162" s="322"/>
      <c r="D162" s="322"/>
      <c r="E162" s="322"/>
      <c r="F162" s="322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65"/>
      <c r="AB162" s="65"/>
      <c r="AC162" s="82"/>
    </row>
    <row r="163" spans="1:68" ht="14.25" customHeight="1" x14ac:dyDescent="0.25">
      <c r="A163" s="315" t="s">
        <v>147</v>
      </c>
      <c r="B163" s="315"/>
      <c r="C163" s="315"/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66"/>
      <c r="AB163" s="66"/>
      <c r="AC163" s="83"/>
    </row>
    <row r="164" spans="1:68" ht="27" customHeight="1" x14ac:dyDescent="0.25">
      <c r="A164" s="63" t="s">
        <v>263</v>
      </c>
      <c r="B164" s="63" t="s">
        <v>264</v>
      </c>
      <c r="C164" s="36">
        <v>4301135940</v>
      </c>
      <c r="D164" s="300">
        <v>4620207491614</v>
      </c>
      <c r="E164" s="300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116</v>
      </c>
      <c r="L164" s="37" t="s">
        <v>86</v>
      </c>
      <c r="M164" s="38" t="s">
        <v>84</v>
      </c>
      <c r="N164" s="38"/>
      <c r="O164" s="37">
        <v>180</v>
      </c>
      <c r="P164" s="34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2"/>
      <c r="R164" s="302"/>
      <c r="S164" s="302"/>
      <c r="T164" s="303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IFERROR(IF(X164="","",X164*0.01788),"")</f>
        <v>0</v>
      </c>
      <c r="AA164" s="68" t="s">
        <v>46</v>
      </c>
      <c r="AB164" s="69" t="s">
        <v>46</v>
      </c>
      <c r="AC164" s="207" t="s">
        <v>165</v>
      </c>
      <c r="AG164" s="81"/>
      <c r="AJ164" s="87" t="s">
        <v>87</v>
      </c>
      <c r="AK164" s="87">
        <v>1</v>
      </c>
      <c r="BB164" s="208" t="s">
        <v>115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22" t="s">
        <v>265</v>
      </c>
      <c r="B167" s="322"/>
      <c r="C167" s="322"/>
      <c r="D167" s="322"/>
      <c r="E167" s="322"/>
      <c r="F167" s="322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65"/>
      <c r="AB167" s="65"/>
      <c r="AC167" s="82"/>
    </row>
    <row r="168" spans="1:68" ht="14.25" customHeight="1" x14ac:dyDescent="0.25">
      <c r="A168" s="315" t="s">
        <v>147</v>
      </c>
      <c r="B168" s="315"/>
      <c r="C168" s="315"/>
      <c r="D168" s="315"/>
      <c r="E168" s="315"/>
      <c r="F168" s="315"/>
      <c r="G168" s="315"/>
      <c r="H168" s="315"/>
      <c r="I168" s="315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66"/>
      <c r="AB168" s="66"/>
      <c r="AC168" s="83"/>
    </row>
    <row r="169" spans="1:68" ht="16.5" customHeight="1" x14ac:dyDescent="0.25">
      <c r="A169" s="63" t="s">
        <v>266</v>
      </c>
      <c r="B169" s="63" t="s">
        <v>267</v>
      </c>
      <c r="C169" s="36">
        <v>4301135607</v>
      </c>
      <c r="D169" s="300">
        <v>4607111039613</v>
      </c>
      <c r="E169" s="300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116</v>
      </c>
      <c r="L169" s="37" t="s">
        <v>117</v>
      </c>
      <c r="M169" s="38" t="s">
        <v>84</v>
      </c>
      <c r="N169" s="38"/>
      <c r="O169" s="37">
        <v>180</v>
      </c>
      <c r="P169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2"/>
      <c r="R169" s="302"/>
      <c r="S169" s="302"/>
      <c r="T169" s="303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IFERROR(IF(X169="","",X169*0.00936),"")</f>
        <v>0</v>
      </c>
      <c r="AA169" s="68" t="s">
        <v>46</v>
      </c>
      <c r="AB169" s="69" t="s">
        <v>46</v>
      </c>
      <c r="AC169" s="209" t="s">
        <v>268</v>
      </c>
      <c r="AG169" s="81"/>
      <c r="AJ169" s="87" t="s">
        <v>118</v>
      </c>
      <c r="AK169" s="87">
        <v>14</v>
      </c>
      <c r="BB169" s="210" t="s">
        <v>115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22" t="s">
        <v>269</v>
      </c>
      <c r="B172" s="322"/>
      <c r="C172" s="322"/>
      <c r="D172" s="322"/>
      <c r="E172" s="322"/>
      <c r="F172" s="322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65"/>
      <c r="AB172" s="65"/>
      <c r="AC172" s="82"/>
    </row>
    <row r="173" spans="1:68" ht="14.25" customHeight="1" x14ac:dyDescent="0.25">
      <c r="A173" s="315" t="s">
        <v>147</v>
      </c>
      <c r="B173" s="315"/>
      <c r="C173" s="315"/>
      <c r="D173" s="315"/>
      <c r="E173" s="315"/>
      <c r="F173" s="315"/>
      <c r="G173" s="315"/>
      <c r="H173" s="315"/>
      <c r="I173" s="315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4301135912</v>
      </c>
      <c r="D174" s="300">
        <v>4620207491751</v>
      </c>
      <c r="E174" s="300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116</v>
      </c>
      <c r="L174" s="37" t="s">
        <v>86</v>
      </c>
      <c r="M174" s="38" t="s">
        <v>84</v>
      </c>
      <c r="N174" s="38"/>
      <c r="O174" s="37">
        <v>180</v>
      </c>
      <c r="P174" s="343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2"/>
      <c r="R174" s="302"/>
      <c r="S174" s="302"/>
      <c r="T174" s="303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IFERROR(IF(X174="","",X174*0.00941),"")</f>
        <v>0</v>
      </c>
      <c r="AA174" s="68" t="s">
        <v>46</v>
      </c>
      <c r="AB174" s="69" t="s">
        <v>46</v>
      </c>
      <c r="AC174" s="211" t="s">
        <v>165</v>
      </c>
      <c r="AG174" s="81"/>
      <c r="AJ174" s="87" t="s">
        <v>87</v>
      </c>
      <c r="AK174" s="87">
        <v>1</v>
      </c>
      <c r="BB174" s="212" t="s">
        <v>115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21" t="s">
        <v>272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54"/>
      <c r="AB177" s="54"/>
      <c r="AC177" s="54"/>
    </row>
    <row r="178" spans="1:68" ht="16.5" customHeight="1" x14ac:dyDescent="0.25">
      <c r="A178" s="322" t="s">
        <v>273</v>
      </c>
      <c r="B178" s="322"/>
      <c r="C178" s="322"/>
      <c r="D178" s="322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65"/>
      <c r="AB178" s="65"/>
      <c r="AC178" s="82"/>
    </row>
    <row r="179" spans="1:68" ht="14.25" customHeight="1" x14ac:dyDescent="0.25">
      <c r="A179" s="315" t="s">
        <v>111</v>
      </c>
      <c r="B179" s="315"/>
      <c r="C179" s="315"/>
      <c r="D179" s="315"/>
      <c r="E179" s="315"/>
      <c r="F179" s="315"/>
      <c r="G179" s="315"/>
      <c r="H179" s="315"/>
      <c r="I179" s="315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66"/>
      <c r="AB179" s="66"/>
      <c r="AC179" s="83"/>
    </row>
    <row r="180" spans="1:68" ht="27" customHeight="1" x14ac:dyDescent="0.25">
      <c r="A180" s="63" t="s">
        <v>274</v>
      </c>
      <c r="B180" s="63" t="s">
        <v>275</v>
      </c>
      <c r="C180" s="36">
        <v>4301132226</v>
      </c>
      <c r="D180" s="300">
        <v>4620207490631</v>
      </c>
      <c r="E180" s="300"/>
      <c r="F180" s="62">
        <v>6</v>
      </c>
      <c r="G180" s="37">
        <v>1</v>
      </c>
      <c r="H180" s="62">
        <v>6</v>
      </c>
      <c r="I180" s="62">
        <v>6.2350000000000003</v>
      </c>
      <c r="J180" s="37">
        <v>84</v>
      </c>
      <c r="K180" s="37" t="s">
        <v>85</v>
      </c>
      <c r="L180" s="37" t="s">
        <v>86</v>
      </c>
      <c r="M180" s="38" t="s">
        <v>84</v>
      </c>
      <c r="N180" s="38"/>
      <c r="O180" s="37">
        <v>180</v>
      </c>
      <c r="P180" s="341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2"/>
      <c r="R180" s="302"/>
      <c r="S180" s="302"/>
      <c r="T180" s="303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IFERROR(IF(X180="","",X180*0.0155),"")</f>
        <v>0</v>
      </c>
      <c r="AA180" s="68" t="s">
        <v>46</v>
      </c>
      <c r="AB180" s="69" t="s">
        <v>46</v>
      </c>
      <c r="AC180" s="213" t="s">
        <v>276</v>
      </c>
      <c r="AG180" s="81"/>
      <c r="AJ180" s="87" t="s">
        <v>87</v>
      </c>
      <c r="AK180" s="87">
        <v>1</v>
      </c>
      <c r="BB180" s="214" t="s">
        <v>115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5"/>
      <c r="P181" s="291" t="s">
        <v>40</v>
      </c>
      <c r="Q181" s="292"/>
      <c r="R181" s="292"/>
      <c r="S181" s="292"/>
      <c r="T181" s="292"/>
      <c r="U181" s="292"/>
      <c r="V181" s="293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15" t="s">
        <v>147</v>
      </c>
      <c r="B183" s="315"/>
      <c r="C183" s="315"/>
      <c r="D183" s="315"/>
      <c r="E183" s="315"/>
      <c r="F183" s="315"/>
      <c r="G183" s="315"/>
      <c r="H183" s="315"/>
      <c r="I183" s="315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66"/>
      <c r="AB183" s="66"/>
      <c r="AC183" s="83"/>
    </row>
    <row r="184" spans="1:68" ht="27" customHeight="1" x14ac:dyDescent="0.25">
      <c r="A184" s="63" t="s">
        <v>277</v>
      </c>
      <c r="B184" s="63" t="s">
        <v>278</v>
      </c>
      <c r="C184" s="36">
        <v>4301135392</v>
      </c>
      <c r="D184" s="300">
        <v>4607111039132</v>
      </c>
      <c r="E184" s="300"/>
      <c r="F184" s="62">
        <v>3.7</v>
      </c>
      <c r="G184" s="37">
        <v>1</v>
      </c>
      <c r="H184" s="62">
        <v>3.7</v>
      </c>
      <c r="I184" s="62">
        <v>3.8919999999999999</v>
      </c>
      <c r="J184" s="37">
        <v>126</v>
      </c>
      <c r="K184" s="37" t="s">
        <v>116</v>
      </c>
      <c r="L184" s="37" t="s">
        <v>86</v>
      </c>
      <c r="M184" s="38" t="s">
        <v>84</v>
      </c>
      <c r="N184" s="38"/>
      <c r="O184" s="37">
        <v>180</v>
      </c>
      <c r="P184" s="34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2"/>
      <c r="R184" s="302"/>
      <c r="S184" s="302"/>
      <c r="T184" s="30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IFERROR(IF(X184="","",X184*0.00936),"")</f>
        <v>0</v>
      </c>
      <c r="AA184" s="68" t="s">
        <v>46</v>
      </c>
      <c r="AB184" s="69" t="s">
        <v>46</v>
      </c>
      <c r="AC184" s="215" t="s">
        <v>279</v>
      </c>
      <c r="AG184" s="81"/>
      <c r="AJ184" s="87" t="s">
        <v>87</v>
      </c>
      <c r="AK184" s="87">
        <v>1</v>
      </c>
      <c r="BB184" s="216" t="s">
        <v>115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5"/>
      <c r="P185" s="291" t="s">
        <v>40</v>
      </c>
      <c r="Q185" s="292"/>
      <c r="R185" s="292"/>
      <c r="S185" s="292"/>
      <c r="T185" s="292"/>
      <c r="U185" s="292"/>
      <c r="V185" s="293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5"/>
      <c r="P186" s="291" t="s">
        <v>40</v>
      </c>
      <c r="Q186" s="292"/>
      <c r="R186" s="292"/>
      <c r="S186" s="292"/>
      <c r="T186" s="292"/>
      <c r="U186" s="292"/>
      <c r="V186" s="293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6.5" customHeight="1" x14ac:dyDescent="0.25">
      <c r="A187" s="322" t="s">
        <v>280</v>
      </c>
      <c r="B187" s="322"/>
      <c r="C187" s="322"/>
      <c r="D187" s="322"/>
      <c r="E187" s="322"/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65"/>
      <c r="AB187" s="65"/>
      <c r="AC187" s="82"/>
    </row>
    <row r="188" spans="1:68" ht="14.25" customHeight="1" x14ac:dyDescent="0.25">
      <c r="A188" s="315" t="s">
        <v>80</v>
      </c>
      <c r="B188" s="315"/>
      <c r="C188" s="315"/>
      <c r="D188" s="315"/>
      <c r="E188" s="315"/>
      <c r="F188" s="315"/>
      <c r="G188" s="315"/>
      <c r="H188" s="315"/>
      <c r="I188" s="315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66"/>
      <c r="AB188" s="66"/>
      <c r="AC188" s="83"/>
    </row>
    <row r="189" spans="1:68" ht="16.5" customHeight="1" x14ac:dyDescent="0.25">
      <c r="A189" s="63" t="s">
        <v>281</v>
      </c>
      <c r="B189" s="63" t="s">
        <v>282</v>
      </c>
      <c r="C189" s="36">
        <v>4301071062</v>
      </c>
      <c r="D189" s="300">
        <v>4607111036384</v>
      </c>
      <c r="E189" s="300"/>
      <c r="F189" s="62">
        <v>5</v>
      </c>
      <c r="G189" s="37">
        <v>1</v>
      </c>
      <c r="H189" s="62">
        <v>5</v>
      </c>
      <c r="I189" s="62">
        <v>5.2106000000000003</v>
      </c>
      <c r="J189" s="37">
        <v>144</v>
      </c>
      <c r="K189" s="37" t="s">
        <v>85</v>
      </c>
      <c r="L189" s="37" t="s">
        <v>86</v>
      </c>
      <c r="M189" s="38" t="s">
        <v>84</v>
      </c>
      <c r="N189" s="38"/>
      <c r="O189" s="37">
        <v>180</v>
      </c>
      <c r="P189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2"/>
      <c r="R189" s="302"/>
      <c r="S189" s="302"/>
      <c r="T189" s="30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17" t="s">
        <v>283</v>
      </c>
      <c r="AG189" s="81"/>
      <c r="AJ189" s="87" t="s">
        <v>87</v>
      </c>
      <c r="AK189" s="87">
        <v>1</v>
      </c>
      <c r="BB189" s="218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284</v>
      </c>
      <c r="B190" s="63" t="s">
        <v>285</v>
      </c>
      <c r="C190" s="36">
        <v>4301071050</v>
      </c>
      <c r="D190" s="300">
        <v>4607111036216</v>
      </c>
      <c r="E190" s="300"/>
      <c r="F190" s="62">
        <v>5</v>
      </c>
      <c r="G190" s="37">
        <v>1</v>
      </c>
      <c r="H190" s="62">
        <v>5</v>
      </c>
      <c r="I190" s="62">
        <v>5.2131999999999996</v>
      </c>
      <c r="J190" s="37">
        <v>144</v>
      </c>
      <c r="K190" s="37" t="s">
        <v>85</v>
      </c>
      <c r="L190" s="37" t="s">
        <v>117</v>
      </c>
      <c r="M190" s="38" t="s">
        <v>84</v>
      </c>
      <c r="N190" s="38"/>
      <c r="O190" s="37">
        <v>180</v>
      </c>
      <c r="P190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2"/>
      <c r="R190" s="302"/>
      <c r="S190" s="302"/>
      <c r="T190" s="303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IFERROR(IF(X190="","",X190*0.00866),"")</f>
        <v>0</v>
      </c>
      <c r="AA190" s="68" t="s">
        <v>46</v>
      </c>
      <c r="AB190" s="69" t="s">
        <v>46</v>
      </c>
      <c r="AC190" s="219" t="s">
        <v>286</v>
      </c>
      <c r="AG190" s="81"/>
      <c r="AJ190" s="87" t="s">
        <v>118</v>
      </c>
      <c r="AK190" s="87">
        <v>12</v>
      </c>
      <c r="BB190" s="220" t="s">
        <v>70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5"/>
      <c r="P191" s="291" t="s">
        <v>40</v>
      </c>
      <c r="Q191" s="292"/>
      <c r="R191" s="292"/>
      <c r="S191" s="292"/>
      <c r="T191" s="292"/>
      <c r="U191" s="292"/>
      <c r="V191" s="293"/>
      <c r="W191" s="42" t="s">
        <v>39</v>
      </c>
      <c r="X191" s="43">
        <f>IFERROR(SUM(X189:X190),"0")</f>
        <v>0</v>
      </c>
      <c r="Y191" s="43">
        <f>IFERROR(SUM(Y189:Y190),"0")</f>
        <v>0</v>
      </c>
      <c r="Z191" s="43">
        <f>IFERROR(IF(Z189="",0,Z189),"0")+IFERROR(IF(Z190="",0,Z190),"0")</f>
        <v>0</v>
      </c>
      <c r="AA191" s="67"/>
      <c r="AB191" s="67"/>
      <c r="AC191" s="67"/>
    </row>
    <row r="192" spans="1:68" x14ac:dyDescent="0.2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5"/>
      <c r="P192" s="291" t="s">
        <v>40</v>
      </c>
      <c r="Q192" s="292"/>
      <c r="R192" s="292"/>
      <c r="S192" s="292"/>
      <c r="T192" s="292"/>
      <c r="U192" s="292"/>
      <c r="V192" s="293"/>
      <c r="W192" s="42" t="s">
        <v>0</v>
      </c>
      <c r="X192" s="43">
        <f>IFERROR(SUMPRODUCT(X189:X190*H189:H190),"0")</f>
        <v>0</v>
      </c>
      <c r="Y192" s="43">
        <f>IFERROR(SUMPRODUCT(Y189:Y190*H189:H190),"0")</f>
        <v>0</v>
      </c>
      <c r="Z192" s="42"/>
      <c r="AA192" s="67"/>
      <c r="AB192" s="67"/>
      <c r="AC192" s="67"/>
    </row>
    <row r="193" spans="1:68" ht="16.5" customHeight="1" x14ac:dyDescent="0.25">
      <c r="A193" s="322" t="s">
        <v>287</v>
      </c>
      <c r="B193" s="322"/>
      <c r="C193" s="322"/>
      <c r="D193" s="322"/>
      <c r="E193" s="322"/>
      <c r="F193" s="322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65"/>
      <c r="AB193" s="65"/>
      <c r="AC193" s="82"/>
    </row>
    <row r="194" spans="1:68" ht="14.25" customHeight="1" x14ac:dyDescent="0.25">
      <c r="A194" s="315" t="s">
        <v>80</v>
      </c>
      <c r="B194" s="315"/>
      <c r="C194" s="315"/>
      <c r="D194" s="315"/>
      <c r="E194" s="315"/>
      <c r="F194" s="315"/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66"/>
      <c r="AB194" s="66"/>
      <c r="AC194" s="83"/>
    </row>
    <row r="195" spans="1:68" ht="27" customHeight="1" x14ac:dyDescent="0.25">
      <c r="A195" s="63" t="s">
        <v>288</v>
      </c>
      <c r="B195" s="63" t="s">
        <v>289</v>
      </c>
      <c r="C195" s="36">
        <v>4301071117</v>
      </c>
      <c r="D195" s="300">
        <v>4620207491737</v>
      </c>
      <c r="E195" s="300"/>
      <c r="F195" s="62">
        <v>1</v>
      </c>
      <c r="G195" s="37">
        <v>5</v>
      </c>
      <c r="H195" s="62">
        <v>5</v>
      </c>
      <c r="I195" s="62">
        <v>5.2619999999999996</v>
      </c>
      <c r="J195" s="37">
        <v>84</v>
      </c>
      <c r="K195" s="37" t="s">
        <v>85</v>
      </c>
      <c r="L195" s="37" t="s">
        <v>86</v>
      </c>
      <c r="M195" s="38" t="s">
        <v>84</v>
      </c>
      <c r="N195" s="38"/>
      <c r="O195" s="37">
        <v>180</v>
      </c>
      <c r="P195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2"/>
      <c r="R195" s="302"/>
      <c r="S195" s="302"/>
      <c r="T195" s="30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21" t="s">
        <v>286</v>
      </c>
      <c r="AG195" s="81"/>
      <c r="AJ195" s="87" t="s">
        <v>87</v>
      </c>
      <c r="AK195" s="87">
        <v>1</v>
      </c>
      <c r="BB195" s="222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IFERROR(SUM(X195:X195),"0")</f>
        <v>0</v>
      </c>
      <c r="Y196" s="43">
        <f>IFERROR(SUM(Y195:Y195),"0")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IFERROR(SUMPRODUCT(X195:X195*H195:H195),"0")</f>
        <v>0</v>
      </c>
      <c r="Y197" s="43">
        <f>IFERROR(SUMPRODUCT(Y195:Y195*H195:H195),"0")</f>
        <v>0</v>
      </c>
      <c r="Z197" s="42"/>
      <c r="AA197" s="67"/>
      <c r="AB197" s="67"/>
      <c r="AC197" s="67"/>
    </row>
    <row r="198" spans="1:68" ht="27.75" customHeight="1" x14ac:dyDescent="0.2">
      <c r="A198" s="321" t="s">
        <v>290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54"/>
      <c r="AB198" s="54"/>
      <c r="AC198" s="54"/>
    </row>
    <row r="199" spans="1:68" ht="16.5" customHeight="1" x14ac:dyDescent="0.25">
      <c r="A199" s="322" t="s">
        <v>291</v>
      </c>
      <c r="B199" s="322"/>
      <c r="C199" s="322"/>
      <c r="D199" s="322"/>
      <c r="E199" s="322"/>
      <c r="F199" s="322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65"/>
      <c r="AB199" s="65"/>
      <c r="AC199" s="82"/>
    </row>
    <row r="200" spans="1:68" ht="14.25" customHeight="1" x14ac:dyDescent="0.25">
      <c r="A200" s="315" t="s">
        <v>111</v>
      </c>
      <c r="B200" s="315"/>
      <c r="C200" s="315"/>
      <c r="D200" s="315"/>
      <c r="E200" s="315"/>
      <c r="F200" s="315"/>
      <c r="G200" s="315"/>
      <c r="H200" s="315"/>
      <c r="I200" s="315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  <c r="AA200" s="66"/>
      <c r="AB200" s="66"/>
      <c r="AC200" s="83"/>
    </row>
    <row r="201" spans="1:68" ht="16.5" customHeight="1" x14ac:dyDescent="0.25">
      <c r="A201" s="63" t="s">
        <v>292</v>
      </c>
      <c r="B201" s="63" t="s">
        <v>293</v>
      </c>
      <c r="C201" s="36">
        <v>4301132179</v>
      </c>
      <c r="D201" s="300">
        <v>4607111035691</v>
      </c>
      <c r="E201" s="300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116</v>
      </c>
      <c r="L201" s="37" t="s">
        <v>117</v>
      </c>
      <c r="M201" s="38" t="s">
        <v>84</v>
      </c>
      <c r="N201" s="38"/>
      <c r="O201" s="37">
        <v>365</v>
      </c>
      <c r="P20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2"/>
      <c r="R201" s="302"/>
      <c r="S201" s="302"/>
      <c r="T201" s="303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294</v>
      </c>
      <c r="AG201" s="81"/>
      <c r="AJ201" s="87" t="s">
        <v>118</v>
      </c>
      <c r="AK201" s="87">
        <v>14</v>
      </c>
      <c r="BB201" s="224" t="s">
        <v>115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295</v>
      </c>
      <c r="B202" s="63" t="s">
        <v>296</v>
      </c>
      <c r="C202" s="36">
        <v>4301132182</v>
      </c>
      <c r="D202" s="300">
        <v>4607111035721</v>
      </c>
      <c r="E202" s="300"/>
      <c r="F202" s="62">
        <v>0.25</v>
      </c>
      <c r="G202" s="37">
        <v>12</v>
      </c>
      <c r="H202" s="62">
        <v>3</v>
      </c>
      <c r="I202" s="62">
        <v>3.3879999999999999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365</v>
      </c>
      <c r="P20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2"/>
      <c r="R202" s="302"/>
      <c r="S202" s="302"/>
      <c r="T202" s="303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297</v>
      </c>
      <c r="AG202" s="81"/>
      <c r="AJ202" s="87" t="s">
        <v>118</v>
      </c>
      <c r="AK202" s="87">
        <v>14</v>
      </c>
      <c r="BB202" s="226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298</v>
      </c>
      <c r="B203" s="63" t="s">
        <v>299</v>
      </c>
      <c r="C203" s="36">
        <v>4301132170</v>
      </c>
      <c r="D203" s="300">
        <v>4607111038487</v>
      </c>
      <c r="E203" s="300"/>
      <c r="F203" s="62">
        <v>0.25</v>
      </c>
      <c r="G203" s="37">
        <v>12</v>
      </c>
      <c r="H203" s="62">
        <v>3</v>
      </c>
      <c r="I203" s="62">
        <v>3.7360000000000002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2"/>
      <c r="R203" s="302"/>
      <c r="S203" s="302"/>
      <c r="T203" s="30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300</v>
      </c>
      <c r="AG203" s="81"/>
      <c r="AJ203" s="87" t="s">
        <v>118</v>
      </c>
      <c r="AK203" s="87">
        <v>14</v>
      </c>
      <c r="BB203" s="228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301</v>
      </c>
      <c r="B204" s="63" t="s">
        <v>302</v>
      </c>
      <c r="C204" s="36">
        <v>4301132243</v>
      </c>
      <c r="D204" s="300">
        <v>4620207491195</v>
      </c>
      <c r="E204" s="300"/>
      <c r="F204" s="62">
        <v>0.23</v>
      </c>
      <c r="G204" s="37">
        <v>12</v>
      </c>
      <c r="H204" s="62">
        <v>2.76</v>
      </c>
      <c r="I204" s="62">
        <v>3.1480000000000001</v>
      </c>
      <c r="J204" s="37">
        <v>70</v>
      </c>
      <c r="K204" s="37" t="s">
        <v>116</v>
      </c>
      <c r="L204" s="37" t="s">
        <v>86</v>
      </c>
      <c r="M204" s="38" t="s">
        <v>84</v>
      </c>
      <c r="N204" s="38"/>
      <c r="O204" s="37">
        <v>180</v>
      </c>
      <c r="P204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2"/>
      <c r="R204" s="302"/>
      <c r="S204" s="302"/>
      <c r="T204" s="30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303</v>
      </c>
      <c r="AG204" s="81"/>
      <c r="AJ204" s="87" t="s">
        <v>87</v>
      </c>
      <c r="AK204" s="87">
        <v>1</v>
      </c>
      <c r="BB204" s="230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5"/>
      <c r="P205" s="291" t="s">
        <v>40</v>
      </c>
      <c r="Q205" s="292"/>
      <c r="R205" s="292"/>
      <c r="S205" s="292"/>
      <c r="T205" s="292"/>
      <c r="U205" s="292"/>
      <c r="V205" s="293"/>
      <c r="W205" s="42" t="s">
        <v>39</v>
      </c>
      <c r="X205" s="43">
        <f>IFERROR(SUM(X201:X204),"0")</f>
        <v>0</v>
      </c>
      <c r="Y205" s="43">
        <f>IFERROR(SUM(Y201:Y204),"0")</f>
        <v>0</v>
      </c>
      <c r="Z205" s="43">
        <f>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5"/>
      <c r="P206" s="291" t="s">
        <v>40</v>
      </c>
      <c r="Q206" s="292"/>
      <c r="R206" s="292"/>
      <c r="S206" s="292"/>
      <c r="T206" s="292"/>
      <c r="U206" s="292"/>
      <c r="V206" s="293"/>
      <c r="W206" s="42" t="s">
        <v>0</v>
      </c>
      <c r="X206" s="43">
        <f>IFERROR(SUMPRODUCT(X201:X204*H201:H204),"0")</f>
        <v>0</v>
      </c>
      <c r="Y206" s="43">
        <f>IFERROR(SUMPRODUCT(Y201:Y204*H201:H204),"0")</f>
        <v>0</v>
      </c>
      <c r="Z206" s="42"/>
      <c r="AA206" s="67"/>
      <c r="AB206" s="67"/>
      <c r="AC206" s="67"/>
    </row>
    <row r="207" spans="1:68" ht="27.75" customHeight="1" x14ac:dyDescent="0.2">
      <c r="A207" s="321" t="s">
        <v>304</v>
      </c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54"/>
      <c r="AB207" s="54"/>
      <c r="AC207" s="54"/>
    </row>
    <row r="208" spans="1:68" ht="16.5" customHeight="1" x14ac:dyDescent="0.25">
      <c r="A208" s="322" t="s">
        <v>305</v>
      </c>
      <c r="B208" s="322"/>
      <c r="C208" s="322"/>
      <c r="D208" s="322"/>
      <c r="E208" s="322"/>
      <c r="F208" s="322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65"/>
      <c r="AB208" s="65"/>
      <c r="AC208" s="82"/>
    </row>
    <row r="209" spans="1:68" ht="14.25" customHeight="1" x14ac:dyDescent="0.25">
      <c r="A209" s="315" t="s">
        <v>111</v>
      </c>
      <c r="B209" s="315"/>
      <c r="C209" s="315"/>
      <c r="D209" s="315"/>
      <c r="E209" s="315"/>
      <c r="F209" s="315"/>
      <c r="G209" s="315"/>
      <c r="H209" s="315"/>
      <c r="I209" s="315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66"/>
      <c r="AB209" s="66"/>
      <c r="AC209" s="83"/>
    </row>
    <row r="210" spans="1:68" ht="27" customHeight="1" x14ac:dyDescent="0.25">
      <c r="A210" s="63" t="s">
        <v>306</v>
      </c>
      <c r="B210" s="63" t="s">
        <v>307</v>
      </c>
      <c r="C210" s="36">
        <v>4301132227</v>
      </c>
      <c r="D210" s="300">
        <v>4620207491133</v>
      </c>
      <c r="E210" s="300"/>
      <c r="F210" s="62">
        <v>0.23</v>
      </c>
      <c r="G210" s="37">
        <v>12</v>
      </c>
      <c r="H210" s="62">
        <v>2.76</v>
      </c>
      <c r="I210" s="62">
        <v>2.98</v>
      </c>
      <c r="J210" s="37">
        <v>70</v>
      </c>
      <c r="K210" s="37" t="s">
        <v>116</v>
      </c>
      <c r="L210" s="37" t="s">
        <v>117</v>
      </c>
      <c r="M210" s="38" t="s">
        <v>84</v>
      </c>
      <c r="N210" s="38"/>
      <c r="O210" s="37">
        <v>180</v>
      </c>
      <c r="P21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2"/>
      <c r="R210" s="302"/>
      <c r="S210" s="302"/>
      <c r="T210" s="30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308</v>
      </c>
      <c r="AG210" s="81"/>
      <c r="AJ210" s="87" t="s">
        <v>118</v>
      </c>
      <c r="AK210" s="87">
        <v>14</v>
      </c>
      <c r="BB210" s="232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5"/>
      <c r="P211" s="291" t="s">
        <v>40</v>
      </c>
      <c r="Q211" s="292"/>
      <c r="R211" s="292"/>
      <c r="S211" s="292"/>
      <c r="T211" s="292"/>
      <c r="U211" s="292"/>
      <c r="V211" s="293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5"/>
      <c r="P212" s="291" t="s">
        <v>40</v>
      </c>
      <c r="Q212" s="292"/>
      <c r="R212" s="292"/>
      <c r="S212" s="292"/>
      <c r="T212" s="292"/>
      <c r="U212" s="292"/>
      <c r="V212" s="293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15" t="s">
        <v>147</v>
      </c>
      <c r="B213" s="315"/>
      <c r="C213" s="315"/>
      <c r="D213" s="315"/>
      <c r="E213" s="315"/>
      <c r="F213" s="315"/>
      <c r="G213" s="315"/>
      <c r="H213" s="315"/>
      <c r="I213" s="315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66"/>
      <c r="AB213" s="66"/>
      <c r="AC213" s="83"/>
    </row>
    <row r="214" spans="1:68" ht="27" customHeight="1" x14ac:dyDescent="0.25">
      <c r="A214" s="63" t="s">
        <v>309</v>
      </c>
      <c r="B214" s="63" t="s">
        <v>310</v>
      </c>
      <c r="C214" s="36">
        <v>4301135834</v>
      </c>
      <c r="D214" s="300">
        <v>4620207491188</v>
      </c>
      <c r="E214" s="30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2"/>
      <c r="R214" s="302"/>
      <c r="S214" s="302"/>
      <c r="T214" s="30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311</v>
      </c>
      <c r="AG214" s="81"/>
      <c r="AJ214" s="87" t="s">
        <v>87</v>
      </c>
      <c r="AK214" s="87">
        <v>1</v>
      </c>
      <c r="BB214" s="234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312</v>
      </c>
      <c r="B215" s="63" t="s">
        <v>313</v>
      </c>
      <c r="C215" s="36">
        <v>4301135696</v>
      </c>
      <c r="D215" s="300">
        <v>4620207490235</v>
      </c>
      <c r="E215" s="30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116</v>
      </c>
      <c r="L215" s="37" t="s">
        <v>117</v>
      </c>
      <c r="M215" s="38" t="s">
        <v>84</v>
      </c>
      <c r="N215" s="38"/>
      <c r="O215" s="37">
        <v>180</v>
      </c>
      <c r="P215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2"/>
      <c r="R215" s="302"/>
      <c r="S215" s="302"/>
      <c r="T215" s="30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314</v>
      </c>
      <c r="AG215" s="81"/>
      <c r="AJ215" s="87" t="s">
        <v>118</v>
      </c>
      <c r="AK215" s="87">
        <v>14</v>
      </c>
      <c r="BB215" s="236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315</v>
      </c>
      <c r="B216" s="63" t="s">
        <v>316</v>
      </c>
      <c r="C216" s="36">
        <v>4301135697</v>
      </c>
      <c r="D216" s="300">
        <v>4620207490259</v>
      </c>
      <c r="E216" s="300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116</v>
      </c>
      <c r="L216" s="37" t="s">
        <v>117</v>
      </c>
      <c r="M216" s="38" t="s">
        <v>84</v>
      </c>
      <c r="N216" s="38"/>
      <c r="O216" s="37">
        <v>180</v>
      </c>
      <c r="P216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2"/>
      <c r="R216" s="302"/>
      <c r="S216" s="302"/>
      <c r="T216" s="30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317</v>
      </c>
      <c r="AG216" s="81"/>
      <c r="AJ216" s="87" t="s">
        <v>118</v>
      </c>
      <c r="AK216" s="87">
        <v>14</v>
      </c>
      <c r="BB216" s="238" t="s">
        <v>115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5"/>
      <c r="P217" s="291" t="s">
        <v>40</v>
      </c>
      <c r="Q217" s="292"/>
      <c r="R217" s="292"/>
      <c r="S217" s="292"/>
      <c r="T217" s="292"/>
      <c r="U217" s="292"/>
      <c r="V217" s="293"/>
      <c r="W217" s="42" t="s">
        <v>39</v>
      </c>
      <c r="X217" s="43">
        <f>IFERROR(SUM(X214:X216),"0")</f>
        <v>0</v>
      </c>
      <c r="Y217" s="43">
        <f>IFERROR(SUM(Y214:Y216),"0")</f>
        <v>0</v>
      </c>
      <c r="Z217" s="43">
        <f>IFERROR(IF(Z214="",0,Z214),"0")+IFERROR(IF(Z215="",0,Z215),"0")+IFERROR(IF(Z216="",0,Z216),"0")</f>
        <v>0</v>
      </c>
      <c r="AA217" s="67"/>
      <c r="AB217" s="67"/>
      <c r="AC217" s="67"/>
    </row>
    <row r="218" spans="1:68" x14ac:dyDescent="0.2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5"/>
      <c r="P218" s="291" t="s">
        <v>40</v>
      </c>
      <c r="Q218" s="292"/>
      <c r="R218" s="292"/>
      <c r="S218" s="292"/>
      <c r="T218" s="292"/>
      <c r="U218" s="292"/>
      <c r="V218" s="293"/>
      <c r="W218" s="42" t="s">
        <v>0</v>
      </c>
      <c r="X218" s="43">
        <f>IFERROR(SUMPRODUCT(X214:X216*H214:H216),"0")</f>
        <v>0</v>
      </c>
      <c r="Y218" s="43">
        <f>IFERROR(SUMPRODUCT(Y214:Y216*H214:H216),"0")</f>
        <v>0</v>
      </c>
      <c r="Z218" s="42"/>
      <c r="AA218" s="67"/>
      <c r="AB218" s="67"/>
      <c r="AC218" s="67"/>
    </row>
    <row r="219" spans="1:68" ht="16.5" customHeight="1" x14ac:dyDescent="0.25">
      <c r="A219" s="322" t="s">
        <v>318</v>
      </c>
      <c r="B219" s="322"/>
      <c r="C219" s="322"/>
      <c r="D219" s="322"/>
      <c r="E219" s="322"/>
      <c r="F219" s="322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65"/>
      <c r="AB219" s="65"/>
      <c r="AC219" s="82"/>
    </row>
    <row r="220" spans="1:68" ht="14.25" customHeight="1" x14ac:dyDescent="0.25">
      <c r="A220" s="315" t="s">
        <v>147</v>
      </c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66"/>
      <c r="AB220" s="66"/>
      <c r="AC220" s="83"/>
    </row>
    <row r="221" spans="1:68" ht="27" customHeight="1" x14ac:dyDescent="0.25">
      <c r="A221" s="63" t="s">
        <v>319</v>
      </c>
      <c r="B221" s="63" t="s">
        <v>320</v>
      </c>
      <c r="C221" s="36">
        <v>4301135854</v>
      </c>
      <c r="D221" s="300">
        <v>4620207491706</v>
      </c>
      <c r="E221" s="300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2"/>
      <c r="R221" s="302"/>
      <c r="S221" s="302"/>
      <c r="T221" s="30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39" t="s">
        <v>321</v>
      </c>
      <c r="AG221" s="81"/>
      <c r="AJ221" s="87" t="s">
        <v>87</v>
      </c>
      <c r="AK221" s="87">
        <v>1</v>
      </c>
      <c r="BB221" s="240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t="27" customHeight="1" x14ac:dyDescent="0.25">
      <c r="A222" s="63" t="s">
        <v>322</v>
      </c>
      <c r="B222" s="63" t="s">
        <v>323</v>
      </c>
      <c r="C222" s="36">
        <v>4301135895</v>
      </c>
      <c r="D222" s="300">
        <v>4620207491522</v>
      </c>
      <c r="E222" s="300"/>
      <c r="F222" s="62">
        <v>0.28000000000000003</v>
      </c>
      <c r="G222" s="37">
        <v>12</v>
      </c>
      <c r="H222" s="62">
        <v>3.36</v>
      </c>
      <c r="I222" s="62">
        <v>4.0636000000000001</v>
      </c>
      <c r="J222" s="37">
        <v>70</v>
      </c>
      <c r="K222" s="37" t="s">
        <v>116</v>
      </c>
      <c r="L222" s="37" t="s">
        <v>86</v>
      </c>
      <c r="M222" s="38" t="s">
        <v>84</v>
      </c>
      <c r="N222" s="38"/>
      <c r="O222" s="37">
        <v>180</v>
      </c>
      <c r="P222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2"/>
      <c r="R222" s="302"/>
      <c r="S222" s="302"/>
      <c r="T222" s="30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324</v>
      </c>
      <c r="AG222" s="81"/>
      <c r="AJ222" s="87" t="s">
        <v>87</v>
      </c>
      <c r="AK222" s="87">
        <v>1</v>
      </c>
      <c r="BB222" s="242" t="s">
        <v>115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5"/>
      <c r="P223" s="291" t="s">
        <v>40</v>
      </c>
      <c r="Q223" s="292"/>
      <c r="R223" s="292"/>
      <c r="S223" s="292"/>
      <c r="T223" s="292"/>
      <c r="U223" s="292"/>
      <c r="V223" s="293"/>
      <c r="W223" s="42" t="s">
        <v>39</v>
      </c>
      <c r="X223" s="43">
        <f>IFERROR(SUM(X221:X222),"0")</f>
        <v>0</v>
      </c>
      <c r="Y223" s="43">
        <f>IFERROR(SUM(Y221:Y222),"0")</f>
        <v>0</v>
      </c>
      <c r="Z223" s="43">
        <f>IFERROR(IF(Z221="",0,Z221),"0")+IFERROR(IF(Z222="",0,Z222),"0")</f>
        <v>0</v>
      </c>
      <c r="AA223" s="67"/>
      <c r="AB223" s="67"/>
      <c r="AC223" s="67"/>
    </row>
    <row r="224" spans="1:68" x14ac:dyDescent="0.2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5"/>
      <c r="P224" s="291" t="s">
        <v>40</v>
      </c>
      <c r="Q224" s="292"/>
      <c r="R224" s="292"/>
      <c r="S224" s="292"/>
      <c r="T224" s="292"/>
      <c r="U224" s="292"/>
      <c r="V224" s="293"/>
      <c r="W224" s="42" t="s">
        <v>0</v>
      </c>
      <c r="X224" s="43">
        <f>IFERROR(SUMPRODUCT(X221:X222*H221:H222),"0")</f>
        <v>0</v>
      </c>
      <c r="Y224" s="43">
        <f>IFERROR(SUMPRODUCT(Y221:Y222*H221:H222),"0")</f>
        <v>0</v>
      </c>
      <c r="Z224" s="42"/>
      <c r="AA224" s="67"/>
      <c r="AB224" s="67"/>
      <c r="AC224" s="67"/>
    </row>
    <row r="225" spans="1:68" ht="16.5" customHeight="1" x14ac:dyDescent="0.25">
      <c r="A225" s="322" t="s">
        <v>325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65"/>
      <c r="AB225" s="65"/>
      <c r="AC225" s="82"/>
    </row>
    <row r="226" spans="1:68" ht="14.25" customHeight="1" x14ac:dyDescent="0.25">
      <c r="A226" s="315" t="s">
        <v>80</v>
      </c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66"/>
      <c r="AB226" s="66"/>
      <c r="AC226" s="83"/>
    </row>
    <row r="227" spans="1:68" ht="27" customHeight="1" x14ac:dyDescent="0.25">
      <c r="A227" s="63" t="s">
        <v>326</v>
      </c>
      <c r="B227" s="63" t="s">
        <v>327</v>
      </c>
      <c r="C227" s="36">
        <v>4301071097</v>
      </c>
      <c r="D227" s="300">
        <v>4620207491096</v>
      </c>
      <c r="E227" s="300"/>
      <c r="F227" s="62">
        <v>1</v>
      </c>
      <c r="G227" s="37">
        <v>5</v>
      </c>
      <c r="H227" s="62">
        <v>5</v>
      </c>
      <c r="I227" s="62">
        <v>5.23</v>
      </c>
      <c r="J227" s="37">
        <v>84</v>
      </c>
      <c r="K227" s="37" t="s">
        <v>85</v>
      </c>
      <c r="L227" s="37" t="s">
        <v>117</v>
      </c>
      <c r="M227" s="38" t="s">
        <v>84</v>
      </c>
      <c r="N227" s="38"/>
      <c r="O227" s="37">
        <v>180</v>
      </c>
      <c r="P227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2"/>
      <c r="R227" s="302"/>
      <c r="S227" s="302"/>
      <c r="T227" s="30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3" t="s">
        <v>328</v>
      </c>
      <c r="AG227" s="81"/>
      <c r="AJ227" s="87" t="s">
        <v>118</v>
      </c>
      <c r="AK227" s="87">
        <v>12</v>
      </c>
      <c r="BB227" s="244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5"/>
      <c r="P228" s="291" t="s">
        <v>40</v>
      </c>
      <c r="Q228" s="292"/>
      <c r="R228" s="292"/>
      <c r="S228" s="292"/>
      <c r="T228" s="292"/>
      <c r="U228" s="292"/>
      <c r="V228" s="293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5"/>
      <c r="P229" s="291" t="s">
        <v>40</v>
      </c>
      <c r="Q229" s="292"/>
      <c r="R229" s="292"/>
      <c r="S229" s="292"/>
      <c r="T229" s="292"/>
      <c r="U229" s="292"/>
      <c r="V229" s="293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21" t="s">
        <v>329</v>
      </c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54"/>
      <c r="AB230" s="54"/>
      <c r="AC230" s="54"/>
    </row>
    <row r="231" spans="1:68" ht="16.5" customHeight="1" x14ac:dyDescent="0.25">
      <c r="A231" s="322" t="s">
        <v>330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65"/>
      <c r="AB231" s="65"/>
      <c r="AC231" s="82"/>
    </row>
    <row r="232" spans="1:68" ht="14.25" customHeight="1" x14ac:dyDescent="0.25">
      <c r="A232" s="315" t="s">
        <v>80</v>
      </c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66"/>
      <c r="AB232" s="66"/>
      <c r="AC232" s="83"/>
    </row>
    <row r="233" spans="1:68" ht="27" customHeight="1" x14ac:dyDescent="0.25">
      <c r="A233" s="63" t="s">
        <v>331</v>
      </c>
      <c r="B233" s="63" t="s">
        <v>332</v>
      </c>
      <c r="C233" s="36">
        <v>4301071036</v>
      </c>
      <c r="D233" s="300">
        <v>4607111036162</v>
      </c>
      <c r="E233" s="300"/>
      <c r="F233" s="62">
        <v>0.8</v>
      </c>
      <c r="G233" s="37">
        <v>8</v>
      </c>
      <c r="H233" s="62">
        <v>6.4</v>
      </c>
      <c r="I233" s="62">
        <v>6.6811999999999996</v>
      </c>
      <c r="J233" s="37">
        <v>84</v>
      </c>
      <c r="K233" s="37" t="s">
        <v>85</v>
      </c>
      <c r="L233" s="37" t="s">
        <v>86</v>
      </c>
      <c r="M233" s="38" t="s">
        <v>84</v>
      </c>
      <c r="N233" s="38"/>
      <c r="O233" s="37">
        <v>90</v>
      </c>
      <c r="P233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2"/>
      <c r="R233" s="302"/>
      <c r="S233" s="302"/>
      <c r="T233" s="30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IFERROR(IF(X233="","",X233*0.0155),"")</f>
        <v>0</v>
      </c>
      <c r="AA233" s="68" t="s">
        <v>46</v>
      </c>
      <c r="AB233" s="69" t="s">
        <v>46</v>
      </c>
      <c r="AC233" s="245" t="s">
        <v>333</v>
      </c>
      <c r="AG233" s="81"/>
      <c r="AJ233" s="87" t="s">
        <v>87</v>
      </c>
      <c r="AK233" s="87">
        <v>1</v>
      </c>
      <c r="BB233" s="246" t="s">
        <v>70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5"/>
      <c r="P234" s="291" t="s">
        <v>40</v>
      </c>
      <c r="Q234" s="292"/>
      <c r="R234" s="292"/>
      <c r="S234" s="292"/>
      <c r="T234" s="292"/>
      <c r="U234" s="292"/>
      <c r="V234" s="293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5"/>
      <c r="P235" s="291" t="s">
        <v>40</v>
      </c>
      <c r="Q235" s="292"/>
      <c r="R235" s="292"/>
      <c r="S235" s="292"/>
      <c r="T235" s="292"/>
      <c r="U235" s="292"/>
      <c r="V235" s="293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21" t="s">
        <v>334</v>
      </c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54"/>
      <c r="AB236" s="54"/>
      <c r="AC236" s="54"/>
    </row>
    <row r="237" spans="1:68" ht="16.5" customHeight="1" x14ac:dyDescent="0.25">
      <c r="A237" s="322" t="s">
        <v>335</v>
      </c>
      <c r="B237" s="322"/>
      <c r="C237" s="322"/>
      <c r="D237" s="322"/>
      <c r="E237" s="322"/>
      <c r="F237" s="322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65"/>
      <c r="AB237" s="65"/>
      <c r="AC237" s="82"/>
    </row>
    <row r="238" spans="1:68" ht="14.25" customHeight="1" x14ac:dyDescent="0.25">
      <c r="A238" s="315" t="s">
        <v>336</v>
      </c>
      <c r="B238" s="315"/>
      <c r="C238" s="315"/>
      <c r="D238" s="315"/>
      <c r="E238" s="315"/>
      <c r="F238" s="315"/>
      <c r="G238" s="315"/>
      <c r="H238" s="315"/>
      <c r="I238" s="315"/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  <c r="AA238" s="66"/>
      <c r="AB238" s="66"/>
      <c r="AC238" s="83"/>
    </row>
    <row r="239" spans="1:68" ht="27" customHeight="1" x14ac:dyDescent="0.25">
      <c r="A239" s="63" t="s">
        <v>337</v>
      </c>
      <c r="B239" s="63" t="s">
        <v>338</v>
      </c>
      <c r="C239" s="36">
        <v>4301133004</v>
      </c>
      <c r="D239" s="300">
        <v>4607111039774</v>
      </c>
      <c r="E239" s="300"/>
      <c r="F239" s="62">
        <v>0.25</v>
      </c>
      <c r="G239" s="37">
        <v>12</v>
      </c>
      <c r="H239" s="62">
        <v>3</v>
      </c>
      <c r="I239" s="62">
        <v>3.22</v>
      </c>
      <c r="J239" s="37">
        <v>70</v>
      </c>
      <c r="K239" s="37" t="s">
        <v>116</v>
      </c>
      <c r="L239" s="37" t="s">
        <v>86</v>
      </c>
      <c r="M239" s="38" t="s">
        <v>84</v>
      </c>
      <c r="N239" s="38"/>
      <c r="O239" s="37">
        <v>180</v>
      </c>
      <c r="P239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2"/>
      <c r="R239" s="302"/>
      <c r="S239" s="302"/>
      <c r="T239" s="303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339</v>
      </c>
      <c r="AG239" s="81"/>
      <c r="AJ239" s="87" t="s">
        <v>87</v>
      </c>
      <c r="AK239" s="87">
        <v>1</v>
      </c>
      <c r="BB239" s="248" t="s">
        <v>115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5"/>
      <c r="P240" s="291" t="s">
        <v>40</v>
      </c>
      <c r="Q240" s="292"/>
      <c r="R240" s="292"/>
      <c r="S240" s="292"/>
      <c r="T240" s="292"/>
      <c r="U240" s="292"/>
      <c r="V240" s="293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5"/>
      <c r="P241" s="291" t="s">
        <v>40</v>
      </c>
      <c r="Q241" s="292"/>
      <c r="R241" s="292"/>
      <c r="S241" s="292"/>
      <c r="T241" s="292"/>
      <c r="U241" s="292"/>
      <c r="V241" s="293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14.25" customHeight="1" x14ac:dyDescent="0.25">
      <c r="A242" s="315" t="s">
        <v>147</v>
      </c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66"/>
      <c r="AB242" s="66"/>
      <c r="AC242" s="83"/>
    </row>
    <row r="243" spans="1:68" ht="37.5" customHeight="1" x14ac:dyDescent="0.25">
      <c r="A243" s="63" t="s">
        <v>340</v>
      </c>
      <c r="B243" s="63" t="s">
        <v>341</v>
      </c>
      <c r="C243" s="36">
        <v>4301135400</v>
      </c>
      <c r="D243" s="300">
        <v>4607111039361</v>
      </c>
      <c r="E243" s="300"/>
      <c r="F243" s="62">
        <v>0.25</v>
      </c>
      <c r="G243" s="37">
        <v>12</v>
      </c>
      <c r="H243" s="62">
        <v>3</v>
      </c>
      <c r="I243" s="62">
        <v>3.7035999999999998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180</v>
      </c>
      <c r="P243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2"/>
      <c r="R243" s="302"/>
      <c r="S243" s="302"/>
      <c r="T243" s="30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49" t="s">
        <v>339</v>
      </c>
      <c r="AG243" s="81"/>
      <c r="AJ243" s="87" t="s">
        <v>87</v>
      </c>
      <c r="AK243" s="87">
        <v>1</v>
      </c>
      <c r="BB243" s="250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5"/>
      <c r="P244" s="291" t="s">
        <v>40</v>
      </c>
      <c r="Q244" s="292"/>
      <c r="R244" s="292"/>
      <c r="S244" s="292"/>
      <c r="T244" s="292"/>
      <c r="U244" s="292"/>
      <c r="V244" s="29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5"/>
      <c r="P245" s="291" t="s">
        <v>40</v>
      </c>
      <c r="Q245" s="292"/>
      <c r="R245" s="292"/>
      <c r="S245" s="292"/>
      <c r="T245" s="292"/>
      <c r="U245" s="292"/>
      <c r="V245" s="29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customHeight="1" x14ac:dyDescent="0.2">
      <c r="A246" s="321" t="s">
        <v>342</v>
      </c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54"/>
      <c r="AB246" s="54"/>
      <c r="AC246" s="54"/>
    </row>
    <row r="247" spans="1:68" ht="16.5" customHeight="1" x14ac:dyDescent="0.25">
      <c r="A247" s="322" t="s">
        <v>342</v>
      </c>
      <c r="B247" s="322"/>
      <c r="C247" s="322"/>
      <c r="D247" s="322"/>
      <c r="E247" s="322"/>
      <c r="F247" s="322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65"/>
      <c r="AB247" s="65"/>
      <c r="AC247" s="82"/>
    </row>
    <row r="248" spans="1:68" ht="14.25" customHeight="1" x14ac:dyDescent="0.25">
      <c r="A248" s="315" t="s">
        <v>111</v>
      </c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66"/>
      <c r="AB248" s="66"/>
      <c r="AC248" s="83"/>
    </row>
    <row r="249" spans="1:68" ht="27" customHeight="1" x14ac:dyDescent="0.25">
      <c r="A249" s="63" t="s">
        <v>343</v>
      </c>
      <c r="B249" s="63" t="s">
        <v>344</v>
      </c>
      <c r="C249" s="36">
        <v>4301132228</v>
      </c>
      <c r="D249" s="300">
        <v>4640242181950</v>
      </c>
      <c r="E249" s="300"/>
      <c r="F249" s="62">
        <v>0.23</v>
      </c>
      <c r="G249" s="37">
        <v>12</v>
      </c>
      <c r="H249" s="62">
        <v>2.76</v>
      </c>
      <c r="I249" s="62">
        <v>3.22</v>
      </c>
      <c r="J249" s="37">
        <v>70</v>
      </c>
      <c r="K249" s="37" t="s">
        <v>116</v>
      </c>
      <c r="L249" s="37" t="s">
        <v>86</v>
      </c>
      <c r="M249" s="38" t="s">
        <v>84</v>
      </c>
      <c r="N249" s="38"/>
      <c r="O249" s="37">
        <v>365</v>
      </c>
      <c r="P249" s="32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2"/>
      <c r="R249" s="302"/>
      <c r="S249" s="302"/>
      <c r="T249" s="30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51" t="s">
        <v>345</v>
      </c>
      <c r="AG249" s="81"/>
      <c r="AJ249" s="87" t="s">
        <v>87</v>
      </c>
      <c r="AK249" s="87">
        <v>1</v>
      </c>
      <c r="BB249" s="252" t="s">
        <v>115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5"/>
      <c r="P251" s="291" t="s">
        <v>40</v>
      </c>
      <c r="Q251" s="292"/>
      <c r="R251" s="292"/>
      <c r="S251" s="292"/>
      <c r="T251" s="292"/>
      <c r="U251" s="292"/>
      <c r="V251" s="293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15" t="s">
        <v>143</v>
      </c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66"/>
      <c r="AB252" s="66"/>
      <c r="AC252" s="83"/>
    </row>
    <row r="253" spans="1:68" ht="27" customHeight="1" x14ac:dyDescent="0.25">
      <c r="A253" s="63" t="s">
        <v>346</v>
      </c>
      <c r="B253" s="63" t="s">
        <v>347</v>
      </c>
      <c r="C253" s="36">
        <v>4301136098</v>
      </c>
      <c r="D253" s="300">
        <v>4640242181943</v>
      </c>
      <c r="E253" s="300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116</v>
      </c>
      <c r="L253" s="37" t="s">
        <v>86</v>
      </c>
      <c r="M253" s="38" t="s">
        <v>84</v>
      </c>
      <c r="N253" s="38"/>
      <c r="O253" s="37">
        <v>180</v>
      </c>
      <c r="P253" s="32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2"/>
      <c r="R253" s="302"/>
      <c r="S253" s="302"/>
      <c r="T253" s="30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348</v>
      </c>
      <c r="AG253" s="81"/>
      <c r="AJ253" s="87" t="s">
        <v>87</v>
      </c>
      <c r="AK253" s="87">
        <v>1</v>
      </c>
      <c r="BB253" s="254" t="s">
        <v>115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5"/>
      <c r="P255" s="291" t="s">
        <v>40</v>
      </c>
      <c r="Q255" s="292"/>
      <c r="R255" s="292"/>
      <c r="S255" s="292"/>
      <c r="T255" s="292"/>
      <c r="U255" s="292"/>
      <c r="V255" s="293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21" t="s">
        <v>273</v>
      </c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54"/>
      <c r="AB256" s="54"/>
      <c r="AC256" s="54"/>
    </row>
    <row r="257" spans="1:68" ht="16.5" customHeight="1" x14ac:dyDescent="0.25">
      <c r="A257" s="322" t="s">
        <v>273</v>
      </c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65"/>
      <c r="AB257" s="65"/>
      <c r="AC257" s="82"/>
    </row>
    <row r="258" spans="1:68" ht="14.25" customHeight="1" x14ac:dyDescent="0.25">
      <c r="A258" s="315" t="s">
        <v>80</v>
      </c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66"/>
      <c r="AB258" s="66"/>
      <c r="AC258" s="83"/>
    </row>
    <row r="259" spans="1:68" ht="27" customHeight="1" x14ac:dyDescent="0.25">
      <c r="A259" s="63" t="s">
        <v>349</v>
      </c>
      <c r="B259" s="63" t="s">
        <v>350</v>
      </c>
      <c r="C259" s="36">
        <v>4301071014</v>
      </c>
      <c r="D259" s="300">
        <v>4640242181264</v>
      </c>
      <c r="E259" s="300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86</v>
      </c>
      <c r="M259" s="38" t="s">
        <v>84</v>
      </c>
      <c r="N259" s="38"/>
      <c r="O259" s="37">
        <v>180</v>
      </c>
      <c r="P259" s="31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2"/>
      <c r="R259" s="302"/>
      <c r="S259" s="302"/>
      <c r="T259" s="30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5" t="s">
        <v>351</v>
      </c>
      <c r="AG259" s="81"/>
      <c r="AJ259" s="87" t="s">
        <v>87</v>
      </c>
      <c r="AK259" s="87">
        <v>1</v>
      </c>
      <c r="BB259" s="256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352</v>
      </c>
      <c r="B260" s="63" t="s">
        <v>353</v>
      </c>
      <c r="C260" s="36">
        <v>4301071141</v>
      </c>
      <c r="D260" s="300">
        <v>4620207491980</v>
      </c>
      <c r="E260" s="300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85</v>
      </c>
      <c r="L260" s="37" t="s">
        <v>86</v>
      </c>
      <c r="M260" s="38" t="s">
        <v>84</v>
      </c>
      <c r="N260" s="38"/>
      <c r="O260" s="37">
        <v>180</v>
      </c>
      <c r="P260" s="31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2"/>
      <c r="R260" s="302"/>
      <c r="S260" s="302"/>
      <c r="T260" s="303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7" t="s">
        <v>354</v>
      </c>
      <c r="AG260" s="81"/>
      <c r="AJ260" s="87" t="s">
        <v>87</v>
      </c>
      <c r="AK260" s="87">
        <v>1</v>
      </c>
      <c r="BB260" s="258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5"/>
      <c r="P261" s="291" t="s">
        <v>40</v>
      </c>
      <c r="Q261" s="292"/>
      <c r="R261" s="292"/>
      <c r="S261" s="292"/>
      <c r="T261" s="292"/>
      <c r="U261" s="292"/>
      <c r="V261" s="293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5"/>
      <c r="P262" s="291" t="s">
        <v>40</v>
      </c>
      <c r="Q262" s="292"/>
      <c r="R262" s="292"/>
      <c r="S262" s="292"/>
      <c r="T262" s="292"/>
      <c r="U262" s="292"/>
      <c r="V262" s="293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customHeight="1" x14ac:dyDescent="0.25">
      <c r="A263" s="315" t="s">
        <v>143</v>
      </c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66"/>
      <c r="AB263" s="66"/>
      <c r="AC263" s="83"/>
    </row>
    <row r="264" spans="1:68" ht="27" customHeight="1" x14ac:dyDescent="0.25">
      <c r="A264" s="63" t="s">
        <v>355</v>
      </c>
      <c r="B264" s="63" t="s">
        <v>356</v>
      </c>
      <c r="C264" s="36">
        <v>4301136116</v>
      </c>
      <c r="D264" s="300">
        <v>4620207492147</v>
      </c>
      <c r="E264" s="300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9" t="s">
        <v>357</v>
      </c>
      <c r="Q264" s="302"/>
      <c r="R264" s="302"/>
      <c r="S264" s="302"/>
      <c r="T264" s="30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59" t="s">
        <v>192</v>
      </c>
      <c r="AG264" s="81"/>
      <c r="AJ264" s="87" t="s">
        <v>87</v>
      </c>
      <c r="AK264" s="87">
        <v>1</v>
      </c>
      <c r="BB264" s="260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358</v>
      </c>
      <c r="B265" s="63" t="s">
        <v>359</v>
      </c>
      <c r="C265" s="36">
        <v>4301136112</v>
      </c>
      <c r="D265" s="300">
        <v>4620207492154</v>
      </c>
      <c r="E265" s="300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313" t="s">
        <v>360</v>
      </c>
      <c r="Q265" s="302"/>
      <c r="R265" s="302"/>
      <c r="S265" s="302"/>
      <c r="T265" s="30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1" t="s">
        <v>192</v>
      </c>
      <c r="AG265" s="81"/>
      <c r="AJ265" s="87" t="s">
        <v>87</v>
      </c>
      <c r="AK265" s="87">
        <v>1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361</v>
      </c>
      <c r="B266" s="63" t="s">
        <v>362</v>
      </c>
      <c r="C266" s="36">
        <v>4301136114</v>
      </c>
      <c r="D266" s="300">
        <v>4620207492086</v>
      </c>
      <c r="E266" s="300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116</v>
      </c>
      <c r="L266" s="37" t="s">
        <v>86</v>
      </c>
      <c r="M266" s="38" t="s">
        <v>84</v>
      </c>
      <c r="N266" s="38"/>
      <c r="O266" s="37">
        <v>180</v>
      </c>
      <c r="P266" s="314" t="s">
        <v>363</v>
      </c>
      <c r="Q266" s="302"/>
      <c r="R266" s="302"/>
      <c r="S266" s="302"/>
      <c r="T266" s="303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3" t="s">
        <v>192</v>
      </c>
      <c r="AG266" s="81"/>
      <c r="AJ266" s="87" t="s">
        <v>87</v>
      </c>
      <c r="AK266" s="87">
        <v>1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294"/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5"/>
      <c r="P267" s="291" t="s">
        <v>40</v>
      </c>
      <c r="Q267" s="292"/>
      <c r="R267" s="292"/>
      <c r="S267" s="292"/>
      <c r="T267" s="292"/>
      <c r="U267" s="292"/>
      <c r="V267" s="293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294"/>
      <c r="B268" s="294"/>
      <c r="C268" s="294"/>
      <c r="D268" s="294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5"/>
      <c r="P268" s="291" t="s">
        <v>40</v>
      </c>
      <c r="Q268" s="292"/>
      <c r="R268" s="292"/>
      <c r="S268" s="292"/>
      <c r="T268" s="292"/>
      <c r="U268" s="292"/>
      <c r="V268" s="293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15" t="s">
        <v>147</v>
      </c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66"/>
      <c r="AB269" s="66"/>
      <c r="AC269" s="83"/>
    </row>
    <row r="270" spans="1:68" ht="16.5" customHeight="1" x14ac:dyDescent="0.25">
      <c r="A270" s="63" t="s">
        <v>364</v>
      </c>
      <c r="B270" s="63" t="s">
        <v>365</v>
      </c>
      <c r="C270" s="36">
        <v>4301137066</v>
      </c>
      <c r="D270" s="300">
        <v>4620207492109</v>
      </c>
      <c r="E270" s="30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316" t="s">
        <v>366</v>
      </c>
      <c r="Q270" s="302"/>
      <c r="R270" s="302"/>
      <c r="S270" s="302"/>
      <c r="T270" s="30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80" si="18"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65" t="s">
        <v>367</v>
      </c>
      <c r="AG270" s="81"/>
      <c r="AJ270" s="87" t="s">
        <v>87</v>
      </c>
      <c r="AK270" s="87">
        <v>1</v>
      </c>
      <c r="BB270" s="266" t="s">
        <v>115</v>
      </c>
      <c r="BM270" s="81">
        <f t="shared" ref="BM270:BM280" si="19">IFERROR(X270*I270,"0")</f>
        <v>0</v>
      </c>
      <c r="BN270" s="81">
        <f t="shared" ref="BN270:BN280" si="20">IFERROR(Y270*I270,"0")</f>
        <v>0</v>
      </c>
      <c r="BO270" s="81">
        <f t="shared" ref="BO270:BO280" si="21">IFERROR(X270/J270,"0")</f>
        <v>0</v>
      </c>
      <c r="BP270" s="81">
        <f t="shared" ref="BP270:BP280" si="22">IFERROR(Y270/J270,"0")</f>
        <v>0</v>
      </c>
    </row>
    <row r="271" spans="1:68" ht="37.5" customHeight="1" x14ac:dyDescent="0.25">
      <c r="A271" s="63" t="s">
        <v>368</v>
      </c>
      <c r="B271" s="63" t="s">
        <v>369</v>
      </c>
      <c r="C271" s="36">
        <v>4301137068</v>
      </c>
      <c r="D271" s="300">
        <v>4620207492161</v>
      </c>
      <c r="E271" s="30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86</v>
      </c>
      <c r="M271" s="38" t="s">
        <v>84</v>
      </c>
      <c r="N271" s="38"/>
      <c r="O271" s="37">
        <v>180</v>
      </c>
      <c r="P271" s="308" t="s">
        <v>370</v>
      </c>
      <c r="Q271" s="302"/>
      <c r="R271" s="302"/>
      <c r="S271" s="302"/>
      <c r="T271" s="30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371</v>
      </c>
      <c r="AG271" s="81"/>
      <c r="AJ271" s="87" t="s">
        <v>87</v>
      </c>
      <c r="AK271" s="87">
        <v>1</v>
      </c>
      <c r="BB271" s="268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4301137072</v>
      </c>
      <c r="D272" s="300">
        <v>4620207492222</v>
      </c>
      <c r="E272" s="300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309" t="s">
        <v>374</v>
      </c>
      <c r="Q272" s="302"/>
      <c r="R272" s="302"/>
      <c r="S272" s="302"/>
      <c r="T272" s="30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375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376</v>
      </c>
      <c r="B273" s="63" t="s">
        <v>377</v>
      </c>
      <c r="C273" s="36">
        <v>4301137046</v>
      </c>
      <c r="D273" s="300">
        <v>4620207492093</v>
      </c>
      <c r="E273" s="30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10" t="s">
        <v>378</v>
      </c>
      <c r="Q273" s="302"/>
      <c r="R273" s="302"/>
      <c r="S273" s="302"/>
      <c r="T273" s="30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80" si="23">IFERROR(IF(X273="","",X273*0.00936),"")</f>
        <v>0</v>
      </c>
      <c r="AA273" s="68" t="s">
        <v>46</v>
      </c>
      <c r="AB273" s="69" t="s">
        <v>46</v>
      </c>
      <c r="AC273" s="271" t="s">
        <v>375</v>
      </c>
      <c r="AG273" s="81"/>
      <c r="AJ273" s="87" t="s">
        <v>87</v>
      </c>
      <c r="AK273" s="87">
        <v>1</v>
      </c>
      <c r="BB273" s="272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4301137074</v>
      </c>
      <c r="D274" s="300">
        <v>4620207492116</v>
      </c>
      <c r="E274" s="300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11" t="s">
        <v>381</v>
      </c>
      <c r="Q274" s="302"/>
      <c r="R274" s="302"/>
      <c r="S274" s="302"/>
      <c r="T274" s="30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3" t="s">
        <v>367</v>
      </c>
      <c r="AG274" s="81"/>
      <c r="AJ274" s="87" t="s">
        <v>87</v>
      </c>
      <c r="AK274" s="87">
        <v>1</v>
      </c>
      <c r="BB274" s="274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382</v>
      </c>
      <c r="B275" s="63" t="s">
        <v>383</v>
      </c>
      <c r="C275" s="36">
        <v>4301135375</v>
      </c>
      <c r="D275" s="300">
        <v>4640242181486</v>
      </c>
      <c r="E275" s="30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2"/>
      <c r="R275" s="302"/>
      <c r="S275" s="302"/>
      <c r="T275" s="30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75" t="s">
        <v>384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385</v>
      </c>
      <c r="B276" s="63" t="s">
        <v>386</v>
      </c>
      <c r="C276" s="36">
        <v>4301137070</v>
      </c>
      <c r="D276" s="300">
        <v>4620207492123</v>
      </c>
      <c r="E276" s="300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301" t="s">
        <v>387</v>
      </c>
      <c r="Q276" s="302"/>
      <c r="R276" s="302"/>
      <c r="S276" s="302"/>
      <c r="T276" s="30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77" t="s">
        <v>371</v>
      </c>
      <c r="AG276" s="81"/>
      <c r="AJ276" s="87" t="s">
        <v>87</v>
      </c>
      <c r="AK276" s="87">
        <v>1</v>
      </c>
      <c r="BB276" s="278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37.5" customHeight="1" x14ac:dyDescent="0.25">
      <c r="A277" s="63" t="s">
        <v>388</v>
      </c>
      <c r="B277" s="63" t="s">
        <v>389</v>
      </c>
      <c r="C277" s="36">
        <v>4301137078</v>
      </c>
      <c r="D277" s="300">
        <v>4620207492130</v>
      </c>
      <c r="E277" s="300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304" t="s">
        <v>390</v>
      </c>
      <c r="Q277" s="302"/>
      <c r="R277" s="302"/>
      <c r="S277" s="302"/>
      <c r="T277" s="30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371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391</v>
      </c>
      <c r="B278" s="63" t="s">
        <v>392</v>
      </c>
      <c r="C278" s="36">
        <v>4301135304</v>
      </c>
      <c r="D278" s="300">
        <v>4640242181240</v>
      </c>
      <c r="E278" s="300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2"/>
      <c r="R278" s="302"/>
      <c r="S278" s="302"/>
      <c r="T278" s="30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384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393</v>
      </c>
      <c r="B279" s="63" t="s">
        <v>394</v>
      </c>
      <c r="C279" s="36">
        <v>4301135610</v>
      </c>
      <c r="D279" s="300">
        <v>4640242181318</v>
      </c>
      <c r="E279" s="300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2"/>
      <c r="R279" s="302"/>
      <c r="S279" s="302"/>
      <c r="T279" s="30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395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396</v>
      </c>
      <c r="B280" s="63" t="s">
        <v>397</v>
      </c>
      <c r="C280" s="36">
        <v>4301137012</v>
      </c>
      <c r="D280" s="300">
        <v>4620207491935</v>
      </c>
      <c r="E280" s="300"/>
      <c r="F280" s="62">
        <v>0.3</v>
      </c>
      <c r="G280" s="37">
        <v>9</v>
      </c>
      <c r="H280" s="62">
        <v>2.7</v>
      </c>
      <c r="I280" s="62">
        <v>2.9249999999999998</v>
      </c>
      <c r="J280" s="37">
        <v>126</v>
      </c>
      <c r="K280" s="37" t="s">
        <v>116</v>
      </c>
      <c r="L280" s="37" t="s">
        <v>86</v>
      </c>
      <c r="M280" s="38" t="s">
        <v>84</v>
      </c>
      <c r="N280" s="38"/>
      <c r="O280" s="37">
        <v>180</v>
      </c>
      <c r="P280" s="30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2"/>
      <c r="R280" s="302"/>
      <c r="S280" s="302"/>
      <c r="T280" s="30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367</v>
      </c>
      <c r="AG280" s="81"/>
      <c r="AJ280" s="87" t="s">
        <v>87</v>
      </c>
      <c r="AK280" s="87">
        <v>1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5"/>
      <c r="P281" s="291" t="s">
        <v>40</v>
      </c>
      <c r="Q281" s="292"/>
      <c r="R281" s="292"/>
      <c r="S281" s="292"/>
      <c r="T281" s="292"/>
      <c r="U281" s="292"/>
      <c r="V281" s="293"/>
      <c r="W281" s="42" t="s">
        <v>39</v>
      </c>
      <c r="X281" s="43">
        <f>IFERROR(SUM(X270:X280),"0")</f>
        <v>0</v>
      </c>
      <c r="Y281" s="43">
        <f>IFERROR(SUM(Y270:Y280),"0")</f>
        <v>0</v>
      </c>
      <c r="Z281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5"/>
      <c r="P282" s="291" t="s">
        <v>40</v>
      </c>
      <c r="Q282" s="292"/>
      <c r="R282" s="292"/>
      <c r="S282" s="292"/>
      <c r="T282" s="292"/>
      <c r="U282" s="292"/>
      <c r="V282" s="293"/>
      <c r="W282" s="42" t="s">
        <v>0</v>
      </c>
      <c r="X282" s="43">
        <f>IFERROR(SUMPRODUCT(X270:X280*H270:H280),"0")</f>
        <v>0</v>
      </c>
      <c r="Y282" s="43">
        <f>IFERROR(SUMPRODUCT(Y270:Y280*H270:H280),"0")</f>
        <v>0</v>
      </c>
      <c r="Z282" s="42"/>
      <c r="AA282" s="67"/>
      <c r="AB282" s="67"/>
      <c r="AC282" s="67"/>
    </row>
    <row r="283" spans="1:68" ht="15" customHeight="1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9"/>
      <c r="P283" s="296" t="s">
        <v>33</v>
      </c>
      <c r="Q283" s="297"/>
      <c r="R283" s="297"/>
      <c r="S283" s="297"/>
      <c r="T283" s="297"/>
      <c r="U283" s="297"/>
      <c r="V283" s="298"/>
      <c r="W283" s="42" t="s">
        <v>0</v>
      </c>
      <c r="X283" s="43">
        <f>IFERROR(X31+X37+X44+X50+X58+X63+X67+X73+X79+X84+X90+X100+X106+X117+X121+X125+X130+X137+X143+X149+X155+X161+X166+X171+X176+X182+X186+X192+X197+X206+X212+X218+X224+X229+X235+X241+X245+X251+X255+X262+X268+X282,"0")</f>
        <v>0</v>
      </c>
      <c r="Y283" s="43">
        <f>IFERROR(Y31+Y37+Y44+Y50+Y58+Y63+Y67+Y73+Y79+Y84+Y90+Y100+Y106+Y117+Y121+Y125+Y130+Y137+Y143+Y149+Y155+Y161+Y166+Y171+Y176+Y182+Y186+Y192+Y197+Y206+Y212+Y218+Y224+Y229+Y235+Y241+Y245+Y251+Y255+Y262+Y268+Y282,"0")</f>
        <v>0</v>
      </c>
      <c r="Z283" s="42"/>
      <c r="AA283" s="67"/>
      <c r="AB283" s="67"/>
      <c r="AC283" s="67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9"/>
      <c r="P284" s="296" t="s">
        <v>34</v>
      </c>
      <c r="Q284" s="297"/>
      <c r="R284" s="297"/>
      <c r="S284" s="297"/>
      <c r="T284" s="297"/>
      <c r="U284" s="297"/>
      <c r="V284" s="298"/>
      <c r="W284" s="42" t="s">
        <v>0</v>
      </c>
      <c r="X284" s="43">
        <f>IFERROR(SUM(BM22:BM280),"0")</f>
        <v>0</v>
      </c>
      <c r="Y284" s="43">
        <f>IFERROR(SUM(BN22:BN280),"0")</f>
        <v>0</v>
      </c>
      <c r="Z284" s="42"/>
      <c r="AA284" s="67"/>
      <c r="AB284" s="67"/>
      <c r="AC284" s="67"/>
    </row>
    <row r="285" spans="1:68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9"/>
      <c r="P285" s="296" t="s">
        <v>35</v>
      </c>
      <c r="Q285" s="297"/>
      <c r="R285" s="297"/>
      <c r="S285" s="297"/>
      <c r="T285" s="297"/>
      <c r="U285" s="297"/>
      <c r="V285" s="298"/>
      <c r="W285" s="42" t="s">
        <v>20</v>
      </c>
      <c r="X285" s="44">
        <f>ROUNDUP(SUM(BO22:BO280),0)</f>
        <v>0</v>
      </c>
      <c r="Y285" s="44">
        <f>ROUNDUP(SUM(BP22:BP280),0)</f>
        <v>0</v>
      </c>
      <c r="Z285" s="42"/>
      <c r="AA285" s="67"/>
      <c r="AB285" s="67"/>
      <c r="AC285" s="67"/>
    </row>
    <row r="286" spans="1:68" x14ac:dyDescent="0.2">
      <c r="A286" s="294"/>
      <c r="B286" s="294"/>
      <c r="C286" s="294"/>
      <c r="D286" s="294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9"/>
      <c r="P286" s="296" t="s">
        <v>36</v>
      </c>
      <c r="Q286" s="297"/>
      <c r="R286" s="297"/>
      <c r="S286" s="297"/>
      <c r="T286" s="297"/>
      <c r="U286" s="297"/>
      <c r="V286" s="298"/>
      <c r="W286" s="42" t="s">
        <v>0</v>
      </c>
      <c r="X286" s="43">
        <f>GrossWeightTotal+PalletQtyTotal*25</f>
        <v>0</v>
      </c>
      <c r="Y286" s="43">
        <f>GrossWeightTotalR+PalletQtyTotalR*25</f>
        <v>0</v>
      </c>
      <c r="Z286" s="42"/>
      <c r="AA286" s="67"/>
      <c r="AB286" s="67"/>
      <c r="AC286" s="67"/>
    </row>
    <row r="287" spans="1:68" x14ac:dyDescent="0.2">
      <c r="A287" s="294"/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9"/>
      <c r="P287" s="296" t="s">
        <v>37</v>
      </c>
      <c r="Q287" s="297"/>
      <c r="R287" s="297"/>
      <c r="S287" s="297"/>
      <c r="T287" s="297"/>
      <c r="U287" s="297"/>
      <c r="V287" s="298"/>
      <c r="W287" s="42" t="s">
        <v>20</v>
      </c>
      <c r="X287" s="43">
        <f>IFERROR(X30+X36+X43+X49+X57+X62+X66+X72+X78+X83+X89+X99+X105+X116+X120+X124+X129+X136+X142+X148+X154+X160+X165+X170+X175+X181+X185+X191+X196+X205+X211+X217+X223+X228+X234+X240+X244+X250+X254+X261+X267+X281,"0")</f>
        <v>0</v>
      </c>
      <c r="Y287" s="43">
        <f>IFERROR(Y30+Y36+Y43+Y49+Y57+Y62+Y66+Y72+Y78+Y83+Y89+Y99+Y105+Y116+Y120+Y124+Y129+Y136+Y142+Y148+Y154+Y160+Y165+Y170+Y175+Y181+Y185+Y191+Y196+Y205+Y211+Y217+Y223+Y228+Y234+Y240+Y244+Y250+Y254+Y261+Y267+Y281,"0")</f>
        <v>0</v>
      </c>
      <c r="Z287" s="42"/>
      <c r="AA287" s="67"/>
      <c r="AB287" s="67"/>
      <c r="AC287" s="67"/>
    </row>
    <row r="288" spans="1:68" ht="14.25" x14ac:dyDescent="0.2">
      <c r="A288" s="294"/>
      <c r="B288" s="294"/>
      <c r="C288" s="294"/>
      <c r="D288" s="29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9"/>
      <c r="P288" s="296" t="s">
        <v>38</v>
      </c>
      <c r="Q288" s="297"/>
      <c r="R288" s="297"/>
      <c r="S288" s="297"/>
      <c r="T288" s="297"/>
      <c r="U288" s="297"/>
      <c r="V288" s="298"/>
      <c r="W288" s="45" t="s">
        <v>52</v>
      </c>
      <c r="X288" s="42"/>
      <c r="Y288" s="42"/>
      <c r="Z288" s="42">
        <f>IFERROR(Z30+Z36+Z43+Z49+Z57+Z62+Z66+Z72+Z78+Z83+Z89+Z99+Z105+Z116+Z120+Z124+Z129+Z136+Z142+Z148+Z154+Z160+Z165+Z170+Z175+Z181+Z185+Z191+Z196+Z205+Z211+Z217+Z223+Z228+Z234+Z240+Z244+Z250+Z254+Z261+Z267+Z281,"0")</f>
        <v>0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287" t="s">
        <v>79</v>
      </c>
      <c r="C290" s="287" t="s">
        <v>79</v>
      </c>
      <c r="D290" s="287" t="s">
        <v>45</v>
      </c>
      <c r="E290" s="287" t="s">
        <v>45</v>
      </c>
      <c r="F290" s="287" t="s">
        <v>45</v>
      </c>
      <c r="G290" s="287" t="s">
        <v>45</v>
      </c>
      <c r="H290" s="287" t="s">
        <v>45</v>
      </c>
      <c r="I290" s="287" t="s">
        <v>45</v>
      </c>
      <c r="J290" s="287" t="s">
        <v>45</v>
      </c>
      <c r="K290" s="287" t="s">
        <v>45</v>
      </c>
      <c r="L290" s="287" t="s">
        <v>45</v>
      </c>
      <c r="M290" s="287" t="s">
        <v>45</v>
      </c>
      <c r="N290" s="288"/>
      <c r="O290" s="287" t="s">
        <v>45</v>
      </c>
      <c r="P290" s="287" t="s">
        <v>45</v>
      </c>
      <c r="Q290" s="287" t="s">
        <v>45</v>
      </c>
      <c r="R290" s="287" t="s">
        <v>45</v>
      </c>
      <c r="S290" s="287" t="s">
        <v>45</v>
      </c>
      <c r="T290" s="287" t="s">
        <v>45</v>
      </c>
      <c r="U290" s="287" t="s">
        <v>45</v>
      </c>
      <c r="V290" s="287" t="s">
        <v>272</v>
      </c>
      <c r="W290" s="287" t="s">
        <v>272</v>
      </c>
      <c r="X290" s="287" t="s">
        <v>272</v>
      </c>
      <c r="Y290" s="88" t="s">
        <v>290</v>
      </c>
      <c r="Z290" s="287" t="s">
        <v>304</v>
      </c>
      <c r="AA290" s="287" t="s">
        <v>304</v>
      </c>
      <c r="AB290" s="287" t="s">
        <v>304</v>
      </c>
      <c r="AC290" s="88" t="s">
        <v>329</v>
      </c>
      <c r="AD290" s="88" t="s">
        <v>334</v>
      </c>
      <c r="AE290" s="88" t="s">
        <v>342</v>
      </c>
      <c r="AF290" s="88" t="s">
        <v>273</v>
      </c>
    </row>
    <row r="291" spans="1:32" ht="14.25" customHeight="1" thickTop="1" x14ac:dyDescent="0.2">
      <c r="A291" s="289" t="s">
        <v>10</v>
      </c>
      <c r="B291" s="287" t="s">
        <v>79</v>
      </c>
      <c r="C291" s="287" t="s">
        <v>104</v>
      </c>
      <c r="D291" s="287" t="s">
        <v>110</v>
      </c>
      <c r="E291" s="287" t="s">
        <v>121</v>
      </c>
      <c r="F291" s="287" t="s">
        <v>128</v>
      </c>
      <c r="G291" s="287" t="s">
        <v>139</v>
      </c>
      <c r="H291" s="287" t="s">
        <v>155</v>
      </c>
      <c r="I291" s="287" t="s">
        <v>162</v>
      </c>
      <c r="J291" s="287" t="s">
        <v>166</v>
      </c>
      <c r="K291" s="287" t="s">
        <v>174</v>
      </c>
      <c r="L291" s="287" t="s">
        <v>189</v>
      </c>
      <c r="M291" s="287" t="s">
        <v>195</v>
      </c>
      <c r="N291" s="1"/>
      <c r="O291" s="287" t="s">
        <v>221</v>
      </c>
      <c r="P291" s="287" t="s">
        <v>243</v>
      </c>
      <c r="Q291" s="287" t="s">
        <v>249</v>
      </c>
      <c r="R291" s="287" t="s">
        <v>255</v>
      </c>
      <c r="S291" s="287" t="s">
        <v>262</v>
      </c>
      <c r="T291" s="287" t="s">
        <v>265</v>
      </c>
      <c r="U291" s="287" t="s">
        <v>269</v>
      </c>
      <c r="V291" s="287" t="s">
        <v>273</v>
      </c>
      <c r="W291" s="287" t="s">
        <v>280</v>
      </c>
      <c r="X291" s="287" t="s">
        <v>287</v>
      </c>
      <c r="Y291" s="287" t="s">
        <v>291</v>
      </c>
      <c r="Z291" s="287" t="s">
        <v>305</v>
      </c>
      <c r="AA291" s="287" t="s">
        <v>318</v>
      </c>
      <c r="AB291" s="287" t="s">
        <v>325</v>
      </c>
      <c r="AC291" s="287" t="s">
        <v>330</v>
      </c>
      <c r="AD291" s="287" t="s">
        <v>335</v>
      </c>
      <c r="AE291" s="287" t="s">
        <v>342</v>
      </c>
      <c r="AF291" s="287" t="s">
        <v>273</v>
      </c>
    </row>
    <row r="292" spans="1:32" ht="13.5" thickBot="1" x14ac:dyDescent="0.25">
      <c r="A292" s="290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1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0</v>
      </c>
      <c r="E293" s="52">
        <f>IFERROR(X47*H47,"0")+IFERROR(X48*H48,"0")</f>
        <v>0</v>
      </c>
      <c r="F293" s="52">
        <f>IFERROR(X53*H53,"0")+IFERROR(X54*H54,"0")+IFERROR(X55*H55,"0")+IFERROR(X56*H56,"0")</f>
        <v>0</v>
      </c>
      <c r="G293" s="52">
        <f>IFERROR(X61*H61,"0")+IFERROR(X65*H65,"0")+IFERROR(X69*H69,"0")+IFERROR(X70*H70,"0")+IFERROR(X71*H71,"0")</f>
        <v>0</v>
      </c>
      <c r="H293" s="52">
        <f>IFERROR(X76*H76,"0")+IFERROR(X77*H77,"0")</f>
        <v>0</v>
      </c>
      <c r="I293" s="52">
        <f>IFERROR(X82*H82,"0")</f>
        <v>0</v>
      </c>
      <c r="J293" s="52">
        <f>IFERROR(X87*H87,"0")+IFERROR(X88*H88,"0")</f>
        <v>0</v>
      </c>
      <c r="K293" s="52">
        <f>IFERROR(X93*H93,"0")+IFERROR(X94*H94,"0")+IFERROR(X95*H95,"0")+IFERROR(X96*H96,"0")+IFERROR(X97*H97,"0")+IFERROR(X98*H98,"0")</f>
        <v>0</v>
      </c>
      <c r="L293" s="52">
        <f>IFERROR(X103*H103,"0")+IFERROR(X104*H104,"0")</f>
        <v>0</v>
      </c>
      <c r="M293" s="52">
        <f>IFERROR(X109*H109,"0")+IFERROR(X110*H110,"0")+IFERROR(X111*H111,"0")+IFERROR(X112*H112,"0")+IFERROR(X113*H113,"0")+IFERROR(X114*H114,"0")+IFERROR(X115*H115,"0")+IFERROR(X119*H119,"0")+IFERROR(X123*H123,"0")</f>
        <v>0</v>
      </c>
      <c r="N293" s="1"/>
      <c r="O293" s="52">
        <f>IFERROR(X128*H128,"0")+IFERROR(X132*H132,"0")+IFERROR(X133*H133,"0")+IFERROR(X134*H134,"0")+IFERROR(X135*H135,"0")+IFERROR(X139*H139,"0")+IFERROR(X140*H140,"0")+IFERROR(X141*H141,"0")</f>
        <v>0</v>
      </c>
      <c r="P293" s="52">
        <f>IFERROR(X146*H146,"0")+IFERROR(X147*H147,"0")</f>
        <v>0</v>
      </c>
      <c r="Q293" s="52">
        <f>IFERROR(X152*H152,"0")+IFERROR(X153*H153,"0")</f>
        <v>0</v>
      </c>
      <c r="R293" s="52">
        <f>IFERROR(X158*H158,"0")+IFERROR(X159*H159,"0")</f>
        <v>0</v>
      </c>
      <c r="S293" s="52">
        <f>IFERROR(X164*H164,"0")</f>
        <v>0</v>
      </c>
      <c r="T293" s="52">
        <f>IFERROR(X169*H169,"0")</f>
        <v>0</v>
      </c>
      <c r="U293" s="52">
        <f>IFERROR(X174*H174,"0")</f>
        <v>0</v>
      </c>
      <c r="V293" s="52">
        <f>IFERROR(X180*H180,"0")+IFERROR(X184*H184,"0")</f>
        <v>0</v>
      </c>
      <c r="W293" s="52">
        <f>IFERROR(X189*H189,"0")+IFERROR(X190*H190,"0")</f>
        <v>0</v>
      </c>
      <c r="X293" s="52">
        <f>IFERROR(X195*H195,"0")</f>
        <v>0</v>
      </c>
      <c r="Y293" s="52">
        <f>IFERROR(X201*H201,"0")+IFERROR(X202*H202,"0")+IFERROR(X203*H203,"0")+IFERROR(X204*H204,"0")</f>
        <v>0</v>
      </c>
      <c r="Z293" s="52">
        <f>IFERROR(X210*H210,"0")+IFERROR(X214*H214,"0")+IFERROR(X215*H215,"0")+IFERROR(X216*H216,"0")</f>
        <v>0</v>
      </c>
      <c r="AA293" s="52">
        <f>IFERROR(X221*H221,"0")+IFERROR(X222*H222,"0")</f>
        <v>0</v>
      </c>
      <c r="AB293" s="52">
        <f>IFERROR(X227*H227,"0")</f>
        <v>0</v>
      </c>
      <c r="AC293" s="52">
        <f>IFERROR(X233*H233,"0")</f>
        <v>0</v>
      </c>
      <c r="AD293" s="52">
        <f>IFERROR(X239*H239,"0")+IFERROR(X243*H243,"0")</f>
        <v>0</v>
      </c>
      <c r="AE293" s="52">
        <f>IFERROR(X249*H249,"0")+IFERROR(X253*H253,"0")</f>
        <v>0</v>
      </c>
      <c r="AF293" s="52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0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0</v>
      </c>
      <c r="B296" s="72">
        <f>SUMPRODUCT(--(BB:BB="ПГП"),--(W:W="кор"),H:H,Y:Y)+SUMPRODUCT(--(BB:BB="ПГП"),--(W:W="кг"),Y:Y)</f>
        <v>0</v>
      </c>
      <c r="C296" s="72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A237:Z237"/>
    <mergeCell ref="A238:Z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B290:C290"/>
    <mergeCell ref="D290:U290"/>
    <mergeCell ref="V290:X290"/>
    <mergeCell ref="Z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0 X276:X277 X270:X274 X264:X266 X259:X260 X253 X249 X243 X239 X233 X221:X222 X214 X204 X195 X189 X184 X180 X174 X164 X158:X159 X152:X153 X146 X139:X141 X132:X135 X128 X123 X119 X113:X114 X110 X103:X104 X94:X98 X82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79 X275 X227 X215:X216 X210 X201:X203 X190 X169 X147 X115 X111:X112 X109 X93 X87:X88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401</v>
      </c>
      <c r="C6" s="53" t="s">
        <v>402</v>
      </c>
      <c r="D6" s="53" t="s">
        <v>403</v>
      </c>
      <c r="E6" s="53" t="s">
        <v>46</v>
      </c>
    </row>
    <row r="7" spans="2:8" x14ac:dyDescent="0.2">
      <c r="B7" s="53" t="s">
        <v>404</v>
      </c>
      <c r="C7" s="53" t="s">
        <v>405</v>
      </c>
      <c r="D7" s="53" t="s">
        <v>406</v>
      </c>
      <c r="E7" s="53" t="s">
        <v>46</v>
      </c>
    </row>
    <row r="8" spans="2:8" x14ac:dyDescent="0.2">
      <c r="B8" s="53" t="s">
        <v>407</v>
      </c>
      <c r="C8" s="53" t="s">
        <v>408</v>
      </c>
      <c r="D8" s="53" t="s">
        <v>409</v>
      </c>
      <c r="E8" s="53" t="s">
        <v>46</v>
      </c>
    </row>
    <row r="9" spans="2:8" x14ac:dyDescent="0.2">
      <c r="B9" s="53" t="s">
        <v>410</v>
      </c>
      <c r="C9" s="53" t="s">
        <v>411</v>
      </c>
      <c r="D9" s="53" t="s">
        <v>412</v>
      </c>
      <c r="E9" s="53" t="s">
        <v>46</v>
      </c>
    </row>
    <row r="10" spans="2:8" x14ac:dyDescent="0.2">
      <c r="B10" s="53" t="s">
        <v>413</v>
      </c>
      <c r="C10" s="53" t="s">
        <v>414</v>
      </c>
      <c r="D10" s="53" t="s">
        <v>415</v>
      </c>
      <c r="E10" s="53" t="s">
        <v>46</v>
      </c>
    </row>
    <row r="11" spans="2:8" x14ac:dyDescent="0.2">
      <c r="B11" s="53" t="s">
        <v>416</v>
      </c>
      <c r="C11" s="53" t="s">
        <v>417</v>
      </c>
      <c r="D11" s="53" t="s">
        <v>418</v>
      </c>
      <c r="E11" s="53" t="s">
        <v>46</v>
      </c>
    </row>
    <row r="13" spans="2:8" x14ac:dyDescent="0.2">
      <c r="B13" s="53" t="s">
        <v>419</v>
      </c>
      <c r="C13" s="53" t="s">
        <v>402</v>
      </c>
      <c r="D13" s="53" t="s">
        <v>46</v>
      </c>
      <c r="E13" s="53" t="s">
        <v>46</v>
      </c>
    </row>
    <row r="15" spans="2:8" x14ac:dyDescent="0.2">
      <c r="B15" s="53" t="s">
        <v>420</v>
      </c>
      <c r="C15" s="53" t="s">
        <v>405</v>
      </c>
      <c r="D15" s="53" t="s">
        <v>46</v>
      </c>
      <c r="E15" s="53" t="s">
        <v>46</v>
      </c>
    </row>
    <row r="17" spans="2:5" x14ac:dyDescent="0.2">
      <c r="B17" s="53" t="s">
        <v>421</v>
      </c>
      <c r="C17" s="53" t="s">
        <v>408</v>
      </c>
      <c r="D17" s="53" t="s">
        <v>46</v>
      </c>
      <c r="E17" s="53" t="s">
        <v>46</v>
      </c>
    </row>
    <row r="19" spans="2:5" x14ac:dyDescent="0.2">
      <c r="B19" s="53" t="s">
        <v>422</v>
      </c>
      <c r="C19" s="53" t="s">
        <v>411</v>
      </c>
      <c r="D19" s="53" t="s">
        <v>46</v>
      </c>
      <c r="E19" s="53" t="s">
        <v>46</v>
      </c>
    </row>
    <row r="21" spans="2:5" x14ac:dyDescent="0.2">
      <c r="B21" s="53" t="s">
        <v>423</v>
      </c>
      <c r="C21" s="53" t="s">
        <v>414</v>
      </c>
      <c r="D21" s="53" t="s">
        <v>46</v>
      </c>
      <c r="E21" s="53" t="s">
        <v>46</v>
      </c>
    </row>
    <row r="23" spans="2:5" x14ac:dyDescent="0.2">
      <c r="B23" s="53" t="s">
        <v>424</v>
      </c>
      <c r="C23" s="53" t="s">
        <v>417</v>
      </c>
      <c r="D23" s="53" t="s">
        <v>46</v>
      </c>
      <c r="E23" s="53" t="s">
        <v>46</v>
      </c>
    </row>
    <row r="25" spans="2:5" x14ac:dyDescent="0.2">
      <c r="B25" s="53" t="s">
        <v>425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426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427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430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431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435</v>
      </c>
      <c r="C35" s="53" t="s">
        <v>46</v>
      </c>
      <c r="D35" s="53" t="s">
        <v>46</v>
      </c>
      <c r="E35" s="53" t="s">
        <v>46</v>
      </c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448</vt:i4>
      </vt:variant>
    </vt:vector>
  </HeadingPairs>
  <TitlesOfParts>
    <vt:vector size="4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