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E180A9-E96F-4712-A739-DEEED33B3E20}" xr6:coauthVersionLast="47" xr6:coauthVersionMax="47" xr10:uidLastSave="{00000000-0000-0000-0000-000000000000}"/>
  <bookViews>
    <workbookView xWindow="735" yWindow="0" windowWidth="2100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заказа'!$X$294:$X$294</definedName>
    <definedName name="GrossWeightTotalR">'Бланк заказа'!$Y$294:$Y$294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заказа'!$X$295:$X$295</definedName>
    <definedName name="PalletQtyTotalR">'Бланк заказа'!$Y$295:$Y$295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05">'Бланк заказа'!$B$289:$B$289</definedName>
    <definedName name="ProductId106">'Бланк заказа'!$B$290:$B$290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заказа'!$B$168:$B$168</definedName>
    <definedName name="ProductId65">'Бланк заказа'!$B$173:$B$173</definedName>
    <definedName name="ProductId66">'Бланк заказа'!$B$178:$B$178</definedName>
    <definedName name="ProductId67">'Бланк заказа'!$B$184:$B$184</definedName>
    <definedName name="ProductId68">'Бланк заказа'!$B$188:$B$188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заказа'!$B$199:$B$199</definedName>
    <definedName name="ProductId73">'Бланк заказа'!$B$200:$B$200</definedName>
    <definedName name="ProductId74">'Бланк заказа'!$B$205:$B$205</definedName>
    <definedName name="ProductId75">'Бланк заказа'!$B$211:$B$211</definedName>
    <definedName name="ProductId76">'Бланк заказа'!$B$212:$B$212</definedName>
    <definedName name="ProductId77">'Бланк заказа'!$B$213:$B$213</definedName>
    <definedName name="ProductId78">'Бланк заказа'!$B$214:$B$214</definedName>
    <definedName name="ProductId79">'Бланк заказа'!$B$220:$B$220</definedName>
    <definedName name="ProductId8">'Бланк заказа'!$B$29:$B$29</definedName>
    <definedName name="ProductId80">'Бланк заказа'!$B$224:$B$224</definedName>
    <definedName name="ProductId81">'Бланк заказа'!$B$225:$B$225</definedName>
    <definedName name="ProductId82">'Бланк заказа'!$B$226:$B$226</definedName>
    <definedName name="ProductId83">'Бланк заказа'!$B$231:$B$231</definedName>
    <definedName name="ProductId84">'Бланк заказа'!$B$232:$B$232</definedName>
    <definedName name="ProductId85">'Бланк заказа'!$B$237:$B$237</definedName>
    <definedName name="ProductId86">'Бланк заказа'!$B$243:$B$243</definedName>
    <definedName name="ProductId87">'Бланк заказа'!$B$249:$B$249</definedName>
    <definedName name="ProductId88">'Бланк заказа'!$B$253:$B$253</definedName>
    <definedName name="ProductId89">'Бланк заказа'!$B$259:$B$259</definedName>
    <definedName name="ProductId9">'Бланк заказа'!$B$34:$B$34</definedName>
    <definedName name="ProductId90">'Бланк заказа'!$B$263:$B$263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05">'Бланк заказа'!$X$289:$X$289</definedName>
    <definedName name="SalesQty106">'Бланк заказа'!$X$290:$X$290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заказа'!$X$168:$X$168</definedName>
    <definedName name="SalesQty65">'Бланк заказа'!$X$173:$X$173</definedName>
    <definedName name="SalesQty66">'Бланк заказа'!$X$178:$X$178</definedName>
    <definedName name="SalesQty67">'Бланк заказа'!$X$184:$X$184</definedName>
    <definedName name="SalesQty68">'Бланк заказа'!$X$188:$X$188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заказа'!$X$199:$X$199</definedName>
    <definedName name="SalesQty73">'Бланк заказа'!$X$200:$X$200</definedName>
    <definedName name="SalesQty74">'Бланк заказа'!$X$205:$X$205</definedName>
    <definedName name="SalesQty75">'Бланк заказа'!$X$211:$X$211</definedName>
    <definedName name="SalesQty76">'Бланк заказа'!$X$212:$X$212</definedName>
    <definedName name="SalesQty77">'Бланк заказа'!$X$213:$X$213</definedName>
    <definedName name="SalesQty78">'Бланк заказа'!$X$214:$X$214</definedName>
    <definedName name="SalesQty79">'Бланк заказа'!$X$220:$X$220</definedName>
    <definedName name="SalesQty8">'Бланк заказа'!$X$29:$X$29</definedName>
    <definedName name="SalesQty80">'Бланк заказа'!$X$224:$X$224</definedName>
    <definedName name="SalesQty81">'Бланк заказа'!$X$225:$X$225</definedName>
    <definedName name="SalesQty82">'Бланк заказа'!$X$226:$X$226</definedName>
    <definedName name="SalesQty83">'Бланк заказа'!$X$231:$X$231</definedName>
    <definedName name="SalesQty84">'Бланк заказа'!$X$232:$X$232</definedName>
    <definedName name="SalesQty85">'Бланк заказа'!$X$237:$X$237</definedName>
    <definedName name="SalesQty86">'Бланк заказа'!$X$243:$X$243</definedName>
    <definedName name="SalesQty87">'Бланк заказа'!$X$249:$X$249</definedName>
    <definedName name="SalesQty88">'Бланк заказа'!$X$253:$X$253</definedName>
    <definedName name="SalesQty89">'Бланк заказа'!$X$259:$X$259</definedName>
    <definedName name="SalesQty9">'Бланк заказа'!$X$34:$X$34</definedName>
    <definedName name="SalesQty90">'Бланк заказа'!$X$263:$X$263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05">'Бланк заказа'!$Y$289:$Y$289</definedName>
    <definedName name="SalesRoundBox106">'Бланк заказа'!$Y$290:$Y$290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заказа'!$Y$168:$Y$168</definedName>
    <definedName name="SalesRoundBox65">'Бланк заказа'!$Y$173:$Y$173</definedName>
    <definedName name="SalesRoundBox66">'Бланк заказа'!$Y$178:$Y$178</definedName>
    <definedName name="SalesRoundBox67">'Бланк заказа'!$Y$184:$Y$184</definedName>
    <definedName name="SalesRoundBox68">'Бланк заказа'!$Y$188:$Y$188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заказа'!$Y$199:$Y$199</definedName>
    <definedName name="SalesRoundBox73">'Бланк заказа'!$Y$200:$Y$200</definedName>
    <definedName name="SalesRoundBox74">'Бланк заказа'!$Y$205:$Y$205</definedName>
    <definedName name="SalesRoundBox75">'Бланк заказа'!$Y$211:$Y$211</definedName>
    <definedName name="SalesRoundBox76">'Бланк заказа'!$Y$212:$Y$212</definedName>
    <definedName name="SalesRoundBox77">'Бланк заказа'!$Y$213:$Y$213</definedName>
    <definedName name="SalesRoundBox78">'Бланк заказа'!$Y$214:$Y$214</definedName>
    <definedName name="SalesRoundBox79">'Бланк заказа'!$Y$220:$Y$220</definedName>
    <definedName name="SalesRoundBox8">'Бланк заказа'!$Y$29:$Y$29</definedName>
    <definedName name="SalesRoundBox80">'Бланк заказа'!$Y$224:$Y$224</definedName>
    <definedName name="SalesRoundBox81">'Бланк заказа'!$Y$225:$Y$225</definedName>
    <definedName name="SalesRoundBox82">'Бланк заказа'!$Y$226:$Y$226</definedName>
    <definedName name="SalesRoundBox83">'Бланк заказа'!$Y$231:$Y$231</definedName>
    <definedName name="SalesRoundBox84">'Бланк заказа'!$Y$232:$Y$232</definedName>
    <definedName name="SalesRoundBox85">'Бланк заказа'!$Y$237:$Y$237</definedName>
    <definedName name="SalesRoundBox86">'Бланк заказа'!$Y$243:$Y$243</definedName>
    <definedName name="SalesRoundBox87">'Бланк заказа'!$Y$249:$Y$249</definedName>
    <definedName name="SalesRoundBox88">'Бланк заказа'!$Y$253:$Y$253</definedName>
    <definedName name="SalesRoundBox89">'Бланк заказа'!$Y$259:$Y$259</definedName>
    <definedName name="SalesRoundBox9">'Бланк заказа'!$Y$34:$Y$34</definedName>
    <definedName name="SalesRoundBox90">'Бланк заказа'!$Y$263:$Y$263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05">'Бланк заказа'!$W$289:$W$289</definedName>
    <definedName name="UnitOfMeasure106">'Бланк заказа'!$W$290:$W$290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заказа'!$W$168:$W$168</definedName>
    <definedName name="UnitOfMeasure65">'Бланк заказа'!$W$173:$W$173</definedName>
    <definedName name="UnitOfMeasure66">'Бланк заказа'!$W$178:$W$178</definedName>
    <definedName name="UnitOfMeasure67">'Бланк заказа'!$W$184:$W$184</definedName>
    <definedName name="UnitOfMeasure68">'Бланк заказа'!$W$188:$W$188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заказа'!$W$199:$W$199</definedName>
    <definedName name="UnitOfMeasure73">'Бланк заказа'!$W$200:$W$200</definedName>
    <definedName name="UnitOfMeasure74">'Бланк заказа'!$W$205:$W$205</definedName>
    <definedName name="UnitOfMeasure75">'Бланк заказа'!$W$211:$W$211</definedName>
    <definedName name="UnitOfMeasure76">'Бланк заказа'!$W$212:$W$212</definedName>
    <definedName name="UnitOfMeasure77">'Бланк заказа'!$W$213:$W$213</definedName>
    <definedName name="UnitOfMeasure78">'Бланк заказа'!$W$214:$W$214</definedName>
    <definedName name="UnitOfMeasure79">'Бланк заказа'!$W$220:$W$220</definedName>
    <definedName name="UnitOfMeasure8">'Бланк заказа'!$W$29:$W$29</definedName>
    <definedName name="UnitOfMeasure80">'Бланк заказа'!$W$224:$W$224</definedName>
    <definedName name="UnitOfMeasure81">'Бланк заказа'!$W$225:$W$225</definedName>
    <definedName name="UnitOfMeasure82">'Бланк заказа'!$W$226:$W$226</definedName>
    <definedName name="UnitOfMeasure83">'Бланк заказа'!$W$231:$W$231</definedName>
    <definedName name="UnitOfMeasure84">'Бланк заказа'!$W$232:$W$232</definedName>
    <definedName name="UnitOfMeasure85">'Бланк заказа'!$W$237:$W$237</definedName>
    <definedName name="UnitOfMeasure86">'Бланк заказа'!$W$243:$W$243</definedName>
    <definedName name="UnitOfMeasure87">'Бланк заказа'!$W$249:$W$249</definedName>
    <definedName name="UnitOfMeasure88">'Бланк заказа'!$W$253:$W$253</definedName>
    <definedName name="UnitOfMeasure89">'Бланк заказа'!$W$259:$W$259</definedName>
    <definedName name="UnitOfMeasure9">'Бланк заказа'!$W$34:$W$34</definedName>
    <definedName name="UnitOfMeasure90">'Бланк заказа'!$W$263:$W$263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3" i="2" l="1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X292" i="2"/>
  <c r="X291" i="2"/>
  <c r="BO290" i="2"/>
  <c r="BM290" i="2"/>
  <c r="Z290" i="2"/>
  <c r="Y290" i="2"/>
  <c r="P290" i="2"/>
  <c r="BO289" i="2"/>
  <c r="BM289" i="2"/>
  <c r="Z289" i="2"/>
  <c r="Y289" i="2"/>
  <c r="BN289" i="2" s="1"/>
  <c r="P289" i="2"/>
  <c r="BO288" i="2"/>
  <c r="BM288" i="2"/>
  <c r="Z288" i="2"/>
  <c r="Y288" i="2"/>
  <c r="BP288" i="2" s="1"/>
  <c r="P288" i="2"/>
  <c r="BP287" i="2"/>
  <c r="BO287" i="2"/>
  <c r="BM287" i="2"/>
  <c r="Z287" i="2"/>
  <c r="Y287" i="2"/>
  <c r="BN287" i="2" s="1"/>
  <c r="P287" i="2"/>
  <c r="BO286" i="2"/>
  <c r="BM286" i="2"/>
  <c r="Z286" i="2"/>
  <c r="Y286" i="2"/>
  <c r="BP286" i="2" s="1"/>
  <c r="BO285" i="2"/>
  <c r="BM285" i="2"/>
  <c r="Z285" i="2"/>
  <c r="Y285" i="2"/>
  <c r="BN285" i="2" s="1"/>
  <c r="BP284" i="2"/>
  <c r="BO284" i="2"/>
  <c r="BN284" i="2"/>
  <c r="BM284" i="2"/>
  <c r="Z284" i="2"/>
  <c r="Y284" i="2"/>
  <c r="P284" i="2"/>
  <c r="BO283" i="2"/>
  <c r="BM283" i="2"/>
  <c r="Z283" i="2"/>
  <c r="Y283" i="2"/>
  <c r="BO282" i="2"/>
  <c r="BM282" i="2"/>
  <c r="Z282" i="2"/>
  <c r="Y282" i="2"/>
  <c r="BO281" i="2"/>
  <c r="BM281" i="2"/>
  <c r="Z281" i="2"/>
  <c r="Y281" i="2"/>
  <c r="BP281" i="2" s="1"/>
  <c r="BO280" i="2"/>
  <c r="BM280" i="2"/>
  <c r="Z280" i="2"/>
  <c r="Y280" i="2"/>
  <c r="Y291" i="2" s="1"/>
  <c r="X278" i="2"/>
  <c r="X277" i="2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Z277" i="2" s="1"/>
  <c r="Y274" i="2"/>
  <c r="X272" i="2"/>
  <c r="X271" i="2"/>
  <c r="BO270" i="2"/>
  <c r="BN270" i="2"/>
  <c r="BM270" i="2"/>
  <c r="Z270" i="2"/>
  <c r="Y270" i="2"/>
  <c r="BP270" i="2" s="1"/>
  <c r="P270" i="2"/>
  <c r="BO269" i="2"/>
  <c r="BM269" i="2"/>
  <c r="Z269" i="2"/>
  <c r="Z271" i="2" s="1"/>
  <c r="Y269" i="2"/>
  <c r="BN269" i="2" s="1"/>
  <c r="P269" i="2"/>
  <c r="Y265" i="2"/>
  <c r="X265" i="2"/>
  <c r="X264" i="2"/>
  <c r="BO263" i="2"/>
  <c r="BM263" i="2"/>
  <c r="Z263" i="2"/>
  <c r="Z264" i="2" s="1"/>
  <c r="Y263" i="2"/>
  <c r="Y264" i="2" s="1"/>
  <c r="P263" i="2"/>
  <c r="X261" i="2"/>
  <c r="X260" i="2"/>
  <c r="BP259" i="2"/>
  <c r="BO259" i="2"/>
  <c r="BM259" i="2"/>
  <c r="Z259" i="2"/>
  <c r="Z260" i="2" s="1"/>
  <c r="Y259" i="2"/>
  <c r="Y261" i="2" s="1"/>
  <c r="P259" i="2"/>
  <c r="X255" i="2"/>
  <c r="X254" i="2"/>
  <c r="BO253" i="2"/>
  <c r="BM253" i="2"/>
  <c r="Z253" i="2"/>
  <c r="Z254" i="2" s="1"/>
  <c r="Y253" i="2"/>
  <c r="Y255" i="2" s="1"/>
  <c r="P253" i="2"/>
  <c r="Y251" i="2"/>
  <c r="X251" i="2"/>
  <c r="X250" i="2"/>
  <c r="BO249" i="2"/>
  <c r="BM249" i="2"/>
  <c r="Z249" i="2"/>
  <c r="Z250" i="2" s="1"/>
  <c r="Y249" i="2"/>
  <c r="Y250" i="2" s="1"/>
  <c r="P249" i="2"/>
  <c r="X245" i="2"/>
  <c r="X244" i="2"/>
  <c r="BP243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4" i="2"/>
  <c r="X233" i="2"/>
  <c r="BO232" i="2"/>
  <c r="BM232" i="2"/>
  <c r="Z232" i="2"/>
  <c r="Z233" i="2" s="1"/>
  <c r="Y232" i="2"/>
  <c r="BP232" i="2" s="1"/>
  <c r="P232" i="2"/>
  <c r="BO231" i="2"/>
  <c r="BM231" i="2"/>
  <c r="Z231" i="2"/>
  <c r="Y231" i="2"/>
  <c r="P231" i="2"/>
  <c r="Y228" i="2"/>
  <c r="X228" i="2"/>
  <c r="X227" i="2"/>
  <c r="BO226" i="2"/>
  <c r="BM226" i="2"/>
  <c r="Z226" i="2"/>
  <c r="Y226" i="2"/>
  <c r="P226" i="2"/>
  <c r="BO225" i="2"/>
  <c r="BM225" i="2"/>
  <c r="Z225" i="2"/>
  <c r="Y225" i="2"/>
  <c r="P225" i="2"/>
  <c r="BO224" i="2"/>
  <c r="BM224" i="2"/>
  <c r="Z224" i="2"/>
  <c r="Y224" i="2"/>
  <c r="Y227" i="2" s="1"/>
  <c r="P224" i="2"/>
  <c r="X222" i="2"/>
  <c r="X221" i="2"/>
  <c r="BO220" i="2"/>
  <c r="BM220" i="2"/>
  <c r="Z220" i="2"/>
  <c r="Z221" i="2" s="1"/>
  <c r="Y220" i="2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Z211" i="2"/>
  <c r="Z215" i="2" s="1"/>
  <c r="Y211" i="2"/>
  <c r="Y216" i="2" s="1"/>
  <c r="P211" i="2"/>
  <c r="Y207" i="2"/>
  <c r="X207" i="2"/>
  <c r="X206" i="2"/>
  <c r="BO205" i="2"/>
  <c r="BM205" i="2"/>
  <c r="Z205" i="2"/>
  <c r="Z206" i="2" s="1"/>
  <c r="Y205" i="2"/>
  <c r="P205" i="2"/>
  <c r="X202" i="2"/>
  <c r="X201" i="2"/>
  <c r="BO200" i="2"/>
  <c r="BN200" i="2"/>
  <c r="BM200" i="2"/>
  <c r="Z200" i="2"/>
  <c r="Y200" i="2"/>
  <c r="BP200" i="2" s="1"/>
  <c r="P200" i="2"/>
  <c r="BO199" i="2"/>
  <c r="BM199" i="2"/>
  <c r="Z199" i="2"/>
  <c r="Z201" i="2" s="1"/>
  <c r="Y199" i="2"/>
  <c r="P199" i="2"/>
  <c r="X196" i="2"/>
  <c r="X195" i="2"/>
  <c r="BO194" i="2"/>
  <c r="BM194" i="2"/>
  <c r="Z194" i="2"/>
  <c r="Y194" i="2"/>
  <c r="BN194" i="2" s="1"/>
  <c r="P194" i="2"/>
  <c r="BO193" i="2"/>
  <c r="BN193" i="2"/>
  <c r="BM193" i="2"/>
  <c r="Z193" i="2"/>
  <c r="Y193" i="2"/>
  <c r="BP193" i="2" s="1"/>
  <c r="P193" i="2"/>
  <c r="BO192" i="2"/>
  <c r="BM192" i="2"/>
  <c r="Z192" i="2"/>
  <c r="Y192" i="2"/>
  <c r="P192" i="2"/>
  <c r="X190" i="2"/>
  <c r="Z189" i="2"/>
  <c r="X189" i="2"/>
  <c r="BO188" i="2"/>
  <c r="BN188" i="2"/>
  <c r="BM188" i="2"/>
  <c r="Z188" i="2"/>
  <c r="Y188" i="2"/>
  <c r="BP188" i="2" s="1"/>
  <c r="P188" i="2"/>
  <c r="X186" i="2"/>
  <c r="Y185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P178" i="2"/>
  <c r="X175" i="2"/>
  <c r="Z174" i="2"/>
  <c r="X174" i="2"/>
  <c r="BO173" i="2"/>
  <c r="BM173" i="2"/>
  <c r="Z173" i="2"/>
  <c r="Y173" i="2"/>
  <c r="Y174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Z169" i="2" s="1"/>
  <c r="Y167" i="2"/>
  <c r="BP167" i="2" s="1"/>
  <c r="P167" i="2"/>
  <c r="X164" i="2"/>
  <c r="X163" i="2"/>
  <c r="BO162" i="2"/>
  <c r="BM162" i="2"/>
  <c r="Z162" i="2"/>
  <c r="Y162" i="2"/>
  <c r="P162" i="2"/>
  <c r="BO161" i="2"/>
  <c r="BM161" i="2"/>
  <c r="Z161" i="2"/>
  <c r="Y161" i="2"/>
  <c r="BN161" i="2" s="1"/>
  <c r="P161" i="2"/>
  <c r="BP160" i="2"/>
  <c r="BO160" i="2"/>
  <c r="BN160" i="2"/>
  <c r="BM160" i="2"/>
  <c r="Z160" i="2"/>
  <c r="Z163" i="2" s="1"/>
  <c r="Y160" i="2"/>
  <c r="P160" i="2"/>
  <c r="X157" i="2"/>
  <c r="X156" i="2"/>
  <c r="BO155" i="2"/>
  <c r="BM155" i="2"/>
  <c r="Z155" i="2"/>
  <c r="Y155" i="2"/>
  <c r="Y157" i="2" s="1"/>
  <c r="P155" i="2"/>
  <c r="BP154" i="2"/>
  <c r="BO154" i="2"/>
  <c r="BN154" i="2"/>
  <c r="BM154" i="2"/>
  <c r="Z154" i="2"/>
  <c r="Z156" i="2" s="1"/>
  <c r="Y154" i="2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P143" i="2"/>
  <c r="BO142" i="2"/>
  <c r="BM142" i="2"/>
  <c r="Z142" i="2"/>
  <c r="Y142" i="2"/>
  <c r="BN142" i="2" s="1"/>
  <c r="P142" i="2"/>
  <c r="BO141" i="2"/>
  <c r="BN141" i="2"/>
  <c r="BM141" i="2"/>
  <c r="Z141" i="2"/>
  <c r="Z144" i="2" s="1"/>
  <c r="Y141" i="2"/>
  <c r="BP141" i="2" s="1"/>
  <c r="P141" i="2"/>
  <c r="X139" i="2"/>
  <c r="X138" i="2"/>
  <c r="BO137" i="2"/>
  <c r="BM137" i="2"/>
  <c r="Z137" i="2"/>
  <c r="Y137" i="2"/>
  <c r="P137" i="2"/>
  <c r="BO136" i="2"/>
  <c r="BM136" i="2"/>
  <c r="Z136" i="2"/>
  <c r="Y136" i="2"/>
  <c r="BN136" i="2" s="1"/>
  <c r="P136" i="2"/>
  <c r="BO135" i="2"/>
  <c r="BN135" i="2"/>
  <c r="BM135" i="2"/>
  <c r="Z135" i="2"/>
  <c r="Y135" i="2"/>
  <c r="BP135" i="2" s="1"/>
  <c r="P135" i="2"/>
  <c r="BO134" i="2"/>
  <c r="BM134" i="2"/>
  <c r="Z134" i="2"/>
  <c r="Y134" i="2"/>
  <c r="BN134" i="2" s="1"/>
  <c r="P134" i="2"/>
  <c r="X132" i="2"/>
  <c r="Z131" i="2"/>
  <c r="Y131" i="2"/>
  <c r="X131" i="2"/>
  <c r="BO130" i="2"/>
  <c r="BN130" i="2"/>
  <c r="BM130" i="2"/>
  <c r="Z130" i="2"/>
  <c r="Y130" i="2"/>
  <c r="Y132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P121" i="2"/>
  <c r="X119" i="2"/>
  <c r="X118" i="2"/>
  <c r="BO117" i="2"/>
  <c r="BN117" i="2"/>
  <c r="BM117" i="2"/>
  <c r="Z117" i="2"/>
  <c r="Y117" i="2"/>
  <c r="BP117" i="2" s="1"/>
  <c r="P117" i="2"/>
  <c r="BO116" i="2"/>
  <c r="BN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Y113" i="2"/>
  <c r="BN113" i="2" s="1"/>
  <c r="P113" i="2"/>
  <c r="BP112" i="2"/>
  <c r="BO112" i="2"/>
  <c r="BM112" i="2"/>
  <c r="Z112" i="2"/>
  <c r="Y112" i="2"/>
  <c r="BN112" i="2" s="1"/>
  <c r="P112" i="2"/>
  <c r="BO111" i="2"/>
  <c r="BN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N105" i="2"/>
  <c r="BM105" i="2"/>
  <c r="Z105" i="2"/>
  <c r="Y105" i="2"/>
  <c r="BP105" i="2" s="1"/>
  <c r="P105" i="2"/>
  <c r="BO104" i="2"/>
  <c r="BM104" i="2"/>
  <c r="Z104" i="2"/>
  <c r="Y104" i="2"/>
  <c r="Y107" i="2" s="1"/>
  <c r="P104" i="2"/>
  <c r="X101" i="2"/>
  <c r="X100" i="2"/>
  <c r="BO99" i="2"/>
  <c r="BM99" i="2"/>
  <c r="Z99" i="2"/>
  <c r="Y99" i="2"/>
  <c r="BN99" i="2" s="1"/>
  <c r="P99" i="2"/>
  <c r="BO98" i="2"/>
  <c r="BN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P95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P88" i="2"/>
  <c r="BO88" i="2"/>
  <c r="BN88" i="2"/>
  <c r="BM88" i="2"/>
  <c r="Z88" i="2"/>
  <c r="Y88" i="2"/>
  <c r="P88" i="2"/>
  <c r="BO87" i="2"/>
  <c r="BM87" i="2"/>
  <c r="Z87" i="2"/>
  <c r="Z89" i="2" s="1"/>
  <c r="Y87" i="2"/>
  <c r="BN87" i="2" s="1"/>
  <c r="P87" i="2"/>
  <c r="X84" i="2"/>
  <c r="Z83" i="2"/>
  <c r="Y83" i="2"/>
  <c r="X83" i="2"/>
  <c r="BO82" i="2"/>
  <c r="BN82" i="2"/>
  <c r="BM82" i="2"/>
  <c r="Z82" i="2"/>
  <c r="Y82" i="2"/>
  <c r="Y84" i="2" s="1"/>
  <c r="P82" i="2"/>
  <c r="X79" i="2"/>
  <c r="X78" i="2"/>
  <c r="BO77" i="2"/>
  <c r="BM77" i="2"/>
  <c r="Z77" i="2"/>
  <c r="Y77" i="2"/>
  <c r="P77" i="2"/>
  <c r="BO76" i="2"/>
  <c r="BM76" i="2"/>
  <c r="Z76" i="2"/>
  <c r="Z78" i="2" s="1"/>
  <c r="Y76" i="2"/>
  <c r="BN76" i="2" s="1"/>
  <c r="P76" i="2"/>
  <c r="X73" i="2"/>
  <c r="X72" i="2"/>
  <c r="BO71" i="2"/>
  <c r="BN71" i="2"/>
  <c r="BM71" i="2"/>
  <c r="Z71" i="2"/>
  <c r="Y71" i="2"/>
  <c r="BP71" i="2" s="1"/>
  <c r="P71" i="2"/>
  <c r="BO70" i="2"/>
  <c r="BM70" i="2"/>
  <c r="Z70" i="2"/>
  <c r="Y70" i="2"/>
  <c r="BN70" i="2" s="1"/>
  <c r="P70" i="2"/>
  <c r="BO69" i="2"/>
  <c r="BM69" i="2"/>
  <c r="Z69" i="2"/>
  <c r="Y69" i="2"/>
  <c r="Y72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N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N47" i="2"/>
  <c r="BM47" i="2"/>
  <c r="Z47" i="2"/>
  <c r="Y47" i="2"/>
  <c r="BP47" i="2" s="1"/>
  <c r="P47" i="2"/>
  <c r="X44" i="2"/>
  <c r="X43" i="2"/>
  <c r="BP42" i="2"/>
  <c r="BO42" i="2"/>
  <c r="BN42" i="2"/>
  <c r="BM42" i="2"/>
  <c r="Z42" i="2"/>
  <c r="Y42" i="2"/>
  <c r="P42" i="2"/>
  <c r="BO41" i="2"/>
  <c r="BM41" i="2"/>
  <c r="Z41" i="2"/>
  <c r="Y41" i="2"/>
  <c r="Y44" i="2" s="1"/>
  <c r="P41" i="2"/>
  <c r="X37" i="2"/>
  <c r="X36" i="2"/>
  <c r="BO35" i="2"/>
  <c r="BN35" i="2"/>
  <c r="BM35" i="2"/>
  <c r="Z35" i="2"/>
  <c r="Y35" i="2"/>
  <c r="BP35" i="2" s="1"/>
  <c r="P35" i="2"/>
  <c r="BO34" i="2"/>
  <c r="BM34" i="2"/>
  <c r="Z34" i="2"/>
  <c r="Z36" i="2" s="1"/>
  <c r="Y34" i="2"/>
  <c r="BN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N25" i="2" s="1"/>
  <c r="P25" i="2"/>
  <c r="BO24" i="2"/>
  <c r="BN24" i="2"/>
  <c r="BM24" i="2"/>
  <c r="Z24" i="2"/>
  <c r="Y24" i="2"/>
  <c r="BP24" i="2" s="1"/>
  <c r="P24" i="2"/>
  <c r="BO23" i="2"/>
  <c r="BN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D7" i="2"/>
  <c r="Q6" i="2"/>
  <c r="P2" i="2"/>
  <c r="BP25" i="2" l="1"/>
  <c r="BP142" i="2"/>
  <c r="Y169" i="2"/>
  <c r="BP211" i="2"/>
  <c r="BP28" i="2"/>
  <c r="X297" i="2"/>
  <c r="BP56" i="2"/>
  <c r="BP69" i="2"/>
  <c r="Y73" i="2"/>
  <c r="BP94" i="2"/>
  <c r="BP99" i="2"/>
  <c r="Z138" i="2"/>
  <c r="BP136" i="2"/>
  <c r="BP173" i="2"/>
  <c r="BP194" i="2"/>
  <c r="BN212" i="2"/>
  <c r="BN214" i="2"/>
  <c r="BP224" i="2"/>
  <c r="BP237" i="2"/>
  <c r="BP253" i="2"/>
  <c r="BP269" i="2"/>
  <c r="Y271" i="2"/>
  <c r="Y278" i="2"/>
  <c r="BP274" i="2"/>
  <c r="BN276" i="2"/>
  <c r="BN281" i="2"/>
  <c r="Z49" i="2"/>
  <c r="BN54" i="2"/>
  <c r="Z72" i="2"/>
  <c r="Y78" i="2"/>
  <c r="BP96" i="2"/>
  <c r="BP113" i="2"/>
  <c r="BP130" i="2"/>
  <c r="BP148" i="2"/>
  <c r="BP155" i="2"/>
  <c r="BP161" i="2"/>
  <c r="BP168" i="2"/>
  <c r="Y175" i="2"/>
  <c r="Y190" i="2"/>
  <c r="BP289" i="2"/>
  <c r="Z43" i="2"/>
  <c r="Z57" i="2"/>
  <c r="BN69" i="2"/>
  <c r="BP70" i="2"/>
  <c r="BP76" i="2"/>
  <c r="BN97" i="2"/>
  <c r="Y138" i="2"/>
  <c r="Z150" i="2"/>
  <c r="Y156" i="2"/>
  <c r="BN167" i="2"/>
  <c r="BN173" i="2"/>
  <c r="BP184" i="2"/>
  <c r="Y189" i="2"/>
  <c r="BN213" i="2"/>
  <c r="BP285" i="2"/>
  <c r="BN288" i="2"/>
  <c r="BN243" i="2"/>
  <c r="Y244" i="2"/>
  <c r="BN259" i="2"/>
  <c r="Y260" i="2"/>
  <c r="Y272" i="2"/>
  <c r="Y151" i="2"/>
  <c r="BP149" i="2"/>
  <c r="BN149" i="2"/>
  <c r="BP162" i="2"/>
  <c r="BN162" i="2"/>
  <c r="Y164" i="2"/>
  <c r="BP143" i="2"/>
  <c r="BN143" i="2"/>
  <c r="Y180" i="2"/>
  <c r="Y179" i="2"/>
  <c r="BP178" i="2"/>
  <c r="BN178" i="2"/>
  <c r="Z227" i="2"/>
  <c r="Y233" i="2"/>
  <c r="BP231" i="2"/>
  <c r="BN231" i="2"/>
  <c r="BP26" i="2"/>
  <c r="BN26" i="2"/>
  <c r="Y67" i="2"/>
  <c r="BP65" i="2"/>
  <c r="BN65" i="2"/>
  <c r="BP77" i="2"/>
  <c r="BN77" i="2"/>
  <c r="Z100" i="2"/>
  <c r="BP115" i="2"/>
  <c r="BN115" i="2"/>
  <c r="BP53" i="2"/>
  <c r="BN53" i="2"/>
  <c r="Y58" i="2"/>
  <c r="Y90" i="2"/>
  <c r="Y89" i="2"/>
  <c r="BP87" i="2"/>
  <c r="Y150" i="2"/>
  <c r="Y30" i="2"/>
  <c r="Y66" i="2"/>
  <c r="Y122" i="2"/>
  <c r="BP121" i="2"/>
  <c r="Y163" i="2"/>
  <c r="BP41" i="2"/>
  <c r="BN41" i="2"/>
  <c r="Y43" i="2"/>
  <c r="BN27" i="2"/>
  <c r="Y57" i="2"/>
  <c r="Y144" i="2"/>
  <c r="BP225" i="2"/>
  <c r="BN225" i="2"/>
  <c r="BP282" i="2"/>
  <c r="BN282" i="2"/>
  <c r="BN121" i="2"/>
  <c r="BP61" i="2"/>
  <c r="Y62" i="2"/>
  <c r="Y119" i="2"/>
  <c r="BP110" i="2"/>
  <c r="BN110" i="2"/>
  <c r="Y118" i="2"/>
  <c r="Y145" i="2"/>
  <c r="Y79" i="2"/>
  <c r="Z118" i="2"/>
  <c r="Y222" i="2"/>
  <c r="Y221" i="2"/>
  <c r="BP220" i="2"/>
  <c r="BN220" i="2"/>
  <c r="BP283" i="2"/>
  <c r="BN283" i="2"/>
  <c r="Y101" i="2"/>
  <c r="Y100" i="2"/>
  <c r="BP93" i="2"/>
  <c r="Z30" i="2"/>
  <c r="BN48" i="2"/>
  <c r="Y206" i="2"/>
  <c r="BP205" i="2"/>
  <c r="BN205" i="2"/>
  <c r="BP226" i="2"/>
  <c r="BN226" i="2"/>
  <c r="BP137" i="2"/>
  <c r="BN137" i="2"/>
  <c r="BP34" i="2"/>
  <c r="Y37" i="2"/>
  <c r="Y36" i="2"/>
  <c r="X294" i="2"/>
  <c r="Y106" i="2"/>
  <c r="BP104" i="2"/>
  <c r="BN104" i="2"/>
  <c r="Y123" i="2"/>
  <c r="Y196" i="2"/>
  <c r="BP192" i="2"/>
  <c r="Y195" i="2"/>
  <c r="BN192" i="2"/>
  <c r="Y31" i="2"/>
  <c r="BP22" i="2"/>
  <c r="BN22" i="2"/>
  <c r="BN61" i="2"/>
  <c r="X295" i="2"/>
  <c r="Z106" i="2"/>
  <c r="Z195" i="2"/>
  <c r="Y234" i="2"/>
  <c r="X293" i="2"/>
  <c r="Y127" i="2"/>
  <c r="BP125" i="2"/>
  <c r="BN125" i="2"/>
  <c r="BP280" i="2"/>
  <c r="Y292" i="2"/>
  <c r="BN280" i="2"/>
  <c r="BP290" i="2"/>
  <c r="BN290" i="2"/>
  <c r="F10" i="2"/>
  <c r="J9" i="2"/>
  <c r="H9" i="2"/>
  <c r="A10" i="2"/>
  <c r="F9" i="2"/>
  <c r="Y50" i="2"/>
  <c r="BP114" i="2"/>
  <c r="BN114" i="2"/>
  <c r="BP134" i="2"/>
  <c r="Y139" i="2"/>
  <c r="BP199" i="2"/>
  <c r="BN199" i="2"/>
  <c r="Y202" i="2"/>
  <c r="Y201" i="2"/>
  <c r="Z291" i="2"/>
  <c r="Y170" i="2"/>
  <c r="Y186" i="2"/>
  <c r="Y277" i="2"/>
  <c r="Y49" i="2"/>
  <c r="BN155" i="2"/>
  <c r="BN211" i="2"/>
  <c r="BN237" i="2"/>
  <c r="BN253" i="2"/>
  <c r="BN274" i="2"/>
  <c r="BP82" i="2"/>
  <c r="Y238" i="2"/>
  <c r="Y254" i="2"/>
  <c r="BN286" i="2"/>
  <c r="Y215" i="2"/>
  <c r="BN275" i="2"/>
  <c r="BP263" i="2"/>
  <c r="BN224" i="2"/>
  <c r="BN232" i="2"/>
  <c r="BN249" i="2"/>
  <c r="BN263" i="2"/>
  <c r="BP249" i="2"/>
  <c r="Y295" i="2" l="1"/>
  <c r="Y293" i="2"/>
  <c r="X296" i="2"/>
  <c r="Z298" i="2"/>
  <c r="C306" i="2"/>
  <c r="B306" i="2"/>
  <c r="A306" i="2"/>
  <c r="Y297" i="2"/>
  <c r="Y294" i="2"/>
  <c r="Y296" i="2" s="1"/>
</calcChain>
</file>

<file path=xl/sharedStrings.xml><?xml version="1.0" encoding="utf-8"?>
<sst xmlns="http://schemas.openxmlformats.org/spreadsheetml/2006/main" count="1845" uniqueCount="432">
  <si>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</si>
  <si>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</si>
  <si>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</si>
  <si>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</si>
  <si>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</si>
  <si>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</si>
  <si>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</si>
  <si>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</si>
  <si>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</si>
  <si>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</si>
  <si>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</si>
  <si>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</si>
  <si>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</si>
  <si>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</si>
  <si>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</si>
  <si>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</si>
  <si>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</si>
  <si>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</si>
  <si>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</si>
  <si>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</si>
  <si>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</si>
  <si>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</si>
  <si>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</si>
  <si>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</si>
  <si>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</si>
  <si>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</si>
  <si>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</si>
  <si>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</si>
  <si>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</si>
  <si>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</si>
  <si>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</si>
  <si>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</si>
  <si>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</si>
  <si>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</si>
  <si>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</si>
  <si>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</si>
  <si>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</si>
  <si>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</si>
  <si>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</si>
  <si>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</si>
  <si>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</si>
  <si>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</si>
  <si>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</si>
  <si>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</si>
  <si>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</si>
  <si>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</si>
  <si>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</si>
  <si>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</si>
  <si>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</si>
  <si>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</si>
  <si>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</si>
  <si>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</si>
  <si>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</si>
  <si>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</si>
  <si>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</si>
  <si>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</si>
  <si>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</si>
  <si>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</si>
  <si>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</si>
  <si>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</si>
  <si>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</si>
  <si>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</si>
  <si>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</si>
  <si>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</si>
  <si>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</si>
  <si>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</si>
  <si>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</si>
  <si>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</si>
  <si>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</si>
  <si>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</si>
  <si>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</si>
  <si>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</si>
  <si>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26.09.2026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</si>
  <si>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</si>
  <si>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</si>
  <si>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</si>
  <si>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</si>
  <si>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</si>
  <si>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</si>
  <si>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</si>
  <si>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</si>
  <si>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</si>
  <si>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</si>
  <si>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</si>
  <si>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</si>
  <si>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</si>
  <si>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</si>
  <si>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</si>
  <si>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</si>
  <si>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</si>
  <si>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</si>
  <si>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</si>
  <si>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</si>
  <si>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</si>
  <si>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</si>
  <si>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</si>
  <si>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</si>
  <si>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</si>
  <si>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</si>
  <si>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</si>
  <si>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</si>
  <si>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</si>
  <si>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</si>
  <si>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</si>
  <si>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</si>
  <si>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</si>
  <si>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</si>
  <si>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</si>
  <si>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</si>
  <si>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</si>
  <si>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</si>
  <si>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</si>
  <si>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</si>
  <si>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</si>
  <si>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</si>
  <si>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</si>
  <si>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</si>
  <si>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</si>
  <si>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</si>
  <si>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</si>
  <si>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</si>
  <si>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</si>
  <si>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</si>
  <si>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</si>
  <si>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</si>
  <si>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</si>
  <si>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</si>
  <si>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</si>
  <si>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</si>
  <si>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</si>
  <si>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</si>
  <si>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</si>
  <si>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</si>
  <si>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</si>
  <si>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</si>
  <si>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</si>
  <si>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</si>
  <si>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</si>
  <si>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</si>
  <si>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</si>
  <si>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</si>
  <si>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</si>
  <si>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</si>
  <si>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</si>
  <si>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</si>
  <si>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</si>
  <si>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</si>
  <si>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</si>
  <si>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</si>
  <si>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</si>
  <si>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</si>
  <si>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</si>
  <si>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</si>
  <si>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</si>
  <si>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</si>
  <si>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</si>
  <si>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</si>
  <si>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</si>
  <si>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</si>
  <si>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</si>
  <si>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</si>
  <si>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</si>
  <si>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</si>
  <si>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</si>
  <si>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</si>
  <si>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</si>
  <si>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</si>
  <si>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</si>
  <si>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</si>
  <si>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</si>
  <si>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</si>
  <si>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</si>
  <si>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</si>
  <si>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</si>
  <si>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</si>
  <si>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</si>
  <si>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</si>
  <si>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</si>
  <si>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</si>
  <si>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</si>
  <si>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</si>
  <si>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</si>
  <si>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</si>
  <si>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</si>
  <si>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</si>
  <si>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</si>
  <si>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</si>
  <si>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</si>
  <si>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</si>
  <si>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</si>
  <si>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</si>
  <si>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</si>
  <si>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</si>
  <si>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</si>
  <si>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</si>
  <si>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</si>
  <si>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</si>
  <si>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</si>
  <si>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</si>
  <si>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</si>
  <si>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</si>
  <si>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</si>
  <si>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</si>
  <si>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</si>
  <si>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</si>
  <si>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</si>
  <si>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</si>
  <si>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</si>
  <si>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</si>
  <si>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</si>
  <si>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</si>
  <si>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</si>
  <si>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</si>
  <si>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</si>
  <si>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</si>
  <si>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</si>
  <si>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</si>
  <si>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</si>
  <si>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</si>
  <si>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</si>
  <si>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</si>
  <si>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</si>
  <si>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</si>
  <si>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</si>
  <si>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</si>
  <si>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</si>
  <si>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</si>
  <si>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</si>
  <si>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</si>
  <si>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</si>
  <si>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</si>
  <si>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</si>
  <si>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</si>
  <si>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</si>
  <si>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</si>
  <si>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</si>
  <si>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</si>
  <si>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</si>
  <si>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</si>
  <si>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</si>
  <si>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</si>
  <si>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</si>
  <si>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</si>
  <si>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</si>
  <si>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</si>
  <si>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</si>
  <si>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</si>
  <si>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</si>
  <si>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</si>
  <si>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</si>
  <si>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</si>
  <si>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</si>
  <si>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</si>
  <si>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</si>
  <si>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</si>
  <si>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</si>
  <si>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</si>
  <si>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</si>
  <si>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</si>
  <si>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</si>
  <si>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</si>
  <si>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</si>
  <si>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</si>
  <si>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</si>
  <si>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</si>
  <si>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</si>
  <si>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ЕАЭС N RU Д-RU.РА10.В.33475/23</t>
  </si>
  <si>
    <t>SU003872</t>
  </si>
  <si>
    <t>P004956</t>
  </si>
  <si>
    <t>SU004219</t>
  </si>
  <si>
    <t>P005485</t>
  </si>
  <si>
    <t>ЕАЭС N RU Д-RU.РА03.В.76733/26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</si>
  <si>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</si>
  <si>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</si>
  <si>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</si>
  <si>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</si>
  <si>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</si>
  <si>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</si>
  <si>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</si>
  <si>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</si>
  <si>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</si>
  <si>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</si>
  <si>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</si>
  <si>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</si>
  <si>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</si>
  <si>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</si>
  <si>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</si>
  <si>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</si>
  <si>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</si>
  <si>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</si>
  <si>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</si>
  <si>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</si>
  <si>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</si>
  <si>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</si>
  <si>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</si>
  <si>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</si>
  <si>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SU004301</t>
  </si>
  <si>
    <t>P005602</t>
  </si>
  <si>
    <t>ЕАЭС N RU Д-RU.РА04.В.53375/26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</si>
  <si>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</si>
  <si>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</si>
  <si>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</si>
  <si>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</si>
  <si>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</si>
  <si>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</si>
  <si>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</si>
  <si>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</si>
  <si>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</si>
  <si>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</si>
  <si>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</si>
  <si>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</si>
  <si>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</si>
  <si>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</si>
  <si>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</si>
  <si>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</si>
  <si>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</si>
  <si>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</si>
  <si>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</si>
  <si>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</si>
  <si>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</si>
  <si>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</si>
  <si>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</si>
  <si>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</si>
  <si>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</si>
  <si>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</si>
  <si>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</si>
  <si>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</si>
  <si>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</si>
  <si>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</si>
  <si>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</si>
  <si>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</si>
  <si>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</si>
  <si>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</si>
  <si>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</si>
  <si>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</si>
  <si>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</si>
  <si>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</si>
  <si>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</si>
  <si>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</si>
  <si>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</si>
  <si>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</si>
  <si>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</si>
  <si>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</si>
  <si>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</si>
  <si>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</si>
  <si>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</si>
  <si>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</si>
  <si>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</si>
  <si>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</si>
  <si>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</si>
  <si>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</si>
  <si>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</si>
  <si>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</si>
  <si>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</si>
  <si>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</si>
  <si>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</si>
  <si>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</si>
  <si>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</si>
  <si>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</si>
  <si>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</si>
  <si>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</si>
  <si>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</si>
  <si>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</si>
  <si>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</si>
  <si>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</si>
  <si>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</si>
  <si>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</si>
  <si>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</si>
  <si>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</si>
  <si>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</si>
  <si>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</si>
  <si>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</si>
  <si>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</si>
  <si>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</si>
  <si>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</si>
  <si>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</si>
  <si>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</si>
  <si>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</si>
  <si>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</si>
  <si>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</si>
  <si>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</si>
  <si>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</si>
  <si>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</si>
  <si>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</si>
  <si>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</si>
  <si>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</si>
  <si>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</si>
  <si>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</si>
  <si>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</si>
  <si>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</si>
  <si>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</si>
  <si>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</si>
  <si>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</si>
  <si>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</si>
  <si>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</si>
  <si>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</si>
  <si>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</si>
  <si>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</si>
  <si>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</si>
  <si>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</si>
  <si>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</si>
  <si>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</si>
  <si>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</si>
  <si>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</si>
  <si>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</si>
  <si>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</si>
  <si>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</si>
  <si>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</si>
  <si>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</si>
  <si>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</si>
  <si>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</si>
  <si>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</si>
  <si>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</si>
  <si>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</si>
  <si>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P004193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</si>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</sst>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06"/>
  <sheetViews>
    <sheetView showGridLines="0" tabSelected="1" topLeftCell="B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83" t="s">
        <v>26</v>
      </c>
      <c r="E1" s="483"/>
      <c r="F1" s="483"/>
      <c r="G1" s="14" t="s">
        <v>70</v>
      </c>
      <c r="H1" s="483" t="s">
        <v>47</v>
      </c>
      <c r="I1" s="483"/>
      <c r="J1" s="483"/>
      <c r="K1" s="483"/>
      <c r="L1" s="483"/>
      <c r="M1" s="483"/>
      <c r="N1" s="483"/>
      <c r="O1" s="483"/>
      <c r="P1" s="483"/>
      <c r="Q1" s="483"/>
      <c r="R1" s="484" t="s">
        <v>71</v>
      </c>
      <c r="S1" s="485"/>
      <c r="T1" s="4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6"/>
      <c r="R2" s="486"/>
      <c r="S2" s="486"/>
      <c r="T2" s="486"/>
      <c r="U2" s="486"/>
      <c r="V2" s="486"/>
      <c r="W2" s="4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6"/>
      <c r="Q3" s="486"/>
      <c r="R3" s="486"/>
      <c r="S3" s="486"/>
      <c r="T3" s="486"/>
      <c r="U3" s="486"/>
      <c r="V3" s="486"/>
      <c r="W3" s="4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65" t="s">
        <v>8</v>
      </c>
      <c r="B5" s="465"/>
      <c r="C5" s="465"/>
      <c r="D5" s="487"/>
      <c r="E5" s="487"/>
      <c r="F5" s="488" t="s">
        <v>14</v>
      </c>
      <c r="G5" s="488"/>
      <c r="H5" s="487"/>
      <c r="I5" s="487"/>
      <c r="J5" s="487"/>
      <c r="K5" s="487"/>
      <c r="L5" s="487"/>
      <c r="M5" s="487"/>
      <c r="N5" s="75"/>
      <c r="P5" s="27" t="s">
        <v>4</v>
      </c>
      <c r="Q5" s="489">
        <v>46298</v>
      </c>
      <c r="R5" s="489"/>
      <c r="T5" s="490" t="s">
        <v>3</v>
      </c>
      <c r="U5" s="491"/>
      <c r="V5" s="492" t="s">
        <v>418</v>
      </c>
      <c r="W5" s="493"/>
      <c r="AB5" s="59"/>
      <c r="AC5" s="59"/>
      <c r="AD5" s="59"/>
      <c r="AE5" s="59"/>
    </row>
    <row r="6" spans="1:32" s="17" customFormat="1" ht="24" customHeight="1" x14ac:dyDescent="0.2">
      <c r="A6" s="465" t="s">
        <v>1</v>
      </c>
      <c r="B6" s="465"/>
      <c r="C6" s="465"/>
      <c r="D6" s="466" t="s">
        <v>79</v>
      </c>
      <c r="E6" s="466"/>
      <c r="F6" s="466"/>
      <c r="G6" s="466"/>
      <c r="H6" s="466"/>
      <c r="I6" s="466"/>
      <c r="J6" s="466"/>
      <c r="K6" s="466"/>
      <c r="L6" s="466"/>
      <c r="M6" s="466"/>
      <c r="N6" s="76"/>
      <c r="P6" s="27" t="s">
        <v>27</v>
      </c>
      <c r="Q6" s="467" t="str">
        <f>IF(Q5=0," ",CHOOSE(WEEKDAY(Q5,2),"Понедельник","Вторник","Среда","Четверг","Пятница","Суббота","Воскресенье"))</f>
        <v>Суббота</v>
      </c>
      <c r="R6" s="467"/>
      <c r="T6" s="468" t="s">
        <v>5</v>
      </c>
      <c r="U6" s="469"/>
      <c r="V6" s="470" t="s">
        <v>73</v>
      </c>
      <c r="W6" s="4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6" t="str">
        <f>IFERROR(VLOOKUP(DeliveryAddress,Table,3,0),1)</f>
        <v>1</v>
      </c>
      <c r="E7" s="477"/>
      <c r="F7" s="477"/>
      <c r="G7" s="477"/>
      <c r="H7" s="477"/>
      <c r="I7" s="477"/>
      <c r="J7" s="477"/>
      <c r="K7" s="477"/>
      <c r="L7" s="477"/>
      <c r="M7" s="478"/>
      <c r="N7" s="77"/>
      <c r="P7" s="29"/>
      <c r="Q7" s="48"/>
      <c r="R7" s="48"/>
      <c r="T7" s="468"/>
      <c r="U7" s="469"/>
      <c r="V7" s="472"/>
      <c r="W7" s="473"/>
      <c r="AB7" s="59"/>
      <c r="AC7" s="59"/>
      <c r="AD7" s="59"/>
      <c r="AE7" s="59"/>
    </row>
    <row r="8" spans="1:32" s="17" customFormat="1" ht="25.5" customHeight="1" x14ac:dyDescent="0.2">
      <c r="A8" s="479" t="s">
        <v>58</v>
      </c>
      <c r="B8" s="479"/>
      <c r="C8" s="479"/>
      <c r="D8" s="480" t="s">
        <v>80</v>
      </c>
      <c r="E8" s="480"/>
      <c r="F8" s="480"/>
      <c r="G8" s="480"/>
      <c r="H8" s="480"/>
      <c r="I8" s="480"/>
      <c r="J8" s="480"/>
      <c r="K8" s="480"/>
      <c r="L8" s="480"/>
      <c r="M8" s="480"/>
      <c r="N8" s="78"/>
      <c r="P8" s="27" t="s">
        <v>11</v>
      </c>
      <c r="Q8" s="463">
        <v>4.1666666666666664E-2</v>
      </c>
      <c r="R8" s="463"/>
      <c r="T8" s="468"/>
      <c r="U8" s="469"/>
      <c r="V8" s="472"/>
      <c r="W8" s="473"/>
      <c r="AB8" s="59"/>
      <c r="AC8" s="59"/>
      <c r="AD8" s="59"/>
      <c r="AE8" s="59"/>
    </row>
    <row r="9" spans="1:32" s="17" customFormat="1" ht="39.950000000000003" customHeight="1" x14ac:dyDescent="0.2">
      <c r="A9" s="4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5"/>
      <c r="C9" s="455"/>
      <c r="D9" s="456" t="s">
        <v>46</v>
      </c>
      <c r="E9" s="457"/>
      <c r="F9" s="4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5"/>
      <c r="H9" s="481" t="str">
        <f>IF(AND($A$9="Тип доверенности/получателя при получении в адресе перегруза:",$D$9="Разовая доверенность"),"Введите ФИО","")</f>
        <v/>
      </c>
      <c r="I9" s="481"/>
      <c r="J9" s="4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1"/>
      <c r="L9" s="481"/>
      <c r="M9" s="481"/>
      <c r="N9" s="73"/>
      <c r="P9" s="31" t="s">
        <v>15</v>
      </c>
      <c r="Q9" s="482"/>
      <c r="R9" s="482"/>
      <c r="T9" s="468"/>
      <c r="U9" s="469"/>
      <c r="V9" s="474"/>
      <c r="W9" s="4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5"/>
      <c r="C10" s="455"/>
      <c r="D10" s="456"/>
      <c r="E10" s="457"/>
      <c r="F10" s="4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5"/>
      <c r="H10" s="458" t="str">
        <f>IFERROR(VLOOKUP($D$10,Proxy,2,FALSE),"")</f>
        <v/>
      </c>
      <c r="I10" s="458"/>
      <c r="J10" s="458"/>
      <c r="K10" s="458"/>
      <c r="L10" s="458"/>
      <c r="M10" s="458"/>
      <c r="N10" s="74"/>
      <c r="P10" s="31" t="s">
        <v>32</v>
      </c>
      <c r="Q10" s="459"/>
      <c r="R10" s="459"/>
      <c r="U10" s="29" t="s">
        <v>12</v>
      </c>
      <c r="V10" s="460" t="s">
        <v>74</v>
      </c>
      <c r="W10" s="46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62"/>
      <c r="R11" s="462"/>
      <c r="U11" s="29" t="s">
        <v>28</v>
      </c>
      <c r="V11" s="441" t="s">
        <v>55</v>
      </c>
      <c r="W11" s="44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40" t="s">
        <v>75</v>
      </c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79"/>
      <c r="P12" s="27" t="s">
        <v>30</v>
      </c>
      <c r="Q12" s="463"/>
      <c r="R12" s="463"/>
      <c r="S12" s="28"/>
      <c r="T12"/>
      <c r="U12" s="29" t="s">
        <v>46</v>
      </c>
      <c r="V12" s="464"/>
      <c r="W12" s="464"/>
      <c r="X12"/>
      <c r="AB12" s="59"/>
      <c r="AC12" s="59"/>
      <c r="AD12" s="59"/>
      <c r="AE12" s="59"/>
    </row>
    <row r="13" spans="1:32" s="17" customFormat="1" ht="23.25" customHeight="1" x14ac:dyDescent="0.2">
      <c r="A13" s="440" t="s">
        <v>76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79"/>
      <c r="O13" s="31"/>
      <c r="P13" s="31" t="s">
        <v>31</v>
      </c>
      <c r="Q13" s="441"/>
      <c r="R13" s="44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40" t="s">
        <v>77</v>
      </c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42" t="s">
        <v>78</v>
      </c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80"/>
      <c r="O15"/>
      <c r="P15" s="443" t="s">
        <v>61</v>
      </c>
      <c r="Q15" s="443"/>
      <c r="R15" s="443"/>
      <c r="S15" s="443"/>
      <c r="T15" s="4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44"/>
      <c r="Q16" s="444"/>
      <c r="R16" s="444"/>
      <c r="S16" s="444"/>
      <c r="T16" s="4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6" t="s">
        <v>59</v>
      </c>
      <c r="B17" s="426" t="s">
        <v>49</v>
      </c>
      <c r="C17" s="447" t="s">
        <v>48</v>
      </c>
      <c r="D17" s="449" t="s">
        <v>50</v>
      </c>
      <c r="E17" s="450"/>
      <c r="F17" s="426" t="s">
        <v>21</v>
      </c>
      <c r="G17" s="426" t="s">
        <v>24</v>
      </c>
      <c r="H17" s="426" t="s">
        <v>22</v>
      </c>
      <c r="I17" s="426" t="s">
        <v>23</v>
      </c>
      <c r="J17" s="426" t="s">
        <v>16</v>
      </c>
      <c r="K17" s="426" t="s">
        <v>69</v>
      </c>
      <c r="L17" s="426" t="s">
        <v>67</v>
      </c>
      <c r="M17" s="426" t="s">
        <v>2</v>
      </c>
      <c r="N17" s="426" t="s">
        <v>66</v>
      </c>
      <c r="O17" s="426" t="s">
        <v>25</v>
      </c>
      <c r="P17" s="449" t="s">
        <v>17</v>
      </c>
      <c r="Q17" s="453"/>
      <c r="R17" s="453"/>
      <c r="S17" s="453"/>
      <c r="T17" s="450"/>
      <c r="U17" s="445" t="s">
        <v>56</v>
      </c>
      <c r="V17" s="446"/>
      <c r="W17" s="426" t="s">
        <v>6</v>
      </c>
      <c r="X17" s="426" t="s">
        <v>41</v>
      </c>
      <c r="Y17" s="428" t="s">
        <v>54</v>
      </c>
      <c r="Z17" s="430" t="s">
        <v>18</v>
      </c>
      <c r="AA17" s="432" t="s">
        <v>60</v>
      </c>
      <c r="AB17" s="432" t="s">
        <v>19</v>
      </c>
      <c r="AC17" s="432" t="s">
        <v>68</v>
      </c>
      <c r="AD17" s="434" t="s">
        <v>57</v>
      </c>
      <c r="AE17" s="435"/>
      <c r="AF17" s="436"/>
      <c r="AG17" s="85"/>
      <c r="BD17" s="84" t="s">
        <v>64</v>
      </c>
    </row>
    <row r="18" spans="1:68" ht="14.25" customHeight="1" x14ac:dyDescent="0.2">
      <c r="A18" s="427"/>
      <c r="B18" s="427"/>
      <c r="C18" s="448"/>
      <c r="D18" s="451"/>
      <c r="E18" s="452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51"/>
      <c r="Q18" s="454"/>
      <c r="R18" s="454"/>
      <c r="S18" s="454"/>
      <c r="T18" s="452"/>
      <c r="U18" s="86" t="s">
        <v>44</v>
      </c>
      <c r="V18" s="86" t="s">
        <v>43</v>
      </c>
      <c r="W18" s="427"/>
      <c r="X18" s="427"/>
      <c r="Y18" s="429"/>
      <c r="Z18" s="431"/>
      <c r="AA18" s="433"/>
      <c r="AB18" s="433"/>
      <c r="AC18" s="433"/>
      <c r="AD18" s="437"/>
      <c r="AE18" s="438"/>
      <c r="AF18" s="439"/>
      <c r="AG18" s="85"/>
      <c r="BD18" s="84"/>
    </row>
    <row r="19" spans="1:68" ht="27.75" customHeight="1" x14ac:dyDescent="0.2">
      <c r="A19" s="334" t="s">
        <v>81</v>
      </c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54"/>
      <c r="AB19" s="54"/>
      <c r="AC19" s="54"/>
    </row>
    <row r="20" spans="1:68" ht="16.5" customHeight="1" x14ac:dyDescent="0.25">
      <c r="A20" s="335" t="s">
        <v>81</v>
      </c>
      <c r="B20" s="335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65"/>
      <c r="AB20" s="65"/>
      <c r="AC20" s="82"/>
    </row>
    <row r="21" spans="1:68" ht="14.25" customHeight="1" x14ac:dyDescent="0.25">
      <c r="A21" s="327" t="s">
        <v>82</v>
      </c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10">
        <v>4620207491508</v>
      </c>
      <c r="E22" s="31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12"/>
      <c r="R22" s="312"/>
      <c r="S22" s="312"/>
      <c r="T22" s="31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10">
        <v>4620207491256</v>
      </c>
      <c r="E23" s="31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2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12"/>
      <c r="R23" s="312"/>
      <c r="S23" s="312"/>
      <c r="T23" s="31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10">
        <v>4620207491713</v>
      </c>
      <c r="E24" s="31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2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12"/>
      <c r="R24" s="312"/>
      <c r="S24" s="312"/>
      <c r="T24" s="31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10">
        <v>4620207491720</v>
      </c>
      <c r="E25" s="31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2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12"/>
      <c r="R25" s="312"/>
      <c r="S25" s="312"/>
      <c r="T25" s="31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10">
        <v>4607111035912</v>
      </c>
      <c r="E26" s="31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1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12"/>
      <c r="R26" s="312"/>
      <c r="S26" s="312"/>
      <c r="T26" s="31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10">
        <v>4607111035929</v>
      </c>
      <c r="E27" s="31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12"/>
      <c r="R27" s="312"/>
      <c r="S27" s="312"/>
      <c r="T27" s="31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10">
        <v>4607111035882</v>
      </c>
      <c r="E28" s="31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2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12"/>
      <c r="R28" s="312"/>
      <c r="S28" s="312"/>
      <c r="T28" s="31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10">
        <v>4607111035905</v>
      </c>
      <c r="E29" s="31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12"/>
      <c r="R29" s="312"/>
      <c r="S29" s="312"/>
      <c r="T29" s="31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20"/>
      <c r="P30" s="317" t="s">
        <v>40</v>
      </c>
      <c r="Q30" s="318"/>
      <c r="R30" s="318"/>
      <c r="S30" s="318"/>
      <c r="T30" s="318"/>
      <c r="U30" s="318"/>
      <c r="V30" s="31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20"/>
      <c r="P31" s="317" t="s">
        <v>40</v>
      </c>
      <c r="Q31" s="318"/>
      <c r="R31" s="318"/>
      <c r="S31" s="318"/>
      <c r="T31" s="318"/>
      <c r="U31" s="318"/>
      <c r="V31" s="31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35" t="s">
        <v>106</v>
      </c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65"/>
      <c r="AB32" s="65"/>
      <c r="AC32" s="82"/>
    </row>
    <row r="33" spans="1:68" ht="14.25" customHeight="1" x14ac:dyDescent="0.25">
      <c r="A33" s="327" t="s">
        <v>82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27"/>
      <c r="W33" s="327"/>
      <c r="X33" s="327"/>
      <c r="Y33" s="327"/>
      <c r="Z33" s="327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10">
        <v>4607111039019</v>
      </c>
      <c r="E34" s="31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1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12"/>
      <c r="R34" s="312"/>
      <c r="S34" s="312"/>
      <c r="T34" s="31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10">
        <v>4607111038708</v>
      </c>
      <c r="E35" s="31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12"/>
      <c r="R35" s="312"/>
      <c r="S35" s="312"/>
      <c r="T35" s="31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20"/>
      <c r="P36" s="317" t="s">
        <v>40</v>
      </c>
      <c r="Q36" s="318"/>
      <c r="R36" s="318"/>
      <c r="S36" s="318"/>
      <c r="T36" s="318"/>
      <c r="U36" s="318"/>
      <c r="V36" s="31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20"/>
      <c r="P37" s="317" t="s">
        <v>40</v>
      </c>
      <c r="Q37" s="318"/>
      <c r="R37" s="318"/>
      <c r="S37" s="318"/>
      <c r="T37" s="318"/>
      <c r="U37" s="318"/>
      <c r="V37" s="31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34" t="s">
        <v>45</v>
      </c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54"/>
      <c r="AB38" s="54"/>
      <c r="AC38" s="54"/>
    </row>
    <row r="39" spans="1:68" ht="16.5" customHeight="1" x14ac:dyDescent="0.25">
      <c r="A39" s="335" t="s">
        <v>112</v>
      </c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65"/>
      <c r="AB39" s="65"/>
      <c r="AC39" s="82"/>
    </row>
    <row r="40" spans="1:68" ht="14.25" customHeight="1" x14ac:dyDescent="0.25">
      <c r="A40" s="327" t="s">
        <v>113</v>
      </c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  <c r="P40" s="327"/>
      <c r="Q40" s="327"/>
      <c r="R40" s="327"/>
      <c r="S40" s="327"/>
      <c r="T40" s="327"/>
      <c r="U40" s="327"/>
      <c r="V40" s="327"/>
      <c r="W40" s="327"/>
      <c r="X40" s="327"/>
      <c r="Y40" s="327"/>
      <c r="Z40" s="327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10">
        <v>4607111036537</v>
      </c>
      <c r="E41" s="31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41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12"/>
      <c r="R41" s="312"/>
      <c r="S41" s="312"/>
      <c r="T41" s="313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10">
        <v>4607111036605</v>
      </c>
      <c r="E42" s="31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1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12"/>
      <c r="R42" s="312"/>
      <c r="S42" s="312"/>
      <c r="T42" s="31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20"/>
      <c r="P43" s="317" t="s">
        <v>40</v>
      </c>
      <c r="Q43" s="318"/>
      <c r="R43" s="318"/>
      <c r="S43" s="318"/>
      <c r="T43" s="318"/>
      <c r="U43" s="318"/>
      <c r="V43" s="31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20"/>
      <c r="P44" s="317" t="s">
        <v>40</v>
      </c>
      <c r="Q44" s="318"/>
      <c r="R44" s="318"/>
      <c r="S44" s="318"/>
      <c r="T44" s="318"/>
      <c r="U44" s="318"/>
      <c r="V44" s="31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35" t="s">
        <v>123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65"/>
      <c r="AB45" s="65"/>
      <c r="AC45" s="82"/>
    </row>
    <row r="46" spans="1:68" ht="14.25" customHeight="1" x14ac:dyDescent="0.25">
      <c r="A46" s="327" t="s">
        <v>82</v>
      </c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327"/>
      <c r="Z46" s="327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10">
        <v>4620207490075</v>
      </c>
      <c r="E47" s="31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12"/>
      <c r="R47" s="312"/>
      <c r="S47" s="312"/>
      <c r="T47" s="31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10">
        <v>4620207490174</v>
      </c>
      <c r="E48" s="31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12"/>
      <c r="R48" s="312"/>
      <c r="S48" s="312"/>
      <c r="T48" s="31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20"/>
      <c r="P49" s="317" t="s">
        <v>40</v>
      </c>
      <c r="Q49" s="318"/>
      <c r="R49" s="318"/>
      <c r="S49" s="318"/>
      <c r="T49" s="318"/>
      <c r="U49" s="318"/>
      <c r="V49" s="31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20"/>
      <c r="P50" s="317" t="s">
        <v>40</v>
      </c>
      <c r="Q50" s="318"/>
      <c r="R50" s="318"/>
      <c r="S50" s="318"/>
      <c r="T50" s="318"/>
      <c r="U50" s="318"/>
      <c r="V50" s="31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35" t="s">
        <v>130</v>
      </c>
      <c r="B51" s="335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65"/>
      <c r="AB51" s="65"/>
      <c r="AC51" s="82"/>
    </row>
    <row r="52" spans="1:68" ht="14.25" customHeight="1" x14ac:dyDescent="0.25">
      <c r="A52" s="327" t="s">
        <v>82</v>
      </c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7"/>
      <c r="X52" s="327"/>
      <c r="Y52" s="327"/>
      <c r="Z52" s="327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10">
        <v>4607111039385</v>
      </c>
      <c r="E53" s="31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40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12"/>
      <c r="R53" s="312"/>
      <c r="S53" s="312"/>
      <c r="T53" s="31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10">
        <v>4607111038982</v>
      </c>
      <c r="E54" s="31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40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12"/>
      <c r="R54" s="312"/>
      <c r="S54" s="312"/>
      <c r="T54" s="31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10">
        <v>4607111039354</v>
      </c>
      <c r="E55" s="31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41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12"/>
      <c r="R55" s="312"/>
      <c r="S55" s="312"/>
      <c r="T55" s="31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10">
        <v>4607111039330</v>
      </c>
      <c r="E56" s="31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41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12"/>
      <c r="R56" s="312"/>
      <c r="S56" s="312"/>
      <c r="T56" s="31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20"/>
      <c r="P57" s="317" t="s">
        <v>40</v>
      </c>
      <c r="Q57" s="318"/>
      <c r="R57" s="318"/>
      <c r="S57" s="318"/>
      <c r="T57" s="318"/>
      <c r="U57" s="318"/>
      <c r="V57" s="31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20"/>
      <c r="P58" s="317" t="s">
        <v>40</v>
      </c>
      <c r="Q58" s="318"/>
      <c r="R58" s="318"/>
      <c r="S58" s="318"/>
      <c r="T58" s="318"/>
      <c r="U58" s="318"/>
      <c r="V58" s="319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35" t="s">
        <v>141</v>
      </c>
      <c r="B59" s="335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65"/>
      <c r="AB59" s="65"/>
      <c r="AC59" s="82"/>
    </row>
    <row r="60" spans="1:68" ht="14.25" customHeight="1" x14ac:dyDescent="0.25">
      <c r="A60" s="327" t="s">
        <v>113</v>
      </c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27"/>
      <c r="X60" s="327"/>
      <c r="Y60" s="327"/>
      <c r="Z60" s="327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10">
        <v>4607111039712</v>
      </c>
      <c r="E61" s="31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40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12"/>
      <c r="R61" s="312"/>
      <c r="S61" s="312"/>
      <c r="T61" s="31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20"/>
      <c r="P62" s="317" t="s">
        <v>40</v>
      </c>
      <c r="Q62" s="318"/>
      <c r="R62" s="318"/>
      <c r="S62" s="318"/>
      <c r="T62" s="318"/>
      <c r="U62" s="318"/>
      <c r="V62" s="31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20"/>
      <c r="P63" s="317" t="s">
        <v>40</v>
      </c>
      <c r="Q63" s="318"/>
      <c r="R63" s="318"/>
      <c r="S63" s="318"/>
      <c r="T63" s="318"/>
      <c r="U63" s="318"/>
      <c r="V63" s="31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27" t="s">
        <v>145</v>
      </c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7"/>
      <c r="X64" s="327"/>
      <c r="Y64" s="327"/>
      <c r="Z64" s="327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4301136015</v>
      </c>
      <c r="D65" s="310">
        <v>4607111037398</v>
      </c>
      <c r="E65" s="310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40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12"/>
      <c r="R65" s="312"/>
      <c r="S65" s="312"/>
      <c r="T65" s="31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20"/>
      <c r="P66" s="317" t="s">
        <v>40</v>
      </c>
      <c r="Q66" s="318"/>
      <c r="R66" s="318"/>
      <c r="S66" s="318"/>
      <c r="T66" s="318"/>
      <c r="U66" s="318"/>
      <c r="V66" s="31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20"/>
      <c r="P67" s="317" t="s">
        <v>40</v>
      </c>
      <c r="Q67" s="318"/>
      <c r="R67" s="318"/>
      <c r="S67" s="318"/>
      <c r="T67" s="318"/>
      <c r="U67" s="318"/>
      <c r="V67" s="31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27" t="s">
        <v>149</v>
      </c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66"/>
      <c r="AB68" s="66"/>
      <c r="AC68" s="83"/>
    </row>
    <row r="69" spans="1:68" ht="27" customHeight="1" x14ac:dyDescent="0.25">
      <c r="A69" s="63" t="s">
        <v>150</v>
      </c>
      <c r="B69" s="63" t="s">
        <v>151</v>
      </c>
      <c r="C69" s="36">
        <v>4301135664</v>
      </c>
      <c r="D69" s="310">
        <v>4607111039705</v>
      </c>
      <c r="E69" s="310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40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12"/>
      <c r="R69" s="312"/>
      <c r="S69" s="312"/>
      <c r="T69" s="31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10">
        <v>4607111039729</v>
      </c>
      <c r="E70" s="31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40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12"/>
      <c r="R70" s="312"/>
      <c r="S70" s="312"/>
      <c r="T70" s="31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155</v>
      </c>
      <c r="B71" s="63" t="s">
        <v>156</v>
      </c>
      <c r="C71" s="36">
        <v>4301135702</v>
      </c>
      <c r="D71" s="310">
        <v>4620207490228</v>
      </c>
      <c r="E71" s="31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12"/>
      <c r="R71" s="312"/>
      <c r="S71" s="312"/>
      <c r="T71" s="31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20"/>
      <c r="P72" s="317" t="s">
        <v>40</v>
      </c>
      <c r="Q72" s="318"/>
      <c r="R72" s="318"/>
      <c r="S72" s="318"/>
      <c r="T72" s="318"/>
      <c r="U72" s="318"/>
      <c r="V72" s="31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20"/>
      <c r="P73" s="317" t="s">
        <v>40</v>
      </c>
      <c r="Q73" s="318"/>
      <c r="R73" s="318"/>
      <c r="S73" s="318"/>
      <c r="T73" s="318"/>
      <c r="U73" s="318"/>
      <c r="V73" s="31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35" t="s">
        <v>157</v>
      </c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65"/>
      <c r="AB74" s="65"/>
      <c r="AC74" s="82"/>
    </row>
    <row r="75" spans="1:68" ht="14.25" customHeight="1" x14ac:dyDescent="0.25">
      <c r="A75" s="327" t="s">
        <v>82</v>
      </c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  <c r="V75" s="327"/>
      <c r="W75" s="327"/>
      <c r="X75" s="327"/>
      <c r="Y75" s="327"/>
      <c r="Z75" s="327"/>
      <c r="AA75" s="66"/>
      <c r="AB75" s="66"/>
      <c r="AC75" s="83"/>
    </row>
    <row r="76" spans="1:68" ht="27" customHeight="1" x14ac:dyDescent="0.25">
      <c r="A76" s="63" t="s">
        <v>158</v>
      </c>
      <c r="B76" s="63" t="s">
        <v>159</v>
      </c>
      <c r="C76" s="36">
        <v>4301070977</v>
      </c>
      <c r="D76" s="310">
        <v>4607111037411</v>
      </c>
      <c r="E76" s="310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12"/>
      <c r="R76" s="312"/>
      <c r="S76" s="312"/>
      <c r="T76" s="31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10">
        <v>4607111036728</v>
      </c>
      <c r="E77" s="310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40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12"/>
      <c r="R77" s="312"/>
      <c r="S77" s="312"/>
      <c r="T77" s="31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20"/>
      <c r="P78" s="317" t="s">
        <v>40</v>
      </c>
      <c r="Q78" s="318"/>
      <c r="R78" s="318"/>
      <c r="S78" s="318"/>
      <c r="T78" s="318"/>
      <c r="U78" s="318"/>
      <c r="V78" s="319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20"/>
      <c r="P79" s="317" t="s">
        <v>40</v>
      </c>
      <c r="Q79" s="318"/>
      <c r="R79" s="318"/>
      <c r="S79" s="318"/>
      <c r="T79" s="318"/>
      <c r="U79" s="318"/>
      <c r="V79" s="319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35" t="s">
        <v>164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  <c r="AA80" s="65"/>
      <c r="AB80" s="65"/>
      <c r="AC80" s="82"/>
    </row>
    <row r="81" spans="1:68" ht="14.25" customHeight="1" x14ac:dyDescent="0.25">
      <c r="A81" s="327" t="s">
        <v>149</v>
      </c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10">
        <v>4620207491638</v>
      </c>
      <c r="E82" s="310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9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12"/>
      <c r="R82" s="312"/>
      <c r="S82" s="312"/>
      <c r="T82" s="31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20"/>
      <c r="P83" s="317" t="s">
        <v>40</v>
      </c>
      <c r="Q83" s="318"/>
      <c r="R83" s="318"/>
      <c r="S83" s="318"/>
      <c r="T83" s="318"/>
      <c r="U83" s="318"/>
      <c r="V83" s="319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20"/>
      <c r="P84" s="317" t="s">
        <v>40</v>
      </c>
      <c r="Q84" s="318"/>
      <c r="R84" s="318"/>
      <c r="S84" s="318"/>
      <c r="T84" s="318"/>
      <c r="U84" s="318"/>
      <c r="V84" s="319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35" t="s">
        <v>168</v>
      </c>
      <c r="B85" s="335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65"/>
      <c r="AB85" s="65"/>
      <c r="AC85" s="82"/>
    </row>
    <row r="86" spans="1:68" ht="14.25" customHeight="1" x14ac:dyDescent="0.25">
      <c r="A86" s="327" t="s">
        <v>169</v>
      </c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10">
        <v>4607111034120</v>
      </c>
      <c r="E87" s="310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40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12"/>
      <c r="R87" s="312"/>
      <c r="S87" s="312"/>
      <c r="T87" s="313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10">
        <v>4607111034137</v>
      </c>
      <c r="E88" s="31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12"/>
      <c r="R88" s="312"/>
      <c r="S88" s="312"/>
      <c r="T88" s="313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20"/>
      <c r="P89" s="317" t="s">
        <v>40</v>
      </c>
      <c r="Q89" s="318"/>
      <c r="R89" s="318"/>
      <c r="S89" s="318"/>
      <c r="T89" s="318"/>
      <c r="U89" s="318"/>
      <c r="V89" s="319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20"/>
      <c r="P90" s="317" t="s">
        <v>40</v>
      </c>
      <c r="Q90" s="318"/>
      <c r="R90" s="318"/>
      <c r="S90" s="318"/>
      <c r="T90" s="318"/>
      <c r="U90" s="318"/>
      <c r="V90" s="319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35" t="s">
        <v>176</v>
      </c>
      <c r="B91" s="335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65"/>
      <c r="AB91" s="65"/>
      <c r="AC91" s="82"/>
    </row>
    <row r="92" spans="1:68" ht="14.25" customHeight="1" x14ac:dyDescent="0.25">
      <c r="A92" s="327" t="s">
        <v>149</v>
      </c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10">
        <v>4620207491027</v>
      </c>
      <c r="E93" s="31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12"/>
      <c r="R93" s="312"/>
      <c r="S93" s="312"/>
      <c r="T93" s="313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9" si="6">IFERROR(IF(X93="","",X93),"")</f>
        <v>0</v>
      </c>
      <c r="Z93" s="41">
        <f t="shared" ref="Z93:Z99" si="7">IFERROR(IF(X93="","",X93*0.01788),"")</f>
        <v>0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9" si="8">IFERROR(X93*I93,"0")</f>
        <v>0</v>
      </c>
      <c r="BN93" s="81">
        <f t="shared" ref="BN93:BN99" si="9">IFERROR(Y93*I93,"0")</f>
        <v>0</v>
      </c>
      <c r="BO93" s="81">
        <f t="shared" ref="BO93:BO99" si="10">IFERROR(X93/J93,"0")</f>
        <v>0</v>
      </c>
      <c r="BP93" s="81">
        <f t="shared" ref="BP93:BP99" si="11">IFERROR(Y93/J93,"0")</f>
        <v>0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10">
        <v>4620207491621</v>
      </c>
      <c r="E94" s="31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12"/>
      <c r="R94" s="312"/>
      <c r="S94" s="312"/>
      <c r="T94" s="313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183</v>
      </c>
      <c r="B95" s="63" t="s">
        <v>184</v>
      </c>
      <c r="C95" s="36">
        <v>4301135759</v>
      </c>
      <c r="D95" s="310">
        <v>4620207491034</v>
      </c>
      <c r="E95" s="31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93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5" s="312"/>
      <c r="R95" s="312"/>
      <c r="S95" s="312"/>
      <c r="T95" s="31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185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186</v>
      </c>
      <c r="B96" s="63" t="s">
        <v>187</v>
      </c>
      <c r="C96" s="36">
        <v>4301135990</v>
      </c>
      <c r="D96" s="310">
        <v>4620207491881</v>
      </c>
      <c r="E96" s="31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12"/>
      <c r="R96" s="312"/>
      <c r="S96" s="312"/>
      <c r="T96" s="313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188</v>
      </c>
      <c r="B97" s="63" t="s">
        <v>189</v>
      </c>
      <c r="C97" s="36">
        <v>4301135920</v>
      </c>
      <c r="D97" s="310">
        <v>4620207491577</v>
      </c>
      <c r="E97" s="31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12"/>
      <c r="R97" s="312"/>
      <c r="S97" s="312"/>
      <c r="T97" s="31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190</v>
      </c>
      <c r="B98" s="63" t="s">
        <v>191</v>
      </c>
      <c r="C98" s="36">
        <v>4301135984</v>
      </c>
      <c r="D98" s="310">
        <v>4620207491874</v>
      </c>
      <c r="E98" s="310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12"/>
      <c r="R98" s="312"/>
      <c r="S98" s="312"/>
      <c r="T98" s="31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182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192</v>
      </c>
      <c r="B99" s="63" t="s">
        <v>193</v>
      </c>
      <c r="C99" s="36">
        <v>4301137008</v>
      </c>
      <c r="D99" s="310">
        <v>4620207491782</v>
      </c>
      <c r="E99" s="310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9" s="312"/>
      <c r="R99" s="312"/>
      <c r="S99" s="312"/>
      <c r="T99" s="31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182</v>
      </c>
      <c r="AG99" s="81"/>
      <c r="AJ99" s="87" t="s">
        <v>89</v>
      </c>
      <c r="AK99" s="87">
        <v>1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20"/>
      <c r="P100" s="317" t="s">
        <v>40</v>
      </c>
      <c r="Q100" s="318"/>
      <c r="R100" s="318"/>
      <c r="S100" s="318"/>
      <c r="T100" s="318"/>
      <c r="U100" s="318"/>
      <c r="V100" s="319"/>
      <c r="W100" s="42" t="s">
        <v>39</v>
      </c>
      <c r="X100" s="43">
        <f>IFERROR(SUM(X93:X99),"0")</f>
        <v>0</v>
      </c>
      <c r="Y100" s="43">
        <f>IFERROR(SUM(Y93:Y99),"0")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20"/>
      <c r="P101" s="317" t="s">
        <v>40</v>
      </c>
      <c r="Q101" s="318"/>
      <c r="R101" s="318"/>
      <c r="S101" s="318"/>
      <c r="T101" s="318"/>
      <c r="U101" s="318"/>
      <c r="V101" s="319"/>
      <c r="W101" s="42" t="s">
        <v>0</v>
      </c>
      <c r="X101" s="43">
        <f>IFERROR(SUMPRODUCT(X93:X99*H93:H99),"0")</f>
        <v>0</v>
      </c>
      <c r="Y101" s="43">
        <f>IFERROR(SUMPRODUCT(Y93:Y99*H93:H99),"0")</f>
        <v>0</v>
      </c>
      <c r="Z101" s="42"/>
      <c r="AA101" s="67"/>
      <c r="AB101" s="67"/>
      <c r="AC101" s="67"/>
    </row>
    <row r="102" spans="1:68" ht="16.5" customHeight="1" x14ac:dyDescent="0.25">
      <c r="A102" s="335" t="s">
        <v>194</v>
      </c>
      <c r="B102" s="335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65"/>
      <c r="AB102" s="65"/>
      <c r="AC102" s="82"/>
    </row>
    <row r="103" spans="1:68" ht="14.25" customHeight="1" x14ac:dyDescent="0.25">
      <c r="A103" s="327" t="s">
        <v>145</v>
      </c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4301136101</v>
      </c>
      <c r="D104" s="310">
        <v>4620207491652</v>
      </c>
      <c r="E104" s="310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39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12"/>
      <c r="R104" s="312"/>
      <c r="S104" s="312"/>
      <c r="T104" s="313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197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198</v>
      </c>
      <c r="B105" s="63" t="s">
        <v>199</v>
      </c>
      <c r="C105" s="36">
        <v>4301136103</v>
      </c>
      <c r="D105" s="310">
        <v>4620207491645</v>
      </c>
      <c r="E105" s="310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8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12"/>
      <c r="R105" s="312"/>
      <c r="S105" s="312"/>
      <c r="T105" s="313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197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20"/>
      <c r="P106" s="317" t="s">
        <v>40</v>
      </c>
      <c r="Q106" s="318"/>
      <c r="R106" s="318"/>
      <c r="S106" s="318"/>
      <c r="T106" s="318"/>
      <c r="U106" s="318"/>
      <c r="V106" s="319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20"/>
      <c r="P107" s="317" t="s">
        <v>40</v>
      </c>
      <c r="Q107" s="318"/>
      <c r="R107" s="318"/>
      <c r="S107" s="318"/>
      <c r="T107" s="318"/>
      <c r="U107" s="318"/>
      <c r="V107" s="319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35" t="s">
        <v>200</v>
      </c>
      <c r="B108" s="335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65"/>
      <c r="AB108" s="65"/>
      <c r="AC108" s="82"/>
    </row>
    <row r="109" spans="1:68" ht="14.25" customHeight="1" x14ac:dyDescent="0.25">
      <c r="A109" s="327" t="s">
        <v>82</v>
      </c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10">
        <v>4620207491157</v>
      </c>
      <c r="E110" s="310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12"/>
      <c r="R110" s="312"/>
      <c r="S110" s="312"/>
      <c r="T110" s="313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310">
        <v>4620207491393</v>
      </c>
      <c r="E111" s="310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8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12"/>
      <c r="R111" s="312"/>
      <c r="S111" s="312"/>
      <c r="T111" s="313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4301071051</v>
      </c>
      <c r="D112" s="310">
        <v>4607111039262</v>
      </c>
      <c r="E112" s="310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38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12"/>
      <c r="R112" s="312"/>
      <c r="S112" s="312"/>
      <c r="T112" s="313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4301071038</v>
      </c>
      <c r="D113" s="310">
        <v>4607111039248</v>
      </c>
      <c r="E113" s="310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8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12"/>
      <c r="R113" s="312"/>
      <c r="S113" s="312"/>
      <c r="T113" s="31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4301070979</v>
      </c>
      <c r="D114" s="310">
        <v>4607111037145</v>
      </c>
      <c r="E114" s="310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8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12"/>
      <c r="R114" s="312"/>
      <c r="S114" s="312"/>
      <c r="T114" s="31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4301071075</v>
      </c>
      <c r="D115" s="310">
        <v>4620207491102</v>
      </c>
      <c r="E115" s="310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8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12"/>
      <c r="R115" s="312"/>
      <c r="S115" s="312"/>
      <c r="T115" s="31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4301071139</v>
      </c>
      <c r="D116" s="310">
        <v>4607111039293</v>
      </c>
      <c r="E116" s="310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80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12"/>
      <c r="R116" s="312"/>
      <c r="S116" s="312"/>
      <c r="T116" s="31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220</v>
      </c>
      <c r="B117" s="63" t="s">
        <v>221</v>
      </c>
      <c r="C117" s="36">
        <v>4301071039</v>
      </c>
      <c r="D117" s="310">
        <v>4607111039279</v>
      </c>
      <c r="E117" s="31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8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12"/>
      <c r="R117" s="312"/>
      <c r="S117" s="312"/>
      <c r="T117" s="31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20"/>
      <c r="P118" s="317" t="s">
        <v>40</v>
      </c>
      <c r="Q118" s="318"/>
      <c r="R118" s="318"/>
      <c r="S118" s="318"/>
      <c r="T118" s="318"/>
      <c r="U118" s="318"/>
      <c r="V118" s="319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20"/>
      <c r="P119" s="317" t="s">
        <v>40</v>
      </c>
      <c r="Q119" s="318"/>
      <c r="R119" s="318"/>
      <c r="S119" s="318"/>
      <c r="T119" s="318"/>
      <c r="U119" s="318"/>
      <c r="V119" s="319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27" t="s">
        <v>149</v>
      </c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66"/>
      <c r="AB120" s="66"/>
      <c r="AC120" s="83"/>
    </row>
    <row r="121" spans="1:68" ht="27" customHeight="1" x14ac:dyDescent="0.25">
      <c r="A121" s="63" t="s">
        <v>222</v>
      </c>
      <c r="B121" s="63" t="s">
        <v>223</v>
      </c>
      <c r="C121" s="36">
        <v>4301135826</v>
      </c>
      <c r="D121" s="310">
        <v>4620207490983</v>
      </c>
      <c r="E121" s="310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118</v>
      </c>
      <c r="L121" s="37" t="s">
        <v>88</v>
      </c>
      <c r="M121" s="38" t="s">
        <v>86</v>
      </c>
      <c r="N121" s="38"/>
      <c r="O121" s="37">
        <v>180</v>
      </c>
      <c r="P121" s="38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12"/>
      <c r="R121" s="312"/>
      <c r="S121" s="312"/>
      <c r="T121" s="313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89</v>
      </c>
      <c r="AK121" s="87">
        <v>1</v>
      </c>
      <c r="BB121" s="180" t="s">
        <v>117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20"/>
      <c r="P122" s="317" t="s">
        <v>40</v>
      </c>
      <c r="Q122" s="318"/>
      <c r="R122" s="318"/>
      <c r="S122" s="318"/>
      <c r="T122" s="318"/>
      <c r="U122" s="318"/>
      <c r="V122" s="319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20"/>
      <c r="P123" s="317" t="s">
        <v>40</v>
      </c>
      <c r="Q123" s="318"/>
      <c r="R123" s="318"/>
      <c r="S123" s="318"/>
      <c r="T123" s="318"/>
      <c r="U123" s="318"/>
      <c r="V123" s="319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27" t="s">
        <v>225</v>
      </c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7"/>
      <c r="X124" s="327"/>
      <c r="Y124" s="327"/>
      <c r="Z124" s="327"/>
      <c r="AA124" s="66"/>
      <c r="AB124" s="66"/>
      <c r="AC124" s="83"/>
    </row>
    <row r="125" spans="1:68" ht="27" customHeight="1" x14ac:dyDescent="0.25">
      <c r="A125" s="63" t="s">
        <v>226</v>
      </c>
      <c r="B125" s="63" t="s">
        <v>227</v>
      </c>
      <c r="C125" s="36">
        <v>4301071094</v>
      </c>
      <c r="D125" s="310">
        <v>4620207491140</v>
      </c>
      <c r="E125" s="310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37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12"/>
      <c r="R125" s="312"/>
      <c r="S125" s="312"/>
      <c r="T125" s="31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228</v>
      </c>
      <c r="AG125" s="81"/>
      <c r="AJ125" s="87" t="s">
        <v>89</v>
      </c>
      <c r="AK125" s="87">
        <v>1</v>
      </c>
      <c r="BB125" s="182" t="s">
        <v>117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20"/>
      <c r="P126" s="317" t="s">
        <v>40</v>
      </c>
      <c r="Q126" s="318"/>
      <c r="R126" s="318"/>
      <c r="S126" s="318"/>
      <c r="T126" s="318"/>
      <c r="U126" s="318"/>
      <c r="V126" s="31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20"/>
      <c r="P127" s="317" t="s">
        <v>40</v>
      </c>
      <c r="Q127" s="318"/>
      <c r="R127" s="318"/>
      <c r="S127" s="318"/>
      <c r="T127" s="318"/>
      <c r="U127" s="318"/>
      <c r="V127" s="31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35" t="s">
        <v>229</v>
      </c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65"/>
      <c r="AB128" s="65"/>
      <c r="AC128" s="82"/>
    </row>
    <row r="129" spans="1:68" ht="14.25" customHeight="1" x14ac:dyDescent="0.25">
      <c r="A129" s="327" t="s">
        <v>82</v>
      </c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4301071142</v>
      </c>
      <c r="D130" s="310">
        <v>4620207491904</v>
      </c>
      <c r="E130" s="310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7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12"/>
      <c r="R130" s="312"/>
      <c r="S130" s="312"/>
      <c r="T130" s="313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233</v>
      </c>
      <c r="AC130" s="183" t="s">
        <v>232</v>
      </c>
      <c r="AG130" s="81"/>
      <c r="AJ130" s="87" t="s">
        <v>89</v>
      </c>
      <c r="AK130" s="87">
        <v>1</v>
      </c>
      <c r="BB130" s="184" t="s">
        <v>70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20"/>
      <c r="P131" s="317" t="s">
        <v>40</v>
      </c>
      <c r="Q131" s="318"/>
      <c r="R131" s="318"/>
      <c r="S131" s="318"/>
      <c r="T131" s="318"/>
      <c r="U131" s="318"/>
      <c r="V131" s="319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20"/>
      <c r="P132" s="317" t="s">
        <v>40</v>
      </c>
      <c r="Q132" s="318"/>
      <c r="R132" s="318"/>
      <c r="S132" s="318"/>
      <c r="T132" s="318"/>
      <c r="U132" s="318"/>
      <c r="V132" s="319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4.25" customHeight="1" x14ac:dyDescent="0.25">
      <c r="A133" s="327" t="s">
        <v>149</v>
      </c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7"/>
      <c r="X133" s="327"/>
      <c r="Y133" s="327"/>
      <c r="Z133" s="327"/>
      <c r="AA133" s="66"/>
      <c r="AB133" s="66"/>
      <c r="AC133" s="83"/>
    </row>
    <row r="134" spans="1:68" ht="27" customHeight="1" x14ac:dyDescent="0.25">
      <c r="A134" s="63" t="s">
        <v>234</v>
      </c>
      <c r="B134" s="63" t="s">
        <v>235</v>
      </c>
      <c r="C134" s="36">
        <v>4301135848</v>
      </c>
      <c r="D134" s="310">
        <v>4620207491799</v>
      </c>
      <c r="E134" s="31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7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12"/>
      <c r="R134" s="312"/>
      <c r="S134" s="312"/>
      <c r="T134" s="31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236</v>
      </c>
      <c r="AG134" s="81"/>
      <c r="AJ134" s="87" t="s">
        <v>89</v>
      </c>
      <c r="AK134" s="87">
        <v>1</v>
      </c>
      <c r="BB134" s="186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237</v>
      </c>
      <c r="B135" s="63" t="s">
        <v>238</v>
      </c>
      <c r="C135" s="36">
        <v>4301135850</v>
      </c>
      <c r="D135" s="310">
        <v>4620207491492</v>
      </c>
      <c r="E135" s="31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37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12"/>
      <c r="R135" s="312"/>
      <c r="S135" s="312"/>
      <c r="T135" s="31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10">
        <v>4620207491461</v>
      </c>
      <c r="E136" s="31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7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12"/>
      <c r="R136" s="312"/>
      <c r="S136" s="312"/>
      <c r="T136" s="31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10">
        <v>4620207491485</v>
      </c>
      <c r="E137" s="31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7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12"/>
      <c r="R137" s="312"/>
      <c r="S137" s="312"/>
      <c r="T137" s="31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20"/>
      <c r="P138" s="317" t="s">
        <v>40</v>
      </c>
      <c r="Q138" s="318"/>
      <c r="R138" s="318"/>
      <c r="S138" s="318"/>
      <c r="T138" s="318"/>
      <c r="U138" s="318"/>
      <c r="V138" s="319"/>
      <c r="W138" s="42" t="s">
        <v>39</v>
      </c>
      <c r="X138" s="43">
        <f>IFERROR(SUM(X134:X137),"0")</f>
        <v>0</v>
      </c>
      <c r="Y138" s="43">
        <f>IFERROR(SUM(Y134:Y137),"0")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20"/>
      <c r="P139" s="317" t="s">
        <v>40</v>
      </c>
      <c r="Q139" s="318"/>
      <c r="R139" s="318"/>
      <c r="S139" s="318"/>
      <c r="T139" s="318"/>
      <c r="U139" s="318"/>
      <c r="V139" s="319"/>
      <c r="W139" s="42" t="s">
        <v>0</v>
      </c>
      <c r="X139" s="43">
        <f>IFERROR(SUMPRODUCT(X134:X137*H134:H137),"0")</f>
        <v>0</v>
      </c>
      <c r="Y139" s="43">
        <f>IFERROR(SUMPRODUCT(Y134:Y137*H134:H137),"0")</f>
        <v>0</v>
      </c>
      <c r="Z139" s="42"/>
      <c r="AA139" s="67"/>
      <c r="AB139" s="67"/>
      <c r="AC139" s="67"/>
    </row>
    <row r="140" spans="1:68" ht="14.25" customHeight="1" x14ac:dyDescent="0.25">
      <c r="A140" s="327" t="s">
        <v>243</v>
      </c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7"/>
      <c r="X140" s="327"/>
      <c r="Y140" s="327"/>
      <c r="Z140" s="327"/>
      <c r="AA140" s="66"/>
      <c r="AB140" s="66"/>
      <c r="AC140" s="83"/>
    </row>
    <row r="141" spans="1:68" ht="27" customHeight="1" x14ac:dyDescent="0.25">
      <c r="A141" s="63" t="s">
        <v>244</v>
      </c>
      <c r="B141" s="63" t="s">
        <v>245</v>
      </c>
      <c r="C141" s="36">
        <v>4301190117</v>
      </c>
      <c r="D141" s="310">
        <v>4620207491386</v>
      </c>
      <c r="E141" s="31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37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12"/>
      <c r="R141" s="312"/>
      <c r="S141" s="312"/>
      <c r="T141" s="31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247</v>
      </c>
      <c r="B142" s="63" t="s">
        <v>248</v>
      </c>
      <c r="C142" s="36">
        <v>4301190115</v>
      </c>
      <c r="D142" s="310">
        <v>4620207491362</v>
      </c>
      <c r="E142" s="31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37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12"/>
      <c r="R142" s="312"/>
      <c r="S142" s="312"/>
      <c r="T142" s="31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249</v>
      </c>
      <c r="B143" s="63" t="s">
        <v>250</v>
      </c>
      <c r="C143" s="36">
        <v>4301190116</v>
      </c>
      <c r="D143" s="310">
        <v>4620207491379</v>
      </c>
      <c r="E143" s="31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37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12"/>
      <c r="R143" s="312"/>
      <c r="S143" s="312"/>
      <c r="T143" s="31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20"/>
      <c r="P144" s="317" t="s">
        <v>40</v>
      </c>
      <c r="Q144" s="318"/>
      <c r="R144" s="318"/>
      <c r="S144" s="318"/>
      <c r="T144" s="318"/>
      <c r="U144" s="318"/>
      <c r="V144" s="319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20"/>
      <c r="P145" s="317" t="s">
        <v>40</v>
      </c>
      <c r="Q145" s="318"/>
      <c r="R145" s="318"/>
      <c r="S145" s="318"/>
      <c r="T145" s="318"/>
      <c r="U145" s="318"/>
      <c r="V145" s="319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35" t="s">
        <v>251</v>
      </c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65"/>
      <c r="AB146" s="65"/>
      <c r="AC146" s="82"/>
    </row>
    <row r="147" spans="1:68" ht="14.25" customHeight="1" x14ac:dyDescent="0.25">
      <c r="A147" s="327" t="s">
        <v>149</v>
      </c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  <c r="V147" s="327"/>
      <c r="W147" s="327"/>
      <c r="X147" s="327"/>
      <c r="Y147" s="327"/>
      <c r="Z147" s="327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4301135956</v>
      </c>
      <c r="D148" s="310">
        <v>4620207491560</v>
      </c>
      <c r="E148" s="31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88</v>
      </c>
      <c r="M148" s="38" t="s">
        <v>86</v>
      </c>
      <c r="N148" s="38"/>
      <c r="O148" s="37">
        <v>180</v>
      </c>
      <c r="P148" s="369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12"/>
      <c r="R148" s="312"/>
      <c r="S148" s="312"/>
      <c r="T148" s="313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254</v>
      </c>
      <c r="AG148" s="81"/>
      <c r="AJ148" s="87" t="s">
        <v>89</v>
      </c>
      <c r="AK148" s="87">
        <v>1</v>
      </c>
      <c r="BB148" s="200" t="s">
        <v>117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4301135962</v>
      </c>
      <c r="D149" s="310">
        <v>4620207491584</v>
      </c>
      <c r="E149" s="31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37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12"/>
      <c r="R149" s="312"/>
      <c r="S149" s="312"/>
      <c r="T149" s="313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254</v>
      </c>
      <c r="AG149" s="81"/>
      <c r="AJ149" s="87" t="s">
        <v>89</v>
      </c>
      <c r="AK149" s="87">
        <v>1</v>
      </c>
      <c r="BB149" s="202" t="s">
        <v>117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20"/>
      <c r="P150" s="317" t="s">
        <v>40</v>
      </c>
      <c r="Q150" s="318"/>
      <c r="R150" s="318"/>
      <c r="S150" s="318"/>
      <c r="T150" s="318"/>
      <c r="U150" s="318"/>
      <c r="V150" s="319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20"/>
      <c r="P151" s="317" t="s">
        <v>40</v>
      </c>
      <c r="Q151" s="318"/>
      <c r="R151" s="318"/>
      <c r="S151" s="318"/>
      <c r="T151" s="318"/>
      <c r="U151" s="318"/>
      <c r="V151" s="319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35" t="s">
        <v>257</v>
      </c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65"/>
      <c r="AB152" s="65"/>
      <c r="AC152" s="82"/>
    </row>
    <row r="153" spans="1:68" ht="14.25" customHeight="1" x14ac:dyDescent="0.25">
      <c r="A153" s="327" t="s">
        <v>149</v>
      </c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  <c r="V153" s="327"/>
      <c r="W153" s="327"/>
      <c r="X153" s="327"/>
      <c r="Y153" s="327"/>
      <c r="Z153" s="327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4301135954</v>
      </c>
      <c r="D154" s="310">
        <v>4620207491768</v>
      </c>
      <c r="E154" s="31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36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12"/>
      <c r="R154" s="312"/>
      <c r="S154" s="312"/>
      <c r="T154" s="313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260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261</v>
      </c>
      <c r="B155" s="63" t="s">
        <v>262</v>
      </c>
      <c r="C155" s="36">
        <v>4301135946</v>
      </c>
      <c r="D155" s="310">
        <v>4620207491553</v>
      </c>
      <c r="E155" s="31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6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12"/>
      <c r="R155" s="312"/>
      <c r="S155" s="312"/>
      <c r="T155" s="313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20"/>
      <c r="P156" s="317" t="s">
        <v>40</v>
      </c>
      <c r="Q156" s="318"/>
      <c r="R156" s="318"/>
      <c r="S156" s="318"/>
      <c r="T156" s="318"/>
      <c r="U156" s="318"/>
      <c r="V156" s="319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20"/>
      <c r="P157" s="317" t="s">
        <v>40</v>
      </c>
      <c r="Q157" s="318"/>
      <c r="R157" s="318"/>
      <c r="S157" s="318"/>
      <c r="T157" s="318"/>
      <c r="U157" s="318"/>
      <c r="V157" s="319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35" t="s">
        <v>263</v>
      </c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65"/>
      <c r="AB158" s="65"/>
      <c r="AC158" s="82"/>
    </row>
    <row r="159" spans="1:68" ht="14.25" customHeight="1" x14ac:dyDescent="0.25">
      <c r="A159" s="327" t="s">
        <v>149</v>
      </c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  <c r="V159" s="327"/>
      <c r="W159" s="327"/>
      <c r="X159" s="327"/>
      <c r="Y159" s="327"/>
      <c r="Z159" s="327"/>
      <c r="AA159" s="66"/>
      <c r="AB159" s="66"/>
      <c r="AC159" s="83"/>
    </row>
    <row r="160" spans="1:68" ht="27" customHeight="1" x14ac:dyDescent="0.25">
      <c r="A160" s="63" t="s">
        <v>264</v>
      </c>
      <c r="B160" s="63" t="s">
        <v>265</v>
      </c>
      <c r="C160" s="36">
        <v>4301135779</v>
      </c>
      <c r="D160" s="310">
        <v>4620207490914</v>
      </c>
      <c r="E160" s="310"/>
      <c r="F160" s="62">
        <v>0.2</v>
      </c>
      <c r="G160" s="37">
        <v>6</v>
      </c>
      <c r="H160" s="62">
        <v>1.2</v>
      </c>
      <c r="I160" s="62">
        <v>1.41</v>
      </c>
      <c r="J160" s="37">
        <v>140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364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12"/>
      <c r="R160" s="312"/>
      <c r="S160" s="312"/>
      <c r="T160" s="31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IFERROR(IF(X160="","",X160*0.00941),"")</f>
        <v>0</v>
      </c>
      <c r="AA160" s="68" t="s">
        <v>46</v>
      </c>
      <c r="AB160" s="69" t="s">
        <v>46</v>
      </c>
      <c r="AC160" s="207" t="s">
        <v>266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267</v>
      </c>
      <c r="B161" s="63" t="s">
        <v>268</v>
      </c>
      <c r="C161" s="36">
        <v>4301135753</v>
      </c>
      <c r="D161" s="310">
        <v>4620207490914</v>
      </c>
      <c r="E161" s="31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36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12"/>
      <c r="R161" s="312"/>
      <c r="S161" s="312"/>
      <c r="T161" s="31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266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4301135932</v>
      </c>
      <c r="D162" s="310">
        <v>4620207491676</v>
      </c>
      <c r="E162" s="31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36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12"/>
      <c r="R162" s="312"/>
      <c r="S162" s="312"/>
      <c r="T162" s="31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11" t="s">
        <v>271</v>
      </c>
      <c r="AG162" s="81"/>
      <c r="AJ162" s="87" t="s">
        <v>89</v>
      </c>
      <c r="AK162" s="87">
        <v>1</v>
      </c>
      <c r="BB162" s="212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20"/>
      <c r="P163" s="317" t="s">
        <v>40</v>
      </c>
      <c r="Q163" s="318"/>
      <c r="R163" s="318"/>
      <c r="S163" s="318"/>
      <c r="T163" s="318"/>
      <c r="U163" s="318"/>
      <c r="V163" s="319"/>
      <c r="W163" s="42" t="s">
        <v>39</v>
      </c>
      <c r="X163" s="43">
        <f>IFERROR(SUM(X160:X162),"0")</f>
        <v>0</v>
      </c>
      <c r="Y163" s="43">
        <f>IFERROR(SUM(Y160:Y162),"0")</f>
        <v>0</v>
      </c>
      <c r="Z163" s="43">
        <f>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20"/>
      <c r="P164" s="317" t="s">
        <v>40</v>
      </c>
      <c r="Q164" s="318"/>
      <c r="R164" s="318"/>
      <c r="S164" s="318"/>
      <c r="T164" s="318"/>
      <c r="U164" s="318"/>
      <c r="V164" s="319"/>
      <c r="W164" s="42" t="s">
        <v>0</v>
      </c>
      <c r="X164" s="43">
        <f>IFERROR(SUMPRODUCT(X160:X162*H160:H162),"0")</f>
        <v>0</v>
      </c>
      <c r="Y164" s="43">
        <f>IFERROR(SUMPRODUCT(Y160:Y162*H160:H162),"0")</f>
        <v>0</v>
      </c>
      <c r="Z164" s="42"/>
      <c r="AA164" s="67"/>
      <c r="AB164" s="67"/>
      <c r="AC164" s="67"/>
    </row>
    <row r="165" spans="1:68" ht="16.5" customHeight="1" x14ac:dyDescent="0.25">
      <c r="A165" s="335" t="s">
        <v>272</v>
      </c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65"/>
      <c r="AB165" s="65"/>
      <c r="AC165" s="82"/>
    </row>
    <row r="166" spans="1:68" ht="14.25" customHeight="1" x14ac:dyDescent="0.25">
      <c r="A166" s="327" t="s">
        <v>149</v>
      </c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  <c r="V166" s="327"/>
      <c r="W166" s="327"/>
      <c r="X166" s="327"/>
      <c r="Y166" s="327"/>
      <c r="Z166" s="327"/>
      <c r="AA166" s="66"/>
      <c r="AB166" s="66"/>
      <c r="AC166" s="83"/>
    </row>
    <row r="167" spans="1:68" ht="27" customHeight="1" x14ac:dyDescent="0.25">
      <c r="A167" s="63" t="s">
        <v>273</v>
      </c>
      <c r="B167" s="63" t="s">
        <v>274</v>
      </c>
      <c r="C167" s="36">
        <v>4301135570</v>
      </c>
      <c r="D167" s="310">
        <v>4607111035806</v>
      </c>
      <c r="E167" s="31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6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12"/>
      <c r="R167" s="312"/>
      <c r="S167" s="312"/>
      <c r="T167" s="31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3" t="s">
        <v>275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276</v>
      </c>
      <c r="B168" s="63" t="s">
        <v>277</v>
      </c>
      <c r="C168" s="36">
        <v>4301135940</v>
      </c>
      <c r="D168" s="310">
        <v>4620207491614</v>
      </c>
      <c r="E168" s="310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118</v>
      </c>
      <c r="L168" s="37" t="s">
        <v>88</v>
      </c>
      <c r="M168" s="38" t="s">
        <v>86</v>
      </c>
      <c r="N168" s="38"/>
      <c r="O168" s="37">
        <v>180</v>
      </c>
      <c r="P168" s="36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12"/>
      <c r="R168" s="312"/>
      <c r="S168" s="312"/>
      <c r="T168" s="313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215" t="s">
        <v>167</v>
      </c>
      <c r="AG168" s="81"/>
      <c r="AJ168" s="87" t="s">
        <v>89</v>
      </c>
      <c r="AK168" s="87">
        <v>1</v>
      </c>
      <c r="BB168" s="216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20"/>
      <c r="P169" s="317" t="s">
        <v>40</v>
      </c>
      <c r="Q169" s="318"/>
      <c r="R169" s="318"/>
      <c r="S169" s="318"/>
      <c r="T169" s="318"/>
      <c r="U169" s="318"/>
      <c r="V169" s="319"/>
      <c r="W169" s="42" t="s">
        <v>39</v>
      </c>
      <c r="X169" s="43">
        <f>IFERROR(SUM(X167:X168),"0")</f>
        <v>0</v>
      </c>
      <c r="Y169" s="43">
        <f>IFERROR(SUM(Y167:Y168),"0")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x14ac:dyDescent="0.2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20"/>
      <c r="P170" s="317" t="s">
        <v>40</v>
      </c>
      <c r="Q170" s="318"/>
      <c r="R170" s="318"/>
      <c r="S170" s="318"/>
      <c r="T170" s="318"/>
      <c r="U170" s="318"/>
      <c r="V170" s="319"/>
      <c r="W170" s="42" t="s">
        <v>0</v>
      </c>
      <c r="X170" s="43">
        <f>IFERROR(SUMPRODUCT(X167:X168*H167:H168),"0")</f>
        <v>0</v>
      </c>
      <c r="Y170" s="43">
        <f>IFERROR(SUMPRODUCT(Y167:Y168*H167:H168),"0")</f>
        <v>0</v>
      </c>
      <c r="Z170" s="42"/>
      <c r="AA170" s="67"/>
      <c r="AB170" s="67"/>
      <c r="AC170" s="67"/>
    </row>
    <row r="171" spans="1:68" ht="16.5" customHeight="1" x14ac:dyDescent="0.25">
      <c r="A171" s="335" t="s">
        <v>278</v>
      </c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65"/>
      <c r="AB171" s="65"/>
      <c r="AC171" s="82"/>
    </row>
    <row r="172" spans="1:68" ht="14.25" customHeight="1" x14ac:dyDescent="0.25">
      <c r="A172" s="327" t="s">
        <v>149</v>
      </c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  <c r="V172" s="327"/>
      <c r="W172" s="327"/>
      <c r="X172" s="327"/>
      <c r="Y172" s="327"/>
      <c r="Z172" s="327"/>
      <c r="AA172" s="66"/>
      <c r="AB172" s="66"/>
      <c r="AC172" s="83"/>
    </row>
    <row r="173" spans="1:68" ht="16.5" customHeight="1" x14ac:dyDescent="0.25">
      <c r="A173" s="63" t="s">
        <v>279</v>
      </c>
      <c r="B173" s="63" t="s">
        <v>280</v>
      </c>
      <c r="C173" s="36">
        <v>4301135607</v>
      </c>
      <c r="D173" s="310">
        <v>4607111039613</v>
      </c>
      <c r="E173" s="310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118</v>
      </c>
      <c r="L173" s="37" t="s">
        <v>119</v>
      </c>
      <c r="M173" s="38" t="s">
        <v>86</v>
      </c>
      <c r="N173" s="38"/>
      <c r="O173" s="37">
        <v>180</v>
      </c>
      <c r="P173" s="36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12"/>
      <c r="R173" s="312"/>
      <c r="S173" s="312"/>
      <c r="T173" s="31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17" t="s">
        <v>281</v>
      </c>
      <c r="AG173" s="81"/>
      <c r="AJ173" s="87" t="s">
        <v>120</v>
      </c>
      <c r="AK173" s="87">
        <v>14</v>
      </c>
      <c r="BB173" s="218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20"/>
      <c r="P174" s="317" t="s">
        <v>40</v>
      </c>
      <c r="Q174" s="318"/>
      <c r="R174" s="318"/>
      <c r="S174" s="318"/>
      <c r="T174" s="318"/>
      <c r="U174" s="318"/>
      <c r="V174" s="319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20"/>
      <c r="P175" s="317" t="s">
        <v>40</v>
      </c>
      <c r="Q175" s="318"/>
      <c r="R175" s="318"/>
      <c r="S175" s="318"/>
      <c r="T175" s="318"/>
      <c r="U175" s="318"/>
      <c r="V175" s="319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customHeight="1" x14ac:dyDescent="0.25">
      <c r="A176" s="335" t="s">
        <v>282</v>
      </c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65"/>
      <c r="AB176" s="65"/>
      <c r="AC176" s="82"/>
    </row>
    <row r="177" spans="1:68" ht="14.25" customHeight="1" x14ac:dyDescent="0.25">
      <c r="A177" s="327" t="s">
        <v>149</v>
      </c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66"/>
      <c r="AB177" s="66"/>
      <c r="AC177" s="83"/>
    </row>
    <row r="178" spans="1:68" ht="27" customHeight="1" x14ac:dyDescent="0.25">
      <c r="A178" s="63" t="s">
        <v>283</v>
      </c>
      <c r="B178" s="63" t="s">
        <v>284</v>
      </c>
      <c r="C178" s="36">
        <v>4301135912</v>
      </c>
      <c r="D178" s="310">
        <v>4620207491751</v>
      </c>
      <c r="E178" s="310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118</v>
      </c>
      <c r="L178" s="37" t="s">
        <v>88</v>
      </c>
      <c r="M178" s="38" t="s">
        <v>86</v>
      </c>
      <c r="N178" s="38"/>
      <c r="O178" s="37">
        <v>180</v>
      </c>
      <c r="P178" s="359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12"/>
      <c r="R178" s="312"/>
      <c r="S178" s="312"/>
      <c r="T178" s="313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IFERROR(IF(X178="","",X178*0.00941),"")</f>
        <v>0</v>
      </c>
      <c r="AA178" s="68" t="s">
        <v>46</v>
      </c>
      <c r="AB178" s="69" t="s">
        <v>46</v>
      </c>
      <c r="AC178" s="219" t="s">
        <v>167</v>
      </c>
      <c r="AG178" s="81"/>
      <c r="AJ178" s="87" t="s">
        <v>89</v>
      </c>
      <c r="AK178" s="87">
        <v>1</v>
      </c>
      <c r="BB178" s="220" t="s">
        <v>117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20"/>
      <c r="P179" s="317" t="s">
        <v>40</v>
      </c>
      <c r="Q179" s="318"/>
      <c r="R179" s="318"/>
      <c r="S179" s="318"/>
      <c r="T179" s="318"/>
      <c r="U179" s="318"/>
      <c r="V179" s="319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20"/>
      <c r="P180" s="317" t="s">
        <v>40</v>
      </c>
      <c r="Q180" s="318"/>
      <c r="R180" s="318"/>
      <c r="S180" s="318"/>
      <c r="T180" s="318"/>
      <c r="U180" s="318"/>
      <c r="V180" s="319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27.75" customHeight="1" x14ac:dyDescent="0.2">
      <c r="A181" s="334" t="s">
        <v>285</v>
      </c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  <c r="Z181" s="334"/>
      <c r="AA181" s="54"/>
      <c r="AB181" s="54"/>
      <c r="AC181" s="54"/>
    </row>
    <row r="182" spans="1:68" ht="16.5" customHeight="1" x14ac:dyDescent="0.25">
      <c r="A182" s="335" t="s">
        <v>286</v>
      </c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65"/>
      <c r="AB182" s="65"/>
      <c r="AC182" s="82"/>
    </row>
    <row r="183" spans="1:68" ht="14.25" customHeight="1" x14ac:dyDescent="0.25">
      <c r="A183" s="327" t="s">
        <v>113</v>
      </c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  <c r="AA183" s="66"/>
      <c r="AB183" s="66"/>
      <c r="AC183" s="83"/>
    </row>
    <row r="184" spans="1:68" ht="27" customHeight="1" x14ac:dyDescent="0.25">
      <c r="A184" s="63" t="s">
        <v>287</v>
      </c>
      <c r="B184" s="63" t="s">
        <v>288</v>
      </c>
      <c r="C184" s="36">
        <v>4301132226</v>
      </c>
      <c r="D184" s="310">
        <v>4620207490631</v>
      </c>
      <c r="E184" s="310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36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12"/>
      <c r="R184" s="312"/>
      <c r="S184" s="312"/>
      <c r="T184" s="31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21" t="s">
        <v>289</v>
      </c>
      <c r="AG184" s="81"/>
      <c r="AJ184" s="87" t="s">
        <v>89</v>
      </c>
      <c r="AK184" s="87">
        <v>1</v>
      </c>
      <c r="BB184" s="222" t="s">
        <v>117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20"/>
      <c r="P185" s="317" t="s">
        <v>40</v>
      </c>
      <c r="Q185" s="318"/>
      <c r="R185" s="318"/>
      <c r="S185" s="318"/>
      <c r="T185" s="318"/>
      <c r="U185" s="318"/>
      <c r="V185" s="319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20"/>
      <c r="P186" s="317" t="s">
        <v>40</v>
      </c>
      <c r="Q186" s="318"/>
      <c r="R186" s="318"/>
      <c r="S186" s="318"/>
      <c r="T186" s="318"/>
      <c r="U186" s="318"/>
      <c r="V186" s="319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14.25" customHeight="1" x14ac:dyDescent="0.25">
      <c r="A187" s="327" t="s">
        <v>145</v>
      </c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  <c r="V187" s="327"/>
      <c r="W187" s="327"/>
      <c r="X187" s="327"/>
      <c r="Y187" s="327"/>
      <c r="Z187" s="327"/>
      <c r="AA187" s="66"/>
      <c r="AB187" s="66"/>
      <c r="AC187" s="83"/>
    </row>
    <row r="188" spans="1:68" ht="27" customHeight="1" x14ac:dyDescent="0.25">
      <c r="A188" s="63" t="s">
        <v>290</v>
      </c>
      <c r="B188" s="63" t="s">
        <v>291</v>
      </c>
      <c r="C188" s="36">
        <v>4301136001</v>
      </c>
      <c r="D188" s="310">
        <v>4607111035714</v>
      </c>
      <c r="E188" s="310"/>
      <c r="F188" s="62">
        <v>5</v>
      </c>
      <c r="G188" s="37">
        <v>1</v>
      </c>
      <c r="H188" s="62">
        <v>5</v>
      </c>
      <c r="I188" s="62">
        <v>5.2350000000000003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58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8" s="312"/>
      <c r="R188" s="312"/>
      <c r="S188" s="312"/>
      <c r="T188" s="31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3" t="s">
        <v>292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20"/>
      <c r="P189" s="317" t="s">
        <v>40</v>
      </c>
      <c r="Q189" s="318"/>
      <c r="R189" s="318"/>
      <c r="S189" s="318"/>
      <c r="T189" s="318"/>
      <c r="U189" s="318"/>
      <c r="V189" s="319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20"/>
      <c r="P190" s="317" t="s">
        <v>40</v>
      </c>
      <c r="Q190" s="318"/>
      <c r="R190" s="318"/>
      <c r="S190" s="318"/>
      <c r="T190" s="318"/>
      <c r="U190" s="318"/>
      <c r="V190" s="319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14.25" customHeight="1" x14ac:dyDescent="0.25">
      <c r="A191" s="327" t="s">
        <v>149</v>
      </c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66"/>
      <c r="AB191" s="66"/>
      <c r="AC191" s="83"/>
    </row>
    <row r="192" spans="1:68" ht="16.5" customHeight="1" x14ac:dyDescent="0.25">
      <c r="A192" s="63" t="s">
        <v>293</v>
      </c>
      <c r="B192" s="63" t="s">
        <v>294</v>
      </c>
      <c r="C192" s="36">
        <v>4301137080</v>
      </c>
      <c r="D192" s="310">
        <v>4620207492062</v>
      </c>
      <c r="E192" s="310"/>
      <c r="F192" s="62">
        <v>5.5</v>
      </c>
      <c r="G192" s="37">
        <v>1</v>
      </c>
      <c r="H192" s="62">
        <v>5.5</v>
      </c>
      <c r="I192" s="62">
        <v>5.7350000000000003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355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2" s="312"/>
      <c r="R192" s="312"/>
      <c r="S192" s="312"/>
      <c r="T192" s="31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89</v>
      </c>
      <c r="AK192" s="87">
        <v>1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296</v>
      </c>
      <c r="B193" s="63" t="s">
        <v>297</v>
      </c>
      <c r="C193" s="36">
        <v>4301135995</v>
      </c>
      <c r="D193" s="310">
        <v>4620207491928</v>
      </c>
      <c r="E193" s="310"/>
      <c r="F193" s="62">
        <v>3.7</v>
      </c>
      <c r="G193" s="37">
        <v>1</v>
      </c>
      <c r="H193" s="62">
        <v>3.7</v>
      </c>
      <c r="I193" s="62">
        <v>3.8919999999999999</v>
      </c>
      <c r="J193" s="37">
        <v>126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356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93" s="312"/>
      <c r="R193" s="312"/>
      <c r="S193" s="312"/>
      <c r="T193" s="313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IFERROR(IF(X193="","",X193*0.00936),"")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299</v>
      </c>
      <c r="B194" s="63" t="s">
        <v>300</v>
      </c>
      <c r="C194" s="36">
        <v>4301135392</v>
      </c>
      <c r="D194" s="310">
        <v>4607111039132</v>
      </c>
      <c r="E194" s="310"/>
      <c r="F194" s="62">
        <v>3.7</v>
      </c>
      <c r="G194" s="37">
        <v>1</v>
      </c>
      <c r="H194" s="62">
        <v>3.7</v>
      </c>
      <c r="I194" s="62">
        <v>3.8919999999999999</v>
      </c>
      <c r="J194" s="37">
        <v>126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5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4" s="312"/>
      <c r="R194" s="312"/>
      <c r="S194" s="312"/>
      <c r="T194" s="31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IFERROR(IF(X194="","",X194*0.00936),"")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20"/>
      <c r="P195" s="317" t="s">
        <v>40</v>
      </c>
      <c r="Q195" s="318"/>
      <c r="R195" s="318"/>
      <c r="S195" s="318"/>
      <c r="T195" s="318"/>
      <c r="U195" s="318"/>
      <c r="V195" s="319"/>
      <c r="W195" s="42" t="s">
        <v>39</v>
      </c>
      <c r="X195" s="43">
        <f>IFERROR(SUM(X192:X194),"0")</f>
        <v>0</v>
      </c>
      <c r="Y195" s="43">
        <f>IFERROR(SUM(Y192:Y194),"0")</f>
        <v>0</v>
      </c>
      <c r="Z195" s="43">
        <f>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20"/>
      <c r="P196" s="317" t="s">
        <v>40</v>
      </c>
      <c r="Q196" s="318"/>
      <c r="R196" s="318"/>
      <c r="S196" s="318"/>
      <c r="T196" s="318"/>
      <c r="U196" s="318"/>
      <c r="V196" s="319"/>
      <c r="W196" s="42" t="s">
        <v>0</v>
      </c>
      <c r="X196" s="43">
        <f>IFERROR(SUMPRODUCT(X192:X194*H192:H194),"0")</f>
        <v>0</v>
      </c>
      <c r="Y196" s="43">
        <f>IFERROR(SUMPRODUCT(Y192:Y194*H192:H194),"0")</f>
        <v>0</v>
      </c>
      <c r="Z196" s="42"/>
      <c r="AA196" s="67"/>
      <c r="AB196" s="67"/>
      <c r="AC196" s="67"/>
    </row>
    <row r="197" spans="1:68" ht="16.5" customHeight="1" x14ac:dyDescent="0.25">
      <c r="A197" s="335" t="s">
        <v>302</v>
      </c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  <c r="AA197" s="65"/>
      <c r="AB197" s="65"/>
      <c r="AC197" s="82"/>
    </row>
    <row r="198" spans="1:68" ht="14.25" customHeight="1" x14ac:dyDescent="0.25">
      <c r="A198" s="327" t="s">
        <v>82</v>
      </c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66"/>
      <c r="AB198" s="66"/>
      <c r="AC198" s="83"/>
    </row>
    <row r="199" spans="1:68" ht="16.5" customHeight="1" x14ac:dyDescent="0.25">
      <c r="A199" s="63" t="s">
        <v>303</v>
      </c>
      <c r="B199" s="63" t="s">
        <v>304</v>
      </c>
      <c r="C199" s="36">
        <v>4301071062</v>
      </c>
      <c r="D199" s="310">
        <v>4607111036384</v>
      </c>
      <c r="E199" s="310"/>
      <c r="F199" s="62">
        <v>5</v>
      </c>
      <c r="G199" s="37">
        <v>1</v>
      </c>
      <c r="H199" s="62">
        <v>5</v>
      </c>
      <c r="I199" s="62">
        <v>5.2106000000000003</v>
      </c>
      <c r="J199" s="37">
        <v>144</v>
      </c>
      <c r="K199" s="37" t="s">
        <v>87</v>
      </c>
      <c r="L199" s="37" t="s">
        <v>119</v>
      </c>
      <c r="M199" s="38" t="s">
        <v>86</v>
      </c>
      <c r="N199" s="38"/>
      <c r="O199" s="37">
        <v>180</v>
      </c>
      <c r="P19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9" s="312"/>
      <c r="R199" s="312"/>
      <c r="S199" s="312"/>
      <c r="T199" s="31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IFERROR(IF(X199="","",X199*0.00866),"")</f>
        <v>0</v>
      </c>
      <c r="AA199" s="68" t="s">
        <v>46</v>
      </c>
      <c r="AB199" s="69" t="s">
        <v>46</v>
      </c>
      <c r="AC199" s="231" t="s">
        <v>305</v>
      </c>
      <c r="AG199" s="81"/>
      <c r="AJ199" s="87" t="s">
        <v>120</v>
      </c>
      <c r="AK199" s="87">
        <v>12</v>
      </c>
      <c r="BB199" s="232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306</v>
      </c>
      <c r="B200" s="63" t="s">
        <v>307</v>
      </c>
      <c r="C200" s="36">
        <v>4301071050</v>
      </c>
      <c r="D200" s="310">
        <v>4607111036216</v>
      </c>
      <c r="E200" s="310"/>
      <c r="F200" s="62">
        <v>5</v>
      </c>
      <c r="G200" s="37">
        <v>1</v>
      </c>
      <c r="H200" s="62">
        <v>5</v>
      </c>
      <c r="I200" s="62">
        <v>5.2131999999999996</v>
      </c>
      <c r="J200" s="37">
        <v>144</v>
      </c>
      <c r="K200" s="37" t="s">
        <v>87</v>
      </c>
      <c r="L200" s="37" t="s">
        <v>119</v>
      </c>
      <c r="M200" s="38" t="s">
        <v>86</v>
      </c>
      <c r="N200" s="38"/>
      <c r="O200" s="37">
        <v>180</v>
      </c>
      <c r="P200" s="3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200" s="312"/>
      <c r="R200" s="312"/>
      <c r="S200" s="312"/>
      <c r="T200" s="313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IFERROR(IF(X200="","",X200*0.00866),"")</f>
        <v>0</v>
      </c>
      <c r="AA200" s="68" t="s">
        <v>46</v>
      </c>
      <c r="AB200" s="69" t="s">
        <v>46</v>
      </c>
      <c r="AC200" s="233" t="s">
        <v>308</v>
      </c>
      <c r="AG200" s="81"/>
      <c r="AJ200" s="87" t="s">
        <v>120</v>
      </c>
      <c r="AK200" s="87">
        <v>12</v>
      </c>
      <c r="BB200" s="234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20"/>
      <c r="P201" s="317" t="s">
        <v>40</v>
      </c>
      <c r="Q201" s="318"/>
      <c r="R201" s="318"/>
      <c r="S201" s="318"/>
      <c r="T201" s="318"/>
      <c r="U201" s="318"/>
      <c r="V201" s="319"/>
      <c r="W201" s="42" t="s">
        <v>39</v>
      </c>
      <c r="X201" s="43">
        <f>IFERROR(SUM(X199:X200),"0")</f>
        <v>0</v>
      </c>
      <c r="Y201" s="43">
        <f>IFERROR(SUM(Y199:Y200),"0")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20"/>
      <c r="P202" s="317" t="s">
        <v>40</v>
      </c>
      <c r="Q202" s="318"/>
      <c r="R202" s="318"/>
      <c r="S202" s="318"/>
      <c r="T202" s="318"/>
      <c r="U202" s="318"/>
      <c r="V202" s="319"/>
      <c r="W202" s="42" t="s">
        <v>0</v>
      </c>
      <c r="X202" s="43">
        <f>IFERROR(SUMPRODUCT(X199:X200*H199:H200),"0")</f>
        <v>0</v>
      </c>
      <c r="Y202" s="43">
        <f>IFERROR(SUMPRODUCT(Y199:Y200*H199:H200),"0")</f>
        <v>0</v>
      </c>
      <c r="Z202" s="42"/>
      <c r="AA202" s="67"/>
      <c r="AB202" s="67"/>
      <c r="AC202" s="67"/>
    </row>
    <row r="203" spans="1:68" ht="16.5" customHeight="1" x14ac:dyDescent="0.25">
      <c r="A203" s="335" t="s">
        <v>309</v>
      </c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  <c r="AA203" s="65"/>
      <c r="AB203" s="65"/>
      <c r="AC203" s="82"/>
    </row>
    <row r="204" spans="1:68" ht="14.25" customHeight="1" x14ac:dyDescent="0.25">
      <c r="A204" s="327" t="s">
        <v>82</v>
      </c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  <c r="V204" s="327"/>
      <c r="W204" s="327"/>
      <c r="X204" s="327"/>
      <c r="Y204" s="327"/>
      <c r="Z204" s="327"/>
      <c r="AA204" s="66"/>
      <c r="AB204" s="66"/>
      <c r="AC204" s="83"/>
    </row>
    <row r="205" spans="1:68" ht="27" customHeight="1" x14ac:dyDescent="0.25">
      <c r="A205" s="63" t="s">
        <v>310</v>
      </c>
      <c r="B205" s="63" t="s">
        <v>311</v>
      </c>
      <c r="C205" s="36">
        <v>4301071117</v>
      </c>
      <c r="D205" s="310">
        <v>4620207491737</v>
      </c>
      <c r="E205" s="310"/>
      <c r="F205" s="62">
        <v>1</v>
      </c>
      <c r="G205" s="37">
        <v>5</v>
      </c>
      <c r="H205" s="62">
        <v>5</v>
      </c>
      <c r="I205" s="62">
        <v>5.2619999999999996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3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5" s="312"/>
      <c r="R205" s="312"/>
      <c r="S205" s="312"/>
      <c r="T205" s="31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35" t="s">
        <v>308</v>
      </c>
      <c r="AG205" s="81"/>
      <c r="AJ205" s="87" t="s">
        <v>89</v>
      </c>
      <c r="AK205" s="87">
        <v>1</v>
      </c>
      <c r="BB205" s="236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20"/>
      <c r="P206" s="317" t="s">
        <v>40</v>
      </c>
      <c r="Q206" s="318"/>
      <c r="R206" s="318"/>
      <c r="S206" s="318"/>
      <c r="T206" s="318"/>
      <c r="U206" s="318"/>
      <c r="V206" s="319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20"/>
      <c r="P207" s="317" t="s">
        <v>40</v>
      </c>
      <c r="Q207" s="318"/>
      <c r="R207" s="318"/>
      <c r="S207" s="318"/>
      <c r="T207" s="318"/>
      <c r="U207" s="318"/>
      <c r="V207" s="319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27.75" customHeight="1" x14ac:dyDescent="0.2">
      <c r="A208" s="334" t="s">
        <v>312</v>
      </c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  <c r="Z208" s="334"/>
      <c r="AA208" s="54"/>
      <c r="AB208" s="54"/>
      <c r="AC208" s="54"/>
    </row>
    <row r="209" spans="1:68" ht="16.5" customHeight="1" x14ac:dyDescent="0.25">
      <c r="A209" s="335" t="s">
        <v>313</v>
      </c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  <c r="AA209" s="65"/>
      <c r="AB209" s="65"/>
      <c r="AC209" s="82"/>
    </row>
    <row r="210" spans="1:68" ht="14.25" customHeight="1" x14ac:dyDescent="0.25">
      <c r="A210" s="327" t="s">
        <v>113</v>
      </c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  <c r="AA210" s="66"/>
      <c r="AB210" s="66"/>
      <c r="AC210" s="83"/>
    </row>
    <row r="211" spans="1:68" ht="16.5" customHeight="1" x14ac:dyDescent="0.25">
      <c r="A211" s="63" t="s">
        <v>314</v>
      </c>
      <c r="B211" s="63" t="s">
        <v>315</v>
      </c>
      <c r="C211" s="36">
        <v>4301132179</v>
      </c>
      <c r="D211" s="310">
        <v>4607111035691</v>
      </c>
      <c r="E211" s="310"/>
      <c r="F211" s="62">
        <v>0.25</v>
      </c>
      <c r="G211" s="37">
        <v>12</v>
      </c>
      <c r="H211" s="62">
        <v>3</v>
      </c>
      <c r="I211" s="62">
        <v>3.3879999999999999</v>
      </c>
      <c r="J211" s="37">
        <v>70</v>
      </c>
      <c r="K211" s="37" t="s">
        <v>118</v>
      </c>
      <c r="L211" s="37" t="s">
        <v>119</v>
      </c>
      <c r="M211" s="38" t="s">
        <v>86</v>
      </c>
      <c r="N211" s="38"/>
      <c r="O211" s="37">
        <v>365</v>
      </c>
      <c r="P211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11" s="312"/>
      <c r="R211" s="312"/>
      <c r="S211" s="312"/>
      <c r="T211" s="313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7" t="s">
        <v>316</v>
      </c>
      <c r="AG211" s="81"/>
      <c r="AJ211" s="87" t="s">
        <v>120</v>
      </c>
      <c r="AK211" s="87">
        <v>14</v>
      </c>
      <c r="BB211" s="238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317</v>
      </c>
      <c r="B212" s="63" t="s">
        <v>318</v>
      </c>
      <c r="C212" s="36">
        <v>4301132182</v>
      </c>
      <c r="D212" s="310">
        <v>4607111035721</v>
      </c>
      <c r="E212" s="310"/>
      <c r="F212" s="62">
        <v>0.25</v>
      </c>
      <c r="G212" s="37">
        <v>12</v>
      </c>
      <c r="H212" s="62">
        <v>3</v>
      </c>
      <c r="I212" s="62">
        <v>3.3879999999999999</v>
      </c>
      <c r="J212" s="37">
        <v>70</v>
      </c>
      <c r="K212" s="37" t="s">
        <v>118</v>
      </c>
      <c r="L212" s="37" t="s">
        <v>119</v>
      </c>
      <c r="M212" s="38" t="s">
        <v>86</v>
      </c>
      <c r="N212" s="38"/>
      <c r="O212" s="37">
        <v>365</v>
      </c>
      <c r="P212" s="3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2" s="312"/>
      <c r="R212" s="312"/>
      <c r="S212" s="312"/>
      <c r="T212" s="313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9" t="s">
        <v>319</v>
      </c>
      <c r="AG212" s="81"/>
      <c r="AJ212" s="87" t="s">
        <v>120</v>
      </c>
      <c r="AK212" s="87">
        <v>14</v>
      </c>
      <c r="BB212" s="240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320</v>
      </c>
      <c r="B213" s="63" t="s">
        <v>321</v>
      </c>
      <c r="C213" s="36">
        <v>4301132170</v>
      </c>
      <c r="D213" s="310">
        <v>4607111038487</v>
      </c>
      <c r="E213" s="310"/>
      <c r="F213" s="62">
        <v>0.25</v>
      </c>
      <c r="G213" s="37">
        <v>12</v>
      </c>
      <c r="H213" s="62">
        <v>3</v>
      </c>
      <c r="I213" s="62">
        <v>3.7360000000000002</v>
      </c>
      <c r="J213" s="37">
        <v>70</v>
      </c>
      <c r="K213" s="37" t="s">
        <v>118</v>
      </c>
      <c r="L213" s="37" t="s">
        <v>119</v>
      </c>
      <c r="M213" s="38" t="s">
        <v>86</v>
      </c>
      <c r="N213" s="38"/>
      <c r="O213" s="37">
        <v>180</v>
      </c>
      <c r="P213" s="35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3" s="312"/>
      <c r="R213" s="312"/>
      <c r="S213" s="312"/>
      <c r="T213" s="313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41" t="s">
        <v>322</v>
      </c>
      <c r="AG213" s="81"/>
      <c r="AJ213" s="87" t="s">
        <v>120</v>
      </c>
      <c r="AK213" s="87">
        <v>14</v>
      </c>
      <c r="BB213" s="242" t="s">
        <v>117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323</v>
      </c>
      <c r="B214" s="63" t="s">
        <v>324</v>
      </c>
      <c r="C214" s="36">
        <v>4301132243</v>
      </c>
      <c r="D214" s="310">
        <v>4620207491195</v>
      </c>
      <c r="E214" s="310"/>
      <c r="F214" s="62">
        <v>0.23</v>
      </c>
      <c r="G214" s="37">
        <v>12</v>
      </c>
      <c r="H214" s="62">
        <v>2.76</v>
      </c>
      <c r="I214" s="62">
        <v>3.1480000000000001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35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4" s="312"/>
      <c r="R214" s="312"/>
      <c r="S214" s="312"/>
      <c r="T214" s="31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3" t="s">
        <v>325</v>
      </c>
      <c r="AG214" s="81"/>
      <c r="AJ214" s="87" t="s">
        <v>89</v>
      </c>
      <c r="AK214" s="87">
        <v>1</v>
      </c>
      <c r="BB214" s="244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20"/>
      <c r="P215" s="317" t="s">
        <v>40</v>
      </c>
      <c r="Q215" s="318"/>
      <c r="R215" s="318"/>
      <c r="S215" s="318"/>
      <c r="T215" s="318"/>
      <c r="U215" s="318"/>
      <c r="V215" s="319"/>
      <c r="W215" s="42" t="s">
        <v>39</v>
      </c>
      <c r="X215" s="43">
        <f>IFERROR(SUM(X211:X214),"0")</f>
        <v>0</v>
      </c>
      <c r="Y215" s="43">
        <f>IFERROR(SUM(Y211:Y214),"0")</f>
        <v>0</v>
      </c>
      <c r="Z215" s="43">
        <f>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20"/>
      <c r="P216" s="317" t="s">
        <v>40</v>
      </c>
      <c r="Q216" s="318"/>
      <c r="R216" s="318"/>
      <c r="S216" s="318"/>
      <c r="T216" s="318"/>
      <c r="U216" s="318"/>
      <c r="V216" s="319"/>
      <c r="W216" s="42" t="s">
        <v>0</v>
      </c>
      <c r="X216" s="43">
        <f>IFERROR(SUMPRODUCT(X211:X214*H211:H214),"0")</f>
        <v>0</v>
      </c>
      <c r="Y216" s="43">
        <f>IFERROR(SUMPRODUCT(Y211:Y214*H211:H214),"0")</f>
        <v>0</v>
      </c>
      <c r="Z216" s="42"/>
      <c r="AA216" s="67"/>
      <c r="AB216" s="67"/>
      <c r="AC216" s="67"/>
    </row>
    <row r="217" spans="1:68" ht="27.75" customHeight="1" x14ac:dyDescent="0.2">
      <c r="A217" s="334" t="s">
        <v>326</v>
      </c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  <c r="Z217" s="334"/>
      <c r="AA217" s="54"/>
      <c r="AB217" s="54"/>
      <c r="AC217" s="54"/>
    </row>
    <row r="218" spans="1:68" ht="16.5" customHeight="1" x14ac:dyDescent="0.25">
      <c r="A218" s="335" t="s">
        <v>327</v>
      </c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  <c r="AA218" s="65"/>
      <c r="AB218" s="65"/>
      <c r="AC218" s="82"/>
    </row>
    <row r="219" spans="1:68" ht="14.25" customHeight="1" x14ac:dyDescent="0.25">
      <c r="A219" s="327" t="s">
        <v>113</v>
      </c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  <c r="V219" s="327"/>
      <c r="W219" s="327"/>
      <c r="X219" s="327"/>
      <c r="Y219" s="327"/>
      <c r="Z219" s="327"/>
      <c r="AA219" s="66"/>
      <c r="AB219" s="66"/>
      <c r="AC219" s="83"/>
    </row>
    <row r="220" spans="1:68" ht="27" customHeight="1" x14ac:dyDescent="0.25">
      <c r="A220" s="63" t="s">
        <v>328</v>
      </c>
      <c r="B220" s="63" t="s">
        <v>329</v>
      </c>
      <c r="C220" s="36">
        <v>4301132227</v>
      </c>
      <c r="D220" s="310">
        <v>4620207491133</v>
      </c>
      <c r="E220" s="310"/>
      <c r="F220" s="62">
        <v>0.23</v>
      </c>
      <c r="G220" s="37">
        <v>12</v>
      </c>
      <c r="H220" s="62">
        <v>2.76</v>
      </c>
      <c r="I220" s="62">
        <v>2.98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34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20" s="312"/>
      <c r="R220" s="312"/>
      <c r="S220" s="312"/>
      <c r="T220" s="313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5" t="s">
        <v>330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20"/>
      <c r="P221" s="317" t="s">
        <v>40</v>
      </c>
      <c r="Q221" s="318"/>
      <c r="R221" s="318"/>
      <c r="S221" s="318"/>
      <c r="T221" s="318"/>
      <c r="U221" s="318"/>
      <c r="V221" s="31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20"/>
      <c r="P222" s="317" t="s">
        <v>40</v>
      </c>
      <c r="Q222" s="318"/>
      <c r="R222" s="318"/>
      <c r="S222" s="318"/>
      <c r="T222" s="318"/>
      <c r="U222" s="318"/>
      <c r="V222" s="31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4.25" customHeight="1" x14ac:dyDescent="0.25">
      <c r="A223" s="327" t="s">
        <v>149</v>
      </c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  <c r="V223" s="327"/>
      <c r="W223" s="327"/>
      <c r="X223" s="327"/>
      <c r="Y223" s="327"/>
      <c r="Z223" s="327"/>
      <c r="AA223" s="66"/>
      <c r="AB223" s="66"/>
      <c r="AC223" s="83"/>
    </row>
    <row r="224" spans="1:68" ht="27" customHeight="1" x14ac:dyDescent="0.25">
      <c r="A224" s="63" t="s">
        <v>331</v>
      </c>
      <c r="B224" s="63" t="s">
        <v>332</v>
      </c>
      <c r="C224" s="36">
        <v>4301135834</v>
      </c>
      <c r="D224" s="310">
        <v>4620207491188</v>
      </c>
      <c r="E224" s="310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4" s="312"/>
      <c r="R224" s="312"/>
      <c r="S224" s="312"/>
      <c r="T224" s="313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7" t="s">
        <v>333</v>
      </c>
      <c r="AG224" s="81"/>
      <c r="AJ224" s="87" t="s">
        <v>89</v>
      </c>
      <c r="AK224" s="87">
        <v>1</v>
      </c>
      <c r="BB224" s="248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t="27" customHeight="1" x14ac:dyDescent="0.25">
      <c r="A225" s="63" t="s">
        <v>334</v>
      </c>
      <c r="B225" s="63" t="s">
        <v>335</v>
      </c>
      <c r="C225" s="36">
        <v>4301135696</v>
      </c>
      <c r="D225" s="310">
        <v>4620207490235</v>
      </c>
      <c r="E225" s="31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119</v>
      </c>
      <c r="M225" s="38" t="s">
        <v>86</v>
      </c>
      <c r="N225" s="38"/>
      <c r="O225" s="37">
        <v>180</v>
      </c>
      <c r="P225" s="34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5" s="312"/>
      <c r="R225" s="312"/>
      <c r="S225" s="312"/>
      <c r="T225" s="31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9" t="s">
        <v>336</v>
      </c>
      <c r="AG225" s="81"/>
      <c r="AJ225" s="87" t="s">
        <v>120</v>
      </c>
      <c r="AK225" s="87">
        <v>14</v>
      </c>
      <c r="BB225" s="250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customHeight="1" x14ac:dyDescent="0.25">
      <c r="A226" s="63" t="s">
        <v>337</v>
      </c>
      <c r="B226" s="63" t="s">
        <v>338</v>
      </c>
      <c r="C226" s="36">
        <v>4301135697</v>
      </c>
      <c r="D226" s="310">
        <v>4620207490259</v>
      </c>
      <c r="E226" s="31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119</v>
      </c>
      <c r="M226" s="38" t="s">
        <v>86</v>
      </c>
      <c r="N226" s="38"/>
      <c r="O226" s="37">
        <v>180</v>
      </c>
      <c r="P226" s="3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6" s="312"/>
      <c r="R226" s="312"/>
      <c r="S226" s="312"/>
      <c r="T226" s="31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1" t="s">
        <v>339</v>
      </c>
      <c r="AG226" s="81"/>
      <c r="AJ226" s="87" t="s">
        <v>120</v>
      </c>
      <c r="AK226" s="87">
        <v>14</v>
      </c>
      <c r="BB226" s="252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20"/>
      <c r="P227" s="317" t="s">
        <v>40</v>
      </c>
      <c r="Q227" s="318"/>
      <c r="R227" s="318"/>
      <c r="S227" s="318"/>
      <c r="T227" s="318"/>
      <c r="U227" s="318"/>
      <c r="V227" s="319"/>
      <c r="W227" s="42" t="s">
        <v>39</v>
      </c>
      <c r="X227" s="43">
        <f>IFERROR(SUM(X224:X226),"0")</f>
        <v>0</v>
      </c>
      <c r="Y227" s="43">
        <f>IFERROR(SUM(Y224:Y226),"0")</f>
        <v>0</v>
      </c>
      <c r="Z227" s="43">
        <f>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20"/>
      <c r="P228" s="317" t="s">
        <v>40</v>
      </c>
      <c r="Q228" s="318"/>
      <c r="R228" s="318"/>
      <c r="S228" s="318"/>
      <c r="T228" s="318"/>
      <c r="U228" s="318"/>
      <c r="V228" s="319"/>
      <c r="W228" s="42" t="s">
        <v>0</v>
      </c>
      <c r="X228" s="43">
        <f>IFERROR(SUMPRODUCT(X224:X226*H224:H226),"0")</f>
        <v>0</v>
      </c>
      <c r="Y228" s="43">
        <f>IFERROR(SUMPRODUCT(Y224:Y226*H224:H226),"0")</f>
        <v>0</v>
      </c>
      <c r="Z228" s="42"/>
      <c r="AA228" s="67"/>
      <c r="AB228" s="67"/>
      <c r="AC228" s="67"/>
    </row>
    <row r="229" spans="1:68" ht="16.5" customHeight="1" x14ac:dyDescent="0.25">
      <c r="A229" s="335" t="s">
        <v>340</v>
      </c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  <c r="AA229" s="65"/>
      <c r="AB229" s="65"/>
      <c r="AC229" s="82"/>
    </row>
    <row r="230" spans="1:68" ht="14.25" customHeight="1" x14ac:dyDescent="0.25">
      <c r="A230" s="327" t="s">
        <v>149</v>
      </c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66"/>
      <c r="AB230" s="66"/>
      <c r="AC230" s="83"/>
    </row>
    <row r="231" spans="1:68" ht="27" customHeight="1" x14ac:dyDescent="0.25">
      <c r="A231" s="63" t="s">
        <v>341</v>
      </c>
      <c r="B231" s="63" t="s">
        <v>342</v>
      </c>
      <c r="C231" s="36">
        <v>4301135854</v>
      </c>
      <c r="D231" s="310">
        <v>4620207491706</v>
      </c>
      <c r="E231" s="310"/>
      <c r="F231" s="62">
        <v>0.2</v>
      </c>
      <c r="G231" s="37">
        <v>12</v>
      </c>
      <c r="H231" s="62">
        <v>2.4</v>
      </c>
      <c r="I231" s="62">
        <v>3.1036000000000001</v>
      </c>
      <c r="J231" s="37">
        <v>70</v>
      </c>
      <c r="K231" s="37" t="s">
        <v>118</v>
      </c>
      <c r="L231" s="37" t="s">
        <v>88</v>
      </c>
      <c r="M231" s="38" t="s">
        <v>86</v>
      </c>
      <c r="N231" s="38"/>
      <c r="O231" s="37">
        <v>180</v>
      </c>
      <c r="P231" s="34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31" s="312"/>
      <c r="R231" s="312"/>
      <c r="S231" s="312"/>
      <c r="T231" s="31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53" t="s">
        <v>343</v>
      </c>
      <c r="AG231" s="81"/>
      <c r="AJ231" s="87" t="s">
        <v>89</v>
      </c>
      <c r="AK231" s="87">
        <v>1</v>
      </c>
      <c r="BB231" s="254" t="s">
        <v>117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27" customHeight="1" x14ac:dyDescent="0.25">
      <c r="A232" s="63" t="s">
        <v>344</v>
      </c>
      <c r="B232" s="63" t="s">
        <v>345</v>
      </c>
      <c r="C232" s="36">
        <v>4301135895</v>
      </c>
      <c r="D232" s="310">
        <v>4620207491522</v>
      </c>
      <c r="E232" s="310"/>
      <c r="F232" s="62">
        <v>0.28000000000000003</v>
      </c>
      <c r="G232" s="37">
        <v>12</v>
      </c>
      <c r="H232" s="62">
        <v>3.36</v>
      </c>
      <c r="I232" s="62">
        <v>4.0636000000000001</v>
      </c>
      <c r="J232" s="37">
        <v>70</v>
      </c>
      <c r="K232" s="37" t="s">
        <v>118</v>
      </c>
      <c r="L232" s="37" t="s">
        <v>88</v>
      </c>
      <c r="M232" s="38" t="s">
        <v>86</v>
      </c>
      <c r="N232" s="38"/>
      <c r="O232" s="37">
        <v>180</v>
      </c>
      <c r="P232" s="34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2" s="312"/>
      <c r="R232" s="312"/>
      <c r="S232" s="312"/>
      <c r="T232" s="31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55" t="s">
        <v>346</v>
      </c>
      <c r="AG232" s="81"/>
      <c r="AJ232" s="87" t="s">
        <v>89</v>
      </c>
      <c r="AK232" s="87">
        <v>1</v>
      </c>
      <c r="BB232" s="256" t="s">
        <v>117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20"/>
      <c r="P233" s="317" t="s">
        <v>40</v>
      </c>
      <c r="Q233" s="318"/>
      <c r="R233" s="318"/>
      <c r="S233" s="318"/>
      <c r="T233" s="318"/>
      <c r="U233" s="318"/>
      <c r="V233" s="319"/>
      <c r="W233" s="42" t="s">
        <v>39</v>
      </c>
      <c r="X233" s="43">
        <f>IFERROR(SUM(X231:X232),"0")</f>
        <v>0</v>
      </c>
      <c r="Y233" s="43">
        <f>IFERROR(SUM(Y231:Y232),"0")</f>
        <v>0</v>
      </c>
      <c r="Z233" s="43">
        <f>IFERROR(IF(Z231="",0,Z231),"0")+IFERROR(IF(Z232="",0,Z232),"0")</f>
        <v>0</v>
      </c>
      <c r="AA233" s="67"/>
      <c r="AB233" s="67"/>
      <c r="AC233" s="67"/>
    </row>
    <row r="234" spans="1:68" x14ac:dyDescent="0.2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20"/>
      <c r="P234" s="317" t="s">
        <v>40</v>
      </c>
      <c r="Q234" s="318"/>
      <c r="R234" s="318"/>
      <c r="S234" s="318"/>
      <c r="T234" s="318"/>
      <c r="U234" s="318"/>
      <c r="V234" s="319"/>
      <c r="W234" s="42" t="s">
        <v>0</v>
      </c>
      <c r="X234" s="43">
        <f>IFERROR(SUMPRODUCT(X231:X232*H231:H232),"0")</f>
        <v>0</v>
      </c>
      <c r="Y234" s="43">
        <f>IFERROR(SUMPRODUCT(Y231:Y232*H231:H232),"0")</f>
        <v>0</v>
      </c>
      <c r="Z234" s="42"/>
      <c r="AA234" s="67"/>
      <c r="AB234" s="67"/>
      <c r="AC234" s="67"/>
    </row>
    <row r="235" spans="1:68" ht="16.5" customHeight="1" x14ac:dyDescent="0.25">
      <c r="A235" s="335" t="s">
        <v>347</v>
      </c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  <c r="AA235" s="65"/>
      <c r="AB235" s="65"/>
      <c r="AC235" s="82"/>
    </row>
    <row r="236" spans="1:68" ht="14.25" customHeight="1" x14ac:dyDescent="0.25">
      <c r="A236" s="327" t="s">
        <v>82</v>
      </c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66"/>
      <c r="AB236" s="66"/>
      <c r="AC236" s="83"/>
    </row>
    <row r="237" spans="1:68" ht="27" customHeight="1" x14ac:dyDescent="0.25">
      <c r="A237" s="63" t="s">
        <v>348</v>
      </c>
      <c r="B237" s="63" t="s">
        <v>349</v>
      </c>
      <c r="C237" s="36">
        <v>4301071097</v>
      </c>
      <c r="D237" s="310">
        <v>4620207491096</v>
      </c>
      <c r="E237" s="310"/>
      <c r="F237" s="62">
        <v>1</v>
      </c>
      <c r="G237" s="37">
        <v>5</v>
      </c>
      <c r="H237" s="62">
        <v>5</v>
      </c>
      <c r="I237" s="62">
        <v>5.23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7" s="312"/>
      <c r="R237" s="312"/>
      <c r="S237" s="312"/>
      <c r="T237" s="31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IFERROR(IF(X237="","",X237*0.0155),"")</f>
        <v>0</v>
      </c>
      <c r="AA237" s="68" t="s">
        <v>46</v>
      </c>
      <c r="AB237" s="69" t="s">
        <v>46</v>
      </c>
      <c r="AC237" s="257" t="s">
        <v>350</v>
      </c>
      <c r="AG237" s="81"/>
      <c r="AJ237" s="87" t="s">
        <v>120</v>
      </c>
      <c r="AK237" s="87">
        <v>12</v>
      </c>
      <c r="BB237" s="258" t="s">
        <v>70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20"/>
      <c r="P238" s="317" t="s">
        <v>40</v>
      </c>
      <c r="Q238" s="318"/>
      <c r="R238" s="318"/>
      <c r="S238" s="318"/>
      <c r="T238" s="318"/>
      <c r="U238" s="318"/>
      <c r="V238" s="31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20"/>
      <c r="P239" s="317" t="s">
        <v>40</v>
      </c>
      <c r="Q239" s="318"/>
      <c r="R239" s="318"/>
      <c r="S239" s="318"/>
      <c r="T239" s="318"/>
      <c r="U239" s="318"/>
      <c r="V239" s="31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34" t="s">
        <v>351</v>
      </c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  <c r="Z240" s="334"/>
      <c r="AA240" s="54"/>
      <c r="AB240" s="54"/>
      <c r="AC240" s="54"/>
    </row>
    <row r="241" spans="1:68" ht="16.5" customHeight="1" x14ac:dyDescent="0.25">
      <c r="A241" s="335" t="s">
        <v>352</v>
      </c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  <c r="AA241" s="65"/>
      <c r="AB241" s="65"/>
      <c r="AC241" s="82"/>
    </row>
    <row r="242" spans="1:68" ht="14.25" customHeight="1" x14ac:dyDescent="0.25">
      <c r="A242" s="327" t="s">
        <v>82</v>
      </c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  <c r="V242" s="327"/>
      <c r="W242" s="327"/>
      <c r="X242" s="327"/>
      <c r="Y242" s="327"/>
      <c r="Z242" s="327"/>
      <c r="AA242" s="66"/>
      <c r="AB242" s="66"/>
      <c r="AC242" s="83"/>
    </row>
    <row r="243" spans="1:68" ht="27" customHeight="1" x14ac:dyDescent="0.25">
      <c r="A243" s="63" t="s">
        <v>353</v>
      </c>
      <c r="B243" s="63" t="s">
        <v>354</v>
      </c>
      <c r="C243" s="36">
        <v>4301071036</v>
      </c>
      <c r="D243" s="310">
        <v>4607111036162</v>
      </c>
      <c r="E243" s="310"/>
      <c r="F243" s="62">
        <v>0.8</v>
      </c>
      <c r="G243" s="37">
        <v>8</v>
      </c>
      <c r="H243" s="62">
        <v>6.4</v>
      </c>
      <c r="I243" s="62">
        <v>6.6811999999999996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90</v>
      </c>
      <c r="P243" s="34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3" s="312"/>
      <c r="R243" s="312"/>
      <c r="S243" s="312"/>
      <c r="T243" s="31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59" t="s">
        <v>355</v>
      </c>
      <c r="AG243" s="81"/>
      <c r="AJ243" s="87" t="s">
        <v>89</v>
      </c>
      <c r="AK243" s="87">
        <v>1</v>
      </c>
      <c r="BB243" s="260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20"/>
      <c r="P244" s="317" t="s">
        <v>40</v>
      </c>
      <c r="Q244" s="318"/>
      <c r="R244" s="318"/>
      <c r="S244" s="318"/>
      <c r="T244" s="318"/>
      <c r="U244" s="318"/>
      <c r="V244" s="31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20"/>
      <c r="P245" s="317" t="s">
        <v>40</v>
      </c>
      <c r="Q245" s="318"/>
      <c r="R245" s="318"/>
      <c r="S245" s="318"/>
      <c r="T245" s="318"/>
      <c r="U245" s="318"/>
      <c r="V245" s="31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customHeight="1" x14ac:dyDescent="0.2">
      <c r="A246" s="334" t="s">
        <v>356</v>
      </c>
      <c r="B246" s="334"/>
      <c r="C246" s="334"/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  <c r="Z246" s="334"/>
      <c r="AA246" s="54"/>
      <c r="AB246" s="54"/>
      <c r="AC246" s="54"/>
    </row>
    <row r="247" spans="1:68" ht="16.5" customHeight="1" x14ac:dyDescent="0.25">
      <c r="A247" s="335" t="s">
        <v>357</v>
      </c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65"/>
      <c r="AB247" s="65"/>
      <c r="AC247" s="82"/>
    </row>
    <row r="248" spans="1:68" ht="14.25" customHeight="1" x14ac:dyDescent="0.25">
      <c r="A248" s="327" t="s">
        <v>358</v>
      </c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66"/>
      <c r="AB248" s="66"/>
      <c r="AC248" s="83"/>
    </row>
    <row r="249" spans="1:68" ht="27" customHeight="1" x14ac:dyDescent="0.25">
      <c r="A249" s="63" t="s">
        <v>359</v>
      </c>
      <c r="B249" s="63" t="s">
        <v>360</v>
      </c>
      <c r="C249" s="36">
        <v>4301133004</v>
      </c>
      <c r="D249" s="310">
        <v>4607111039774</v>
      </c>
      <c r="E249" s="310"/>
      <c r="F249" s="62">
        <v>0.25</v>
      </c>
      <c r="G249" s="37">
        <v>12</v>
      </c>
      <c r="H249" s="62">
        <v>3</v>
      </c>
      <c r="I249" s="62">
        <v>3.22</v>
      </c>
      <c r="J249" s="37">
        <v>70</v>
      </c>
      <c r="K249" s="37" t="s">
        <v>118</v>
      </c>
      <c r="L249" s="37" t="s">
        <v>88</v>
      </c>
      <c r="M249" s="38" t="s">
        <v>86</v>
      </c>
      <c r="N249" s="38"/>
      <c r="O249" s="37">
        <v>180</v>
      </c>
      <c r="P249" s="3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9" s="312"/>
      <c r="R249" s="312"/>
      <c r="S249" s="312"/>
      <c r="T249" s="31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61" t="s">
        <v>361</v>
      </c>
      <c r="AG249" s="81"/>
      <c r="AJ249" s="87" t="s">
        <v>89</v>
      </c>
      <c r="AK249" s="87">
        <v>1</v>
      </c>
      <c r="BB249" s="262" t="s">
        <v>117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20"/>
      <c r="P250" s="317" t="s">
        <v>40</v>
      </c>
      <c r="Q250" s="318"/>
      <c r="R250" s="318"/>
      <c r="S250" s="318"/>
      <c r="T250" s="318"/>
      <c r="U250" s="318"/>
      <c r="V250" s="319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20"/>
      <c r="P251" s="317" t="s">
        <v>40</v>
      </c>
      <c r="Q251" s="318"/>
      <c r="R251" s="318"/>
      <c r="S251" s="318"/>
      <c r="T251" s="318"/>
      <c r="U251" s="318"/>
      <c r="V251" s="319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27" t="s">
        <v>149</v>
      </c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  <c r="AA252" s="66"/>
      <c r="AB252" s="66"/>
      <c r="AC252" s="83"/>
    </row>
    <row r="253" spans="1:68" ht="37.5" customHeight="1" x14ac:dyDescent="0.25">
      <c r="A253" s="63" t="s">
        <v>362</v>
      </c>
      <c r="B253" s="63" t="s">
        <v>363</v>
      </c>
      <c r="C253" s="36">
        <v>4301135400</v>
      </c>
      <c r="D253" s="310">
        <v>4607111039361</v>
      </c>
      <c r="E253" s="310"/>
      <c r="F253" s="62">
        <v>0.25</v>
      </c>
      <c r="G253" s="37">
        <v>12</v>
      </c>
      <c r="H253" s="62">
        <v>3</v>
      </c>
      <c r="I253" s="62">
        <v>3.7035999999999998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3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3" s="312"/>
      <c r="R253" s="312"/>
      <c r="S253" s="312"/>
      <c r="T253" s="31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63" t="s">
        <v>361</v>
      </c>
      <c r="AG253" s="81"/>
      <c r="AJ253" s="87" t="s">
        <v>89</v>
      </c>
      <c r="AK253" s="87">
        <v>1</v>
      </c>
      <c r="BB253" s="264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20"/>
      <c r="P254" s="317" t="s">
        <v>40</v>
      </c>
      <c r="Q254" s="318"/>
      <c r="R254" s="318"/>
      <c r="S254" s="318"/>
      <c r="T254" s="318"/>
      <c r="U254" s="318"/>
      <c r="V254" s="319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20"/>
      <c r="P255" s="317" t="s">
        <v>40</v>
      </c>
      <c r="Q255" s="318"/>
      <c r="R255" s="318"/>
      <c r="S255" s="318"/>
      <c r="T255" s="318"/>
      <c r="U255" s="318"/>
      <c r="V255" s="319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customHeight="1" x14ac:dyDescent="0.2">
      <c r="A256" s="334" t="s">
        <v>364</v>
      </c>
      <c r="B256" s="334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  <c r="Z256" s="334"/>
      <c r="AA256" s="54"/>
      <c r="AB256" s="54"/>
      <c r="AC256" s="54"/>
    </row>
    <row r="257" spans="1:68" ht="16.5" customHeight="1" x14ac:dyDescent="0.25">
      <c r="A257" s="335" t="s">
        <v>364</v>
      </c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  <c r="AA257" s="65"/>
      <c r="AB257" s="65"/>
      <c r="AC257" s="82"/>
    </row>
    <row r="258" spans="1:68" ht="14.25" customHeight="1" x14ac:dyDescent="0.25">
      <c r="A258" s="327" t="s">
        <v>113</v>
      </c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27"/>
      <c r="AA258" s="66"/>
      <c r="AB258" s="66"/>
      <c r="AC258" s="83"/>
    </row>
    <row r="259" spans="1:68" ht="27" customHeight="1" x14ac:dyDescent="0.25">
      <c r="A259" s="63" t="s">
        <v>365</v>
      </c>
      <c r="B259" s="63" t="s">
        <v>366</v>
      </c>
      <c r="C259" s="36">
        <v>4301132228</v>
      </c>
      <c r="D259" s="310">
        <v>4640242181950</v>
      </c>
      <c r="E259" s="310"/>
      <c r="F259" s="62">
        <v>0.23</v>
      </c>
      <c r="G259" s="37">
        <v>12</v>
      </c>
      <c r="H259" s="62">
        <v>2.76</v>
      </c>
      <c r="I259" s="62">
        <v>3.22</v>
      </c>
      <c r="J259" s="37">
        <v>70</v>
      </c>
      <c r="K259" s="37" t="s">
        <v>118</v>
      </c>
      <c r="L259" s="37" t="s">
        <v>88</v>
      </c>
      <c r="M259" s="38" t="s">
        <v>86</v>
      </c>
      <c r="N259" s="38"/>
      <c r="O259" s="37">
        <v>365</v>
      </c>
      <c r="P259" s="33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9" s="312"/>
      <c r="R259" s="312"/>
      <c r="S259" s="312"/>
      <c r="T259" s="31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IFERROR(IF(X259="","",X259*0.01788),"")</f>
        <v>0</v>
      </c>
      <c r="AA259" s="68" t="s">
        <v>46</v>
      </c>
      <c r="AB259" s="69" t="s">
        <v>46</v>
      </c>
      <c r="AC259" s="265" t="s">
        <v>367</v>
      </c>
      <c r="AG259" s="81"/>
      <c r="AJ259" s="87" t="s">
        <v>89</v>
      </c>
      <c r="AK259" s="87">
        <v>1</v>
      </c>
      <c r="BB259" s="266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20"/>
      <c r="P260" s="317" t="s">
        <v>40</v>
      </c>
      <c r="Q260" s="318"/>
      <c r="R260" s="318"/>
      <c r="S260" s="318"/>
      <c r="T260" s="318"/>
      <c r="U260" s="318"/>
      <c r="V260" s="319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x14ac:dyDescent="0.2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20"/>
      <c r="P261" s="317" t="s">
        <v>40</v>
      </c>
      <c r="Q261" s="318"/>
      <c r="R261" s="318"/>
      <c r="S261" s="318"/>
      <c r="T261" s="318"/>
      <c r="U261" s="318"/>
      <c r="V261" s="319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customHeight="1" x14ac:dyDescent="0.25">
      <c r="A262" s="327" t="s">
        <v>145</v>
      </c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27"/>
      <c r="AA262" s="66"/>
      <c r="AB262" s="66"/>
      <c r="AC262" s="83"/>
    </row>
    <row r="263" spans="1:68" ht="27" customHeight="1" x14ac:dyDescent="0.25">
      <c r="A263" s="63" t="s">
        <v>368</v>
      </c>
      <c r="B263" s="63" t="s">
        <v>369</v>
      </c>
      <c r="C263" s="36">
        <v>4301136098</v>
      </c>
      <c r="D263" s="310">
        <v>4640242181943</v>
      </c>
      <c r="E263" s="310"/>
      <c r="F263" s="62">
        <v>0.09</v>
      </c>
      <c r="G263" s="37">
        <v>24</v>
      </c>
      <c r="H263" s="62">
        <v>2.16</v>
      </c>
      <c r="I263" s="62">
        <v>2.34</v>
      </c>
      <c r="J263" s="37">
        <v>126</v>
      </c>
      <c r="K263" s="37" t="s">
        <v>118</v>
      </c>
      <c r="L263" s="37" t="s">
        <v>88</v>
      </c>
      <c r="M263" s="38" t="s">
        <v>86</v>
      </c>
      <c r="N263" s="38"/>
      <c r="O263" s="37">
        <v>180</v>
      </c>
      <c r="P263" s="33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3" s="312"/>
      <c r="R263" s="312"/>
      <c r="S263" s="312"/>
      <c r="T263" s="31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7" t="s">
        <v>370</v>
      </c>
      <c r="AG263" s="81"/>
      <c r="AJ263" s="87" t="s">
        <v>89</v>
      </c>
      <c r="AK263" s="87">
        <v>1</v>
      </c>
      <c r="BB263" s="268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20"/>
      <c r="P264" s="317" t="s">
        <v>40</v>
      </c>
      <c r="Q264" s="318"/>
      <c r="R264" s="318"/>
      <c r="S264" s="318"/>
      <c r="T264" s="318"/>
      <c r="U264" s="318"/>
      <c r="V264" s="319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x14ac:dyDescent="0.2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20"/>
      <c r="P265" s="317" t="s">
        <v>40</v>
      </c>
      <c r="Q265" s="318"/>
      <c r="R265" s="318"/>
      <c r="S265" s="318"/>
      <c r="T265" s="318"/>
      <c r="U265" s="318"/>
      <c r="V265" s="319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27.75" customHeight="1" x14ac:dyDescent="0.2">
      <c r="A266" s="334" t="s">
        <v>286</v>
      </c>
      <c r="B266" s="334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  <c r="Z266" s="334"/>
      <c r="AA266" s="54"/>
      <c r="AB266" s="54"/>
      <c r="AC266" s="54"/>
    </row>
    <row r="267" spans="1:68" ht="16.5" customHeight="1" x14ac:dyDescent="0.25">
      <c r="A267" s="335" t="s">
        <v>286</v>
      </c>
      <c r="B267" s="335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  <c r="AA267" s="65"/>
      <c r="AB267" s="65"/>
      <c r="AC267" s="82"/>
    </row>
    <row r="268" spans="1:68" ht="14.25" customHeight="1" x14ac:dyDescent="0.25">
      <c r="A268" s="327" t="s">
        <v>82</v>
      </c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27"/>
      <c r="AA268" s="66"/>
      <c r="AB268" s="66"/>
      <c r="AC268" s="83"/>
    </row>
    <row r="269" spans="1:68" ht="27" customHeight="1" x14ac:dyDescent="0.25">
      <c r="A269" s="63" t="s">
        <v>371</v>
      </c>
      <c r="B269" s="63" t="s">
        <v>372</v>
      </c>
      <c r="C269" s="36">
        <v>4301071014</v>
      </c>
      <c r="D269" s="310">
        <v>4640242181264</v>
      </c>
      <c r="E269" s="310"/>
      <c r="F269" s="62">
        <v>0.7</v>
      </c>
      <c r="G269" s="37">
        <v>10</v>
      </c>
      <c r="H269" s="62">
        <v>7</v>
      </c>
      <c r="I269" s="62">
        <v>7.28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3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9" s="312"/>
      <c r="R269" s="312"/>
      <c r="S269" s="312"/>
      <c r="T269" s="313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373</v>
      </c>
      <c r="AG269" s="81"/>
      <c r="AJ269" s="87" t="s">
        <v>89</v>
      </c>
      <c r="AK269" s="87">
        <v>1</v>
      </c>
      <c r="BB269" s="270" t="s">
        <v>70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374</v>
      </c>
      <c r="B270" s="63" t="s">
        <v>375</v>
      </c>
      <c r="C270" s="36">
        <v>4301071141</v>
      </c>
      <c r="D270" s="310">
        <v>4620207491980</v>
      </c>
      <c r="E270" s="310"/>
      <c r="F270" s="62">
        <v>0.7</v>
      </c>
      <c r="G270" s="37">
        <v>10</v>
      </c>
      <c r="H270" s="62">
        <v>7</v>
      </c>
      <c r="I270" s="62">
        <v>7.28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33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70" s="312"/>
      <c r="R270" s="312"/>
      <c r="S270" s="312"/>
      <c r="T270" s="313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89</v>
      </c>
      <c r="AK270" s="87">
        <v>1</v>
      </c>
      <c r="BB270" s="272" t="s">
        <v>70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x14ac:dyDescent="0.2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20"/>
      <c r="P271" s="317" t="s">
        <v>40</v>
      </c>
      <c r="Q271" s="318"/>
      <c r="R271" s="318"/>
      <c r="S271" s="318"/>
      <c r="T271" s="318"/>
      <c r="U271" s="318"/>
      <c r="V271" s="319"/>
      <c r="W271" s="42" t="s">
        <v>39</v>
      </c>
      <c r="X271" s="43">
        <f>IFERROR(SUM(X269:X270),"0")</f>
        <v>0</v>
      </c>
      <c r="Y271" s="43">
        <f>IFERROR(SUM(Y269:Y270),"0")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x14ac:dyDescent="0.2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20"/>
      <c r="P272" s="317" t="s">
        <v>40</v>
      </c>
      <c r="Q272" s="318"/>
      <c r="R272" s="318"/>
      <c r="S272" s="318"/>
      <c r="T272" s="318"/>
      <c r="U272" s="318"/>
      <c r="V272" s="319"/>
      <c r="W272" s="42" t="s">
        <v>0</v>
      </c>
      <c r="X272" s="43">
        <f>IFERROR(SUMPRODUCT(X269:X270*H269:H270),"0")</f>
        <v>0</v>
      </c>
      <c r="Y272" s="43">
        <f>IFERROR(SUMPRODUCT(Y269:Y270*H269:H270),"0")</f>
        <v>0</v>
      </c>
      <c r="Z272" s="42"/>
      <c r="AA272" s="67"/>
      <c r="AB272" s="67"/>
      <c r="AC272" s="67"/>
    </row>
    <row r="273" spans="1:68" ht="14.25" customHeight="1" x14ac:dyDescent="0.25">
      <c r="A273" s="327" t="s">
        <v>145</v>
      </c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  <c r="AA273" s="66"/>
      <c r="AB273" s="66"/>
      <c r="AC273" s="83"/>
    </row>
    <row r="274" spans="1:68" ht="27" customHeight="1" x14ac:dyDescent="0.25">
      <c r="A274" s="63" t="s">
        <v>377</v>
      </c>
      <c r="B274" s="63" t="s">
        <v>378</v>
      </c>
      <c r="C274" s="36">
        <v>4301136116</v>
      </c>
      <c r="D274" s="310">
        <v>4620207492147</v>
      </c>
      <c r="E274" s="310"/>
      <c r="F274" s="62">
        <v>2.7</v>
      </c>
      <c r="G274" s="37">
        <v>1</v>
      </c>
      <c r="H274" s="62">
        <v>2.7</v>
      </c>
      <c r="I274" s="62">
        <v>2.8906000000000001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31" t="s">
        <v>379</v>
      </c>
      <c r="Q274" s="312"/>
      <c r="R274" s="312"/>
      <c r="S274" s="312"/>
      <c r="T274" s="313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197</v>
      </c>
      <c r="AG274" s="81"/>
      <c r="AJ274" s="87" t="s">
        <v>89</v>
      </c>
      <c r="AK274" s="87">
        <v>1</v>
      </c>
      <c r="BB274" s="274" t="s">
        <v>117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4301136112</v>
      </c>
      <c r="D275" s="310">
        <v>4620207492154</v>
      </c>
      <c r="E275" s="310"/>
      <c r="F275" s="62">
        <v>5</v>
      </c>
      <c r="G275" s="37">
        <v>1</v>
      </c>
      <c r="H275" s="62">
        <v>5</v>
      </c>
      <c r="I275" s="62">
        <v>5.2350000000000003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332" t="s">
        <v>382</v>
      </c>
      <c r="Q275" s="312"/>
      <c r="R275" s="312"/>
      <c r="S275" s="312"/>
      <c r="T275" s="313"/>
      <c r="U275" s="39" t="s">
        <v>46</v>
      </c>
      <c r="V275" s="39" t="s">
        <v>46</v>
      </c>
      <c r="W275" s="40" t="s">
        <v>39</v>
      </c>
      <c r="X275" s="58">
        <v>0</v>
      </c>
      <c r="Y275" s="55">
        <f>IFERROR(IF(X275="","",X275),"")</f>
        <v>0</v>
      </c>
      <c r="Z275" s="41">
        <f>IFERROR(IF(X275="","",X275*0.0155),"")</f>
        <v>0</v>
      </c>
      <c r="AA275" s="68" t="s">
        <v>46</v>
      </c>
      <c r="AB275" s="69" t="s">
        <v>46</v>
      </c>
      <c r="AC275" s="275" t="s">
        <v>197</v>
      </c>
      <c r="AG275" s="81"/>
      <c r="AJ275" s="87" t="s">
        <v>89</v>
      </c>
      <c r="AK275" s="87">
        <v>1</v>
      </c>
      <c r="BB275" s="276" t="s">
        <v>117</v>
      </c>
      <c r="BM275" s="81">
        <f>IFERROR(X275*I275,"0")</f>
        <v>0</v>
      </c>
      <c r="BN275" s="81">
        <f>IFERROR(Y275*I275,"0")</f>
        <v>0</v>
      </c>
      <c r="BO275" s="81">
        <f>IFERROR(X275/J275,"0")</f>
        <v>0</v>
      </c>
      <c r="BP275" s="81">
        <f>IFERROR(Y275/J275,"0")</f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4301136114</v>
      </c>
      <c r="D276" s="310">
        <v>4620207492086</v>
      </c>
      <c r="E276" s="310"/>
      <c r="F276" s="62">
        <v>2.2400000000000002</v>
      </c>
      <c r="G276" s="37">
        <v>1</v>
      </c>
      <c r="H276" s="62">
        <v>2.2400000000000002</v>
      </c>
      <c r="I276" s="62">
        <v>2.4319999999999999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26" t="s">
        <v>385</v>
      </c>
      <c r="Q276" s="312"/>
      <c r="R276" s="312"/>
      <c r="S276" s="312"/>
      <c r="T276" s="313"/>
      <c r="U276" s="39" t="s">
        <v>46</v>
      </c>
      <c r="V276" s="39" t="s">
        <v>46</v>
      </c>
      <c r="W276" s="40" t="s">
        <v>39</v>
      </c>
      <c r="X276" s="58">
        <v>0</v>
      </c>
      <c r="Y276" s="55">
        <f>IFERROR(IF(X276="","",X276),"")</f>
        <v>0</v>
      </c>
      <c r="Z276" s="41">
        <f>IFERROR(IF(X276="","",X276*0.00936),"")</f>
        <v>0</v>
      </c>
      <c r="AA276" s="68" t="s">
        <v>46</v>
      </c>
      <c r="AB276" s="69" t="s">
        <v>46</v>
      </c>
      <c r="AC276" s="277" t="s">
        <v>197</v>
      </c>
      <c r="AG276" s="81"/>
      <c r="AJ276" s="87" t="s">
        <v>89</v>
      </c>
      <c r="AK276" s="87">
        <v>1</v>
      </c>
      <c r="BB276" s="278" t="s">
        <v>117</v>
      </c>
      <c r="BM276" s="81">
        <f>IFERROR(X276*I276,"0")</f>
        <v>0</v>
      </c>
      <c r="BN276" s="81">
        <f>IFERROR(Y276*I276,"0")</f>
        <v>0</v>
      </c>
      <c r="BO276" s="81">
        <f>IFERROR(X276/J276,"0")</f>
        <v>0</v>
      </c>
      <c r="BP276" s="81">
        <f>IFERROR(Y276/J276,"0")</f>
        <v>0</v>
      </c>
    </row>
    <row r="277" spans="1:68" x14ac:dyDescent="0.2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20"/>
      <c r="P277" s="317" t="s">
        <v>40</v>
      </c>
      <c r="Q277" s="318"/>
      <c r="R277" s="318"/>
      <c r="S277" s="318"/>
      <c r="T277" s="318"/>
      <c r="U277" s="318"/>
      <c r="V277" s="319"/>
      <c r="W277" s="42" t="s">
        <v>39</v>
      </c>
      <c r="X277" s="43">
        <f>IFERROR(SUM(X274:X276),"0")</f>
        <v>0</v>
      </c>
      <c r="Y277" s="43">
        <f>IFERROR(SUM(Y274:Y276),"0")</f>
        <v>0</v>
      </c>
      <c r="Z277" s="43">
        <f>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20"/>
      <c r="P278" s="317" t="s">
        <v>40</v>
      </c>
      <c r="Q278" s="318"/>
      <c r="R278" s="318"/>
      <c r="S278" s="318"/>
      <c r="T278" s="318"/>
      <c r="U278" s="318"/>
      <c r="V278" s="319"/>
      <c r="W278" s="42" t="s">
        <v>0</v>
      </c>
      <c r="X278" s="43">
        <f>IFERROR(SUMPRODUCT(X274:X276*H274:H276),"0")</f>
        <v>0</v>
      </c>
      <c r="Y278" s="43">
        <f>IFERROR(SUMPRODUCT(Y274:Y276*H274:H276),"0")</f>
        <v>0</v>
      </c>
      <c r="Z278" s="42"/>
      <c r="AA278" s="67"/>
      <c r="AB278" s="67"/>
      <c r="AC278" s="67"/>
    </row>
    <row r="279" spans="1:68" ht="14.25" customHeight="1" x14ac:dyDescent="0.25">
      <c r="A279" s="327" t="s">
        <v>149</v>
      </c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27"/>
      <c r="AA279" s="66"/>
      <c r="AB279" s="66"/>
      <c r="AC279" s="83"/>
    </row>
    <row r="280" spans="1:68" ht="16.5" customHeight="1" x14ac:dyDescent="0.25">
      <c r="A280" s="63" t="s">
        <v>386</v>
      </c>
      <c r="B280" s="63" t="s">
        <v>387</v>
      </c>
      <c r="C280" s="36">
        <v>4301137066</v>
      </c>
      <c r="D280" s="310">
        <v>4620207492109</v>
      </c>
      <c r="E280" s="310"/>
      <c r="F280" s="62">
        <v>5.5</v>
      </c>
      <c r="G280" s="37">
        <v>1</v>
      </c>
      <c r="H280" s="62">
        <v>5.5</v>
      </c>
      <c r="I280" s="62">
        <v>5.7350000000000003</v>
      </c>
      <c r="J280" s="37">
        <v>84</v>
      </c>
      <c r="K280" s="37" t="s">
        <v>87</v>
      </c>
      <c r="L280" s="37" t="s">
        <v>88</v>
      </c>
      <c r="M280" s="38" t="s">
        <v>86</v>
      </c>
      <c r="N280" s="38"/>
      <c r="O280" s="37">
        <v>180</v>
      </c>
      <c r="P280" s="328" t="s">
        <v>388</v>
      </c>
      <c r="Q280" s="312"/>
      <c r="R280" s="312"/>
      <c r="S280" s="312"/>
      <c r="T280" s="31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ref="Y280:Y290" si="18">IFERROR(IF(X280="","",X280),"")</f>
        <v>0</v>
      </c>
      <c r="Z280" s="41">
        <f>IFERROR(IF(X280="","",X280*0.0155),"")</f>
        <v>0</v>
      </c>
      <c r="AA280" s="68" t="s">
        <v>46</v>
      </c>
      <c r="AB280" s="69" t="s">
        <v>46</v>
      </c>
      <c r="AC280" s="279" t="s">
        <v>295</v>
      </c>
      <c r="AG280" s="81"/>
      <c r="AJ280" s="87" t="s">
        <v>89</v>
      </c>
      <c r="AK280" s="87">
        <v>1</v>
      </c>
      <c r="BB280" s="280" t="s">
        <v>117</v>
      </c>
      <c r="BM280" s="81">
        <f t="shared" ref="BM280:BM290" si="19">IFERROR(X280*I280,"0")</f>
        <v>0</v>
      </c>
      <c r="BN280" s="81">
        <f t="shared" ref="BN280:BN290" si="20">IFERROR(Y280*I280,"0")</f>
        <v>0</v>
      </c>
      <c r="BO280" s="81">
        <f t="shared" ref="BO280:BO290" si="21">IFERROR(X280/J280,"0")</f>
        <v>0</v>
      </c>
      <c r="BP280" s="81">
        <f t="shared" ref="BP280:BP290" si="22">IFERROR(Y280/J280,"0")</f>
        <v>0</v>
      </c>
    </row>
    <row r="281" spans="1:68" ht="37.5" customHeight="1" x14ac:dyDescent="0.25">
      <c r="A281" s="63" t="s">
        <v>389</v>
      </c>
      <c r="B281" s="63" t="s">
        <v>390</v>
      </c>
      <c r="C281" s="36">
        <v>4301137068</v>
      </c>
      <c r="D281" s="310">
        <v>4620207492161</v>
      </c>
      <c r="E281" s="310"/>
      <c r="F281" s="62">
        <v>3</v>
      </c>
      <c r="G281" s="37">
        <v>1</v>
      </c>
      <c r="H281" s="62">
        <v>3</v>
      </c>
      <c r="I281" s="62">
        <v>3.1920000000000002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329" t="s">
        <v>391</v>
      </c>
      <c r="Q281" s="312"/>
      <c r="R281" s="312"/>
      <c r="S281" s="312"/>
      <c r="T281" s="313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ref="Z281:Z288" si="23">IFERROR(IF(X281="","",X281*0.00936),"")</f>
        <v>0</v>
      </c>
      <c r="AA281" s="68" t="s">
        <v>46</v>
      </c>
      <c r="AB281" s="69" t="s">
        <v>46</v>
      </c>
      <c r="AC281" s="281" t="s">
        <v>392</v>
      </c>
      <c r="AG281" s="81"/>
      <c r="AJ281" s="87" t="s">
        <v>89</v>
      </c>
      <c r="AK281" s="87">
        <v>1</v>
      </c>
      <c r="BB281" s="282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393</v>
      </c>
      <c r="B282" s="63" t="s">
        <v>394</v>
      </c>
      <c r="C282" s="36">
        <v>4301137046</v>
      </c>
      <c r="D282" s="310">
        <v>4620207492093</v>
      </c>
      <c r="E282" s="310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321" t="s">
        <v>395</v>
      </c>
      <c r="Q282" s="312"/>
      <c r="R282" s="312"/>
      <c r="S282" s="312"/>
      <c r="T282" s="313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3" t="s">
        <v>298</v>
      </c>
      <c r="AG282" s="81"/>
      <c r="AJ282" s="87" t="s">
        <v>89</v>
      </c>
      <c r="AK282" s="87">
        <v>1</v>
      </c>
      <c r="BB282" s="284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396</v>
      </c>
      <c r="B283" s="63" t="s">
        <v>397</v>
      </c>
      <c r="C283" s="36">
        <v>4301137074</v>
      </c>
      <c r="D283" s="310">
        <v>4620207492116</v>
      </c>
      <c r="E283" s="310"/>
      <c r="F283" s="62">
        <v>3</v>
      </c>
      <c r="G283" s="37">
        <v>1</v>
      </c>
      <c r="H283" s="62">
        <v>3</v>
      </c>
      <c r="I283" s="62">
        <v>3.1920000000000002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322" t="s">
        <v>398</v>
      </c>
      <c r="Q283" s="312"/>
      <c r="R283" s="312"/>
      <c r="S283" s="312"/>
      <c r="T283" s="313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85" t="s">
        <v>295</v>
      </c>
      <c r="AG283" s="81"/>
      <c r="AJ283" s="87" t="s">
        <v>89</v>
      </c>
      <c r="AK283" s="87">
        <v>1</v>
      </c>
      <c r="BB283" s="286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27" customHeight="1" x14ac:dyDescent="0.25">
      <c r="A284" s="63" t="s">
        <v>399</v>
      </c>
      <c r="B284" s="63" t="s">
        <v>400</v>
      </c>
      <c r="C284" s="36">
        <v>4301135375</v>
      </c>
      <c r="D284" s="310">
        <v>4640242181486</v>
      </c>
      <c r="E284" s="310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118</v>
      </c>
      <c r="L284" s="37" t="s">
        <v>119</v>
      </c>
      <c r="M284" s="38" t="s">
        <v>86</v>
      </c>
      <c r="N284" s="38"/>
      <c r="O284" s="37">
        <v>180</v>
      </c>
      <c r="P284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4" s="312"/>
      <c r="R284" s="312"/>
      <c r="S284" s="312"/>
      <c r="T284" s="313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87" t="s">
        <v>401</v>
      </c>
      <c r="AG284" s="81"/>
      <c r="AJ284" s="87" t="s">
        <v>120</v>
      </c>
      <c r="AK284" s="87">
        <v>14</v>
      </c>
      <c r="BB284" s="288" t="s">
        <v>117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37.5" customHeight="1" x14ac:dyDescent="0.25">
      <c r="A285" s="63" t="s">
        <v>402</v>
      </c>
      <c r="B285" s="63" t="s">
        <v>403</v>
      </c>
      <c r="C285" s="36">
        <v>4301137070</v>
      </c>
      <c r="D285" s="310">
        <v>4620207492123</v>
      </c>
      <c r="E285" s="310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324" t="s">
        <v>404</v>
      </c>
      <c r="Q285" s="312"/>
      <c r="R285" s="312"/>
      <c r="S285" s="312"/>
      <c r="T285" s="313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9" t="s">
        <v>392</v>
      </c>
      <c r="AG285" s="81"/>
      <c r="AJ285" s="87" t="s">
        <v>89</v>
      </c>
      <c r="AK285" s="87">
        <v>1</v>
      </c>
      <c r="BB285" s="290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37.5" customHeight="1" x14ac:dyDescent="0.25">
      <c r="A286" s="63" t="s">
        <v>405</v>
      </c>
      <c r="B286" s="63" t="s">
        <v>406</v>
      </c>
      <c r="C286" s="36">
        <v>4301137078</v>
      </c>
      <c r="D286" s="310">
        <v>4620207492130</v>
      </c>
      <c r="E286" s="310"/>
      <c r="F286" s="62">
        <v>3.7</v>
      </c>
      <c r="G286" s="37">
        <v>1</v>
      </c>
      <c r="H286" s="62">
        <v>3.7</v>
      </c>
      <c r="I286" s="62">
        <v>3.8919999999999999</v>
      </c>
      <c r="J286" s="37">
        <v>126</v>
      </c>
      <c r="K286" s="37" t="s">
        <v>118</v>
      </c>
      <c r="L286" s="37" t="s">
        <v>88</v>
      </c>
      <c r="M286" s="38" t="s">
        <v>86</v>
      </c>
      <c r="N286" s="38"/>
      <c r="O286" s="37">
        <v>180</v>
      </c>
      <c r="P286" s="325" t="s">
        <v>407</v>
      </c>
      <c r="Q286" s="312"/>
      <c r="R286" s="312"/>
      <c r="S286" s="312"/>
      <c r="T286" s="313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1" t="s">
        <v>392</v>
      </c>
      <c r="AG286" s="81"/>
      <c r="AJ286" s="87" t="s">
        <v>89</v>
      </c>
      <c r="AK286" s="87">
        <v>1</v>
      </c>
      <c r="BB286" s="292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customHeight="1" x14ac:dyDescent="0.25">
      <c r="A287" s="63" t="s">
        <v>408</v>
      </c>
      <c r="B287" s="63" t="s">
        <v>409</v>
      </c>
      <c r="C287" s="36">
        <v>4301135304</v>
      </c>
      <c r="D287" s="310">
        <v>4640242181240</v>
      </c>
      <c r="E287" s="310"/>
      <c r="F287" s="62">
        <v>0.3</v>
      </c>
      <c r="G287" s="37">
        <v>9</v>
      </c>
      <c r="H287" s="62">
        <v>2.7</v>
      </c>
      <c r="I287" s="62">
        <v>2.88</v>
      </c>
      <c r="J287" s="37">
        <v>126</v>
      </c>
      <c r="K287" s="37" t="s">
        <v>118</v>
      </c>
      <c r="L287" s="37" t="s">
        <v>88</v>
      </c>
      <c r="M287" s="38" t="s">
        <v>86</v>
      </c>
      <c r="N287" s="38"/>
      <c r="O287" s="37">
        <v>180</v>
      </c>
      <c r="P28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7" s="312"/>
      <c r="R287" s="312"/>
      <c r="S287" s="312"/>
      <c r="T287" s="313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3" t="s">
        <v>401</v>
      </c>
      <c r="AG287" s="81"/>
      <c r="AJ287" s="87" t="s">
        <v>89</v>
      </c>
      <c r="AK287" s="87">
        <v>1</v>
      </c>
      <c r="BB287" s="294" t="s">
        <v>117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ht="27" customHeight="1" x14ac:dyDescent="0.25">
      <c r="A288" s="63" t="s">
        <v>410</v>
      </c>
      <c r="B288" s="63" t="s">
        <v>411</v>
      </c>
      <c r="C288" s="36">
        <v>4301135610</v>
      </c>
      <c r="D288" s="310">
        <v>4640242181318</v>
      </c>
      <c r="E288" s="310"/>
      <c r="F288" s="62">
        <v>0.3</v>
      </c>
      <c r="G288" s="37">
        <v>9</v>
      </c>
      <c r="H288" s="62">
        <v>2.7</v>
      </c>
      <c r="I288" s="62">
        <v>2.988</v>
      </c>
      <c r="J288" s="37">
        <v>126</v>
      </c>
      <c r="K288" s="37" t="s">
        <v>118</v>
      </c>
      <c r="L288" s="37" t="s">
        <v>88</v>
      </c>
      <c r="M288" s="38" t="s">
        <v>86</v>
      </c>
      <c r="N288" s="38"/>
      <c r="O288" s="37">
        <v>180</v>
      </c>
      <c r="P288" s="31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8" s="312"/>
      <c r="R288" s="312"/>
      <c r="S288" s="312"/>
      <c r="T288" s="313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8"/>
        <v>0</v>
      </c>
      <c r="Z288" s="41">
        <f t="shared" si="23"/>
        <v>0</v>
      </c>
      <c r="AA288" s="68" t="s">
        <v>46</v>
      </c>
      <c r="AB288" s="69" t="s">
        <v>46</v>
      </c>
      <c r="AC288" s="295" t="s">
        <v>412</v>
      </c>
      <c r="AG288" s="81"/>
      <c r="AJ288" s="87" t="s">
        <v>89</v>
      </c>
      <c r="AK288" s="87">
        <v>1</v>
      </c>
      <c r="BB288" s="296" t="s">
        <v>117</v>
      </c>
      <c r="BM288" s="81">
        <f t="shared" si="19"/>
        <v>0</v>
      </c>
      <c r="BN288" s="81">
        <f t="shared" si="20"/>
        <v>0</v>
      </c>
      <c r="BO288" s="81">
        <f t="shared" si="21"/>
        <v>0</v>
      </c>
      <c r="BP288" s="81">
        <f t="shared" si="22"/>
        <v>0</v>
      </c>
    </row>
    <row r="289" spans="1:68" ht="27" customHeight="1" x14ac:dyDescent="0.25">
      <c r="A289" s="63" t="s">
        <v>413</v>
      </c>
      <c r="B289" s="63" t="s">
        <v>414</v>
      </c>
      <c r="C289" s="36">
        <v>4301135306</v>
      </c>
      <c r="D289" s="310">
        <v>4640242181387</v>
      </c>
      <c r="E289" s="310"/>
      <c r="F289" s="62">
        <v>0.3</v>
      </c>
      <c r="G289" s="37">
        <v>9</v>
      </c>
      <c r="H289" s="62">
        <v>2.7</v>
      </c>
      <c r="I289" s="62">
        <v>2.8450000000000002</v>
      </c>
      <c r="J289" s="37">
        <v>234</v>
      </c>
      <c r="K289" s="37" t="s">
        <v>161</v>
      </c>
      <c r="L289" s="37" t="s">
        <v>88</v>
      </c>
      <c r="M289" s="38" t="s">
        <v>86</v>
      </c>
      <c r="N289" s="38"/>
      <c r="O289" s="37">
        <v>180</v>
      </c>
      <c r="P289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9" s="312"/>
      <c r="R289" s="312"/>
      <c r="S289" s="312"/>
      <c r="T289" s="313"/>
      <c r="U289" s="39" t="s">
        <v>46</v>
      </c>
      <c r="V289" s="39" t="s">
        <v>46</v>
      </c>
      <c r="W289" s="40" t="s">
        <v>39</v>
      </c>
      <c r="X289" s="58">
        <v>0</v>
      </c>
      <c r="Y289" s="55">
        <f t="shared" si="18"/>
        <v>0</v>
      </c>
      <c r="Z289" s="41">
        <f>IFERROR(IF(X289="","",X289*0.00502),"")</f>
        <v>0</v>
      </c>
      <c r="AA289" s="68" t="s">
        <v>46</v>
      </c>
      <c r="AB289" s="69" t="s">
        <v>46</v>
      </c>
      <c r="AC289" s="297" t="s">
        <v>401</v>
      </c>
      <c r="AG289" s="81"/>
      <c r="AJ289" s="87" t="s">
        <v>89</v>
      </c>
      <c r="AK289" s="87">
        <v>1</v>
      </c>
      <c r="BB289" s="298" t="s">
        <v>117</v>
      </c>
      <c r="BM289" s="81">
        <f t="shared" si="19"/>
        <v>0</v>
      </c>
      <c r="BN289" s="81">
        <f t="shared" si="20"/>
        <v>0</v>
      </c>
      <c r="BO289" s="81">
        <f t="shared" si="21"/>
        <v>0</v>
      </c>
      <c r="BP289" s="81">
        <f t="shared" si="22"/>
        <v>0</v>
      </c>
    </row>
    <row r="290" spans="1:68" ht="27" customHeight="1" x14ac:dyDescent="0.25">
      <c r="A290" s="63" t="s">
        <v>413</v>
      </c>
      <c r="B290" s="63" t="s">
        <v>415</v>
      </c>
      <c r="C290" s="36">
        <v>4301137012</v>
      </c>
      <c r="D290" s="310">
        <v>4620207491935</v>
      </c>
      <c r="E290" s="310"/>
      <c r="F290" s="62">
        <v>0.3</v>
      </c>
      <c r="G290" s="37">
        <v>9</v>
      </c>
      <c r="H290" s="62">
        <v>2.7</v>
      </c>
      <c r="I290" s="62">
        <v>2.9249999999999998</v>
      </c>
      <c r="J290" s="37">
        <v>126</v>
      </c>
      <c r="K290" s="37" t="s">
        <v>118</v>
      </c>
      <c r="L290" s="37" t="s">
        <v>88</v>
      </c>
      <c r="M290" s="38" t="s">
        <v>86</v>
      </c>
      <c r="N290" s="38"/>
      <c r="O290" s="37">
        <v>180</v>
      </c>
      <c r="P290" s="31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90" s="312"/>
      <c r="R290" s="312"/>
      <c r="S290" s="312"/>
      <c r="T290" s="313"/>
      <c r="U290" s="39" t="s">
        <v>46</v>
      </c>
      <c r="V290" s="39" t="s">
        <v>46</v>
      </c>
      <c r="W290" s="40" t="s">
        <v>39</v>
      </c>
      <c r="X290" s="58">
        <v>0</v>
      </c>
      <c r="Y290" s="55">
        <f t="shared" si="18"/>
        <v>0</v>
      </c>
      <c r="Z290" s="41">
        <f>IFERROR(IF(X290="","",X290*0.00936),"")</f>
        <v>0</v>
      </c>
      <c r="AA290" s="68" t="s">
        <v>46</v>
      </c>
      <c r="AB290" s="69" t="s">
        <v>46</v>
      </c>
      <c r="AC290" s="299" t="s">
        <v>295</v>
      </c>
      <c r="AG290" s="81"/>
      <c r="AJ290" s="87" t="s">
        <v>89</v>
      </c>
      <c r="AK290" s="87">
        <v>1</v>
      </c>
      <c r="BB290" s="300" t="s">
        <v>117</v>
      </c>
      <c r="BM290" s="81">
        <f t="shared" si="19"/>
        <v>0</v>
      </c>
      <c r="BN290" s="81">
        <f t="shared" si="20"/>
        <v>0</v>
      </c>
      <c r="BO290" s="81">
        <f t="shared" si="21"/>
        <v>0</v>
      </c>
      <c r="BP290" s="81">
        <f t="shared" si="22"/>
        <v>0</v>
      </c>
    </row>
    <row r="291" spans="1:68" x14ac:dyDescent="0.2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20"/>
      <c r="P291" s="317" t="s">
        <v>40</v>
      </c>
      <c r="Q291" s="318"/>
      <c r="R291" s="318"/>
      <c r="S291" s="318"/>
      <c r="T291" s="318"/>
      <c r="U291" s="318"/>
      <c r="V291" s="319"/>
      <c r="W291" s="42" t="s">
        <v>39</v>
      </c>
      <c r="X291" s="43">
        <f>IFERROR(SUM(X280:X290),"0")</f>
        <v>0</v>
      </c>
      <c r="Y291" s="43">
        <f>IFERROR(SUM(Y280:Y290),"0")</f>
        <v>0</v>
      </c>
      <c r="Z291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</f>
        <v>0</v>
      </c>
      <c r="AA291" s="67"/>
      <c r="AB291" s="67"/>
      <c r="AC291" s="67"/>
    </row>
    <row r="292" spans="1:68" x14ac:dyDescent="0.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20"/>
      <c r="P292" s="317" t="s">
        <v>40</v>
      </c>
      <c r="Q292" s="318"/>
      <c r="R292" s="318"/>
      <c r="S292" s="318"/>
      <c r="T292" s="318"/>
      <c r="U292" s="318"/>
      <c r="V292" s="319"/>
      <c r="W292" s="42" t="s">
        <v>0</v>
      </c>
      <c r="X292" s="43">
        <f>IFERROR(SUMPRODUCT(X280:X290*H280:H290),"0")</f>
        <v>0</v>
      </c>
      <c r="Y292" s="43">
        <f>IFERROR(SUMPRODUCT(Y280:Y290*H280:H290),"0")</f>
        <v>0</v>
      </c>
      <c r="Z292" s="42"/>
      <c r="AA292" s="67"/>
      <c r="AB292" s="67"/>
      <c r="AC292" s="67"/>
    </row>
    <row r="293" spans="1:68" ht="15" customHeight="1" x14ac:dyDescent="0.2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8"/>
      <c r="P293" s="304" t="s">
        <v>33</v>
      </c>
      <c r="Q293" s="305"/>
      <c r="R293" s="305"/>
      <c r="S293" s="305"/>
      <c r="T293" s="305"/>
      <c r="U293" s="305"/>
      <c r="V293" s="306"/>
      <c r="W293" s="42" t="s">
        <v>0</v>
      </c>
      <c r="X293" s="43">
        <f>IFERROR(X31+X37+X44+X50+X58+X63+X67+X73+X79+X84+X90+X101+X107+X119+X123+X127+X132+X139+X145+X151+X157+X164+X170+X175+X180+X186+X190+X196+X202+X207+X216+X222+X228+X234+X239+X245+X251+X255+X261+X265+X272+X278+X292,"0")</f>
        <v>0</v>
      </c>
      <c r="Y293" s="43">
        <f>IFERROR(Y31+Y37+Y44+Y50+Y58+Y63+Y67+Y73+Y79+Y84+Y90+Y101+Y107+Y119+Y123+Y127+Y132+Y139+Y145+Y151+Y157+Y164+Y170+Y175+Y180+Y186+Y190+Y196+Y202+Y207+Y216+Y222+Y228+Y234+Y239+Y245+Y251+Y255+Y261+Y265+Y272+Y278+Y292,"0")</f>
        <v>0</v>
      </c>
      <c r="Z293" s="42"/>
      <c r="AA293" s="67"/>
      <c r="AB293" s="67"/>
      <c r="AC293" s="67"/>
    </row>
    <row r="294" spans="1:68" x14ac:dyDescent="0.2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8"/>
      <c r="P294" s="304" t="s">
        <v>34</v>
      </c>
      <c r="Q294" s="305"/>
      <c r="R294" s="305"/>
      <c r="S294" s="305"/>
      <c r="T294" s="305"/>
      <c r="U294" s="305"/>
      <c r="V294" s="306"/>
      <c r="W294" s="42" t="s">
        <v>0</v>
      </c>
      <c r="X294" s="43">
        <f>IFERROR(SUM(BM22:BM290),"0")</f>
        <v>0</v>
      </c>
      <c r="Y294" s="43">
        <f>IFERROR(SUM(BN22:BN290),"0")</f>
        <v>0</v>
      </c>
      <c r="Z294" s="42"/>
      <c r="AA294" s="67"/>
      <c r="AB294" s="67"/>
      <c r="AC294" s="67"/>
    </row>
    <row r="295" spans="1:68" x14ac:dyDescent="0.2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8"/>
      <c r="P295" s="304" t="s">
        <v>35</v>
      </c>
      <c r="Q295" s="305"/>
      <c r="R295" s="305"/>
      <c r="S295" s="305"/>
      <c r="T295" s="305"/>
      <c r="U295" s="305"/>
      <c r="V295" s="306"/>
      <c r="W295" s="42" t="s">
        <v>20</v>
      </c>
      <c r="X295" s="44">
        <f>ROUNDUP(SUM(BO22:BO290),0)</f>
        <v>0</v>
      </c>
      <c r="Y295" s="44">
        <f>ROUNDUP(SUM(BP22:BP290),0)</f>
        <v>0</v>
      </c>
      <c r="Z295" s="42"/>
      <c r="AA295" s="67"/>
      <c r="AB295" s="67"/>
      <c r="AC295" s="67"/>
    </row>
    <row r="296" spans="1:68" x14ac:dyDescent="0.2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8"/>
      <c r="P296" s="304" t="s">
        <v>36</v>
      </c>
      <c r="Q296" s="305"/>
      <c r="R296" s="305"/>
      <c r="S296" s="305"/>
      <c r="T296" s="305"/>
      <c r="U296" s="305"/>
      <c r="V296" s="306"/>
      <c r="W296" s="42" t="s">
        <v>0</v>
      </c>
      <c r="X296" s="43">
        <f>GrossWeightTotal+PalletQtyTotal*25</f>
        <v>0</v>
      </c>
      <c r="Y296" s="43">
        <f>GrossWeightTotalR+PalletQtyTotalR*25</f>
        <v>0</v>
      </c>
      <c r="Z296" s="42"/>
      <c r="AA296" s="67"/>
      <c r="AB296" s="67"/>
      <c r="AC296" s="67"/>
    </row>
    <row r="297" spans="1:68" x14ac:dyDescent="0.2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8"/>
      <c r="P297" s="304" t="s">
        <v>37</v>
      </c>
      <c r="Q297" s="305"/>
      <c r="R297" s="305"/>
      <c r="S297" s="305"/>
      <c r="T297" s="305"/>
      <c r="U297" s="305"/>
      <c r="V297" s="306"/>
      <c r="W297" s="42" t="s">
        <v>20</v>
      </c>
      <c r="X297" s="43">
        <f>IFERROR(X30+X36+X43+X49+X57+X62+X66+X72+X78+X83+X89+X100+X106+X118+X122+X126+X131+X138+X144+X150+X156+X163+X169+X174+X179+X185+X189+X195+X201+X206+X215+X221+X227+X233+X238+X244+X250+X254+X260+X264+X271+X277+X291,"0")</f>
        <v>0</v>
      </c>
      <c r="Y297" s="43">
        <f>IFERROR(Y30+Y36+Y43+Y49+Y57+Y62+Y66+Y72+Y78+Y83+Y89+Y100+Y106+Y118+Y122+Y126+Y131+Y138+Y144+Y150+Y156+Y163+Y169+Y174+Y179+Y185+Y189+Y195+Y201+Y206+Y215+Y221+Y227+Y233+Y238+Y244+Y250+Y254+Y260+Y264+Y271+Y277+Y291,"0")</f>
        <v>0</v>
      </c>
      <c r="Z297" s="42"/>
      <c r="AA297" s="67"/>
      <c r="AB297" s="67"/>
      <c r="AC297" s="67"/>
    </row>
    <row r="298" spans="1:68" ht="14.25" x14ac:dyDescent="0.2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8"/>
      <c r="P298" s="304" t="s">
        <v>38</v>
      </c>
      <c r="Q298" s="305"/>
      <c r="R298" s="305"/>
      <c r="S298" s="305"/>
      <c r="T298" s="305"/>
      <c r="U298" s="305"/>
      <c r="V298" s="306"/>
      <c r="W298" s="45" t="s">
        <v>52</v>
      </c>
      <c r="X298" s="42"/>
      <c r="Y298" s="42"/>
      <c r="Z298" s="42">
        <f>IFERROR(Z30+Z36+Z43+Z49+Z57+Z62+Z66+Z72+Z78+Z83+Z89+Z100+Z106+Z118+Z122+Z126+Z131+Z138+Z144+Z150+Z156+Z163+Z169+Z174+Z179+Z185+Z189+Z195+Z201+Z206+Z215+Z221+Z227+Z233+Z238+Z244+Z250+Z254+Z260+Z264+Z271+Z277+Z291,"0")</f>
        <v>0</v>
      </c>
      <c r="AA298" s="67"/>
      <c r="AB298" s="67"/>
      <c r="AC298" s="67"/>
    </row>
    <row r="299" spans="1:68" ht="13.5" thickBot="1" x14ac:dyDescent="0.25"/>
    <row r="300" spans="1:68" ht="27" thickTop="1" thickBot="1" x14ac:dyDescent="0.25">
      <c r="A300" s="46" t="s">
        <v>9</v>
      </c>
      <c r="B300" s="301" t="s">
        <v>81</v>
      </c>
      <c r="C300" s="301" t="s">
        <v>81</v>
      </c>
      <c r="D300" s="301" t="s">
        <v>45</v>
      </c>
      <c r="E300" s="301" t="s">
        <v>45</v>
      </c>
      <c r="F300" s="301" t="s">
        <v>45</v>
      </c>
      <c r="G300" s="301" t="s">
        <v>45</v>
      </c>
      <c r="H300" s="301" t="s">
        <v>45</v>
      </c>
      <c r="I300" s="301" t="s">
        <v>45</v>
      </c>
      <c r="J300" s="301" t="s">
        <v>45</v>
      </c>
      <c r="K300" s="301" t="s">
        <v>45</v>
      </c>
      <c r="L300" s="301" t="s">
        <v>45</v>
      </c>
      <c r="M300" s="301" t="s">
        <v>45</v>
      </c>
      <c r="N300" s="309"/>
      <c r="O300" s="301" t="s">
        <v>45</v>
      </c>
      <c r="P300" s="301" t="s">
        <v>45</v>
      </c>
      <c r="Q300" s="301" t="s">
        <v>45</v>
      </c>
      <c r="R300" s="301" t="s">
        <v>45</v>
      </c>
      <c r="S300" s="301" t="s">
        <v>45</v>
      </c>
      <c r="T300" s="301" t="s">
        <v>45</v>
      </c>
      <c r="U300" s="301" t="s">
        <v>45</v>
      </c>
      <c r="V300" s="301" t="s">
        <v>285</v>
      </c>
      <c r="W300" s="301" t="s">
        <v>285</v>
      </c>
      <c r="X300" s="301" t="s">
        <v>285</v>
      </c>
      <c r="Y300" s="88" t="s">
        <v>312</v>
      </c>
      <c r="Z300" s="301" t="s">
        <v>326</v>
      </c>
      <c r="AA300" s="301" t="s">
        <v>326</v>
      </c>
      <c r="AB300" s="301" t="s">
        <v>326</v>
      </c>
      <c r="AC300" s="88" t="s">
        <v>351</v>
      </c>
      <c r="AD300" s="88" t="s">
        <v>356</v>
      </c>
      <c r="AE300" s="88" t="s">
        <v>364</v>
      </c>
      <c r="AF300" s="88" t="s">
        <v>286</v>
      </c>
    </row>
    <row r="301" spans="1:68" ht="14.25" customHeight="1" thickTop="1" x14ac:dyDescent="0.2">
      <c r="A301" s="302" t="s">
        <v>10</v>
      </c>
      <c r="B301" s="301" t="s">
        <v>81</v>
      </c>
      <c r="C301" s="301" t="s">
        <v>106</v>
      </c>
      <c r="D301" s="301" t="s">
        <v>112</v>
      </c>
      <c r="E301" s="301" t="s">
        <v>123</v>
      </c>
      <c r="F301" s="301" t="s">
        <v>130</v>
      </c>
      <c r="G301" s="301" t="s">
        <v>141</v>
      </c>
      <c r="H301" s="301" t="s">
        <v>157</v>
      </c>
      <c r="I301" s="301" t="s">
        <v>164</v>
      </c>
      <c r="J301" s="301" t="s">
        <v>168</v>
      </c>
      <c r="K301" s="301" t="s">
        <v>176</v>
      </c>
      <c r="L301" s="301" t="s">
        <v>194</v>
      </c>
      <c r="M301" s="301" t="s">
        <v>200</v>
      </c>
      <c r="N301" s="1"/>
      <c r="O301" s="301" t="s">
        <v>229</v>
      </c>
      <c r="P301" s="301" t="s">
        <v>251</v>
      </c>
      <c r="Q301" s="301" t="s">
        <v>257</v>
      </c>
      <c r="R301" s="301" t="s">
        <v>263</v>
      </c>
      <c r="S301" s="301" t="s">
        <v>272</v>
      </c>
      <c r="T301" s="301" t="s">
        <v>278</v>
      </c>
      <c r="U301" s="301" t="s">
        <v>282</v>
      </c>
      <c r="V301" s="301" t="s">
        <v>286</v>
      </c>
      <c r="W301" s="301" t="s">
        <v>302</v>
      </c>
      <c r="X301" s="301" t="s">
        <v>309</v>
      </c>
      <c r="Y301" s="301" t="s">
        <v>313</v>
      </c>
      <c r="Z301" s="301" t="s">
        <v>327</v>
      </c>
      <c r="AA301" s="301" t="s">
        <v>340</v>
      </c>
      <c r="AB301" s="301" t="s">
        <v>347</v>
      </c>
      <c r="AC301" s="301" t="s">
        <v>352</v>
      </c>
      <c r="AD301" s="301" t="s">
        <v>357</v>
      </c>
      <c r="AE301" s="301" t="s">
        <v>364</v>
      </c>
      <c r="AF301" s="301" t="s">
        <v>286</v>
      </c>
    </row>
    <row r="302" spans="1:68" ht="13.5" thickBot="1" x14ac:dyDescent="0.25">
      <c r="A302" s="303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</row>
    <row r="303" spans="1:68" ht="18" thickTop="1" thickBot="1" x14ac:dyDescent="0.25">
      <c r="A303" s="46" t="s">
        <v>13</v>
      </c>
      <c r="B303" s="52">
        <f>IFERROR(X22*H22,"0")+IFERROR(X23*H23,"0")+IFERROR(X24*H24,"0")+IFERROR(X25*H25,"0")+IFERROR(X26*H26,"0")+IFERROR(X27*H27,"0")+IFERROR(X28*H28,"0")+IFERROR(X29*H29,"0")</f>
        <v>0</v>
      </c>
      <c r="C303" s="52">
        <f>IFERROR(X34*H34,"0")+IFERROR(X35*H35,"0")</f>
        <v>0</v>
      </c>
      <c r="D303" s="52">
        <f>IFERROR(X41*H41,"0")+IFERROR(X42*H42,"0")</f>
        <v>0</v>
      </c>
      <c r="E303" s="52">
        <f>IFERROR(X47*H47,"0")+IFERROR(X48*H48,"0")</f>
        <v>0</v>
      </c>
      <c r="F303" s="52">
        <f>IFERROR(X53*H53,"0")+IFERROR(X54*H54,"0")+IFERROR(X55*H55,"0")+IFERROR(X56*H56,"0")</f>
        <v>0</v>
      </c>
      <c r="G303" s="52">
        <f>IFERROR(X61*H61,"0")+IFERROR(X65*H65,"0")+IFERROR(X69*H69,"0")+IFERROR(X70*H70,"0")+IFERROR(X71*H71,"0")</f>
        <v>0</v>
      </c>
      <c r="H303" s="52">
        <f>IFERROR(X76*H76,"0")+IFERROR(X77*H77,"0")</f>
        <v>0</v>
      </c>
      <c r="I303" s="52">
        <f>IFERROR(X82*H82,"0")</f>
        <v>0</v>
      </c>
      <c r="J303" s="52">
        <f>IFERROR(X87*H87,"0")+IFERROR(X88*H88,"0")</f>
        <v>0</v>
      </c>
      <c r="K303" s="52">
        <f>IFERROR(X93*H93,"0")+IFERROR(X94*H94,"0")+IFERROR(X95*H95,"0")+IFERROR(X96*H96,"0")+IFERROR(X97*H97,"0")+IFERROR(X98*H98,"0")+IFERROR(X99*H99,"0")</f>
        <v>0</v>
      </c>
      <c r="L303" s="52">
        <f>IFERROR(X104*H104,"0")+IFERROR(X105*H105,"0")</f>
        <v>0</v>
      </c>
      <c r="M303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303" s="1"/>
      <c r="O303" s="52">
        <f>IFERROR(X130*H130,"0")+IFERROR(X134*H134,"0")+IFERROR(X135*H135,"0")+IFERROR(X136*H136,"0")+IFERROR(X137*H137,"0")+IFERROR(X141*H141,"0")+IFERROR(X142*H142,"0")+IFERROR(X143*H143,"0")</f>
        <v>0</v>
      </c>
      <c r="P303" s="52">
        <f>IFERROR(X148*H148,"0")+IFERROR(X149*H149,"0")</f>
        <v>0</v>
      </c>
      <c r="Q303" s="52">
        <f>IFERROR(X154*H154,"0")+IFERROR(X155*H155,"0")</f>
        <v>0</v>
      </c>
      <c r="R303" s="52">
        <f>IFERROR(X160*H160,"0")+IFERROR(X161*H161,"0")+IFERROR(X162*H162,"0")</f>
        <v>0</v>
      </c>
      <c r="S303" s="52">
        <f>IFERROR(X167*H167,"0")+IFERROR(X168*H168,"0")</f>
        <v>0</v>
      </c>
      <c r="T303" s="52">
        <f>IFERROR(X173*H173,"0")</f>
        <v>0</v>
      </c>
      <c r="U303" s="52">
        <f>IFERROR(X178*H178,"0")</f>
        <v>0</v>
      </c>
      <c r="V303" s="52">
        <f>IFERROR(X184*H184,"0")+IFERROR(X188*H188,"0")+IFERROR(X192*H192,"0")+IFERROR(X193*H193,"0")+IFERROR(X194*H194,"0")</f>
        <v>0</v>
      </c>
      <c r="W303" s="52">
        <f>IFERROR(X199*H199,"0")+IFERROR(X200*H200,"0")</f>
        <v>0</v>
      </c>
      <c r="X303" s="52">
        <f>IFERROR(X205*H205,"0")</f>
        <v>0</v>
      </c>
      <c r="Y303" s="52">
        <f>IFERROR(X211*H211,"0")+IFERROR(X212*H212,"0")+IFERROR(X213*H213,"0")+IFERROR(X214*H214,"0")</f>
        <v>0</v>
      </c>
      <c r="Z303" s="52">
        <f>IFERROR(X220*H220,"0")+IFERROR(X224*H224,"0")+IFERROR(X225*H225,"0")+IFERROR(X226*H226,"0")</f>
        <v>0</v>
      </c>
      <c r="AA303" s="52">
        <f>IFERROR(X231*H231,"0")+IFERROR(X232*H232,"0")</f>
        <v>0</v>
      </c>
      <c r="AB303" s="52">
        <f>IFERROR(X237*H237,"0")</f>
        <v>0</v>
      </c>
      <c r="AC303" s="52">
        <f>IFERROR(X243*H243,"0")</f>
        <v>0</v>
      </c>
      <c r="AD303" s="52">
        <f>IFERROR(X249*H249,"0")+IFERROR(X253*H253,"0")</f>
        <v>0</v>
      </c>
      <c r="AE303" s="52">
        <f>IFERROR(X259*H259,"0")+IFERROR(X263*H263,"0")</f>
        <v>0</v>
      </c>
      <c r="AF303" s="52">
        <f>IFERROR(X269*H269,"0")+IFERROR(X270*H270,"0")+IFERROR(X274*H274,"0")+IFERROR(X275*H275,"0")+IFERROR(X276*H276,"0")+IFERROR(X280*H280,"0")+IFERROR(X281*H281,"0")+IFERROR(X282*H282,"0")+IFERROR(X283*H283,"0")+IFERROR(X284*H284,"0")+IFERROR(X285*H285,"0")+IFERROR(X286*H286,"0")+IFERROR(X287*H287,"0")+IFERROR(X288*H288,"0")+IFERROR(X289*H289,"0")+IFERROR(X290*H290,"0")</f>
        <v>0</v>
      </c>
    </row>
    <row r="304" spans="1:68" ht="13.5" thickTop="1" x14ac:dyDescent="0.2">
      <c r="C304" s="1"/>
    </row>
    <row r="305" spans="1:3" ht="19.5" customHeight="1" x14ac:dyDescent="0.2">
      <c r="A305" s="70" t="s">
        <v>62</v>
      </c>
      <c r="B305" s="70" t="s">
        <v>63</v>
      </c>
      <c r="C305" s="70" t="s">
        <v>65</v>
      </c>
    </row>
    <row r="306" spans="1:3" x14ac:dyDescent="0.2">
      <c r="A306" s="71">
        <f>SUMPRODUCT(--(BB:BB="ЗПФ"),--(W:W="кор"),H:H,Y:Y)+SUMPRODUCT(--(BB:BB="ЗПФ"),--(W:W="кг"),Y:Y)</f>
        <v>0</v>
      </c>
      <c r="B306" s="72">
        <f>SUMPRODUCT(--(BB:BB="ПГП"),--(W:W="кор"),H:H,Y:Y)+SUMPRODUCT(--(BB:BB="ПГП"),--(W:W="кг"),Y:Y)</f>
        <v>0</v>
      </c>
      <c r="C306" s="72">
        <f>SUMPRODUCT(--(BB:BB="КИЗ"),--(W:W="кор"),H:H,Y:Y)+SUMPRODUCT(--(BB:BB="КИЗ"),--(W:W="кг"),Y:Y)</f>
        <v>0</v>
      </c>
    </row>
  </sheetData>
  <sheetProtection algorithmName="SHA-512" hashValue="ftyseKiMdQdbrh2bsiOkkCxeTcduzPldThwlaT+IhqDF05lsP1DC+8gUYJfQP7FH3fbgk/tsNc3L2JEsbFhqLQ==" saltValue="6Gvie188S+KaE23OfbfS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3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P264:V264"/>
    <mergeCell ref="A264:O265"/>
    <mergeCell ref="P265:V265"/>
    <mergeCell ref="A266:Z266"/>
    <mergeCell ref="A267:Z267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T301:T302"/>
    <mergeCell ref="U301:U302"/>
    <mergeCell ref="V301:V302"/>
    <mergeCell ref="W301:W302"/>
    <mergeCell ref="X301:X302"/>
    <mergeCell ref="P293:V293"/>
    <mergeCell ref="A293:O298"/>
    <mergeCell ref="P294:V294"/>
    <mergeCell ref="P295:V295"/>
    <mergeCell ref="P296:V296"/>
    <mergeCell ref="P297:V297"/>
    <mergeCell ref="P298:V298"/>
    <mergeCell ref="B300:C300"/>
    <mergeCell ref="D300:U300"/>
    <mergeCell ref="V300:X300"/>
    <mergeCell ref="J301:J302"/>
    <mergeCell ref="K301:K302"/>
    <mergeCell ref="L301:L302"/>
    <mergeCell ref="M301:M302"/>
    <mergeCell ref="O301:O302"/>
    <mergeCell ref="P301:P302"/>
    <mergeCell ref="Q301:Q302"/>
    <mergeCell ref="R301:R302"/>
    <mergeCell ref="S301:S302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Z300:AB30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5:X290 X280:X283 X274:X276 X269:X270 X263 X259 X253 X249 X243 X231:X232 X224 X214 X205 X192:X194 X188 X184 X178 X168 X160:X162 X154:X155 X148:X149 X141:X143 X134:X137 X130 X125 X121 X114:X116 X111 X104:X105 X94:X99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4 X237 X225:X226 X220 X211:X213 X199:X200 X173 X167 X117 X112:X113 X110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416</v>
      </c>
      <c r="H1" s="9"/>
    </row>
    <row r="3" spans="2:8" x14ac:dyDescent="0.2">
      <c r="B3" s="53" t="s">
        <v>417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419</v>
      </c>
      <c r="D6" s="53" t="s">
        <v>420</v>
      </c>
      <c r="E6" s="53" t="s">
        <v>46</v>
      </c>
    </row>
    <row r="8" spans="2:8" x14ac:dyDescent="0.2">
      <c r="B8" s="53" t="s">
        <v>80</v>
      </c>
      <c r="C8" s="53" t="s">
        <v>419</v>
      </c>
      <c r="D8" s="53" t="s">
        <v>46</v>
      </c>
      <c r="E8" s="53" t="s">
        <v>46</v>
      </c>
    </row>
    <row r="10" spans="2:8" x14ac:dyDescent="0.2">
      <c r="B10" s="53" t="s">
        <v>421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429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431</v>
      </c>
      <c r="C20" s="53" t="s">
        <v>46</v>
      </c>
      <c r="D20" s="53" t="s">
        <v>46</v>
      </c>
      <c r="E20" s="53" t="s">
        <v>46</v>
      </c>
    </row>
  </sheetData>
  <sheetProtection algorithmName="SHA-512" hashValue="ihq4J1IzaPBaz0ccJKecAnT1DApjbi4kcMD1QV34Cq3nhVBgbm64029JxxyBbG/IuaPO9zoAfZyOjwDfclocOA==" saltValue="GxhYgap6ju2//sQnHoUn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466</vt:i4>
      </vt:variant>
    </vt:vector>
  </HeadingPairs>
  <TitlesOfParts>
    <vt:vector size="4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2026-09-28T08:26:05Z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