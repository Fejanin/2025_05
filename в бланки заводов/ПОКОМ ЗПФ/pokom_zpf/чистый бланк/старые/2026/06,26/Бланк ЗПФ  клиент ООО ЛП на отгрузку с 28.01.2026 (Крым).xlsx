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31B54DF-6656-43B5-B087-5CA7777DCF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заказа'!$B$178:$B$178</definedName>
    <definedName name="ProductId62">'Бланк заказа'!$B$179:$B$179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заказа'!$B$192:$B$192</definedName>
    <definedName name="ProductId68">'Бланк заказа'!$B$198:$B$198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заказа'!$B$216:$B$216</definedName>
    <definedName name="ProductId76">'Бланк заказа'!$B$217:$B$217</definedName>
    <definedName name="ProductId77">'Бланк заказа'!$B$223:$B$223</definedName>
    <definedName name="ProductId78">'Бланк заказа'!$B$229:$B$229</definedName>
    <definedName name="ProductId79">'Бланк заказа'!$B$235:$B$235</definedName>
    <definedName name="ProductId8">'Бланк заказа'!$B$33:$B$33</definedName>
    <definedName name="ProductId80">'Бланк заказа'!$B$239:$B$239</definedName>
    <definedName name="ProductId81">'Бланк заказа'!$B$245:$B$245</definedName>
    <definedName name="ProductId82">'Бланк заказа'!$B$246:$B$246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заказа'!$X$178:$X$178</definedName>
    <definedName name="SalesQty62">'Бланк заказа'!$X$179:$X$179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заказа'!$X$192:$X$192</definedName>
    <definedName name="SalesQty68">'Бланк заказа'!$X$198:$X$198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заказа'!$X$216:$X$216</definedName>
    <definedName name="SalesQty76">'Бланк заказа'!$X$217:$X$217</definedName>
    <definedName name="SalesQty77">'Бланк заказа'!$X$223:$X$223</definedName>
    <definedName name="SalesQty78">'Бланк заказа'!$X$229:$X$229</definedName>
    <definedName name="SalesQty79">'Бланк заказа'!$X$235:$X$235</definedName>
    <definedName name="SalesQty8">'Бланк заказа'!$X$33:$X$33</definedName>
    <definedName name="SalesQty80">'Бланк заказа'!$X$239:$X$239</definedName>
    <definedName name="SalesQty81">'Бланк заказа'!$X$245:$X$245</definedName>
    <definedName name="SalesQty82">'Бланк заказа'!$X$246:$X$246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заказа'!$Y$178:$Y$178</definedName>
    <definedName name="SalesRoundBox62">'Бланк заказа'!$Y$179:$Y$179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заказа'!$Y$192:$Y$192</definedName>
    <definedName name="SalesRoundBox68">'Бланк заказа'!$Y$198:$Y$198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заказа'!$Y$216:$Y$216</definedName>
    <definedName name="SalesRoundBox76">'Бланк заказа'!$Y$217:$Y$217</definedName>
    <definedName name="SalesRoundBox77">'Бланк заказа'!$Y$223:$Y$223</definedName>
    <definedName name="SalesRoundBox78">'Бланк заказа'!$Y$229:$Y$229</definedName>
    <definedName name="SalesRoundBox79">'Бланк заказа'!$Y$235:$Y$235</definedName>
    <definedName name="SalesRoundBox8">'Бланк заказа'!$Y$33:$Y$33</definedName>
    <definedName name="SalesRoundBox80">'Бланк заказа'!$Y$239:$Y$239</definedName>
    <definedName name="SalesRoundBox81">'Бланк заказа'!$Y$245:$Y$245</definedName>
    <definedName name="SalesRoundBox82">'Бланк заказа'!$Y$246:$Y$246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заказа'!$W$178:$W$178</definedName>
    <definedName name="UnitOfMeasure62">'Бланк заказа'!$W$179:$W$179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заказа'!$W$192:$W$192</definedName>
    <definedName name="UnitOfMeasure68">'Бланк заказа'!$W$198:$W$198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заказа'!$W$216:$W$216</definedName>
    <definedName name="UnitOfMeasure76">'Бланк заказа'!$W$217:$W$217</definedName>
    <definedName name="UnitOfMeasure77">'Бланк заказа'!$W$223:$W$223</definedName>
    <definedName name="UnitOfMeasure78">'Бланк заказа'!$W$229:$W$229</definedName>
    <definedName name="UnitOfMeasure79">'Бланк заказа'!$W$235:$W$235</definedName>
    <definedName name="UnitOfMeasure8">'Бланк заказа'!$W$33:$W$33</definedName>
    <definedName name="UnitOfMeasure80">'Бланк заказа'!$W$239:$W$239</definedName>
    <definedName name="UnitOfMeasure81">'Бланк заказа'!$W$245:$W$245</definedName>
    <definedName name="UnitOfMeasure82">'Бланк заказа'!$W$246:$W$246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2" l="1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71" i="2"/>
  <c r="X270" i="2"/>
  <c r="BO269" i="2"/>
  <c r="BM269" i="2"/>
  <c r="Z269" i="2"/>
  <c r="Y269" i="2"/>
  <c r="P269" i="2"/>
  <c r="BP268" i="2"/>
  <c r="BO268" i="2"/>
  <c r="BN268" i="2"/>
  <c r="BM268" i="2"/>
  <c r="Z268" i="2"/>
  <c r="Y268" i="2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BO261" i="2"/>
  <c r="BM261" i="2"/>
  <c r="Z261" i="2"/>
  <c r="Z270" i="2" s="1"/>
  <c r="Y261" i="2"/>
  <c r="P261" i="2"/>
  <c r="BO260" i="2"/>
  <c r="BM260" i="2"/>
  <c r="Z260" i="2"/>
  <c r="Y260" i="2"/>
  <c r="P260" i="2"/>
  <c r="X258" i="2"/>
  <c r="X257" i="2"/>
  <c r="BO256" i="2"/>
  <c r="BM256" i="2"/>
  <c r="Z256" i="2"/>
  <c r="Y256" i="2"/>
  <c r="P256" i="2"/>
  <c r="BO255" i="2"/>
  <c r="BM255" i="2"/>
  <c r="Z255" i="2"/>
  <c r="Y255" i="2"/>
  <c r="BP255" i="2" s="1"/>
  <c r="P255" i="2"/>
  <c r="BP254" i="2"/>
  <c r="BO254" i="2"/>
  <c r="BN254" i="2"/>
  <c r="BM254" i="2"/>
  <c r="Z254" i="2"/>
  <c r="Z257" i="2" s="1"/>
  <c r="Y254" i="2"/>
  <c r="P254" i="2"/>
  <c r="X252" i="2"/>
  <c r="Z251" i="2"/>
  <c r="X251" i="2"/>
  <c r="BO250" i="2"/>
  <c r="BM250" i="2"/>
  <c r="Z250" i="2"/>
  <c r="Y250" i="2"/>
  <c r="P250" i="2"/>
  <c r="X248" i="2"/>
  <c r="X247" i="2"/>
  <c r="BO246" i="2"/>
  <c r="BM246" i="2"/>
  <c r="Z246" i="2"/>
  <c r="Y246" i="2"/>
  <c r="P246" i="2"/>
  <c r="BO245" i="2"/>
  <c r="BM245" i="2"/>
  <c r="Z245" i="2"/>
  <c r="Y245" i="2"/>
  <c r="BP245" i="2" s="1"/>
  <c r="P245" i="2"/>
  <c r="X241" i="2"/>
  <c r="X240" i="2"/>
  <c r="BO239" i="2"/>
  <c r="BM239" i="2"/>
  <c r="Z239" i="2"/>
  <c r="Z240" i="2" s="1"/>
  <c r="Y239" i="2"/>
  <c r="P239" i="2"/>
  <c r="X237" i="2"/>
  <c r="Y236" i="2"/>
  <c r="X236" i="2"/>
  <c r="BP235" i="2"/>
  <c r="BO235" i="2"/>
  <c r="BN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P229" i="2"/>
  <c r="Y225" i="2"/>
  <c r="X225" i="2"/>
  <c r="X224" i="2"/>
  <c r="BP223" i="2"/>
  <c r="BO223" i="2"/>
  <c r="BN223" i="2"/>
  <c r="BM223" i="2"/>
  <c r="Z223" i="2"/>
  <c r="Z224" i="2" s="1"/>
  <c r="Y223" i="2"/>
  <c r="Y224" i="2" s="1"/>
  <c r="P223" i="2"/>
  <c r="X219" i="2"/>
  <c r="X218" i="2"/>
  <c r="BO217" i="2"/>
  <c r="BM217" i="2"/>
  <c r="Z217" i="2"/>
  <c r="Y217" i="2"/>
  <c r="P217" i="2"/>
  <c r="BP216" i="2"/>
  <c r="BO216" i="2"/>
  <c r="BN216" i="2"/>
  <c r="BM216" i="2"/>
  <c r="Z216" i="2"/>
  <c r="Z218" i="2" s="1"/>
  <c r="Y216" i="2"/>
  <c r="P216" i="2"/>
  <c r="X213" i="2"/>
  <c r="X212" i="2"/>
  <c r="BO211" i="2"/>
  <c r="BM211" i="2"/>
  <c r="Z211" i="2"/>
  <c r="Z212" i="2" s="1"/>
  <c r="Y211" i="2"/>
  <c r="Y213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P205" i="2"/>
  <c r="BO204" i="2"/>
  <c r="BM204" i="2"/>
  <c r="Z204" i="2"/>
  <c r="Y204" i="2"/>
  <c r="P204" i="2"/>
  <c r="BP203" i="2"/>
  <c r="BO203" i="2"/>
  <c r="BN203" i="2"/>
  <c r="BM203" i="2"/>
  <c r="Z203" i="2"/>
  <c r="Y203" i="2"/>
  <c r="P203" i="2"/>
  <c r="BO202" i="2"/>
  <c r="BM202" i="2"/>
  <c r="Z202" i="2"/>
  <c r="Y202" i="2"/>
  <c r="P202" i="2"/>
  <c r="X200" i="2"/>
  <c r="Y199" i="2"/>
  <c r="X199" i="2"/>
  <c r="BP198" i="2"/>
  <c r="BO198" i="2"/>
  <c r="BN198" i="2"/>
  <c r="BM198" i="2"/>
  <c r="Z198" i="2"/>
  <c r="Z199" i="2" s="1"/>
  <c r="Y198" i="2"/>
  <c r="Y200" i="2" s="1"/>
  <c r="P198" i="2"/>
  <c r="X194" i="2"/>
  <c r="Z193" i="2"/>
  <c r="X193" i="2"/>
  <c r="BO192" i="2"/>
  <c r="BM192" i="2"/>
  <c r="Z192" i="2"/>
  <c r="Y192" i="2"/>
  <c r="X190" i="2"/>
  <c r="X189" i="2"/>
  <c r="BO188" i="2"/>
  <c r="BM188" i="2"/>
  <c r="Z188" i="2"/>
  <c r="Y188" i="2"/>
  <c r="P188" i="2"/>
  <c r="BO187" i="2"/>
  <c r="BM187" i="2"/>
  <c r="Z187" i="2"/>
  <c r="Y187" i="2"/>
  <c r="BP187" i="2" s="1"/>
  <c r="P187" i="2"/>
  <c r="BP186" i="2"/>
  <c r="BO186" i="2"/>
  <c r="BN186" i="2"/>
  <c r="BM186" i="2"/>
  <c r="Z186" i="2"/>
  <c r="Z189" i="2" s="1"/>
  <c r="Y186" i="2"/>
  <c r="P186" i="2"/>
  <c r="BO185" i="2"/>
  <c r="BM185" i="2"/>
  <c r="Z185" i="2"/>
  <c r="Y185" i="2"/>
  <c r="P185" i="2"/>
  <c r="X181" i="2"/>
  <c r="X180" i="2"/>
  <c r="BO179" i="2"/>
  <c r="BM179" i="2"/>
  <c r="Z179" i="2"/>
  <c r="Y179" i="2"/>
  <c r="BN179" i="2" s="1"/>
  <c r="P179" i="2"/>
  <c r="BO178" i="2"/>
  <c r="BM178" i="2"/>
  <c r="Z178" i="2"/>
  <c r="Z180" i="2" s="1"/>
  <c r="Y178" i="2"/>
  <c r="BN178" i="2" s="1"/>
  <c r="P178" i="2"/>
  <c r="X176" i="2"/>
  <c r="X175" i="2"/>
  <c r="BO174" i="2"/>
  <c r="BM174" i="2"/>
  <c r="Z174" i="2"/>
  <c r="Y174" i="2"/>
  <c r="P174" i="2"/>
  <c r="BO173" i="2"/>
  <c r="BM173" i="2"/>
  <c r="Z173" i="2"/>
  <c r="Z175" i="2" s="1"/>
  <c r="Y173" i="2"/>
  <c r="BN173" i="2" s="1"/>
  <c r="P173" i="2"/>
  <c r="X169" i="2"/>
  <c r="Y168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Z158" i="2" s="1"/>
  <c r="Y157" i="2"/>
  <c r="BN157" i="2" s="1"/>
  <c r="P157" i="2"/>
  <c r="X154" i="2"/>
  <c r="Y153" i="2"/>
  <c r="X153" i="2"/>
  <c r="BO152" i="2"/>
  <c r="BM152" i="2"/>
  <c r="Z152" i="2"/>
  <c r="Z153" i="2" s="1"/>
  <c r="Y152" i="2"/>
  <c r="Y154" i="2" s="1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Z148" i="2" s="1"/>
  <c r="Y146" i="2"/>
  <c r="P146" i="2"/>
  <c r="X143" i="2"/>
  <c r="X142" i="2"/>
  <c r="BO141" i="2"/>
  <c r="BM141" i="2"/>
  <c r="Z141" i="2"/>
  <c r="Y141" i="2"/>
  <c r="P141" i="2"/>
  <c r="BP140" i="2"/>
  <c r="BO140" i="2"/>
  <c r="BN140" i="2"/>
  <c r="BM140" i="2"/>
  <c r="Z140" i="2"/>
  <c r="Z142" i="2" s="1"/>
  <c r="Y140" i="2"/>
  <c r="Y143" i="2" s="1"/>
  <c r="P140" i="2"/>
  <c r="X137" i="2"/>
  <c r="X136" i="2"/>
  <c r="BO135" i="2"/>
  <c r="BM135" i="2"/>
  <c r="Z135" i="2"/>
  <c r="Y135" i="2"/>
  <c r="P135" i="2"/>
  <c r="BP134" i="2"/>
  <c r="BO134" i="2"/>
  <c r="BN134" i="2"/>
  <c r="BM134" i="2"/>
  <c r="Z134" i="2"/>
  <c r="Z136" i="2" s="1"/>
  <c r="Y134" i="2"/>
  <c r="P134" i="2"/>
  <c r="X131" i="2"/>
  <c r="Z130" i="2"/>
  <c r="X130" i="2"/>
  <c r="BO129" i="2"/>
  <c r="BM129" i="2"/>
  <c r="Z129" i="2"/>
  <c r="Y129" i="2"/>
  <c r="P129" i="2"/>
  <c r="Y127" i="2"/>
  <c r="X127" i="2"/>
  <c r="X126" i="2"/>
  <c r="BO125" i="2"/>
  <c r="BM125" i="2"/>
  <c r="Z125" i="2"/>
  <c r="Z126" i="2" s="1"/>
  <c r="Y125" i="2"/>
  <c r="Y126" i="2" s="1"/>
  <c r="P125" i="2"/>
  <c r="X123" i="2"/>
  <c r="X122" i="2"/>
  <c r="BP121" i="2"/>
  <c r="BO121" i="2"/>
  <c r="BN121" i="2"/>
  <c r="BM121" i="2"/>
  <c r="Z121" i="2"/>
  <c r="Y121" i="2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Y110" i="2" s="1"/>
  <c r="P108" i="2"/>
  <c r="X105" i="2"/>
  <c r="X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P100" i="2"/>
  <c r="BP99" i="2"/>
  <c r="BO99" i="2"/>
  <c r="BN99" i="2"/>
  <c r="BM99" i="2"/>
  <c r="Z99" i="2"/>
  <c r="Y99" i="2"/>
  <c r="P99" i="2"/>
  <c r="BO98" i="2"/>
  <c r="BM98" i="2"/>
  <c r="Z98" i="2"/>
  <c r="Y98" i="2"/>
  <c r="BP98" i="2" s="1"/>
  <c r="P98" i="2"/>
  <c r="BO97" i="2"/>
  <c r="BM97" i="2"/>
  <c r="Z97" i="2"/>
  <c r="Y97" i="2"/>
  <c r="P97" i="2"/>
  <c r="X94" i="2"/>
  <c r="X93" i="2"/>
  <c r="BO92" i="2"/>
  <c r="BM92" i="2"/>
  <c r="Z92" i="2"/>
  <c r="Y92" i="2"/>
  <c r="BP92" i="2" s="1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P81" i="2"/>
  <c r="BP80" i="2"/>
  <c r="BO80" i="2"/>
  <c r="BN80" i="2"/>
  <c r="BM80" i="2"/>
  <c r="Z80" i="2"/>
  <c r="Z82" i="2" s="1"/>
  <c r="Y80" i="2"/>
  <c r="Y82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BP73" i="2"/>
  <c r="BO73" i="2"/>
  <c r="BN73" i="2"/>
  <c r="BM73" i="2"/>
  <c r="Z73" i="2"/>
  <c r="Z76" i="2" s="1"/>
  <c r="Y73" i="2"/>
  <c r="Y77" i="2" s="1"/>
  <c r="P73" i="2"/>
  <c r="X71" i="2"/>
  <c r="X70" i="2"/>
  <c r="BO69" i="2"/>
  <c r="BM69" i="2"/>
  <c r="Z69" i="2"/>
  <c r="Y69" i="2"/>
  <c r="P69" i="2"/>
  <c r="BP68" i="2"/>
  <c r="BO68" i="2"/>
  <c r="BN68" i="2"/>
  <c r="BM68" i="2"/>
  <c r="Z68" i="2"/>
  <c r="Z70" i="2" s="1"/>
  <c r="Y68" i="2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P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Z41" i="2" s="1"/>
  <c r="Y39" i="2"/>
  <c r="Y41" i="2" s="1"/>
  <c r="P39" i="2"/>
  <c r="X35" i="2"/>
  <c r="X34" i="2"/>
  <c r="BO33" i="2"/>
  <c r="BM33" i="2"/>
  <c r="Z33" i="2"/>
  <c r="Y33" i="2"/>
  <c r="BP33" i="2" s="1"/>
  <c r="P33" i="2"/>
  <c r="BO32" i="2"/>
  <c r="BM32" i="2"/>
  <c r="Z32" i="2"/>
  <c r="Z34" i="2" s="1"/>
  <c r="Y32" i="2"/>
  <c r="Y34" i="2" s="1"/>
  <c r="P32" i="2"/>
  <c r="X29" i="2"/>
  <c r="X28" i="2"/>
  <c r="X276" i="2" s="1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Z28" i="2" s="1"/>
  <c r="Y22" i="2"/>
  <c r="P22" i="2"/>
  <c r="H10" i="2"/>
  <c r="A9" i="2"/>
  <c r="F10" i="2" s="1"/>
  <c r="D7" i="2"/>
  <c r="Q6" i="2"/>
  <c r="P2" i="2"/>
  <c r="Y29" i="2" l="1"/>
  <c r="BP32" i="2"/>
  <c r="Y35" i="2"/>
  <c r="BP39" i="2"/>
  <c r="BP52" i="2"/>
  <c r="Y57" i="2"/>
  <c r="Y71" i="2"/>
  <c r="BP69" i="2"/>
  <c r="BN69" i="2"/>
  <c r="Y94" i="2"/>
  <c r="Y104" i="2"/>
  <c r="Y105" i="2"/>
  <c r="BP97" i="2"/>
  <c r="BP100" i="2"/>
  <c r="BN100" i="2"/>
  <c r="BP116" i="2"/>
  <c r="BN116" i="2"/>
  <c r="BP118" i="2"/>
  <c r="BP119" i="2"/>
  <c r="BP135" i="2"/>
  <c r="BN135" i="2"/>
  <c r="BP157" i="2"/>
  <c r="Y158" i="2"/>
  <c r="BP173" i="2"/>
  <c r="Y176" i="2"/>
  <c r="BP174" i="2"/>
  <c r="Y175" i="2"/>
  <c r="BP185" i="2"/>
  <c r="BN185" i="2"/>
  <c r="BP192" i="2"/>
  <c r="Y193" i="2"/>
  <c r="Y208" i="2"/>
  <c r="BP202" i="2"/>
  <c r="BN202" i="2"/>
  <c r="BP204" i="2"/>
  <c r="BN204" i="2"/>
  <c r="Y219" i="2"/>
  <c r="BP217" i="2"/>
  <c r="BN217" i="2"/>
  <c r="Y240" i="2"/>
  <c r="Y241" i="2"/>
  <c r="BP239" i="2"/>
  <c r="BN239" i="2"/>
  <c r="BP246" i="2"/>
  <c r="BN246" i="2"/>
  <c r="Y248" i="2"/>
  <c r="BP250" i="2"/>
  <c r="Y251" i="2"/>
  <c r="Y271" i="2"/>
  <c r="BP260" i="2"/>
  <c r="BN260" i="2"/>
  <c r="Y28" i="2"/>
  <c r="X273" i="2"/>
  <c r="BN23" i="2"/>
  <c r="X274" i="2"/>
  <c r="X272" i="2"/>
  <c r="Y42" i="2"/>
  <c r="BP45" i="2"/>
  <c r="BN45" i="2"/>
  <c r="Y49" i="2"/>
  <c r="Y70" i="2"/>
  <c r="BP74" i="2"/>
  <c r="BN74" i="2"/>
  <c r="Y76" i="2"/>
  <c r="Y83" i="2"/>
  <c r="BP81" i="2"/>
  <c r="BN81" i="2"/>
  <c r="Z110" i="2"/>
  <c r="Z122" i="2"/>
  <c r="Y131" i="2"/>
  <c r="Y130" i="2"/>
  <c r="BP129" i="2"/>
  <c r="BN129" i="2"/>
  <c r="BP141" i="2"/>
  <c r="BN141" i="2"/>
  <c r="BP178" i="2"/>
  <c r="BP179" i="2"/>
  <c r="Y180" i="2"/>
  <c r="Y218" i="2"/>
  <c r="Y230" i="2"/>
  <c r="Y231" i="2"/>
  <c r="Y257" i="2"/>
  <c r="BP263" i="2"/>
  <c r="BN263" i="2"/>
  <c r="BP269" i="2"/>
  <c r="BN269" i="2"/>
  <c r="Z56" i="2"/>
  <c r="Z277" i="2" s="1"/>
  <c r="Y62" i="2"/>
  <c r="BP64" i="2"/>
  <c r="Y65" i="2"/>
  <c r="Y93" i="2"/>
  <c r="Z104" i="2"/>
  <c r="BP108" i="2"/>
  <c r="Y111" i="2"/>
  <c r="BP114" i="2"/>
  <c r="Y123" i="2"/>
  <c r="Y137" i="2"/>
  <c r="Y136" i="2"/>
  <c r="Y142" i="2"/>
  <c r="Y149" i="2"/>
  <c r="Y190" i="2"/>
  <c r="Z207" i="2"/>
  <c r="Y207" i="2"/>
  <c r="BP205" i="2"/>
  <c r="BP211" i="2"/>
  <c r="Y212" i="2"/>
  <c r="Z247" i="2"/>
  <c r="Y258" i="2"/>
  <c r="Y270" i="2"/>
  <c r="BP261" i="2"/>
  <c r="X275" i="2"/>
  <c r="BN146" i="2"/>
  <c r="BN188" i="2"/>
  <c r="Y194" i="2"/>
  <c r="Y252" i="2"/>
  <c r="F9" i="2"/>
  <c r="H9" i="2"/>
  <c r="BN47" i="2"/>
  <c r="J9" i="2"/>
  <c r="BN26" i="2"/>
  <c r="BN53" i="2"/>
  <c r="Y56" i="2"/>
  <c r="BN91" i="2"/>
  <c r="BN102" i="2"/>
  <c r="BN152" i="2"/>
  <c r="BN167" i="2"/>
  <c r="BN256" i="2"/>
  <c r="BN266" i="2"/>
  <c r="A10" i="2"/>
  <c r="BN32" i="2"/>
  <c r="BP47" i="2"/>
  <c r="BN97" i="2"/>
  <c r="BN108" i="2"/>
  <c r="Y122" i="2"/>
  <c r="BP146" i="2"/>
  <c r="Y159" i="2"/>
  <c r="BN174" i="2"/>
  <c r="BP188" i="2"/>
  <c r="BN205" i="2"/>
  <c r="BN261" i="2"/>
  <c r="BN39" i="2"/>
  <c r="BN64" i="2"/>
  <c r="BP91" i="2"/>
  <c r="BP152" i="2"/>
  <c r="BP167" i="2"/>
  <c r="BN211" i="2"/>
  <c r="Y247" i="2"/>
  <c r="BP256" i="2"/>
  <c r="Y189" i="2"/>
  <c r="Y48" i="2"/>
  <c r="BN147" i="2"/>
  <c r="BN162" i="2"/>
  <c r="BN92" i="2"/>
  <c r="BN103" i="2"/>
  <c r="BN22" i="2"/>
  <c r="BP86" i="2"/>
  <c r="BN109" i="2"/>
  <c r="BN120" i="2"/>
  <c r="BP162" i="2"/>
  <c r="BN206" i="2"/>
  <c r="BN262" i="2"/>
  <c r="Y181" i="2"/>
  <c r="BN229" i="2"/>
  <c r="BN245" i="2"/>
  <c r="BP267" i="2"/>
  <c r="BN33" i="2"/>
  <c r="BP27" i="2"/>
  <c r="BN40" i="2"/>
  <c r="BN115" i="2"/>
  <c r="BP22" i="2"/>
  <c r="BN46" i="2"/>
  <c r="Y148" i="2"/>
  <c r="BN187" i="2"/>
  <c r="BN192" i="2"/>
  <c r="BN250" i="2"/>
  <c r="BN54" i="2"/>
  <c r="BN60" i="2"/>
  <c r="BN98" i="2"/>
  <c r="BN125" i="2"/>
  <c r="BP60" i="2"/>
  <c r="Y87" i="2"/>
  <c r="Y163" i="2"/>
  <c r="BN25" i="2"/>
  <c r="BN52" i="2"/>
  <c r="BN75" i="2"/>
  <c r="BN101" i="2"/>
  <c r="BP125" i="2"/>
  <c r="BP229" i="2"/>
  <c r="BN255" i="2"/>
  <c r="BN265" i="2"/>
  <c r="BN86" i="2"/>
  <c r="Y276" i="2" l="1"/>
  <c r="Y272" i="2"/>
  <c r="Y273" i="2"/>
  <c r="Y274" i="2"/>
  <c r="Y275" i="2" l="1"/>
  <c r="B285" i="2" l="1"/>
  <c r="C285" i="2"/>
  <c r="A285" i="2"/>
</calcChain>
</file>

<file path=xl/sharedStrings.xml><?xml version="1.0" encoding="utf-8"?>
<sst xmlns="http://schemas.openxmlformats.org/spreadsheetml/2006/main" count="1686" uniqueCount="402">
  <si>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</si>
  <si>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</si>
  <si>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</si>
  <si>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</si>
  <si>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</si>
  <si>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</si>
  <si>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</si>
  <si>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</si>
  <si>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</si>
  <si>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</si>
  <si>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</si>
  <si>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</si>
  <si>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</si>
  <si>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</si>
  <si>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</si>
  <si>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</si>
  <si>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</si>
  <si>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</si>
  <si>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</si>
  <si>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</si>
  <si>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</si>
  <si>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</si>
  <si>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</si>
  <si>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</si>
  <si>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</si>
  <si>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</si>
  <si>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</si>
  <si>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</si>
  <si>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</si>
  <si>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</si>
  <si>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</si>
  <si>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</si>
  <si>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</si>
  <si>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</si>
  <si>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</si>
  <si>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</si>
  <si>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</si>
  <si>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</si>
  <si>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</si>
  <si>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</si>
  <si>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</si>
  <si>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</si>
  <si>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</si>
  <si>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</si>
  <si>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</si>
  <si>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</si>
  <si>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</si>
  <si>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</si>
  <si>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</si>
  <si>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</si>
  <si>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</si>
  <si>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</si>
  <si>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</si>
  <si>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</si>
  <si>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</si>
  <si>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</si>
  <si>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</si>
  <si>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</si>
  <si>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</si>
  <si>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</si>
  <si>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</si>
  <si>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</si>
  <si>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</si>
  <si>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</si>
  <si>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</si>
  <si>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</si>
  <si>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</si>
  <si>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</si>
  <si>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</si>
  <si>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</si>
  <si>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</si>
  <si>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28.01.2026</t>
  </si>
  <si>
    <t>26.01.2026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</si>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</sst>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1" t="s">
        <v>26</v>
      </c>
      <c r="E1" s="281"/>
      <c r="F1" s="281"/>
      <c r="G1" s="14" t="s">
        <v>70</v>
      </c>
      <c r="H1" s="281" t="s">
        <v>47</v>
      </c>
      <c r="I1" s="281"/>
      <c r="J1" s="281"/>
      <c r="K1" s="281"/>
      <c r="L1" s="281"/>
      <c r="M1" s="281"/>
      <c r="N1" s="281"/>
      <c r="O1" s="281"/>
      <c r="P1" s="281"/>
      <c r="Q1" s="281"/>
      <c r="R1" s="282" t="s">
        <v>71</v>
      </c>
      <c r="S1" s="283"/>
      <c r="T1" s="2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4"/>
      <c r="Q3" s="284"/>
      <c r="R3" s="284"/>
      <c r="S3" s="284"/>
      <c r="T3" s="284"/>
      <c r="U3" s="284"/>
      <c r="V3" s="284"/>
      <c r="W3" s="2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5" t="s">
        <v>8</v>
      </c>
      <c r="B5" s="285"/>
      <c r="C5" s="285"/>
      <c r="D5" s="286"/>
      <c r="E5" s="286"/>
      <c r="F5" s="287" t="s">
        <v>14</v>
      </c>
      <c r="G5" s="287"/>
      <c r="H5" s="286"/>
      <c r="I5" s="286"/>
      <c r="J5" s="286"/>
      <c r="K5" s="286"/>
      <c r="L5" s="286"/>
      <c r="M5" s="286"/>
      <c r="N5" s="75"/>
      <c r="P5" s="27" t="s">
        <v>4</v>
      </c>
      <c r="Q5" s="288">
        <v>46052</v>
      </c>
      <c r="R5" s="288"/>
      <c r="T5" s="289" t="s">
        <v>3</v>
      </c>
      <c r="U5" s="290"/>
      <c r="V5" s="291" t="s">
        <v>388</v>
      </c>
      <c r="W5" s="292"/>
      <c r="AB5" s="59"/>
      <c r="AC5" s="59"/>
      <c r="AD5" s="59"/>
      <c r="AE5" s="59"/>
    </row>
    <row r="6" spans="1:32" s="17" customFormat="1" ht="24" customHeight="1" x14ac:dyDescent="0.2">
      <c r="A6" s="285" t="s">
        <v>1</v>
      </c>
      <c r="B6" s="285"/>
      <c r="C6" s="285"/>
      <c r="D6" s="293" t="s">
        <v>79</v>
      </c>
      <c r="E6" s="293"/>
      <c r="F6" s="293"/>
      <c r="G6" s="293"/>
      <c r="H6" s="293"/>
      <c r="I6" s="293"/>
      <c r="J6" s="293"/>
      <c r="K6" s="293"/>
      <c r="L6" s="293"/>
      <c r="M6" s="293"/>
      <c r="N6" s="76"/>
      <c r="P6" s="27" t="s">
        <v>27</v>
      </c>
      <c r="Q6" s="294" t="str">
        <f>IF(Q5=0," ",CHOOSE(WEEKDAY(Q5,2),"Понедельник","Вторник","Среда","Четверг","Пятница","Суббота","Воскресенье"))</f>
        <v>Пятница</v>
      </c>
      <c r="R6" s="294"/>
      <c r="T6" s="295" t="s">
        <v>5</v>
      </c>
      <c r="U6" s="296"/>
      <c r="V6" s="297" t="s">
        <v>73</v>
      </c>
      <c r="W6" s="2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77"/>
      <c r="P7" s="29"/>
      <c r="Q7" s="48"/>
      <c r="R7" s="48"/>
      <c r="T7" s="295"/>
      <c r="U7" s="296"/>
      <c r="V7" s="299"/>
      <c r="W7" s="300"/>
      <c r="AB7" s="59"/>
      <c r="AC7" s="59"/>
      <c r="AD7" s="59"/>
      <c r="AE7" s="59"/>
    </row>
    <row r="8" spans="1:32" s="17" customFormat="1" ht="25.5" customHeight="1" x14ac:dyDescent="0.2">
      <c r="A8" s="306" t="s">
        <v>58</v>
      </c>
      <c r="B8" s="306"/>
      <c r="C8" s="306"/>
      <c r="D8" s="307" t="s">
        <v>80</v>
      </c>
      <c r="E8" s="307"/>
      <c r="F8" s="307"/>
      <c r="G8" s="307"/>
      <c r="H8" s="307"/>
      <c r="I8" s="307"/>
      <c r="J8" s="307"/>
      <c r="K8" s="307"/>
      <c r="L8" s="307"/>
      <c r="M8" s="307"/>
      <c r="N8" s="78"/>
      <c r="P8" s="27" t="s">
        <v>11</v>
      </c>
      <c r="Q8" s="308">
        <v>0.375</v>
      </c>
      <c r="R8" s="308"/>
      <c r="T8" s="295"/>
      <c r="U8" s="296"/>
      <c r="V8" s="299"/>
      <c r="W8" s="300"/>
      <c r="AB8" s="59"/>
      <c r="AC8" s="59"/>
      <c r="AD8" s="59"/>
      <c r="AE8" s="59"/>
    </row>
    <row r="9" spans="1:32" s="17" customFormat="1" ht="39.950000000000003" customHeight="1" x14ac:dyDescent="0.2">
      <c r="A9" s="3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9"/>
      <c r="C9" s="309"/>
      <c r="D9" s="310" t="s">
        <v>46</v>
      </c>
      <c r="E9" s="311"/>
      <c r="F9" s="3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9"/>
      <c r="H9" s="312" t="str">
        <f>IF(AND($A$9="Тип доверенности/получателя при получении в адресе перегруза:",$D$9="Разовая доверенность"),"Введите ФИО","")</f>
        <v/>
      </c>
      <c r="I9" s="312"/>
      <c r="J9" s="3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2"/>
      <c r="L9" s="312"/>
      <c r="M9" s="312"/>
      <c r="N9" s="73"/>
      <c r="P9" s="31" t="s">
        <v>15</v>
      </c>
      <c r="Q9" s="313"/>
      <c r="R9" s="313"/>
      <c r="T9" s="295"/>
      <c r="U9" s="296"/>
      <c r="V9" s="301"/>
      <c r="W9" s="3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9"/>
      <c r="C10" s="309"/>
      <c r="D10" s="310"/>
      <c r="E10" s="311"/>
      <c r="F10" s="3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9"/>
      <c r="H10" s="314" t="str">
        <f>IFERROR(VLOOKUP($D$10,Proxy,2,FALSE),"")</f>
        <v/>
      </c>
      <c r="I10" s="314"/>
      <c r="J10" s="314"/>
      <c r="K10" s="314"/>
      <c r="L10" s="314"/>
      <c r="M10" s="314"/>
      <c r="N10" s="74"/>
      <c r="P10" s="31" t="s">
        <v>32</v>
      </c>
      <c r="Q10" s="315"/>
      <c r="R10" s="315"/>
      <c r="U10" s="29" t="s">
        <v>12</v>
      </c>
      <c r="V10" s="316" t="s">
        <v>74</v>
      </c>
      <c r="W10" s="31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8"/>
      <c r="R11" s="318"/>
      <c r="U11" s="29" t="s">
        <v>28</v>
      </c>
      <c r="V11" s="319" t="s">
        <v>55</v>
      </c>
      <c r="W11" s="31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0" t="s">
        <v>75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79"/>
      <c r="P12" s="27" t="s">
        <v>30</v>
      </c>
      <c r="Q12" s="308"/>
      <c r="R12" s="308"/>
      <c r="S12" s="28"/>
      <c r="T12"/>
      <c r="U12" s="29" t="s">
        <v>46</v>
      </c>
      <c r="V12" s="321"/>
      <c r="W12" s="321"/>
      <c r="X12"/>
      <c r="AB12" s="59"/>
      <c r="AC12" s="59"/>
      <c r="AD12" s="59"/>
      <c r="AE12" s="59"/>
    </row>
    <row r="13" spans="1:32" s="17" customFormat="1" ht="23.25" customHeight="1" x14ac:dyDescent="0.2">
      <c r="A13" s="320" t="s">
        <v>76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79"/>
      <c r="O13" s="31"/>
      <c r="P13" s="31" t="s">
        <v>31</v>
      </c>
      <c r="Q13" s="319"/>
      <c r="R13" s="31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0" t="s">
        <v>77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2" t="s">
        <v>78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80"/>
      <c r="O15"/>
      <c r="P15" s="323" t="s">
        <v>61</v>
      </c>
      <c r="Q15" s="323"/>
      <c r="R15" s="323"/>
      <c r="S15" s="323"/>
      <c r="T15" s="32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4"/>
      <c r="Q16" s="324"/>
      <c r="R16" s="324"/>
      <c r="S16" s="324"/>
      <c r="T16" s="3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7" t="s">
        <v>59</v>
      </c>
      <c r="B17" s="327" t="s">
        <v>49</v>
      </c>
      <c r="C17" s="329" t="s">
        <v>48</v>
      </c>
      <c r="D17" s="331" t="s">
        <v>50</v>
      </c>
      <c r="E17" s="332"/>
      <c r="F17" s="327" t="s">
        <v>21</v>
      </c>
      <c r="G17" s="327" t="s">
        <v>24</v>
      </c>
      <c r="H17" s="327" t="s">
        <v>22</v>
      </c>
      <c r="I17" s="327" t="s">
        <v>23</v>
      </c>
      <c r="J17" s="327" t="s">
        <v>16</v>
      </c>
      <c r="K17" s="327" t="s">
        <v>69</v>
      </c>
      <c r="L17" s="327" t="s">
        <v>67</v>
      </c>
      <c r="M17" s="327" t="s">
        <v>2</v>
      </c>
      <c r="N17" s="327" t="s">
        <v>66</v>
      </c>
      <c r="O17" s="327" t="s">
        <v>25</v>
      </c>
      <c r="P17" s="331" t="s">
        <v>17</v>
      </c>
      <c r="Q17" s="335"/>
      <c r="R17" s="335"/>
      <c r="S17" s="335"/>
      <c r="T17" s="332"/>
      <c r="U17" s="325" t="s">
        <v>56</v>
      </c>
      <c r="V17" s="326"/>
      <c r="W17" s="327" t="s">
        <v>6</v>
      </c>
      <c r="X17" s="327" t="s">
        <v>41</v>
      </c>
      <c r="Y17" s="337" t="s">
        <v>54</v>
      </c>
      <c r="Z17" s="339" t="s">
        <v>18</v>
      </c>
      <c r="AA17" s="341" t="s">
        <v>60</v>
      </c>
      <c r="AB17" s="341" t="s">
        <v>19</v>
      </c>
      <c r="AC17" s="341" t="s">
        <v>68</v>
      </c>
      <c r="AD17" s="343" t="s">
        <v>57</v>
      </c>
      <c r="AE17" s="344"/>
      <c r="AF17" s="345"/>
      <c r="AG17" s="85"/>
      <c r="BD17" s="84" t="s">
        <v>64</v>
      </c>
    </row>
    <row r="18" spans="1:68" ht="14.25" customHeight="1" x14ac:dyDescent="0.2">
      <c r="A18" s="328"/>
      <c r="B18" s="328"/>
      <c r="C18" s="330"/>
      <c r="D18" s="333"/>
      <c r="E18" s="334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33"/>
      <c r="Q18" s="336"/>
      <c r="R18" s="336"/>
      <c r="S18" s="336"/>
      <c r="T18" s="334"/>
      <c r="U18" s="86" t="s">
        <v>44</v>
      </c>
      <c r="V18" s="86" t="s">
        <v>43</v>
      </c>
      <c r="W18" s="328"/>
      <c r="X18" s="328"/>
      <c r="Y18" s="338"/>
      <c r="Z18" s="340"/>
      <c r="AA18" s="342"/>
      <c r="AB18" s="342"/>
      <c r="AC18" s="342"/>
      <c r="AD18" s="346"/>
      <c r="AE18" s="347"/>
      <c r="AF18" s="348"/>
      <c r="AG18" s="85"/>
      <c r="BD18" s="84"/>
    </row>
    <row r="19" spans="1:68" ht="27.75" customHeight="1" x14ac:dyDescent="0.2">
      <c r="A19" s="349" t="s">
        <v>81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54"/>
      <c r="AB19" s="54"/>
      <c r="AC19" s="54"/>
    </row>
    <row r="20" spans="1:68" ht="16.5" customHeight="1" x14ac:dyDescent="0.25">
      <c r="A20" s="350" t="s">
        <v>81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65"/>
      <c r="AB20" s="65"/>
      <c r="AC20" s="82"/>
    </row>
    <row r="21" spans="1:68" ht="14.25" customHeight="1" x14ac:dyDescent="0.25">
      <c r="A21" s="351" t="s">
        <v>82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2">
        <v>4607111035912</v>
      </c>
      <c r="E22" s="352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4"/>
      <c r="R22" s="354"/>
      <c r="S22" s="354"/>
      <c r="T22" s="35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2">
        <v>4607111035103</v>
      </c>
      <c r="E23" s="352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4"/>
      <c r="R23" s="354"/>
      <c r="S23" s="354"/>
      <c r="T23" s="35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2">
        <v>4607111035929</v>
      </c>
      <c r="E24" s="352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4"/>
      <c r="R24" s="354"/>
      <c r="S24" s="354"/>
      <c r="T24" s="35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2">
        <v>4607111035882</v>
      </c>
      <c r="E25" s="352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4"/>
      <c r="R25" s="354"/>
      <c r="S25" s="354"/>
      <c r="T25" s="35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2">
        <v>4607111035110</v>
      </c>
      <c r="E26" s="352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4"/>
      <c r="R26" s="354"/>
      <c r="S26" s="354"/>
      <c r="T26" s="35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2">
        <v>4607111035905</v>
      </c>
      <c r="E27" s="35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4"/>
      <c r="R27" s="354"/>
      <c r="S27" s="354"/>
      <c r="T27" s="35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4"/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5"/>
      <c r="P28" s="361" t="s">
        <v>40</v>
      </c>
      <c r="Q28" s="362"/>
      <c r="R28" s="362"/>
      <c r="S28" s="362"/>
      <c r="T28" s="362"/>
      <c r="U28" s="362"/>
      <c r="V28" s="363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4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5"/>
      <c r="P29" s="361" t="s">
        <v>40</v>
      </c>
      <c r="Q29" s="362"/>
      <c r="R29" s="362"/>
      <c r="S29" s="362"/>
      <c r="T29" s="362"/>
      <c r="U29" s="362"/>
      <c r="V29" s="363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0" t="s">
        <v>100</v>
      </c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65"/>
      <c r="AB30" s="65"/>
      <c r="AC30" s="82"/>
    </row>
    <row r="31" spans="1:68" ht="14.25" customHeight="1" x14ac:dyDescent="0.25">
      <c r="A31" s="351" t="s">
        <v>82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2">
        <v>4607111039019</v>
      </c>
      <c r="E32" s="352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4"/>
      <c r="R32" s="354"/>
      <c r="S32" s="354"/>
      <c r="T32" s="355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2">
        <v>4607111038708</v>
      </c>
      <c r="E33" s="352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4"/>
      <c r="R33" s="354"/>
      <c r="S33" s="354"/>
      <c r="T33" s="355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4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1" t="s">
        <v>40</v>
      </c>
      <c r="Q34" s="362"/>
      <c r="R34" s="362"/>
      <c r="S34" s="362"/>
      <c r="T34" s="362"/>
      <c r="U34" s="362"/>
      <c r="V34" s="363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1" t="s">
        <v>40</v>
      </c>
      <c r="Q35" s="362"/>
      <c r="R35" s="362"/>
      <c r="S35" s="362"/>
      <c r="T35" s="362"/>
      <c r="U35" s="362"/>
      <c r="V35" s="363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9" t="s">
        <v>45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54"/>
      <c r="AB36" s="54"/>
      <c r="AC36" s="54"/>
    </row>
    <row r="37" spans="1:68" ht="16.5" customHeight="1" x14ac:dyDescent="0.25">
      <c r="A37" s="350" t="s">
        <v>106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65"/>
      <c r="AB37" s="65"/>
      <c r="AC37" s="82"/>
    </row>
    <row r="38" spans="1:68" ht="14.25" customHeight="1" x14ac:dyDescent="0.25">
      <c r="A38" s="351" t="s">
        <v>107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2">
        <v>4607111036537</v>
      </c>
      <c r="E39" s="352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4"/>
      <c r="R39" s="354"/>
      <c r="S39" s="354"/>
      <c r="T39" s="35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2">
        <v>4607111036605</v>
      </c>
      <c r="E40" s="352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4"/>
      <c r="R40" s="354"/>
      <c r="S40" s="354"/>
      <c r="T40" s="355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4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1" t="s">
        <v>40</v>
      </c>
      <c r="Q41" s="362"/>
      <c r="R41" s="362"/>
      <c r="S41" s="362"/>
      <c r="T41" s="362"/>
      <c r="U41" s="362"/>
      <c r="V41" s="363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1" t="s">
        <v>40</v>
      </c>
      <c r="Q42" s="362"/>
      <c r="R42" s="362"/>
      <c r="S42" s="362"/>
      <c r="T42" s="362"/>
      <c r="U42" s="362"/>
      <c r="V42" s="363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50" t="s">
        <v>117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65"/>
      <c r="AB43" s="65"/>
      <c r="AC43" s="82"/>
    </row>
    <row r="44" spans="1:68" ht="14.25" customHeight="1" x14ac:dyDescent="0.25">
      <c r="A44" s="351" t="s">
        <v>82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2">
        <v>4620207490075</v>
      </c>
      <c r="E45" s="352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4"/>
      <c r="R45" s="354"/>
      <c r="S45" s="354"/>
      <c r="T45" s="355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2">
        <v>4620207490174</v>
      </c>
      <c r="E46" s="352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4"/>
      <c r="R46" s="354"/>
      <c r="S46" s="354"/>
      <c r="T46" s="355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52">
        <v>4620207490044</v>
      </c>
      <c r="E47" s="35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4"/>
      <c r="R47" s="354"/>
      <c r="S47" s="354"/>
      <c r="T47" s="35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5"/>
      <c r="P48" s="361" t="s">
        <v>40</v>
      </c>
      <c r="Q48" s="362"/>
      <c r="R48" s="362"/>
      <c r="S48" s="362"/>
      <c r="T48" s="362"/>
      <c r="U48" s="362"/>
      <c r="V48" s="363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5"/>
      <c r="P49" s="361" t="s">
        <v>40</v>
      </c>
      <c r="Q49" s="362"/>
      <c r="R49" s="362"/>
      <c r="S49" s="362"/>
      <c r="T49" s="362"/>
      <c r="U49" s="362"/>
      <c r="V49" s="363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0" t="s">
        <v>127</v>
      </c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65"/>
      <c r="AB50" s="65"/>
      <c r="AC50" s="82"/>
    </row>
    <row r="51" spans="1:68" ht="14.25" customHeight="1" x14ac:dyDescent="0.25">
      <c r="A51" s="351" t="s">
        <v>82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52">
        <v>4607111039385</v>
      </c>
      <c r="E52" s="352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4"/>
      <c r="R52" s="354"/>
      <c r="S52" s="354"/>
      <c r="T52" s="355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52">
        <v>4607111038982</v>
      </c>
      <c r="E53" s="352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4"/>
      <c r="R53" s="354"/>
      <c r="S53" s="354"/>
      <c r="T53" s="35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52">
        <v>4607111039354</v>
      </c>
      <c r="E54" s="352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4"/>
      <c r="R54" s="354"/>
      <c r="S54" s="354"/>
      <c r="T54" s="35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52">
        <v>4607111039330</v>
      </c>
      <c r="E55" s="352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88</v>
      </c>
      <c r="M55" s="38" t="s">
        <v>86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4"/>
      <c r="R55" s="354"/>
      <c r="S55" s="354"/>
      <c r="T55" s="35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89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5"/>
      <c r="P56" s="361" t="s">
        <v>40</v>
      </c>
      <c r="Q56" s="362"/>
      <c r="R56" s="362"/>
      <c r="S56" s="362"/>
      <c r="T56" s="362"/>
      <c r="U56" s="362"/>
      <c r="V56" s="363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5"/>
      <c r="P57" s="361" t="s">
        <v>40</v>
      </c>
      <c r="Q57" s="362"/>
      <c r="R57" s="362"/>
      <c r="S57" s="362"/>
      <c r="T57" s="362"/>
      <c r="U57" s="362"/>
      <c r="V57" s="363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50" t="s">
        <v>138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65"/>
      <c r="AB58" s="65"/>
      <c r="AC58" s="82"/>
    </row>
    <row r="59" spans="1:68" ht="14.25" customHeight="1" x14ac:dyDescent="0.25">
      <c r="A59" s="351" t="s">
        <v>82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52">
        <v>4620207490822</v>
      </c>
      <c r="E60" s="352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4"/>
      <c r="R60" s="354"/>
      <c r="S60" s="354"/>
      <c r="T60" s="355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1" t="s">
        <v>40</v>
      </c>
      <c r="Q61" s="362"/>
      <c r="R61" s="362"/>
      <c r="S61" s="362"/>
      <c r="T61" s="362"/>
      <c r="U61" s="362"/>
      <c r="V61" s="363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1" t="s">
        <v>40</v>
      </c>
      <c r="Q62" s="362"/>
      <c r="R62" s="362"/>
      <c r="S62" s="362"/>
      <c r="T62" s="362"/>
      <c r="U62" s="362"/>
      <c r="V62" s="363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1" t="s">
        <v>107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52">
        <v>4607111039712</v>
      </c>
      <c r="E64" s="352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4"/>
      <c r="R64" s="354"/>
      <c r="S64" s="354"/>
      <c r="T64" s="355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5"/>
      <c r="P65" s="361" t="s">
        <v>40</v>
      </c>
      <c r="Q65" s="362"/>
      <c r="R65" s="362"/>
      <c r="S65" s="362"/>
      <c r="T65" s="362"/>
      <c r="U65" s="362"/>
      <c r="V65" s="363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1" t="s">
        <v>40</v>
      </c>
      <c r="Q66" s="362"/>
      <c r="R66" s="362"/>
      <c r="S66" s="362"/>
      <c r="T66" s="362"/>
      <c r="U66" s="362"/>
      <c r="V66" s="363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1" t="s">
        <v>145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52">
        <v>4607111037008</v>
      </c>
      <c r="E68" s="352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4"/>
      <c r="R68" s="354"/>
      <c r="S68" s="354"/>
      <c r="T68" s="355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52">
        <v>4607111037398</v>
      </c>
      <c r="E69" s="35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4"/>
      <c r="R69" s="354"/>
      <c r="S69" s="354"/>
      <c r="T69" s="35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5"/>
      <c r="P70" s="361" t="s">
        <v>40</v>
      </c>
      <c r="Q70" s="362"/>
      <c r="R70" s="362"/>
      <c r="S70" s="362"/>
      <c r="T70" s="362"/>
      <c r="U70" s="362"/>
      <c r="V70" s="363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1" t="s">
        <v>40</v>
      </c>
      <c r="Q71" s="362"/>
      <c r="R71" s="362"/>
      <c r="S71" s="362"/>
      <c r="T71" s="362"/>
      <c r="U71" s="362"/>
      <c r="V71" s="363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1" t="s">
        <v>151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52">
        <v>4607111039705</v>
      </c>
      <c r="E73" s="352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4"/>
      <c r="R73" s="354"/>
      <c r="S73" s="354"/>
      <c r="T73" s="355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52">
        <v>4607111039729</v>
      </c>
      <c r="E74" s="352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4"/>
      <c r="R74" s="354"/>
      <c r="S74" s="354"/>
      <c r="T74" s="35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52">
        <v>4620207490228</v>
      </c>
      <c r="E75" s="35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4"/>
      <c r="R75" s="354"/>
      <c r="S75" s="354"/>
      <c r="T75" s="35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5"/>
      <c r="P76" s="361" t="s">
        <v>40</v>
      </c>
      <c r="Q76" s="362"/>
      <c r="R76" s="362"/>
      <c r="S76" s="362"/>
      <c r="T76" s="362"/>
      <c r="U76" s="362"/>
      <c r="V76" s="363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5"/>
      <c r="P77" s="361" t="s">
        <v>40</v>
      </c>
      <c r="Q77" s="362"/>
      <c r="R77" s="362"/>
      <c r="S77" s="362"/>
      <c r="T77" s="362"/>
      <c r="U77" s="362"/>
      <c r="V77" s="363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0" t="s">
        <v>159</v>
      </c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65"/>
      <c r="AB78" s="65"/>
      <c r="AC78" s="82"/>
    </row>
    <row r="79" spans="1:68" ht="14.25" customHeight="1" x14ac:dyDescent="0.25">
      <c r="A79" s="351" t="s">
        <v>82</v>
      </c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52">
        <v>4607111037411</v>
      </c>
      <c r="E80" s="352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4"/>
      <c r="R80" s="354"/>
      <c r="S80" s="354"/>
      <c r="T80" s="355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52">
        <v>4607111036728</v>
      </c>
      <c r="E81" s="352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166</v>
      </c>
      <c r="M81" s="38" t="s">
        <v>86</v>
      </c>
      <c r="N81" s="38"/>
      <c r="O81" s="37">
        <v>180</v>
      </c>
      <c r="P81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4"/>
      <c r="R81" s="354"/>
      <c r="S81" s="354"/>
      <c r="T81" s="355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167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5"/>
      <c r="P82" s="361" t="s">
        <v>40</v>
      </c>
      <c r="Q82" s="362"/>
      <c r="R82" s="362"/>
      <c r="S82" s="362"/>
      <c r="T82" s="362"/>
      <c r="U82" s="362"/>
      <c r="V82" s="363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5"/>
      <c r="P83" s="361" t="s">
        <v>40</v>
      </c>
      <c r="Q83" s="362"/>
      <c r="R83" s="362"/>
      <c r="S83" s="362"/>
      <c r="T83" s="362"/>
      <c r="U83" s="362"/>
      <c r="V83" s="363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50" t="s">
        <v>168</v>
      </c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65"/>
      <c r="AB84" s="65"/>
      <c r="AC84" s="82"/>
    </row>
    <row r="85" spans="1:68" ht="14.25" customHeight="1" x14ac:dyDescent="0.25">
      <c r="A85" s="351" t="s">
        <v>151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52">
        <v>4607111033659</v>
      </c>
      <c r="E86" s="35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4"/>
      <c r="R86" s="354"/>
      <c r="S86" s="354"/>
      <c r="T86" s="355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1" t="s">
        <v>40</v>
      </c>
      <c r="Q87" s="362"/>
      <c r="R87" s="362"/>
      <c r="S87" s="362"/>
      <c r="T87" s="362"/>
      <c r="U87" s="362"/>
      <c r="V87" s="363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5"/>
      <c r="P88" s="361" t="s">
        <v>40</v>
      </c>
      <c r="Q88" s="362"/>
      <c r="R88" s="362"/>
      <c r="S88" s="362"/>
      <c r="T88" s="362"/>
      <c r="U88" s="362"/>
      <c r="V88" s="363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50" t="s">
        <v>172</v>
      </c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65"/>
      <c r="AB89" s="65"/>
      <c r="AC89" s="82"/>
    </row>
    <row r="90" spans="1:68" ht="14.25" customHeight="1" x14ac:dyDescent="0.25">
      <c r="A90" s="351" t="s">
        <v>173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52">
        <v>4607111034120</v>
      </c>
      <c r="E91" s="352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4"/>
      <c r="R91" s="354"/>
      <c r="S91" s="354"/>
      <c r="T91" s="355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52">
        <v>4607111034137</v>
      </c>
      <c r="E92" s="352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88</v>
      </c>
      <c r="M92" s="38" t="s">
        <v>86</v>
      </c>
      <c r="N92" s="38"/>
      <c r="O92" s="37">
        <v>180</v>
      </c>
      <c r="P92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4"/>
      <c r="R92" s="354"/>
      <c r="S92" s="354"/>
      <c r="T92" s="355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89</v>
      </c>
      <c r="AK92" s="87">
        <v>1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5"/>
      <c r="P93" s="361" t="s">
        <v>40</v>
      </c>
      <c r="Q93" s="362"/>
      <c r="R93" s="362"/>
      <c r="S93" s="362"/>
      <c r="T93" s="362"/>
      <c r="U93" s="362"/>
      <c r="V93" s="363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5"/>
      <c r="P94" s="361" t="s">
        <v>40</v>
      </c>
      <c r="Q94" s="362"/>
      <c r="R94" s="362"/>
      <c r="S94" s="362"/>
      <c r="T94" s="362"/>
      <c r="U94" s="362"/>
      <c r="V94" s="363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50" t="s">
        <v>180</v>
      </c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65"/>
      <c r="AB95" s="65"/>
      <c r="AC95" s="82"/>
    </row>
    <row r="96" spans="1:68" ht="14.25" customHeight="1" x14ac:dyDescent="0.25">
      <c r="A96" s="351" t="s">
        <v>151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52">
        <v>4620207491027</v>
      </c>
      <c r="E97" s="35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4"/>
      <c r="R97" s="354"/>
      <c r="S97" s="354"/>
      <c r="T97" s="35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3" si="6">IFERROR(IF(X97="","",X97),"")</f>
        <v>0</v>
      </c>
      <c r="Z97" s="41">
        <f t="shared" ref="Z97:Z103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3" si="8">IFERROR(X97*I97,"0")</f>
        <v>0</v>
      </c>
      <c r="BN97" s="81">
        <f t="shared" ref="BN97:BN103" si="9">IFERROR(Y97*I97,"0")</f>
        <v>0</v>
      </c>
      <c r="BO97" s="81">
        <f t="shared" ref="BO97:BO103" si="10">IFERROR(X97/J97,"0")</f>
        <v>0</v>
      </c>
      <c r="BP97" s="81">
        <f t="shared" ref="BP97:BP103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52">
        <v>4620207491003</v>
      </c>
      <c r="E98" s="352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88</v>
      </c>
      <c r="M98" s="38" t="s">
        <v>86</v>
      </c>
      <c r="N98" s="38"/>
      <c r="O98" s="37">
        <v>180</v>
      </c>
      <c r="P98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4"/>
      <c r="R98" s="354"/>
      <c r="S98" s="354"/>
      <c r="T98" s="35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89</v>
      </c>
      <c r="AK98" s="87">
        <v>1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52">
        <v>4620207491034</v>
      </c>
      <c r="E99" s="35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4"/>
      <c r="R99" s="354"/>
      <c r="S99" s="354"/>
      <c r="T99" s="35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52">
        <v>4620207491010</v>
      </c>
      <c r="E100" s="35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88</v>
      </c>
      <c r="M100" s="38" t="s">
        <v>86</v>
      </c>
      <c r="N100" s="38"/>
      <c r="O100" s="37">
        <v>180</v>
      </c>
      <c r="P100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4"/>
      <c r="R100" s="354"/>
      <c r="S100" s="354"/>
      <c r="T100" s="355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89</v>
      </c>
      <c r="AK100" s="87">
        <v>1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52">
        <v>4607111035028</v>
      </c>
      <c r="E101" s="352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9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4"/>
      <c r="R101" s="354"/>
      <c r="S101" s="354"/>
      <c r="T101" s="35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52">
        <v>4607111036407</v>
      </c>
      <c r="E102" s="352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4"/>
      <c r="R102" s="354"/>
      <c r="S102" s="354"/>
      <c r="T102" s="355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195</v>
      </c>
      <c r="B103" s="63" t="s">
        <v>196</v>
      </c>
      <c r="C103" s="36">
        <v>4301135849</v>
      </c>
      <c r="D103" s="352">
        <v>4620207491423</v>
      </c>
      <c r="E103" s="352"/>
      <c r="F103" s="62">
        <v>0.22</v>
      </c>
      <c r="G103" s="37">
        <v>12</v>
      </c>
      <c r="H103" s="62">
        <v>2.64</v>
      </c>
      <c r="I103" s="62">
        <v>3.34</v>
      </c>
      <c r="J103" s="37">
        <v>70</v>
      </c>
      <c r="K103" s="37" t="s">
        <v>112</v>
      </c>
      <c r="L103" s="37" t="s">
        <v>88</v>
      </c>
      <c r="M103" s="38" t="s">
        <v>86</v>
      </c>
      <c r="N103" s="38"/>
      <c r="O103" s="37">
        <v>180</v>
      </c>
      <c r="P103" s="395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4"/>
      <c r="R103" s="354"/>
      <c r="S103" s="354"/>
      <c r="T103" s="355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197</v>
      </c>
      <c r="AG103" s="81"/>
      <c r="AJ103" s="87" t="s">
        <v>89</v>
      </c>
      <c r="AK103" s="87">
        <v>1</v>
      </c>
      <c r="BB103" s="160" t="s">
        <v>111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x14ac:dyDescent="0.2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5"/>
      <c r="P104" s="361" t="s">
        <v>40</v>
      </c>
      <c r="Q104" s="362"/>
      <c r="R104" s="362"/>
      <c r="S104" s="362"/>
      <c r="T104" s="362"/>
      <c r="U104" s="362"/>
      <c r="V104" s="363"/>
      <c r="W104" s="42" t="s">
        <v>39</v>
      </c>
      <c r="X104" s="43">
        <f>IFERROR(SUM(X97:X103),"0")</f>
        <v>0</v>
      </c>
      <c r="Y104" s="43">
        <f>IFERROR(SUM(Y97:Y103),"0")</f>
        <v>0</v>
      </c>
      <c r="Z104" s="43">
        <f>IFERROR(IF(Z97="",0,Z97),"0")+IFERROR(IF(Z98="",0,Z98),"0")+IFERROR(IF(Z99="",0,Z99),"0")+IFERROR(IF(Z100="",0,Z100),"0")+IFERROR(IF(Z101="",0,Z101),"0")+IFERROR(IF(Z102="",0,Z102),"0")+IFERROR(IF(Z103="",0,Z103),"0")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5"/>
      <c r="P105" s="361" t="s">
        <v>40</v>
      </c>
      <c r="Q105" s="362"/>
      <c r="R105" s="362"/>
      <c r="S105" s="362"/>
      <c r="T105" s="362"/>
      <c r="U105" s="362"/>
      <c r="V105" s="363"/>
      <c r="W105" s="42" t="s">
        <v>0</v>
      </c>
      <c r="X105" s="43">
        <f>IFERROR(SUMPRODUCT(X97:X103*H97:H103),"0")</f>
        <v>0</v>
      </c>
      <c r="Y105" s="43">
        <f>IFERROR(SUMPRODUCT(Y97:Y103*H97:H103),"0")</f>
        <v>0</v>
      </c>
      <c r="Z105" s="42"/>
      <c r="AA105" s="67"/>
      <c r="AB105" s="67"/>
      <c r="AC105" s="67"/>
    </row>
    <row r="106" spans="1:68" ht="16.5" customHeight="1" x14ac:dyDescent="0.25">
      <c r="A106" s="350" t="s">
        <v>198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65"/>
      <c r="AB106" s="65"/>
      <c r="AC106" s="82"/>
    </row>
    <row r="107" spans="1:68" ht="14.25" customHeight="1" x14ac:dyDescent="0.25">
      <c r="A107" s="351" t="s">
        <v>145</v>
      </c>
      <c r="B107" s="351"/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  <c r="AA107" s="66"/>
      <c r="AB107" s="66"/>
      <c r="AC107" s="83"/>
    </row>
    <row r="108" spans="1:68" ht="27" customHeight="1" x14ac:dyDescent="0.25">
      <c r="A108" s="63" t="s">
        <v>199</v>
      </c>
      <c r="B108" s="63" t="s">
        <v>200</v>
      </c>
      <c r="C108" s="36">
        <v>4301136070</v>
      </c>
      <c r="D108" s="352">
        <v>4607025784012</v>
      </c>
      <c r="E108" s="352"/>
      <c r="F108" s="62">
        <v>0.09</v>
      </c>
      <c r="G108" s="37">
        <v>24</v>
      </c>
      <c r="H108" s="62">
        <v>2.16</v>
      </c>
      <c r="I108" s="62">
        <v>2.4912000000000001</v>
      </c>
      <c r="J108" s="37">
        <v>126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4"/>
      <c r="R108" s="354"/>
      <c r="S108" s="354"/>
      <c r="T108" s="355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IFERROR(IF(X108="","",X108*0.00936),"")</f>
        <v>0</v>
      </c>
      <c r="AA108" s="68" t="s">
        <v>46</v>
      </c>
      <c r="AB108" s="69" t="s">
        <v>46</v>
      </c>
      <c r="AC108" s="161" t="s">
        <v>201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ht="27" customHeight="1" x14ac:dyDescent="0.25">
      <c r="A109" s="63" t="s">
        <v>202</v>
      </c>
      <c r="B109" s="63" t="s">
        <v>203</v>
      </c>
      <c r="C109" s="36">
        <v>4301136079</v>
      </c>
      <c r="D109" s="352">
        <v>4607025784319</v>
      </c>
      <c r="E109" s="352"/>
      <c r="F109" s="62">
        <v>0.36</v>
      </c>
      <c r="G109" s="37">
        <v>10</v>
      </c>
      <c r="H109" s="62">
        <v>3.6</v>
      </c>
      <c r="I109" s="62">
        <v>4.2439999999999998</v>
      </c>
      <c r="J109" s="37">
        <v>70</v>
      </c>
      <c r="K109" s="37" t="s">
        <v>112</v>
      </c>
      <c r="L109" s="37" t="s">
        <v>88</v>
      </c>
      <c r="M109" s="38" t="s">
        <v>86</v>
      </c>
      <c r="N109" s="38"/>
      <c r="O109" s="37">
        <v>180</v>
      </c>
      <c r="P109" s="39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4"/>
      <c r="R109" s="354"/>
      <c r="S109" s="354"/>
      <c r="T109" s="355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IFERROR(IF(X109="","",X109*0.01788),"")</f>
        <v>0</v>
      </c>
      <c r="AA109" s="68" t="s">
        <v>46</v>
      </c>
      <c r="AB109" s="69" t="s">
        <v>46</v>
      </c>
      <c r="AC109" s="163" t="s">
        <v>171</v>
      </c>
      <c r="AG109" s="81"/>
      <c r="AJ109" s="87" t="s">
        <v>89</v>
      </c>
      <c r="AK109" s="87">
        <v>1</v>
      </c>
      <c r="BB109" s="164" t="s">
        <v>111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x14ac:dyDescent="0.2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5"/>
      <c r="P110" s="361" t="s">
        <v>40</v>
      </c>
      <c r="Q110" s="362"/>
      <c r="R110" s="362"/>
      <c r="S110" s="362"/>
      <c r="T110" s="362"/>
      <c r="U110" s="362"/>
      <c r="V110" s="363"/>
      <c r="W110" s="42" t="s">
        <v>39</v>
      </c>
      <c r="X110" s="43">
        <f>IFERROR(SUM(X108:X109),"0")</f>
        <v>0</v>
      </c>
      <c r="Y110" s="43">
        <f>IFERROR(SUM(Y108:Y109),"0")</f>
        <v>0</v>
      </c>
      <c r="Z110" s="43">
        <f>IFERROR(IF(Z108="",0,Z108),"0")+IFERROR(IF(Z109="",0,Z109),"0")</f>
        <v>0</v>
      </c>
      <c r="AA110" s="67"/>
      <c r="AB110" s="67"/>
      <c r="AC110" s="67"/>
    </row>
    <row r="111" spans="1:68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1" t="s">
        <v>40</v>
      </c>
      <c r="Q111" s="362"/>
      <c r="R111" s="362"/>
      <c r="S111" s="362"/>
      <c r="T111" s="362"/>
      <c r="U111" s="362"/>
      <c r="V111" s="363"/>
      <c r="W111" s="42" t="s">
        <v>0</v>
      </c>
      <c r="X111" s="43">
        <f>IFERROR(SUMPRODUCT(X108:X109*H108:H109),"0")</f>
        <v>0</v>
      </c>
      <c r="Y111" s="43">
        <f>IFERROR(SUMPRODUCT(Y108:Y109*H108:H109),"0")</f>
        <v>0</v>
      </c>
      <c r="Z111" s="42"/>
      <c r="AA111" s="67"/>
      <c r="AB111" s="67"/>
      <c r="AC111" s="67"/>
    </row>
    <row r="112" spans="1:68" ht="16.5" customHeight="1" x14ac:dyDescent="0.25">
      <c r="A112" s="350" t="s">
        <v>204</v>
      </c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65"/>
      <c r="AB112" s="65"/>
      <c r="AC112" s="82"/>
    </row>
    <row r="113" spans="1:68" ht="14.25" customHeight="1" x14ac:dyDescent="0.25">
      <c r="A113" s="351" t="s">
        <v>82</v>
      </c>
      <c r="B113" s="351"/>
      <c r="C113" s="351"/>
      <c r="D113" s="351"/>
      <c r="E113" s="351"/>
      <c r="F113" s="351"/>
      <c r="G113" s="351"/>
      <c r="H113" s="351"/>
      <c r="I113" s="351"/>
      <c r="J113" s="351"/>
      <c r="K113" s="351"/>
      <c r="L113" s="351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66"/>
      <c r="AB113" s="66"/>
      <c r="AC113" s="83"/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2">
        <v>4620207491157</v>
      </c>
      <c r="E114" s="352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4"/>
      <c r="R114" s="354"/>
      <c r="S114" s="354"/>
      <c r="T114" s="35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ref="Y114:Y121" si="12">IFERROR(IF(X114="","",X114),"")</f>
        <v>0</v>
      </c>
      <c r="Z114" s="41">
        <f t="shared" ref="Z114:Z121" si="13">IFERROR(IF(X114="","",X114*0.0155),"")</f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ref="BM114:BM121" si="14">IFERROR(X114*I114,"0")</f>
        <v>0</v>
      </c>
      <c r="BN114" s="81">
        <f t="shared" ref="BN114:BN121" si="15">IFERROR(Y114*I114,"0")</f>
        <v>0</v>
      </c>
      <c r="BO114" s="81">
        <f t="shared" ref="BO114:BO121" si="16">IFERROR(X114/J114,"0")</f>
        <v>0</v>
      </c>
      <c r="BP114" s="81">
        <f t="shared" ref="BP114:BP121" si="17">IFERROR(Y114/J114,"0")</f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4301071121</v>
      </c>
      <c r="D115" s="352">
        <v>4620207491393</v>
      </c>
      <c r="E115" s="352"/>
      <c r="F115" s="62">
        <v>0.4</v>
      </c>
      <c r="G115" s="37">
        <v>16</v>
      </c>
      <c r="H115" s="62">
        <v>6.4</v>
      </c>
      <c r="I115" s="62">
        <v>6.71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9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4"/>
      <c r="R115" s="354"/>
      <c r="S115" s="354"/>
      <c r="T115" s="35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210</v>
      </c>
      <c r="AG115" s="81"/>
      <c r="AJ115" s="87" t="s">
        <v>89</v>
      </c>
      <c r="AK115" s="87">
        <v>1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211</v>
      </c>
      <c r="B116" s="63" t="s">
        <v>212</v>
      </c>
      <c r="C116" s="36">
        <v>4301071051</v>
      </c>
      <c r="D116" s="352">
        <v>4607111039262</v>
      </c>
      <c r="E116" s="352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40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4"/>
      <c r="R116" s="354"/>
      <c r="S116" s="354"/>
      <c r="T116" s="35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213</v>
      </c>
      <c r="B117" s="63" t="s">
        <v>214</v>
      </c>
      <c r="C117" s="36">
        <v>4301071038</v>
      </c>
      <c r="D117" s="352">
        <v>4607111039248</v>
      </c>
      <c r="E117" s="35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166</v>
      </c>
      <c r="M117" s="38" t="s">
        <v>86</v>
      </c>
      <c r="N117" s="38"/>
      <c r="O117" s="37">
        <v>180</v>
      </c>
      <c r="P117" s="40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4"/>
      <c r="R117" s="354"/>
      <c r="S117" s="354"/>
      <c r="T117" s="35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162</v>
      </c>
      <c r="AG117" s="81"/>
      <c r="AJ117" s="87" t="s">
        <v>167</v>
      </c>
      <c r="AK117" s="87">
        <v>84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4301070979</v>
      </c>
      <c r="D118" s="352">
        <v>4607111037145</v>
      </c>
      <c r="E118" s="352"/>
      <c r="F118" s="62">
        <v>0.8</v>
      </c>
      <c r="G118" s="37">
        <v>8</v>
      </c>
      <c r="H118" s="62">
        <v>6.4</v>
      </c>
      <c r="I118" s="62">
        <v>6.6748000000000003</v>
      </c>
      <c r="J118" s="37">
        <v>84</v>
      </c>
      <c r="K118" s="37" t="s">
        <v>87</v>
      </c>
      <c r="L118" s="37" t="s">
        <v>88</v>
      </c>
      <c r="M118" s="38" t="s">
        <v>86</v>
      </c>
      <c r="N118" s="38"/>
      <c r="O118" s="37">
        <v>180</v>
      </c>
      <c r="P118" s="40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4"/>
      <c r="R118" s="354"/>
      <c r="S118" s="354"/>
      <c r="T118" s="35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217</v>
      </c>
      <c r="AG118" s="81"/>
      <c r="AJ118" s="87" t="s">
        <v>89</v>
      </c>
      <c r="AK118" s="87">
        <v>1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218</v>
      </c>
      <c r="B119" s="63" t="s">
        <v>219</v>
      </c>
      <c r="C119" s="36">
        <v>4301071049</v>
      </c>
      <c r="D119" s="352">
        <v>4607111039293</v>
      </c>
      <c r="E119" s="352"/>
      <c r="F119" s="62">
        <v>0.4</v>
      </c>
      <c r="G119" s="37">
        <v>16</v>
      </c>
      <c r="H119" s="62">
        <v>6.4</v>
      </c>
      <c r="I119" s="62">
        <v>6.7195999999999998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4"/>
      <c r="R119" s="354"/>
      <c r="S119" s="354"/>
      <c r="T119" s="35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220</v>
      </c>
      <c r="B120" s="63" t="s">
        <v>221</v>
      </c>
      <c r="C120" s="36">
        <v>4301071039</v>
      </c>
      <c r="D120" s="352">
        <v>4607111039279</v>
      </c>
      <c r="E120" s="352"/>
      <c r="F120" s="62">
        <v>0.7</v>
      </c>
      <c r="G120" s="37">
        <v>10</v>
      </c>
      <c r="H120" s="62">
        <v>7</v>
      </c>
      <c r="I120" s="62">
        <v>7.3</v>
      </c>
      <c r="J120" s="37">
        <v>84</v>
      </c>
      <c r="K120" s="37" t="s">
        <v>87</v>
      </c>
      <c r="L120" s="37" t="s">
        <v>113</v>
      </c>
      <c r="M120" s="38" t="s">
        <v>86</v>
      </c>
      <c r="N120" s="38"/>
      <c r="O120" s="37">
        <v>180</v>
      </c>
      <c r="P120" s="40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4"/>
      <c r="R120" s="354"/>
      <c r="S120" s="354"/>
      <c r="T120" s="35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162</v>
      </c>
      <c r="AG120" s="81"/>
      <c r="AJ120" s="87" t="s">
        <v>114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352">
        <v>4620207491102</v>
      </c>
      <c r="E121" s="352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87</v>
      </c>
      <c r="L121" s="37" t="s">
        <v>88</v>
      </c>
      <c r="M121" s="38" t="s">
        <v>86</v>
      </c>
      <c r="N121" s="38"/>
      <c r="O121" s="37">
        <v>180</v>
      </c>
      <c r="P121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354"/>
      <c r="R121" s="354"/>
      <c r="S121" s="354"/>
      <c r="T121" s="355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2" t="s">
        <v>39</v>
      </c>
      <c r="X122" s="43">
        <f>IFERROR(SUM(X114:X121),"0")</f>
        <v>0</v>
      </c>
      <c r="Y122" s="43">
        <f>IFERROR(SUM(Y114:Y121),"0")</f>
        <v>0</v>
      </c>
      <c r="Z122" s="43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5"/>
      <c r="P123" s="361" t="s">
        <v>40</v>
      </c>
      <c r="Q123" s="362"/>
      <c r="R123" s="362"/>
      <c r="S123" s="362"/>
      <c r="T123" s="362"/>
      <c r="U123" s="362"/>
      <c r="V123" s="363"/>
      <c r="W123" s="42" t="s">
        <v>0</v>
      </c>
      <c r="X123" s="43">
        <f>IFERROR(SUMPRODUCT(X114:X121*H114:H121),"0")</f>
        <v>0</v>
      </c>
      <c r="Y123" s="43">
        <f>IFERROR(SUMPRODUCT(Y114:Y121*H114:H121),"0")</f>
        <v>0</v>
      </c>
      <c r="Z123" s="42"/>
      <c r="AA123" s="67"/>
      <c r="AB123" s="67"/>
      <c r="AC123" s="67"/>
    </row>
    <row r="124" spans="1:68" ht="14.25" customHeight="1" x14ac:dyDescent="0.25">
      <c r="A124" s="351" t="s">
        <v>151</v>
      </c>
      <c r="B124" s="351"/>
      <c r="C124" s="351"/>
      <c r="D124" s="351"/>
      <c r="E124" s="351"/>
      <c r="F124" s="351"/>
      <c r="G124" s="351"/>
      <c r="H124" s="351"/>
      <c r="I124" s="351"/>
      <c r="J124" s="351"/>
      <c r="K124" s="351"/>
      <c r="L124" s="351"/>
      <c r="M124" s="351"/>
      <c r="N124" s="351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52">
        <v>4620207490983</v>
      </c>
      <c r="E125" s="352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112</v>
      </c>
      <c r="L125" s="37" t="s">
        <v>88</v>
      </c>
      <c r="M125" s="38" t="s">
        <v>86</v>
      </c>
      <c r="N125" s="38"/>
      <c r="O125" s="37">
        <v>180</v>
      </c>
      <c r="P125" s="40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4"/>
      <c r="R125" s="354"/>
      <c r="S125" s="354"/>
      <c r="T125" s="355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89</v>
      </c>
      <c r="AK125" s="87">
        <v>1</v>
      </c>
      <c r="BB125" s="182" t="s">
        <v>111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5"/>
      <c r="P126" s="361" t="s">
        <v>40</v>
      </c>
      <c r="Q126" s="362"/>
      <c r="R126" s="362"/>
      <c r="S126" s="362"/>
      <c r="T126" s="362"/>
      <c r="U126" s="362"/>
      <c r="V126" s="36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5"/>
      <c r="P127" s="361" t="s">
        <v>40</v>
      </c>
      <c r="Q127" s="362"/>
      <c r="R127" s="362"/>
      <c r="S127" s="362"/>
      <c r="T127" s="362"/>
      <c r="U127" s="362"/>
      <c r="V127" s="36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1" t="s">
        <v>228</v>
      </c>
      <c r="B128" s="351"/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52">
        <v>4620207491140</v>
      </c>
      <c r="E129" s="352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4"/>
      <c r="R129" s="354"/>
      <c r="S129" s="354"/>
      <c r="T129" s="355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89</v>
      </c>
      <c r="AK129" s="87">
        <v>1</v>
      </c>
      <c r="BB129" s="184" t="s">
        <v>111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1" t="s">
        <v>40</v>
      </c>
      <c r="Q130" s="362"/>
      <c r="R130" s="362"/>
      <c r="S130" s="362"/>
      <c r="T130" s="362"/>
      <c r="U130" s="362"/>
      <c r="V130" s="36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1" t="s">
        <v>40</v>
      </c>
      <c r="Q131" s="362"/>
      <c r="R131" s="362"/>
      <c r="S131" s="362"/>
      <c r="T131" s="362"/>
      <c r="U131" s="362"/>
      <c r="V131" s="36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0" t="s">
        <v>232</v>
      </c>
      <c r="B132" s="350"/>
      <c r="C132" s="350"/>
      <c r="D132" s="350"/>
      <c r="E132" s="350"/>
      <c r="F132" s="350"/>
      <c r="G132" s="350"/>
      <c r="H132" s="350"/>
      <c r="I132" s="350"/>
      <c r="J132" s="350"/>
      <c r="K132" s="350"/>
      <c r="L132" s="350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65"/>
      <c r="AB132" s="65"/>
      <c r="AC132" s="82"/>
    </row>
    <row r="133" spans="1:68" ht="14.25" customHeight="1" x14ac:dyDescent="0.25">
      <c r="A133" s="351" t="s">
        <v>151</v>
      </c>
      <c r="B133" s="351"/>
      <c r="C133" s="351"/>
      <c r="D133" s="351"/>
      <c r="E133" s="351"/>
      <c r="F133" s="351"/>
      <c r="G133" s="351"/>
      <c r="H133" s="351"/>
      <c r="I133" s="351"/>
      <c r="J133" s="351"/>
      <c r="K133" s="351"/>
      <c r="L133" s="351"/>
      <c r="M133" s="351"/>
      <c r="N133" s="351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52">
        <v>4607111034014</v>
      </c>
      <c r="E134" s="352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4"/>
      <c r="R134" s="354"/>
      <c r="S134" s="354"/>
      <c r="T134" s="35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52">
        <v>4607111033994</v>
      </c>
      <c r="E135" s="352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112</v>
      </c>
      <c r="L135" s="37" t="s">
        <v>113</v>
      </c>
      <c r="M135" s="38" t="s">
        <v>86</v>
      </c>
      <c r="N135" s="38"/>
      <c r="O135" s="37">
        <v>180</v>
      </c>
      <c r="P135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4"/>
      <c r="R135" s="354"/>
      <c r="S135" s="354"/>
      <c r="T135" s="355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171</v>
      </c>
      <c r="AG135" s="81"/>
      <c r="AJ135" s="87" t="s">
        <v>114</v>
      </c>
      <c r="AK135" s="87">
        <v>14</v>
      </c>
      <c r="BB135" s="188" t="s">
        <v>111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1" t="s">
        <v>40</v>
      </c>
      <c r="Q136" s="362"/>
      <c r="R136" s="362"/>
      <c r="S136" s="362"/>
      <c r="T136" s="362"/>
      <c r="U136" s="362"/>
      <c r="V136" s="363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1" t="s">
        <v>40</v>
      </c>
      <c r="Q137" s="362"/>
      <c r="R137" s="362"/>
      <c r="S137" s="362"/>
      <c r="T137" s="362"/>
      <c r="U137" s="362"/>
      <c r="V137" s="363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50" t="s">
        <v>238</v>
      </c>
      <c r="B138" s="350"/>
      <c r="C138" s="350"/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65"/>
      <c r="AB138" s="65"/>
      <c r="AC138" s="82"/>
    </row>
    <row r="139" spans="1:68" ht="14.25" customHeight="1" x14ac:dyDescent="0.25">
      <c r="A139" s="351" t="s">
        <v>151</v>
      </c>
      <c r="B139" s="351"/>
      <c r="C139" s="351"/>
      <c r="D139" s="351"/>
      <c r="E139" s="351"/>
      <c r="F139" s="351"/>
      <c r="G139" s="351"/>
      <c r="H139" s="351"/>
      <c r="I139" s="351"/>
      <c r="J139" s="351"/>
      <c r="K139" s="351"/>
      <c r="L139" s="351"/>
      <c r="M139" s="351"/>
      <c r="N139" s="351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52">
        <v>4607111039095</v>
      </c>
      <c r="E140" s="352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112</v>
      </c>
      <c r="L140" s="37" t="s">
        <v>88</v>
      </c>
      <c r="M140" s="38" t="s">
        <v>86</v>
      </c>
      <c r="N140" s="38"/>
      <c r="O140" s="37">
        <v>180</v>
      </c>
      <c r="P140" s="41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4"/>
      <c r="R140" s="354"/>
      <c r="S140" s="354"/>
      <c r="T140" s="35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89</v>
      </c>
      <c r="AK140" s="87">
        <v>1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52">
        <v>4607111034199</v>
      </c>
      <c r="E141" s="352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112</v>
      </c>
      <c r="L141" s="37" t="s">
        <v>166</v>
      </c>
      <c r="M141" s="38" t="s">
        <v>86</v>
      </c>
      <c r="N141" s="38"/>
      <c r="O141" s="37">
        <v>180</v>
      </c>
      <c r="P141" s="41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4"/>
      <c r="R141" s="354"/>
      <c r="S141" s="354"/>
      <c r="T141" s="35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167</v>
      </c>
      <c r="AK141" s="87">
        <v>70</v>
      </c>
      <c r="BB141" s="192" t="s">
        <v>111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1" t="s">
        <v>40</v>
      </c>
      <c r="Q142" s="362"/>
      <c r="R142" s="362"/>
      <c r="S142" s="362"/>
      <c r="T142" s="362"/>
      <c r="U142" s="362"/>
      <c r="V142" s="363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1" t="s">
        <v>40</v>
      </c>
      <c r="Q143" s="362"/>
      <c r="R143" s="362"/>
      <c r="S143" s="362"/>
      <c r="T143" s="362"/>
      <c r="U143" s="362"/>
      <c r="V143" s="363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50" t="s">
        <v>245</v>
      </c>
      <c r="B144" s="350"/>
      <c r="C144" s="350"/>
      <c r="D144" s="350"/>
      <c r="E144" s="350"/>
      <c r="F144" s="350"/>
      <c r="G144" s="350"/>
      <c r="H144" s="350"/>
      <c r="I144" s="350"/>
      <c r="J144" s="350"/>
      <c r="K144" s="350"/>
      <c r="L144" s="350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65"/>
      <c r="AB144" s="65"/>
      <c r="AC144" s="82"/>
    </row>
    <row r="145" spans="1:68" ht="14.25" customHeight="1" x14ac:dyDescent="0.25">
      <c r="A145" s="351" t="s">
        <v>151</v>
      </c>
      <c r="B145" s="351"/>
      <c r="C145" s="351"/>
      <c r="D145" s="351"/>
      <c r="E145" s="351"/>
      <c r="F145" s="351"/>
      <c r="G145" s="351"/>
      <c r="H145" s="351"/>
      <c r="I145" s="351"/>
      <c r="J145" s="351"/>
      <c r="K145" s="351"/>
      <c r="L145" s="351"/>
      <c r="M145" s="351"/>
      <c r="N145" s="351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52">
        <v>4620207490914</v>
      </c>
      <c r="E146" s="352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1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4"/>
      <c r="R146" s="354"/>
      <c r="S146" s="354"/>
      <c r="T146" s="35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52">
        <v>4620207490853</v>
      </c>
      <c r="E147" s="352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112</v>
      </c>
      <c r="L147" s="37" t="s">
        <v>88</v>
      </c>
      <c r="M147" s="38" t="s">
        <v>86</v>
      </c>
      <c r="N147" s="38"/>
      <c r="O147" s="37">
        <v>180</v>
      </c>
      <c r="P147" s="41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4"/>
      <c r="R147" s="354"/>
      <c r="S147" s="354"/>
      <c r="T147" s="355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89</v>
      </c>
      <c r="AK147" s="87">
        <v>1</v>
      </c>
      <c r="BB147" s="196" t="s">
        <v>111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1" t="s">
        <v>40</v>
      </c>
      <c r="Q148" s="362"/>
      <c r="R148" s="362"/>
      <c r="S148" s="362"/>
      <c r="T148" s="362"/>
      <c r="U148" s="362"/>
      <c r="V148" s="363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4"/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5"/>
      <c r="P149" s="361" t="s">
        <v>40</v>
      </c>
      <c r="Q149" s="362"/>
      <c r="R149" s="362"/>
      <c r="S149" s="362"/>
      <c r="T149" s="362"/>
      <c r="U149" s="362"/>
      <c r="V149" s="363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50" t="s">
        <v>250</v>
      </c>
      <c r="B150" s="350"/>
      <c r="C150" s="350"/>
      <c r="D150" s="350"/>
      <c r="E150" s="350"/>
      <c r="F150" s="350"/>
      <c r="G150" s="350"/>
      <c r="H150" s="350"/>
      <c r="I150" s="350"/>
      <c r="J150" s="350"/>
      <c r="K150" s="350"/>
      <c r="L150" s="350"/>
      <c r="M150" s="350"/>
      <c r="N150" s="350"/>
      <c r="O150" s="350"/>
      <c r="P150" s="350"/>
      <c r="Q150" s="350"/>
      <c r="R150" s="350"/>
      <c r="S150" s="350"/>
      <c r="T150" s="350"/>
      <c r="U150" s="350"/>
      <c r="V150" s="350"/>
      <c r="W150" s="350"/>
      <c r="X150" s="350"/>
      <c r="Y150" s="350"/>
      <c r="Z150" s="350"/>
      <c r="AA150" s="65"/>
      <c r="AB150" s="65"/>
      <c r="AC150" s="82"/>
    </row>
    <row r="151" spans="1:68" ht="14.25" customHeight="1" x14ac:dyDescent="0.25">
      <c r="A151" s="351" t="s">
        <v>151</v>
      </c>
      <c r="B151" s="351"/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52">
        <v>4607111035806</v>
      </c>
      <c r="E152" s="35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112</v>
      </c>
      <c r="L152" s="37" t="s">
        <v>88</v>
      </c>
      <c r="M152" s="38" t="s">
        <v>86</v>
      </c>
      <c r="N152" s="38"/>
      <c r="O152" s="37">
        <v>180</v>
      </c>
      <c r="P152" s="41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4"/>
      <c r="R152" s="354"/>
      <c r="S152" s="354"/>
      <c r="T152" s="355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89</v>
      </c>
      <c r="AK152" s="87">
        <v>1</v>
      </c>
      <c r="BB152" s="198" t="s">
        <v>111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1" t="s">
        <v>40</v>
      </c>
      <c r="Q153" s="362"/>
      <c r="R153" s="362"/>
      <c r="S153" s="362"/>
      <c r="T153" s="362"/>
      <c r="U153" s="362"/>
      <c r="V153" s="363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4"/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5"/>
      <c r="P154" s="361" t="s">
        <v>40</v>
      </c>
      <c r="Q154" s="362"/>
      <c r="R154" s="362"/>
      <c r="S154" s="362"/>
      <c r="T154" s="362"/>
      <c r="U154" s="362"/>
      <c r="V154" s="363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50" t="s">
        <v>254</v>
      </c>
      <c r="B155" s="350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350"/>
      <c r="Q155" s="350"/>
      <c r="R155" s="350"/>
      <c r="S155" s="350"/>
      <c r="T155" s="350"/>
      <c r="U155" s="350"/>
      <c r="V155" s="350"/>
      <c r="W155" s="350"/>
      <c r="X155" s="350"/>
      <c r="Y155" s="350"/>
      <c r="Z155" s="350"/>
      <c r="AA155" s="65"/>
      <c r="AB155" s="65"/>
      <c r="AC155" s="82"/>
    </row>
    <row r="156" spans="1:68" ht="14.25" customHeight="1" x14ac:dyDescent="0.25">
      <c r="A156" s="351" t="s">
        <v>151</v>
      </c>
      <c r="B156" s="351"/>
      <c r="C156" s="351"/>
      <c r="D156" s="351"/>
      <c r="E156" s="351"/>
      <c r="F156" s="351"/>
      <c r="G156" s="351"/>
      <c r="H156" s="351"/>
      <c r="I156" s="351"/>
      <c r="J156" s="351"/>
      <c r="K156" s="351"/>
      <c r="L156" s="351"/>
      <c r="M156" s="351"/>
      <c r="N156" s="351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52">
        <v>4607111039613</v>
      </c>
      <c r="E157" s="352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112</v>
      </c>
      <c r="L157" s="37" t="s">
        <v>88</v>
      </c>
      <c r="M157" s="38" t="s">
        <v>86</v>
      </c>
      <c r="N157" s="38"/>
      <c r="O157" s="37">
        <v>180</v>
      </c>
      <c r="P157" s="41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4"/>
      <c r="R157" s="354"/>
      <c r="S157" s="354"/>
      <c r="T157" s="35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89</v>
      </c>
      <c r="AK157" s="87">
        <v>1</v>
      </c>
      <c r="BB157" s="200" t="s">
        <v>111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1" t="s">
        <v>40</v>
      </c>
      <c r="Q158" s="362"/>
      <c r="R158" s="362"/>
      <c r="S158" s="362"/>
      <c r="T158" s="362"/>
      <c r="U158" s="362"/>
      <c r="V158" s="363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5"/>
      <c r="P159" s="361" t="s">
        <v>40</v>
      </c>
      <c r="Q159" s="362"/>
      <c r="R159" s="362"/>
      <c r="S159" s="362"/>
      <c r="T159" s="362"/>
      <c r="U159" s="362"/>
      <c r="V159" s="363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50" t="s">
        <v>257</v>
      </c>
      <c r="B160" s="350"/>
      <c r="C160" s="350"/>
      <c r="D160" s="350"/>
      <c r="E160" s="350"/>
      <c r="F160" s="350"/>
      <c r="G160" s="350"/>
      <c r="H160" s="350"/>
      <c r="I160" s="350"/>
      <c r="J160" s="350"/>
      <c r="K160" s="350"/>
      <c r="L160" s="350"/>
      <c r="M160" s="350"/>
      <c r="N160" s="350"/>
      <c r="O160" s="350"/>
      <c r="P160" s="350"/>
      <c r="Q160" s="350"/>
      <c r="R160" s="350"/>
      <c r="S160" s="350"/>
      <c r="T160" s="350"/>
      <c r="U160" s="350"/>
      <c r="V160" s="350"/>
      <c r="W160" s="350"/>
      <c r="X160" s="350"/>
      <c r="Y160" s="350"/>
      <c r="Z160" s="350"/>
      <c r="AA160" s="65"/>
      <c r="AB160" s="65"/>
      <c r="AC160" s="82"/>
    </row>
    <row r="161" spans="1:68" ht="14.25" customHeight="1" x14ac:dyDescent="0.25">
      <c r="A161" s="351" t="s">
        <v>228</v>
      </c>
      <c r="B161" s="351"/>
      <c r="C161" s="351"/>
      <c r="D161" s="351"/>
      <c r="E161" s="351"/>
      <c r="F161" s="351"/>
      <c r="G161" s="351"/>
      <c r="H161" s="351"/>
      <c r="I161" s="351"/>
      <c r="J161" s="351"/>
      <c r="K161" s="351"/>
      <c r="L161" s="351"/>
      <c r="M161" s="351"/>
      <c r="N161" s="351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52">
        <v>4607111035646</v>
      </c>
      <c r="E162" s="352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88</v>
      </c>
      <c r="M162" s="38" t="s">
        <v>86</v>
      </c>
      <c r="N162" s="38"/>
      <c r="O162" s="37">
        <v>180</v>
      </c>
      <c r="P162" s="41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4"/>
      <c r="R162" s="354"/>
      <c r="S162" s="354"/>
      <c r="T162" s="355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89</v>
      </c>
      <c r="AK162" s="87">
        <v>1</v>
      </c>
      <c r="BB162" s="202" t="s">
        <v>111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1" t="s">
        <v>40</v>
      </c>
      <c r="Q163" s="362"/>
      <c r="R163" s="362"/>
      <c r="S163" s="362"/>
      <c r="T163" s="362"/>
      <c r="U163" s="362"/>
      <c r="V163" s="363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5"/>
      <c r="P164" s="361" t="s">
        <v>40</v>
      </c>
      <c r="Q164" s="362"/>
      <c r="R164" s="362"/>
      <c r="S164" s="362"/>
      <c r="T164" s="362"/>
      <c r="U164" s="362"/>
      <c r="V164" s="363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50" t="s">
        <v>262</v>
      </c>
      <c r="B165" s="350"/>
      <c r="C165" s="350"/>
      <c r="D165" s="350"/>
      <c r="E165" s="350"/>
      <c r="F165" s="350"/>
      <c r="G165" s="350"/>
      <c r="H165" s="350"/>
      <c r="I165" s="350"/>
      <c r="J165" s="350"/>
      <c r="K165" s="350"/>
      <c r="L165" s="350"/>
      <c r="M165" s="350"/>
      <c r="N165" s="350"/>
      <c r="O165" s="350"/>
      <c r="P165" s="350"/>
      <c r="Q165" s="350"/>
      <c r="R165" s="350"/>
      <c r="S165" s="350"/>
      <c r="T165" s="350"/>
      <c r="U165" s="350"/>
      <c r="V165" s="350"/>
      <c r="W165" s="350"/>
      <c r="X165" s="350"/>
      <c r="Y165" s="350"/>
      <c r="Z165" s="350"/>
      <c r="AA165" s="65"/>
      <c r="AB165" s="65"/>
      <c r="AC165" s="82"/>
    </row>
    <row r="166" spans="1:68" ht="14.25" customHeight="1" x14ac:dyDescent="0.25">
      <c r="A166" s="351" t="s">
        <v>151</v>
      </c>
      <c r="B166" s="351"/>
      <c r="C166" s="351"/>
      <c r="D166" s="351"/>
      <c r="E166" s="351"/>
      <c r="F166" s="351"/>
      <c r="G166" s="351"/>
      <c r="H166" s="351"/>
      <c r="I166" s="351"/>
      <c r="J166" s="351"/>
      <c r="K166" s="351"/>
      <c r="L166" s="351"/>
      <c r="M166" s="351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52">
        <v>4607111036568</v>
      </c>
      <c r="E167" s="352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112</v>
      </c>
      <c r="L167" s="37" t="s">
        <v>88</v>
      </c>
      <c r="M167" s="38" t="s">
        <v>86</v>
      </c>
      <c r="N167" s="38"/>
      <c r="O167" s="37">
        <v>180</v>
      </c>
      <c r="P167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4"/>
      <c r="R167" s="354"/>
      <c r="S167" s="354"/>
      <c r="T167" s="35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89</v>
      </c>
      <c r="AK167" s="87">
        <v>1</v>
      </c>
      <c r="BB167" s="204" t="s">
        <v>111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5"/>
      <c r="P168" s="361" t="s">
        <v>40</v>
      </c>
      <c r="Q168" s="362"/>
      <c r="R168" s="362"/>
      <c r="S168" s="362"/>
      <c r="T168" s="362"/>
      <c r="U168" s="362"/>
      <c r="V168" s="363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4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5"/>
      <c r="P169" s="361" t="s">
        <v>40</v>
      </c>
      <c r="Q169" s="362"/>
      <c r="R169" s="362"/>
      <c r="S169" s="362"/>
      <c r="T169" s="362"/>
      <c r="U169" s="362"/>
      <c r="V169" s="363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9" t="s">
        <v>266</v>
      </c>
      <c r="B170" s="349"/>
      <c r="C170" s="349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54"/>
      <c r="AB170" s="54"/>
      <c r="AC170" s="54"/>
    </row>
    <row r="171" spans="1:68" ht="16.5" customHeight="1" x14ac:dyDescent="0.25">
      <c r="A171" s="350" t="s">
        <v>267</v>
      </c>
      <c r="B171" s="350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350"/>
      <c r="Q171" s="350"/>
      <c r="R171" s="350"/>
      <c r="S171" s="350"/>
      <c r="T171" s="350"/>
      <c r="U171" s="350"/>
      <c r="V171" s="350"/>
      <c r="W171" s="350"/>
      <c r="X171" s="350"/>
      <c r="Y171" s="350"/>
      <c r="Z171" s="350"/>
      <c r="AA171" s="65"/>
      <c r="AB171" s="65"/>
      <c r="AC171" s="82"/>
    </row>
    <row r="172" spans="1:68" ht="14.25" customHeight="1" x14ac:dyDescent="0.25">
      <c r="A172" s="351" t="s">
        <v>82</v>
      </c>
      <c r="B172" s="351"/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52">
        <v>4607111036384</v>
      </c>
      <c r="E173" s="352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87</v>
      </c>
      <c r="L173" s="37" t="s">
        <v>88</v>
      </c>
      <c r="M173" s="38" t="s">
        <v>86</v>
      </c>
      <c r="N173" s="38"/>
      <c r="O173" s="37">
        <v>180</v>
      </c>
      <c r="P173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4"/>
      <c r="R173" s="354"/>
      <c r="S173" s="354"/>
      <c r="T173" s="35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89</v>
      </c>
      <c r="AK173" s="87">
        <v>1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52">
        <v>4607111036216</v>
      </c>
      <c r="E174" s="352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87</v>
      </c>
      <c r="L174" s="37" t="s">
        <v>113</v>
      </c>
      <c r="M174" s="38" t="s">
        <v>86</v>
      </c>
      <c r="N174" s="38"/>
      <c r="O174" s="37">
        <v>180</v>
      </c>
      <c r="P174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4"/>
      <c r="R174" s="354"/>
      <c r="S174" s="354"/>
      <c r="T174" s="355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114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5"/>
      <c r="P175" s="361" t="s">
        <v>40</v>
      </c>
      <c r="Q175" s="362"/>
      <c r="R175" s="362"/>
      <c r="S175" s="362"/>
      <c r="T175" s="362"/>
      <c r="U175" s="362"/>
      <c r="V175" s="363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4"/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5"/>
      <c r="P176" s="361" t="s">
        <v>40</v>
      </c>
      <c r="Q176" s="362"/>
      <c r="R176" s="362"/>
      <c r="S176" s="362"/>
      <c r="T176" s="362"/>
      <c r="U176" s="362"/>
      <c r="V176" s="363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14.25" customHeight="1" x14ac:dyDescent="0.25">
      <c r="A177" s="351" t="s">
        <v>274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66"/>
      <c r="AB177" s="66"/>
      <c r="AC177" s="83"/>
    </row>
    <row r="178" spans="1:68" ht="27" customHeight="1" x14ac:dyDescent="0.25">
      <c r="A178" s="63" t="s">
        <v>275</v>
      </c>
      <c r="B178" s="63" t="s">
        <v>276</v>
      </c>
      <c r="C178" s="36">
        <v>4301080153</v>
      </c>
      <c r="D178" s="352">
        <v>4607111036827</v>
      </c>
      <c r="E178" s="352"/>
      <c r="F178" s="62">
        <v>1</v>
      </c>
      <c r="G178" s="37">
        <v>5</v>
      </c>
      <c r="H178" s="62">
        <v>5</v>
      </c>
      <c r="I178" s="62">
        <v>5.2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8" s="354"/>
      <c r="R178" s="354"/>
      <c r="S178" s="354"/>
      <c r="T178" s="355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277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4301080154</v>
      </c>
      <c r="D179" s="352">
        <v>4607111036834</v>
      </c>
      <c r="E179" s="352"/>
      <c r="F179" s="62">
        <v>1</v>
      </c>
      <c r="G179" s="37">
        <v>5</v>
      </c>
      <c r="H179" s="62">
        <v>5</v>
      </c>
      <c r="I179" s="62">
        <v>5.2530000000000001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90</v>
      </c>
      <c r="P179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9" s="354"/>
      <c r="R179" s="354"/>
      <c r="S179" s="354"/>
      <c r="T179" s="35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1" t="s">
        <v>277</v>
      </c>
      <c r="AG179" s="81"/>
      <c r="AJ179" s="87" t="s">
        <v>89</v>
      </c>
      <c r="AK179" s="87">
        <v>1</v>
      </c>
      <c r="BB179" s="212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5"/>
      <c r="P180" s="361" t="s">
        <v>40</v>
      </c>
      <c r="Q180" s="362"/>
      <c r="R180" s="362"/>
      <c r="S180" s="362"/>
      <c r="T180" s="362"/>
      <c r="U180" s="362"/>
      <c r="V180" s="363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364"/>
      <c r="B181" s="364"/>
      <c r="C181" s="364"/>
      <c r="D181" s="364"/>
      <c r="E181" s="364"/>
      <c r="F181" s="364"/>
      <c r="G181" s="364"/>
      <c r="H181" s="364"/>
      <c r="I181" s="364"/>
      <c r="J181" s="364"/>
      <c r="K181" s="364"/>
      <c r="L181" s="364"/>
      <c r="M181" s="364"/>
      <c r="N181" s="364"/>
      <c r="O181" s="365"/>
      <c r="P181" s="361" t="s">
        <v>40</v>
      </c>
      <c r="Q181" s="362"/>
      <c r="R181" s="362"/>
      <c r="S181" s="362"/>
      <c r="T181" s="362"/>
      <c r="U181" s="362"/>
      <c r="V181" s="363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27.75" customHeight="1" x14ac:dyDescent="0.2">
      <c r="A182" s="349" t="s">
        <v>280</v>
      </c>
      <c r="B182" s="349"/>
      <c r="C182" s="349"/>
      <c r="D182" s="349"/>
      <c r="E182" s="349"/>
      <c r="F182" s="349"/>
      <c r="G182" s="349"/>
      <c r="H182" s="349"/>
      <c r="I182" s="349"/>
      <c r="J182" s="349"/>
      <c r="K182" s="349"/>
      <c r="L182" s="349"/>
      <c r="M182" s="349"/>
      <c r="N182" s="349"/>
      <c r="O182" s="349"/>
      <c r="P182" s="349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54"/>
      <c r="AB182" s="54"/>
      <c r="AC182" s="54"/>
    </row>
    <row r="183" spans="1:68" ht="16.5" customHeight="1" x14ac:dyDescent="0.25">
      <c r="A183" s="350" t="s">
        <v>281</v>
      </c>
      <c r="B183" s="350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350"/>
      <c r="O183" s="350"/>
      <c r="P183" s="350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  <c r="AA183" s="65"/>
      <c r="AB183" s="65"/>
      <c r="AC183" s="82"/>
    </row>
    <row r="184" spans="1:68" ht="14.25" customHeight="1" x14ac:dyDescent="0.25">
      <c r="A184" s="351" t="s">
        <v>107</v>
      </c>
      <c r="B184" s="351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66"/>
      <c r="AB184" s="66"/>
      <c r="AC184" s="83"/>
    </row>
    <row r="185" spans="1:68" ht="16.5" customHeight="1" x14ac:dyDescent="0.25">
      <c r="A185" s="63" t="s">
        <v>282</v>
      </c>
      <c r="B185" s="63" t="s">
        <v>283</v>
      </c>
      <c r="C185" s="36">
        <v>4301132179</v>
      </c>
      <c r="D185" s="352">
        <v>4607111035691</v>
      </c>
      <c r="E185" s="352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88</v>
      </c>
      <c r="M185" s="38" t="s">
        <v>86</v>
      </c>
      <c r="N185" s="38"/>
      <c r="O185" s="37">
        <v>365</v>
      </c>
      <c r="P185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54"/>
      <c r="R185" s="354"/>
      <c r="S185" s="354"/>
      <c r="T185" s="35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89</v>
      </c>
      <c r="AK185" s="87">
        <v>1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4301132182</v>
      </c>
      <c r="D186" s="352">
        <v>4607111035721</v>
      </c>
      <c r="E186" s="352"/>
      <c r="F186" s="62">
        <v>0.25</v>
      </c>
      <c r="G186" s="37">
        <v>12</v>
      </c>
      <c r="H186" s="62">
        <v>3</v>
      </c>
      <c r="I186" s="62">
        <v>3.3879999999999999</v>
      </c>
      <c r="J186" s="37">
        <v>70</v>
      </c>
      <c r="K186" s="37" t="s">
        <v>112</v>
      </c>
      <c r="L186" s="37" t="s">
        <v>88</v>
      </c>
      <c r="M186" s="38" t="s">
        <v>86</v>
      </c>
      <c r="N186" s="38"/>
      <c r="O186" s="37">
        <v>365</v>
      </c>
      <c r="P186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6" s="354"/>
      <c r="R186" s="354"/>
      <c r="S186" s="354"/>
      <c r="T186" s="35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89</v>
      </c>
      <c r="AK186" s="87">
        <v>1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4301132170</v>
      </c>
      <c r="D187" s="352">
        <v>4607111038487</v>
      </c>
      <c r="E187" s="352"/>
      <c r="F187" s="62">
        <v>0.25</v>
      </c>
      <c r="G187" s="37">
        <v>12</v>
      </c>
      <c r="H187" s="62">
        <v>3</v>
      </c>
      <c r="I187" s="62">
        <v>3.7360000000000002</v>
      </c>
      <c r="J187" s="37">
        <v>70</v>
      </c>
      <c r="K187" s="37" t="s">
        <v>112</v>
      </c>
      <c r="L187" s="37" t="s">
        <v>113</v>
      </c>
      <c r="M187" s="38" t="s">
        <v>86</v>
      </c>
      <c r="N187" s="38"/>
      <c r="O187" s="37">
        <v>180</v>
      </c>
      <c r="P187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7" s="354"/>
      <c r="R187" s="354"/>
      <c r="S187" s="354"/>
      <c r="T187" s="35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114</v>
      </c>
      <c r="AK187" s="87">
        <v>14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customHeight="1" x14ac:dyDescent="0.25">
      <c r="A188" s="63" t="s">
        <v>291</v>
      </c>
      <c r="B188" s="63" t="s">
        <v>292</v>
      </c>
      <c r="C188" s="36">
        <v>4301132243</v>
      </c>
      <c r="D188" s="352">
        <v>4620207491195</v>
      </c>
      <c r="E188" s="352"/>
      <c r="F188" s="62">
        <v>0.23</v>
      </c>
      <c r="G188" s="37">
        <v>12</v>
      </c>
      <c r="H188" s="62">
        <v>2.76</v>
      </c>
      <c r="I188" s="62">
        <v>3.1480000000000001</v>
      </c>
      <c r="J188" s="37">
        <v>70</v>
      </c>
      <c r="K188" s="37" t="s">
        <v>112</v>
      </c>
      <c r="L188" s="37" t="s">
        <v>88</v>
      </c>
      <c r="M188" s="38" t="s">
        <v>86</v>
      </c>
      <c r="N188" s="38"/>
      <c r="O188" s="37">
        <v>180</v>
      </c>
      <c r="P188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8" s="354"/>
      <c r="R188" s="354"/>
      <c r="S188" s="354"/>
      <c r="T188" s="35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IFERROR(IF(X188="","",X188*0.01788),"")</f>
        <v>0</v>
      </c>
      <c r="AA188" s="68" t="s">
        <v>46</v>
      </c>
      <c r="AB188" s="69" t="s">
        <v>46</v>
      </c>
      <c r="AC188" s="219" t="s">
        <v>293</v>
      </c>
      <c r="AG188" s="81"/>
      <c r="AJ188" s="87" t="s">
        <v>89</v>
      </c>
      <c r="AK188" s="87">
        <v>1</v>
      </c>
      <c r="BB188" s="220" t="s">
        <v>111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x14ac:dyDescent="0.2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5"/>
      <c r="P189" s="361" t="s">
        <v>40</v>
      </c>
      <c r="Q189" s="362"/>
      <c r="R189" s="362"/>
      <c r="S189" s="362"/>
      <c r="T189" s="362"/>
      <c r="U189" s="362"/>
      <c r="V189" s="363"/>
      <c r="W189" s="42" t="s">
        <v>39</v>
      </c>
      <c r="X189" s="43">
        <f>IFERROR(SUM(X185:X188),"0")</f>
        <v>0</v>
      </c>
      <c r="Y189" s="43">
        <f>IFERROR(SUM(Y185:Y188),"0")</f>
        <v>0</v>
      </c>
      <c r="Z189" s="43">
        <f>IFERROR(IF(Z185="",0,Z185),"0")+IFERROR(IF(Z186="",0,Z186),"0")+IFERROR(IF(Z187="",0,Z187),"0")+IFERROR(IF(Z188="",0,Z188),"0")</f>
        <v>0</v>
      </c>
      <c r="AA189" s="67"/>
      <c r="AB189" s="67"/>
      <c r="AC189" s="67"/>
    </row>
    <row r="190" spans="1:68" x14ac:dyDescent="0.2">
      <c r="A190" s="364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5"/>
      <c r="P190" s="361" t="s">
        <v>40</v>
      </c>
      <c r="Q190" s="362"/>
      <c r="R190" s="362"/>
      <c r="S190" s="362"/>
      <c r="T190" s="362"/>
      <c r="U190" s="362"/>
      <c r="V190" s="363"/>
      <c r="W190" s="42" t="s">
        <v>0</v>
      </c>
      <c r="X190" s="43">
        <f>IFERROR(SUMPRODUCT(X185:X188*H185:H188),"0")</f>
        <v>0</v>
      </c>
      <c r="Y190" s="43">
        <f>IFERROR(SUMPRODUCT(Y185:Y188*H185:H188),"0")</f>
        <v>0</v>
      </c>
      <c r="Z190" s="42"/>
      <c r="AA190" s="67"/>
      <c r="AB190" s="67"/>
      <c r="AC190" s="67"/>
    </row>
    <row r="191" spans="1:68" ht="14.25" customHeight="1" x14ac:dyDescent="0.25">
      <c r="A191" s="351" t="s">
        <v>294</v>
      </c>
      <c r="B191" s="351"/>
      <c r="C191" s="351"/>
      <c r="D191" s="351"/>
      <c r="E191" s="351"/>
      <c r="F191" s="351"/>
      <c r="G191" s="351"/>
      <c r="H191" s="351"/>
      <c r="I191" s="351"/>
      <c r="J191" s="351"/>
      <c r="K191" s="351"/>
      <c r="L191" s="351"/>
      <c r="M191" s="351"/>
      <c r="N191" s="351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4301051855</v>
      </c>
      <c r="D192" s="352">
        <v>4680115885875</v>
      </c>
      <c r="E192" s="352"/>
      <c r="F192" s="62">
        <v>1</v>
      </c>
      <c r="G192" s="37">
        <v>9</v>
      </c>
      <c r="H192" s="62">
        <v>9</v>
      </c>
      <c r="I192" s="62">
        <v>9.41</v>
      </c>
      <c r="J192" s="37">
        <v>64</v>
      </c>
      <c r="K192" s="37" t="s">
        <v>301</v>
      </c>
      <c r="L192" s="37" t="s">
        <v>88</v>
      </c>
      <c r="M192" s="38" t="s">
        <v>300</v>
      </c>
      <c r="N192" s="38"/>
      <c r="O192" s="37">
        <v>365</v>
      </c>
      <c r="P192" s="426" t="s">
        <v>297</v>
      </c>
      <c r="Q192" s="354"/>
      <c r="R192" s="354"/>
      <c r="S192" s="354"/>
      <c r="T192" s="35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IFERROR(IF(X192="","",X192*0.01898),"")</f>
        <v>0</v>
      </c>
      <c r="AA192" s="68" t="s">
        <v>46</v>
      </c>
      <c r="AB192" s="69" t="s">
        <v>46</v>
      </c>
      <c r="AC192" s="221" t="s">
        <v>298</v>
      </c>
      <c r="AG192" s="81"/>
      <c r="AJ192" s="87" t="s">
        <v>89</v>
      </c>
      <c r="AK192" s="87">
        <v>1</v>
      </c>
      <c r="BB192" s="222" t="s">
        <v>299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5"/>
      <c r="P193" s="361" t="s">
        <v>40</v>
      </c>
      <c r="Q193" s="362"/>
      <c r="R193" s="362"/>
      <c r="S193" s="362"/>
      <c r="T193" s="362"/>
      <c r="U193" s="362"/>
      <c r="V193" s="363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4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1" t="s">
        <v>40</v>
      </c>
      <c r="Q194" s="362"/>
      <c r="R194" s="362"/>
      <c r="S194" s="362"/>
      <c r="T194" s="362"/>
      <c r="U194" s="362"/>
      <c r="V194" s="363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27.75" customHeight="1" x14ac:dyDescent="0.2">
      <c r="A195" s="349" t="s">
        <v>302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54"/>
      <c r="AB195" s="54"/>
      <c r="AC195" s="54"/>
    </row>
    <row r="196" spans="1:68" ht="16.5" customHeight="1" x14ac:dyDescent="0.25">
      <c r="A196" s="350" t="s">
        <v>303</v>
      </c>
      <c r="B196" s="350"/>
      <c r="C196" s="350"/>
      <c r="D196" s="350"/>
      <c r="E196" s="350"/>
      <c r="F196" s="350"/>
      <c r="G196" s="350"/>
      <c r="H196" s="350"/>
      <c r="I196" s="350"/>
      <c r="J196" s="350"/>
      <c r="K196" s="350"/>
      <c r="L196" s="350"/>
      <c r="M196" s="350"/>
      <c r="N196" s="350"/>
      <c r="O196" s="350"/>
      <c r="P196" s="350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  <c r="AA196" s="65"/>
      <c r="AB196" s="65"/>
      <c r="AC196" s="82"/>
    </row>
    <row r="197" spans="1:68" ht="14.25" customHeight="1" x14ac:dyDescent="0.25">
      <c r="A197" s="351" t="s">
        <v>107</v>
      </c>
      <c r="B197" s="351"/>
      <c r="C197" s="351"/>
      <c r="D197" s="351"/>
      <c r="E197" s="351"/>
      <c r="F197" s="351"/>
      <c r="G197" s="351"/>
      <c r="H197" s="351"/>
      <c r="I197" s="351"/>
      <c r="J197" s="351"/>
      <c r="K197" s="351"/>
      <c r="L197" s="351"/>
      <c r="M197" s="351"/>
      <c r="N197" s="351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  <c r="AA197" s="66"/>
      <c r="AB197" s="66"/>
      <c r="AC197" s="83"/>
    </row>
    <row r="198" spans="1:68" ht="27" customHeight="1" x14ac:dyDescent="0.25">
      <c r="A198" s="63" t="s">
        <v>304</v>
      </c>
      <c r="B198" s="63" t="s">
        <v>305</v>
      </c>
      <c r="C198" s="36">
        <v>4301132227</v>
      </c>
      <c r="D198" s="352">
        <v>4620207491133</v>
      </c>
      <c r="E198" s="352"/>
      <c r="F198" s="62">
        <v>0.23</v>
      </c>
      <c r="G198" s="37">
        <v>12</v>
      </c>
      <c r="H198" s="62">
        <v>2.76</v>
      </c>
      <c r="I198" s="62">
        <v>2.98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354"/>
      <c r="R198" s="354"/>
      <c r="S198" s="354"/>
      <c r="T198" s="355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x14ac:dyDescent="0.2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1" t="s">
        <v>40</v>
      </c>
      <c r="Q199" s="362"/>
      <c r="R199" s="362"/>
      <c r="S199" s="362"/>
      <c r="T199" s="362"/>
      <c r="U199" s="362"/>
      <c r="V199" s="363"/>
      <c r="W199" s="42" t="s">
        <v>39</v>
      </c>
      <c r="X199" s="43">
        <f>IFERROR(SUM(X198:X198),"0")</f>
        <v>0</v>
      </c>
      <c r="Y199" s="43">
        <f>IFERROR(SUM(Y198:Y198),"0")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1" t="s">
        <v>40</v>
      </c>
      <c r="Q200" s="362"/>
      <c r="R200" s="362"/>
      <c r="S200" s="362"/>
      <c r="T200" s="362"/>
      <c r="U200" s="362"/>
      <c r="V200" s="363"/>
      <c r="W200" s="42" t="s">
        <v>0</v>
      </c>
      <c r="X200" s="43">
        <f>IFERROR(SUMPRODUCT(X198:X198*H198:H198),"0")</f>
        <v>0</v>
      </c>
      <c r="Y200" s="43">
        <f>IFERROR(SUMPRODUCT(Y198:Y198*H198:H198),"0")</f>
        <v>0</v>
      </c>
      <c r="Z200" s="42"/>
      <c r="AA200" s="67"/>
      <c r="AB200" s="67"/>
      <c r="AC200" s="67"/>
    </row>
    <row r="201" spans="1:68" ht="14.25" customHeight="1" x14ac:dyDescent="0.25">
      <c r="A201" s="351" t="s">
        <v>151</v>
      </c>
      <c r="B201" s="351"/>
      <c r="C201" s="351"/>
      <c r="D201" s="351"/>
      <c r="E201" s="351"/>
      <c r="F201" s="351"/>
      <c r="G201" s="351"/>
      <c r="H201" s="351"/>
      <c r="I201" s="351"/>
      <c r="J201" s="351"/>
      <c r="K201" s="351"/>
      <c r="L201" s="351"/>
      <c r="M201" s="351"/>
      <c r="N201" s="351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  <c r="AA201" s="66"/>
      <c r="AB201" s="66"/>
      <c r="AC201" s="83"/>
    </row>
    <row r="202" spans="1:68" ht="27" customHeight="1" x14ac:dyDescent="0.25">
      <c r="A202" s="63" t="s">
        <v>307</v>
      </c>
      <c r="B202" s="63" t="s">
        <v>308</v>
      </c>
      <c r="C202" s="36">
        <v>4301135834</v>
      </c>
      <c r="D202" s="352">
        <v>4620207491188</v>
      </c>
      <c r="E202" s="352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354"/>
      <c r="R202" s="354"/>
      <c r="S202" s="354"/>
      <c r="T202" s="355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4301135707</v>
      </c>
      <c r="D203" s="352">
        <v>4620207490198</v>
      </c>
      <c r="E203" s="352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3" s="354"/>
      <c r="R203" s="354"/>
      <c r="S203" s="354"/>
      <c r="T203" s="355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4301135829</v>
      </c>
      <c r="D204" s="352">
        <v>4620207490235</v>
      </c>
      <c r="E204" s="35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4" s="354"/>
      <c r="R204" s="354"/>
      <c r="S204" s="354"/>
      <c r="T204" s="35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315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316</v>
      </c>
      <c r="B205" s="63" t="s">
        <v>317</v>
      </c>
      <c r="C205" s="36">
        <v>4301135697</v>
      </c>
      <c r="D205" s="352">
        <v>4620207490259</v>
      </c>
      <c r="E205" s="35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4"/>
      <c r="R205" s="354"/>
      <c r="S205" s="354"/>
      <c r="T205" s="35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312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318</v>
      </c>
      <c r="B206" s="63" t="s">
        <v>319</v>
      </c>
      <c r="C206" s="36">
        <v>4301135681</v>
      </c>
      <c r="D206" s="352">
        <v>4620207490143</v>
      </c>
      <c r="E206" s="352"/>
      <c r="F206" s="62">
        <v>0.22</v>
      </c>
      <c r="G206" s="37">
        <v>12</v>
      </c>
      <c r="H206" s="62">
        <v>2.64</v>
      </c>
      <c r="I206" s="62">
        <v>3.3435999999999999</v>
      </c>
      <c r="J206" s="37">
        <v>70</v>
      </c>
      <c r="K206" s="37" t="s">
        <v>112</v>
      </c>
      <c r="L206" s="37" t="s">
        <v>88</v>
      </c>
      <c r="M206" s="38" t="s">
        <v>86</v>
      </c>
      <c r="N206" s="38"/>
      <c r="O206" s="37">
        <v>180</v>
      </c>
      <c r="P206" s="43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6" s="354"/>
      <c r="R206" s="354"/>
      <c r="S206" s="354"/>
      <c r="T206" s="35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3" t="s">
        <v>320</v>
      </c>
      <c r="AG206" s="81"/>
      <c r="AJ206" s="87" t="s">
        <v>89</v>
      </c>
      <c r="AK206" s="87">
        <v>1</v>
      </c>
      <c r="BB206" s="234" t="s">
        <v>111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5"/>
      <c r="P207" s="361" t="s">
        <v>40</v>
      </c>
      <c r="Q207" s="362"/>
      <c r="R207" s="362"/>
      <c r="S207" s="362"/>
      <c r="T207" s="362"/>
      <c r="U207" s="362"/>
      <c r="V207" s="363"/>
      <c r="W207" s="42" t="s">
        <v>39</v>
      </c>
      <c r="X207" s="43">
        <f>IFERROR(SUM(X202:X206),"0")</f>
        <v>0</v>
      </c>
      <c r="Y207" s="43">
        <f>IFERROR(SUM(Y202:Y206),"0")</f>
        <v>0</v>
      </c>
      <c r="Z207" s="43">
        <f>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64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5"/>
      <c r="P208" s="361" t="s">
        <v>40</v>
      </c>
      <c r="Q208" s="362"/>
      <c r="R208" s="362"/>
      <c r="S208" s="362"/>
      <c r="T208" s="362"/>
      <c r="U208" s="362"/>
      <c r="V208" s="363"/>
      <c r="W208" s="42" t="s">
        <v>0</v>
      </c>
      <c r="X208" s="43">
        <f>IFERROR(SUMPRODUCT(X202:X206*H202:H206),"0")</f>
        <v>0</v>
      </c>
      <c r="Y208" s="43">
        <f>IFERROR(SUMPRODUCT(Y202:Y206*H202:H206),"0")</f>
        <v>0</v>
      </c>
      <c r="Z208" s="42"/>
      <c r="AA208" s="67"/>
      <c r="AB208" s="67"/>
      <c r="AC208" s="67"/>
    </row>
    <row r="209" spans="1:68" ht="16.5" customHeight="1" x14ac:dyDescent="0.25">
      <c r="A209" s="350" t="s">
        <v>321</v>
      </c>
      <c r="B209" s="350"/>
      <c r="C209" s="350"/>
      <c r="D209" s="350"/>
      <c r="E209" s="350"/>
      <c r="F209" s="350"/>
      <c r="G209" s="350"/>
      <c r="H209" s="350"/>
      <c r="I209" s="350"/>
      <c r="J209" s="350"/>
      <c r="K209" s="350"/>
      <c r="L209" s="350"/>
      <c r="M209" s="350"/>
      <c r="N209" s="350"/>
      <c r="O209" s="350"/>
      <c r="P209" s="350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  <c r="AA209" s="65"/>
      <c r="AB209" s="65"/>
      <c r="AC209" s="82"/>
    </row>
    <row r="210" spans="1:68" ht="14.25" customHeight="1" x14ac:dyDescent="0.25">
      <c r="A210" s="351" t="s">
        <v>82</v>
      </c>
      <c r="B210" s="351"/>
      <c r="C210" s="351"/>
      <c r="D210" s="351"/>
      <c r="E210" s="351"/>
      <c r="F210" s="351"/>
      <c r="G210" s="351"/>
      <c r="H210" s="351"/>
      <c r="I210" s="351"/>
      <c r="J210" s="351"/>
      <c r="K210" s="351"/>
      <c r="L210" s="351"/>
      <c r="M210" s="351"/>
      <c r="N210" s="351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  <c r="AA210" s="66"/>
      <c r="AB210" s="66"/>
      <c r="AC210" s="83"/>
    </row>
    <row r="211" spans="1:68" ht="27" customHeight="1" x14ac:dyDescent="0.25">
      <c r="A211" s="63" t="s">
        <v>322</v>
      </c>
      <c r="B211" s="63" t="s">
        <v>323</v>
      </c>
      <c r="C211" s="36">
        <v>4301071097</v>
      </c>
      <c r="D211" s="352">
        <v>4620207491096</v>
      </c>
      <c r="E211" s="352"/>
      <c r="F211" s="62">
        <v>1</v>
      </c>
      <c r="G211" s="37">
        <v>5</v>
      </c>
      <c r="H211" s="62">
        <v>5</v>
      </c>
      <c r="I211" s="62">
        <v>5.23</v>
      </c>
      <c r="J211" s="37">
        <v>84</v>
      </c>
      <c r="K211" s="37" t="s">
        <v>87</v>
      </c>
      <c r="L211" s="37" t="s">
        <v>88</v>
      </c>
      <c r="M211" s="38" t="s">
        <v>86</v>
      </c>
      <c r="N211" s="38"/>
      <c r="O211" s="37">
        <v>180</v>
      </c>
      <c r="P211" s="43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1" s="354"/>
      <c r="R211" s="354"/>
      <c r="S211" s="354"/>
      <c r="T211" s="35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IFERROR(IF(X211="","",X211*0.0155),"")</f>
        <v>0</v>
      </c>
      <c r="AA211" s="68" t="s">
        <v>46</v>
      </c>
      <c r="AB211" s="69" t="s">
        <v>46</v>
      </c>
      <c r="AC211" s="235" t="s">
        <v>324</v>
      </c>
      <c r="AG211" s="81"/>
      <c r="AJ211" s="87" t="s">
        <v>89</v>
      </c>
      <c r="AK211" s="87">
        <v>1</v>
      </c>
      <c r="BB211" s="236" t="s">
        <v>70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1" t="s">
        <v>40</v>
      </c>
      <c r="Q212" s="362"/>
      <c r="R212" s="362"/>
      <c r="S212" s="362"/>
      <c r="T212" s="362"/>
      <c r="U212" s="362"/>
      <c r="V212" s="363"/>
      <c r="W212" s="42" t="s">
        <v>39</v>
      </c>
      <c r="X212" s="43">
        <f>IFERROR(SUM(X211:X211),"0")</f>
        <v>0</v>
      </c>
      <c r="Y212" s="43">
        <f>IFERROR(SUM(Y211:Y211),"0")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364"/>
      <c r="B213" s="364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5"/>
      <c r="P213" s="361" t="s">
        <v>40</v>
      </c>
      <c r="Q213" s="362"/>
      <c r="R213" s="362"/>
      <c r="S213" s="362"/>
      <c r="T213" s="362"/>
      <c r="U213" s="362"/>
      <c r="V213" s="363"/>
      <c r="W213" s="42" t="s">
        <v>0</v>
      </c>
      <c r="X213" s="43">
        <f>IFERROR(SUMPRODUCT(X211:X211*H211:H211),"0")</f>
        <v>0</v>
      </c>
      <c r="Y213" s="43">
        <f>IFERROR(SUMPRODUCT(Y211:Y211*H211:H211),"0")</f>
        <v>0</v>
      </c>
      <c r="Z213" s="42"/>
      <c r="AA213" s="67"/>
      <c r="AB213" s="67"/>
      <c r="AC213" s="67"/>
    </row>
    <row r="214" spans="1:68" ht="16.5" customHeight="1" x14ac:dyDescent="0.25">
      <c r="A214" s="350" t="s">
        <v>325</v>
      </c>
      <c r="B214" s="350"/>
      <c r="C214" s="350"/>
      <c r="D214" s="350"/>
      <c r="E214" s="350"/>
      <c r="F214" s="350"/>
      <c r="G214" s="350"/>
      <c r="H214" s="350"/>
      <c r="I214" s="350"/>
      <c r="J214" s="350"/>
      <c r="K214" s="350"/>
      <c r="L214" s="350"/>
      <c r="M214" s="350"/>
      <c r="N214" s="350"/>
      <c r="O214" s="350"/>
      <c r="P214" s="350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  <c r="AA214" s="65"/>
      <c r="AB214" s="65"/>
      <c r="AC214" s="82"/>
    </row>
    <row r="215" spans="1:68" ht="14.25" customHeight="1" x14ac:dyDescent="0.25">
      <c r="A215" s="351" t="s">
        <v>151</v>
      </c>
      <c r="B215" s="351"/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  <c r="AA215" s="66"/>
      <c r="AB215" s="66"/>
      <c r="AC215" s="83"/>
    </row>
    <row r="216" spans="1:68" ht="27" customHeight="1" x14ac:dyDescent="0.25">
      <c r="A216" s="63" t="s">
        <v>326</v>
      </c>
      <c r="B216" s="63" t="s">
        <v>327</v>
      </c>
      <c r="C216" s="36">
        <v>4301135691</v>
      </c>
      <c r="D216" s="352">
        <v>4620207490549</v>
      </c>
      <c r="E216" s="352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43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6" s="354"/>
      <c r="R216" s="354"/>
      <c r="S216" s="354"/>
      <c r="T216" s="355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328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27" customHeight="1" x14ac:dyDescent="0.25">
      <c r="A217" s="63" t="s">
        <v>329</v>
      </c>
      <c r="B217" s="63" t="s">
        <v>330</v>
      </c>
      <c r="C217" s="36">
        <v>4301135694</v>
      </c>
      <c r="D217" s="352">
        <v>4620207490501</v>
      </c>
      <c r="E217" s="352"/>
      <c r="F217" s="62">
        <v>0.2</v>
      </c>
      <c r="G217" s="37">
        <v>12</v>
      </c>
      <c r="H217" s="62">
        <v>2.4</v>
      </c>
      <c r="I217" s="62">
        <v>3.1036000000000001</v>
      </c>
      <c r="J217" s="37">
        <v>70</v>
      </c>
      <c r="K217" s="37" t="s">
        <v>112</v>
      </c>
      <c r="L217" s="37" t="s">
        <v>88</v>
      </c>
      <c r="M217" s="38" t="s">
        <v>86</v>
      </c>
      <c r="N217" s="38"/>
      <c r="O217" s="37">
        <v>180</v>
      </c>
      <c r="P217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7" s="354"/>
      <c r="R217" s="354"/>
      <c r="S217" s="354"/>
      <c r="T217" s="35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IFERROR(IF(X217="","",X217*0.01788),"")</f>
        <v>0</v>
      </c>
      <c r="AA217" s="68" t="s">
        <v>46</v>
      </c>
      <c r="AB217" s="69" t="s">
        <v>46</v>
      </c>
      <c r="AC217" s="239" t="s">
        <v>328</v>
      </c>
      <c r="AG217" s="81"/>
      <c r="AJ217" s="87" t="s">
        <v>89</v>
      </c>
      <c r="AK217" s="87">
        <v>1</v>
      </c>
      <c r="BB217" s="240" t="s">
        <v>111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5"/>
      <c r="P218" s="361" t="s">
        <v>40</v>
      </c>
      <c r="Q218" s="362"/>
      <c r="R218" s="362"/>
      <c r="S218" s="362"/>
      <c r="T218" s="362"/>
      <c r="U218" s="362"/>
      <c r="V218" s="363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64"/>
      <c r="B219" s="364"/>
      <c r="C219" s="364"/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5"/>
      <c r="P219" s="361" t="s">
        <v>40</v>
      </c>
      <c r="Q219" s="362"/>
      <c r="R219" s="362"/>
      <c r="S219" s="362"/>
      <c r="T219" s="362"/>
      <c r="U219" s="362"/>
      <c r="V219" s="363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9" t="s">
        <v>331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54"/>
      <c r="AB220" s="54"/>
      <c r="AC220" s="54"/>
    </row>
    <row r="221" spans="1:68" ht="16.5" customHeight="1" x14ac:dyDescent="0.25">
      <c r="A221" s="350" t="s">
        <v>332</v>
      </c>
      <c r="B221" s="350"/>
      <c r="C221" s="350"/>
      <c r="D221" s="350"/>
      <c r="E221" s="350"/>
      <c r="F221" s="350"/>
      <c r="G221" s="350"/>
      <c r="H221" s="350"/>
      <c r="I221" s="350"/>
      <c r="J221" s="350"/>
      <c r="K221" s="350"/>
      <c r="L221" s="350"/>
      <c r="M221" s="350"/>
      <c r="N221" s="350"/>
      <c r="O221" s="350"/>
      <c r="P221" s="350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  <c r="AA221" s="65"/>
      <c r="AB221" s="65"/>
      <c r="AC221" s="82"/>
    </row>
    <row r="222" spans="1:68" ht="14.25" customHeight="1" x14ac:dyDescent="0.25">
      <c r="A222" s="351" t="s">
        <v>82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66"/>
      <c r="AB222" s="66"/>
      <c r="AC222" s="83"/>
    </row>
    <row r="223" spans="1:68" ht="27" customHeight="1" x14ac:dyDescent="0.25">
      <c r="A223" s="63" t="s">
        <v>333</v>
      </c>
      <c r="B223" s="63" t="s">
        <v>334</v>
      </c>
      <c r="C223" s="36">
        <v>4301071036</v>
      </c>
      <c r="D223" s="352">
        <v>4607111036162</v>
      </c>
      <c r="E223" s="352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3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4"/>
      <c r="R223" s="354"/>
      <c r="S223" s="354"/>
      <c r="T223" s="355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41" t="s">
        <v>335</v>
      </c>
      <c r="AG223" s="81"/>
      <c r="AJ223" s="87" t="s">
        <v>89</v>
      </c>
      <c r="AK223" s="87">
        <v>1</v>
      </c>
      <c r="BB223" s="242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5"/>
      <c r="P224" s="361" t="s">
        <v>40</v>
      </c>
      <c r="Q224" s="362"/>
      <c r="R224" s="362"/>
      <c r="S224" s="362"/>
      <c r="T224" s="362"/>
      <c r="U224" s="362"/>
      <c r="V224" s="363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64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5"/>
      <c r="P225" s="361" t="s">
        <v>40</v>
      </c>
      <c r="Q225" s="362"/>
      <c r="R225" s="362"/>
      <c r="S225" s="362"/>
      <c r="T225" s="362"/>
      <c r="U225" s="362"/>
      <c r="V225" s="363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9" t="s">
        <v>336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54"/>
      <c r="AB226" s="54"/>
      <c r="AC226" s="54"/>
    </row>
    <row r="227" spans="1:68" ht="16.5" customHeight="1" x14ac:dyDescent="0.25">
      <c r="A227" s="350" t="s">
        <v>337</v>
      </c>
      <c r="B227" s="350"/>
      <c r="C227" s="350"/>
      <c r="D227" s="350"/>
      <c r="E227" s="350"/>
      <c r="F227" s="350"/>
      <c r="G227" s="350"/>
      <c r="H227" s="350"/>
      <c r="I227" s="350"/>
      <c r="J227" s="350"/>
      <c r="K227" s="350"/>
      <c r="L227" s="350"/>
      <c r="M227" s="350"/>
      <c r="N227" s="350"/>
      <c r="O227" s="350"/>
      <c r="P227" s="350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  <c r="AA227" s="65"/>
      <c r="AB227" s="65"/>
      <c r="AC227" s="82"/>
    </row>
    <row r="228" spans="1:68" ht="14.25" customHeight="1" x14ac:dyDescent="0.25">
      <c r="A228" s="351" t="s">
        <v>82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66"/>
      <c r="AB228" s="66"/>
      <c r="AC228" s="83"/>
    </row>
    <row r="229" spans="1:68" ht="27" customHeight="1" x14ac:dyDescent="0.25">
      <c r="A229" s="63" t="s">
        <v>338</v>
      </c>
      <c r="B229" s="63" t="s">
        <v>339</v>
      </c>
      <c r="C229" s="36">
        <v>4301071029</v>
      </c>
      <c r="D229" s="352">
        <v>4607111035899</v>
      </c>
      <c r="E229" s="352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113</v>
      </c>
      <c r="M229" s="38" t="s">
        <v>86</v>
      </c>
      <c r="N229" s="38"/>
      <c r="O229" s="37">
        <v>180</v>
      </c>
      <c r="P229" s="43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4"/>
      <c r="R229" s="354"/>
      <c r="S229" s="354"/>
      <c r="T229" s="355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43" t="s">
        <v>273</v>
      </c>
      <c r="AG229" s="81"/>
      <c r="AJ229" s="87" t="s">
        <v>114</v>
      </c>
      <c r="AK229" s="87">
        <v>12</v>
      </c>
      <c r="BB229" s="244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1" t="s">
        <v>40</v>
      </c>
      <c r="Q230" s="362"/>
      <c r="R230" s="362"/>
      <c r="S230" s="362"/>
      <c r="T230" s="362"/>
      <c r="U230" s="362"/>
      <c r="V230" s="363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64"/>
      <c r="B231" s="364"/>
      <c r="C231" s="364"/>
      <c r="D231" s="364"/>
      <c r="E231" s="364"/>
      <c r="F231" s="364"/>
      <c r="G231" s="364"/>
      <c r="H231" s="364"/>
      <c r="I231" s="364"/>
      <c r="J231" s="364"/>
      <c r="K231" s="364"/>
      <c r="L231" s="364"/>
      <c r="M231" s="364"/>
      <c r="N231" s="364"/>
      <c r="O231" s="365"/>
      <c r="P231" s="361" t="s">
        <v>40</v>
      </c>
      <c r="Q231" s="362"/>
      <c r="R231" s="362"/>
      <c r="S231" s="362"/>
      <c r="T231" s="362"/>
      <c r="U231" s="362"/>
      <c r="V231" s="363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9" t="s">
        <v>340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54"/>
      <c r="AB232" s="54"/>
      <c r="AC232" s="54"/>
    </row>
    <row r="233" spans="1:68" ht="16.5" customHeight="1" x14ac:dyDescent="0.25">
      <c r="A233" s="350" t="s">
        <v>341</v>
      </c>
      <c r="B233" s="350"/>
      <c r="C233" s="350"/>
      <c r="D233" s="350"/>
      <c r="E233" s="350"/>
      <c r="F233" s="350"/>
      <c r="G233" s="350"/>
      <c r="H233" s="350"/>
      <c r="I233" s="350"/>
      <c r="J233" s="350"/>
      <c r="K233" s="350"/>
      <c r="L233" s="350"/>
      <c r="M233" s="350"/>
      <c r="N233" s="350"/>
      <c r="O233" s="350"/>
      <c r="P233" s="350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  <c r="AA233" s="65"/>
      <c r="AB233" s="65"/>
      <c r="AC233" s="82"/>
    </row>
    <row r="234" spans="1:68" ht="14.25" customHeight="1" x14ac:dyDescent="0.25">
      <c r="A234" s="351" t="s">
        <v>342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66"/>
      <c r="AB234" s="66"/>
      <c r="AC234" s="83"/>
    </row>
    <row r="235" spans="1:68" ht="27" customHeight="1" x14ac:dyDescent="0.25">
      <c r="A235" s="63" t="s">
        <v>343</v>
      </c>
      <c r="B235" s="63" t="s">
        <v>344</v>
      </c>
      <c r="C235" s="36">
        <v>4301133004</v>
      </c>
      <c r="D235" s="352">
        <v>4607111039774</v>
      </c>
      <c r="E235" s="352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112</v>
      </c>
      <c r="L235" s="37" t="s">
        <v>88</v>
      </c>
      <c r="M235" s="38" t="s">
        <v>86</v>
      </c>
      <c r="N235" s="38"/>
      <c r="O235" s="37">
        <v>180</v>
      </c>
      <c r="P235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4"/>
      <c r="R235" s="354"/>
      <c r="S235" s="354"/>
      <c r="T235" s="355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45" t="s">
        <v>345</v>
      </c>
      <c r="AG235" s="81"/>
      <c r="AJ235" s="87" t="s">
        <v>89</v>
      </c>
      <c r="AK235" s="87">
        <v>1</v>
      </c>
      <c r="BB235" s="246" t="s">
        <v>111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5"/>
      <c r="P236" s="361" t="s">
        <v>40</v>
      </c>
      <c r="Q236" s="362"/>
      <c r="R236" s="362"/>
      <c r="S236" s="362"/>
      <c r="T236" s="362"/>
      <c r="U236" s="362"/>
      <c r="V236" s="363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64"/>
      <c r="B237" s="364"/>
      <c r="C237" s="364"/>
      <c r="D237" s="364"/>
      <c r="E237" s="364"/>
      <c r="F237" s="364"/>
      <c r="G237" s="364"/>
      <c r="H237" s="364"/>
      <c r="I237" s="364"/>
      <c r="J237" s="364"/>
      <c r="K237" s="364"/>
      <c r="L237" s="364"/>
      <c r="M237" s="364"/>
      <c r="N237" s="364"/>
      <c r="O237" s="365"/>
      <c r="P237" s="361" t="s">
        <v>40</v>
      </c>
      <c r="Q237" s="362"/>
      <c r="R237" s="362"/>
      <c r="S237" s="362"/>
      <c r="T237" s="362"/>
      <c r="U237" s="362"/>
      <c r="V237" s="363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51" t="s">
        <v>151</v>
      </c>
      <c r="B238" s="351"/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  <c r="AA238" s="66"/>
      <c r="AB238" s="66"/>
      <c r="AC238" s="83"/>
    </row>
    <row r="239" spans="1:68" ht="37.5" customHeight="1" x14ac:dyDescent="0.25">
      <c r="A239" s="63" t="s">
        <v>346</v>
      </c>
      <c r="B239" s="63" t="s">
        <v>347</v>
      </c>
      <c r="C239" s="36">
        <v>4301135400</v>
      </c>
      <c r="D239" s="352">
        <v>4607111039361</v>
      </c>
      <c r="E239" s="352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112</v>
      </c>
      <c r="L239" s="37" t="s">
        <v>88</v>
      </c>
      <c r="M239" s="38" t="s">
        <v>86</v>
      </c>
      <c r="N239" s="38"/>
      <c r="O239" s="37">
        <v>180</v>
      </c>
      <c r="P239" s="4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4"/>
      <c r="R239" s="354"/>
      <c r="S239" s="354"/>
      <c r="T239" s="355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47" t="s">
        <v>345</v>
      </c>
      <c r="AG239" s="81"/>
      <c r="AJ239" s="87" t="s">
        <v>89</v>
      </c>
      <c r="AK239" s="87">
        <v>1</v>
      </c>
      <c r="BB239" s="248" t="s">
        <v>111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5"/>
      <c r="P240" s="361" t="s">
        <v>40</v>
      </c>
      <c r="Q240" s="362"/>
      <c r="R240" s="362"/>
      <c r="S240" s="362"/>
      <c r="T240" s="362"/>
      <c r="U240" s="362"/>
      <c r="V240" s="363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64"/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5"/>
      <c r="P241" s="361" t="s">
        <v>40</v>
      </c>
      <c r="Q241" s="362"/>
      <c r="R241" s="362"/>
      <c r="S241" s="362"/>
      <c r="T241" s="362"/>
      <c r="U241" s="362"/>
      <c r="V241" s="363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9" t="s">
        <v>348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54"/>
      <c r="AB242" s="54"/>
      <c r="AC242" s="54"/>
    </row>
    <row r="243" spans="1:68" ht="16.5" customHeight="1" x14ac:dyDescent="0.25">
      <c r="A243" s="350" t="s">
        <v>348</v>
      </c>
      <c r="B243" s="350"/>
      <c r="C243" s="350"/>
      <c r="D243" s="350"/>
      <c r="E243" s="350"/>
      <c r="F243" s="350"/>
      <c r="G243" s="350"/>
      <c r="H243" s="350"/>
      <c r="I243" s="350"/>
      <c r="J243" s="350"/>
      <c r="K243" s="350"/>
      <c r="L243" s="350"/>
      <c r="M243" s="350"/>
      <c r="N243" s="350"/>
      <c r="O243" s="350"/>
      <c r="P243" s="350"/>
      <c r="Q243" s="350"/>
      <c r="R243" s="350"/>
      <c r="S243" s="350"/>
      <c r="T243" s="350"/>
      <c r="U243" s="350"/>
      <c r="V243" s="350"/>
      <c r="W243" s="350"/>
      <c r="X243" s="350"/>
      <c r="Y243" s="350"/>
      <c r="Z243" s="350"/>
      <c r="AA243" s="65"/>
      <c r="AB243" s="65"/>
      <c r="AC243" s="82"/>
    </row>
    <row r="244" spans="1:68" ht="14.25" customHeight="1" x14ac:dyDescent="0.25">
      <c r="A244" s="351" t="s">
        <v>82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66"/>
      <c r="AB244" s="66"/>
      <c r="AC244" s="83"/>
    </row>
    <row r="245" spans="1:68" ht="27" customHeight="1" x14ac:dyDescent="0.25">
      <c r="A245" s="63" t="s">
        <v>349</v>
      </c>
      <c r="B245" s="63" t="s">
        <v>350</v>
      </c>
      <c r="C245" s="36">
        <v>4301071014</v>
      </c>
      <c r="D245" s="352">
        <v>4640242181264</v>
      </c>
      <c r="E245" s="352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4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4"/>
      <c r="R245" s="354"/>
      <c r="S245" s="354"/>
      <c r="T245" s="355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351</v>
      </c>
      <c r="AG245" s="81"/>
      <c r="AJ245" s="87" t="s">
        <v>89</v>
      </c>
      <c r="AK245" s="87">
        <v>1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352</v>
      </c>
      <c r="B246" s="63" t="s">
        <v>353</v>
      </c>
      <c r="C246" s="36">
        <v>4301071021</v>
      </c>
      <c r="D246" s="352">
        <v>4640242181325</v>
      </c>
      <c r="E246" s="352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4"/>
      <c r="R246" s="354"/>
      <c r="S246" s="354"/>
      <c r="T246" s="355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51" t="s">
        <v>351</v>
      </c>
      <c r="AG246" s="81"/>
      <c r="AJ246" s="87" t="s">
        <v>89</v>
      </c>
      <c r="AK246" s="87">
        <v>1</v>
      </c>
      <c r="BB246" s="252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5"/>
      <c r="P247" s="361" t="s">
        <v>40</v>
      </c>
      <c r="Q247" s="362"/>
      <c r="R247" s="362"/>
      <c r="S247" s="362"/>
      <c r="T247" s="362"/>
      <c r="U247" s="362"/>
      <c r="V247" s="363"/>
      <c r="W247" s="42" t="s">
        <v>39</v>
      </c>
      <c r="X247" s="43">
        <f>IFERROR(SUM(X245:X246),"0")</f>
        <v>0</v>
      </c>
      <c r="Y247" s="43">
        <f>IFERROR(SUM(Y245:Y246),"0")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364"/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5"/>
      <c r="P248" s="361" t="s">
        <v>40</v>
      </c>
      <c r="Q248" s="362"/>
      <c r="R248" s="362"/>
      <c r="S248" s="362"/>
      <c r="T248" s="362"/>
      <c r="U248" s="362"/>
      <c r="V248" s="363"/>
      <c r="W248" s="42" t="s">
        <v>0</v>
      </c>
      <c r="X248" s="43">
        <f>IFERROR(SUMPRODUCT(X245:X246*H245:H246),"0")</f>
        <v>0</v>
      </c>
      <c r="Y248" s="43">
        <f>IFERROR(SUMPRODUCT(Y245:Y246*H245:H246),"0")</f>
        <v>0</v>
      </c>
      <c r="Z248" s="42"/>
      <c r="AA248" s="67"/>
      <c r="AB248" s="67"/>
      <c r="AC248" s="67"/>
    </row>
    <row r="249" spans="1:68" ht="14.25" customHeight="1" x14ac:dyDescent="0.25">
      <c r="A249" s="351" t="s">
        <v>107</v>
      </c>
      <c r="B249" s="351"/>
      <c r="C249" s="351"/>
      <c r="D249" s="351"/>
      <c r="E249" s="351"/>
      <c r="F249" s="351"/>
      <c r="G249" s="351"/>
      <c r="H249" s="351"/>
      <c r="I249" s="351"/>
      <c r="J249" s="351"/>
      <c r="K249" s="351"/>
      <c r="L249" s="351"/>
      <c r="M249" s="351"/>
      <c r="N249" s="351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  <c r="AA249" s="66"/>
      <c r="AB249" s="66"/>
      <c r="AC249" s="83"/>
    </row>
    <row r="250" spans="1:68" ht="27" customHeight="1" x14ac:dyDescent="0.25">
      <c r="A250" s="63" t="s">
        <v>354</v>
      </c>
      <c r="B250" s="63" t="s">
        <v>355</v>
      </c>
      <c r="C250" s="36">
        <v>4301132080</v>
      </c>
      <c r="D250" s="352">
        <v>4640242180397</v>
      </c>
      <c r="E250" s="352"/>
      <c r="F250" s="62">
        <v>1</v>
      </c>
      <c r="G250" s="37">
        <v>6</v>
      </c>
      <c r="H250" s="62">
        <v>6</v>
      </c>
      <c r="I250" s="62">
        <v>6.26</v>
      </c>
      <c r="J250" s="37">
        <v>84</v>
      </c>
      <c r="K250" s="37" t="s">
        <v>87</v>
      </c>
      <c r="L250" s="37" t="s">
        <v>113</v>
      </c>
      <c r="M250" s="38" t="s">
        <v>86</v>
      </c>
      <c r="N250" s="38"/>
      <c r="O250" s="37">
        <v>180</v>
      </c>
      <c r="P250" s="44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354"/>
      <c r="R250" s="354"/>
      <c r="S250" s="354"/>
      <c r="T250" s="355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3" t="s">
        <v>356</v>
      </c>
      <c r="AG250" s="81"/>
      <c r="AJ250" s="87" t="s">
        <v>114</v>
      </c>
      <c r="AK250" s="87">
        <v>12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1" t="s">
        <v>40</v>
      </c>
      <c r="Q251" s="362"/>
      <c r="R251" s="362"/>
      <c r="S251" s="362"/>
      <c r="T251" s="362"/>
      <c r="U251" s="362"/>
      <c r="V251" s="363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364"/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5"/>
      <c r="P252" s="361" t="s">
        <v>40</v>
      </c>
      <c r="Q252" s="362"/>
      <c r="R252" s="362"/>
      <c r="S252" s="362"/>
      <c r="T252" s="362"/>
      <c r="U252" s="362"/>
      <c r="V252" s="363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14.25" customHeight="1" x14ac:dyDescent="0.25">
      <c r="A253" s="351" t="s">
        <v>145</v>
      </c>
      <c r="B253" s="351"/>
      <c r="C253" s="351"/>
      <c r="D253" s="351"/>
      <c r="E253" s="351"/>
      <c r="F253" s="351"/>
      <c r="G253" s="351"/>
      <c r="H253" s="351"/>
      <c r="I253" s="351"/>
      <c r="J253" s="351"/>
      <c r="K253" s="351"/>
      <c r="L253" s="351"/>
      <c r="M253" s="351"/>
      <c r="N253" s="351"/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  <c r="AA253" s="66"/>
      <c r="AB253" s="66"/>
      <c r="AC253" s="83"/>
    </row>
    <row r="254" spans="1:68" ht="27" customHeight="1" x14ac:dyDescent="0.25">
      <c r="A254" s="63" t="s">
        <v>357</v>
      </c>
      <c r="B254" s="63" t="s">
        <v>358</v>
      </c>
      <c r="C254" s="36">
        <v>4301136051</v>
      </c>
      <c r="D254" s="352">
        <v>4640242180304</v>
      </c>
      <c r="E254" s="352"/>
      <c r="F254" s="62">
        <v>2.7</v>
      </c>
      <c r="G254" s="37">
        <v>1</v>
      </c>
      <c r="H254" s="62">
        <v>2.7</v>
      </c>
      <c r="I254" s="62">
        <v>2.8906000000000001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4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354"/>
      <c r="R254" s="354"/>
      <c r="S254" s="354"/>
      <c r="T254" s="35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359</v>
      </c>
      <c r="AG254" s="81"/>
      <c r="AJ254" s="87" t="s">
        <v>89</v>
      </c>
      <c r="AK254" s="87">
        <v>1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360</v>
      </c>
      <c r="B255" s="63" t="s">
        <v>361</v>
      </c>
      <c r="C255" s="36">
        <v>4301136053</v>
      </c>
      <c r="D255" s="352">
        <v>4640242180236</v>
      </c>
      <c r="E255" s="352"/>
      <c r="F255" s="62">
        <v>5</v>
      </c>
      <c r="G255" s="37">
        <v>1</v>
      </c>
      <c r="H255" s="62">
        <v>5</v>
      </c>
      <c r="I255" s="62">
        <v>5.2350000000000003</v>
      </c>
      <c r="J255" s="37">
        <v>84</v>
      </c>
      <c r="K255" s="37" t="s">
        <v>87</v>
      </c>
      <c r="L255" s="37" t="s">
        <v>113</v>
      </c>
      <c r="M255" s="38" t="s">
        <v>86</v>
      </c>
      <c r="N255" s="38"/>
      <c r="O255" s="37">
        <v>180</v>
      </c>
      <c r="P255" s="44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354"/>
      <c r="R255" s="354"/>
      <c r="S255" s="354"/>
      <c r="T255" s="35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7" t="s">
        <v>359</v>
      </c>
      <c r="AG255" s="81"/>
      <c r="AJ255" s="87" t="s">
        <v>114</v>
      </c>
      <c r="AK255" s="87">
        <v>12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362</v>
      </c>
      <c r="B256" s="63" t="s">
        <v>363</v>
      </c>
      <c r="C256" s="36">
        <v>4301136052</v>
      </c>
      <c r="D256" s="352">
        <v>4640242180410</v>
      </c>
      <c r="E256" s="352"/>
      <c r="F256" s="62">
        <v>2.2400000000000002</v>
      </c>
      <c r="G256" s="37">
        <v>1</v>
      </c>
      <c r="H256" s="62">
        <v>2.2400000000000002</v>
      </c>
      <c r="I256" s="62">
        <v>2.4319999999999999</v>
      </c>
      <c r="J256" s="37">
        <v>126</v>
      </c>
      <c r="K256" s="37" t="s">
        <v>112</v>
      </c>
      <c r="L256" s="37" t="s">
        <v>113</v>
      </c>
      <c r="M256" s="38" t="s">
        <v>86</v>
      </c>
      <c r="N256" s="38"/>
      <c r="O256" s="37">
        <v>180</v>
      </c>
      <c r="P256" s="4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354"/>
      <c r="R256" s="354"/>
      <c r="S256" s="354"/>
      <c r="T256" s="35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9" t="s">
        <v>359</v>
      </c>
      <c r="AG256" s="81"/>
      <c r="AJ256" s="87" t="s">
        <v>114</v>
      </c>
      <c r="AK256" s="87">
        <v>14</v>
      </c>
      <c r="BB256" s="260" t="s">
        <v>111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1" t="s">
        <v>40</v>
      </c>
      <c r="Q257" s="362"/>
      <c r="R257" s="362"/>
      <c r="S257" s="362"/>
      <c r="T257" s="362"/>
      <c r="U257" s="362"/>
      <c r="V257" s="363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64"/>
      <c r="B258" s="364"/>
      <c r="C258" s="364"/>
      <c r="D258" s="364"/>
      <c r="E258" s="364"/>
      <c r="F258" s="364"/>
      <c r="G258" s="364"/>
      <c r="H258" s="364"/>
      <c r="I258" s="364"/>
      <c r="J258" s="364"/>
      <c r="K258" s="364"/>
      <c r="L258" s="364"/>
      <c r="M258" s="364"/>
      <c r="N258" s="364"/>
      <c r="O258" s="365"/>
      <c r="P258" s="361" t="s">
        <v>40</v>
      </c>
      <c r="Q258" s="362"/>
      <c r="R258" s="362"/>
      <c r="S258" s="362"/>
      <c r="T258" s="362"/>
      <c r="U258" s="362"/>
      <c r="V258" s="363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51" t="s">
        <v>151</v>
      </c>
      <c r="B259" s="351"/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  <c r="AA259" s="66"/>
      <c r="AB259" s="66"/>
      <c r="AC259" s="83"/>
    </row>
    <row r="260" spans="1:68" ht="37.5" customHeight="1" x14ac:dyDescent="0.25">
      <c r="A260" s="63" t="s">
        <v>364</v>
      </c>
      <c r="B260" s="63" t="s">
        <v>365</v>
      </c>
      <c r="C260" s="36">
        <v>4301135504</v>
      </c>
      <c r="D260" s="352">
        <v>4640242181554</v>
      </c>
      <c r="E260" s="352"/>
      <c r="F260" s="62">
        <v>3</v>
      </c>
      <c r="G260" s="37">
        <v>1</v>
      </c>
      <c r="H260" s="62">
        <v>3</v>
      </c>
      <c r="I260" s="62">
        <v>3.1920000000000002</v>
      </c>
      <c r="J260" s="37">
        <v>126</v>
      </c>
      <c r="K260" s="37" t="s">
        <v>112</v>
      </c>
      <c r="L260" s="37" t="s">
        <v>88</v>
      </c>
      <c r="M260" s="38" t="s">
        <v>86</v>
      </c>
      <c r="N260" s="38"/>
      <c r="O260" s="37">
        <v>180</v>
      </c>
      <c r="P260" s="44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354"/>
      <c r="R260" s="354"/>
      <c r="S260" s="354"/>
      <c r="T260" s="355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ref="Y260:Y269" si="18"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89</v>
      </c>
      <c r="AK260" s="87">
        <v>1</v>
      </c>
      <c r="BB260" s="262" t="s">
        <v>111</v>
      </c>
      <c r="BM260" s="81">
        <f t="shared" ref="BM260:BM269" si="19">IFERROR(X260*I260,"0")</f>
        <v>0</v>
      </c>
      <c r="BN260" s="81">
        <f t="shared" ref="BN260:BN269" si="20">IFERROR(Y260*I260,"0")</f>
        <v>0</v>
      </c>
      <c r="BO260" s="81">
        <f t="shared" ref="BO260:BO269" si="21">IFERROR(X260/J260,"0")</f>
        <v>0</v>
      </c>
      <c r="BP260" s="81">
        <f t="shared" ref="BP260:BP269" si="22">IFERROR(Y260/J260,"0")</f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4301135518</v>
      </c>
      <c r="D261" s="352">
        <v>4640242181561</v>
      </c>
      <c r="E261" s="352"/>
      <c r="F261" s="62">
        <v>3.7</v>
      </c>
      <c r="G261" s="37">
        <v>1</v>
      </c>
      <c r="H261" s="62">
        <v>3.7</v>
      </c>
      <c r="I261" s="62">
        <v>3.8919999999999999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354"/>
      <c r="R261" s="354"/>
      <c r="S261" s="354"/>
      <c r="T261" s="355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3" t="s">
        <v>369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370</v>
      </c>
      <c r="B262" s="63" t="s">
        <v>371</v>
      </c>
      <c r="C262" s="36">
        <v>4301135374</v>
      </c>
      <c r="D262" s="352">
        <v>4640242181424</v>
      </c>
      <c r="E262" s="352"/>
      <c r="F262" s="62">
        <v>5.5</v>
      </c>
      <c r="G262" s="37">
        <v>1</v>
      </c>
      <c r="H262" s="62">
        <v>5.5</v>
      </c>
      <c r="I262" s="62">
        <v>5.7350000000000003</v>
      </c>
      <c r="J262" s="37">
        <v>84</v>
      </c>
      <c r="K262" s="37" t="s">
        <v>87</v>
      </c>
      <c r="L262" s="37" t="s">
        <v>88</v>
      </c>
      <c r="M262" s="38" t="s">
        <v>86</v>
      </c>
      <c r="N262" s="38"/>
      <c r="O262" s="37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354"/>
      <c r="R262" s="354"/>
      <c r="S262" s="354"/>
      <c r="T262" s="355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89</v>
      </c>
      <c r="AK262" s="87">
        <v>1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372</v>
      </c>
      <c r="B263" s="63" t="s">
        <v>373</v>
      </c>
      <c r="C263" s="36">
        <v>4301135405</v>
      </c>
      <c r="D263" s="352">
        <v>4640242181523</v>
      </c>
      <c r="E263" s="352"/>
      <c r="F263" s="62">
        <v>3</v>
      </c>
      <c r="G263" s="37">
        <v>1</v>
      </c>
      <c r="H263" s="62">
        <v>3</v>
      </c>
      <c r="I263" s="62">
        <v>3.1920000000000002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354"/>
      <c r="R263" s="354"/>
      <c r="S263" s="354"/>
      <c r="T263" s="355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ref="Z263:Z268" si="23">IFERROR(IF(X263="","",X263*0.00936),"")</f>
        <v>0</v>
      </c>
      <c r="AA263" s="68" t="s">
        <v>46</v>
      </c>
      <c r="AB263" s="69" t="s">
        <v>46</v>
      </c>
      <c r="AC263" s="267" t="s">
        <v>369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27" customHeight="1" x14ac:dyDescent="0.25">
      <c r="A264" s="63" t="s">
        <v>374</v>
      </c>
      <c r="B264" s="63" t="s">
        <v>375</v>
      </c>
      <c r="C264" s="36">
        <v>4301135375</v>
      </c>
      <c r="D264" s="352">
        <v>4640242181486</v>
      </c>
      <c r="E264" s="352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113</v>
      </c>
      <c r="M264" s="38" t="s">
        <v>86</v>
      </c>
      <c r="N264" s="38"/>
      <c r="O264" s="37">
        <v>180</v>
      </c>
      <c r="P264" s="45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354"/>
      <c r="R264" s="354"/>
      <c r="S264" s="354"/>
      <c r="T264" s="355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366</v>
      </c>
      <c r="AG264" s="81"/>
      <c r="AJ264" s="87" t="s">
        <v>114</v>
      </c>
      <c r="AK264" s="87">
        <v>14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376</v>
      </c>
      <c r="B265" s="63" t="s">
        <v>377</v>
      </c>
      <c r="C265" s="36">
        <v>4301135402</v>
      </c>
      <c r="D265" s="352">
        <v>4640242181493</v>
      </c>
      <c r="E265" s="352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5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354"/>
      <c r="R265" s="354"/>
      <c r="S265" s="354"/>
      <c r="T265" s="355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366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37.5" customHeight="1" x14ac:dyDescent="0.25">
      <c r="A266" s="63" t="s">
        <v>378</v>
      </c>
      <c r="B266" s="63" t="s">
        <v>379</v>
      </c>
      <c r="C266" s="36">
        <v>4301135403</v>
      </c>
      <c r="D266" s="352">
        <v>4640242181509</v>
      </c>
      <c r="E266" s="352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5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354"/>
      <c r="R266" s="354"/>
      <c r="S266" s="354"/>
      <c r="T266" s="355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366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380</v>
      </c>
      <c r="B267" s="63" t="s">
        <v>381</v>
      </c>
      <c r="C267" s="36">
        <v>4301135304</v>
      </c>
      <c r="D267" s="352">
        <v>4640242181240</v>
      </c>
      <c r="E267" s="352"/>
      <c r="F267" s="62">
        <v>0.3</v>
      </c>
      <c r="G267" s="37">
        <v>9</v>
      </c>
      <c r="H267" s="62">
        <v>2.7</v>
      </c>
      <c r="I267" s="62">
        <v>2.88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45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354"/>
      <c r="R267" s="354"/>
      <c r="S267" s="354"/>
      <c r="T267" s="355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382</v>
      </c>
      <c r="B268" s="63" t="s">
        <v>383</v>
      </c>
      <c r="C268" s="36">
        <v>4301135610</v>
      </c>
      <c r="D268" s="352">
        <v>4640242181318</v>
      </c>
      <c r="E268" s="352"/>
      <c r="F268" s="62">
        <v>0.3</v>
      </c>
      <c r="G268" s="37">
        <v>9</v>
      </c>
      <c r="H268" s="62">
        <v>2.7</v>
      </c>
      <c r="I268" s="62">
        <v>2.988</v>
      </c>
      <c r="J268" s="37">
        <v>126</v>
      </c>
      <c r="K268" s="37" t="s">
        <v>112</v>
      </c>
      <c r="L268" s="37" t="s">
        <v>88</v>
      </c>
      <c r="M268" s="38" t="s">
        <v>86</v>
      </c>
      <c r="N268" s="38"/>
      <c r="O268" s="37">
        <v>180</v>
      </c>
      <c r="P268" s="45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354"/>
      <c r="R268" s="354"/>
      <c r="S268" s="354"/>
      <c r="T268" s="355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7" t="s">
        <v>369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customHeight="1" x14ac:dyDescent="0.25">
      <c r="A269" s="63" t="s">
        <v>384</v>
      </c>
      <c r="B269" s="63" t="s">
        <v>385</v>
      </c>
      <c r="C269" s="36">
        <v>4301135306</v>
      </c>
      <c r="D269" s="352">
        <v>4640242181387</v>
      </c>
      <c r="E269" s="352"/>
      <c r="F269" s="62">
        <v>0.3</v>
      </c>
      <c r="G269" s="37">
        <v>9</v>
      </c>
      <c r="H269" s="62">
        <v>2.7</v>
      </c>
      <c r="I269" s="62">
        <v>2.8450000000000002</v>
      </c>
      <c r="J269" s="37">
        <v>234</v>
      </c>
      <c r="K269" s="37" t="s">
        <v>163</v>
      </c>
      <c r="L269" s="37" t="s">
        <v>88</v>
      </c>
      <c r="M269" s="38" t="s">
        <v>86</v>
      </c>
      <c r="N269" s="38"/>
      <c r="O269" s="37">
        <v>180</v>
      </c>
      <c r="P269" s="45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354"/>
      <c r="R269" s="354"/>
      <c r="S269" s="354"/>
      <c r="T269" s="355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IFERROR(IF(X269="","",X269*0.00502),"")</f>
        <v>0</v>
      </c>
      <c r="AA269" s="68" t="s">
        <v>46</v>
      </c>
      <c r="AB269" s="69" t="s">
        <v>46</v>
      </c>
      <c r="AC269" s="279" t="s">
        <v>366</v>
      </c>
      <c r="AG269" s="81"/>
      <c r="AJ269" s="87" t="s">
        <v>89</v>
      </c>
      <c r="AK269" s="87">
        <v>1</v>
      </c>
      <c r="BB269" s="280" t="s">
        <v>111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1" t="s">
        <v>40</v>
      </c>
      <c r="Q270" s="362"/>
      <c r="R270" s="362"/>
      <c r="S270" s="362"/>
      <c r="T270" s="362"/>
      <c r="U270" s="362"/>
      <c r="V270" s="363"/>
      <c r="W270" s="42" t="s">
        <v>39</v>
      </c>
      <c r="X270" s="43">
        <f>IFERROR(SUM(X260:X269),"0")</f>
        <v>0</v>
      </c>
      <c r="Y270" s="43">
        <f>IFERROR(SUM(Y260:Y269),"0")</f>
        <v>0</v>
      </c>
      <c r="Z270" s="43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5"/>
      <c r="P271" s="361" t="s">
        <v>40</v>
      </c>
      <c r="Q271" s="362"/>
      <c r="R271" s="362"/>
      <c r="S271" s="362"/>
      <c r="T271" s="362"/>
      <c r="U271" s="362"/>
      <c r="V271" s="363"/>
      <c r="W271" s="42" t="s">
        <v>0</v>
      </c>
      <c r="X271" s="43">
        <f>IFERROR(SUMPRODUCT(X260:X269*H260:H269),"0")</f>
        <v>0</v>
      </c>
      <c r="Y271" s="43">
        <f>IFERROR(SUMPRODUCT(Y260:Y269*H260:H269),"0")</f>
        <v>0</v>
      </c>
      <c r="Z271" s="42"/>
      <c r="AA271" s="67"/>
      <c r="AB271" s="67"/>
      <c r="AC271" s="67"/>
    </row>
    <row r="272" spans="1:68" ht="15" customHeight="1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459"/>
      <c r="P272" s="456" t="s">
        <v>33</v>
      </c>
      <c r="Q272" s="457"/>
      <c r="R272" s="457"/>
      <c r="S272" s="457"/>
      <c r="T272" s="457"/>
      <c r="U272" s="457"/>
      <c r="V272" s="458"/>
      <c r="W272" s="42" t="s">
        <v>0</v>
      </c>
      <c r="X272" s="43">
        <f>IFERROR(X29+X35+X42+X49+X57+X62+X66+X71+X77+X83+X88+X94+X105+X111+X123+X127+X131+X137+X143+X149+X154+X159+X164+X169+X176+X181+X190+X194+X200+X208+X213+X219+X225+X231+X237+X241+X248+X252+X258+X271,"0")</f>
        <v>0</v>
      </c>
      <c r="Y272" s="43">
        <f>IFERROR(Y29+Y35+Y42+Y49+Y57+Y62+Y66+Y71+Y77+Y83+Y88+Y94+Y105+Y111+Y123+Y127+Y131+Y137+Y143+Y149+Y154+Y159+Y164+Y169+Y176+Y181+Y190+Y194+Y200+Y208+Y213+Y219+Y225+Y231+Y237+Y241+Y248+Y252+Y258+Y271,"0")</f>
        <v>0</v>
      </c>
      <c r="Z272" s="42"/>
      <c r="AA272" s="67"/>
      <c r="AB272" s="67"/>
      <c r="AC272" s="67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459"/>
      <c r="P273" s="456" t="s">
        <v>34</v>
      </c>
      <c r="Q273" s="457"/>
      <c r="R273" s="457"/>
      <c r="S273" s="457"/>
      <c r="T273" s="457"/>
      <c r="U273" s="457"/>
      <c r="V273" s="458"/>
      <c r="W273" s="42" t="s">
        <v>0</v>
      </c>
      <c r="X273" s="43">
        <f>IFERROR(SUM(BM22:BM269),"0")</f>
        <v>0</v>
      </c>
      <c r="Y273" s="43">
        <f>IFERROR(SUM(BN22:BN269),"0")</f>
        <v>0</v>
      </c>
      <c r="Z273" s="42"/>
      <c r="AA273" s="67"/>
      <c r="AB273" s="67"/>
      <c r="AC273" s="67"/>
    </row>
    <row r="274" spans="1:32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59"/>
      <c r="P274" s="456" t="s">
        <v>35</v>
      </c>
      <c r="Q274" s="457"/>
      <c r="R274" s="457"/>
      <c r="S274" s="457"/>
      <c r="T274" s="457"/>
      <c r="U274" s="457"/>
      <c r="V274" s="458"/>
      <c r="W274" s="42" t="s">
        <v>20</v>
      </c>
      <c r="X274" s="44">
        <f>ROUNDUP(SUM(BO22:BO269),0)</f>
        <v>0</v>
      </c>
      <c r="Y274" s="44">
        <f>ROUNDUP(SUM(BP22:BP269),0)</f>
        <v>0</v>
      </c>
      <c r="Z274" s="42"/>
      <c r="AA274" s="67"/>
      <c r="AB274" s="67"/>
      <c r="AC274" s="67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59"/>
      <c r="P275" s="456" t="s">
        <v>36</v>
      </c>
      <c r="Q275" s="457"/>
      <c r="R275" s="457"/>
      <c r="S275" s="457"/>
      <c r="T275" s="457"/>
      <c r="U275" s="457"/>
      <c r="V275" s="458"/>
      <c r="W275" s="42" t="s">
        <v>0</v>
      </c>
      <c r="X275" s="43">
        <f>GrossWeightTotal+PalletQtyTotal*25</f>
        <v>0</v>
      </c>
      <c r="Y275" s="43">
        <f>GrossWeightTotalR+PalletQtyTotalR*25</f>
        <v>0</v>
      </c>
      <c r="Z275" s="42"/>
      <c r="AA275" s="67"/>
      <c r="AB275" s="67"/>
      <c r="AC275" s="67"/>
    </row>
    <row r="276" spans="1:32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59"/>
      <c r="P276" s="456" t="s">
        <v>37</v>
      </c>
      <c r="Q276" s="457"/>
      <c r="R276" s="457"/>
      <c r="S276" s="457"/>
      <c r="T276" s="457"/>
      <c r="U276" s="457"/>
      <c r="V276" s="458"/>
      <c r="W276" s="42" t="s">
        <v>20</v>
      </c>
      <c r="X276" s="43">
        <f>IFERROR(X28+X34+X41+X48+X56+X61+X65+X70+X76+X82+X87+X93+X104+X110+X122+X126+X130+X136+X142+X148+X153+X158+X163+X168+X175+X180+X189+X193+X199+X207+X212+X218+X224+X230+X236+X240+X247+X251+X257+X270,"0")</f>
        <v>0</v>
      </c>
      <c r="Y276" s="43">
        <f>IFERROR(Y28+Y34+Y41+Y48+Y56+Y61+Y65+Y70+Y76+Y82+Y87+Y93+Y104+Y110+Y122+Y126+Y130+Y136+Y142+Y148+Y153+Y158+Y163+Y168+Y175+Y180+Y189+Y193+Y199+Y207+Y212+Y218+Y224+Y230+Y236+Y240+Y247+Y251+Y257+Y270,"0")</f>
        <v>0</v>
      </c>
      <c r="Z276" s="42"/>
      <c r="AA276" s="67"/>
      <c r="AB276" s="67"/>
      <c r="AC276" s="67"/>
    </row>
    <row r="277" spans="1:32" ht="14.25" x14ac:dyDescent="0.2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459"/>
      <c r="P277" s="456" t="s">
        <v>38</v>
      </c>
      <c r="Q277" s="457"/>
      <c r="R277" s="457"/>
      <c r="S277" s="457"/>
      <c r="T277" s="457"/>
      <c r="U277" s="457"/>
      <c r="V277" s="458"/>
      <c r="W277" s="45" t="s">
        <v>52</v>
      </c>
      <c r="X277" s="42"/>
      <c r="Y277" s="42"/>
      <c r="Z277" s="42">
        <f>IFERROR(Z28+Z34+Z41+Z48+Z56+Z61+Z65+Z70+Z76+Z82+Z87+Z93+Z104+Z110+Z122+Z126+Z130+Z136+Z142+Z148+Z153+Z158+Z163+Z168+Z175+Z180+Z189+Z193+Z199+Z207+Z212+Z218+Z224+Z230+Z236+Z240+Z247+Z251+Z257+Z270,"0")</f>
        <v>0</v>
      </c>
      <c r="AA277" s="67"/>
      <c r="AB277" s="67"/>
      <c r="AC277" s="67"/>
    </row>
    <row r="278" spans="1:32" ht="13.5" thickBot="1" x14ac:dyDescent="0.25"/>
    <row r="279" spans="1:32" ht="27" thickTop="1" thickBot="1" x14ac:dyDescent="0.25">
      <c r="A279" s="46" t="s">
        <v>9</v>
      </c>
      <c r="B279" s="462" t="s">
        <v>81</v>
      </c>
      <c r="C279" s="462" t="s">
        <v>81</v>
      </c>
      <c r="D279" s="462" t="s">
        <v>45</v>
      </c>
      <c r="E279" s="462" t="s">
        <v>45</v>
      </c>
      <c r="F279" s="462" t="s">
        <v>45</v>
      </c>
      <c r="G279" s="462" t="s">
        <v>45</v>
      </c>
      <c r="H279" s="462" t="s">
        <v>45</v>
      </c>
      <c r="I279" s="462" t="s">
        <v>45</v>
      </c>
      <c r="J279" s="462" t="s">
        <v>45</v>
      </c>
      <c r="K279" s="462" t="s">
        <v>45</v>
      </c>
      <c r="L279" s="462" t="s">
        <v>45</v>
      </c>
      <c r="M279" s="462" t="s">
        <v>45</v>
      </c>
      <c r="N279" s="463"/>
      <c r="O279" s="462" t="s">
        <v>45</v>
      </c>
      <c r="P279" s="462" t="s">
        <v>45</v>
      </c>
      <c r="Q279" s="462" t="s">
        <v>45</v>
      </c>
      <c r="R279" s="462" t="s">
        <v>45</v>
      </c>
      <c r="S279" s="462" t="s">
        <v>45</v>
      </c>
      <c r="T279" s="462" t="s">
        <v>45</v>
      </c>
      <c r="U279" s="462" t="s">
        <v>45</v>
      </c>
      <c r="V279" s="88" t="s">
        <v>266</v>
      </c>
      <c r="W279" s="88" t="s">
        <v>280</v>
      </c>
      <c r="X279" s="462" t="s">
        <v>302</v>
      </c>
      <c r="Y279" s="462" t="s">
        <v>302</v>
      </c>
      <c r="Z279" s="462" t="s">
        <v>302</v>
      </c>
      <c r="AA279" s="88" t="s">
        <v>331</v>
      </c>
      <c r="AB279" s="88" t="s">
        <v>336</v>
      </c>
      <c r="AC279" s="88" t="s">
        <v>340</v>
      </c>
      <c r="AD279" s="88" t="s">
        <v>348</v>
      </c>
      <c r="AF279" s="1"/>
    </row>
    <row r="280" spans="1:32" ht="14.25" customHeight="1" thickTop="1" x14ac:dyDescent="0.2">
      <c r="A280" s="460" t="s">
        <v>10</v>
      </c>
      <c r="B280" s="462" t="s">
        <v>81</v>
      </c>
      <c r="C280" s="462" t="s">
        <v>100</v>
      </c>
      <c r="D280" s="462" t="s">
        <v>106</v>
      </c>
      <c r="E280" s="462" t="s">
        <v>117</v>
      </c>
      <c r="F280" s="462" t="s">
        <v>127</v>
      </c>
      <c r="G280" s="462" t="s">
        <v>138</v>
      </c>
      <c r="H280" s="462" t="s">
        <v>159</v>
      </c>
      <c r="I280" s="462" t="s">
        <v>168</v>
      </c>
      <c r="J280" s="462" t="s">
        <v>172</v>
      </c>
      <c r="K280" s="462" t="s">
        <v>180</v>
      </c>
      <c r="L280" s="462" t="s">
        <v>198</v>
      </c>
      <c r="M280" s="462" t="s">
        <v>204</v>
      </c>
      <c r="N280" s="1"/>
      <c r="O280" s="462" t="s">
        <v>232</v>
      </c>
      <c r="P280" s="462" t="s">
        <v>238</v>
      </c>
      <c r="Q280" s="462" t="s">
        <v>245</v>
      </c>
      <c r="R280" s="462" t="s">
        <v>250</v>
      </c>
      <c r="S280" s="462" t="s">
        <v>254</v>
      </c>
      <c r="T280" s="462" t="s">
        <v>257</v>
      </c>
      <c r="U280" s="462" t="s">
        <v>262</v>
      </c>
      <c r="V280" s="462" t="s">
        <v>267</v>
      </c>
      <c r="W280" s="462" t="s">
        <v>281</v>
      </c>
      <c r="X280" s="462" t="s">
        <v>303</v>
      </c>
      <c r="Y280" s="462" t="s">
        <v>321</v>
      </c>
      <c r="Z280" s="462" t="s">
        <v>325</v>
      </c>
      <c r="AA280" s="462" t="s">
        <v>332</v>
      </c>
      <c r="AB280" s="462" t="s">
        <v>337</v>
      </c>
      <c r="AC280" s="462" t="s">
        <v>341</v>
      </c>
      <c r="AD280" s="462" t="s">
        <v>348</v>
      </c>
      <c r="AF280" s="1"/>
    </row>
    <row r="281" spans="1:32" ht="13.5" thickBot="1" x14ac:dyDescent="0.25">
      <c r="A281" s="461"/>
      <c r="B281" s="462"/>
      <c r="C281" s="462"/>
      <c r="D281" s="462"/>
      <c r="E281" s="462"/>
      <c r="F281" s="462"/>
      <c r="G281" s="462"/>
      <c r="H281" s="462"/>
      <c r="I281" s="462"/>
      <c r="J281" s="462"/>
      <c r="K281" s="462"/>
      <c r="L281" s="462"/>
      <c r="M281" s="462"/>
      <c r="N281" s="1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F281" s="1"/>
    </row>
    <row r="282" spans="1:32" ht="18" thickTop="1" thickBot="1" x14ac:dyDescent="0.25">
      <c r="A282" s="46" t="s">
        <v>13</v>
      </c>
      <c r="B282" s="52">
        <f>IFERROR(X22*H22,"0")+IFERROR(X23*H23,"0")+IFERROR(X24*H24,"0")+IFERROR(X25*H25,"0")+IFERROR(X26*H26,"0")+IFERROR(X27*H27,"0")</f>
        <v>0</v>
      </c>
      <c r="C282" s="52">
        <f>IFERROR(X32*H32,"0")+IFERROR(X33*H33,"0")</f>
        <v>0</v>
      </c>
      <c r="D282" s="52">
        <f>IFERROR(X39*H39,"0")+IFERROR(X40*H40,"0")</f>
        <v>0</v>
      </c>
      <c r="E282" s="52">
        <f>IFERROR(X45*H45,"0")+IFERROR(X46*H46,"0")+IFERROR(X47*H47,"0")</f>
        <v>0</v>
      </c>
      <c r="F282" s="52">
        <f>IFERROR(X52*H52,"0")+IFERROR(X53*H53,"0")+IFERROR(X54*H54,"0")+IFERROR(X55*H55,"0")</f>
        <v>0</v>
      </c>
      <c r="G282" s="52">
        <f>IFERROR(X60*H60,"0")+IFERROR(X64*H64,"0")+IFERROR(X68*H68,"0")+IFERROR(X69*H69,"0")+IFERROR(X73*H73,"0")+IFERROR(X74*H74,"0")+IFERROR(X75*H75,"0")</f>
        <v>0</v>
      </c>
      <c r="H282" s="52">
        <f>IFERROR(X80*H80,"0")+IFERROR(X81*H81,"0")</f>
        <v>0</v>
      </c>
      <c r="I282" s="52">
        <f>IFERROR(X86*H86,"0")</f>
        <v>0</v>
      </c>
      <c r="J282" s="52">
        <f>IFERROR(X91*H91,"0")+IFERROR(X92*H92,"0")</f>
        <v>0</v>
      </c>
      <c r="K282" s="52">
        <f>IFERROR(X97*H97,"0")+IFERROR(X98*H98,"0")+IFERROR(X99*H99,"0")+IFERROR(X100*H100,"0")+IFERROR(X101*H101,"0")+IFERROR(X102*H102,"0")+IFERROR(X103*H103,"0")</f>
        <v>0</v>
      </c>
      <c r="L282" s="52">
        <f>IFERROR(X108*H108,"0")+IFERROR(X109*H109,"0")</f>
        <v>0</v>
      </c>
      <c r="M282" s="52">
        <f>IFERROR(X114*H114,"0")+IFERROR(X115*H115,"0")+IFERROR(X116*H116,"0")+IFERROR(X117*H117,"0")+IFERROR(X118*H118,"0")+IFERROR(X119*H119,"0")+IFERROR(X120*H120,"0")+IFERROR(X121*H121,"0")+IFERROR(X125*H125,"0")+IFERROR(X129*H129,"0")</f>
        <v>0</v>
      </c>
      <c r="N282" s="1"/>
      <c r="O282" s="52">
        <f>IFERROR(X134*H134,"0")+IFERROR(X135*H135,"0")</f>
        <v>0</v>
      </c>
      <c r="P282" s="52">
        <f>IFERROR(X140*H140,"0")+IFERROR(X141*H141,"0")</f>
        <v>0</v>
      </c>
      <c r="Q282" s="52">
        <f>IFERROR(X146*H146,"0")+IFERROR(X147*H147,"0")</f>
        <v>0</v>
      </c>
      <c r="R282" s="52">
        <f>IFERROR(X152*H152,"0")</f>
        <v>0</v>
      </c>
      <c r="S282" s="52">
        <f>IFERROR(X157*H157,"0")</f>
        <v>0</v>
      </c>
      <c r="T282" s="52">
        <f>IFERROR(X162*H162,"0")</f>
        <v>0</v>
      </c>
      <c r="U282" s="52">
        <f>IFERROR(X167*H167,"0")</f>
        <v>0</v>
      </c>
      <c r="V282" s="52">
        <f>IFERROR(X173*H173,"0")+IFERROR(X174*H174,"0")+IFERROR(X178*H178,"0")+IFERROR(X179*H179,"0")</f>
        <v>0</v>
      </c>
      <c r="W282" s="52">
        <f>IFERROR(X185*H185,"0")+IFERROR(X186*H186,"0")+IFERROR(X187*H187,"0")+IFERROR(X188*H188,"0")+IFERROR(X192*H192,"0")</f>
        <v>0</v>
      </c>
      <c r="X282" s="52">
        <f>IFERROR(X198*H198,"0")+IFERROR(X202*H202,"0")+IFERROR(X203*H203,"0")+IFERROR(X204*H204,"0")+IFERROR(X205*H205,"0")+IFERROR(X206*H206,"0")</f>
        <v>0</v>
      </c>
      <c r="Y282" s="52">
        <f>IFERROR(X211*H211,"0")</f>
        <v>0</v>
      </c>
      <c r="Z282" s="52">
        <f>IFERROR(X216*H216,"0")+IFERROR(X217*H217,"0")</f>
        <v>0</v>
      </c>
      <c r="AA282" s="52">
        <f>IFERROR(X223*H223,"0")</f>
        <v>0</v>
      </c>
      <c r="AB282" s="52">
        <f>IFERROR(X229*H229,"0")</f>
        <v>0</v>
      </c>
      <c r="AC282" s="52">
        <f>IFERROR(X235*H235,"0")+IFERROR(X239*H239,"0")</f>
        <v>0</v>
      </c>
      <c r="AD282" s="52">
        <f>IFERROR(X245*H245,"0")+IFERROR(X246*H246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0</v>
      </c>
      <c r="AF282" s="1"/>
    </row>
    <row r="283" spans="1:32" ht="13.5" thickTop="1" x14ac:dyDescent="0.2">
      <c r="C283" s="1"/>
    </row>
    <row r="284" spans="1:32" ht="19.5" customHeight="1" x14ac:dyDescent="0.2">
      <c r="A284" s="70" t="s">
        <v>62</v>
      </c>
      <c r="B284" s="70" t="s">
        <v>63</v>
      </c>
      <c r="C284" s="70" t="s">
        <v>65</v>
      </c>
    </row>
    <row r="285" spans="1:32" x14ac:dyDescent="0.2">
      <c r="A285" s="71">
        <f>SUMPRODUCT(--(BB:BB="ЗПФ"),--(W:W="кор"),H:H,Y:Y)+SUMPRODUCT(--(BB:BB="ЗПФ"),--(W:W="кг"),Y:Y)</f>
        <v>0</v>
      </c>
      <c r="B285" s="72">
        <f>SUMPRODUCT(--(BB:BB="ПГП"),--(W:W="кор"),H:H,Y:Y)+SUMPRODUCT(--(BB:BB="ПГП"),--(W:W="кг"),Y:Y)</f>
        <v>0</v>
      </c>
      <c r="C285" s="72">
        <f>SUMPRODUCT(--(BB:BB="КИЗ"),--(W:W="кор"),H:H,Y:Y)+SUMPRODUCT(--(BB:BB="КИЗ"),--(W:W="кг"),Y:Y)</f>
        <v>0</v>
      </c>
    </row>
  </sheetData>
  <sheetProtection algorithmName="SHA-512" hashValue="56r1DwB9qq2E36m1sBRD6Q1dlRo1DhvTuf5LnwM4tBSnTB7fpA4pRr+kSCR50UhV6zXgXcnFxpnQoWVlN+GkKw==" saltValue="Pxm9gqd6Y11f+QiImlnd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4">
    <mergeCell ref="W280:W281"/>
    <mergeCell ref="X280:X281"/>
    <mergeCell ref="Y280:Y281"/>
    <mergeCell ref="Z280:Z281"/>
    <mergeCell ref="AA280:AA281"/>
    <mergeCell ref="AB280:AB281"/>
    <mergeCell ref="AC280:AC281"/>
    <mergeCell ref="AD280:AD281"/>
    <mergeCell ref="B279:C279"/>
    <mergeCell ref="D279:U279"/>
    <mergeCell ref="X279:Z279"/>
    <mergeCell ref="J280:J281"/>
    <mergeCell ref="K280:K281"/>
    <mergeCell ref="L280:L281"/>
    <mergeCell ref="M280:M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D269:E269"/>
    <mergeCell ref="P269:T269"/>
    <mergeCell ref="P270:V270"/>
    <mergeCell ref="A270:O271"/>
    <mergeCell ref="P271:V271"/>
    <mergeCell ref="P272:V272"/>
    <mergeCell ref="A272:O277"/>
    <mergeCell ref="P273:V273"/>
    <mergeCell ref="P274:V274"/>
    <mergeCell ref="P275:V275"/>
    <mergeCell ref="P276:V276"/>
    <mergeCell ref="P277:V277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A201:Z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80:V180"/>
    <mergeCell ref="A180:O181"/>
    <mergeCell ref="P181:V181"/>
    <mergeCell ref="A182:Z182"/>
    <mergeCell ref="A183:Z183"/>
    <mergeCell ref="A184:Z184"/>
    <mergeCell ref="D185:E185"/>
    <mergeCell ref="P185:T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5:X269 X262 X260 X254 X245:X246 X239 X235 X223 X216:X217 X211 X202:X206 X198 X192 X188 X185:X186 X178:X179 X173 X167 X162 X157 X152 X146:X147 X140 X129 X125 X121 X118 X114:X115 X109 X103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3:X264 X261 X255:X256 X250 X229 X187 X174 X134:X135 X119:X120 X116 X108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1 X117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3" t="s">
        <v>387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389</v>
      </c>
      <c r="D6" s="53" t="s">
        <v>390</v>
      </c>
      <c r="E6" s="53" t="s">
        <v>46</v>
      </c>
    </row>
    <row r="8" spans="2:8" x14ac:dyDescent="0.2">
      <c r="B8" s="53" t="s">
        <v>80</v>
      </c>
      <c r="C8" s="53" t="s">
        <v>389</v>
      </c>
      <c r="D8" s="53" t="s">
        <v>46</v>
      </c>
      <c r="E8" s="53" t="s">
        <v>46</v>
      </c>
    </row>
    <row r="10" spans="2:8" x14ac:dyDescent="0.2">
      <c r="B10" s="53" t="s">
        <v>391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401</v>
      </c>
      <c r="C20" s="53" t="s">
        <v>46</v>
      </c>
      <c r="D20" s="53" t="s">
        <v>46</v>
      </c>
      <c r="E20" s="53" t="s">
        <v>46</v>
      </c>
    </row>
  </sheetData>
  <sheetProtection algorithmName="SHA-512" hashValue="/1gEtcNSBRy8Wr0ZhAX91WvJjAMuFimFXIPQxAKieaZFH5zpdIE4/guMl6GqJNSUIHYbuSFpnXwpoElG1DWlUA==" saltValue="ZLZbiSo/rccT69bBk3v9D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426</vt:i4>
      </vt:variant>
    </vt:vector>
  </HeadingPairs>
  <TitlesOfParts>
    <vt:vector size="4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