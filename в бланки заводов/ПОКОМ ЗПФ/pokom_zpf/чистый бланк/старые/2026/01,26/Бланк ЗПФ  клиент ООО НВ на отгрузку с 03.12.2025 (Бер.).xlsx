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6D2820F-3E9F-4DEB-83BF-634E8C72E10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P262" i="2"/>
  <c r="BO262" i="2"/>
  <c r="BN262" i="2"/>
  <c r="BM262" i="2"/>
  <c r="Z262" i="2"/>
  <c r="Y262" i="2"/>
  <c r="P262" i="2"/>
  <c r="BO261" i="2"/>
  <c r="BM261" i="2"/>
  <c r="Z261" i="2"/>
  <c r="Y261" i="2"/>
  <c r="BP261" i="2" s="1"/>
  <c r="P261" i="2"/>
  <c r="BP260" i="2"/>
  <c r="BO260" i="2"/>
  <c r="BN260" i="2"/>
  <c r="BM260" i="2"/>
  <c r="Z260" i="2"/>
  <c r="Y260" i="2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P258" i="2" s="1"/>
  <c r="P258" i="2"/>
  <c r="X256" i="2"/>
  <c r="X255" i="2"/>
  <c r="BO254" i="2"/>
  <c r="BM254" i="2"/>
  <c r="Z254" i="2"/>
  <c r="Y254" i="2"/>
  <c r="BN254" i="2" s="1"/>
  <c r="P254" i="2"/>
  <c r="BP253" i="2"/>
  <c r="BO253" i="2"/>
  <c r="BN253" i="2"/>
  <c r="BM253" i="2"/>
  <c r="Z253" i="2"/>
  <c r="Y253" i="2"/>
  <c r="P253" i="2"/>
  <c r="BO252" i="2"/>
  <c r="BN252" i="2"/>
  <c r="BM252" i="2"/>
  <c r="Z252" i="2"/>
  <c r="Y252" i="2"/>
  <c r="BP252" i="2" s="1"/>
  <c r="P252" i="2"/>
  <c r="X250" i="2"/>
  <c r="X249" i="2"/>
  <c r="BO248" i="2"/>
  <c r="BM248" i="2"/>
  <c r="Z248" i="2"/>
  <c r="Y248" i="2"/>
  <c r="BP248" i="2" s="1"/>
  <c r="P248" i="2"/>
  <c r="BP247" i="2"/>
  <c r="BO247" i="2"/>
  <c r="BN247" i="2"/>
  <c r="BM247" i="2"/>
  <c r="Z247" i="2"/>
  <c r="Z249" i="2" s="1"/>
  <c r="Y247" i="2"/>
  <c r="Y249" i="2" s="1"/>
  <c r="P247" i="2"/>
  <c r="X245" i="2"/>
  <c r="X244" i="2"/>
  <c r="BO243" i="2"/>
  <c r="BM243" i="2"/>
  <c r="Z243" i="2"/>
  <c r="Y243" i="2"/>
  <c r="BP243" i="2" s="1"/>
  <c r="P243" i="2"/>
  <c r="BP242" i="2"/>
  <c r="BO242" i="2"/>
  <c r="BN242" i="2"/>
  <c r="BM242" i="2"/>
  <c r="Z242" i="2"/>
  <c r="Z244" i="2" s="1"/>
  <c r="Y242" i="2"/>
  <c r="P242" i="2"/>
  <c r="X238" i="2"/>
  <c r="X237" i="2"/>
  <c r="BO236" i="2"/>
  <c r="BM236" i="2"/>
  <c r="Z236" i="2"/>
  <c r="Z237" i="2" s="1"/>
  <c r="Y236" i="2"/>
  <c r="Y237" i="2" s="1"/>
  <c r="P236" i="2"/>
  <c r="X234" i="2"/>
  <c r="X233" i="2"/>
  <c r="BP232" i="2"/>
  <c r="BO232" i="2"/>
  <c r="BN232" i="2"/>
  <c r="BM232" i="2"/>
  <c r="Z232" i="2"/>
  <c r="Z233" i="2" s="1"/>
  <c r="Y232" i="2"/>
  <c r="Y233" i="2" s="1"/>
  <c r="P232" i="2"/>
  <c r="X228" i="2"/>
  <c r="X227" i="2"/>
  <c r="BO226" i="2"/>
  <c r="BM226" i="2"/>
  <c r="Z226" i="2"/>
  <c r="Z227" i="2" s="1"/>
  <c r="Y226" i="2"/>
  <c r="Y227" i="2" s="1"/>
  <c r="P226" i="2"/>
  <c r="X222" i="2"/>
  <c r="X221" i="2"/>
  <c r="BP220" i="2"/>
  <c r="BO220" i="2"/>
  <c r="BN220" i="2"/>
  <c r="BM220" i="2"/>
  <c r="Z220" i="2"/>
  <c r="Z221" i="2" s="1"/>
  <c r="Y220" i="2"/>
  <c r="Y221" i="2" s="1"/>
  <c r="P220" i="2"/>
  <c r="X216" i="2"/>
  <c r="X215" i="2"/>
  <c r="BO214" i="2"/>
  <c r="BM214" i="2"/>
  <c r="Z214" i="2"/>
  <c r="Y214" i="2"/>
  <c r="BP214" i="2" s="1"/>
  <c r="P214" i="2"/>
  <c r="BO213" i="2"/>
  <c r="BM213" i="2"/>
  <c r="Z213" i="2"/>
  <c r="Y213" i="2"/>
  <c r="BN213" i="2" s="1"/>
  <c r="P213" i="2"/>
  <c r="X211" i="2"/>
  <c r="X210" i="2"/>
  <c r="BO209" i="2"/>
  <c r="BM209" i="2"/>
  <c r="Z209" i="2"/>
  <c r="Z210" i="2" s="1"/>
  <c r="Y209" i="2"/>
  <c r="BN209" i="2" s="1"/>
  <c r="P209" i="2"/>
  <c r="X206" i="2"/>
  <c r="X205" i="2"/>
  <c r="BO204" i="2"/>
  <c r="BM204" i="2"/>
  <c r="Z204" i="2"/>
  <c r="Z205" i="2" s="1"/>
  <c r="Y204" i="2"/>
  <c r="BN204" i="2" s="1"/>
  <c r="P204" i="2"/>
  <c r="X201" i="2"/>
  <c r="X200" i="2"/>
  <c r="BO199" i="2"/>
  <c r="BM199" i="2"/>
  <c r="Z199" i="2"/>
  <c r="Y199" i="2"/>
  <c r="BN199" i="2" s="1"/>
  <c r="P199" i="2"/>
  <c r="BO198" i="2"/>
  <c r="BM198" i="2"/>
  <c r="Z198" i="2"/>
  <c r="Y198" i="2"/>
  <c r="BP198" i="2" s="1"/>
  <c r="P198" i="2"/>
  <c r="BO197" i="2"/>
  <c r="BM197" i="2"/>
  <c r="Z197" i="2"/>
  <c r="Y197" i="2"/>
  <c r="BP197" i="2" s="1"/>
  <c r="P197" i="2"/>
  <c r="BO196" i="2"/>
  <c r="BM196" i="2"/>
  <c r="Z196" i="2"/>
  <c r="Y196" i="2"/>
  <c r="BN196" i="2" s="1"/>
  <c r="P196" i="2"/>
  <c r="BO195" i="2"/>
  <c r="BN195" i="2"/>
  <c r="BM195" i="2"/>
  <c r="Z195" i="2"/>
  <c r="Z200" i="2" s="1"/>
  <c r="Y195" i="2"/>
  <c r="P195" i="2"/>
  <c r="X193" i="2"/>
  <c r="X192" i="2"/>
  <c r="BO191" i="2"/>
  <c r="BM191" i="2"/>
  <c r="Z191" i="2"/>
  <c r="Z192" i="2" s="1"/>
  <c r="Y191" i="2"/>
  <c r="Y192" i="2" s="1"/>
  <c r="P191" i="2"/>
  <c r="X187" i="2"/>
  <c r="Z186" i="2"/>
  <c r="X186" i="2"/>
  <c r="BO185" i="2"/>
  <c r="BM185" i="2"/>
  <c r="Z185" i="2"/>
  <c r="Y185" i="2"/>
  <c r="Y187" i="2" s="1"/>
  <c r="X183" i="2"/>
  <c r="X182" i="2"/>
  <c r="BO181" i="2"/>
  <c r="BM181" i="2"/>
  <c r="Z181" i="2"/>
  <c r="Y181" i="2"/>
  <c r="BN181" i="2" s="1"/>
  <c r="P181" i="2"/>
  <c r="BP180" i="2"/>
  <c r="BO180" i="2"/>
  <c r="BN180" i="2"/>
  <c r="BM180" i="2"/>
  <c r="Z180" i="2"/>
  <c r="Z182" i="2" s="1"/>
  <c r="Y180" i="2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Y173" i="2"/>
  <c r="BP173" i="2" s="1"/>
  <c r="P173" i="2"/>
  <c r="BO172" i="2"/>
  <c r="BM172" i="2"/>
  <c r="Z172" i="2"/>
  <c r="Z174" i="2" s="1"/>
  <c r="Y172" i="2"/>
  <c r="P172" i="2"/>
  <c r="X168" i="2"/>
  <c r="X167" i="2"/>
  <c r="BO166" i="2"/>
  <c r="BM166" i="2"/>
  <c r="Z166" i="2"/>
  <c r="Z167" i="2" s="1"/>
  <c r="Y166" i="2"/>
  <c r="BN166" i="2" s="1"/>
  <c r="P166" i="2"/>
  <c r="Y163" i="2"/>
  <c r="X163" i="2"/>
  <c r="X162" i="2"/>
  <c r="BO161" i="2"/>
  <c r="BM161" i="2"/>
  <c r="Z161" i="2"/>
  <c r="Z162" i="2" s="1"/>
  <c r="Y161" i="2"/>
  <c r="BN161" i="2" s="1"/>
  <c r="P161" i="2"/>
  <c r="X158" i="2"/>
  <c r="X157" i="2"/>
  <c r="BO156" i="2"/>
  <c r="BM156" i="2"/>
  <c r="Z156" i="2"/>
  <c r="Z157" i="2" s="1"/>
  <c r="Y156" i="2"/>
  <c r="BN156" i="2" s="1"/>
  <c r="P156" i="2"/>
  <c r="X153" i="2"/>
  <c r="X152" i="2"/>
  <c r="BO151" i="2"/>
  <c r="BM151" i="2"/>
  <c r="Z151" i="2"/>
  <c r="Z152" i="2" s="1"/>
  <c r="Y151" i="2"/>
  <c r="P151" i="2"/>
  <c r="X148" i="2"/>
  <c r="X147" i="2"/>
  <c r="BO146" i="2"/>
  <c r="BM146" i="2"/>
  <c r="Z146" i="2"/>
  <c r="Y146" i="2"/>
  <c r="BN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P139" i="2" s="1"/>
  <c r="P139" i="2"/>
  <c r="X136" i="2"/>
  <c r="X135" i="2"/>
  <c r="BO134" i="2"/>
  <c r="BM134" i="2"/>
  <c r="Z134" i="2"/>
  <c r="Y134" i="2"/>
  <c r="BN134" i="2" s="1"/>
  <c r="P134" i="2"/>
  <c r="BP133" i="2"/>
  <c r="BO133" i="2"/>
  <c r="BN133" i="2"/>
  <c r="BM133" i="2"/>
  <c r="Z133" i="2"/>
  <c r="Z135" i="2" s="1"/>
  <c r="Y133" i="2"/>
  <c r="P133" i="2"/>
  <c r="X130" i="2"/>
  <c r="X129" i="2"/>
  <c r="BO128" i="2"/>
  <c r="BM128" i="2"/>
  <c r="Z128" i="2"/>
  <c r="Z129" i="2" s="1"/>
  <c r="Y128" i="2"/>
  <c r="Y130" i="2" s="1"/>
  <c r="P128" i="2"/>
  <c r="X126" i="2"/>
  <c r="X125" i="2"/>
  <c r="BO124" i="2"/>
  <c r="BM124" i="2"/>
  <c r="Z124" i="2"/>
  <c r="Z125" i="2" s="1"/>
  <c r="Y124" i="2"/>
  <c r="P124" i="2"/>
  <c r="X122" i="2"/>
  <c r="X121" i="2"/>
  <c r="BO120" i="2"/>
  <c r="BM120" i="2"/>
  <c r="Z120" i="2"/>
  <c r="Y120" i="2"/>
  <c r="BN120" i="2" s="1"/>
  <c r="P120" i="2"/>
  <c r="BO119" i="2"/>
  <c r="BM119" i="2"/>
  <c r="Z119" i="2"/>
  <c r="Y119" i="2"/>
  <c r="P119" i="2"/>
  <c r="BP118" i="2"/>
  <c r="BO118" i="2"/>
  <c r="BN118" i="2"/>
  <c r="BM118" i="2"/>
  <c r="Z118" i="2"/>
  <c r="Y118" i="2"/>
  <c r="P118" i="2"/>
  <c r="BO117" i="2"/>
  <c r="BM117" i="2"/>
  <c r="Z117" i="2"/>
  <c r="Y117" i="2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P113" i="2"/>
  <c r="X110" i="2"/>
  <c r="X109" i="2"/>
  <c r="BP108" i="2"/>
  <c r="BO108" i="2"/>
  <c r="BN108" i="2"/>
  <c r="BM108" i="2"/>
  <c r="Z108" i="2"/>
  <c r="Y108" i="2"/>
  <c r="P108" i="2"/>
  <c r="BO107" i="2"/>
  <c r="BN107" i="2"/>
  <c r="BM107" i="2"/>
  <c r="Z107" i="2"/>
  <c r="Z109" i="2" s="1"/>
  <c r="Y107" i="2"/>
  <c r="BP107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P100" i="2"/>
  <c r="BO99" i="2"/>
  <c r="BM99" i="2"/>
  <c r="Z99" i="2"/>
  <c r="Y99" i="2"/>
  <c r="P99" i="2"/>
  <c r="BP98" i="2"/>
  <c r="BO98" i="2"/>
  <c r="BN98" i="2"/>
  <c r="BM98" i="2"/>
  <c r="Z98" i="2"/>
  <c r="Y98" i="2"/>
  <c r="P98" i="2"/>
  <c r="BO97" i="2"/>
  <c r="BN97" i="2"/>
  <c r="BM97" i="2"/>
  <c r="Z97" i="2"/>
  <c r="Z103" i="2" s="1"/>
  <c r="Y97" i="2"/>
  <c r="BP97" i="2" s="1"/>
  <c r="P97" i="2"/>
  <c r="X94" i="2"/>
  <c r="X93" i="2"/>
  <c r="BO92" i="2"/>
  <c r="BM92" i="2"/>
  <c r="Z92" i="2"/>
  <c r="Y92" i="2"/>
  <c r="P92" i="2"/>
  <c r="BP91" i="2"/>
  <c r="BO91" i="2"/>
  <c r="BN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P86" i="2"/>
  <c r="X83" i="2"/>
  <c r="X82" i="2"/>
  <c r="BP81" i="2"/>
  <c r="BO81" i="2"/>
  <c r="BN81" i="2"/>
  <c r="BM81" i="2"/>
  <c r="Z81" i="2"/>
  <c r="Y81" i="2"/>
  <c r="P81" i="2"/>
  <c r="BO80" i="2"/>
  <c r="BN80" i="2"/>
  <c r="BM80" i="2"/>
  <c r="Z80" i="2"/>
  <c r="Z82" i="2" s="1"/>
  <c r="Y80" i="2"/>
  <c r="BP80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BN74" i="2" s="1"/>
  <c r="P74" i="2"/>
  <c r="BP73" i="2"/>
  <c r="BO73" i="2"/>
  <c r="BN73" i="2"/>
  <c r="BM73" i="2"/>
  <c r="Z73" i="2"/>
  <c r="Z76" i="2" s="1"/>
  <c r="Y73" i="2"/>
  <c r="P73" i="2"/>
  <c r="X71" i="2"/>
  <c r="X70" i="2"/>
  <c r="BO69" i="2"/>
  <c r="BM69" i="2"/>
  <c r="Z69" i="2"/>
  <c r="Y69" i="2"/>
  <c r="BP69" i="2" s="1"/>
  <c r="P69" i="2"/>
  <c r="BO68" i="2"/>
  <c r="BM68" i="2"/>
  <c r="Z68" i="2"/>
  <c r="Z70" i="2" s="1"/>
  <c r="Y68" i="2"/>
  <c r="BP68" i="2" s="1"/>
  <c r="P68" i="2"/>
  <c r="X66" i="2"/>
  <c r="Y65" i="2"/>
  <c r="X65" i="2"/>
  <c r="BO64" i="2"/>
  <c r="BM64" i="2"/>
  <c r="Z64" i="2"/>
  <c r="Z65" i="2" s="1"/>
  <c r="Y64" i="2"/>
  <c r="P64" i="2"/>
  <c r="X62" i="2"/>
  <c r="Y61" i="2"/>
  <c r="X61" i="2"/>
  <c r="BO60" i="2"/>
  <c r="BM60" i="2"/>
  <c r="Z60" i="2"/>
  <c r="Z61" i="2" s="1"/>
  <c r="Y60" i="2"/>
  <c r="BP60" i="2" s="1"/>
  <c r="P60" i="2"/>
  <c r="X57" i="2"/>
  <c r="Z56" i="2"/>
  <c r="X56" i="2"/>
  <c r="BO55" i="2"/>
  <c r="BM55" i="2"/>
  <c r="Z55" i="2"/>
  <c r="Y55" i="2"/>
  <c r="P55" i="2"/>
  <c r="BP54" i="2"/>
  <c r="BO54" i="2"/>
  <c r="BN54" i="2"/>
  <c r="BM54" i="2"/>
  <c r="Z54" i="2"/>
  <c r="Y54" i="2"/>
  <c r="P54" i="2"/>
  <c r="BO53" i="2"/>
  <c r="BM53" i="2"/>
  <c r="Z53" i="2"/>
  <c r="Y53" i="2"/>
  <c r="BP53" i="2" s="1"/>
  <c r="P53" i="2"/>
  <c r="BP52" i="2"/>
  <c r="BO52" i="2"/>
  <c r="BN52" i="2"/>
  <c r="BM52" i="2"/>
  <c r="Z52" i="2"/>
  <c r="Y52" i="2"/>
  <c r="P52" i="2"/>
  <c r="X49" i="2"/>
  <c r="X48" i="2"/>
  <c r="BO47" i="2"/>
  <c r="BM47" i="2"/>
  <c r="Z47" i="2"/>
  <c r="Y47" i="2"/>
  <c r="BN47" i="2" s="1"/>
  <c r="P47" i="2"/>
  <c r="BO46" i="2"/>
  <c r="BM46" i="2"/>
  <c r="Z46" i="2"/>
  <c r="Y46" i="2"/>
  <c r="BP46" i="2" s="1"/>
  <c r="P46" i="2"/>
  <c r="BP45" i="2"/>
  <c r="BO45" i="2"/>
  <c r="BN45" i="2"/>
  <c r="BM45" i="2"/>
  <c r="Z45" i="2"/>
  <c r="Z48" i="2" s="1"/>
  <c r="Y45" i="2"/>
  <c r="P45" i="2"/>
  <c r="X42" i="2"/>
  <c r="Z41" i="2"/>
  <c r="X41" i="2"/>
  <c r="BO40" i="2"/>
  <c r="BM40" i="2"/>
  <c r="Z40" i="2"/>
  <c r="Y40" i="2"/>
  <c r="BP40" i="2" s="1"/>
  <c r="P40" i="2"/>
  <c r="BP39" i="2"/>
  <c r="BO39" i="2"/>
  <c r="BN39" i="2"/>
  <c r="BM39" i="2"/>
  <c r="Z39" i="2"/>
  <c r="Y39" i="2"/>
  <c r="P39" i="2"/>
  <c r="X35" i="2"/>
  <c r="X34" i="2"/>
  <c r="BO33" i="2"/>
  <c r="BM33" i="2"/>
  <c r="Z33" i="2"/>
  <c r="Y33" i="2"/>
  <c r="P33" i="2"/>
  <c r="BO32" i="2"/>
  <c r="BM32" i="2"/>
  <c r="Z32" i="2"/>
  <c r="Z34" i="2" s="1"/>
  <c r="Y32" i="2"/>
  <c r="BP32" i="2" s="1"/>
  <c r="P32" i="2"/>
  <c r="X29" i="2"/>
  <c r="X28" i="2"/>
  <c r="BO27" i="2"/>
  <c r="BM27" i="2"/>
  <c r="Z27" i="2"/>
  <c r="Y27" i="2"/>
  <c r="P27" i="2"/>
  <c r="BP26" i="2"/>
  <c r="BO26" i="2"/>
  <c r="BN26" i="2"/>
  <c r="BM26" i="2"/>
  <c r="Z26" i="2"/>
  <c r="Y26" i="2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BP22" i="2" s="1"/>
  <c r="P22" i="2"/>
  <c r="H10" i="2"/>
  <c r="A9" i="2"/>
  <c r="F10" i="2" s="1"/>
  <c r="D7" i="2"/>
  <c r="Q6" i="2"/>
  <c r="P2" i="2"/>
  <c r="BP74" i="2" l="1"/>
  <c r="BN86" i="2"/>
  <c r="Y88" i="2"/>
  <c r="BP86" i="2"/>
  <c r="Y87" i="2"/>
  <c r="BP92" i="2"/>
  <c r="BN92" i="2"/>
  <c r="BP120" i="2"/>
  <c r="Y126" i="2"/>
  <c r="Y125" i="2"/>
  <c r="BP124" i="2"/>
  <c r="BN124" i="2"/>
  <c r="BP134" i="2"/>
  <c r="Y135" i="2"/>
  <c r="Y136" i="2"/>
  <c r="BN151" i="2"/>
  <c r="Y153" i="2"/>
  <c r="BP151" i="2"/>
  <c r="Y152" i="2"/>
  <c r="BP166" i="2"/>
  <c r="Y167" i="2"/>
  <c r="X271" i="2"/>
  <c r="BP27" i="2"/>
  <c r="BN27" i="2"/>
  <c r="BP33" i="2"/>
  <c r="BN33" i="2"/>
  <c r="X274" i="2"/>
  <c r="BP55" i="2"/>
  <c r="BN55" i="2"/>
  <c r="BP64" i="2"/>
  <c r="Y66" i="2"/>
  <c r="BN64" i="2"/>
  <c r="Y94" i="2"/>
  <c r="Y93" i="2"/>
  <c r="BP99" i="2"/>
  <c r="BN99" i="2"/>
  <c r="BP101" i="2"/>
  <c r="Y122" i="2"/>
  <c r="BP113" i="2"/>
  <c r="BN113" i="2"/>
  <c r="BP117" i="2"/>
  <c r="BN117" i="2"/>
  <c r="BP119" i="2"/>
  <c r="BN119" i="2"/>
  <c r="Z147" i="2"/>
  <c r="Y174" i="2"/>
  <c r="Y175" i="2"/>
  <c r="BP172" i="2"/>
  <c r="BP204" i="2"/>
  <c r="Y205" i="2"/>
  <c r="BP209" i="2"/>
  <c r="Y210" i="2"/>
  <c r="Z215" i="2"/>
  <c r="Z255" i="2"/>
  <c r="BP254" i="2"/>
  <c r="Y255" i="2"/>
  <c r="Z28" i="2"/>
  <c r="Z275" i="2" s="1"/>
  <c r="X272" i="2"/>
  <c r="X270" i="2"/>
  <c r="Y42" i="2"/>
  <c r="Y41" i="2"/>
  <c r="Y49" i="2"/>
  <c r="BP47" i="2"/>
  <c r="Y77" i="2"/>
  <c r="Y104" i="2"/>
  <c r="Z121" i="2"/>
  <c r="BP128" i="2"/>
  <c r="Y129" i="2"/>
  <c r="Z141" i="2"/>
  <c r="BP146" i="2"/>
  <c r="BP156" i="2"/>
  <c r="Y157" i="2"/>
  <c r="BP161" i="2"/>
  <c r="Y162" i="2"/>
  <c r="BN173" i="2"/>
  <c r="Y182" i="2"/>
  <c r="BN185" i="2"/>
  <c r="Y201" i="2"/>
  <c r="BP196" i="2"/>
  <c r="BP199" i="2"/>
  <c r="Y211" i="2"/>
  <c r="BP213" i="2"/>
  <c r="Y216" i="2"/>
  <c r="Y222" i="2"/>
  <c r="Y228" i="2"/>
  <c r="Y234" i="2"/>
  <c r="Y238" i="2"/>
  <c r="Y245" i="2"/>
  <c r="BN243" i="2"/>
  <c r="BN259" i="2"/>
  <c r="BN267" i="2"/>
  <c r="X273" i="2"/>
  <c r="Y250" i="2"/>
  <c r="Y193" i="2"/>
  <c r="BN23" i="2"/>
  <c r="Y48" i="2"/>
  <c r="Y62" i="2"/>
  <c r="BN69" i="2"/>
  <c r="BN115" i="2"/>
  <c r="BN140" i="2"/>
  <c r="BN198" i="2"/>
  <c r="BN264" i="2"/>
  <c r="Y147" i="2"/>
  <c r="Y183" i="2"/>
  <c r="Y82" i="2"/>
  <c r="BN75" i="2"/>
  <c r="Y109" i="2"/>
  <c r="Y244" i="2"/>
  <c r="Y256" i="2"/>
  <c r="Y268" i="2"/>
  <c r="Y34" i="2"/>
  <c r="BN102" i="2"/>
  <c r="Y148" i="2"/>
  <c r="Y158" i="2"/>
  <c r="Y168" i="2"/>
  <c r="BN179" i="2"/>
  <c r="Y206" i="2"/>
  <c r="BN214" i="2"/>
  <c r="BN226" i="2"/>
  <c r="BN236" i="2"/>
  <c r="BN261" i="2"/>
  <c r="Y110" i="2"/>
  <c r="Y141" i="2"/>
  <c r="BP226" i="2"/>
  <c r="BP236" i="2"/>
  <c r="Y269" i="2"/>
  <c r="BP185" i="2"/>
  <c r="BP195" i="2"/>
  <c r="Y35" i="2"/>
  <c r="Y76" i="2"/>
  <c r="F9" i="2"/>
  <c r="BN24" i="2"/>
  <c r="Y71" i="2"/>
  <c r="Y103" i="2"/>
  <c r="BN116" i="2"/>
  <c r="Y215" i="2"/>
  <c r="BN258" i="2"/>
  <c r="Y142" i="2"/>
  <c r="BN172" i="2"/>
  <c r="Y186" i="2"/>
  <c r="BN265" i="2"/>
  <c r="Y70" i="2"/>
  <c r="Y83" i="2"/>
  <c r="H9" i="2"/>
  <c r="Y28" i="2"/>
  <c r="J9" i="2"/>
  <c r="Y56" i="2"/>
  <c r="BN128" i="2"/>
  <c r="Y57" i="2"/>
  <c r="Y200" i="2"/>
  <c r="A10" i="2"/>
  <c r="Y29" i="2"/>
  <c r="BN46" i="2"/>
  <c r="BN100" i="2"/>
  <c r="BN145" i="2"/>
  <c r="BN53" i="2"/>
  <c r="BP100" i="2"/>
  <c r="Y121" i="2"/>
  <c r="BN266" i="2"/>
  <c r="BN32" i="2"/>
  <c r="BN191" i="2"/>
  <c r="BP191" i="2"/>
  <c r="BN197" i="2"/>
  <c r="BN263" i="2"/>
  <c r="BN22" i="2"/>
  <c r="BN60" i="2"/>
  <c r="BN68" i="2"/>
  <c r="BN114" i="2"/>
  <c r="BN248" i="2"/>
  <c r="BN139" i="2"/>
  <c r="BP181" i="2"/>
  <c r="BN40" i="2"/>
  <c r="Y272" i="2" l="1"/>
  <c r="Y270" i="2"/>
  <c r="A283" i="2"/>
  <c r="Y274" i="2"/>
  <c r="Y271" i="2"/>
  <c r="Y273" i="2" s="1"/>
  <c r="B283" i="2" l="1"/>
  <c r="C283" i="2"/>
</calcChain>
</file>

<file path=xl/sharedStrings.xml><?xml version="1.0" encoding="utf-8"?>
<sst xmlns="http://schemas.openxmlformats.org/spreadsheetml/2006/main" count="1660" uniqueCount="395">
  <si>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</si>
  <si>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</si>
  <si>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</si>
  <si>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</si>
  <si>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</si>
  <si>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</si>
  <si>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</si>
  <si>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</si>
  <si>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</si>
  <si>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</si>
  <si>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</si>
  <si>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</si>
  <si>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</si>
  <si>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</si>
  <si>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</si>
  <si>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</si>
  <si>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</si>
  <si>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</si>
  <si>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</si>
  <si>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</si>
  <si>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</si>
  <si>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</si>
  <si>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</si>
  <si>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</si>
  <si>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</si>
  <si>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</si>
  <si>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</si>
  <si>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</si>
  <si>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</si>
  <si>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</si>
  <si>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</si>
  <si>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</si>
  <si>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</si>
  <si>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</si>
  <si>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</si>
  <si>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</si>
  <si>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</si>
  <si>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</si>
  <si>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</si>
  <si>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</si>
  <si>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</si>
  <si>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</si>
  <si>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</si>
  <si>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</si>
  <si>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</si>
  <si>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</si>
  <si>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</si>
  <si>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</si>
  <si>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</si>
  <si>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</si>
  <si>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</si>
  <si>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</si>
  <si>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</si>
  <si>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</si>
  <si>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</si>
  <si>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</si>
  <si>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</si>
  <si>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</si>
  <si>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</si>
  <si>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</si>
  <si>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</si>
  <si>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</si>
  <si>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</si>
  <si>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</si>
  <si>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</si>
  <si>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</si>
  <si>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</si>
  <si>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</si>
  <si>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</si>
  <si>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</si>
  <si>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</si>
  <si>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03.12.2025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</si>
  <si>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</si>
  <si>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</si>
  <si>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</si>
  <si>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</si>
  <si>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</si>
  <si>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</si>
  <si>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</si>
  <si>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</si>
  <si>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</si>
  <si>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</si>
  <si>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</si>
  <si>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</si>
  <si>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</si>
  <si>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</si>
  <si>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</si>
  <si>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</si>
  <si>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</si>
  <si>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</si>
  <si>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</si>
  <si>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</si>
  <si>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</si>
  <si>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</si>
  <si>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</si>
  <si>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</si>
  <si>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</si>
  <si>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</si>
  <si>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</si>
  <si>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</si>
  <si>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</si>
  <si>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</si>
  <si>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</si>
  <si>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</si>
  <si>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</si>
  <si>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</si>
  <si>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</si>
  <si>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</si>
  <si>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</si>
  <si>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</si>
  <si>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</si>
  <si>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</si>
  <si>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</si>
  <si>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</si>
  <si>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</si>
  <si>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</si>
  <si>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</si>
  <si>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</si>
  <si>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</si>
  <si>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</si>
  <si>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</si>
  <si>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</si>
  <si>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</si>
  <si>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</si>
  <si>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</si>
  <si>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</si>
  <si>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</si>
  <si>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</si>
  <si>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</si>
  <si>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</si>
  <si>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</si>
  <si>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</si>
  <si>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</si>
  <si>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</si>
  <si>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</si>
  <si>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</si>
  <si>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</si>
  <si>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</si>
  <si>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</si>
  <si>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</si>
  <si>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</si>
  <si>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</si>
  <si>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</si>
  <si>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</si>
  <si>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</si>
  <si>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</si>
  <si>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</si>
  <si>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</si>
  <si>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</si>
  <si>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</si>
  <si>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</si>
  <si>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</si>
  <si>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</si>
  <si>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</si>
  <si>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</si>
  <si>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</si>
  <si>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</si>
  <si>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</si>
  <si>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</si>
  <si>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</si>
  <si>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</si>
  <si>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</si>
  <si>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</si>
  <si>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</si>
  <si>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</si>
  <si>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</si>
  <si>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</si>
  <si>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</si>
  <si>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</si>
  <si>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</si>
  <si>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</si>
  <si>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</si>
  <si>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</si>
  <si>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</si>
  <si>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</si>
  <si>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</si>
  <si>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</si>
  <si>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</si>
  <si>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</si>
  <si>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</si>
  <si>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</si>
  <si>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</si>
  <si>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</si>
  <si>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</si>
  <si>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</si>
  <si>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</si>
  <si>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</si>
  <si>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</si>
  <si>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</si>
  <si>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</si>
  <si>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</si>
  <si>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</si>
  <si>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</si>
  <si>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</si>
  <si>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</si>
  <si>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</si>
  <si>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</si>
  <si>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</si>
  <si>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</si>
  <si>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</si>
  <si>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</si>
  <si>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ЕАЭС N RU Д-RU.РА09.В.66275/25</t>
  </si>
  <si>
    <t>Новинка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</si>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</sst>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45999</v>
      </c>
      <c r="R5" s="284"/>
      <c r="T5" s="285" t="s">
        <v>3</v>
      </c>
      <c r="U5" s="286"/>
      <c r="V5" s="287" t="s">
        <v>381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78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291" t="s">
        <v>5</v>
      </c>
      <c r="U6" s="292"/>
      <c r="V6" s="293" t="s">
        <v>72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79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0.41666666666666669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73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74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75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76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77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80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80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81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348">
        <v>4607111035912</v>
      </c>
      <c r="E22" s="348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4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348">
        <v>4607111035103</v>
      </c>
      <c r="E23" s="348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52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350"/>
      <c r="R23" s="350"/>
      <c r="S23" s="350"/>
      <c r="T23" s="351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348">
        <v>4607111035929</v>
      </c>
      <c r="E24" s="348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53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350"/>
      <c r="R24" s="350"/>
      <c r="S24" s="350"/>
      <c r="T24" s="35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348">
        <v>4607111035882</v>
      </c>
      <c r="E25" s="348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54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350"/>
      <c r="R25" s="350"/>
      <c r="S25" s="350"/>
      <c r="T25" s="35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348">
        <v>4607111035110</v>
      </c>
      <c r="E26" s="348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55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350"/>
      <c r="R26" s="350"/>
      <c r="S26" s="350"/>
      <c r="T26" s="35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348">
        <v>4607111035905</v>
      </c>
      <c r="E27" s="34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5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0"/>
      <c r="R27" s="350"/>
      <c r="S27" s="350"/>
      <c r="T27" s="351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360"/>
      <c r="B28" s="360"/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1"/>
      <c r="P28" s="357" t="s">
        <v>40</v>
      </c>
      <c r="Q28" s="358"/>
      <c r="R28" s="358"/>
      <c r="S28" s="358"/>
      <c r="T28" s="358"/>
      <c r="U28" s="358"/>
      <c r="V28" s="359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360"/>
      <c r="B29" s="360"/>
      <c r="C29" s="360"/>
      <c r="D29" s="360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1"/>
      <c r="P29" s="357" t="s">
        <v>40</v>
      </c>
      <c r="Q29" s="358"/>
      <c r="R29" s="358"/>
      <c r="S29" s="358"/>
      <c r="T29" s="358"/>
      <c r="U29" s="358"/>
      <c r="V29" s="359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46" t="s">
        <v>99</v>
      </c>
      <c r="B30" s="346"/>
      <c r="C30" s="346"/>
      <c r="D30" s="346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65"/>
      <c r="AB30" s="65"/>
      <c r="AC30" s="82"/>
    </row>
    <row r="31" spans="1:68" ht="14.25" customHeight="1" x14ac:dyDescent="0.25">
      <c r="A31" s="347" t="s">
        <v>81</v>
      </c>
      <c r="B31" s="347"/>
      <c r="C31" s="347"/>
      <c r="D31" s="347"/>
      <c r="E31" s="347"/>
      <c r="F31" s="347"/>
      <c r="G31" s="347"/>
      <c r="H31" s="347"/>
      <c r="I31" s="347"/>
      <c r="J31" s="347"/>
      <c r="K31" s="347"/>
      <c r="L31" s="347"/>
      <c r="M31" s="347"/>
      <c r="N31" s="34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348">
        <v>4607111039019</v>
      </c>
      <c r="E32" s="348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6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0"/>
      <c r="R32" s="350"/>
      <c r="S32" s="350"/>
      <c r="T32" s="351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348">
        <v>4607111038708</v>
      </c>
      <c r="E33" s="348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0"/>
      <c r="R33" s="350"/>
      <c r="S33" s="350"/>
      <c r="T33" s="351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360"/>
      <c r="B34" s="360"/>
      <c r="C34" s="360"/>
      <c r="D34" s="360"/>
      <c r="E34" s="360"/>
      <c r="F34" s="360"/>
      <c r="G34" s="360"/>
      <c r="H34" s="360"/>
      <c r="I34" s="360"/>
      <c r="J34" s="360"/>
      <c r="K34" s="360"/>
      <c r="L34" s="360"/>
      <c r="M34" s="360"/>
      <c r="N34" s="360"/>
      <c r="O34" s="361"/>
      <c r="P34" s="357" t="s">
        <v>40</v>
      </c>
      <c r="Q34" s="358"/>
      <c r="R34" s="358"/>
      <c r="S34" s="358"/>
      <c r="T34" s="358"/>
      <c r="U34" s="358"/>
      <c r="V34" s="359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360"/>
      <c r="B35" s="360"/>
      <c r="C35" s="360"/>
      <c r="D35" s="360"/>
      <c r="E35" s="360"/>
      <c r="F35" s="360"/>
      <c r="G35" s="360"/>
      <c r="H35" s="360"/>
      <c r="I35" s="360"/>
      <c r="J35" s="360"/>
      <c r="K35" s="360"/>
      <c r="L35" s="360"/>
      <c r="M35" s="360"/>
      <c r="N35" s="360"/>
      <c r="O35" s="361"/>
      <c r="P35" s="357" t="s">
        <v>40</v>
      </c>
      <c r="Q35" s="358"/>
      <c r="R35" s="358"/>
      <c r="S35" s="358"/>
      <c r="T35" s="358"/>
      <c r="U35" s="358"/>
      <c r="V35" s="359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45" t="s">
        <v>45</v>
      </c>
      <c r="B36" s="345"/>
      <c r="C36" s="345"/>
      <c r="D36" s="345"/>
      <c r="E36" s="345"/>
      <c r="F36" s="345"/>
      <c r="G36" s="345"/>
      <c r="H36" s="345"/>
      <c r="I36" s="345"/>
      <c r="J36" s="345"/>
      <c r="K36" s="345"/>
      <c r="L36" s="345"/>
      <c r="M36" s="345"/>
      <c r="N36" s="345"/>
      <c r="O36" s="345"/>
      <c r="P36" s="345"/>
      <c r="Q36" s="345"/>
      <c r="R36" s="345"/>
      <c r="S36" s="345"/>
      <c r="T36" s="345"/>
      <c r="U36" s="345"/>
      <c r="V36" s="345"/>
      <c r="W36" s="345"/>
      <c r="X36" s="345"/>
      <c r="Y36" s="345"/>
      <c r="Z36" s="345"/>
      <c r="AA36" s="54"/>
      <c r="AB36" s="54"/>
      <c r="AC36" s="54"/>
    </row>
    <row r="37" spans="1:68" ht="16.5" customHeight="1" x14ac:dyDescent="0.25">
      <c r="A37" s="346" t="s">
        <v>105</v>
      </c>
      <c r="B37" s="346"/>
      <c r="C37" s="346"/>
      <c r="D37" s="346"/>
      <c r="E37" s="346"/>
      <c r="F37" s="346"/>
      <c r="G37" s="346"/>
      <c r="H37" s="346"/>
      <c r="I37" s="346"/>
      <c r="J37" s="346"/>
      <c r="K37" s="346"/>
      <c r="L37" s="346"/>
      <c r="M37" s="346"/>
      <c r="N37" s="346"/>
      <c r="O37" s="346"/>
      <c r="P37" s="346"/>
      <c r="Q37" s="346"/>
      <c r="R37" s="346"/>
      <c r="S37" s="346"/>
      <c r="T37" s="346"/>
      <c r="U37" s="346"/>
      <c r="V37" s="346"/>
      <c r="W37" s="346"/>
      <c r="X37" s="346"/>
      <c r="Y37" s="346"/>
      <c r="Z37" s="346"/>
      <c r="AA37" s="65"/>
      <c r="AB37" s="65"/>
      <c r="AC37" s="82"/>
    </row>
    <row r="38" spans="1:68" ht="14.25" customHeight="1" x14ac:dyDescent="0.25">
      <c r="A38" s="347" t="s">
        <v>106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348">
        <v>4607111036537</v>
      </c>
      <c r="E39" s="348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6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0"/>
      <c r="R39" s="350"/>
      <c r="S39" s="350"/>
      <c r="T39" s="351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348">
        <v>4607111036605</v>
      </c>
      <c r="E40" s="348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112</v>
      </c>
      <c r="M40" s="38" t="s">
        <v>85</v>
      </c>
      <c r="N40" s="38"/>
      <c r="O40" s="37">
        <v>365</v>
      </c>
      <c r="P40" s="36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0"/>
      <c r="R40" s="350"/>
      <c r="S40" s="350"/>
      <c r="T40" s="351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113</v>
      </c>
      <c r="AK40" s="87">
        <v>14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360"/>
      <c r="B41" s="360"/>
      <c r="C41" s="360"/>
      <c r="D41" s="360"/>
      <c r="E41" s="360"/>
      <c r="F41" s="360"/>
      <c r="G41" s="360"/>
      <c r="H41" s="360"/>
      <c r="I41" s="360"/>
      <c r="J41" s="360"/>
      <c r="K41" s="360"/>
      <c r="L41" s="360"/>
      <c r="M41" s="360"/>
      <c r="N41" s="360"/>
      <c r="O41" s="361"/>
      <c r="P41" s="357" t="s">
        <v>40</v>
      </c>
      <c r="Q41" s="358"/>
      <c r="R41" s="358"/>
      <c r="S41" s="358"/>
      <c r="T41" s="358"/>
      <c r="U41" s="358"/>
      <c r="V41" s="359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360"/>
      <c r="B42" s="360"/>
      <c r="C42" s="360"/>
      <c r="D42" s="360"/>
      <c r="E42" s="360"/>
      <c r="F42" s="360"/>
      <c r="G42" s="360"/>
      <c r="H42" s="360"/>
      <c r="I42" s="360"/>
      <c r="J42" s="360"/>
      <c r="K42" s="360"/>
      <c r="L42" s="360"/>
      <c r="M42" s="360"/>
      <c r="N42" s="360"/>
      <c r="O42" s="361"/>
      <c r="P42" s="357" t="s">
        <v>40</v>
      </c>
      <c r="Q42" s="358"/>
      <c r="R42" s="358"/>
      <c r="S42" s="358"/>
      <c r="T42" s="358"/>
      <c r="U42" s="358"/>
      <c r="V42" s="359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46" t="s">
        <v>116</v>
      </c>
      <c r="B43" s="346"/>
      <c r="C43" s="346"/>
      <c r="D43" s="346"/>
      <c r="E43" s="346"/>
      <c r="F43" s="346"/>
      <c r="G43" s="346"/>
      <c r="H43" s="346"/>
      <c r="I43" s="346"/>
      <c r="J43" s="346"/>
      <c r="K43" s="346"/>
      <c r="L43" s="346"/>
      <c r="M43" s="346"/>
      <c r="N43" s="346"/>
      <c r="O43" s="346"/>
      <c r="P43" s="346"/>
      <c r="Q43" s="346"/>
      <c r="R43" s="346"/>
      <c r="S43" s="346"/>
      <c r="T43" s="346"/>
      <c r="U43" s="346"/>
      <c r="V43" s="346"/>
      <c r="W43" s="346"/>
      <c r="X43" s="346"/>
      <c r="Y43" s="346"/>
      <c r="Z43" s="346"/>
      <c r="AA43" s="65"/>
      <c r="AB43" s="65"/>
      <c r="AC43" s="82"/>
    </row>
    <row r="44" spans="1:68" ht="14.25" customHeight="1" x14ac:dyDescent="0.25">
      <c r="A44" s="347" t="s">
        <v>81</v>
      </c>
      <c r="B44" s="347"/>
      <c r="C44" s="347"/>
      <c r="D44" s="347"/>
      <c r="E44" s="347"/>
      <c r="F44" s="347"/>
      <c r="G44" s="347"/>
      <c r="H44" s="347"/>
      <c r="I44" s="347"/>
      <c r="J44" s="347"/>
      <c r="K44" s="347"/>
      <c r="L44" s="347"/>
      <c r="M44" s="347"/>
      <c r="N44" s="347"/>
      <c r="O44" s="347"/>
      <c r="P44" s="347"/>
      <c r="Q44" s="347"/>
      <c r="R44" s="347"/>
      <c r="S44" s="347"/>
      <c r="T44" s="347"/>
      <c r="U44" s="347"/>
      <c r="V44" s="347"/>
      <c r="W44" s="347"/>
      <c r="X44" s="347"/>
      <c r="Y44" s="347"/>
      <c r="Z44" s="347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348">
        <v>4620207490075</v>
      </c>
      <c r="E45" s="348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112</v>
      </c>
      <c r="M45" s="38" t="s">
        <v>85</v>
      </c>
      <c r="N45" s="38"/>
      <c r="O45" s="37">
        <v>180</v>
      </c>
      <c r="P45" s="36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0"/>
      <c r="R45" s="350"/>
      <c r="S45" s="350"/>
      <c r="T45" s="351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113</v>
      </c>
      <c r="AK45" s="87">
        <v>12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348">
        <v>4620207490174</v>
      </c>
      <c r="E46" s="348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112</v>
      </c>
      <c r="M46" s="38" t="s">
        <v>85</v>
      </c>
      <c r="N46" s="38"/>
      <c r="O46" s="37">
        <v>180</v>
      </c>
      <c r="P46" s="36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0"/>
      <c r="R46" s="350"/>
      <c r="S46" s="350"/>
      <c r="T46" s="351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113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123</v>
      </c>
      <c r="B47" s="63" t="s">
        <v>124</v>
      </c>
      <c r="C47" s="36">
        <v>4301071091</v>
      </c>
      <c r="D47" s="348">
        <v>4620207490044</v>
      </c>
      <c r="E47" s="34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112</v>
      </c>
      <c r="M47" s="38" t="s">
        <v>85</v>
      </c>
      <c r="N47" s="38"/>
      <c r="O47" s="37">
        <v>180</v>
      </c>
      <c r="P47" s="36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0"/>
      <c r="R47" s="350"/>
      <c r="S47" s="350"/>
      <c r="T47" s="35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113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360"/>
      <c r="B48" s="360"/>
      <c r="C48" s="360"/>
      <c r="D48" s="360"/>
      <c r="E48" s="360"/>
      <c r="F48" s="360"/>
      <c r="G48" s="360"/>
      <c r="H48" s="360"/>
      <c r="I48" s="360"/>
      <c r="J48" s="360"/>
      <c r="K48" s="360"/>
      <c r="L48" s="360"/>
      <c r="M48" s="360"/>
      <c r="N48" s="360"/>
      <c r="O48" s="361"/>
      <c r="P48" s="357" t="s">
        <v>40</v>
      </c>
      <c r="Q48" s="358"/>
      <c r="R48" s="358"/>
      <c r="S48" s="358"/>
      <c r="T48" s="358"/>
      <c r="U48" s="358"/>
      <c r="V48" s="359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360"/>
      <c r="B49" s="360"/>
      <c r="C49" s="360"/>
      <c r="D49" s="360"/>
      <c r="E49" s="360"/>
      <c r="F49" s="360"/>
      <c r="G49" s="360"/>
      <c r="H49" s="360"/>
      <c r="I49" s="360"/>
      <c r="J49" s="360"/>
      <c r="K49" s="360"/>
      <c r="L49" s="360"/>
      <c r="M49" s="360"/>
      <c r="N49" s="360"/>
      <c r="O49" s="361"/>
      <c r="P49" s="357" t="s">
        <v>40</v>
      </c>
      <c r="Q49" s="358"/>
      <c r="R49" s="358"/>
      <c r="S49" s="358"/>
      <c r="T49" s="358"/>
      <c r="U49" s="358"/>
      <c r="V49" s="359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46" t="s">
        <v>126</v>
      </c>
      <c r="B50" s="346"/>
      <c r="C50" s="346"/>
      <c r="D50" s="346"/>
      <c r="E50" s="346"/>
      <c r="F50" s="346"/>
      <c r="G50" s="346"/>
      <c r="H50" s="346"/>
      <c r="I50" s="346"/>
      <c r="J50" s="346"/>
      <c r="K50" s="346"/>
      <c r="L50" s="346"/>
      <c r="M50" s="346"/>
      <c r="N50" s="346"/>
      <c r="O50" s="346"/>
      <c r="P50" s="346"/>
      <c r="Q50" s="346"/>
      <c r="R50" s="346"/>
      <c r="S50" s="346"/>
      <c r="T50" s="346"/>
      <c r="U50" s="346"/>
      <c r="V50" s="346"/>
      <c r="W50" s="346"/>
      <c r="X50" s="346"/>
      <c r="Y50" s="346"/>
      <c r="Z50" s="346"/>
      <c r="AA50" s="65"/>
      <c r="AB50" s="65"/>
      <c r="AC50" s="82"/>
    </row>
    <row r="51" spans="1:68" ht="14.25" customHeight="1" x14ac:dyDescent="0.25">
      <c r="A51" s="347" t="s">
        <v>81</v>
      </c>
      <c r="B51" s="347"/>
      <c r="C51" s="347"/>
      <c r="D51" s="347"/>
      <c r="E51" s="347"/>
      <c r="F51" s="347"/>
      <c r="G51" s="347"/>
      <c r="H51" s="347"/>
      <c r="I51" s="347"/>
      <c r="J51" s="347"/>
      <c r="K51" s="347"/>
      <c r="L51" s="347"/>
      <c r="M51" s="347"/>
      <c r="N51" s="347"/>
      <c r="O51" s="347"/>
      <c r="P51" s="347"/>
      <c r="Q51" s="347"/>
      <c r="R51" s="347"/>
      <c r="S51" s="347"/>
      <c r="T51" s="347"/>
      <c r="U51" s="347"/>
      <c r="V51" s="347"/>
      <c r="W51" s="347"/>
      <c r="X51" s="347"/>
      <c r="Y51" s="347"/>
      <c r="Z51" s="347"/>
      <c r="AA51" s="66"/>
      <c r="AB51" s="66"/>
      <c r="AC51" s="83"/>
    </row>
    <row r="52" spans="1:68" ht="27" customHeight="1" x14ac:dyDescent="0.25">
      <c r="A52" s="63" t="s">
        <v>127</v>
      </c>
      <c r="B52" s="63" t="s">
        <v>128</v>
      </c>
      <c r="C52" s="36">
        <v>4301071044</v>
      </c>
      <c r="D52" s="348">
        <v>4607111039385</v>
      </c>
      <c r="E52" s="348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112</v>
      </c>
      <c r="M52" s="38" t="s">
        <v>85</v>
      </c>
      <c r="N52" s="38"/>
      <c r="O52" s="37">
        <v>180</v>
      </c>
      <c r="P52" s="36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0"/>
      <c r="R52" s="350"/>
      <c r="S52" s="350"/>
      <c r="T52" s="351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129</v>
      </c>
      <c r="AG52" s="81"/>
      <c r="AJ52" s="87" t="s">
        <v>113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130</v>
      </c>
      <c r="B53" s="63" t="s">
        <v>131</v>
      </c>
      <c r="C53" s="36">
        <v>4301071031</v>
      </c>
      <c r="D53" s="348">
        <v>4607111038982</v>
      </c>
      <c r="E53" s="348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112</v>
      </c>
      <c r="M53" s="38" t="s">
        <v>85</v>
      </c>
      <c r="N53" s="38"/>
      <c r="O53" s="37">
        <v>180</v>
      </c>
      <c r="P53" s="37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113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4301071046</v>
      </c>
      <c r="D54" s="348">
        <v>4607111039354</v>
      </c>
      <c r="E54" s="348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87</v>
      </c>
      <c r="M54" s="38" t="s">
        <v>85</v>
      </c>
      <c r="N54" s="38"/>
      <c r="O54" s="37">
        <v>180</v>
      </c>
      <c r="P54" s="37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0"/>
      <c r="R54" s="350"/>
      <c r="S54" s="350"/>
      <c r="T54" s="351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132</v>
      </c>
      <c r="AG54" s="81"/>
      <c r="AJ54" s="87" t="s">
        <v>88</v>
      </c>
      <c r="AK54" s="87">
        <v>1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4301071047</v>
      </c>
      <c r="D55" s="348">
        <v>4607111039330</v>
      </c>
      <c r="E55" s="348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7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0"/>
      <c r="R55" s="350"/>
      <c r="S55" s="350"/>
      <c r="T55" s="351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132</v>
      </c>
      <c r="AG55" s="81"/>
      <c r="AJ55" s="87" t="s">
        <v>113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360"/>
      <c r="B56" s="360"/>
      <c r="C56" s="360"/>
      <c r="D56" s="360"/>
      <c r="E56" s="360"/>
      <c r="F56" s="360"/>
      <c r="G56" s="360"/>
      <c r="H56" s="360"/>
      <c r="I56" s="360"/>
      <c r="J56" s="360"/>
      <c r="K56" s="360"/>
      <c r="L56" s="360"/>
      <c r="M56" s="360"/>
      <c r="N56" s="360"/>
      <c r="O56" s="361"/>
      <c r="P56" s="357" t="s">
        <v>40</v>
      </c>
      <c r="Q56" s="358"/>
      <c r="R56" s="358"/>
      <c r="S56" s="358"/>
      <c r="T56" s="358"/>
      <c r="U56" s="358"/>
      <c r="V56" s="359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360"/>
      <c r="B57" s="360"/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1"/>
      <c r="P57" s="357" t="s">
        <v>40</v>
      </c>
      <c r="Q57" s="358"/>
      <c r="R57" s="358"/>
      <c r="S57" s="358"/>
      <c r="T57" s="358"/>
      <c r="U57" s="358"/>
      <c r="V57" s="359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46" t="s">
        <v>137</v>
      </c>
      <c r="B58" s="346"/>
      <c r="C58" s="346"/>
      <c r="D58" s="346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65"/>
      <c r="AB58" s="65"/>
      <c r="AC58" s="82"/>
    </row>
    <row r="59" spans="1:68" ht="14.25" customHeight="1" x14ac:dyDescent="0.25">
      <c r="A59" s="347" t="s">
        <v>81</v>
      </c>
      <c r="B59" s="347"/>
      <c r="C59" s="347"/>
      <c r="D59" s="347"/>
      <c r="E59" s="347"/>
      <c r="F59" s="347"/>
      <c r="G59" s="347"/>
      <c r="H59" s="347"/>
      <c r="I59" s="347"/>
      <c r="J59" s="347"/>
      <c r="K59" s="347"/>
      <c r="L59" s="347"/>
      <c r="M59" s="347"/>
      <c r="N59" s="347"/>
      <c r="O59" s="347"/>
      <c r="P59" s="347"/>
      <c r="Q59" s="347"/>
      <c r="R59" s="347"/>
      <c r="S59" s="347"/>
      <c r="T59" s="347"/>
      <c r="U59" s="347"/>
      <c r="V59" s="347"/>
      <c r="W59" s="347"/>
      <c r="X59" s="347"/>
      <c r="Y59" s="347"/>
      <c r="Z59" s="347"/>
      <c r="AA59" s="66"/>
      <c r="AB59" s="66"/>
      <c r="AC59" s="83"/>
    </row>
    <row r="60" spans="1:68" ht="16.5" customHeight="1" x14ac:dyDescent="0.25">
      <c r="A60" s="63" t="s">
        <v>138</v>
      </c>
      <c r="B60" s="63" t="s">
        <v>139</v>
      </c>
      <c r="C60" s="36">
        <v>4301071073</v>
      </c>
      <c r="D60" s="348">
        <v>4620207490822</v>
      </c>
      <c r="E60" s="348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0"/>
      <c r="R60" s="350"/>
      <c r="S60" s="350"/>
      <c r="T60" s="351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140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360"/>
      <c r="B61" s="360"/>
      <c r="C61" s="360"/>
      <c r="D61" s="360"/>
      <c r="E61" s="360"/>
      <c r="F61" s="360"/>
      <c r="G61" s="360"/>
      <c r="H61" s="360"/>
      <c r="I61" s="360"/>
      <c r="J61" s="360"/>
      <c r="K61" s="360"/>
      <c r="L61" s="360"/>
      <c r="M61" s="360"/>
      <c r="N61" s="360"/>
      <c r="O61" s="361"/>
      <c r="P61" s="357" t="s">
        <v>40</v>
      </c>
      <c r="Q61" s="358"/>
      <c r="R61" s="358"/>
      <c r="S61" s="358"/>
      <c r="T61" s="358"/>
      <c r="U61" s="358"/>
      <c r="V61" s="359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360"/>
      <c r="B62" s="360"/>
      <c r="C62" s="360"/>
      <c r="D62" s="360"/>
      <c r="E62" s="360"/>
      <c r="F62" s="360"/>
      <c r="G62" s="360"/>
      <c r="H62" s="360"/>
      <c r="I62" s="360"/>
      <c r="J62" s="360"/>
      <c r="K62" s="360"/>
      <c r="L62" s="360"/>
      <c r="M62" s="360"/>
      <c r="N62" s="360"/>
      <c r="O62" s="361"/>
      <c r="P62" s="357" t="s">
        <v>40</v>
      </c>
      <c r="Q62" s="358"/>
      <c r="R62" s="358"/>
      <c r="S62" s="358"/>
      <c r="T62" s="358"/>
      <c r="U62" s="358"/>
      <c r="V62" s="359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47" t="s">
        <v>106</v>
      </c>
      <c r="B63" s="347"/>
      <c r="C63" s="347"/>
      <c r="D63" s="347"/>
      <c r="E63" s="347"/>
      <c r="F63" s="347"/>
      <c r="G63" s="347"/>
      <c r="H63" s="347"/>
      <c r="I63" s="347"/>
      <c r="J63" s="347"/>
      <c r="K63" s="347"/>
      <c r="L63" s="347"/>
      <c r="M63" s="347"/>
      <c r="N63" s="347"/>
      <c r="O63" s="347"/>
      <c r="P63" s="347"/>
      <c r="Q63" s="347"/>
      <c r="R63" s="347"/>
      <c r="S63" s="347"/>
      <c r="T63" s="347"/>
      <c r="U63" s="347"/>
      <c r="V63" s="347"/>
      <c r="W63" s="347"/>
      <c r="X63" s="347"/>
      <c r="Y63" s="347"/>
      <c r="Z63" s="347"/>
      <c r="AA63" s="66"/>
      <c r="AB63" s="66"/>
      <c r="AC63" s="83"/>
    </row>
    <row r="64" spans="1:68" ht="27" customHeight="1" x14ac:dyDescent="0.25">
      <c r="A64" s="63" t="s">
        <v>141</v>
      </c>
      <c r="B64" s="63" t="s">
        <v>142</v>
      </c>
      <c r="C64" s="36">
        <v>4301132194</v>
      </c>
      <c r="D64" s="348">
        <v>4607111039712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143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60"/>
      <c r="B65" s="360"/>
      <c r="C65" s="360"/>
      <c r="D65" s="360"/>
      <c r="E65" s="360"/>
      <c r="F65" s="360"/>
      <c r="G65" s="360"/>
      <c r="H65" s="360"/>
      <c r="I65" s="360"/>
      <c r="J65" s="360"/>
      <c r="K65" s="360"/>
      <c r="L65" s="360"/>
      <c r="M65" s="360"/>
      <c r="N65" s="360"/>
      <c r="O65" s="361"/>
      <c r="P65" s="357" t="s">
        <v>40</v>
      </c>
      <c r="Q65" s="358"/>
      <c r="R65" s="358"/>
      <c r="S65" s="358"/>
      <c r="T65" s="358"/>
      <c r="U65" s="358"/>
      <c r="V65" s="359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360"/>
      <c r="B66" s="360"/>
      <c r="C66" s="360"/>
      <c r="D66" s="360"/>
      <c r="E66" s="360"/>
      <c r="F66" s="360"/>
      <c r="G66" s="360"/>
      <c r="H66" s="360"/>
      <c r="I66" s="360"/>
      <c r="J66" s="360"/>
      <c r="K66" s="360"/>
      <c r="L66" s="360"/>
      <c r="M66" s="360"/>
      <c r="N66" s="360"/>
      <c r="O66" s="361"/>
      <c r="P66" s="357" t="s">
        <v>40</v>
      </c>
      <c r="Q66" s="358"/>
      <c r="R66" s="358"/>
      <c r="S66" s="358"/>
      <c r="T66" s="358"/>
      <c r="U66" s="358"/>
      <c r="V66" s="359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47" t="s">
        <v>144</v>
      </c>
      <c r="B67" s="347"/>
      <c r="C67" s="347"/>
      <c r="D67" s="347"/>
      <c r="E67" s="347"/>
      <c r="F67" s="347"/>
      <c r="G67" s="347"/>
      <c r="H67" s="347"/>
      <c r="I67" s="347"/>
      <c r="J67" s="347"/>
      <c r="K67" s="347"/>
      <c r="L67" s="347"/>
      <c r="M67" s="347"/>
      <c r="N67" s="347"/>
      <c r="O67" s="347"/>
      <c r="P67" s="347"/>
      <c r="Q67" s="347"/>
      <c r="R67" s="347"/>
      <c r="S67" s="347"/>
      <c r="T67" s="347"/>
      <c r="U67" s="347"/>
      <c r="V67" s="347"/>
      <c r="W67" s="347"/>
      <c r="X67" s="347"/>
      <c r="Y67" s="347"/>
      <c r="Z67" s="347"/>
      <c r="AA67" s="66"/>
      <c r="AB67" s="66"/>
      <c r="AC67" s="83"/>
    </row>
    <row r="68" spans="1:68" ht="16.5" customHeight="1" x14ac:dyDescent="0.25">
      <c r="A68" s="63" t="s">
        <v>145</v>
      </c>
      <c r="B68" s="63" t="s">
        <v>146</v>
      </c>
      <c r="C68" s="36">
        <v>4301136018</v>
      </c>
      <c r="D68" s="348">
        <v>4607111037008</v>
      </c>
      <c r="E68" s="348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0"/>
      <c r="R68" s="350"/>
      <c r="S68" s="350"/>
      <c r="T68" s="351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147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148</v>
      </c>
      <c r="B69" s="63" t="s">
        <v>149</v>
      </c>
      <c r="C69" s="36">
        <v>4301136015</v>
      </c>
      <c r="D69" s="348">
        <v>4607111037398</v>
      </c>
      <c r="E69" s="348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147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360"/>
      <c r="B70" s="360"/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1"/>
      <c r="P70" s="357" t="s">
        <v>40</v>
      </c>
      <c r="Q70" s="358"/>
      <c r="R70" s="358"/>
      <c r="S70" s="358"/>
      <c r="T70" s="358"/>
      <c r="U70" s="358"/>
      <c r="V70" s="359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360"/>
      <c r="B71" s="360"/>
      <c r="C71" s="360"/>
      <c r="D71" s="360"/>
      <c r="E71" s="360"/>
      <c r="F71" s="360"/>
      <c r="G71" s="360"/>
      <c r="H71" s="360"/>
      <c r="I71" s="360"/>
      <c r="J71" s="360"/>
      <c r="K71" s="360"/>
      <c r="L71" s="360"/>
      <c r="M71" s="360"/>
      <c r="N71" s="360"/>
      <c r="O71" s="361"/>
      <c r="P71" s="357" t="s">
        <v>40</v>
      </c>
      <c r="Q71" s="358"/>
      <c r="R71" s="358"/>
      <c r="S71" s="358"/>
      <c r="T71" s="358"/>
      <c r="U71" s="358"/>
      <c r="V71" s="359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47" t="s">
        <v>150</v>
      </c>
      <c r="B72" s="347"/>
      <c r="C72" s="347"/>
      <c r="D72" s="347"/>
      <c r="E72" s="347"/>
      <c r="F72" s="347"/>
      <c r="G72" s="347"/>
      <c r="H72" s="347"/>
      <c r="I72" s="347"/>
      <c r="J72" s="347"/>
      <c r="K72" s="347"/>
      <c r="L72" s="347"/>
      <c r="M72" s="347"/>
      <c r="N72" s="347"/>
      <c r="O72" s="347"/>
      <c r="P72" s="347"/>
      <c r="Q72" s="347"/>
      <c r="R72" s="347"/>
      <c r="S72" s="347"/>
      <c r="T72" s="347"/>
      <c r="U72" s="347"/>
      <c r="V72" s="347"/>
      <c r="W72" s="347"/>
      <c r="X72" s="347"/>
      <c r="Y72" s="347"/>
      <c r="Z72" s="347"/>
      <c r="AA72" s="66"/>
      <c r="AB72" s="66"/>
      <c r="AC72" s="83"/>
    </row>
    <row r="73" spans="1:68" ht="27" customHeight="1" x14ac:dyDescent="0.25">
      <c r="A73" s="63" t="s">
        <v>151</v>
      </c>
      <c r="B73" s="63" t="s">
        <v>152</v>
      </c>
      <c r="C73" s="36">
        <v>4301135664</v>
      </c>
      <c r="D73" s="348">
        <v>4607111039705</v>
      </c>
      <c r="E73" s="348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0"/>
      <c r="R73" s="350"/>
      <c r="S73" s="350"/>
      <c r="T73" s="351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147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153</v>
      </c>
      <c r="B74" s="63" t="s">
        <v>154</v>
      </c>
      <c r="C74" s="36">
        <v>4301135665</v>
      </c>
      <c r="D74" s="348">
        <v>4607111039729</v>
      </c>
      <c r="E74" s="348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87</v>
      </c>
      <c r="M74" s="38" t="s">
        <v>85</v>
      </c>
      <c r="N74" s="38"/>
      <c r="O74" s="37">
        <v>365</v>
      </c>
      <c r="P74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0"/>
      <c r="R74" s="350"/>
      <c r="S74" s="350"/>
      <c r="T74" s="351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155</v>
      </c>
      <c r="AG74" s="81"/>
      <c r="AJ74" s="87" t="s">
        <v>88</v>
      </c>
      <c r="AK74" s="87">
        <v>1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156</v>
      </c>
      <c r="B75" s="63" t="s">
        <v>157</v>
      </c>
      <c r="C75" s="36">
        <v>4301135702</v>
      </c>
      <c r="D75" s="348">
        <v>4620207490228</v>
      </c>
      <c r="E75" s="348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87</v>
      </c>
      <c r="M75" s="38" t="s">
        <v>85</v>
      </c>
      <c r="N75" s="38"/>
      <c r="O75" s="37">
        <v>365</v>
      </c>
      <c r="P75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155</v>
      </c>
      <c r="AG75" s="81"/>
      <c r="AJ75" s="87" t="s">
        <v>88</v>
      </c>
      <c r="AK75" s="87">
        <v>1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60"/>
      <c r="B76" s="360"/>
      <c r="C76" s="360"/>
      <c r="D76" s="360"/>
      <c r="E76" s="360"/>
      <c r="F76" s="360"/>
      <c r="G76" s="360"/>
      <c r="H76" s="360"/>
      <c r="I76" s="360"/>
      <c r="J76" s="360"/>
      <c r="K76" s="360"/>
      <c r="L76" s="360"/>
      <c r="M76" s="360"/>
      <c r="N76" s="360"/>
      <c r="O76" s="361"/>
      <c r="P76" s="357" t="s">
        <v>40</v>
      </c>
      <c r="Q76" s="358"/>
      <c r="R76" s="358"/>
      <c r="S76" s="358"/>
      <c r="T76" s="358"/>
      <c r="U76" s="358"/>
      <c r="V76" s="359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360"/>
      <c r="B77" s="360"/>
      <c r="C77" s="360"/>
      <c r="D77" s="360"/>
      <c r="E77" s="360"/>
      <c r="F77" s="360"/>
      <c r="G77" s="360"/>
      <c r="H77" s="360"/>
      <c r="I77" s="360"/>
      <c r="J77" s="360"/>
      <c r="K77" s="360"/>
      <c r="L77" s="360"/>
      <c r="M77" s="360"/>
      <c r="N77" s="360"/>
      <c r="O77" s="361"/>
      <c r="P77" s="357" t="s">
        <v>40</v>
      </c>
      <c r="Q77" s="358"/>
      <c r="R77" s="358"/>
      <c r="S77" s="358"/>
      <c r="T77" s="358"/>
      <c r="U77" s="358"/>
      <c r="V77" s="359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158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81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159</v>
      </c>
      <c r="B80" s="63" t="s">
        <v>160</v>
      </c>
      <c r="C80" s="36">
        <v>4301070977</v>
      </c>
      <c r="D80" s="348">
        <v>4607111037411</v>
      </c>
      <c r="E80" s="348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162</v>
      </c>
      <c r="L80" s="37" t="s">
        <v>87</v>
      </c>
      <c r="M80" s="38" t="s">
        <v>85</v>
      </c>
      <c r="N80" s="38"/>
      <c r="O80" s="37">
        <v>180</v>
      </c>
      <c r="P80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161</v>
      </c>
      <c r="AG80" s="81"/>
      <c r="AJ80" s="87" t="s">
        <v>88</v>
      </c>
      <c r="AK80" s="87">
        <v>1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163</v>
      </c>
      <c r="B81" s="63" t="s">
        <v>164</v>
      </c>
      <c r="C81" s="36">
        <v>4301070981</v>
      </c>
      <c r="D81" s="348">
        <v>4607111036728</v>
      </c>
      <c r="E81" s="348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161</v>
      </c>
      <c r="AG81" s="81"/>
      <c r="AJ81" s="87" t="s">
        <v>113</v>
      </c>
      <c r="AK81" s="87">
        <v>12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60"/>
      <c r="B82" s="360"/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1"/>
      <c r="P82" s="357" t="s">
        <v>40</v>
      </c>
      <c r="Q82" s="358"/>
      <c r="R82" s="358"/>
      <c r="S82" s="358"/>
      <c r="T82" s="358"/>
      <c r="U82" s="358"/>
      <c r="V82" s="359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60"/>
      <c r="B83" s="360"/>
      <c r="C83" s="360"/>
      <c r="D83" s="360"/>
      <c r="E83" s="360"/>
      <c r="F83" s="360"/>
      <c r="G83" s="360"/>
      <c r="H83" s="360"/>
      <c r="I83" s="360"/>
      <c r="J83" s="360"/>
      <c r="K83" s="360"/>
      <c r="L83" s="360"/>
      <c r="M83" s="360"/>
      <c r="N83" s="360"/>
      <c r="O83" s="361"/>
      <c r="P83" s="357" t="s">
        <v>40</v>
      </c>
      <c r="Q83" s="358"/>
      <c r="R83" s="358"/>
      <c r="S83" s="358"/>
      <c r="T83" s="358"/>
      <c r="U83" s="358"/>
      <c r="V83" s="359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165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150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166</v>
      </c>
      <c r="B86" s="63" t="s">
        <v>167</v>
      </c>
      <c r="C86" s="36">
        <v>4301135574</v>
      </c>
      <c r="D86" s="348">
        <v>4607111033659</v>
      </c>
      <c r="E86" s="348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112</v>
      </c>
      <c r="M86" s="38" t="s">
        <v>85</v>
      </c>
      <c r="N86" s="38"/>
      <c r="O86" s="37">
        <v>180</v>
      </c>
      <c r="P86" s="38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168</v>
      </c>
      <c r="AG86" s="81"/>
      <c r="AJ86" s="87" t="s">
        <v>113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360"/>
      <c r="B87" s="360"/>
      <c r="C87" s="360"/>
      <c r="D87" s="360"/>
      <c r="E87" s="360"/>
      <c r="F87" s="360"/>
      <c r="G87" s="360"/>
      <c r="H87" s="360"/>
      <c r="I87" s="360"/>
      <c r="J87" s="360"/>
      <c r="K87" s="360"/>
      <c r="L87" s="360"/>
      <c r="M87" s="360"/>
      <c r="N87" s="360"/>
      <c r="O87" s="361"/>
      <c r="P87" s="357" t="s">
        <v>40</v>
      </c>
      <c r="Q87" s="358"/>
      <c r="R87" s="358"/>
      <c r="S87" s="358"/>
      <c r="T87" s="358"/>
      <c r="U87" s="358"/>
      <c r="V87" s="359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360"/>
      <c r="B88" s="360"/>
      <c r="C88" s="360"/>
      <c r="D88" s="360"/>
      <c r="E88" s="360"/>
      <c r="F88" s="360"/>
      <c r="G88" s="360"/>
      <c r="H88" s="360"/>
      <c r="I88" s="360"/>
      <c r="J88" s="360"/>
      <c r="K88" s="360"/>
      <c r="L88" s="360"/>
      <c r="M88" s="360"/>
      <c r="N88" s="360"/>
      <c r="O88" s="361"/>
      <c r="P88" s="357" t="s">
        <v>40</v>
      </c>
      <c r="Q88" s="358"/>
      <c r="R88" s="358"/>
      <c r="S88" s="358"/>
      <c r="T88" s="358"/>
      <c r="U88" s="358"/>
      <c r="V88" s="359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46" t="s">
        <v>169</v>
      </c>
      <c r="B89" s="346"/>
      <c r="C89" s="346"/>
      <c r="D89" s="346"/>
      <c r="E89" s="346"/>
      <c r="F89" s="346"/>
      <c r="G89" s="346"/>
      <c r="H89" s="346"/>
      <c r="I89" s="346"/>
      <c r="J89" s="346"/>
      <c r="K89" s="346"/>
      <c r="L89" s="346"/>
      <c r="M89" s="346"/>
      <c r="N89" s="346"/>
      <c r="O89" s="346"/>
      <c r="P89" s="346"/>
      <c r="Q89" s="346"/>
      <c r="R89" s="346"/>
      <c r="S89" s="346"/>
      <c r="T89" s="346"/>
      <c r="U89" s="346"/>
      <c r="V89" s="346"/>
      <c r="W89" s="346"/>
      <c r="X89" s="346"/>
      <c r="Y89" s="346"/>
      <c r="Z89" s="346"/>
      <c r="AA89" s="65"/>
      <c r="AB89" s="65"/>
      <c r="AC89" s="82"/>
    </row>
    <row r="90" spans="1:68" ht="14.25" customHeight="1" x14ac:dyDescent="0.25">
      <c r="A90" s="347" t="s">
        <v>170</v>
      </c>
      <c r="B90" s="347"/>
      <c r="C90" s="347"/>
      <c r="D90" s="347"/>
      <c r="E90" s="347"/>
      <c r="F90" s="347"/>
      <c r="G90" s="347"/>
      <c r="H90" s="347"/>
      <c r="I90" s="347"/>
      <c r="J90" s="347"/>
      <c r="K90" s="347"/>
      <c r="L90" s="347"/>
      <c r="M90" s="347"/>
      <c r="N90" s="347"/>
      <c r="O90" s="347"/>
      <c r="P90" s="347"/>
      <c r="Q90" s="347"/>
      <c r="R90" s="347"/>
      <c r="S90" s="347"/>
      <c r="T90" s="347"/>
      <c r="U90" s="347"/>
      <c r="V90" s="347"/>
      <c r="W90" s="347"/>
      <c r="X90" s="347"/>
      <c r="Y90" s="347"/>
      <c r="Z90" s="347"/>
      <c r="AA90" s="66"/>
      <c r="AB90" s="66"/>
      <c r="AC90" s="83"/>
    </row>
    <row r="91" spans="1:68" ht="27" customHeight="1" x14ac:dyDescent="0.25">
      <c r="A91" s="63" t="s">
        <v>171</v>
      </c>
      <c r="B91" s="63" t="s">
        <v>172</v>
      </c>
      <c r="C91" s="36">
        <v>4301131047</v>
      </c>
      <c r="D91" s="348">
        <v>4607111034120</v>
      </c>
      <c r="E91" s="348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112</v>
      </c>
      <c r="M91" s="38" t="s">
        <v>85</v>
      </c>
      <c r="N91" s="38"/>
      <c r="O91" s="37">
        <v>180</v>
      </c>
      <c r="P91" s="38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173</v>
      </c>
      <c r="AG91" s="81"/>
      <c r="AJ91" s="87" t="s">
        <v>113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174</v>
      </c>
      <c r="B92" s="63" t="s">
        <v>175</v>
      </c>
      <c r="C92" s="36">
        <v>4301131046</v>
      </c>
      <c r="D92" s="348">
        <v>4607111034137</v>
      </c>
      <c r="E92" s="348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112</v>
      </c>
      <c r="M92" s="38" t="s">
        <v>85</v>
      </c>
      <c r="N92" s="38"/>
      <c r="O92" s="37">
        <v>180</v>
      </c>
      <c r="P92" s="38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0"/>
      <c r="R92" s="350"/>
      <c r="S92" s="350"/>
      <c r="T92" s="351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176</v>
      </c>
      <c r="AG92" s="81"/>
      <c r="AJ92" s="87" t="s">
        <v>113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360"/>
      <c r="B93" s="360"/>
      <c r="C93" s="360"/>
      <c r="D93" s="360"/>
      <c r="E93" s="360"/>
      <c r="F93" s="360"/>
      <c r="G93" s="360"/>
      <c r="H93" s="360"/>
      <c r="I93" s="360"/>
      <c r="J93" s="360"/>
      <c r="K93" s="360"/>
      <c r="L93" s="360"/>
      <c r="M93" s="360"/>
      <c r="N93" s="360"/>
      <c r="O93" s="361"/>
      <c r="P93" s="357" t="s">
        <v>40</v>
      </c>
      <c r="Q93" s="358"/>
      <c r="R93" s="358"/>
      <c r="S93" s="358"/>
      <c r="T93" s="358"/>
      <c r="U93" s="358"/>
      <c r="V93" s="359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360"/>
      <c r="B94" s="360"/>
      <c r="C94" s="360"/>
      <c r="D94" s="360"/>
      <c r="E94" s="360"/>
      <c r="F94" s="360"/>
      <c r="G94" s="360"/>
      <c r="H94" s="360"/>
      <c r="I94" s="360"/>
      <c r="J94" s="360"/>
      <c r="K94" s="360"/>
      <c r="L94" s="360"/>
      <c r="M94" s="360"/>
      <c r="N94" s="360"/>
      <c r="O94" s="361"/>
      <c r="P94" s="357" t="s">
        <v>40</v>
      </c>
      <c r="Q94" s="358"/>
      <c r="R94" s="358"/>
      <c r="S94" s="358"/>
      <c r="T94" s="358"/>
      <c r="U94" s="358"/>
      <c r="V94" s="359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46" t="s">
        <v>177</v>
      </c>
      <c r="B95" s="346"/>
      <c r="C95" s="346"/>
      <c r="D95" s="346"/>
      <c r="E95" s="346"/>
      <c r="F95" s="346"/>
      <c r="G95" s="346"/>
      <c r="H95" s="346"/>
      <c r="I95" s="346"/>
      <c r="J95" s="346"/>
      <c r="K95" s="346"/>
      <c r="L95" s="346"/>
      <c r="M95" s="346"/>
      <c r="N95" s="346"/>
      <c r="O95" s="346"/>
      <c r="P95" s="346"/>
      <c r="Q95" s="346"/>
      <c r="R95" s="346"/>
      <c r="S95" s="346"/>
      <c r="T95" s="346"/>
      <c r="U95" s="346"/>
      <c r="V95" s="346"/>
      <c r="W95" s="346"/>
      <c r="X95" s="346"/>
      <c r="Y95" s="346"/>
      <c r="Z95" s="346"/>
      <c r="AA95" s="65"/>
      <c r="AB95" s="65"/>
      <c r="AC95" s="82"/>
    </row>
    <row r="96" spans="1:68" ht="14.25" customHeight="1" x14ac:dyDescent="0.25">
      <c r="A96" s="347" t="s">
        <v>150</v>
      </c>
      <c r="B96" s="347"/>
      <c r="C96" s="347"/>
      <c r="D96" s="347"/>
      <c r="E96" s="347"/>
      <c r="F96" s="347"/>
      <c r="G96" s="347"/>
      <c r="H96" s="347"/>
      <c r="I96" s="347"/>
      <c r="J96" s="347"/>
      <c r="K96" s="347"/>
      <c r="L96" s="347"/>
      <c r="M96" s="347"/>
      <c r="N96" s="347"/>
      <c r="O96" s="347"/>
      <c r="P96" s="347"/>
      <c r="Q96" s="347"/>
      <c r="R96" s="347"/>
      <c r="S96" s="347"/>
      <c r="T96" s="347"/>
      <c r="U96" s="347"/>
      <c r="V96" s="347"/>
      <c r="W96" s="347"/>
      <c r="X96" s="347"/>
      <c r="Y96" s="347"/>
      <c r="Z96" s="347"/>
      <c r="AA96" s="66"/>
      <c r="AB96" s="66"/>
      <c r="AC96" s="83"/>
    </row>
    <row r="97" spans="1:68" ht="27" customHeight="1" x14ac:dyDescent="0.25">
      <c r="A97" s="63" t="s">
        <v>178</v>
      </c>
      <c r="B97" s="63" t="s">
        <v>179</v>
      </c>
      <c r="C97" s="36">
        <v>4301135763</v>
      </c>
      <c r="D97" s="348">
        <v>4620207491027</v>
      </c>
      <c r="E97" s="34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112</v>
      </c>
      <c r="M97" s="38" t="s">
        <v>85</v>
      </c>
      <c r="N97" s="38"/>
      <c r="O97" s="37">
        <v>180</v>
      </c>
      <c r="P97" s="3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168</v>
      </c>
      <c r="AG97" s="81"/>
      <c r="AJ97" s="87" t="s">
        <v>113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180</v>
      </c>
      <c r="B98" s="63" t="s">
        <v>181</v>
      </c>
      <c r="C98" s="36">
        <v>4301135793</v>
      </c>
      <c r="D98" s="348">
        <v>4620207491003</v>
      </c>
      <c r="E98" s="34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8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0"/>
      <c r="R98" s="350"/>
      <c r="S98" s="350"/>
      <c r="T98" s="351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168</v>
      </c>
      <c r="AG98" s="81"/>
      <c r="AJ98" s="87" t="s">
        <v>113</v>
      </c>
      <c r="AK98" s="87">
        <v>14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182</v>
      </c>
      <c r="B99" s="63" t="s">
        <v>183</v>
      </c>
      <c r="C99" s="36">
        <v>4301135768</v>
      </c>
      <c r="D99" s="348">
        <v>4620207491034</v>
      </c>
      <c r="E99" s="348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112</v>
      </c>
      <c r="M99" s="38" t="s">
        <v>85</v>
      </c>
      <c r="N99" s="38"/>
      <c r="O99" s="37">
        <v>180</v>
      </c>
      <c r="P99" s="387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0"/>
      <c r="R99" s="350"/>
      <c r="S99" s="350"/>
      <c r="T99" s="35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184</v>
      </c>
      <c r="AG99" s="81"/>
      <c r="AJ99" s="87" t="s">
        <v>113</v>
      </c>
      <c r="AK99" s="87">
        <v>14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185</v>
      </c>
      <c r="B100" s="63" t="s">
        <v>186</v>
      </c>
      <c r="C100" s="36">
        <v>4301135760</v>
      </c>
      <c r="D100" s="348">
        <v>4620207491010</v>
      </c>
      <c r="E100" s="348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8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0"/>
      <c r="R100" s="350"/>
      <c r="S100" s="350"/>
      <c r="T100" s="351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168</v>
      </c>
      <c r="AG100" s="81"/>
      <c r="AJ100" s="87" t="s">
        <v>113</v>
      </c>
      <c r="AK100" s="87">
        <v>14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187</v>
      </c>
      <c r="B101" s="63" t="s">
        <v>188</v>
      </c>
      <c r="C101" s="36">
        <v>4301135571</v>
      </c>
      <c r="D101" s="348">
        <v>4607111035028</v>
      </c>
      <c r="E101" s="348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112</v>
      </c>
      <c r="M101" s="38" t="s">
        <v>85</v>
      </c>
      <c r="N101" s="38"/>
      <c r="O101" s="37">
        <v>180</v>
      </c>
      <c r="P101" s="389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0"/>
      <c r="R101" s="350"/>
      <c r="S101" s="350"/>
      <c r="T101" s="351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168</v>
      </c>
      <c r="AG101" s="81"/>
      <c r="AJ101" s="87" t="s">
        <v>113</v>
      </c>
      <c r="AK101" s="87">
        <v>14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189</v>
      </c>
      <c r="B102" s="63" t="s">
        <v>190</v>
      </c>
      <c r="C102" s="36">
        <v>4301135285</v>
      </c>
      <c r="D102" s="348">
        <v>4607111036407</v>
      </c>
      <c r="E102" s="348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87</v>
      </c>
      <c r="M102" s="38" t="s">
        <v>85</v>
      </c>
      <c r="N102" s="38"/>
      <c r="O102" s="37">
        <v>180</v>
      </c>
      <c r="P102" s="39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191</v>
      </c>
      <c r="AG102" s="81"/>
      <c r="AJ102" s="87" t="s">
        <v>88</v>
      </c>
      <c r="AK102" s="87">
        <v>1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360"/>
      <c r="B103" s="360"/>
      <c r="C103" s="360"/>
      <c r="D103" s="360"/>
      <c r="E103" s="360"/>
      <c r="F103" s="360"/>
      <c r="G103" s="360"/>
      <c r="H103" s="360"/>
      <c r="I103" s="360"/>
      <c r="J103" s="360"/>
      <c r="K103" s="360"/>
      <c r="L103" s="360"/>
      <c r="M103" s="360"/>
      <c r="N103" s="360"/>
      <c r="O103" s="361"/>
      <c r="P103" s="357" t="s">
        <v>40</v>
      </c>
      <c r="Q103" s="358"/>
      <c r="R103" s="358"/>
      <c r="S103" s="358"/>
      <c r="T103" s="358"/>
      <c r="U103" s="358"/>
      <c r="V103" s="359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360"/>
      <c r="B104" s="360"/>
      <c r="C104" s="360"/>
      <c r="D104" s="360"/>
      <c r="E104" s="360"/>
      <c r="F104" s="360"/>
      <c r="G104" s="360"/>
      <c r="H104" s="360"/>
      <c r="I104" s="360"/>
      <c r="J104" s="360"/>
      <c r="K104" s="360"/>
      <c r="L104" s="360"/>
      <c r="M104" s="360"/>
      <c r="N104" s="360"/>
      <c r="O104" s="361"/>
      <c r="P104" s="357" t="s">
        <v>40</v>
      </c>
      <c r="Q104" s="358"/>
      <c r="R104" s="358"/>
      <c r="S104" s="358"/>
      <c r="T104" s="358"/>
      <c r="U104" s="358"/>
      <c r="V104" s="359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46" t="s">
        <v>192</v>
      </c>
      <c r="B105" s="346"/>
      <c r="C105" s="346"/>
      <c r="D105" s="346"/>
      <c r="E105" s="346"/>
      <c r="F105" s="346"/>
      <c r="G105" s="346"/>
      <c r="H105" s="346"/>
      <c r="I105" s="346"/>
      <c r="J105" s="346"/>
      <c r="K105" s="346"/>
      <c r="L105" s="346"/>
      <c r="M105" s="346"/>
      <c r="N105" s="346"/>
      <c r="O105" s="346"/>
      <c r="P105" s="346"/>
      <c r="Q105" s="346"/>
      <c r="R105" s="346"/>
      <c r="S105" s="346"/>
      <c r="T105" s="346"/>
      <c r="U105" s="346"/>
      <c r="V105" s="346"/>
      <c r="W105" s="346"/>
      <c r="X105" s="346"/>
      <c r="Y105" s="346"/>
      <c r="Z105" s="346"/>
      <c r="AA105" s="65"/>
      <c r="AB105" s="65"/>
      <c r="AC105" s="82"/>
    </row>
    <row r="106" spans="1:68" ht="14.25" customHeight="1" x14ac:dyDescent="0.25">
      <c r="A106" s="347" t="s">
        <v>144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6"/>
      <c r="AB106" s="66"/>
      <c r="AC106" s="83"/>
    </row>
    <row r="107" spans="1:68" ht="27" customHeight="1" x14ac:dyDescent="0.25">
      <c r="A107" s="63" t="s">
        <v>193</v>
      </c>
      <c r="B107" s="63" t="s">
        <v>194</v>
      </c>
      <c r="C107" s="36">
        <v>4301136070</v>
      </c>
      <c r="D107" s="348">
        <v>4607025784012</v>
      </c>
      <c r="E107" s="348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112</v>
      </c>
      <c r="M107" s="38" t="s">
        <v>85</v>
      </c>
      <c r="N107" s="38"/>
      <c r="O107" s="37">
        <v>180</v>
      </c>
      <c r="P107" s="39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195</v>
      </c>
      <c r="AG107" s="81"/>
      <c r="AJ107" s="87" t="s">
        <v>113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196</v>
      </c>
      <c r="B108" s="63" t="s">
        <v>197</v>
      </c>
      <c r="C108" s="36">
        <v>4301136079</v>
      </c>
      <c r="D108" s="348">
        <v>4607025784319</v>
      </c>
      <c r="E108" s="348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112</v>
      </c>
      <c r="M108" s="38" t="s">
        <v>85</v>
      </c>
      <c r="N108" s="38"/>
      <c r="O108" s="37">
        <v>180</v>
      </c>
      <c r="P108" s="39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168</v>
      </c>
      <c r="AG108" s="81"/>
      <c r="AJ108" s="87" t="s">
        <v>113</v>
      </c>
      <c r="AK108" s="87">
        <v>14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360"/>
      <c r="B109" s="360"/>
      <c r="C109" s="360"/>
      <c r="D109" s="360"/>
      <c r="E109" s="360"/>
      <c r="F109" s="360"/>
      <c r="G109" s="360"/>
      <c r="H109" s="360"/>
      <c r="I109" s="360"/>
      <c r="J109" s="360"/>
      <c r="K109" s="360"/>
      <c r="L109" s="360"/>
      <c r="M109" s="360"/>
      <c r="N109" s="360"/>
      <c r="O109" s="361"/>
      <c r="P109" s="357" t="s">
        <v>40</v>
      </c>
      <c r="Q109" s="358"/>
      <c r="R109" s="358"/>
      <c r="S109" s="358"/>
      <c r="T109" s="358"/>
      <c r="U109" s="358"/>
      <c r="V109" s="359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360"/>
      <c r="B110" s="360"/>
      <c r="C110" s="360"/>
      <c r="D110" s="360"/>
      <c r="E110" s="360"/>
      <c r="F110" s="360"/>
      <c r="G110" s="360"/>
      <c r="H110" s="360"/>
      <c r="I110" s="360"/>
      <c r="J110" s="360"/>
      <c r="K110" s="360"/>
      <c r="L110" s="360"/>
      <c r="M110" s="360"/>
      <c r="N110" s="360"/>
      <c r="O110" s="361"/>
      <c r="P110" s="357" t="s">
        <v>40</v>
      </c>
      <c r="Q110" s="358"/>
      <c r="R110" s="358"/>
      <c r="S110" s="358"/>
      <c r="T110" s="358"/>
      <c r="U110" s="358"/>
      <c r="V110" s="359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46" t="s">
        <v>198</v>
      </c>
      <c r="B111" s="346"/>
      <c r="C111" s="346"/>
      <c r="D111" s="346"/>
      <c r="E111" s="346"/>
      <c r="F111" s="346"/>
      <c r="G111" s="346"/>
      <c r="H111" s="346"/>
      <c r="I111" s="346"/>
      <c r="J111" s="346"/>
      <c r="K111" s="346"/>
      <c r="L111" s="346"/>
      <c r="M111" s="346"/>
      <c r="N111" s="346"/>
      <c r="O111" s="346"/>
      <c r="P111" s="346"/>
      <c r="Q111" s="346"/>
      <c r="R111" s="346"/>
      <c r="S111" s="346"/>
      <c r="T111" s="346"/>
      <c r="U111" s="346"/>
      <c r="V111" s="346"/>
      <c r="W111" s="346"/>
      <c r="X111" s="346"/>
      <c r="Y111" s="346"/>
      <c r="Z111" s="346"/>
      <c r="AA111" s="65"/>
      <c r="AB111" s="65"/>
      <c r="AC111" s="82"/>
    </row>
    <row r="112" spans="1:68" ht="14.25" customHeight="1" x14ac:dyDescent="0.25">
      <c r="A112" s="347" t="s">
        <v>81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199</v>
      </c>
      <c r="B113" s="63" t="s">
        <v>200</v>
      </c>
      <c r="C113" s="36">
        <v>4301071121</v>
      </c>
      <c r="D113" s="348">
        <v>4620207491393</v>
      </c>
      <c r="E113" s="348"/>
      <c r="F113" s="62">
        <v>0.4</v>
      </c>
      <c r="G113" s="37">
        <v>16</v>
      </c>
      <c r="H113" s="62">
        <v>6.4</v>
      </c>
      <c r="I113" s="62">
        <v>6.71</v>
      </c>
      <c r="J113" s="37">
        <v>84</v>
      </c>
      <c r="K113" s="37" t="s">
        <v>86</v>
      </c>
      <c r="L113" s="37" t="s">
        <v>87</v>
      </c>
      <c r="M113" s="38" t="s">
        <v>85</v>
      </c>
      <c r="N113" s="38"/>
      <c r="O113" s="37">
        <v>180</v>
      </c>
      <c r="P113" s="39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202</v>
      </c>
      <c r="AC113" s="163" t="s">
        <v>201</v>
      </c>
      <c r="AG113" s="81"/>
      <c r="AJ113" s="87" t="s">
        <v>88</v>
      </c>
      <c r="AK113" s="87">
        <v>1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203</v>
      </c>
      <c r="B114" s="63" t="s">
        <v>204</v>
      </c>
      <c r="C114" s="36">
        <v>4301071074</v>
      </c>
      <c r="D114" s="348">
        <v>4620207491157</v>
      </c>
      <c r="E114" s="348"/>
      <c r="F114" s="62">
        <v>0.7</v>
      </c>
      <c r="G114" s="37">
        <v>10</v>
      </c>
      <c r="H114" s="62">
        <v>7</v>
      </c>
      <c r="I114" s="62">
        <v>7.28</v>
      </c>
      <c r="J114" s="37">
        <v>84</v>
      </c>
      <c r="K114" s="37" t="s">
        <v>86</v>
      </c>
      <c r="L114" s="37" t="s">
        <v>112</v>
      </c>
      <c r="M114" s="38" t="s">
        <v>85</v>
      </c>
      <c r="N114" s="38"/>
      <c r="O114" s="37">
        <v>180</v>
      </c>
      <c r="P114" s="39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0"/>
      <c r="R114" s="350"/>
      <c r="S114" s="350"/>
      <c r="T114" s="351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205</v>
      </c>
      <c r="AG114" s="81"/>
      <c r="AJ114" s="87" t="s">
        <v>113</v>
      </c>
      <c r="AK114" s="87">
        <v>12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206</v>
      </c>
      <c r="B115" s="63" t="s">
        <v>207</v>
      </c>
      <c r="C115" s="36">
        <v>4301071051</v>
      </c>
      <c r="D115" s="348">
        <v>4607111039262</v>
      </c>
      <c r="E115" s="348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112</v>
      </c>
      <c r="M115" s="38" t="s">
        <v>85</v>
      </c>
      <c r="N115" s="38"/>
      <c r="O115" s="37">
        <v>180</v>
      </c>
      <c r="P115" s="39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350"/>
      <c r="R115" s="350"/>
      <c r="S115" s="350"/>
      <c r="T115" s="35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161</v>
      </c>
      <c r="AG115" s="81"/>
      <c r="AJ115" s="87" t="s">
        <v>113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208</v>
      </c>
      <c r="B116" s="63" t="s">
        <v>209</v>
      </c>
      <c r="C116" s="36">
        <v>4301071038</v>
      </c>
      <c r="D116" s="348">
        <v>4607111039248</v>
      </c>
      <c r="E116" s="348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9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350"/>
      <c r="R116" s="350"/>
      <c r="S116" s="350"/>
      <c r="T116" s="351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161</v>
      </c>
      <c r="AG116" s="81"/>
      <c r="AJ116" s="87" t="s">
        <v>113</v>
      </c>
      <c r="AK116" s="87">
        <v>12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4301070979</v>
      </c>
      <c r="D117" s="348">
        <v>4607111037145</v>
      </c>
      <c r="E117" s="348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9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212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213</v>
      </c>
      <c r="B118" s="63" t="s">
        <v>214</v>
      </c>
      <c r="C118" s="36">
        <v>4301071049</v>
      </c>
      <c r="D118" s="348">
        <v>4607111039293</v>
      </c>
      <c r="E118" s="348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112</v>
      </c>
      <c r="M118" s="38" t="s">
        <v>85</v>
      </c>
      <c r="N118" s="38"/>
      <c r="O118" s="37">
        <v>180</v>
      </c>
      <c r="P118" s="39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350"/>
      <c r="R118" s="350"/>
      <c r="S118" s="350"/>
      <c r="T118" s="351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161</v>
      </c>
      <c r="AG118" s="81"/>
      <c r="AJ118" s="87" t="s">
        <v>113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215</v>
      </c>
      <c r="B119" s="63" t="s">
        <v>216</v>
      </c>
      <c r="C119" s="36">
        <v>4301071039</v>
      </c>
      <c r="D119" s="348">
        <v>4607111039279</v>
      </c>
      <c r="E119" s="348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9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350"/>
      <c r="R119" s="350"/>
      <c r="S119" s="350"/>
      <c r="T119" s="351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161</v>
      </c>
      <c r="AG119" s="81"/>
      <c r="AJ119" s="87" t="s">
        <v>113</v>
      </c>
      <c r="AK119" s="87">
        <v>12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4301070978</v>
      </c>
      <c r="D120" s="348">
        <v>4607111037435</v>
      </c>
      <c r="E120" s="348"/>
      <c r="F120" s="62">
        <v>0.8</v>
      </c>
      <c r="G120" s="37">
        <v>8</v>
      </c>
      <c r="H120" s="62">
        <v>6.4</v>
      </c>
      <c r="I120" s="62">
        <v>6.6859999999999999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40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350"/>
      <c r="R120" s="350"/>
      <c r="S120" s="350"/>
      <c r="T120" s="351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219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360"/>
      <c r="B121" s="360"/>
      <c r="C121" s="360"/>
      <c r="D121" s="360"/>
      <c r="E121" s="360"/>
      <c r="F121" s="360"/>
      <c r="G121" s="360"/>
      <c r="H121" s="360"/>
      <c r="I121" s="360"/>
      <c r="J121" s="360"/>
      <c r="K121" s="360"/>
      <c r="L121" s="360"/>
      <c r="M121" s="360"/>
      <c r="N121" s="360"/>
      <c r="O121" s="361"/>
      <c r="P121" s="357" t="s">
        <v>40</v>
      </c>
      <c r="Q121" s="358"/>
      <c r="R121" s="358"/>
      <c r="S121" s="358"/>
      <c r="T121" s="358"/>
      <c r="U121" s="358"/>
      <c r="V121" s="359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360"/>
      <c r="B122" s="360"/>
      <c r="C122" s="360"/>
      <c r="D122" s="360"/>
      <c r="E122" s="360"/>
      <c r="F122" s="360"/>
      <c r="G122" s="360"/>
      <c r="H122" s="360"/>
      <c r="I122" s="360"/>
      <c r="J122" s="360"/>
      <c r="K122" s="360"/>
      <c r="L122" s="360"/>
      <c r="M122" s="360"/>
      <c r="N122" s="360"/>
      <c r="O122" s="361"/>
      <c r="P122" s="357" t="s">
        <v>40</v>
      </c>
      <c r="Q122" s="358"/>
      <c r="R122" s="358"/>
      <c r="S122" s="358"/>
      <c r="T122" s="358"/>
      <c r="U122" s="358"/>
      <c r="V122" s="359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47" t="s">
        <v>150</v>
      </c>
      <c r="B123" s="347"/>
      <c r="C123" s="347"/>
      <c r="D123" s="347"/>
      <c r="E123" s="347"/>
      <c r="F123" s="347"/>
      <c r="G123" s="347"/>
      <c r="H123" s="347"/>
      <c r="I123" s="347"/>
      <c r="J123" s="347"/>
      <c r="K123" s="347"/>
      <c r="L123" s="347"/>
      <c r="M123" s="347"/>
      <c r="N123" s="347"/>
      <c r="O123" s="347"/>
      <c r="P123" s="347"/>
      <c r="Q123" s="347"/>
      <c r="R123" s="347"/>
      <c r="S123" s="347"/>
      <c r="T123" s="347"/>
      <c r="U123" s="347"/>
      <c r="V123" s="347"/>
      <c r="W123" s="347"/>
      <c r="X123" s="347"/>
      <c r="Y123" s="347"/>
      <c r="Z123" s="347"/>
      <c r="AA123" s="66"/>
      <c r="AB123" s="66"/>
      <c r="AC123" s="83"/>
    </row>
    <row r="124" spans="1:68" ht="27" customHeight="1" x14ac:dyDescent="0.25">
      <c r="A124" s="63" t="s">
        <v>220</v>
      </c>
      <c r="B124" s="63" t="s">
        <v>221</v>
      </c>
      <c r="C124" s="36">
        <v>4301135826</v>
      </c>
      <c r="D124" s="348">
        <v>4620207490983</v>
      </c>
      <c r="E124" s="348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87</v>
      </c>
      <c r="M124" s="38" t="s">
        <v>85</v>
      </c>
      <c r="N124" s="38"/>
      <c r="O124" s="37">
        <v>180</v>
      </c>
      <c r="P124" s="40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0"/>
      <c r="R124" s="350"/>
      <c r="S124" s="350"/>
      <c r="T124" s="351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222</v>
      </c>
      <c r="AG124" s="81"/>
      <c r="AJ124" s="87" t="s">
        <v>88</v>
      </c>
      <c r="AK124" s="87">
        <v>1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x14ac:dyDescent="0.2">
      <c r="A125" s="360"/>
      <c r="B125" s="360"/>
      <c r="C125" s="360"/>
      <c r="D125" s="360"/>
      <c r="E125" s="360"/>
      <c r="F125" s="360"/>
      <c r="G125" s="360"/>
      <c r="H125" s="360"/>
      <c r="I125" s="360"/>
      <c r="J125" s="360"/>
      <c r="K125" s="360"/>
      <c r="L125" s="360"/>
      <c r="M125" s="360"/>
      <c r="N125" s="360"/>
      <c r="O125" s="361"/>
      <c r="P125" s="357" t="s">
        <v>40</v>
      </c>
      <c r="Q125" s="358"/>
      <c r="R125" s="358"/>
      <c r="S125" s="358"/>
      <c r="T125" s="358"/>
      <c r="U125" s="358"/>
      <c r="V125" s="359"/>
      <c r="W125" s="42" t="s">
        <v>39</v>
      </c>
      <c r="X125" s="43">
        <f>IFERROR(SUM(X124:X124),"0")</f>
        <v>0</v>
      </c>
      <c r="Y125" s="43">
        <f>IFERROR(SUM(Y124:Y124),"0")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360"/>
      <c r="B126" s="360"/>
      <c r="C126" s="360"/>
      <c r="D126" s="360"/>
      <c r="E126" s="360"/>
      <c r="F126" s="360"/>
      <c r="G126" s="360"/>
      <c r="H126" s="360"/>
      <c r="I126" s="360"/>
      <c r="J126" s="360"/>
      <c r="K126" s="360"/>
      <c r="L126" s="360"/>
      <c r="M126" s="360"/>
      <c r="N126" s="360"/>
      <c r="O126" s="361"/>
      <c r="P126" s="357" t="s">
        <v>40</v>
      </c>
      <c r="Q126" s="358"/>
      <c r="R126" s="358"/>
      <c r="S126" s="358"/>
      <c r="T126" s="358"/>
      <c r="U126" s="358"/>
      <c r="V126" s="359"/>
      <c r="W126" s="42" t="s">
        <v>0</v>
      </c>
      <c r="X126" s="43">
        <f>IFERROR(SUMPRODUCT(X124:X124*H124:H124),"0")</f>
        <v>0</v>
      </c>
      <c r="Y126" s="43">
        <f>IFERROR(SUMPRODUCT(Y124:Y124*H124:H124),"0")</f>
        <v>0</v>
      </c>
      <c r="Z126" s="42"/>
      <c r="AA126" s="67"/>
      <c r="AB126" s="67"/>
      <c r="AC126" s="67"/>
    </row>
    <row r="127" spans="1:68" ht="14.25" customHeight="1" x14ac:dyDescent="0.25">
      <c r="A127" s="347" t="s">
        <v>223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224</v>
      </c>
      <c r="B128" s="63" t="s">
        <v>225</v>
      </c>
      <c r="C128" s="36">
        <v>4301071094</v>
      </c>
      <c r="D128" s="348">
        <v>4620207491140</v>
      </c>
      <c r="E128" s="348"/>
      <c r="F128" s="62">
        <v>0.6</v>
      </c>
      <c r="G128" s="37">
        <v>10</v>
      </c>
      <c r="H128" s="62">
        <v>6</v>
      </c>
      <c r="I128" s="62">
        <v>6.28</v>
      </c>
      <c r="J128" s="37">
        <v>84</v>
      </c>
      <c r="K128" s="37" t="s">
        <v>86</v>
      </c>
      <c r="L128" s="37" t="s">
        <v>87</v>
      </c>
      <c r="M128" s="38" t="s">
        <v>85</v>
      </c>
      <c r="N128" s="38"/>
      <c r="O128" s="37">
        <v>180</v>
      </c>
      <c r="P128" s="40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IFERROR(IF(X128="","",X128*0.0155),"")</f>
        <v>0</v>
      </c>
      <c r="AA128" s="68" t="s">
        <v>46</v>
      </c>
      <c r="AB128" s="69" t="s">
        <v>46</v>
      </c>
      <c r="AC128" s="181" t="s">
        <v>226</v>
      </c>
      <c r="AG128" s="81"/>
      <c r="AJ128" s="87" t="s">
        <v>88</v>
      </c>
      <c r="AK128" s="87">
        <v>1</v>
      </c>
      <c r="BB128" s="182" t="s">
        <v>110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x14ac:dyDescent="0.2">
      <c r="A129" s="360"/>
      <c r="B129" s="360"/>
      <c r="C129" s="360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57" t="s">
        <v>40</v>
      </c>
      <c r="Q129" s="358"/>
      <c r="R129" s="358"/>
      <c r="S129" s="358"/>
      <c r="T129" s="358"/>
      <c r="U129" s="358"/>
      <c r="V129" s="359"/>
      <c r="W129" s="42" t="s">
        <v>39</v>
      </c>
      <c r="X129" s="43">
        <f>IFERROR(SUM(X128:X128),"0")</f>
        <v>0</v>
      </c>
      <c r="Y129" s="43">
        <f>IFERROR(SUM(Y128:Y128),"0")</f>
        <v>0</v>
      </c>
      <c r="Z129" s="43">
        <f>IFERROR(IF(Z128="",0,Z128),"0")</f>
        <v>0</v>
      </c>
      <c r="AA129" s="67"/>
      <c r="AB129" s="67"/>
      <c r="AC129" s="67"/>
    </row>
    <row r="130" spans="1:68" x14ac:dyDescent="0.2">
      <c r="A130" s="360"/>
      <c r="B130" s="360"/>
      <c r="C130" s="360"/>
      <c r="D130" s="360"/>
      <c r="E130" s="360"/>
      <c r="F130" s="360"/>
      <c r="G130" s="360"/>
      <c r="H130" s="360"/>
      <c r="I130" s="360"/>
      <c r="J130" s="360"/>
      <c r="K130" s="360"/>
      <c r="L130" s="360"/>
      <c r="M130" s="360"/>
      <c r="N130" s="360"/>
      <c r="O130" s="361"/>
      <c r="P130" s="357" t="s">
        <v>40</v>
      </c>
      <c r="Q130" s="358"/>
      <c r="R130" s="358"/>
      <c r="S130" s="358"/>
      <c r="T130" s="358"/>
      <c r="U130" s="358"/>
      <c r="V130" s="359"/>
      <c r="W130" s="42" t="s">
        <v>0</v>
      </c>
      <c r="X130" s="43">
        <f>IFERROR(SUMPRODUCT(X128:X128*H128:H128),"0")</f>
        <v>0</v>
      </c>
      <c r="Y130" s="43">
        <f>IFERROR(SUMPRODUCT(Y128:Y128*H128:H128),"0")</f>
        <v>0</v>
      </c>
      <c r="Z130" s="42"/>
      <c r="AA130" s="67"/>
      <c r="AB130" s="67"/>
      <c r="AC130" s="67"/>
    </row>
    <row r="131" spans="1:68" ht="16.5" customHeight="1" x14ac:dyDescent="0.25">
      <c r="A131" s="346" t="s">
        <v>227</v>
      </c>
      <c r="B131" s="346"/>
      <c r="C131" s="346"/>
      <c r="D131" s="346"/>
      <c r="E131" s="346"/>
      <c r="F131" s="346"/>
      <c r="G131" s="346"/>
      <c r="H131" s="346"/>
      <c r="I131" s="346"/>
      <c r="J131" s="346"/>
      <c r="K131" s="346"/>
      <c r="L131" s="346"/>
      <c r="M131" s="346"/>
      <c r="N131" s="346"/>
      <c r="O131" s="346"/>
      <c r="P131" s="346"/>
      <c r="Q131" s="346"/>
      <c r="R131" s="346"/>
      <c r="S131" s="346"/>
      <c r="T131" s="346"/>
      <c r="U131" s="346"/>
      <c r="V131" s="346"/>
      <c r="W131" s="346"/>
      <c r="X131" s="346"/>
      <c r="Y131" s="346"/>
      <c r="Z131" s="346"/>
      <c r="AA131" s="65"/>
      <c r="AB131" s="65"/>
      <c r="AC131" s="82"/>
    </row>
    <row r="132" spans="1:68" ht="14.25" customHeight="1" x14ac:dyDescent="0.25">
      <c r="A132" s="347" t="s">
        <v>150</v>
      </c>
      <c r="B132" s="347"/>
      <c r="C132" s="347"/>
      <c r="D132" s="347"/>
      <c r="E132" s="347"/>
      <c r="F132" s="347"/>
      <c r="G132" s="347"/>
      <c r="H132" s="347"/>
      <c r="I132" s="347"/>
      <c r="J132" s="347"/>
      <c r="K132" s="347"/>
      <c r="L132" s="347"/>
      <c r="M132" s="347"/>
      <c r="N132" s="347"/>
      <c r="O132" s="347"/>
      <c r="P132" s="347"/>
      <c r="Q132" s="347"/>
      <c r="R132" s="347"/>
      <c r="S132" s="347"/>
      <c r="T132" s="347"/>
      <c r="U132" s="347"/>
      <c r="V132" s="347"/>
      <c r="W132" s="347"/>
      <c r="X132" s="347"/>
      <c r="Y132" s="347"/>
      <c r="Z132" s="347"/>
      <c r="AA132" s="66"/>
      <c r="AB132" s="66"/>
      <c r="AC132" s="83"/>
    </row>
    <row r="133" spans="1:68" ht="27" customHeight="1" x14ac:dyDescent="0.25">
      <c r="A133" s="63" t="s">
        <v>228</v>
      </c>
      <c r="B133" s="63" t="s">
        <v>229</v>
      </c>
      <c r="C133" s="36">
        <v>4301135555</v>
      </c>
      <c r="D133" s="348">
        <v>4607111034014</v>
      </c>
      <c r="E133" s="348"/>
      <c r="F133" s="62">
        <v>0.25</v>
      </c>
      <c r="G133" s="37">
        <v>12</v>
      </c>
      <c r="H133" s="62">
        <v>3</v>
      </c>
      <c r="I133" s="62">
        <v>3.7035999999999998</v>
      </c>
      <c r="J133" s="37">
        <v>70</v>
      </c>
      <c r="K133" s="37" t="s">
        <v>111</v>
      </c>
      <c r="L133" s="37" t="s">
        <v>112</v>
      </c>
      <c r="M133" s="38" t="s">
        <v>85</v>
      </c>
      <c r="N133" s="38"/>
      <c r="O133" s="37">
        <v>180</v>
      </c>
      <c r="P133" s="40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350"/>
      <c r="R133" s="350"/>
      <c r="S133" s="350"/>
      <c r="T133" s="351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IFERROR(IF(X133="","",X133*0.01788),"")</f>
        <v>0</v>
      </c>
      <c r="AA133" s="68" t="s">
        <v>46</v>
      </c>
      <c r="AB133" s="69" t="s">
        <v>46</v>
      </c>
      <c r="AC133" s="183" t="s">
        <v>230</v>
      </c>
      <c r="AG133" s="81"/>
      <c r="AJ133" s="87" t="s">
        <v>113</v>
      </c>
      <c r="AK133" s="87">
        <v>14</v>
      </c>
      <c r="BB133" s="184" t="s">
        <v>110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ht="27" customHeight="1" x14ac:dyDescent="0.25">
      <c r="A134" s="63" t="s">
        <v>231</v>
      </c>
      <c r="B134" s="63" t="s">
        <v>232</v>
      </c>
      <c r="C134" s="36">
        <v>4301135532</v>
      </c>
      <c r="D134" s="348">
        <v>4607111033994</v>
      </c>
      <c r="E134" s="348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233</v>
      </c>
      <c r="M134" s="38" t="s">
        <v>85</v>
      </c>
      <c r="N134" s="38"/>
      <c r="O134" s="37">
        <v>180</v>
      </c>
      <c r="P134" s="40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168</v>
      </c>
      <c r="AG134" s="81"/>
      <c r="AJ134" s="87" t="s">
        <v>234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x14ac:dyDescent="0.2">
      <c r="A135" s="360"/>
      <c r="B135" s="360"/>
      <c r="C135" s="360"/>
      <c r="D135" s="360"/>
      <c r="E135" s="360"/>
      <c r="F135" s="360"/>
      <c r="G135" s="360"/>
      <c r="H135" s="360"/>
      <c r="I135" s="360"/>
      <c r="J135" s="360"/>
      <c r="K135" s="360"/>
      <c r="L135" s="360"/>
      <c r="M135" s="360"/>
      <c r="N135" s="360"/>
      <c r="O135" s="361"/>
      <c r="P135" s="357" t="s">
        <v>40</v>
      </c>
      <c r="Q135" s="358"/>
      <c r="R135" s="358"/>
      <c r="S135" s="358"/>
      <c r="T135" s="358"/>
      <c r="U135" s="358"/>
      <c r="V135" s="359"/>
      <c r="W135" s="42" t="s">
        <v>39</v>
      </c>
      <c r="X135" s="43">
        <f>IFERROR(SUM(X133:X134),"0")</f>
        <v>0</v>
      </c>
      <c r="Y135" s="43">
        <f>IFERROR(SUM(Y133:Y134),"0")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x14ac:dyDescent="0.2">
      <c r="A136" s="360"/>
      <c r="B136" s="360"/>
      <c r="C136" s="360"/>
      <c r="D136" s="360"/>
      <c r="E136" s="360"/>
      <c r="F136" s="360"/>
      <c r="G136" s="360"/>
      <c r="H136" s="360"/>
      <c r="I136" s="360"/>
      <c r="J136" s="360"/>
      <c r="K136" s="360"/>
      <c r="L136" s="360"/>
      <c r="M136" s="360"/>
      <c r="N136" s="360"/>
      <c r="O136" s="361"/>
      <c r="P136" s="357" t="s">
        <v>40</v>
      </c>
      <c r="Q136" s="358"/>
      <c r="R136" s="358"/>
      <c r="S136" s="358"/>
      <c r="T136" s="358"/>
      <c r="U136" s="358"/>
      <c r="V136" s="359"/>
      <c r="W136" s="42" t="s">
        <v>0</v>
      </c>
      <c r="X136" s="43">
        <f>IFERROR(SUMPRODUCT(X133:X134*H133:H134),"0")</f>
        <v>0</v>
      </c>
      <c r="Y136" s="43">
        <f>IFERROR(SUMPRODUCT(Y133:Y134*H133:H134),"0")</f>
        <v>0</v>
      </c>
      <c r="Z136" s="42"/>
      <c r="AA136" s="67"/>
      <c r="AB136" s="67"/>
      <c r="AC136" s="67"/>
    </row>
    <row r="137" spans="1:68" ht="16.5" customHeight="1" x14ac:dyDescent="0.25">
      <c r="A137" s="346" t="s">
        <v>235</v>
      </c>
      <c r="B137" s="346"/>
      <c r="C137" s="346"/>
      <c r="D137" s="346"/>
      <c r="E137" s="346"/>
      <c r="F137" s="346"/>
      <c r="G137" s="346"/>
      <c r="H137" s="346"/>
      <c r="I137" s="346"/>
      <c r="J137" s="346"/>
      <c r="K137" s="346"/>
      <c r="L137" s="346"/>
      <c r="M137" s="346"/>
      <c r="N137" s="346"/>
      <c r="O137" s="346"/>
      <c r="P137" s="346"/>
      <c r="Q137" s="346"/>
      <c r="R137" s="346"/>
      <c r="S137" s="346"/>
      <c r="T137" s="346"/>
      <c r="U137" s="346"/>
      <c r="V137" s="346"/>
      <c r="W137" s="346"/>
      <c r="X137" s="346"/>
      <c r="Y137" s="346"/>
      <c r="Z137" s="346"/>
      <c r="AA137" s="65"/>
      <c r="AB137" s="65"/>
      <c r="AC137" s="82"/>
    </row>
    <row r="138" spans="1:68" ht="14.25" customHeight="1" x14ac:dyDescent="0.25">
      <c r="A138" s="347" t="s">
        <v>150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6"/>
      <c r="AB138" s="66"/>
      <c r="AC138" s="83"/>
    </row>
    <row r="139" spans="1:68" ht="27" customHeight="1" x14ac:dyDescent="0.25">
      <c r="A139" s="63" t="s">
        <v>236</v>
      </c>
      <c r="B139" s="63" t="s">
        <v>237</v>
      </c>
      <c r="C139" s="36">
        <v>4301135824</v>
      </c>
      <c r="D139" s="348">
        <v>4607111039095</v>
      </c>
      <c r="E139" s="348"/>
      <c r="F139" s="62">
        <v>0.25</v>
      </c>
      <c r="G139" s="37">
        <v>12</v>
      </c>
      <c r="H139" s="62">
        <v>3</v>
      </c>
      <c r="I139" s="62">
        <v>3.7480000000000002</v>
      </c>
      <c r="J139" s="37">
        <v>70</v>
      </c>
      <c r="K139" s="37" t="s">
        <v>111</v>
      </c>
      <c r="L139" s="37" t="s">
        <v>87</v>
      </c>
      <c r="M139" s="38" t="s">
        <v>85</v>
      </c>
      <c r="N139" s="38"/>
      <c r="O139" s="37">
        <v>180</v>
      </c>
      <c r="P139" s="40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350"/>
      <c r="R139" s="350"/>
      <c r="S139" s="350"/>
      <c r="T139" s="35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IFERROR(IF(X139="","",X139*0.01788),"")</f>
        <v>0</v>
      </c>
      <c r="AA139" s="68" t="s">
        <v>46</v>
      </c>
      <c r="AB139" s="69" t="s">
        <v>46</v>
      </c>
      <c r="AC139" s="187" t="s">
        <v>238</v>
      </c>
      <c r="AG139" s="81"/>
      <c r="AJ139" s="87" t="s">
        <v>88</v>
      </c>
      <c r="AK139" s="87">
        <v>1</v>
      </c>
      <c r="BB139" s="188" t="s">
        <v>110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16.5" customHeight="1" x14ac:dyDescent="0.25">
      <c r="A140" s="63" t="s">
        <v>239</v>
      </c>
      <c r="B140" s="63" t="s">
        <v>240</v>
      </c>
      <c r="C140" s="36">
        <v>4301135550</v>
      </c>
      <c r="D140" s="348">
        <v>4607111034199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111</v>
      </c>
      <c r="L140" s="37" t="s">
        <v>112</v>
      </c>
      <c r="M140" s="38" t="s">
        <v>85</v>
      </c>
      <c r="N140" s="38"/>
      <c r="O140" s="37">
        <v>180</v>
      </c>
      <c r="P140" s="40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241</v>
      </c>
      <c r="AG140" s="81"/>
      <c r="AJ140" s="87" t="s">
        <v>113</v>
      </c>
      <c r="AK140" s="87">
        <v>14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60"/>
      <c r="B141" s="360"/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1"/>
      <c r="P141" s="357" t="s">
        <v>40</v>
      </c>
      <c r="Q141" s="358"/>
      <c r="R141" s="358"/>
      <c r="S141" s="358"/>
      <c r="T141" s="358"/>
      <c r="U141" s="358"/>
      <c r="V141" s="359"/>
      <c r="W141" s="42" t="s">
        <v>39</v>
      </c>
      <c r="X141" s="43">
        <f>IFERROR(SUM(X139:X140),"0")</f>
        <v>0</v>
      </c>
      <c r="Y141" s="43">
        <f>IFERROR(SUM(Y139:Y140),"0")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x14ac:dyDescent="0.2">
      <c r="A142" s="360"/>
      <c r="B142" s="360"/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1"/>
      <c r="P142" s="357" t="s">
        <v>40</v>
      </c>
      <c r="Q142" s="358"/>
      <c r="R142" s="358"/>
      <c r="S142" s="358"/>
      <c r="T142" s="358"/>
      <c r="U142" s="358"/>
      <c r="V142" s="359"/>
      <c r="W142" s="42" t="s">
        <v>0</v>
      </c>
      <c r="X142" s="43">
        <f>IFERROR(SUMPRODUCT(X139:X140*H139:H140),"0")</f>
        <v>0</v>
      </c>
      <c r="Y142" s="43">
        <f>IFERROR(SUMPRODUCT(Y139:Y140*H139:H140),"0")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242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150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27" customHeight="1" x14ac:dyDescent="0.25">
      <c r="A145" s="63" t="s">
        <v>243</v>
      </c>
      <c r="B145" s="63" t="s">
        <v>244</v>
      </c>
      <c r="C145" s="36">
        <v>4301135753</v>
      </c>
      <c r="D145" s="348">
        <v>4620207490914</v>
      </c>
      <c r="E145" s="348"/>
      <c r="F145" s="62">
        <v>0.2</v>
      </c>
      <c r="G145" s="37">
        <v>12</v>
      </c>
      <c r="H145" s="62">
        <v>2.4</v>
      </c>
      <c r="I145" s="62">
        <v>2.68</v>
      </c>
      <c r="J145" s="37">
        <v>70</v>
      </c>
      <c r="K145" s="37" t="s">
        <v>111</v>
      </c>
      <c r="L145" s="37" t="s">
        <v>87</v>
      </c>
      <c r="M145" s="38" t="s">
        <v>85</v>
      </c>
      <c r="N145" s="38"/>
      <c r="O145" s="37">
        <v>180</v>
      </c>
      <c r="P145" s="40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1" t="s">
        <v>230</v>
      </c>
      <c r="AG145" s="81"/>
      <c r="AJ145" s="87" t="s">
        <v>88</v>
      </c>
      <c r="AK145" s="87">
        <v>1</v>
      </c>
      <c r="BB145" s="192" t="s">
        <v>110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ht="27" customHeight="1" x14ac:dyDescent="0.25">
      <c r="A146" s="63" t="s">
        <v>245</v>
      </c>
      <c r="B146" s="63" t="s">
        <v>246</v>
      </c>
      <c r="C146" s="36">
        <v>4301135778</v>
      </c>
      <c r="D146" s="348">
        <v>4620207490853</v>
      </c>
      <c r="E146" s="348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40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350"/>
      <c r="R146" s="350"/>
      <c r="S146" s="350"/>
      <c r="T146" s="351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230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x14ac:dyDescent="0.2">
      <c r="A147" s="360"/>
      <c r="B147" s="360"/>
      <c r="C147" s="360"/>
      <c r="D147" s="360"/>
      <c r="E147" s="360"/>
      <c r="F147" s="360"/>
      <c r="G147" s="360"/>
      <c r="H147" s="360"/>
      <c r="I147" s="360"/>
      <c r="J147" s="360"/>
      <c r="K147" s="360"/>
      <c r="L147" s="360"/>
      <c r="M147" s="360"/>
      <c r="N147" s="360"/>
      <c r="O147" s="361"/>
      <c r="P147" s="357" t="s">
        <v>40</v>
      </c>
      <c r="Q147" s="358"/>
      <c r="R147" s="358"/>
      <c r="S147" s="358"/>
      <c r="T147" s="358"/>
      <c r="U147" s="358"/>
      <c r="V147" s="359"/>
      <c r="W147" s="42" t="s">
        <v>39</v>
      </c>
      <c r="X147" s="43">
        <f>IFERROR(SUM(X145:X146),"0")</f>
        <v>0</v>
      </c>
      <c r="Y147" s="43">
        <f>IFERROR(SUM(Y145:Y146),"0")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x14ac:dyDescent="0.2">
      <c r="A148" s="360"/>
      <c r="B148" s="360"/>
      <c r="C148" s="360"/>
      <c r="D148" s="360"/>
      <c r="E148" s="360"/>
      <c r="F148" s="360"/>
      <c r="G148" s="360"/>
      <c r="H148" s="360"/>
      <c r="I148" s="360"/>
      <c r="J148" s="360"/>
      <c r="K148" s="360"/>
      <c r="L148" s="360"/>
      <c r="M148" s="360"/>
      <c r="N148" s="360"/>
      <c r="O148" s="361"/>
      <c r="P148" s="357" t="s">
        <v>40</v>
      </c>
      <c r="Q148" s="358"/>
      <c r="R148" s="358"/>
      <c r="S148" s="358"/>
      <c r="T148" s="358"/>
      <c r="U148" s="358"/>
      <c r="V148" s="359"/>
      <c r="W148" s="42" t="s">
        <v>0</v>
      </c>
      <c r="X148" s="43">
        <f>IFERROR(SUMPRODUCT(X145:X146*H145:H146),"0")</f>
        <v>0</v>
      </c>
      <c r="Y148" s="43">
        <f>IFERROR(SUMPRODUCT(Y145:Y146*H145:H146),"0")</f>
        <v>0</v>
      </c>
      <c r="Z148" s="42"/>
      <c r="AA148" s="67"/>
      <c r="AB148" s="67"/>
      <c r="AC148" s="67"/>
    </row>
    <row r="149" spans="1:68" ht="16.5" customHeight="1" x14ac:dyDescent="0.25">
      <c r="A149" s="346" t="s">
        <v>247</v>
      </c>
      <c r="B149" s="346"/>
      <c r="C149" s="346"/>
      <c r="D149" s="346"/>
      <c r="E149" s="346"/>
      <c r="F149" s="346"/>
      <c r="G149" s="346"/>
      <c r="H149" s="346"/>
      <c r="I149" s="346"/>
      <c r="J149" s="346"/>
      <c r="K149" s="346"/>
      <c r="L149" s="346"/>
      <c r="M149" s="346"/>
      <c r="N149" s="346"/>
      <c r="O149" s="346"/>
      <c r="P149" s="346"/>
      <c r="Q149" s="346"/>
      <c r="R149" s="346"/>
      <c r="S149" s="346"/>
      <c r="T149" s="346"/>
      <c r="U149" s="346"/>
      <c r="V149" s="346"/>
      <c r="W149" s="346"/>
      <c r="X149" s="346"/>
      <c r="Y149" s="346"/>
      <c r="Z149" s="346"/>
      <c r="AA149" s="65"/>
      <c r="AB149" s="65"/>
      <c r="AC149" s="82"/>
    </row>
    <row r="150" spans="1:68" ht="14.25" customHeight="1" x14ac:dyDescent="0.25">
      <c r="A150" s="347" t="s">
        <v>150</v>
      </c>
      <c r="B150" s="347"/>
      <c r="C150" s="347"/>
      <c r="D150" s="347"/>
      <c r="E150" s="347"/>
      <c r="F150" s="347"/>
      <c r="G150" s="347"/>
      <c r="H150" s="347"/>
      <c r="I150" s="347"/>
      <c r="J150" s="347"/>
      <c r="K150" s="347"/>
      <c r="L150" s="347"/>
      <c r="M150" s="347"/>
      <c r="N150" s="347"/>
      <c r="O150" s="347"/>
      <c r="P150" s="347"/>
      <c r="Q150" s="347"/>
      <c r="R150" s="347"/>
      <c r="S150" s="347"/>
      <c r="T150" s="347"/>
      <c r="U150" s="347"/>
      <c r="V150" s="347"/>
      <c r="W150" s="347"/>
      <c r="X150" s="347"/>
      <c r="Y150" s="347"/>
      <c r="Z150" s="347"/>
      <c r="AA150" s="66"/>
      <c r="AB150" s="66"/>
      <c r="AC150" s="83"/>
    </row>
    <row r="151" spans="1:68" ht="27" customHeight="1" x14ac:dyDescent="0.25">
      <c r="A151" s="63" t="s">
        <v>248</v>
      </c>
      <c r="B151" s="63" t="s">
        <v>249</v>
      </c>
      <c r="C151" s="36">
        <v>4301135570</v>
      </c>
      <c r="D151" s="348">
        <v>4607111035806</v>
      </c>
      <c r="E151" s="348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111</v>
      </c>
      <c r="L151" s="37" t="s">
        <v>112</v>
      </c>
      <c r="M151" s="38" t="s">
        <v>85</v>
      </c>
      <c r="N151" s="38"/>
      <c r="O151" s="37">
        <v>180</v>
      </c>
      <c r="P151" s="40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350"/>
      <c r="R151" s="350"/>
      <c r="S151" s="350"/>
      <c r="T151" s="351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195" t="s">
        <v>250</v>
      </c>
      <c r="AG151" s="81"/>
      <c r="AJ151" s="87" t="s">
        <v>113</v>
      </c>
      <c r="AK151" s="87">
        <v>14</v>
      </c>
      <c r="BB151" s="196" t="s">
        <v>110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360"/>
      <c r="B152" s="360"/>
      <c r="C152" s="360"/>
      <c r="D152" s="360"/>
      <c r="E152" s="360"/>
      <c r="F152" s="360"/>
      <c r="G152" s="360"/>
      <c r="H152" s="360"/>
      <c r="I152" s="360"/>
      <c r="J152" s="360"/>
      <c r="K152" s="360"/>
      <c r="L152" s="360"/>
      <c r="M152" s="360"/>
      <c r="N152" s="360"/>
      <c r="O152" s="361"/>
      <c r="P152" s="357" t="s">
        <v>40</v>
      </c>
      <c r="Q152" s="358"/>
      <c r="R152" s="358"/>
      <c r="S152" s="358"/>
      <c r="T152" s="358"/>
      <c r="U152" s="358"/>
      <c r="V152" s="359"/>
      <c r="W152" s="42" t="s">
        <v>39</v>
      </c>
      <c r="X152" s="43">
        <f>IFERROR(SUM(X151:X151),"0")</f>
        <v>0</v>
      </c>
      <c r="Y152" s="43">
        <f>IFERROR(SUM(Y151:Y151),"0")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360"/>
      <c r="B153" s="360"/>
      <c r="C153" s="360"/>
      <c r="D153" s="360"/>
      <c r="E153" s="360"/>
      <c r="F153" s="360"/>
      <c r="G153" s="360"/>
      <c r="H153" s="360"/>
      <c r="I153" s="360"/>
      <c r="J153" s="360"/>
      <c r="K153" s="360"/>
      <c r="L153" s="360"/>
      <c r="M153" s="360"/>
      <c r="N153" s="360"/>
      <c r="O153" s="361"/>
      <c r="P153" s="357" t="s">
        <v>40</v>
      </c>
      <c r="Q153" s="358"/>
      <c r="R153" s="358"/>
      <c r="S153" s="358"/>
      <c r="T153" s="358"/>
      <c r="U153" s="358"/>
      <c r="V153" s="359"/>
      <c r="W153" s="42" t="s">
        <v>0</v>
      </c>
      <c r="X153" s="43">
        <f>IFERROR(SUMPRODUCT(X151:X151*H151:H151),"0")</f>
        <v>0</v>
      </c>
      <c r="Y153" s="43">
        <f>IFERROR(SUMPRODUCT(Y151:Y151*H151:H151),"0")</f>
        <v>0</v>
      </c>
      <c r="Z153" s="42"/>
      <c r="AA153" s="67"/>
      <c r="AB153" s="67"/>
      <c r="AC153" s="67"/>
    </row>
    <row r="154" spans="1:68" ht="16.5" customHeight="1" x14ac:dyDescent="0.25">
      <c r="A154" s="346" t="s">
        <v>251</v>
      </c>
      <c r="B154" s="346"/>
      <c r="C154" s="346"/>
      <c r="D154" s="346"/>
      <c r="E154" s="346"/>
      <c r="F154" s="346"/>
      <c r="G154" s="346"/>
      <c r="H154" s="346"/>
      <c r="I154" s="346"/>
      <c r="J154" s="346"/>
      <c r="K154" s="346"/>
      <c r="L154" s="346"/>
      <c r="M154" s="346"/>
      <c r="N154" s="346"/>
      <c r="O154" s="346"/>
      <c r="P154" s="346"/>
      <c r="Q154" s="346"/>
      <c r="R154" s="346"/>
      <c r="S154" s="346"/>
      <c r="T154" s="346"/>
      <c r="U154" s="346"/>
      <c r="V154" s="346"/>
      <c r="W154" s="346"/>
      <c r="X154" s="346"/>
      <c r="Y154" s="346"/>
      <c r="Z154" s="346"/>
      <c r="AA154" s="65"/>
      <c r="AB154" s="65"/>
      <c r="AC154" s="82"/>
    </row>
    <row r="155" spans="1:68" ht="14.25" customHeight="1" x14ac:dyDescent="0.25">
      <c r="A155" s="347" t="s">
        <v>150</v>
      </c>
      <c r="B155" s="347"/>
      <c r="C155" s="347"/>
      <c r="D155" s="347"/>
      <c r="E155" s="347"/>
      <c r="F155" s="347"/>
      <c r="G155" s="347"/>
      <c r="H155" s="347"/>
      <c r="I155" s="347"/>
      <c r="J155" s="347"/>
      <c r="K155" s="347"/>
      <c r="L155" s="347"/>
      <c r="M155" s="347"/>
      <c r="N155" s="347"/>
      <c r="O155" s="347"/>
      <c r="P155" s="347"/>
      <c r="Q155" s="347"/>
      <c r="R155" s="347"/>
      <c r="S155" s="347"/>
      <c r="T155" s="347"/>
      <c r="U155" s="347"/>
      <c r="V155" s="347"/>
      <c r="W155" s="347"/>
      <c r="X155" s="347"/>
      <c r="Y155" s="347"/>
      <c r="Z155" s="347"/>
      <c r="AA155" s="66"/>
      <c r="AB155" s="66"/>
      <c r="AC155" s="83"/>
    </row>
    <row r="156" spans="1:68" ht="16.5" customHeight="1" x14ac:dyDescent="0.25">
      <c r="A156" s="63" t="s">
        <v>252</v>
      </c>
      <c r="B156" s="63" t="s">
        <v>253</v>
      </c>
      <c r="C156" s="36">
        <v>4301135607</v>
      </c>
      <c r="D156" s="348">
        <v>4607111039613</v>
      </c>
      <c r="E156" s="348"/>
      <c r="F156" s="62">
        <v>0.09</v>
      </c>
      <c r="G156" s="37">
        <v>30</v>
      </c>
      <c r="H156" s="62">
        <v>2.7</v>
      </c>
      <c r="I156" s="62">
        <v>3.09</v>
      </c>
      <c r="J156" s="37">
        <v>126</v>
      </c>
      <c r="K156" s="37" t="s">
        <v>111</v>
      </c>
      <c r="L156" s="37" t="s">
        <v>87</v>
      </c>
      <c r="M156" s="38" t="s">
        <v>85</v>
      </c>
      <c r="N156" s="38"/>
      <c r="O156" s="37">
        <v>180</v>
      </c>
      <c r="P156" s="41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350"/>
      <c r="R156" s="350"/>
      <c r="S156" s="350"/>
      <c r="T156" s="351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IFERROR(IF(X156="","",X156*0.00936),"")</f>
        <v>0</v>
      </c>
      <c r="AA156" s="68" t="s">
        <v>46</v>
      </c>
      <c r="AB156" s="69" t="s">
        <v>46</v>
      </c>
      <c r="AC156" s="197" t="s">
        <v>238</v>
      </c>
      <c r="AG156" s="81"/>
      <c r="AJ156" s="87" t="s">
        <v>88</v>
      </c>
      <c r="AK156" s="87">
        <v>1</v>
      </c>
      <c r="BB156" s="198" t="s">
        <v>110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x14ac:dyDescent="0.2">
      <c r="A157" s="360"/>
      <c r="B157" s="360"/>
      <c r="C157" s="360"/>
      <c r="D157" s="360"/>
      <c r="E157" s="360"/>
      <c r="F157" s="360"/>
      <c r="G157" s="360"/>
      <c r="H157" s="360"/>
      <c r="I157" s="360"/>
      <c r="J157" s="360"/>
      <c r="K157" s="360"/>
      <c r="L157" s="360"/>
      <c r="M157" s="360"/>
      <c r="N157" s="360"/>
      <c r="O157" s="361"/>
      <c r="P157" s="357" t="s">
        <v>40</v>
      </c>
      <c r="Q157" s="358"/>
      <c r="R157" s="358"/>
      <c r="S157" s="358"/>
      <c r="T157" s="358"/>
      <c r="U157" s="358"/>
      <c r="V157" s="359"/>
      <c r="W157" s="42" t="s">
        <v>39</v>
      </c>
      <c r="X157" s="43">
        <f>IFERROR(SUM(X156:X156),"0")</f>
        <v>0</v>
      </c>
      <c r="Y157" s="43">
        <f>IFERROR(SUM(Y156:Y156),"0")</f>
        <v>0</v>
      </c>
      <c r="Z157" s="43">
        <f>IFERROR(IF(Z156="",0,Z156),"0")</f>
        <v>0</v>
      </c>
      <c r="AA157" s="67"/>
      <c r="AB157" s="67"/>
      <c r="AC157" s="67"/>
    </row>
    <row r="158" spans="1:68" x14ac:dyDescent="0.2">
      <c r="A158" s="360"/>
      <c r="B158" s="360"/>
      <c r="C158" s="360"/>
      <c r="D158" s="360"/>
      <c r="E158" s="360"/>
      <c r="F158" s="360"/>
      <c r="G158" s="360"/>
      <c r="H158" s="360"/>
      <c r="I158" s="360"/>
      <c r="J158" s="360"/>
      <c r="K158" s="360"/>
      <c r="L158" s="360"/>
      <c r="M158" s="360"/>
      <c r="N158" s="360"/>
      <c r="O158" s="361"/>
      <c r="P158" s="357" t="s">
        <v>40</v>
      </c>
      <c r="Q158" s="358"/>
      <c r="R158" s="358"/>
      <c r="S158" s="358"/>
      <c r="T158" s="358"/>
      <c r="U158" s="358"/>
      <c r="V158" s="359"/>
      <c r="W158" s="42" t="s">
        <v>0</v>
      </c>
      <c r="X158" s="43">
        <f>IFERROR(SUMPRODUCT(X156:X156*H156:H156),"0")</f>
        <v>0</v>
      </c>
      <c r="Y158" s="43">
        <f>IFERROR(SUMPRODUCT(Y156:Y156*H156:H156),"0")</f>
        <v>0</v>
      </c>
      <c r="Z158" s="42"/>
      <c r="AA158" s="67"/>
      <c r="AB158" s="67"/>
      <c r="AC158" s="67"/>
    </row>
    <row r="159" spans="1:68" ht="16.5" customHeight="1" x14ac:dyDescent="0.25">
      <c r="A159" s="346" t="s">
        <v>254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223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27" customHeight="1" x14ac:dyDescent="0.25">
      <c r="A161" s="63" t="s">
        <v>255</v>
      </c>
      <c r="B161" s="63" t="s">
        <v>256</v>
      </c>
      <c r="C161" s="36">
        <v>4301135540</v>
      </c>
      <c r="D161" s="348">
        <v>4607111035646</v>
      </c>
      <c r="E161" s="348"/>
      <c r="F161" s="62">
        <v>0.2</v>
      </c>
      <c r="G161" s="37">
        <v>8</v>
      </c>
      <c r="H161" s="62">
        <v>1.6</v>
      </c>
      <c r="I161" s="62">
        <v>2.12</v>
      </c>
      <c r="J161" s="37">
        <v>72</v>
      </c>
      <c r="K161" s="37" t="s">
        <v>258</v>
      </c>
      <c r="L161" s="37" t="s">
        <v>87</v>
      </c>
      <c r="M161" s="38" t="s">
        <v>85</v>
      </c>
      <c r="N161" s="38"/>
      <c r="O161" s="37">
        <v>180</v>
      </c>
      <c r="P161" s="41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IFERROR(IF(X161="","",X161*0.01157),"")</f>
        <v>0</v>
      </c>
      <c r="AA161" s="68" t="s">
        <v>46</v>
      </c>
      <c r="AB161" s="69" t="s">
        <v>46</v>
      </c>
      <c r="AC161" s="199" t="s">
        <v>257</v>
      </c>
      <c r="AG161" s="81"/>
      <c r="AJ161" s="87" t="s">
        <v>88</v>
      </c>
      <c r="AK161" s="87">
        <v>1</v>
      </c>
      <c r="BB161" s="200" t="s">
        <v>110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x14ac:dyDescent="0.2">
      <c r="A162" s="360"/>
      <c r="B162" s="360"/>
      <c r="C162" s="360"/>
      <c r="D162" s="360"/>
      <c r="E162" s="360"/>
      <c r="F162" s="360"/>
      <c r="G162" s="360"/>
      <c r="H162" s="360"/>
      <c r="I162" s="360"/>
      <c r="J162" s="360"/>
      <c r="K162" s="360"/>
      <c r="L162" s="360"/>
      <c r="M162" s="360"/>
      <c r="N162" s="360"/>
      <c r="O162" s="361"/>
      <c r="P162" s="357" t="s">
        <v>40</v>
      </c>
      <c r="Q162" s="358"/>
      <c r="R162" s="358"/>
      <c r="S162" s="358"/>
      <c r="T162" s="358"/>
      <c r="U162" s="358"/>
      <c r="V162" s="359"/>
      <c r="W162" s="42" t="s">
        <v>39</v>
      </c>
      <c r="X162" s="43">
        <f>IFERROR(SUM(X161:X161),"0")</f>
        <v>0</v>
      </c>
      <c r="Y162" s="43">
        <f>IFERROR(SUM(Y161:Y161),"0")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360"/>
      <c r="B163" s="360"/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1"/>
      <c r="P163" s="357" t="s">
        <v>40</v>
      </c>
      <c r="Q163" s="358"/>
      <c r="R163" s="358"/>
      <c r="S163" s="358"/>
      <c r="T163" s="358"/>
      <c r="U163" s="358"/>
      <c r="V163" s="359"/>
      <c r="W163" s="42" t="s">
        <v>0</v>
      </c>
      <c r="X163" s="43">
        <f>IFERROR(SUMPRODUCT(X161:X161*H161:H161),"0")</f>
        <v>0</v>
      </c>
      <c r="Y163" s="43">
        <f>IFERROR(SUMPRODUCT(Y161:Y161*H161:H161),"0")</f>
        <v>0</v>
      </c>
      <c r="Z163" s="42"/>
      <c r="AA163" s="67"/>
      <c r="AB163" s="67"/>
      <c r="AC163" s="67"/>
    </row>
    <row r="164" spans="1:68" ht="16.5" customHeight="1" x14ac:dyDescent="0.25">
      <c r="A164" s="346" t="s">
        <v>259</v>
      </c>
      <c r="B164" s="346"/>
      <c r="C164" s="346"/>
      <c r="D164" s="346"/>
      <c r="E164" s="346"/>
      <c r="F164" s="346"/>
      <c r="G164" s="346"/>
      <c r="H164" s="346"/>
      <c r="I164" s="346"/>
      <c r="J164" s="346"/>
      <c r="K164" s="346"/>
      <c r="L164" s="346"/>
      <c r="M164" s="346"/>
      <c r="N164" s="346"/>
      <c r="O164" s="346"/>
      <c r="P164" s="346"/>
      <c r="Q164" s="346"/>
      <c r="R164" s="346"/>
      <c r="S164" s="346"/>
      <c r="T164" s="346"/>
      <c r="U164" s="346"/>
      <c r="V164" s="346"/>
      <c r="W164" s="346"/>
      <c r="X164" s="346"/>
      <c r="Y164" s="346"/>
      <c r="Z164" s="346"/>
      <c r="AA164" s="65"/>
      <c r="AB164" s="65"/>
      <c r="AC164" s="82"/>
    </row>
    <row r="165" spans="1:68" ht="14.25" customHeight="1" x14ac:dyDescent="0.25">
      <c r="A165" s="347" t="s">
        <v>150</v>
      </c>
      <c r="B165" s="347"/>
      <c r="C165" s="347"/>
      <c r="D165" s="347"/>
      <c r="E165" s="347"/>
      <c r="F165" s="347"/>
      <c r="G165" s="347"/>
      <c r="H165" s="347"/>
      <c r="I165" s="347"/>
      <c r="J165" s="347"/>
      <c r="K165" s="347"/>
      <c r="L165" s="347"/>
      <c r="M165" s="347"/>
      <c r="N165" s="347"/>
      <c r="O165" s="347"/>
      <c r="P165" s="347"/>
      <c r="Q165" s="347"/>
      <c r="R165" s="347"/>
      <c r="S165" s="347"/>
      <c r="T165" s="347"/>
      <c r="U165" s="347"/>
      <c r="V165" s="347"/>
      <c r="W165" s="347"/>
      <c r="X165" s="347"/>
      <c r="Y165" s="347"/>
      <c r="Z165" s="347"/>
      <c r="AA165" s="66"/>
      <c r="AB165" s="66"/>
      <c r="AC165" s="83"/>
    </row>
    <row r="166" spans="1:68" ht="27" customHeight="1" x14ac:dyDescent="0.25">
      <c r="A166" s="63" t="s">
        <v>260</v>
      </c>
      <c r="B166" s="63" t="s">
        <v>261</v>
      </c>
      <c r="C166" s="36">
        <v>4301135591</v>
      </c>
      <c r="D166" s="348">
        <v>4607111036568</v>
      </c>
      <c r="E166" s="348"/>
      <c r="F166" s="62">
        <v>0.28000000000000003</v>
      </c>
      <c r="G166" s="37">
        <v>6</v>
      </c>
      <c r="H166" s="62">
        <v>1.68</v>
      </c>
      <c r="I166" s="62">
        <v>2.1017999999999999</v>
      </c>
      <c r="J166" s="37">
        <v>140</v>
      </c>
      <c r="K166" s="37" t="s">
        <v>111</v>
      </c>
      <c r="L166" s="37" t="s">
        <v>112</v>
      </c>
      <c r="M166" s="38" t="s">
        <v>85</v>
      </c>
      <c r="N166" s="38"/>
      <c r="O166" s="37">
        <v>180</v>
      </c>
      <c r="P166" s="41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350"/>
      <c r="R166" s="350"/>
      <c r="S166" s="350"/>
      <c r="T166" s="351"/>
      <c r="U166" s="39" t="s">
        <v>46</v>
      </c>
      <c r="V166" s="39" t="s">
        <v>46</v>
      </c>
      <c r="W166" s="40" t="s">
        <v>39</v>
      </c>
      <c r="X166" s="58">
        <v>0</v>
      </c>
      <c r="Y166" s="55">
        <f>IFERROR(IF(X166="","",X166),"")</f>
        <v>0</v>
      </c>
      <c r="Z166" s="41">
        <f>IFERROR(IF(X166="","",X166*0.00941),"")</f>
        <v>0</v>
      </c>
      <c r="AA166" s="68" t="s">
        <v>46</v>
      </c>
      <c r="AB166" s="69" t="s">
        <v>46</v>
      </c>
      <c r="AC166" s="201" t="s">
        <v>262</v>
      </c>
      <c r="AG166" s="81"/>
      <c r="AJ166" s="87" t="s">
        <v>113</v>
      </c>
      <c r="AK166" s="87">
        <v>14</v>
      </c>
      <c r="BB166" s="202" t="s">
        <v>110</v>
      </c>
      <c r="BM166" s="81">
        <f>IFERROR(X166*I166,"0")</f>
        <v>0</v>
      </c>
      <c r="BN166" s="81">
        <f>IFERROR(Y166*I166,"0")</f>
        <v>0</v>
      </c>
      <c r="BO166" s="81">
        <f>IFERROR(X166/J166,"0")</f>
        <v>0</v>
      </c>
      <c r="BP166" s="81">
        <f>IFERROR(Y166/J166,"0")</f>
        <v>0</v>
      </c>
    </row>
    <row r="167" spans="1:68" x14ac:dyDescent="0.2">
      <c r="A167" s="360"/>
      <c r="B167" s="360"/>
      <c r="C167" s="360"/>
      <c r="D167" s="360"/>
      <c r="E167" s="360"/>
      <c r="F167" s="360"/>
      <c r="G167" s="360"/>
      <c r="H167" s="360"/>
      <c r="I167" s="360"/>
      <c r="J167" s="360"/>
      <c r="K167" s="360"/>
      <c r="L167" s="360"/>
      <c r="M167" s="360"/>
      <c r="N167" s="360"/>
      <c r="O167" s="361"/>
      <c r="P167" s="357" t="s">
        <v>40</v>
      </c>
      <c r="Q167" s="358"/>
      <c r="R167" s="358"/>
      <c r="S167" s="358"/>
      <c r="T167" s="358"/>
      <c r="U167" s="358"/>
      <c r="V167" s="359"/>
      <c r="W167" s="42" t="s">
        <v>39</v>
      </c>
      <c r="X167" s="43">
        <f>IFERROR(SUM(X166:X166),"0")</f>
        <v>0</v>
      </c>
      <c r="Y167" s="43">
        <f>IFERROR(SUM(Y166:Y166),"0")</f>
        <v>0</v>
      </c>
      <c r="Z167" s="43">
        <f>IFERROR(IF(Z166="",0,Z166),"0")</f>
        <v>0</v>
      </c>
      <c r="AA167" s="67"/>
      <c r="AB167" s="67"/>
      <c r="AC167" s="67"/>
    </row>
    <row r="168" spans="1:68" x14ac:dyDescent="0.2">
      <c r="A168" s="360"/>
      <c r="B168" s="360"/>
      <c r="C168" s="360"/>
      <c r="D168" s="360"/>
      <c r="E168" s="360"/>
      <c r="F168" s="360"/>
      <c r="G168" s="360"/>
      <c r="H168" s="360"/>
      <c r="I168" s="360"/>
      <c r="J168" s="360"/>
      <c r="K168" s="360"/>
      <c r="L168" s="360"/>
      <c r="M168" s="360"/>
      <c r="N168" s="360"/>
      <c r="O168" s="361"/>
      <c r="P168" s="357" t="s">
        <v>40</v>
      </c>
      <c r="Q168" s="358"/>
      <c r="R168" s="358"/>
      <c r="S168" s="358"/>
      <c r="T168" s="358"/>
      <c r="U168" s="358"/>
      <c r="V168" s="359"/>
      <c r="W168" s="42" t="s">
        <v>0</v>
      </c>
      <c r="X168" s="43">
        <f>IFERROR(SUMPRODUCT(X166:X166*H166:H166),"0")</f>
        <v>0</v>
      </c>
      <c r="Y168" s="43">
        <f>IFERROR(SUMPRODUCT(Y166:Y166*H166:H166),"0")</f>
        <v>0</v>
      </c>
      <c r="Z168" s="42"/>
      <c r="AA168" s="67"/>
      <c r="AB168" s="67"/>
      <c r="AC168" s="67"/>
    </row>
    <row r="169" spans="1:68" ht="27.75" customHeight="1" x14ac:dyDescent="0.2">
      <c r="A169" s="345" t="s">
        <v>263</v>
      </c>
      <c r="B169" s="345"/>
      <c r="C169" s="345"/>
      <c r="D169" s="345"/>
      <c r="E169" s="345"/>
      <c r="F169" s="345"/>
      <c r="G169" s="345"/>
      <c r="H169" s="345"/>
      <c r="I169" s="345"/>
      <c r="J169" s="345"/>
      <c r="K169" s="345"/>
      <c r="L169" s="345"/>
      <c r="M169" s="345"/>
      <c r="N169" s="345"/>
      <c r="O169" s="345"/>
      <c r="P169" s="345"/>
      <c r="Q169" s="345"/>
      <c r="R169" s="345"/>
      <c r="S169" s="345"/>
      <c r="T169" s="345"/>
      <c r="U169" s="345"/>
      <c r="V169" s="345"/>
      <c r="W169" s="345"/>
      <c r="X169" s="345"/>
      <c r="Y169" s="345"/>
      <c r="Z169" s="345"/>
      <c r="AA169" s="54"/>
      <c r="AB169" s="54"/>
      <c r="AC169" s="54"/>
    </row>
    <row r="170" spans="1:68" ht="16.5" customHeight="1" x14ac:dyDescent="0.25">
      <c r="A170" s="346" t="s">
        <v>264</v>
      </c>
      <c r="B170" s="346"/>
      <c r="C170" s="346"/>
      <c r="D170" s="346"/>
      <c r="E170" s="346"/>
      <c r="F170" s="346"/>
      <c r="G170" s="346"/>
      <c r="H170" s="346"/>
      <c r="I170" s="346"/>
      <c r="J170" s="346"/>
      <c r="K170" s="346"/>
      <c r="L170" s="346"/>
      <c r="M170" s="346"/>
      <c r="N170" s="346"/>
      <c r="O170" s="346"/>
      <c r="P170" s="346"/>
      <c r="Q170" s="346"/>
      <c r="R170" s="346"/>
      <c r="S170" s="346"/>
      <c r="T170" s="346"/>
      <c r="U170" s="346"/>
      <c r="V170" s="346"/>
      <c r="W170" s="346"/>
      <c r="X170" s="346"/>
      <c r="Y170" s="346"/>
      <c r="Z170" s="346"/>
      <c r="AA170" s="65"/>
      <c r="AB170" s="65"/>
      <c r="AC170" s="82"/>
    </row>
    <row r="171" spans="1:68" ht="14.25" customHeight="1" x14ac:dyDescent="0.25">
      <c r="A171" s="347" t="s">
        <v>81</v>
      </c>
      <c r="B171" s="347"/>
      <c r="C171" s="347"/>
      <c r="D171" s="347"/>
      <c r="E171" s="347"/>
      <c r="F171" s="347"/>
      <c r="G171" s="347"/>
      <c r="H171" s="347"/>
      <c r="I171" s="347"/>
      <c r="J171" s="347"/>
      <c r="K171" s="347"/>
      <c r="L171" s="347"/>
      <c r="M171" s="347"/>
      <c r="N171" s="347"/>
      <c r="O171" s="347"/>
      <c r="P171" s="347"/>
      <c r="Q171" s="347"/>
      <c r="R171" s="347"/>
      <c r="S171" s="347"/>
      <c r="T171" s="347"/>
      <c r="U171" s="347"/>
      <c r="V171" s="347"/>
      <c r="W171" s="347"/>
      <c r="X171" s="347"/>
      <c r="Y171" s="347"/>
      <c r="Z171" s="347"/>
      <c r="AA171" s="66"/>
      <c r="AB171" s="66"/>
      <c r="AC171" s="83"/>
    </row>
    <row r="172" spans="1:68" ht="16.5" customHeight="1" x14ac:dyDescent="0.25">
      <c r="A172" s="63" t="s">
        <v>265</v>
      </c>
      <c r="B172" s="63" t="s">
        <v>266</v>
      </c>
      <c r="C172" s="36">
        <v>4301071062</v>
      </c>
      <c r="D172" s="348">
        <v>4607111036384</v>
      </c>
      <c r="E172" s="348"/>
      <c r="F172" s="62">
        <v>5</v>
      </c>
      <c r="G172" s="37">
        <v>1</v>
      </c>
      <c r="H172" s="62">
        <v>5</v>
      </c>
      <c r="I172" s="62">
        <v>5.2106000000000003</v>
      </c>
      <c r="J172" s="37">
        <v>144</v>
      </c>
      <c r="K172" s="37" t="s">
        <v>86</v>
      </c>
      <c r="L172" s="37" t="s">
        <v>87</v>
      </c>
      <c r="M172" s="38" t="s">
        <v>85</v>
      </c>
      <c r="N172" s="38"/>
      <c r="O172" s="37">
        <v>180</v>
      </c>
      <c r="P172" s="41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350"/>
      <c r="R172" s="350"/>
      <c r="S172" s="350"/>
      <c r="T172" s="351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IFERROR(IF(X172="","",X172*0.00866),"")</f>
        <v>0</v>
      </c>
      <c r="AA172" s="68" t="s">
        <v>46</v>
      </c>
      <c r="AB172" s="69" t="s">
        <v>46</v>
      </c>
      <c r="AC172" s="203" t="s">
        <v>267</v>
      </c>
      <c r="AG172" s="81"/>
      <c r="AJ172" s="87" t="s">
        <v>88</v>
      </c>
      <c r="AK172" s="87">
        <v>1</v>
      </c>
      <c r="BB172" s="204" t="s">
        <v>70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ht="27" customHeight="1" x14ac:dyDescent="0.25">
      <c r="A173" s="63" t="s">
        <v>268</v>
      </c>
      <c r="B173" s="63" t="s">
        <v>269</v>
      </c>
      <c r="C173" s="36">
        <v>4301071050</v>
      </c>
      <c r="D173" s="348">
        <v>4607111036216</v>
      </c>
      <c r="E173" s="348"/>
      <c r="F173" s="62">
        <v>5</v>
      </c>
      <c r="G173" s="37">
        <v>1</v>
      </c>
      <c r="H173" s="62">
        <v>5</v>
      </c>
      <c r="I173" s="62">
        <v>5.2131999999999996</v>
      </c>
      <c r="J173" s="37">
        <v>144</v>
      </c>
      <c r="K173" s="37" t="s">
        <v>86</v>
      </c>
      <c r="L173" s="37" t="s">
        <v>112</v>
      </c>
      <c r="M173" s="38" t="s">
        <v>85</v>
      </c>
      <c r="N173" s="38"/>
      <c r="O173" s="37">
        <v>180</v>
      </c>
      <c r="P173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350"/>
      <c r="R173" s="350"/>
      <c r="S173" s="350"/>
      <c r="T173" s="351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270</v>
      </c>
      <c r="AG173" s="81"/>
      <c r="AJ173" s="87" t="s">
        <v>113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x14ac:dyDescent="0.2">
      <c r="A174" s="360"/>
      <c r="B174" s="360"/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1"/>
      <c r="P174" s="357" t="s">
        <v>40</v>
      </c>
      <c r="Q174" s="358"/>
      <c r="R174" s="358"/>
      <c r="S174" s="358"/>
      <c r="T174" s="358"/>
      <c r="U174" s="358"/>
      <c r="V174" s="359"/>
      <c r="W174" s="42" t="s">
        <v>39</v>
      </c>
      <c r="X174" s="43">
        <f>IFERROR(SUM(X172:X173),"0")</f>
        <v>0</v>
      </c>
      <c r="Y174" s="43">
        <f>IFERROR(SUM(Y172:Y173),"0")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360"/>
      <c r="B175" s="360"/>
      <c r="C175" s="360"/>
      <c r="D175" s="360"/>
      <c r="E175" s="360"/>
      <c r="F175" s="360"/>
      <c r="G175" s="360"/>
      <c r="H175" s="360"/>
      <c r="I175" s="360"/>
      <c r="J175" s="360"/>
      <c r="K175" s="360"/>
      <c r="L175" s="360"/>
      <c r="M175" s="360"/>
      <c r="N175" s="360"/>
      <c r="O175" s="361"/>
      <c r="P175" s="357" t="s">
        <v>40</v>
      </c>
      <c r="Q175" s="358"/>
      <c r="R175" s="358"/>
      <c r="S175" s="358"/>
      <c r="T175" s="358"/>
      <c r="U175" s="358"/>
      <c r="V175" s="359"/>
      <c r="W175" s="42" t="s">
        <v>0</v>
      </c>
      <c r="X175" s="43">
        <f>IFERROR(SUMPRODUCT(X172:X173*H172:H173),"0")</f>
        <v>0</v>
      </c>
      <c r="Y175" s="43">
        <f>IFERROR(SUMPRODUCT(Y172:Y173*H172:H173),"0")</f>
        <v>0</v>
      </c>
      <c r="Z175" s="42"/>
      <c r="AA175" s="67"/>
      <c r="AB175" s="67"/>
      <c r="AC175" s="67"/>
    </row>
    <row r="176" spans="1:68" ht="27.75" customHeight="1" x14ac:dyDescent="0.2">
      <c r="A176" s="345" t="s">
        <v>271</v>
      </c>
      <c r="B176" s="345"/>
      <c r="C176" s="345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5"/>
      <c r="V176" s="345"/>
      <c r="W176" s="345"/>
      <c r="X176" s="345"/>
      <c r="Y176" s="345"/>
      <c r="Z176" s="345"/>
      <c r="AA176" s="54"/>
      <c r="AB176" s="54"/>
      <c r="AC176" s="54"/>
    </row>
    <row r="177" spans="1:68" ht="16.5" customHeight="1" x14ac:dyDescent="0.25">
      <c r="A177" s="346" t="s">
        <v>272</v>
      </c>
      <c r="B177" s="346"/>
      <c r="C177" s="346"/>
      <c r="D177" s="346"/>
      <c r="E177" s="346"/>
      <c r="F177" s="346"/>
      <c r="G177" s="346"/>
      <c r="H177" s="346"/>
      <c r="I177" s="346"/>
      <c r="J177" s="346"/>
      <c r="K177" s="346"/>
      <c r="L177" s="346"/>
      <c r="M177" s="346"/>
      <c r="N177" s="346"/>
      <c r="O177" s="346"/>
      <c r="P177" s="346"/>
      <c r="Q177" s="346"/>
      <c r="R177" s="346"/>
      <c r="S177" s="346"/>
      <c r="T177" s="346"/>
      <c r="U177" s="346"/>
      <c r="V177" s="346"/>
      <c r="W177" s="346"/>
      <c r="X177" s="346"/>
      <c r="Y177" s="346"/>
      <c r="Z177" s="346"/>
      <c r="AA177" s="65"/>
      <c r="AB177" s="65"/>
      <c r="AC177" s="82"/>
    </row>
    <row r="178" spans="1:68" ht="14.25" customHeight="1" x14ac:dyDescent="0.25">
      <c r="A178" s="347" t="s">
        <v>106</v>
      </c>
      <c r="B178" s="347"/>
      <c r="C178" s="347"/>
      <c r="D178" s="347"/>
      <c r="E178" s="347"/>
      <c r="F178" s="347"/>
      <c r="G178" s="347"/>
      <c r="H178" s="347"/>
      <c r="I178" s="347"/>
      <c r="J178" s="347"/>
      <c r="K178" s="347"/>
      <c r="L178" s="347"/>
      <c r="M178" s="347"/>
      <c r="N178" s="347"/>
      <c r="O178" s="347"/>
      <c r="P178" s="347"/>
      <c r="Q178" s="347"/>
      <c r="R178" s="347"/>
      <c r="S178" s="347"/>
      <c r="T178" s="347"/>
      <c r="U178" s="347"/>
      <c r="V178" s="347"/>
      <c r="W178" s="347"/>
      <c r="X178" s="347"/>
      <c r="Y178" s="347"/>
      <c r="Z178" s="347"/>
      <c r="AA178" s="66"/>
      <c r="AB178" s="66"/>
      <c r="AC178" s="83"/>
    </row>
    <row r="179" spans="1:68" ht="16.5" customHeight="1" x14ac:dyDescent="0.25">
      <c r="A179" s="63" t="s">
        <v>273</v>
      </c>
      <c r="B179" s="63" t="s">
        <v>274</v>
      </c>
      <c r="C179" s="36">
        <v>4301132179</v>
      </c>
      <c r="D179" s="348">
        <v>4607111035691</v>
      </c>
      <c r="E179" s="348"/>
      <c r="F179" s="62">
        <v>0.25</v>
      </c>
      <c r="G179" s="37">
        <v>12</v>
      </c>
      <c r="H179" s="62">
        <v>3</v>
      </c>
      <c r="I179" s="62">
        <v>3.3879999999999999</v>
      </c>
      <c r="J179" s="37">
        <v>70</v>
      </c>
      <c r="K179" s="37" t="s">
        <v>111</v>
      </c>
      <c r="L179" s="37" t="s">
        <v>112</v>
      </c>
      <c r="M179" s="38" t="s">
        <v>85</v>
      </c>
      <c r="N179" s="38"/>
      <c r="O179" s="37">
        <v>365</v>
      </c>
      <c r="P179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350"/>
      <c r="R179" s="350"/>
      <c r="S179" s="350"/>
      <c r="T179" s="351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IFERROR(IF(X179="","",X179*0.01788),"")</f>
        <v>0</v>
      </c>
      <c r="AA179" s="68" t="s">
        <v>46</v>
      </c>
      <c r="AB179" s="69" t="s">
        <v>46</v>
      </c>
      <c r="AC179" s="207" t="s">
        <v>275</v>
      </c>
      <c r="AG179" s="81"/>
      <c r="AJ179" s="87" t="s">
        <v>113</v>
      </c>
      <c r="AK179" s="87">
        <v>14</v>
      </c>
      <c r="BB179" s="208" t="s">
        <v>110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t="27" customHeight="1" x14ac:dyDescent="0.25">
      <c r="A180" s="63" t="s">
        <v>276</v>
      </c>
      <c r="B180" s="63" t="s">
        <v>277</v>
      </c>
      <c r="C180" s="36">
        <v>4301132182</v>
      </c>
      <c r="D180" s="348">
        <v>4607111035721</v>
      </c>
      <c r="E180" s="348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41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278</v>
      </c>
      <c r="AG180" s="81"/>
      <c r="AJ180" s="87" t="s">
        <v>113</v>
      </c>
      <c r="AK180" s="87">
        <v>14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279</v>
      </c>
      <c r="B181" s="63" t="s">
        <v>280</v>
      </c>
      <c r="C181" s="36">
        <v>4301132170</v>
      </c>
      <c r="D181" s="348">
        <v>4607111038487</v>
      </c>
      <c r="E181" s="348"/>
      <c r="F181" s="62">
        <v>0.25</v>
      </c>
      <c r="G181" s="37">
        <v>12</v>
      </c>
      <c r="H181" s="62">
        <v>3</v>
      </c>
      <c r="I181" s="62">
        <v>3.7360000000000002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180</v>
      </c>
      <c r="P181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350"/>
      <c r="R181" s="350"/>
      <c r="S181" s="350"/>
      <c r="T181" s="35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281</v>
      </c>
      <c r="AG181" s="81"/>
      <c r="AJ181" s="87" t="s">
        <v>113</v>
      </c>
      <c r="AK181" s="87">
        <v>14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x14ac:dyDescent="0.2">
      <c r="A182" s="360"/>
      <c r="B182" s="360"/>
      <c r="C182" s="360"/>
      <c r="D182" s="360"/>
      <c r="E182" s="360"/>
      <c r="F182" s="360"/>
      <c r="G182" s="360"/>
      <c r="H182" s="360"/>
      <c r="I182" s="360"/>
      <c r="J182" s="360"/>
      <c r="K182" s="360"/>
      <c r="L182" s="360"/>
      <c r="M182" s="360"/>
      <c r="N182" s="360"/>
      <c r="O182" s="361"/>
      <c r="P182" s="357" t="s">
        <v>40</v>
      </c>
      <c r="Q182" s="358"/>
      <c r="R182" s="358"/>
      <c r="S182" s="358"/>
      <c r="T182" s="358"/>
      <c r="U182" s="358"/>
      <c r="V182" s="359"/>
      <c r="W182" s="42" t="s">
        <v>39</v>
      </c>
      <c r="X182" s="43">
        <f>IFERROR(SUM(X179:X181),"0")</f>
        <v>0</v>
      </c>
      <c r="Y182" s="43">
        <f>IFERROR(SUM(Y179:Y181),"0")</f>
        <v>0</v>
      </c>
      <c r="Z182" s="43">
        <f>IFERROR(IF(Z179="",0,Z179),"0")+IFERROR(IF(Z180="",0,Z180),"0")+IFERROR(IF(Z181="",0,Z181),"0")</f>
        <v>0</v>
      </c>
      <c r="AA182" s="67"/>
      <c r="AB182" s="67"/>
      <c r="AC182" s="67"/>
    </row>
    <row r="183" spans="1:68" x14ac:dyDescent="0.2">
      <c r="A183" s="360"/>
      <c r="B183" s="360"/>
      <c r="C183" s="360"/>
      <c r="D183" s="360"/>
      <c r="E183" s="360"/>
      <c r="F183" s="360"/>
      <c r="G183" s="360"/>
      <c r="H183" s="360"/>
      <c r="I183" s="360"/>
      <c r="J183" s="360"/>
      <c r="K183" s="360"/>
      <c r="L183" s="360"/>
      <c r="M183" s="360"/>
      <c r="N183" s="360"/>
      <c r="O183" s="361"/>
      <c r="P183" s="357" t="s">
        <v>40</v>
      </c>
      <c r="Q183" s="358"/>
      <c r="R183" s="358"/>
      <c r="S183" s="358"/>
      <c r="T183" s="358"/>
      <c r="U183" s="358"/>
      <c r="V183" s="359"/>
      <c r="W183" s="42" t="s">
        <v>0</v>
      </c>
      <c r="X183" s="43">
        <f>IFERROR(SUMPRODUCT(X179:X181*H179:H181),"0")</f>
        <v>0</v>
      </c>
      <c r="Y183" s="43">
        <f>IFERROR(SUMPRODUCT(Y179:Y181*H179:H181),"0")</f>
        <v>0</v>
      </c>
      <c r="Z183" s="42"/>
      <c r="AA183" s="67"/>
      <c r="AB183" s="67"/>
      <c r="AC183" s="67"/>
    </row>
    <row r="184" spans="1:68" ht="14.25" customHeight="1" x14ac:dyDescent="0.25">
      <c r="A184" s="347" t="s">
        <v>282</v>
      </c>
      <c r="B184" s="347"/>
      <c r="C184" s="347"/>
      <c r="D184" s="347"/>
      <c r="E184" s="347"/>
      <c r="F184" s="347"/>
      <c r="G184" s="347"/>
      <c r="H184" s="347"/>
      <c r="I184" s="347"/>
      <c r="J184" s="347"/>
      <c r="K184" s="347"/>
      <c r="L184" s="347"/>
      <c r="M184" s="347"/>
      <c r="N184" s="347"/>
      <c r="O184" s="347"/>
      <c r="P184" s="347"/>
      <c r="Q184" s="347"/>
      <c r="R184" s="347"/>
      <c r="S184" s="347"/>
      <c r="T184" s="347"/>
      <c r="U184" s="347"/>
      <c r="V184" s="347"/>
      <c r="W184" s="347"/>
      <c r="X184" s="347"/>
      <c r="Y184" s="347"/>
      <c r="Z184" s="347"/>
      <c r="AA184" s="66"/>
      <c r="AB184" s="66"/>
      <c r="AC184" s="83"/>
    </row>
    <row r="185" spans="1:68" ht="27" customHeight="1" x14ac:dyDescent="0.25">
      <c r="A185" s="63" t="s">
        <v>283</v>
      </c>
      <c r="B185" s="63" t="s">
        <v>284</v>
      </c>
      <c r="C185" s="36">
        <v>4301051855</v>
      </c>
      <c r="D185" s="348">
        <v>4680115885875</v>
      </c>
      <c r="E185" s="348"/>
      <c r="F185" s="62">
        <v>1</v>
      </c>
      <c r="G185" s="37">
        <v>9</v>
      </c>
      <c r="H185" s="62">
        <v>9</v>
      </c>
      <c r="I185" s="62">
        <v>9.41</v>
      </c>
      <c r="J185" s="37">
        <v>64</v>
      </c>
      <c r="K185" s="37" t="s">
        <v>289</v>
      </c>
      <c r="L185" s="37" t="s">
        <v>87</v>
      </c>
      <c r="M185" s="38" t="s">
        <v>288</v>
      </c>
      <c r="N185" s="38"/>
      <c r="O185" s="37">
        <v>365</v>
      </c>
      <c r="P185" s="418" t="s">
        <v>285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IFERROR(IF(X185="","",X185*0.01898),"")</f>
        <v>0</v>
      </c>
      <c r="AA185" s="68" t="s">
        <v>46</v>
      </c>
      <c r="AB185" s="69" t="s">
        <v>46</v>
      </c>
      <c r="AC185" s="213" t="s">
        <v>286</v>
      </c>
      <c r="AG185" s="81"/>
      <c r="AJ185" s="87" t="s">
        <v>88</v>
      </c>
      <c r="AK185" s="87">
        <v>1</v>
      </c>
      <c r="BB185" s="214" t="s">
        <v>287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x14ac:dyDescent="0.2">
      <c r="A186" s="360"/>
      <c r="B186" s="360"/>
      <c r="C186" s="360"/>
      <c r="D186" s="360"/>
      <c r="E186" s="360"/>
      <c r="F186" s="360"/>
      <c r="G186" s="360"/>
      <c r="H186" s="360"/>
      <c r="I186" s="360"/>
      <c r="J186" s="360"/>
      <c r="K186" s="360"/>
      <c r="L186" s="360"/>
      <c r="M186" s="360"/>
      <c r="N186" s="360"/>
      <c r="O186" s="361"/>
      <c r="P186" s="357" t="s">
        <v>40</v>
      </c>
      <c r="Q186" s="358"/>
      <c r="R186" s="358"/>
      <c r="S186" s="358"/>
      <c r="T186" s="358"/>
      <c r="U186" s="358"/>
      <c r="V186" s="359"/>
      <c r="W186" s="42" t="s">
        <v>39</v>
      </c>
      <c r="X186" s="43">
        <f>IFERROR(SUM(X185:X185),"0")</f>
        <v>0</v>
      </c>
      <c r="Y186" s="43">
        <f>IFERROR(SUM(Y185:Y185),"0")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60"/>
      <c r="B187" s="360"/>
      <c r="C187" s="360"/>
      <c r="D187" s="360"/>
      <c r="E187" s="360"/>
      <c r="F187" s="360"/>
      <c r="G187" s="360"/>
      <c r="H187" s="360"/>
      <c r="I187" s="360"/>
      <c r="J187" s="360"/>
      <c r="K187" s="360"/>
      <c r="L187" s="360"/>
      <c r="M187" s="360"/>
      <c r="N187" s="360"/>
      <c r="O187" s="361"/>
      <c r="P187" s="357" t="s">
        <v>40</v>
      </c>
      <c r="Q187" s="358"/>
      <c r="R187" s="358"/>
      <c r="S187" s="358"/>
      <c r="T187" s="358"/>
      <c r="U187" s="358"/>
      <c r="V187" s="359"/>
      <c r="W187" s="42" t="s">
        <v>0</v>
      </c>
      <c r="X187" s="43">
        <f>IFERROR(SUMPRODUCT(X185:X185*H185:H185),"0")</f>
        <v>0</v>
      </c>
      <c r="Y187" s="43">
        <f>IFERROR(SUMPRODUCT(Y185:Y185*H185:H185),"0")</f>
        <v>0</v>
      </c>
      <c r="Z187" s="42"/>
      <c r="AA187" s="67"/>
      <c r="AB187" s="67"/>
      <c r="AC187" s="67"/>
    </row>
    <row r="188" spans="1:68" ht="27.75" customHeight="1" x14ac:dyDescent="0.2">
      <c r="A188" s="345" t="s">
        <v>290</v>
      </c>
      <c r="B188" s="345"/>
      <c r="C188" s="345"/>
      <c r="D188" s="345"/>
      <c r="E188" s="345"/>
      <c r="F188" s="345"/>
      <c r="G188" s="345"/>
      <c r="H188" s="345"/>
      <c r="I188" s="345"/>
      <c r="J188" s="345"/>
      <c r="K188" s="345"/>
      <c r="L188" s="345"/>
      <c r="M188" s="345"/>
      <c r="N188" s="345"/>
      <c r="O188" s="345"/>
      <c r="P188" s="345"/>
      <c r="Q188" s="345"/>
      <c r="R188" s="345"/>
      <c r="S188" s="345"/>
      <c r="T188" s="345"/>
      <c r="U188" s="345"/>
      <c r="V188" s="345"/>
      <c r="W188" s="345"/>
      <c r="X188" s="345"/>
      <c r="Y188" s="345"/>
      <c r="Z188" s="345"/>
      <c r="AA188" s="54"/>
      <c r="AB188" s="54"/>
      <c r="AC188" s="54"/>
    </row>
    <row r="189" spans="1:68" ht="16.5" customHeight="1" x14ac:dyDescent="0.25">
      <c r="A189" s="346" t="s">
        <v>291</v>
      </c>
      <c r="B189" s="346"/>
      <c r="C189" s="346"/>
      <c r="D189" s="346"/>
      <c r="E189" s="346"/>
      <c r="F189" s="346"/>
      <c r="G189" s="346"/>
      <c r="H189" s="346"/>
      <c r="I189" s="346"/>
      <c r="J189" s="346"/>
      <c r="K189" s="346"/>
      <c r="L189" s="346"/>
      <c r="M189" s="346"/>
      <c r="N189" s="346"/>
      <c r="O189" s="346"/>
      <c r="P189" s="346"/>
      <c r="Q189" s="346"/>
      <c r="R189" s="346"/>
      <c r="S189" s="346"/>
      <c r="T189" s="346"/>
      <c r="U189" s="346"/>
      <c r="V189" s="346"/>
      <c r="W189" s="346"/>
      <c r="X189" s="346"/>
      <c r="Y189" s="346"/>
      <c r="Z189" s="346"/>
      <c r="AA189" s="65"/>
      <c r="AB189" s="65"/>
      <c r="AC189" s="82"/>
    </row>
    <row r="190" spans="1:68" ht="14.25" customHeight="1" x14ac:dyDescent="0.25">
      <c r="A190" s="347" t="s">
        <v>106</v>
      </c>
      <c r="B190" s="347"/>
      <c r="C190" s="347"/>
      <c r="D190" s="347"/>
      <c r="E190" s="347"/>
      <c r="F190" s="347"/>
      <c r="G190" s="347"/>
      <c r="H190" s="347"/>
      <c r="I190" s="347"/>
      <c r="J190" s="347"/>
      <c r="K190" s="347"/>
      <c r="L190" s="347"/>
      <c r="M190" s="347"/>
      <c r="N190" s="347"/>
      <c r="O190" s="347"/>
      <c r="P190" s="347"/>
      <c r="Q190" s="347"/>
      <c r="R190" s="347"/>
      <c r="S190" s="347"/>
      <c r="T190" s="347"/>
      <c r="U190" s="347"/>
      <c r="V190" s="347"/>
      <c r="W190" s="347"/>
      <c r="X190" s="347"/>
      <c r="Y190" s="347"/>
      <c r="Z190" s="347"/>
      <c r="AA190" s="66"/>
      <c r="AB190" s="66"/>
      <c r="AC190" s="83"/>
    </row>
    <row r="191" spans="1:68" ht="27" customHeight="1" x14ac:dyDescent="0.25">
      <c r="A191" s="63" t="s">
        <v>292</v>
      </c>
      <c r="B191" s="63" t="s">
        <v>293</v>
      </c>
      <c r="C191" s="36">
        <v>4301132227</v>
      </c>
      <c r="D191" s="348">
        <v>4620207491133</v>
      </c>
      <c r="E191" s="348"/>
      <c r="F191" s="62">
        <v>0.23</v>
      </c>
      <c r="G191" s="37">
        <v>12</v>
      </c>
      <c r="H191" s="62">
        <v>2.76</v>
      </c>
      <c r="I191" s="62">
        <v>2.98</v>
      </c>
      <c r="J191" s="37">
        <v>70</v>
      </c>
      <c r="K191" s="37" t="s">
        <v>111</v>
      </c>
      <c r="L191" s="37" t="s">
        <v>112</v>
      </c>
      <c r="M191" s="38" t="s">
        <v>85</v>
      </c>
      <c r="N191" s="38"/>
      <c r="O191" s="37">
        <v>180</v>
      </c>
      <c r="P191" s="41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350"/>
      <c r="R191" s="350"/>
      <c r="S191" s="350"/>
      <c r="T191" s="351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15" t="s">
        <v>294</v>
      </c>
      <c r="AG191" s="81"/>
      <c r="AJ191" s="87" t="s">
        <v>113</v>
      </c>
      <c r="AK191" s="87">
        <v>14</v>
      </c>
      <c r="BB191" s="216" t="s">
        <v>110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x14ac:dyDescent="0.2">
      <c r="A192" s="360"/>
      <c r="B192" s="360"/>
      <c r="C192" s="360"/>
      <c r="D192" s="360"/>
      <c r="E192" s="360"/>
      <c r="F192" s="360"/>
      <c r="G192" s="360"/>
      <c r="H192" s="360"/>
      <c r="I192" s="360"/>
      <c r="J192" s="360"/>
      <c r="K192" s="360"/>
      <c r="L192" s="360"/>
      <c r="M192" s="360"/>
      <c r="N192" s="360"/>
      <c r="O192" s="361"/>
      <c r="P192" s="357" t="s">
        <v>40</v>
      </c>
      <c r="Q192" s="358"/>
      <c r="R192" s="358"/>
      <c r="S192" s="358"/>
      <c r="T192" s="358"/>
      <c r="U192" s="358"/>
      <c r="V192" s="359"/>
      <c r="W192" s="42" t="s">
        <v>39</v>
      </c>
      <c r="X192" s="43">
        <f>IFERROR(SUM(X191:X191),"0")</f>
        <v>0</v>
      </c>
      <c r="Y192" s="43">
        <f>IFERROR(SUM(Y191:Y191),"0")</f>
        <v>0</v>
      </c>
      <c r="Z192" s="43">
        <f>IFERROR(IF(Z191="",0,Z191),"0")</f>
        <v>0</v>
      </c>
      <c r="AA192" s="67"/>
      <c r="AB192" s="67"/>
      <c r="AC192" s="67"/>
    </row>
    <row r="193" spans="1:68" x14ac:dyDescent="0.2">
      <c r="A193" s="360"/>
      <c r="B193" s="360"/>
      <c r="C193" s="360"/>
      <c r="D193" s="360"/>
      <c r="E193" s="360"/>
      <c r="F193" s="360"/>
      <c r="G193" s="360"/>
      <c r="H193" s="360"/>
      <c r="I193" s="360"/>
      <c r="J193" s="360"/>
      <c r="K193" s="360"/>
      <c r="L193" s="360"/>
      <c r="M193" s="360"/>
      <c r="N193" s="360"/>
      <c r="O193" s="361"/>
      <c r="P193" s="357" t="s">
        <v>40</v>
      </c>
      <c r="Q193" s="358"/>
      <c r="R193" s="358"/>
      <c r="S193" s="358"/>
      <c r="T193" s="358"/>
      <c r="U193" s="358"/>
      <c r="V193" s="359"/>
      <c r="W193" s="42" t="s">
        <v>0</v>
      </c>
      <c r="X193" s="43">
        <f>IFERROR(SUMPRODUCT(X191:X191*H191:H191),"0")</f>
        <v>0</v>
      </c>
      <c r="Y193" s="43">
        <f>IFERROR(SUMPRODUCT(Y191:Y191*H191:H191),"0")</f>
        <v>0</v>
      </c>
      <c r="Z193" s="42"/>
      <c r="AA193" s="67"/>
      <c r="AB193" s="67"/>
      <c r="AC193" s="67"/>
    </row>
    <row r="194" spans="1:68" ht="14.25" customHeight="1" x14ac:dyDescent="0.25">
      <c r="A194" s="347" t="s">
        <v>150</v>
      </c>
      <c r="B194" s="347"/>
      <c r="C194" s="347"/>
      <c r="D194" s="347"/>
      <c r="E194" s="347"/>
      <c r="F194" s="347"/>
      <c r="G194" s="347"/>
      <c r="H194" s="347"/>
      <c r="I194" s="347"/>
      <c r="J194" s="347"/>
      <c r="K194" s="347"/>
      <c r="L194" s="347"/>
      <c r="M194" s="347"/>
      <c r="N194" s="347"/>
      <c r="O194" s="347"/>
      <c r="P194" s="347"/>
      <c r="Q194" s="347"/>
      <c r="R194" s="347"/>
      <c r="S194" s="347"/>
      <c r="T194" s="347"/>
      <c r="U194" s="347"/>
      <c r="V194" s="347"/>
      <c r="W194" s="347"/>
      <c r="X194" s="347"/>
      <c r="Y194" s="347"/>
      <c r="Z194" s="347"/>
      <c r="AA194" s="66"/>
      <c r="AB194" s="66"/>
      <c r="AC194" s="83"/>
    </row>
    <row r="195" spans="1:68" ht="27" customHeight="1" x14ac:dyDescent="0.25">
      <c r="A195" s="63" t="s">
        <v>295</v>
      </c>
      <c r="B195" s="63" t="s">
        <v>296</v>
      </c>
      <c r="C195" s="36">
        <v>4301135834</v>
      </c>
      <c r="D195" s="348">
        <v>4620207491188</v>
      </c>
      <c r="E195" s="348"/>
      <c r="F195" s="62">
        <v>0.2</v>
      </c>
      <c r="G195" s="37">
        <v>12</v>
      </c>
      <c r="H195" s="62">
        <v>2.4</v>
      </c>
      <c r="I195" s="62">
        <v>3.1036000000000001</v>
      </c>
      <c r="J195" s="37">
        <v>70</v>
      </c>
      <c r="K195" s="37" t="s">
        <v>111</v>
      </c>
      <c r="L195" s="37" t="s">
        <v>87</v>
      </c>
      <c r="M195" s="38" t="s">
        <v>85</v>
      </c>
      <c r="N195" s="38"/>
      <c r="O195" s="37">
        <v>180</v>
      </c>
      <c r="P195" s="42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17" t="s">
        <v>297</v>
      </c>
      <c r="AG195" s="81"/>
      <c r="AJ195" s="87" t="s">
        <v>88</v>
      </c>
      <c r="AK195" s="87">
        <v>1</v>
      </c>
      <c r="BB195" s="218" t="s">
        <v>110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298</v>
      </c>
      <c r="B196" s="63" t="s">
        <v>299</v>
      </c>
      <c r="C196" s="36">
        <v>4301135707</v>
      </c>
      <c r="D196" s="348">
        <v>4620207490198</v>
      </c>
      <c r="E196" s="348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421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50"/>
      <c r="R196" s="350"/>
      <c r="S196" s="350"/>
      <c r="T196" s="351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300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301</v>
      </c>
      <c r="B197" s="63" t="s">
        <v>302</v>
      </c>
      <c r="C197" s="36">
        <v>4301135829</v>
      </c>
      <c r="D197" s="348">
        <v>4620207490235</v>
      </c>
      <c r="E197" s="348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87</v>
      </c>
      <c r="M197" s="38" t="s">
        <v>85</v>
      </c>
      <c r="N197" s="38"/>
      <c r="O197" s="37">
        <v>180</v>
      </c>
      <c r="P197" s="422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350"/>
      <c r="R197" s="350"/>
      <c r="S197" s="350"/>
      <c r="T197" s="351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303</v>
      </c>
      <c r="AG197" s="81"/>
      <c r="AJ197" s="87" t="s">
        <v>88</v>
      </c>
      <c r="AK197" s="87">
        <v>1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304</v>
      </c>
      <c r="B198" s="63" t="s">
        <v>305</v>
      </c>
      <c r="C198" s="36">
        <v>4301135697</v>
      </c>
      <c r="D198" s="348">
        <v>4620207490259</v>
      </c>
      <c r="E198" s="348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42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50"/>
      <c r="R198" s="350"/>
      <c r="S198" s="350"/>
      <c r="T198" s="351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300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4301135681</v>
      </c>
      <c r="D199" s="348">
        <v>4620207490143</v>
      </c>
      <c r="E199" s="348"/>
      <c r="F199" s="62">
        <v>0.22</v>
      </c>
      <c r="G199" s="37">
        <v>12</v>
      </c>
      <c r="H199" s="62">
        <v>2.64</v>
      </c>
      <c r="I199" s="62">
        <v>3.3435999999999999</v>
      </c>
      <c r="J199" s="37">
        <v>70</v>
      </c>
      <c r="K199" s="37" t="s">
        <v>111</v>
      </c>
      <c r="L199" s="37" t="s">
        <v>87</v>
      </c>
      <c r="M199" s="38" t="s">
        <v>85</v>
      </c>
      <c r="N199" s="38"/>
      <c r="O199" s="37">
        <v>180</v>
      </c>
      <c r="P199" s="42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50"/>
      <c r="R199" s="350"/>
      <c r="S199" s="350"/>
      <c r="T199" s="351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308</v>
      </c>
      <c r="AG199" s="81"/>
      <c r="AJ199" s="87" t="s">
        <v>88</v>
      </c>
      <c r="AK199" s="87">
        <v>1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360"/>
      <c r="B200" s="360"/>
      <c r="C200" s="360"/>
      <c r="D200" s="360"/>
      <c r="E200" s="360"/>
      <c r="F200" s="360"/>
      <c r="G200" s="360"/>
      <c r="H200" s="360"/>
      <c r="I200" s="360"/>
      <c r="J200" s="360"/>
      <c r="K200" s="360"/>
      <c r="L200" s="360"/>
      <c r="M200" s="360"/>
      <c r="N200" s="360"/>
      <c r="O200" s="361"/>
      <c r="P200" s="357" t="s">
        <v>40</v>
      </c>
      <c r="Q200" s="358"/>
      <c r="R200" s="358"/>
      <c r="S200" s="358"/>
      <c r="T200" s="358"/>
      <c r="U200" s="358"/>
      <c r="V200" s="359"/>
      <c r="W200" s="42" t="s">
        <v>39</v>
      </c>
      <c r="X200" s="43">
        <f>IFERROR(SUM(X195:X199),"0")</f>
        <v>0</v>
      </c>
      <c r="Y200" s="43">
        <f>IFERROR(SUM(Y195:Y199),"0")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60"/>
      <c r="B201" s="360"/>
      <c r="C201" s="360"/>
      <c r="D201" s="360"/>
      <c r="E201" s="360"/>
      <c r="F201" s="360"/>
      <c r="G201" s="360"/>
      <c r="H201" s="360"/>
      <c r="I201" s="360"/>
      <c r="J201" s="360"/>
      <c r="K201" s="360"/>
      <c r="L201" s="360"/>
      <c r="M201" s="360"/>
      <c r="N201" s="360"/>
      <c r="O201" s="361"/>
      <c r="P201" s="357" t="s">
        <v>40</v>
      </c>
      <c r="Q201" s="358"/>
      <c r="R201" s="358"/>
      <c r="S201" s="358"/>
      <c r="T201" s="358"/>
      <c r="U201" s="358"/>
      <c r="V201" s="359"/>
      <c r="W201" s="42" t="s">
        <v>0</v>
      </c>
      <c r="X201" s="43">
        <f>IFERROR(SUMPRODUCT(X195:X199*H195:H199),"0")</f>
        <v>0</v>
      </c>
      <c r="Y201" s="43">
        <f>IFERROR(SUMPRODUCT(Y195:Y199*H195:H199),"0")</f>
        <v>0</v>
      </c>
      <c r="Z201" s="42"/>
      <c r="AA201" s="67"/>
      <c r="AB201" s="67"/>
      <c r="AC201" s="67"/>
    </row>
    <row r="202" spans="1:68" ht="16.5" customHeight="1" x14ac:dyDescent="0.25">
      <c r="A202" s="346" t="s">
        <v>309</v>
      </c>
      <c r="B202" s="346"/>
      <c r="C202" s="346"/>
      <c r="D202" s="346"/>
      <c r="E202" s="346"/>
      <c r="F202" s="346"/>
      <c r="G202" s="346"/>
      <c r="H202" s="346"/>
      <c r="I202" s="346"/>
      <c r="J202" s="346"/>
      <c r="K202" s="346"/>
      <c r="L202" s="346"/>
      <c r="M202" s="346"/>
      <c r="N202" s="346"/>
      <c r="O202" s="346"/>
      <c r="P202" s="346"/>
      <c r="Q202" s="346"/>
      <c r="R202" s="346"/>
      <c r="S202" s="346"/>
      <c r="T202" s="346"/>
      <c r="U202" s="346"/>
      <c r="V202" s="346"/>
      <c r="W202" s="346"/>
      <c r="X202" s="346"/>
      <c r="Y202" s="346"/>
      <c r="Z202" s="346"/>
      <c r="AA202" s="65"/>
      <c r="AB202" s="65"/>
      <c r="AC202" s="82"/>
    </row>
    <row r="203" spans="1:68" ht="14.25" customHeight="1" x14ac:dyDescent="0.25">
      <c r="A203" s="347" t="s">
        <v>81</v>
      </c>
      <c r="B203" s="347"/>
      <c r="C203" s="347"/>
      <c r="D203" s="347"/>
      <c r="E203" s="347"/>
      <c r="F203" s="347"/>
      <c r="G203" s="347"/>
      <c r="H203" s="347"/>
      <c r="I203" s="347"/>
      <c r="J203" s="347"/>
      <c r="K203" s="347"/>
      <c r="L203" s="347"/>
      <c r="M203" s="347"/>
      <c r="N203" s="347"/>
      <c r="O203" s="347"/>
      <c r="P203" s="347"/>
      <c r="Q203" s="347"/>
      <c r="R203" s="347"/>
      <c r="S203" s="347"/>
      <c r="T203" s="347"/>
      <c r="U203" s="347"/>
      <c r="V203" s="347"/>
      <c r="W203" s="347"/>
      <c r="X203" s="347"/>
      <c r="Y203" s="347"/>
      <c r="Z203" s="347"/>
      <c r="AA203" s="66"/>
      <c r="AB203" s="66"/>
      <c r="AC203" s="83"/>
    </row>
    <row r="204" spans="1:68" ht="27" customHeight="1" x14ac:dyDescent="0.25">
      <c r="A204" s="63" t="s">
        <v>310</v>
      </c>
      <c r="B204" s="63" t="s">
        <v>311</v>
      </c>
      <c r="C204" s="36">
        <v>4301071097</v>
      </c>
      <c r="D204" s="348">
        <v>4620207491096</v>
      </c>
      <c r="E204" s="348"/>
      <c r="F204" s="62">
        <v>1</v>
      </c>
      <c r="G204" s="37">
        <v>5</v>
      </c>
      <c r="H204" s="62">
        <v>5</v>
      </c>
      <c r="I204" s="62">
        <v>5.23</v>
      </c>
      <c r="J204" s="37">
        <v>84</v>
      </c>
      <c r="K204" s="37" t="s">
        <v>86</v>
      </c>
      <c r="L204" s="37" t="s">
        <v>112</v>
      </c>
      <c r="M204" s="38" t="s">
        <v>85</v>
      </c>
      <c r="N204" s="38"/>
      <c r="O204" s="37">
        <v>180</v>
      </c>
      <c r="P204" s="42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350"/>
      <c r="R204" s="350"/>
      <c r="S204" s="350"/>
      <c r="T204" s="351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IFERROR(IF(X204="","",X204*0.0155),"")</f>
        <v>0</v>
      </c>
      <c r="AA204" s="68" t="s">
        <v>46</v>
      </c>
      <c r="AB204" s="69" t="s">
        <v>46</v>
      </c>
      <c r="AC204" s="227" t="s">
        <v>312</v>
      </c>
      <c r="AG204" s="81"/>
      <c r="AJ204" s="87" t="s">
        <v>113</v>
      </c>
      <c r="AK204" s="87">
        <v>12</v>
      </c>
      <c r="BB204" s="228" t="s">
        <v>70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x14ac:dyDescent="0.2">
      <c r="A205" s="360"/>
      <c r="B205" s="360"/>
      <c r="C205" s="360"/>
      <c r="D205" s="360"/>
      <c r="E205" s="360"/>
      <c r="F205" s="360"/>
      <c r="G205" s="360"/>
      <c r="H205" s="360"/>
      <c r="I205" s="360"/>
      <c r="J205" s="360"/>
      <c r="K205" s="360"/>
      <c r="L205" s="360"/>
      <c r="M205" s="360"/>
      <c r="N205" s="360"/>
      <c r="O205" s="361"/>
      <c r="P205" s="357" t="s">
        <v>40</v>
      </c>
      <c r="Q205" s="358"/>
      <c r="R205" s="358"/>
      <c r="S205" s="358"/>
      <c r="T205" s="358"/>
      <c r="U205" s="358"/>
      <c r="V205" s="359"/>
      <c r="W205" s="42" t="s">
        <v>39</v>
      </c>
      <c r="X205" s="43">
        <f>IFERROR(SUM(X204:X204),"0")</f>
        <v>0</v>
      </c>
      <c r="Y205" s="43">
        <f>IFERROR(SUM(Y204:Y204),"0")</f>
        <v>0</v>
      </c>
      <c r="Z205" s="43">
        <f>IFERROR(IF(Z204="",0,Z204),"0")</f>
        <v>0</v>
      </c>
      <c r="AA205" s="67"/>
      <c r="AB205" s="67"/>
      <c r="AC205" s="67"/>
    </row>
    <row r="206" spans="1:68" x14ac:dyDescent="0.2">
      <c r="A206" s="360"/>
      <c r="B206" s="360"/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1"/>
      <c r="P206" s="357" t="s">
        <v>40</v>
      </c>
      <c r="Q206" s="358"/>
      <c r="R206" s="358"/>
      <c r="S206" s="358"/>
      <c r="T206" s="358"/>
      <c r="U206" s="358"/>
      <c r="V206" s="359"/>
      <c r="W206" s="42" t="s">
        <v>0</v>
      </c>
      <c r="X206" s="43">
        <f>IFERROR(SUMPRODUCT(X204:X204*H204:H204),"0")</f>
        <v>0</v>
      </c>
      <c r="Y206" s="43">
        <f>IFERROR(SUMPRODUCT(Y204:Y204*H204:H204),"0")</f>
        <v>0</v>
      </c>
      <c r="Z206" s="42"/>
      <c r="AA206" s="67"/>
      <c r="AB206" s="67"/>
      <c r="AC206" s="67"/>
    </row>
    <row r="207" spans="1:68" ht="16.5" customHeight="1" x14ac:dyDescent="0.25">
      <c r="A207" s="346" t="s">
        <v>313</v>
      </c>
      <c r="B207" s="346"/>
      <c r="C207" s="346"/>
      <c r="D207" s="346"/>
      <c r="E207" s="346"/>
      <c r="F207" s="346"/>
      <c r="G207" s="346"/>
      <c r="H207" s="346"/>
      <c r="I207" s="346"/>
      <c r="J207" s="346"/>
      <c r="K207" s="346"/>
      <c r="L207" s="346"/>
      <c r="M207" s="346"/>
      <c r="N207" s="346"/>
      <c r="O207" s="346"/>
      <c r="P207" s="346"/>
      <c r="Q207" s="346"/>
      <c r="R207" s="346"/>
      <c r="S207" s="346"/>
      <c r="T207" s="346"/>
      <c r="U207" s="346"/>
      <c r="V207" s="346"/>
      <c r="W207" s="346"/>
      <c r="X207" s="346"/>
      <c r="Y207" s="346"/>
      <c r="Z207" s="346"/>
      <c r="AA207" s="65"/>
      <c r="AB207" s="65"/>
      <c r="AC207" s="82"/>
    </row>
    <row r="208" spans="1:68" ht="14.25" customHeight="1" x14ac:dyDescent="0.25">
      <c r="A208" s="347" t="s">
        <v>81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314</v>
      </c>
      <c r="B209" s="63" t="s">
        <v>315</v>
      </c>
      <c r="C209" s="36">
        <v>4301071093</v>
      </c>
      <c r="D209" s="348">
        <v>4620207490709</v>
      </c>
      <c r="E209" s="348"/>
      <c r="F209" s="62">
        <v>0.65</v>
      </c>
      <c r="G209" s="37">
        <v>8</v>
      </c>
      <c r="H209" s="62">
        <v>5.2</v>
      </c>
      <c r="I209" s="62">
        <v>5.47</v>
      </c>
      <c r="J209" s="37">
        <v>84</v>
      </c>
      <c r="K209" s="37" t="s">
        <v>86</v>
      </c>
      <c r="L209" s="37" t="s">
        <v>87</v>
      </c>
      <c r="M209" s="38" t="s">
        <v>85</v>
      </c>
      <c r="N209" s="38"/>
      <c r="O209" s="37">
        <v>180</v>
      </c>
      <c r="P209" s="426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IFERROR(IF(X209="","",X209*0.0155),"")</f>
        <v>0</v>
      </c>
      <c r="AA209" s="68" t="s">
        <v>46</v>
      </c>
      <c r="AB209" s="69" t="s">
        <v>46</v>
      </c>
      <c r="AC209" s="229" t="s">
        <v>316</v>
      </c>
      <c r="AG209" s="81"/>
      <c r="AJ209" s="87" t="s">
        <v>88</v>
      </c>
      <c r="AK209" s="87">
        <v>1</v>
      </c>
      <c r="BB209" s="230" t="s">
        <v>70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60"/>
      <c r="B210" s="360"/>
      <c r="C210" s="360"/>
      <c r="D210" s="360"/>
      <c r="E210" s="360"/>
      <c r="F210" s="360"/>
      <c r="G210" s="360"/>
      <c r="H210" s="360"/>
      <c r="I210" s="360"/>
      <c r="J210" s="360"/>
      <c r="K210" s="360"/>
      <c r="L210" s="360"/>
      <c r="M210" s="360"/>
      <c r="N210" s="360"/>
      <c r="O210" s="361"/>
      <c r="P210" s="357" t="s">
        <v>40</v>
      </c>
      <c r="Q210" s="358"/>
      <c r="R210" s="358"/>
      <c r="S210" s="358"/>
      <c r="T210" s="358"/>
      <c r="U210" s="358"/>
      <c r="V210" s="359"/>
      <c r="W210" s="42" t="s">
        <v>39</v>
      </c>
      <c r="X210" s="43">
        <f>IFERROR(SUM(X209:X209),"0")</f>
        <v>0</v>
      </c>
      <c r="Y210" s="43">
        <f>IFERROR(SUM(Y209:Y209),"0")</f>
        <v>0</v>
      </c>
      <c r="Z210" s="43">
        <f>IFERROR(IF(Z209="",0,Z209),"0")</f>
        <v>0</v>
      </c>
      <c r="AA210" s="67"/>
      <c r="AB210" s="67"/>
      <c r="AC210" s="67"/>
    </row>
    <row r="211" spans="1:68" x14ac:dyDescent="0.2">
      <c r="A211" s="360"/>
      <c r="B211" s="360"/>
      <c r="C211" s="360"/>
      <c r="D211" s="360"/>
      <c r="E211" s="360"/>
      <c r="F211" s="360"/>
      <c r="G211" s="360"/>
      <c r="H211" s="360"/>
      <c r="I211" s="360"/>
      <c r="J211" s="360"/>
      <c r="K211" s="360"/>
      <c r="L211" s="360"/>
      <c r="M211" s="360"/>
      <c r="N211" s="360"/>
      <c r="O211" s="361"/>
      <c r="P211" s="357" t="s">
        <v>40</v>
      </c>
      <c r="Q211" s="358"/>
      <c r="R211" s="358"/>
      <c r="S211" s="358"/>
      <c r="T211" s="358"/>
      <c r="U211" s="358"/>
      <c r="V211" s="359"/>
      <c r="W211" s="42" t="s">
        <v>0</v>
      </c>
      <c r="X211" s="43">
        <f>IFERROR(SUMPRODUCT(X209:X209*H209:H209),"0")</f>
        <v>0</v>
      </c>
      <c r="Y211" s="43">
        <f>IFERROR(SUMPRODUCT(Y209:Y209*H209:H209),"0")</f>
        <v>0</v>
      </c>
      <c r="Z211" s="42"/>
      <c r="AA211" s="67"/>
      <c r="AB211" s="67"/>
      <c r="AC211" s="67"/>
    </row>
    <row r="212" spans="1:68" ht="14.25" customHeight="1" x14ac:dyDescent="0.25">
      <c r="A212" s="347" t="s">
        <v>150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6"/>
      <c r="AB212" s="66"/>
      <c r="AC212" s="83"/>
    </row>
    <row r="213" spans="1:68" ht="27" customHeight="1" x14ac:dyDescent="0.25">
      <c r="A213" s="63" t="s">
        <v>317</v>
      </c>
      <c r="B213" s="63" t="s">
        <v>318</v>
      </c>
      <c r="C213" s="36">
        <v>4301135691</v>
      </c>
      <c r="D213" s="348">
        <v>4620207490549</v>
      </c>
      <c r="E213" s="34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111</v>
      </c>
      <c r="L213" s="37" t="s">
        <v>87</v>
      </c>
      <c r="M213" s="38" t="s">
        <v>85</v>
      </c>
      <c r="N213" s="38"/>
      <c r="O213" s="37">
        <v>180</v>
      </c>
      <c r="P213" s="42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350"/>
      <c r="R213" s="350"/>
      <c r="S213" s="350"/>
      <c r="T213" s="351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IFERROR(IF(X213="","",X213*0.01788),"")</f>
        <v>0</v>
      </c>
      <c r="AA213" s="68" t="s">
        <v>46</v>
      </c>
      <c r="AB213" s="69" t="s">
        <v>46</v>
      </c>
      <c r="AC213" s="231" t="s">
        <v>319</v>
      </c>
      <c r="AG213" s="81"/>
      <c r="AJ213" s="87" t="s">
        <v>88</v>
      </c>
      <c r="AK213" s="87">
        <v>1</v>
      </c>
      <c r="BB213" s="232" t="s">
        <v>110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27" customHeight="1" x14ac:dyDescent="0.25">
      <c r="A214" s="63" t="s">
        <v>320</v>
      </c>
      <c r="B214" s="63" t="s">
        <v>321</v>
      </c>
      <c r="C214" s="36">
        <v>4301135694</v>
      </c>
      <c r="D214" s="348">
        <v>4620207490501</v>
      </c>
      <c r="E214" s="34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111</v>
      </c>
      <c r="L214" s="37" t="s">
        <v>87</v>
      </c>
      <c r="M214" s="38" t="s">
        <v>85</v>
      </c>
      <c r="N214" s="38"/>
      <c r="O214" s="37">
        <v>180</v>
      </c>
      <c r="P214" s="4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350"/>
      <c r="R214" s="350"/>
      <c r="S214" s="350"/>
      <c r="T214" s="35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3" t="s">
        <v>319</v>
      </c>
      <c r="AG214" s="81"/>
      <c r="AJ214" s="87" t="s">
        <v>88</v>
      </c>
      <c r="AK214" s="87">
        <v>1</v>
      </c>
      <c r="BB214" s="234" t="s">
        <v>110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60"/>
      <c r="B215" s="360"/>
      <c r="C215" s="360"/>
      <c r="D215" s="360"/>
      <c r="E215" s="360"/>
      <c r="F215" s="360"/>
      <c r="G215" s="360"/>
      <c r="H215" s="360"/>
      <c r="I215" s="360"/>
      <c r="J215" s="360"/>
      <c r="K215" s="360"/>
      <c r="L215" s="360"/>
      <c r="M215" s="360"/>
      <c r="N215" s="360"/>
      <c r="O215" s="361"/>
      <c r="P215" s="357" t="s">
        <v>40</v>
      </c>
      <c r="Q215" s="358"/>
      <c r="R215" s="358"/>
      <c r="S215" s="358"/>
      <c r="T215" s="358"/>
      <c r="U215" s="358"/>
      <c r="V215" s="359"/>
      <c r="W215" s="42" t="s">
        <v>39</v>
      </c>
      <c r="X215" s="43">
        <f>IFERROR(SUM(X213:X214),"0")</f>
        <v>0</v>
      </c>
      <c r="Y215" s="43">
        <f>IFERROR(SUM(Y213:Y214),"0")</f>
        <v>0</v>
      </c>
      <c r="Z215" s="43">
        <f>IFERROR(IF(Z213="",0,Z213),"0")+IFERROR(IF(Z214="",0,Z214),"0")</f>
        <v>0</v>
      </c>
      <c r="AA215" s="67"/>
      <c r="AB215" s="67"/>
      <c r="AC215" s="67"/>
    </row>
    <row r="216" spans="1:68" x14ac:dyDescent="0.2">
      <c r="A216" s="360"/>
      <c r="B216" s="360"/>
      <c r="C216" s="360"/>
      <c r="D216" s="360"/>
      <c r="E216" s="360"/>
      <c r="F216" s="360"/>
      <c r="G216" s="360"/>
      <c r="H216" s="360"/>
      <c r="I216" s="360"/>
      <c r="J216" s="360"/>
      <c r="K216" s="360"/>
      <c r="L216" s="360"/>
      <c r="M216" s="360"/>
      <c r="N216" s="360"/>
      <c r="O216" s="361"/>
      <c r="P216" s="357" t="s">
        <v>40</v>
      </c>
      <c r="Q216" s="358"/>
      <c r="R216" s="358"/>
      <c r="S216" s="358"/>
      <c r="T216" s="358"/>
      <c r="U216" s="358"/>
      <c r="V216" s="359"/>
      <c r="W216" s="42" t="s">
        <v>0</v>
      </c>
      <c r="X216" s="43">
        <f>IFERROR(SUMPRODUCT(X213:X214*H213:H214),"0")</f>
        <v>0</v>
      </c>
      <c r="Y216" s="43">
        <f>IFERROR(SUMPRODUCT(Y213:Y214*H213:H214),"0")</f>
        <v>0</v>
      </c>
      <c r="Z216" s="42"/>
      <c r="AA216" s="67"/>
      <c r="AB216" s="67"/>
      <c r="AC216" s="67"/>
    </row>
    <row r="217" spans="1:68" ht="27.75" customHeight="1" x14ac:dyDescent="0.2">
      <c r="A217" s="345" t="s">
        <v>322</v>
      </c>
      <c r="B217" s="345"/>
      <c r="C217" s="345"/>
      <c r="D217" s="345"/>
      <c r="E217" s="345"/>
      <c r="F217" s="345"/>
      <c r="G217" s="345"/>
      <c r="H217" s="345"/>
      <c r="I217" s="345"/>
      <c r="J217" s="345"/>
      <c r="K217" s="345"/>
      <c r="L217" s="345"/>
      <c r="M217" s="345"/>
      <c r="N217" s="345"/>
      <c r="O217" s="345"/>
      <c r="P217" s="345"/>
      <c r="Q217" s="345"/>
      <c r="R217" s="345"/>
      <c r="S217" s="345"/>
      <c r="T217" s="345"/>
      <c r="U217" s="345"/>
      <c r="V217" s="345"/>
      <c r="W217" s="345"/>
      <c r="X217" s="345"/>
      <c r="Y217" s="345"/>
      <c r="Z217" s="345"/>
      <c r="AA217" s="54"/>
      <c r="AB217" s="54"/>
      <c r="AC217" s="54"/>
    </row>
    <row r="218" spans="1:68" ht="16.5" customHeight="1" x14ac:dyDescent="0.25">
      <c r="A218" s="346" t="s">
        <v>323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65"/>
      <c r="AB218" s="65"/>
      <c r="AC218" s="82"/>
    </row>
    <row r="219" spans="1:68" ht="14.25" customHeight="1" x14ac:dyDescent="0.25">
      <c r="A219" s="347" t="s">
        <v>81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6"/>
      <c r="AB219" s="66"/>
      <c r="AC219" s="83"/>
    </row>
    <row r="220" spans="1:68" ht="27" customHeight="1" x14ac:dyDescent="0.25">
      <c r="A220" s="63" t="s">
        <v>324</v>
      </c>
      <c r="B220" s="63" t="s">
        <v>325</v>
      </c>
      <c r="C220" s="36">
        <v>4301071036</v>
      </c>
      <c r="D220" s="348">
        <v>4607111036162</v>
      </c>
      <c r="E220" s="348"/>
      <c r="F220" s="62">
        <v>0.8</v>
      </c>
      <c r="G220" s="37">
        <v>8</v>
      </c>
      <c r="H220" s="62">
        <v>6.4</v>
      </c>
      <c r="I220" s="62">
        <v>6.6811999999999996</v>
      </c>
      <c r="J220" s="37">
        <v>84</v>
      </c>
      <c r="K220" s="37" t="s">
        <v>86</v>
      </c>
      <c r="L220" s="37" t="s">
        <v>87</v>
      </c>
      <c r="M220" s="38" t="s">
        <v>85</v>
      </c>
      <c r="N220" s="38"/>
      <c r="O220" s="37">
        <v>90</v>
      </c>
      <c r="P220" s="42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350"/>
      <c r="R220" s="350"/>
      <c r="S220" s="350"/>
      <c r="T220" s="35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35" t="s">
        <v>326</v>
      </c>
      <c r="AG220" s="81"/>
      <c r="AJ220" s="87" t="s">
        <v>88</v>
      </c>
      <c r="AK220" s="87">
        <v>1</v>
      </c>
      <c r="BB220" s="236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60"/>
      <c r="B221" s="360"/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1"/>
      <c r="P221" s="357" t="s">
        <v>40</v>
      </c>
      <c r="Q221" s="358"/>
      <c r="R221" s="358"/>
      <c r="S221" s="358"/>
      <c r="T221" s="358"/>
      <c r="U221" s="358"/>
      <c r="V221" s="359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60"/>
      <c r="B222" s="360"/>
      <c r="C222" s="360"/>
      <c r="D222" s="360"/>
      <c r="E222" s="360"/>
      <c r="F222" s="360"/>
      <c r="G222" s="360"/>
      <c r="H222" s="360"/>
      <c r="I222" s="360"/>
      <c r="J222" s="360"/>
      <c r="K222" s="360"/>
      <c r="L222" s="360"/>
      <c r="M222" s="360"/>
      <c r="N222" s="360"/>
      <c r="O222" s="361"/>
      <c r="P222" s="357" t="s">
        <v>40</v>
      </c>
      <c r="Q222" s="358"/>
      <c r="R222" s="358"/>
      <c r="S222" s="358"/>
      <c r="T222" s="358"/>
      <c r="U222" s="358"/>
      <c r="V222" s="359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27.75" customHeight="1" x14ac:dyDescent="0.2">
      <c r="A223" s="345" t="s">
        <v>327</v>
      </c>
      <c r="B223" s="345"/>
      <c r="C223" s="345"/>
      <c r="D223" s="345"/>
      <c r="E223" s="345"/>
      <c r="F223" s="345"/>
      <c r="G223" s="345"/>
      <c r="H223" s="345"/>
      <c r="I223" s="345"/>
      <c r="J223" s="345"/>
      <c r="K223" s="345"/>
      <c r="L223" s="345"/>
      <c r="M223" s="345"/>
      <c r="N223" s="345"/>
      <c r="O223" s="345"/>
      <c r="P223" s="345"/>
      <c r="Q223" s="345"/>
      <c r="R223" s="345"/>
      <c r="S223" s="345"/>
      <c r="T223" s="345"/>
      <c r="U223" s="345"/>
      <c r="V223" s="345"/>
      <c r="W223" s="345"/>
      <c r="X223" s="345"/>
      <c r="Y223" s="345"/>
      <c r="Z223" s="345"/>
      <c r="AA223" s="54"/>
      <c r="AB223" s="54"/>
      <c r="AC223" s="54"/>
    </row>
    <row r="224" spans="1:68" ht="16.5" customHeight="1" x14ac:dyDescent="0.25">
      <c r="A224" s="346" t="s">
        <v>328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65"/>
      <c r="AB224" s="65"/>
      <c r="AC224" s="82"/>
    </row>
    <row r="225" spans="1:68" ht="14.25" customHeight="1" x14ac:dyDescent="0.25">
      <c r="A225" s="347" t="s">
        <v>81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4301071029</v>
      </c>
      <c r="D226" s="348">
        <v>4607111035899</v>
      </c>
      <c r="E226" s="348"/>
      <c r="F226" s="62">
        <v>1</v>
      </c>
      <c r="G226" s="37">
        <v>5</v>
      </c>
      <c r="H226" s="62">
        <v>5</v>
      </c>
      <c r="I226" s="62">
        <v>5.2619999999999996</v>
      </c>
      <c r="J226" s="37">
        <v>84</v>
      </c>
      <c r="K226" s="37" t="s">
        <v>86</v>
      </c>
      <c r="L226" s="37" t="s">
        <v>112</v>
      </c>
      <c r="M226" s="38" t="s">
        <v>85</v>
      </c>
      <c r="N226" s="38"/>
      <c r="O226" s="37">
        <v>180</v>
      </c>
      <c r="P226" s="43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350"/>
      <c r="R226" s="350"/>
      <c r="S226" s="350"/>
      <c r="T226" s="351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7" t="s">
        <v>270</v>
      </c>
      <c r="AG226" s="81"/>
      <c r="AJ226" s="87" t="s">
        <v>113</v>
      </c>
      <c r="AK226" s="87">
        <v>12</v>
      </c>
      <c r="BB226" s="238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360"/>
      <c r="B227" s="360"/>
      <c r="C227" s="360"/>
      <c r="D227" s="360"/>
      <c r="E227" s="360"/>
      <c r="F227" s="360"/>
      <c r="G227" s="360"/>
      <c r="H227" s="360"/>
      <c r="I227" s="360"/>
      <c r="J227" s="360"/>
      <c r="K227" s="360"/>
      <c r="L227" s="360"/>
      <c r="M227" s="360"/>
      <c r="N227" s="360"/>
      <c r="O227" s="361"/>
      <c r="P227" s="357" t="s">
        <v>40</v>
      </c>
      <c r="Q227" s="358"/>
      <c r="R227" s="358"/>
      <c r="S227" s="358"/>
      <c r="T227" s="358"/>
      <c r="U227" s="358"/>
      <c r="V227" s="359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360"/>
      <c r="B228" s="360"/>
      <c r="C228" s="360"/>
      <c r="D228" s="360"/>
      <c r="E228" s="360"/>
      <c r="F228" s="360"/>
      <c r="G228" s="360"/>
      <c r="H228" s="360"/>
      <c r="I228" s="360"/>
      <c r="J228" s="360"/>
      <c r="K228" s="360"/>
      <c r="L228" s="360"/>
      <c r="M228" s="360"/>
      <c r="N228" s="360"/>
      <c r="O228" s="361"/>
      <c r="P228" s="357" t="s">
        <v>40</v>
      </c>
      <c r="Q228" s="358"/>
      <c r="R228" s="358"/>
      <c r="S228" s="358"/>
      <c r="T228" s="358"/>
      <c r="U228" s="358"/>
      <c r="V228" s="359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45" t="s">
        <v>331</v>
      </c>
      <c r="B229" s="345"/>
      <c r="C229" s="345"/>
      <c r="D229" s="345"/>
      <c r="E229" s="345"/>
      <c r="F229" s="345"/>
      <c r="G229" s="345"/>
      <c r="H229" s="345"/>
      <c r="I229" s="345"/>
      <c r="J229" s="345"/>
      <c r="K229" s="345"/>
      <c r="L229" s="345"/>
      <c r="M229" s="345"/>
      <c r="N229" s="345"/>
      <c r="O229" s="345"/>
      <c r="P229" s="345"/>
      <c r="Q229" s="345"/>
      <c r="R229" s="345"/>
      <c r="S229" s="345"/>
      <c r="T229" s="345"/>
      <c r="U229" s="345"/>
      <c r="V229" s="345"/>
      <c r="W229" s="345"/>
      <c r="X229" s="345"/>
      <c r="Y229" s="345"/>
      <c r="Z229" s="345"/>
      <c r="AA229" s="54"/>
      <c r="AB229" s="54"/>
      <c r="AC229" s="54"/>
    </row>
    <row r="230" spans="1:68" ht="16.5" customHeight="1" x14ac:dyDescent="0.25">
      <c r="A230" s="346" t="s">
        <v>332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65"/>
      <c r="AB230" s="65"/>
      <c r="AC230" s="82"/>
    </row>
    <row r="231" spans="1:68" ht="14.25" customHeight="1" x14ac:dyDescent="0.25">
      <c r="A231" s="347" t="s">
        <v>333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4301133004</v>
      </c>
      <c r="D232" s="348">
        <v>4607111039774</v>
      </c>
      <c r="E232" s="348"/>
      <c r="F232" s="62">
        <v>0.25</v>
      </c>
      <c r="G232" s="37">
        <v>12</v>
      </c>
      <c r="H232" s="62">
        <v>3</v>
      </c>
      <c r="I232" s="62">
        <v>3.22</v>
      </c>
      <c r="J232" s="37">
        <v>70</v>
      </c>
      <c r="K232" s="37" t="s">
        <v>111</v>
      </c>
      <c r="L232" s="37" t="s">
        <v>87</v>
      </c>
      <c r="M232" s="38" t="s">
        <v>85</v>
      </c>
      <c r="N232" s="38"/>
      <c r="O232" s="37">
        <v>180</v>
      </c>
      <c r="P232" s="4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350"/>
      <c r="R232" s="350"/>
      <c r="S232" s="350"/>
      <c r="T232" s="351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IFERROR(IF(X232="","",X232*0.01788),"")</f>
        <v>0</v>
      </c>
      <c r="AA232" s="68" t="s">
        <v>46</v>
      </c>
      <c r="AB232" s="69" t="s">
        <v>46</v>
      </c>
      <c r="AC232" s="239" t="s">
        <v>336</v>
      </c>
      <c r="AG232" s="81"/>
      <c r="AJ232" s="87" t="s">
        <v>88</v>
      </c>
      <c r="AK232" s="87">
        <v>1</v>
      </c>
      <c r="BB232" s="240" t="s">
        <v>110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360"/>
      <c r="B233" s="360"/>
      <c r="C233" s="360"/>
      <c r="D233" s="360"/>
      <c r="E233" s="360"/>
      <c r="F233" s="360"/>
      <c r="G233" s="360"/>
      <c r="H233" s="360"/>
      <c r="I233" s="360"/>
      <c r="J233" s="360"/>
      <c r="K233" s="360"/>
      <c r="L233" s="360"/>
      <c r="M233" s="360"/>
      <c r="N233" s="360"/>
      <c r="O233" s="361"/>
      <c r="P233" s="357" t="s">
        <v>40</v>
      </c>
      <c r="Q233" s="358"/>
      <c r="R233" s="358"/>
      <c r="S233" s="358"/>
      <c r="T233" s="358"/>
      <c r="U233" s="358"/>
      <c r="V233" s="359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360"/>
      <c r="B234" s="360"/>
      <c r="C234" s="360"/>
      <c r="D234" s="360"/>
      <c r="E234" s="360"/>
      <c r="F234" s="360"/>
      <c r="G234" s="360"/>
      <c r="H234" s="360"/>
      <c r="I234" s="360"/>
      <c r="J234" s="360"/>
      <c r="K234" s="360"/>
      <c r="L234" s="360"/>
      <c r="M234" s="360"/>
      <c r="N234" s="360"/>
      <c r="O234" s="361"/>
      <c r="P234" s="357" t="s">
        <v>40</v>
      </c>
      <c r="Q234" s="358"/>
      <c r="R234" s="358"/>
      <c r="S234" s="358"/>
      <c r="T234" s="358"/>
      <c r="U234" s="358"/>
      <c r="V234" s="359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14.25" customHeight="1" x14ac:dyDescent="0.25">
      <c r="A235" s="347" t="s">
        <v>150</v>
      </c>
      <c r="B235" s="347"/>
      <c r="C235" s="347"/>
      <c r="D235" s="347"/>
      <c r="E235" s="347"/>
      <c r="F235" s="347"/>
      <c r="G235" s="347"/>
      <c r="H235" s="347"/>
      <c r="I235" s="347"/>
      <c r="J235" s="347"/>
      <c r="K235" s="347"/>
      <c r="L235" s="347"/>
      <c r="M235" s="347"/>
      <c r="N235" s="347"/>
      <c r="O235" s="347"/>
      <c r="P235" s="347"/>
      <c r="Q235" s="347"/>
      <c r="R235" s="347"/>
      <c r="S235" s="347"/>
      <c r="T235" s="347"/>
      <c r="U235" s="347"/>
      <c r="V235" s="347"/>
      <c r="W235" s="347"/>
      <c r="X235" s="347"/>
      <c r="Y235" s="347"/>
      <c r="Z235" s="347"/>
      <c r="AA235" s="66"/>
      <c r="AB235" s="66"/>
      <c r="AC235" s="83"/>
    </row>
    <row r="236" spans="1:68" ht="37.5" customHeight="1" x14ac:dyDescent="0.25">
      <c r="A236" s="63" t="s">
        <v>337</v>
      </c>
      <c r="B236" s="63" t="s">
        <v>338</v>
      </c>
      <c r="C236" s="36">
        <v>4301135400</v>
      </c>
      <c r="D236" s="348">
        <v>4607111039361</v>
      </c>
      <c r="E236" s="348"/>
      <c r="F236" s="62">
        <v>0.25</v>
      </c>
      <c r="G236" s="37">
        <v>12</v>
      </c>
      <c r="H236" s="62">
        <v>3</v>
      </c>
      <c r="I236" s="62">
        <v>3.7035999999999998</v>
      </c>
      <c r="J236" s="37">
        <v>70</v>
      </c>
      <c r="K236" s="37" t="s">
        <v>111</v>
      </c>
      <c r="L236" s="37" t="s">
        <v>87</v>
      </c>
      <c r="M236" s="38" t="s">
        <v>85</v>
      </c>
      <c r="N236" s="38"/>
      <c r="O236" s="37">
        <v>180</v>
      </c>
      <c r="P236" s="43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350"/>
      <c r="R236" s="350"/>
      <c r="S236" s="350"/>
      <c r="T236" s="35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IFERROR(IF(X236="","",X236*0.01788),"")</f>
        <v>0</v>
      </c>
      <c r="AA236" s="68" t="s">
        <v>46</v>
      </c>
      <c r="AB236" s="69" t="s">
        <v>46</v>
      </c>
      <c r="AC236" s="241" t="s">
        <v>336</v>
      </c>
      <c r="AG236" s="81"/>
      <c r="AJ236" s="87" t="s">
        <v>88</v>
      </c>
      <c r="AK236" s="87">
        <v>1</v>
      </c>
      <c r="BB236" s="242" t="s">
        <v>110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x14ac:dyDescent="0.2">
      <c r="A237" s="360"/>
      <c r="B237" s="360"/>
      <c r="C237" s="360"/>
      <c r="D237" s="360"/>
      <c r="E237" s="360"/>
      <c r="F237" s="360"/>
      <c r="G237" s="360"/>
      <c r="H237" s="360"/>
      <c r="I237" s="360"/>
      <c r="J237" s="360"/>
      <c r="K237" s="360"/>
      <c r="L237" s="360"/>
      <c r="M237" s="360"/>
      <c r="N237" s="360"/>
      <c r="O237" s="361"/>
      <c r="P237" s="357" t="s">
        <v>40</v>
      </c>
      <c r="Q237" s="358"/>
      <c r="R237" s="358"/>
      <c r="S237" s="358"/>
      <c r="T237" s="358"/>
      <c r="U237" s="358"/>
      <c r="V237" s="359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x14ac:dyDescent="0.2">
      <c r="A238" s="360"/>
      <c r="B238" s="360"/>
      <c r="C238" s="360"/>
      <c r="D238" s="360"/>
      <c r="E238" s="360"/>
      <c r="F238" s="360"/>
      <c r="G238" s="360"/>
      <c r="H238" s="360"/>
      <c r="I238" s="360"/>
      <c r="J238" s="360"/>
      <c r="K238" s="360"/>
      <c r="L238" s="360"/>
      <c r="M238" s="360"/>
      <c r="N238" s="360"/>
      <c r="O238" s="361"/>
      <c r="P238" s="357" t="s">
        <v>40</v>
      </c>
      <c r="Q238" s="358"/>
      <c r="R238" s="358"/>
      <c r="S238" s="358"/>
      <c r="T238" s="358"/>
      <c r="U238" s="358"/>
      <c r="V238" s="359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customHeight="1" x14ac:dyDescent="0.2">
      <c r="A239" s="345" t="s">
        <v>339</v>
      </c>
      <c r="B239" s="345"/>
      <c r="C239" s="345"/>
      <c r="D239" s="345"/>
      <c r="E239" s="345"/>
      <c r="F239" s="345"/>
      <c r="G239" s="345"/>
      <c r="H239" s="345"/>
      <c r="I239" s="345"/>
      <c r="J239" s="345"/>
      <c r="K239" s="345"/>
      <c r="L239" s="345"/>
      <c r="M239" s="345"/>
      <c r="N239" s="345"/>
      <c r="O239" s="345"/>
      <c r="P239" s="345"/>
      <c r="Q239" s="345"/>
      <c r="R239" s="345"/>
      <c r="S239" s="345"/>
      <c r="T239" s="345"/>
      <c r="U239" s="345"/>
      <c r="V239" s="345"/>
      <c r="W239" s="345"/>
      <c r="X239" s="345"/>
      <c r="Y239" s="345"/>
      <c r="Z239" s="345"/>
      <c r="AA239" s="54"/>
      <c r="AB239" s="54"/>
      <c r="AC239" s="54"/>
    </row>
    <row r="240" spans="1:68" ht="16.5" customHeight="1" x14ac:dyDescent="0.25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65"/>
      <c r="AB240" s="65"/>
      <c r="AC240" s="82"/>
    </row>
    <row r="241" spans="1:68" ht="14.25" customHeight="1" x14ac:dyDescent="0.25">
      <c r="A241" s="347" t="s">
        <v>81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6"/>
      <c r="AB241" s="66"/>
      <c r="AC241" s="83"/>
    </row>
    <row r="242" spans="1:68" ht="27" customHeight="1" x14ac:dyDescent="0.25">
      <c r="A242" s="63" t="s">
        <v>340</v>
      </c>
      <c r="B242" s="63" t="s">
        <v>341</v>
      </c>
      <c r="C242" s="36">
        <v>4301071014</v>
      </c>
      <c r="D242" s="348">
        <v>4640242181264</v>
      </c>
      <c r="E242" s="348"/>
      <c r="F242" s="62">
        <v>0.7</v>
      </c>
      <c r="G242" s="37">
        <v>10</v>
      </c>
      <c r="H242" s="62">
        <v>7</v>
      </c>
      <c r="I242" s="62">
        <v>7.28</v>
      </c>
      <c r="J242" s="37">
        <v>84</v>
      </c>
      <c r="K242" s="37" t="s">
        <v>86</v>
      </c>
      <c r="L242" s="37" t="s">
        <v>87</v>
      </c>
      <c r="M242" s="38" t="s">
        <v>85</v>
      </c>
      <c r="N242" s="38"/>
      <c r="O242" s="37">
        <v>180</v>
      </c>
      <c r="P242" s="43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350"/>
      <c r="R242" s="350"/>
      <c r="S242" s="350"/>
      <c r="T242" s="35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43" t="s">
        <v>342</v>
      </c>
      <c r="AG242" s="81"/>
      <c r="AJ242" s="87" t="s">
        <v>88</v>
      </c>
      <c r="AK242" s="87">
        <v>1</v>
      </c>
      <c r="BB242" s="244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t="27" customHeight="1" x14ac:dyDescent="0.25">
      <c r="A243" s="63" t="s">
        <v>343</v>
      </c>
      <c r="B243" s="63" t="s">
        <v>344</v>
      </c>
      <c r="C243" s="36">
        <v>4301071021</v>
      </c>
      <c r="D243" s="348">
        <v>4640242181325</v>
      </c>
      <c r="E243" s="348"/>
      <c r="F243" s="62">
        <v>0.7</v>
      </c>
      <c r="G243" s="37">
        <v>10</v>
      </c>
      <c r="H243" s="62">
        <v>7</v>
      </c>
      <c r="I243" s="62">
        <v>7.28</v>
      </c>
      <c r="J243" s="37">
        <v>84</v>
      </c>
      <c r="K243" s="37" t="s">
        <v>86</v>
      </c>
      <c r="L243" s="37" t="s">
        <v>112</v>
      </c>
      <c r="M243" s="38" t="s">
        <v>85</v>
      </c>
      <c r="N243" s="38"/>
      <c r="O243" s="37">
        <v>180</v>
      </c>
      <c r="P243" s="43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350"/>
      <c r="R243" s="350"/>
      <c r="S243" s="350"/>
      <c r="T243" s="351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IFERROR(IF(X243="","",X243*0.0155),"")</f>
        <v>0</v>
      </c>
      <c r="AA243" s="68" t="s">
        <v>46</v>
      </c>
      <c r="AB243" s="69" t="s">
        <v>46</v>
      </c>
      <c r="AC243" s="245" t="s">
        <v>342</v>
      </c>
      <c r="AG243" s="81"/>
      <c r="AJ243" s="87" t="s">
        <v>113</v>
      </c>
      <c r="AK243" s="87">
        <v>12</v>
      </c>
      <c r="BB243" s="246" t="s">
        <v>70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360"/>
      <c r="B244" s="360"/>
      <c r="C244" s="360"/>
      <c r="D244" s="360"/>
      <c r="E244" s="360"/>
      <c r="F244" s="360"/>
      <c r="G244" s="360"/>
      <c r="H244" s="360"/>
      <c r="I244" s="360"/>
      <c r="J244" s="360"/>
      <c r="K244" s="360"/>
      <c r="L244" s="360"/>
      <c r="M244" s="360"/>
      <c r="N244" s="360"/>
      <c r="O244" s="361"/>
      <c r="P244" s="357" t="s">
        <v>40</v>
      </c>
      <c r="Q244" s="358"/>
      <c r="R244" s="358"/>
      <c r="S244" s="358"/>
      <c r="T244" s="358"/>
      <c r="U244" s="358"/>
      <c r="V244" s="359"/>
      <c r="W244" s="42" t="s">
        <v>39</v>
      </c>
      <c r="X244" s="43">
        <f>IFERROR(SUM(X242:X243),"0")</f>
        <v>0</v>
      </c>
      <c r="Y244" s="43">
        <f>IFERROR(SUM(Y242:Y243),"0")</f>
        <v>0</v>
      </c>
      <c r="Z244" s="43">
        <f>IFERROR(IF(Z242="",0,Z242),"0")+IFERROR(IF(Z243="",0,Z243),"0")</f>
        <v>0</v>
      </c>
      <c r="AA244" s="67"/>
      <c r="AB244" s="67"/>
      <c r="AC244" s="67"/>
    </row>
    <row r="245" spans="1:68" x14ac:dyDescent="0.2">
      <c r="A245" s="360"/>
      <c r="B245" s="360"/>
      <c r="C245" s="360"/>
      <c r="D245" s="360"/>
      <c r="E245" s="360"/>
      <c r="F245" s="360"/>
      <c r="G245" s="360"/>
      <c r="H245" s="360"/>
      <c r="I245" s="360"/>
      <c r="J245" s="360"/>
      <c r="K245" s="360"/>
      <c r="L245" s="360"/>
      <c r="M245" s="360"/>
      <c r="N245" s="360"/>
      <c r="O245" s="361"/>
      <c r="P245" s="357" t="s">
        <v>40</v>
      </c>
      <c r="Q245" s="358"/>
      <c r="R245" s="358"/>
      <c r="S245" s="358"/>
      <c r="T245" s="358"/>
      <c r="U245" s="358"/>
      <c r="V245" s="359"/>
      <c r="W245" s="42" t="s">
        <v>0</v>
      </c>
      <c r="X245" s="43">
        <f>IFERROR(SUMPRODUCT(X242:X243*H242:H243),"0")</f>
        <v>0</v>
      </c>
      <c r="Y245" s="43">
        <f>IFERROR(SUMPRODUCT(Y242:Y243*H242:H243),"0")</f>
        <v>0</v>
      </c>
      <c r="Z245" s="42"/>
      <c r="AA245" s="67"/>
      <c r="AB245" s="67"/>
      <c r="AC245" s="67"/>
    </row>
    <row r="246" spans="1:68" ht="14.25" customHeight="1" x14ac:dyDescent="0.25">
      <c r="A246" s="347" t="s">
        <v>106</v>
      </c>
      <c r="B246" s="347"/>
      <c r="C246" s="347"/>
      <c r="D246" s="347"/>
      <c r="E246" s="347"/>
      <c r="F246" s="347"/>
      <c r="G246" s="347"/>
      <c r="H246" s="347"/>
      <c r="I246" s="347"/>
      <c r="J246" s="347"/>
      <c r="K246" s="347"/>
      <c r="L246" s="347"/>
      <c r="M246" s="347"/>
      <c r="N246" s="347"/>
      <c r="O246" s="347"/>
      <c r="P246" s="347"/>
      <c r="Q246" s="347"/>
      <c r="R246" s="347"/>
      <c r="S246" s="347"/>
      <c r="T246" s="347"/>
      <c r="U246" s="347"/>
      <c r="V246" s="347"/>
      <c r="W246" s="347"/>
      <c r="X246" s="347"/>
      <c r="Y246" s="347"/>
      <c r="Z246" s="347"/>
      <c r="AA246" s="66"/>
      <c r="AB246" s="66"/>
      <c r="AC246" s="83"/>
    </row>
    <row r="247" spans="1:68" ht="27" customHeight="1" x14ac:dyDescent="0.25">
      <c r="A247" s="63" t="s">
        <v>345</v>
      </c>
      <c r="B247" s="63" t="s">
        <v>346</v>
      </c>
      <c r="C247" s="36">
        <v>4301132080</v>
      </c>
      <c r="D247" s="348">
        <v>4640242180397</v>
      </c>
      <c r="E247" s="348"/>
      <c r="F247" s="62">
        <v>1</v>
      </c>
      <c r="G247" s="37">
        <v>6</v>
      </c>
      <c r="H247" s="62">
        <v>6</v>
      </c>
      <c r="I247" s="62">
        <v>6.26</v>
      </c>
      <c r="J247" s="37">
        <v>84</v>
      </c>
      <c r="K247" s="37" t="s">
        <v>86</v>
      </c>
      <c r="L247" s="37" t="s">
        <v>112</v>
      </c>
      <c r="M247" s="38" t="s">
        <v>85</v>
      </c>
      <c r="N247" s="38"/>
      <c r="O247" s="37">
        <v>180</v>
      </c>
      <c r="P247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7" t="s">
        <v>347</v>
      </c>
      <c r="AG247" s="81"/>
      <c r="AJ247" s="87" t="s">
        <v>113</v>
      </c>
      <c r="AK247" s="87">
        <v>12</v>
      </c>
      <c r="BB247" s="248" t="s">
        <v>110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customHeight="1" x14ac:dyDescent="0.25">
      <c r="A248" s="63" t="s">
        <v>348</v>
      </c>
      <c r="B248" s="63" t="s">
        <v>349</v>
      </c>
      <c r="C248" s="36">
        <v>4301132104</v>
      </c>
      <c r="D248" s="348">
        <v>4640242181219</v>
      </c>
      <c r="E248" s="348"/>
      <c r="F248" s="62">
        <v>0.3</v>
      </c>
      <c r="G248" s="37">
        <v>9</v>
      </c>
      <c r="H248" s="62">
        <v>2.7</v>
      </c>
      <c r="I248" s="62">
        <v>2.8450000000000002</v>
      </c>
      <c r="J248" s="37">
        <v>234</v>
      </c>
      <c r="K248" s="37" t="s">
        <v>162</v>
      </c>
      <c r="L248" s="37" t="s">
        <v>87</v>
      </c>
      <c r="M248" s="38" t="s">
        <v>85</v>
      </c>
      <c r="N248" s="38"/>
      <c r="O248" s="37">
        <v>180</v>
      </c>
      <c r="P248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350"/>
      <c r="R248" s="350"/>
      <c r="S248" s="350"/>
      <c r="T248" s="35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IFERROR(IF(X248="","",X248*0.00502),"")</f>
        <v>0</v>
      </c>
      <c r="AA248" s="68" t="s">
        <v>46</v>
      </c>
      <c r="AB248" s="69" t="s">
        <v>46</v>
      </c>
      <c r="AC248" s="249" t="s">
        <v>347</v>
      </c>
      <c r="AG248" s="81"/>
      <c r="AJ248" s="87" t="s">
        <v>88</v>
      </c>
      <c r="AK248" s="87">
        <v>1</v>
      </c>
      <c r="BB248" s="250" t="s">
        <v>110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x14ac:dyDescent="0.2">
      <c r="A249" s="360"/>
      <c r="B249" s="360"/>
      <c r="C249" s="360"/>
      <c r="D249" s="360"/>
      <c r="E249" s="360"/>
      <c r="F249" s="360"/>
      <c r="G249" s="360"/>
      <c r="H249" s="360"/>
      <c r="I249" s="360"/>
      <c r="J249" s="360"/>
      <c r="K249" s="360"/>
      <c r="L249" s="360"/>
      <c r="M249" s="360"/>
      <c r="N249" s="360"/>
      <c r="O249" s="361"/>
      <c r="P249" s="357" t="s">
        <v>40</v>
      </c>
      <c r="Q249" s="358"/>
      <c r="R249" s="358"/>
      <c r="S249" s="358"/>
      <c r="T249" s="358"/>
      <c r="U249" s="358"/>
      <c r="V249" s="359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x14ac:dyDescent="0.2">
      <c r="A250" s="360"/>
      <c r="B250" s="360"/>
      <c r="C250" s="360"/>
      <c r="D250" s="360"/>
      <c r="E250" s="360"/>
      <c r="F250" s="360"/>
      <c r="G250" s="360"/>
      <c r="H250" s="360"/>
      <c r="I250" s="360"/>
      <c r="J250" s="360"/>
      <c r="K250" s="360"/>
      <c r="L250" s="360"/>
      <c r="M250" s="360"/>
      <c r="N250" s="360"/>
      <c r="O250" s="361"/>
      <c r="P250" s="357" t="s">
        <v>40</v>
      </c>
      <c r="Q250" s="358"/>
      <c r="R250" s="358"/>
      <c r="S250" s="358"/>
      <c r="T250" s="358"/>
      <c r="U250" s="358"/>
      <c r="V250" s="359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customHeight="1" x14ac:dyDescent="0.25">
      <c r="A251" s="347" t="s">
        <v>144</v>
      </c>
      <c r="B251" s="347"/>
      <c r="C251" s="347"/>
      <c r="D251" s="347"/>
      <c r="E251" s="347"/>
      <c r="F251" s="347"/>
      <c r="G251" s="347"/>
      <c r="H251" s="347"/>
      <c r="I251" s="347"/>
      <c r="J251" s="347"/>
      <c r="K251" s="347"/>
      <c r="L251" s="347"/>
      <c r="M251" s="347"/>
      <c r="N251" s="347"/>
      <c r="O251" s="347"/>
      <c r="P251" s="347"/>
      <c r="Q251" s="347"/>
      <c r="R251" s="347"/>
      <c r="S251" s="347"/>
      <c r="T251" s="347"/>
      <c r="U251" s="347"/>
      <c r="V251" s="347"/>
      <c r="W251" s="347"/>
      <c r="X251" s="347"/>
      <c r="Y251" s="347"/>
      <c r="Z251" s="347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4301136051</v>
      </c>
      <c r="D252" s="348">
        <v>4640242180304</v>
      </c>
      <c r="E252" s="348"/>
      <c r="F252" s="62">
        <v>2.7</v>
      </c>
      <c r="G252" s="37">
        <v>1</v>
      </c>
      <c r="H252" s="62">
        <v>2.7</v>
      </c>
      <c r="I252" s="62">
        <v>2.8906000000000001</v>
      </c>
      <c r="J252" s="37">
        <v>126</v>
      </c>
      <c r="K252" s="37" t="s">
        <v>111</v>
      </c>
      <c r="L252" s="37" t="s">
        <v>112</v>
      </c>
      <c r="M252" s="38" t="s">
        <v>85</v>
      </c>
      <c r="N252" s="38"/>
      <c r="O252" s="37">
        <v>180</v>
      </c>
      <c r="P252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IFERROR(IF(X252="","",X252*0.00936),"")</f>
        <v>0</v>
      </c>
      <c r="AA252" s="68" t="s">
        <v>46</v>
      </c>
      <c r="AB252" s="69" t="s">
        <v>46</v>
      </c>
      <c r="AC252" s="251" t="s">
        <v>352</v>
      </c>
      <c r="AG252" s="81"/>
      <c r="AJ252" s="87" t="s">
        <v>113</v>
      </c>
      <c r="AK252" s="87">
        <v>14</v>
      </c>
      <c r="BB252" s="252" t="s">
        <v>110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t="27" customHeight="1" x14ac:dyDescent="0.25">
      <c r="A253" s="63" t="s">
        <v>353</v>
      </c>
      <c r="B253" s="63" t="s">
        <v>354</v>
      </c>
      <c r="C253" s="36">
        <v>4301136053</v>
      </c>
      <c r="D253" s="348">
        <v>4640242180236</v>
      </c>
      <c r="E253" s="348"/>
      <c r="F253" s="62">
        <v>5</v>
      </c>
      <c r="G253" s="37">
        <v>1</v>
      </c>
      <c r="H253" s="62">
        <v>5</v>
      </c>
      <c r="I253" s="62">
        <v>5.2350000000000003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0"/>
      <c r="R253" s="350"/>
      <c r="S253" s="350"/>
      <c r="T253" s="351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3" t="s">
        <v>352</v>
      </c>
      <c r="AG253" s="81"/>
      <c r="AJ253" s="87" t="s">
        <v>113</v>
      </c>
      <c r="AK253" s="87">
        <v>12</v>
      </c>
      <c r="BB253" s="254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355</v>
      </c>
      <c r="B254" s="63" t="s">
        <v>356</v>
      </c>
      <c r="C254" s="36">
        <v>4301136052</v>
      </c>
      <c r="D254" s="348">
        <v>4640242180410</v>
      </c>
      <c r="E254" s="348"/>
      <c r="F254" s="62">
        <v>2.2400000000000002</v>
      </c>
      <c r="G254" s="37">
        <v>1</v>
      </c>
      <c r="H254" s="62">
        <v>2.2400000000000002</v>
      </c>
      <c r="I254" s="62">
        <v>2.4319999999999999</v>
      </c>
      <c r="J254" s="37">
        <v>126</v>
      </c>
      <c r="K254" s="37" t="s">
        <v>111</v>
      </c>
      <c r="L254" s="37" t="s">
        <v>87</v>
      </c>
      <c r="M254" s="38" t="s">
        <v>85</v>
      </c>
      <c r="N254" s="38"/>
      <c r="O254" s="37">
        <v>180</v>
      </c>
      <c r="P254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0"/>
      <c r="R254" s="350"/>
      <c r="S254" s="350"/>
      <c r="T254" s="351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IFERROR(IF(X254="","",X254*0.00936),"")</f>
        <v>0</v>
      </c>
      <c r="AA254" s="68" t="s">
        <v>46</v>
      </c>
      <c r="AB254" s="69" t="s">
        <v>46</v>
      </c>
      <c r="AC254" s="255" t="s">
        <v>352</v>
      </c>
      <c r="AG254" s="81"/>
      <c r="AJ254" s="87" t="s">
        <v>88</v>
      </c>
      <c r="AK254" s="87">
        <v>1</v>
      </c>
      <c r="BB254" s="256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60"/>
      <c r="B255" s="360"/>
      <c r="C255" s="360"/>
      <c r="D255" s="360"/>
      <c r="E255" s="360"/>
      <c r="F255" s="360"/>
      <c r="G255" s="360"/>
      <c r="H255" s="360"/>
      <c r="I255" s="360"/>
      <c r="J255" s="360"/>
      <c r="K255" s="360"/>
      <c r="L255" s="360"/>
      <c r="M255" s="360"/>
      <c r="N255" s="360"/>
      <c r="O255" s="361"/>
      <c r="P255" s="357" t="s">
        <v>40</v>
      </c>
      <c r="Q255" s="358"/>
      <c r="R255" s="358"/>
      <c r="S255" s="358"/>
      <c r="T255" s="358"/>
      <c r="U255" s="358"/>
      <c r="V255" s="359"/>
      <c r="W255" s="42" t="s">
        <v>39</v>
      </c>
      <c r="X255" s="43">
        <f>IFERROR(SUM(X252:X254),"0")</f>
        <v>0</v>
      </c>
      <c r="Y255" s="43">
        <f>IFERROR(SUM(Y252:Y254),"0")</f>
        <v>0</v>
      </c>
      <c r="Z255" s="43">
        <f>IFERROR(IF(Z252="",0,Z252),"0")+IFERROR(IF(Z253="",0,Z253),"0")+IFERROR(IF(Z254="",0,Z254),"0")</f>
        <v>0</v>
      </c>
      <c r="AA255" s="67"/>
      <c r="AB255" s="67"/>
      <c r="AC255" s="67"/>
    </row>
    <row r="256" spans="1:68" x14ac:dyDescent="0.2">
      <c r="A256" s="360"/>
      <c r="B256" s="360"/>
      <c r="C256" s="360"/>
      <c r="D256" s="360"/>
      <c r="E256" s="360"/>
      <c r="F256" s="360"/>
      <c r="G256" s="360"/>
      <c r="H256" s="360"/>
      <c r="I256" s="360"/>
      <c r="J256" s="360"/>
      <c r="K256" s="360"/>
      <c r="L256" s="360"/>
      <c r="M256" s="360"/>
      <c r="N256" s="360"/>
      <c r="O256" s="361"/>
      <c r="P256" s="357" t="s">
        <v>40</v>
      </c>
      <c r="Q256" s="358"/>
      <c r="R256" s="358"/>
      <c r="S256" s="358"/>
      <c r="T256" s="358"/>
      <c r="U256" s="358"/>
      <c r="V256" s="359"/>
      <c r="W256" s="42" t="s">
        <v>0</v>
      </c>
      <c r="X256" s="43">
        <f>IFERROR(SUMPRODUCT(X252:X254*H252:H254),"0")</f>
        <v>0</v>
      </c>
      <c r="Y256" s="43">
        <f>IFERROR(SUMPRODUCT(Y252:Y254*H252:H254),"0")</f>
        <v>0</v>
      </c>
      <c r="Z256" s="42"/>
      <c r="AA256" s="67"/>
      <c r="AB256" s="67"/>
      <c r="AC256" s="67"/>
    </row>
    <row r="257" spans="1:68" ht="14.25" customHeight="1" x14ac:dyDescent="0.25">
      <c r="A257" s="347" t="s">
        <v>150</v>
      </c>
      <c r="B257" s="347"/>
      <c r="C257" s="347"/>
      <c r="D257" s="347"/>
      <c r="E257" s="347"/>
      <c r="F257" s="347"/>
      <c r="G257" s="347"/>
      <c r="H257" s="347"/>
      <c r="I257" s="347"/>
      <c r="J257" s="347"/>
      <c r="K257" s="347"/>
      <c r="L257" s="347"/>
      <c r="M257" s="347"/>
      <c r="N257" s="347"/>
      <c r="O257" s="347"/>
      <c r="P257" s="347"/>
      <c r="Q257" s="347"/>
      <c r="R257" s="347"/>
      <c r="S257" s="347"/>
      <c r="T257" s="347"/>
      <c r="U257" s="347"/>
      <c r="V257" s="347"/>
      <c r="W257" s="347"/>
      <c r="X257" s="347"/>
      <c r="Y257" s="347"/>
      <c r="Z257" s="347"/>
      <c r="AA257" s="66"/>
      <c r="AB257" s="66"/>
      <c r="AC257" s="83"/>
    </row>
    <row r="258" spans="1:68" ht="37.5" customHeight="1" x14ac:dyDescent="0.25">
      <c r="A258" s="63" t="s">
        <v>357</v>
      </c>
      <c r="B258" s="63" t="s">
        <v>358</v>
      </c>
      <c r="C258" s="36">
        <v>4301135504</v>
      </c>
      <c r="D258" s="348">
        <v>4640242181554</v>
      </c>
      <c r="E258" s="348"/>
      <c r="F258" s="62">
        <v>3</v>
      </c>
      <c r="G258" s="37">
        <v>1</v>
      </c>
      <c r="H258" s="62">
        <v>3</v>
      </c>
      <c r="I258" s="62">
        <v>3.1920000000000002</v>
      </c>
      <c r="J258" s="37">
        <v>126</v>
      </c>
      <c r="K258" s="37" t="s">
        <v>111</v>
      </c>
      <c r="L258" s="37" t="s">
        <v>87</v>
      </c>
      <c r="M258" s="38" t="s">
        <v>85</v>
      </c>
      <c r="N258" s="38"/>
      <c r="O258" s="37">
        <v>180</v>
      </c>
      <c r="P258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 t="shared" ref="Y258:Y267" si="18"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7" t="s">
        <v>359</v>
      </c>
      <c r="AG258" s="81"/>
      <c r="AJ258" s="87" t="s">
        <v>88</v>
      </c>
      <c r="AK258" s="87">
        <v>1</v>
      </c>
      <c r="BB258" s="258" t="s">
        <v>110</v>
      </c>
      <c r="BM258" s="81">
        <f t="shared" ref="BM258:BM267" si="19">IFERROR(X258*I258,"0")</f>
        <v>0</v>
      </c>
      <c r="BN258" s="81">
        <f t="shared" ref="BN258:BN267" si="20">IFERROR(Y258*I258,"0")</f>
        <v>0</v>
      </c>
      <c r="BO258" s="81">
        <f t="shared" ref="BO258:BO267" si="21">IFERROR(X258/J258,"0")</f>
        <v>0</v>
      </c>
      <c r="BP258" s="81">
        <f t="shared" ref="BP258:BP267" si="22">IFERROR(Y258/J258,"0")</f>
        <v>0</v>
      </c>
    </row>
    <row r="259" spans="1:68" ht="27" customHeight="1" x14ac:dyDescent="0.25">
      <c r="A259" s="63" t="s">
        <v>360</v>
      </c>
      <c r="B259" s="63" t="s">
        <v>361</v>
      </c>
      <c r="C259" s="36">
        <v>4301135518</v>
      </c>
      <c r="D259" s="348">
        <v>4640242181561</v>
      </c>
      <c r="E259" s="348"/>
      <c r="F259" s="62">
        <v>3.7</v>
      </c>
      <c r="G259" s="37">
        <v>1</v>
      </c>
      <c r="H259" s="62">
        <v>3.7</v>
      </c>
      <c r="I259" s="62">
        <v>3.8919999999999999</v>
      </c>
      <c r="J259" s="37">
        <v>126</v>
      </c>
      <c r="K259" s="37" t="s">
        <v>111</v>
      </c>
      <c r="L259" s="37" t="s">
        <v>112</v>
      </c>
      <c r="M259" s="38" t="s">
        <v>85</v>
      </c>
      <c r="N259" s="38"/>
      <c r="O259" s="37">
        <v>180</v>
      </c>
      <c r="P259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350"/>
      <c r="R259" s="350"/>
      <c r="S259" s="350"/>
      <c r="T259" s="351"/>
      <c r="U259" s="39" t="s">
        <v>46</v>
      </c>
      <c r="V259" s="39" t="s">
        <v>46</v>
      </c>
      <c r="W259" s="40" t="s">
        <v>39</v>
      </c>
      <c r="X259" s="58">
        <v>0</v>
      </c>
      <c r="Y259" s="55">
        <f t="shared" si="18"/>
        <v>0</v>
      </c>
      <c r="Z259" s="41">
        <f>IFERROR(IF(X259="","",X259*0.00936),"")</f>
        <v>0</v>
      </c>
      <c r="AA259" s="68" t="s">
        <v>46</v>
      </c>
      <c r="AB259" s="69" t="s">
        <v>46</v>
      </c>
      <c r="AC259" s="259" t="s">
        <v>362</v>
      </c>
      <c r="AG259" s="81"/>
      <c r="AJ259" s="87" t="s">
        <v>113</v>
      </c>
      <c r="AK259" s="87">
        <v>14</v>
      </c>
      <c r="BB259" s="260" t="s">
        <v>110</v>
      </c>
      <c r="BM259" s="81">
        <f t="shared" si="19"/>
        <v>0</v>
      </c>
      <c r="BN259" s="81">
        <f t="shared" si="20"/>
        <v>0</v>
      </c>
      <c r="BO259" s="81">
        <f t="shared" si="21"/>
        <v>0</v>
      </c>
      <c r="BP259" s="81">
        <f t="shared" si="22"/>
        <v>0</v>
      </c>
    </row>
    <row r="260" spans="1:68" ht="27" customHeight="1" x14ac:dyDescent="0.25">
      <c r="A260" s="63" t="s">
        <v>363</v>
      </c>
      <c r="B260" s="63" t="s">
        <v>364</v>
      </c>
      <c r="C260" s="36">
        <v>4301135374</v>
      </c>
      <c r="D260" s="348">
        <v>4640242181424</v>
      </c>
      <c r="E260" s="348"/>
      <c r="F260" s="62">
        <v>5.5</v>
      </c>
      <c r="G260" s="37">
        <v>1</v>
      </c>
      <c r="H260" s="62">
        <v>5.5</v>
      </c>
      <c r="I260" s="62">
        <v>5.7350000000000003</v>
      </c>
      <c r="J260" s="37">
        <v>84</v>
      </c>
      <c r="K260" s="37" t="s">
        <v>86</v>
      </c>
      <c r="L260" s="37" t="s">
        <v>112</v>
      </c>
      <c r="M260" s="38" t="s">
        <v>85</v>
      </c>
      <c r="N260" s="38"/>
      <c r="O260" s="37">
        <v>180</v>
      </c>
      <c r="P260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0"/>
      <c r="R260" s="350"/>
      <c r="S260" s="350"/>
      <c r="T260" s="351"/>
      <c r="U260" s="39" t="s">
        <v>46</v>
      </c>
      <c r="V260" s="39" t="s">
        <v>46</v>
      </c>
      <c r="W260" s="40" t="s">
        <v>39</v>
      </c>
      <c r="X260" s="58">
        <v>0</v>
      </c>
      <c r="Y260" s="55">
        <f t="shared" si="18"/>
        <v>0</v>
      </c>
      <c r="Z260" s="41">
        <f>IFERROR(IF(X260="","",X260*0.0155),"")</f>
        <v>0</v>
      </c>
      <c r="AA260" s="68" t="s">
        <v>46</v>
      </c>
      <c r="AB260" s="69" t="s">
        <v>46</v>
      </c>
      <c r="AC260" s="261" t="s">
        <v>359</v>
      </c>
      <c r="AG260" s="81"/>
      <c r="AJ260" s="87" t="s">
        <v>113</v>
      </c>
      <c r="AK260" s="87">
        <v>12</v>
      </c>
      <c r="BB260" s="262" t="s">
        <v>110</v>
      </c>
      <c r="BM260" s="81">
        <f t="shared" si="19"/>
        <v>0</v>
      </c>
      <c r="BN260" s="81">
        <f t="shared" si="20"/>
        <v>0</v>
      </c>
      <c r="BO260" s="81">
        <f t="shared" si="21"/>
        <v>0</v>
      </c>
      <c r="BP260" s="81">
        <f t="shared" si="22"/>
        <v>0</v>
      </c>
    </row>
    <row r="261" spans="1:68" ht="27" customHeight="1" x14ac:dyDescent="0.25">
      <c r="A261" s="63" t="s">
        <v>365</v>
      </c>
      <c r="B261" s="63" t="s">
        <v>366</v>
      </c>
      <c r="C261" s="36">
        <v>4301135405</v>
      </c>
      <c r="D261" s="348">
        <v>4640242181523</v>
      </c>
      <c r="E261" s="348"/>
      <c r="F261" s="62">
        <v>3</v>
      </c>
      <c r="G261" s="37">
        <v>1</v>
      </c>
      <c r="H261" s="62">
        <v>3</v>
      </c>
      <c r="I261" s="62">
        <v>3.1920000000000002</v>
      </c>
      <c r="J261" s="37">
        <v>126</v>
      </c>
      <c r="K261" s="37" t="s">
        <v>111</v>
      </c>
      <c r="L261" s="37" t="s">
        <v>87</v>
      </c>
      <c r="M261" s="38" t="s">
        <v>85</v>
      </c>
      <c r="N261" s="38"/>
      <c r="O261" s="37">
        <v>180</v>
      </c>
      <c r="P261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0"/>
      <c r="R261" s="350"/>
      <c r="S261" s="350"/>
      <c r="T261" s="351"/>
      <c r="U261" s="39" t="s">
        <v>46</v>
      </c>
      <c r="V261" s="39" t="s">
        <v>46</v>
      </c>
      <c r="W261" s="40" t="s">
        <v>39</v>
      </c>
      <c r="X261" s="58">
        <v>0</v>
      </c>
      <c r="Y261" s="55">
        <f t="shared" si="18"/>
        <v>0</v>
      </c>
      <c r="Z261" s="41">
        <f t="shared" ref="Z261:Z266" si="23">IFERROR(IF(X261="","",X261*0.00936),"")</f>
        <v>0</v>
      </c>
      <c r="AA261" s="68" t="s">
        <v>46</v>
      </c>
      <c r="AB261" s="69" t="s">
        <v>46</v>
      </c>
      <c r="AC261" s="263" t="s">
        <v>362</v>
      </c>
      <c r="AG261" s="81"/>
      <c r="AJ261" s="87" t="s">
        <v>88</v>
      </c>
      <c r="AK261" s="87">
        <v>1</v>
      </c>
      <c r="BB261" s="264" t="s">
        <v>110</v>
      </c>
      <c r="BM261" s="81">
        <f t="shared" si="19"/>
        <v>0</v>
      </c>
      <c r="BN261" s="81">
        <f t="shared" si="20"/>
        <v>0</v>
      </c>
      <c r="BO261" s="81">
        <f t="shared" si="21"/>
        <v>0</v>
      </c>
      <c r="BP261" s="81">
        <f t="shared" si="22"/>
        <v>0</v>
      </c>
    </row>
    <row r="262" spans="1:68" ht="27" customHeight="1" x14ac:dyDescent="0.25">
      <c r="A262" s="63" t="s">
        <v>367</v>
      </c>
      <c r="B262" s="63" t="s">
        <v>368</v>
      </c>
      <c r="C262" s="36">
        <v>4301135375</v>
      </c>
      <c r="D262" s="348">
        <v>4640242181486</v>
      </c>
      <c r="E262" s="348"/>
      <c r="F262" s="62">
        <v>3.7</v>
      </c>
      <c r="G262" s="37">
        <v>1</v>
      </c>
      <c r="H262" s="62">
        <v>3.7</v>
      </c>
      <c r="I262" s="62">
        <v>3.8919999999999999</v>
      </c>
      <c r="J262" s="37">
        <v>126</v>
      </c>
      <c r="K262" s="37" t="s">
        <v>111</v>
      </c>
      <c r="L262" s="37" t="s">
        <v>87</v>
      </c>
      <c r="M262" s="38" t="s">
        <v>85</v>
      </c>
      <c r="N262" s="38"/>
      <c r="O262" s="37">
        <v>180</v>
      </c>
      <c r="P262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si="18"/>
        <v>0</v>
      </c>
      <c r="Z262" s="41">
        <f t="shared" si="23"/>
        <v>0</v>
      </c>
      <c r="AA262" s="68" t="s">
        <v>46</v>
      </c>
      <c r="AB262" s="69" t="s">
        <v>46</v>
      </c>
      <c r="AC262" s="265" t="s">
        <v>359</v>
      </c>
      <c r="AG262" s="81"/>
      <c r="AJ262" s="87" t="s">
        <v>88</v>
      </c>
      <c r="AK262" s="87">
        <v>1</v>
      </c>
      <c r="BB262" s="266" t="s">
        <v>110</v>
      </c>
      <c r="BM262" s="81">
        <f t="shared" si="19"/>
        <v>0</v>
      </c>
      <c r="BN262" s="81">
        <f t="shared" si="20"/>
        <v>0</v>
      </c>
      <c r="BO262" s="81">
        <f t="shared" si="21"/>
        <v>0</v>
      </c>
      <c r="BP262" s="81">
        <f t="shared" si="22"/>
        <v>0</v>
      </c>
    </row>
    <row r="263" spans="1:68" ht="37.5" customHeight="1" x14ac:dyDescent="0.25">
      <c r="A263" s="63" t="s">
        <v>369</v>
      </c>
      <c r="B263" s="63" t="s">
        <v>370</v>
      </c>
      <c r="C263" s="36">
        <v>4301135402</v>
      </c>
      <c r="D263" s="348">
        <v>4640242181493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111</v>
      </c>
      <c r="L263" s="37" t="s">
        <v>87</v>
      </c>
      <c r="M263" s="38" t="s">
        <v>85</v>
      </c>
      <c r="N263" s="38"/>
      <c r="O263" s="37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8"/>
        <v>0</v>
      </c>
      <c r="Z263" s="41">
        <f t="shared" si="23"/>
        <v>0</v>
      </c>
      <c r="AA263" s="68" t="s">
        <v>46</v>
      </c>
      <c r="AB263" s="69" t="s">
        <v>46</v>
      </c>
      <c r="AC263" s="267" t="s">
        <v>359</v>
      </c>
      <c r="AG263" s="81"/>
      <c r="AJ263" s="87" t="s">
        <v>88</v>
      </c>
      <c r="AK263" s="87">
        <v>1</v>
      </c>
      <c r="BB263" s="268" t="s">
        <v>110</v>
      </c>
      <c r="BM263" s="81">
        <f t="shared" si="19"/>
        <v>0</v>
      </c>
      <c r="BN263" s="81">
        <f t="shared" si="20"/>
        <v>0</v>
      </c>
      <c r="BO263" s="81">
        <f t="shared" si="21"/>
        <v>0</v>
      </c>
      <c r="BP263" s="81">
        <f t="shared" si="22"/>
        <v>0</v>
      </c>
    </row>
    <row r="264" spans="1:68" ht="37.5" customHeight="1" x14ac:dyDescent="0.25">
      <c r="A264" s="63" t="s">
        <v>371</v>
      </c>
      <c r="B264" s="63" t="s">
        <v>372</v>
      </c>
      <c r="C264" s="36">
        <v>4301135403</v>
      </c>
      <c r="D264" s="348">
        <v>4640242181509</v>
      </c>
      <c r="E264" s="348"/>
      <c r="F264" s="62">
        <v>3.7</v>
      </c>
      <c r="G264" s="37">
        <v>1</v>
      </c>
      <c r="H264" s="62">
        <v>3.7</v>
      </c>
      <c r="I264" s="62">
        <v>3.8919999999999999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8"/>
        <v>0</v>
      </c>
      <c r="Z264" s="41">
        <f t="shared" si="23"/>
        <v>0</v>
      </c>
      <c r="AA264" s="68" t="s">
        <v>46</v>
      </c>
      <c r="AB264" s="69" t="s">
        <v>46</v>
      </c>
      <c r="AC264" s="269" t="s">
        <v>359</v>
      </c>
      <c r="AG264" s="81"/>
      <c r="AJ264" s="87" t="s">
        <v>88</v>
      </c>
      <c r="AK264" s="87">
        <v>1</v>
      </c>
      <c r="BB264" s="270" t="s">
        <v>110</v>
      </c>
      <c r="BM264" s="81">
        <f t="shared" si="19"/>
        <v>0</v>
      </c>
      <c r="BN264" s="81">
        <f t="shared" si="20"/>
        <v>0</v>
      </c>
      <c r="BO264" s="81">
        <f t="shared" si="21"/>
        <v>0</v>
      </c>
      <c r="BP264" s="81">
        <f t="shared" si="22"/>
        <v>0</v>
      </c>
    </row>
    <row r="265" spans="1:68" ht="27" customHeight="1" x14ac:dyDescent="0.25">
      <c r="A265" s="63" t="s">
        <v>373</v>
      </c>
      <c r="B265" s="63" t="s">
        <v>374</v>
      </c>
      <c r="C265" s="36">
        <v>4301135304</v>
      </c>
      <c r="D265" s="348">
        <v>4640242181240</v>
      </c>
      <c r="E265" s="348"/>
      <c r="F265" s="62">
        <v>0.3</v>
      </c>
      <c r="G265" s="37">
        <v>9</v>
      </c>
      <c r="H265" s="62">
        <v>2.7</v>
      </c>
      <c r="I265" s="62">
        <v>2.88</v>
      </c>
      <c r="J265" s="37">
        <v>126</v>
      </c>
      <c r="K265" s="37" t="s">
        <v>111</v>
      </c>
      <c r="L265" s="37" t="s">
        <v>87</v>
      </c>
      <c r="M265" s="38" t="s">
        <v>85</v>
      </c>
      <c r="N265" s="38"/>
      <c r="O265" s="37">
        <v>180</v>
      </c>
      <c r="P265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 t="shared" si="23"/>
        <v>0</v>
      </c>
      <c r="AA265" s="68" t="s">
        <v>46</v>
      </c>
      <c r="AB265" s="69" t="s">
        <v>46</v>
      </c>
      <c r="AC265" s="271" t="s">
        <v>359</v>
      </c>
      <c r="AG265" s="81"/>
      <c r="AJ265" s="87" t="s">
        <v>88</v>
      </c>
      <c r="AK265" s="87">
        <v>1</v>
      </c>
      <c r="BB265" s="272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375</v>
      </c>
      <c r="B266" s="63" t="s">
        <v>376</v>
      </c>
      <c r="C266" s="36">
        <v>4301135610</v>
      </c>
      <c r="D266" s="348">
        <v>4640242181318</v>
      </c>
      <c r="E266" s="348"/>
      <c r="F266" s="62">
        <v>0.3</v>
      </c>
      <c r="G266" s="37">
        <v>9</v>
      </c>
      <c r="H266" s="62">
        <v>2.7</v>
      </c>
      <c r="I266" s="62">
        <v>2.988</v>
      </c>
      <c r="J266" s="37">
        <v>126</v>
      </c>
      <c r="K266" s="37" t="s">
        <v>111</v>
      </c>
      <c r="L266" s="37" t="s">
        <v>87</v>
      </c>
      <c r="M266" s="38" t="s">
        <v>85</v>
      </c>
      <c r="N266" s="38"/>
      <c r="O266" s="37">
        <v>180</v>
      </c>
      <c r="P266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 t="shared" si="23"/>
        <v>0</v>
      </c>
      <c r="AA266" s="68" t="s">
        <v>46</v>
      </c>
      <c r="AB266" s="69" t="s">
        <v>46</v>
      </c>
      <c r="AC266" s="273" t="s">
        <v>362</v>
      </c>
      <c r="AG266" s="81"/>
      <c r="AJ266" s="87" t="s">
        <v>88</v>
      </c>
      <c r="AK266" s="87">
        <v>1</v>
      </c>
      <c r="BB266" s="274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377</v>
      </c>
      <c r="B267" s="63" t="s">
        <v>378</v>
      </c>
      <c r="C267" s="36">
        <v>4301135306</v>
      </c>
      <c r="D267" s="348">
        <v>4640242181387</v>
      </c>
      <c r="E267" s="348"/>
      <c r="F267" s="62">
        <v>0.3</v>
      </c>
      <c r="G267" s="37">
        <v>9</v>
      </c>
      <c r="H267" s="62">
        <v>2.7</v>
      </c>
      <c r="I267" s="62">
        <v>2.8450000000000002</v>
      </c>
      <c r="J267" s="37">
        <v>234</v>
      </c>
      <c r="K267" s="37" t="s">
        <v>162</v>
      </c>
      <c r="L267" s="37" t="s">
        <v>87</v>
      </c>
      <c r="M267" s="38" t="s">
        <v>85</v>
      </c>
      <c r="N267" s="38"/>
      <c r="O267" s="37">
        <v>180</v>
      </c>
      <c r="P267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>IFERROR(IF(X267="","",X267*0.00502),"")</f>
        <v>0</v>
      </c>
      <c r="AA267" s="68" t="s">
        <v>46</v>
      </c>
      <c r="AB267" s="69" t="s">
        <v>46</v>
      </c>
      <c r="AC267" s="275" t="s">
        <v>359</v>
      </c>
      <c r="AG267" s="81"/>
      <c r="AJ267" s="87" t="s">
        <v>88</v>
      </c>
      <c r="AK267" s="87">
        <v>1</v>
      </c>
      <c r="BB267" s="276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x14ac:dyDescent="0.2">
      <c r="A268" s="360"/>
      <c r="B268" s="360"/>
      <c r="C268" s="360"/>
      <c r="D268" s="360"/>
      <c r="E268" s="360"/>
      <c r="F268" s="360"/>
      <c r="G268" s="360"/>
      <c r="H268" s="360"/>
      <c r="I268" s="360"/>
      <c r="J268" s="360"/>
      <c r="K268" s="360"/>
      <c r="L268" s="360"/>
      <c r="M268" s="360"/>
      <c r="N268" s="360"/>
      <c r="O268" s="361"/>
      <c r="P268" s="357" t="s">
        <v>40</v>
      </c>
      <c r="Q268" s="358"/>
      <c r="R268" s="358"/>
      <c r="S268" s="358"/>
      <c r="T268" s="358"/>
      <c r="U268" s="358"/>
      <c r="V268" s="359"/>
      <c r="W268" s="42" t="s">
        <v>39</v>
      </c>
      <c r="X268" s="43">
        <f>IFERROR(SUM(X258:X267),"0")</f>
        <v>0</v>
      </c>
      <c r="Y268" s="43">
        <f>IFERROR(SUM(Y258:Y267),"0")</f>
        <v>0</v>
      </c>
      <c r="Z268" s="43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360"/>
      <c r="B269" s="360"/>
      <c r="C269" s="360"/>
      <c r="D269" s="360"/>
      <c r="E269" s="360"/>
      <c r="F269" s="360"/>
      <c r="G269" s="360"/>
      <c r="H269" s="360"/>
      <c r="I269" s="360"/>
      <c r="J269" s="360"/>
      <c r="K269" s="360"/>
      <c r="L269" s="360"/>
      <c r="M269" s="360"/>
      <c r="N269" s="360"/>
      <c r="O269" s="361"/>
      <c r="P269" s="357" t="s">
        <v>40</v>
      </c>
      <c r="Q269" s="358"/>
      <c r="R269" s="358"/>
      <c r="S269" s="358"/>
      <c r="T269" s="358"/>
      <c r="U269" s="358"/>
      <c r="V269" s="359"/>
      <c r="W269" s="42" t="s">
        <v>0</v>
      </c>
      <c r="X269" s="43">
        <f>IFERROR(SUMPRODUCT(X258:X267*H258:H267),"0")</f>
        <v>0</v>
      </c>
      <c r="Y269" s="43">
        <f>IFERROR(SUMPRODUCT(Y258:Y267*H258:H267),"0")</f>
        <v>0</v>
      </c>
      <c r="Z269" s="42"/>
      <c r="AA269" s="67"/>
      <c r="AB269" s="67"/>
      <c r="AC269" s="67"/>
    </row>
    <row r="270" spans="1:68" ht="15" customHeight="1" x14ac:dyDescent="0.2">
      <c r="A270" s="360"/>
      <c r="B270" s="360"/>
      <c r="C270" s="360"/>
      <c r="D270" s="360"/>
      <c r="E270" s="360"/>
      <c r="F270" s="360"/>
      <c r="G270" s="360"/>
      <c r="H270" s="360"/>
      <c r="I270" s="360"/>
      <c r="J270" s="360"/>
      <c r="K270" s="360"/>
      <c r="L270" s="360"/>
      <c r="M270" s="360"/>
      <c r="N270" s="360"/>
      <c r="O270" s="453"/>
      <c r="P270" s="450" t="s">
        <v>33</v>
      </c>
      <c r="Q270" s="451"/>
      <c r="R270" s="451"/>
      <c r="S270" s="451"/>
      <c r="T270" s="451"/>
      <c r="U270" s="451"/>
      <c r="V270" s="452"/>
      <c r="W270" s="42" t="s">
        <v>0</v>
      </c>
      <c r="X270" s="43">
        <f>IFERROR(X29+X35+X42+X49+X57+X62+X66+X71+X77+X83+X88+X94+X104+X110+X122+X126+X130+X136+X142+X148+X153+X158+X163+X168+X175+X183+X187+X193+X201+X206+X211+X216+X222+X228+X234+X238+X245+X250+X256+X269,"0")</f>
        <v>0</v>
      </c>
      <c r="Y270" s="43">
        <f>IFERROR(Y29+Y35+Y42+Y49+Y57+Y62+Y66+Y71+Y77+Y83+Y88+Y94+Y104+Y110+Y122+Y126+Y130+Y136+Y142+Y148+Y153+Y158+Y163+Y168+Y175+Y183+Y187+Y193+Y201+Y206+Y211+Y216+Y222+Y228+Y234+Y238+Y245+Y250+Y256+Y269,"0")</f>
        <v>0</v>
      </c>
      <c r="Z270" s="42"/>
      <c r="AA270" s="67"/>
      <c r="AB270" s="67"/>
      <c r="AC270" s="67"/>
    </row>
    <row r="271" spans="1:68" x14ac:dyDescent="0.2">
      <c r="A271" s="360"/>
      <c r="B271" s="360"/>
      <c r="C271" s="360"/>
      <c r="D271" s="360"/>
      <c r="E271" s="360"/>
      <c r="F271" s="360"/>
      <c r="G271" s="360"/>
      <c r="H271" s="360"/>
      <c r="I271" s="360"/>
      <c r="J271" s="360"/>
      <c r="K271" s="360"/>
      <c r="L271" s="360"/>
      <c r="M271" s="360"/>
      <c r="N271" s="360"/>
      <c r="O271" s="453"/>
      <c r="P271" s="450" t="s">
        <v>34</v>
      </c>
      <c r="Q271" s="451"/>
      <c r="R271" s="451"/>
      <c r="S271" s="451"/>
      <c r="T271" s="451"/>
      <c r="U271" s="451"/>
      <c r="V271" s="452"/>
      <c r="W271" s="42" t="s">
        <v>0</v>
      </c>
      <c r="X271" s="43">
        <f>IFERROR(SUM(BM22:BM267),"0")</f>
        <v>0</v>
      </c>
      <c r="Y271" s="43">
        <f>IFERROR(SUM(BN22:BN267),"0")</f>
        <v>0</v>
      </c>
      <c r="Z271" s="42"/>
      <c r="AA271" s="67"/>
      <c r="AB271" s="67"/>
      <c r="AC271" s="67"/>
    </row>
    <row r="272" spans="1:68" x14ac:dyDescent="0.2">
      <c r="A272" s="360"/>
      <c r="B272" s="360"/>
      <c r="C272" s="360"/>
      <c r="D272" s="360"/>
      <c r="E272" s="360"/>
      <c r="F272" s="360"/>
      <c r="G272" s="360"/>
      <c r="H272" s="360"/>
      <c r="I272" s="360"/>
      <c r="J272" s="360"/>
      <c r="K272" s="360"/>
      <c r="L272" s="360"/>
      <c r="M272" s="360"/>
      <c r="N272" s="360"/>
      <c r="O272" s="453"/>
      <c r="P272" s="450" t="s">
        <v>35</v>
      </c>
      <c r="Q272" s="451"/>
      <c r="R272" s="451"/>
      <c r="S272" s="451"/>
      <c r="T272" s="451"/>
      <c r="U272" s="451"/>
      <c r="V272" s="452"/>
      <c r="W272" s="42" t="s">
        <v>20</v>
      </c>
      <c r="X272" s="44">
        <f>ROUNDUP(SUM(BO22:BO267),0)</f>
        <v>0</v>
      </c>
      <c r="Y272" s="44">
        <f>ROUNDUP(SUM(BP22:BP267),0)</f>
        <v>0</v>
      </c>
      <c r="Z272" s="42"/>
      <c r="AA272" s="67"/>
      <c r="AB272" s="67"/>
      <c r="AC272" s="67"/>
    </row>
    <row r="273" spans="1:32" x14ac:dyDescent="0.2">
      <c r="A273" s="360"/>
      <c r="B273" s="360"/>
      <c r="C273" s="360"/>
      <c r="D273" s="360"/>
      <c r="E273" s="360"/>
      <c r="F273" s="360"/>
      <c r="G273" s="360"/>
      <c r="H273" s="360"/>
      <c r="I273" s="360"/>
      <c r="J273" s="360"/>
      <c r="K273" s="360"/>
      <c r="L273" s="360"/>
      <c r="M273" s="360"/>
      <c r="N273" s="360"/>
      <c r="O273" s="453"/>
      <c r="P273" s="450" t="s">
        <v>36</v>
      </c>
      <c r="Q273" s="451"/>
      <c r="R273" s="451"/>
      <c r="S273" s="451"/>
      <c r="T273" s="451"/>
      <c r="U273" s="451"/>
      <c r="V273" s="452"/>
      <c r="W273" s="42" t="s">
        <v>0</v>
      </c>
      <c r="X273" s="43">
        <f>GrossWeightTotal+PalletQtyTotal*25</f>
        <v>0</v>
      </c>
      <c r="Y273" s="43">
        <f>GrossWeightTotalR+PalletQtyTotalR*25</f>
        <v>0</v>
      </c>
      <c r="Z273" s="42"/>
      <c r="AA273" s="67"/>
      <c r="AB273" s="67"/>
      <c r="AC273" s="67"/>
    </row>
    <row r="274" spans="1:32" x14ac:dyDescent="0.2">
      <c r="A274" s="360"/>
      <c r="B274" s="360"/>
      <c r="C274" s="360"/>
      <c r="D274" s="360"/>
      <c r="E274" s="360"/>
      <c r="F274" s="360"/>
      <c r="G274" s="360"/>
      <c r="H274" s="360"/>
      <c r="I274" s="360"/>
      <c r="J274" s="360"/>
      <c r="K274" s="360"/>
      <c r="L274" s="360"/>
      <c r="M274" s="360"/>
      <c r="N274" s="360"/>
      <c r="O274" s="453"/>
      <c r="P274" s="450" t="s">
        <v>37</v>
      </c>
      <c r="Q274" s="451"/>
      <c r="R274" s="451"/>
      <c r="S274" s="451"/>
      <c r="T274" s="451"/>
      <c r="U274" s="451"/>
      <c r="V274" s="452"/>
      <c r="W274" s="42" t="s">
        <v>20</v>
      </c>
      <c r="X274" s="43">
        <f>IFERROR(X28+X34+X41+X48+X56+X61+X65+X70+X76+X82+X87+X93+X103+X109+X121+X125+X129+X135+X141+X147+X152+X157+X162+X167+X174+X182+X186+X192+X200+X205+X210+X215+X221+X227+X233+X237+X244+X249+X255+X268,"0")</f>
        <v>0</v>
      </c>
      <c r="Y274" s="43">
        <f>IFERROR(Y28+Y34+Y41+Y48+Y56+Y61+Y65+Y70+Y76+Y82+Y87+Y93+Y103+Y109+Y121+Y125+Y129+Y135+Y141+Y147+Y152+Y157+Y162+Y167+Y174+Y182+Y186+Y192+Y200+Y205+Y210+Y215+Y221+Y227+Y233+Y237+Y244+Y249+Y255+Y268,"0")</f>
        <v>0</v>
      </c>
      <c r="Z274" s="42"/>
      <c r="AA274" s="67"/>
      <c r="AB274" s="67"/>
      <c r="AC274" s="67"/>
    </row>
    <row r="275" spans="1:32" ht="14.25" x14ac:dyDescent="0.2">
      <c r="A275" s="360"/>
      <c r="B275" s="360"/>
      <c r="C275" s="360"/>
      <c r="D275" s="360"/>
      <c r="E275" s="360"/>
      <c r="F275" s="360"/>
      <c r="G275" s="360"/>
      <c r="H275" s="360"/>
      <c r="I275" s="360"/>
      <c r="J275" s="360"/>
      <c r="K275" s="360"/>
      <c r="L275" s="360"/>
      <c r="M275" s="360"/>
      <c r="N275" s="360"/>
      <c r="O275" s="453"/>
      <c r="P275" s="450" t="s">
        <v>38</v>
      </c>
      <c r="Q275" s="451"/>
      <c r="R275" s="451"/>
      <c r="S275" s="451"/>
      <c r="T275" s="451"/>
      <c r="U275" s="451"/>
      <c r="V275" s="452"/>
      <c r="W275" s="45" t="s">
        <v>52</v>
      </c>
      <c r="X275" s="42"/>
      <c r="Y275" s="42"/>
      <c r="Z275" s="42">
        <f>IFERROR(Z28+Z34+Z41+Z48+Z56+Z61+Z65+Z70+Z76+Z82+Z87+Z93+Z103+Z109+Z121+Z125+Z129+Z135+Z141+Z147+Z152+Z157+Z162+Z167+Z174+Z182+Z186+Z192+Z200+Z205+Z210+Z215+Z221+Z227+Z233+Z237+Z244+Z249+Z255+Z268,"0")</f>
        <v>0</v>
      </c>
      <c r="AA275" s="67"/>
      <c r="AB275" s="67"/>
      <c r="AC275" s="67"/>
    </row>
    <row r="276" spans="1:32" ht="13.5" thickBot="1" x14ac:dyDescent="0.25"/>
    <row r="277" spans="1:32" ht="27" thickTop="1" thickBot="1" x14ac:dyDescent="0.25">
      <c r="A277" s="46" t="s">
        <v>9</v>
      </c>
      <c r="B277" s="456" t="s">
        <v>80</v>
      </c>
      <c r="C277" s="456" t="s">
        <v>80</v>
      </c>
      <c r="D277" s="456" t="s">
        <v>45</v>
      </c>
      <c r="E277" s="456" t="s">
        <v>45</v>
      </c>
      <c r="F277" s="456" t="s">
        <v>45</v>
      </c>
      <c r="G277" s="456" t="s">
        <v>45</v>
      </c>
      <c r="H277" s="456" t="s">
        <v>45</v>
      </c>
      <c r="I277" s="456" t="s">
        <v>45</v>
      </c>
      <c r="J277" s="456" t="s">
        <v>45</v>
      </c>
      <c r="K277" s="456" t="s">
        <v>45</v>
      </c>
      <c r="L277" s="456" t="s">
        <v>45</v>
      </c>
      <c r="M277" s="456" t="s">
        <v>45</v>
      </c>
      <c r="N277" s="457"/>
      <c r="O277" s="456" t="s">
        <v>45</v>
      </c>
      <c r="P277" s="456" t="s">
        <v>45</v>
      </c>
      <c r="Q277" s="456" t="s">
        <v>45</v>
      </c>
      <c r="R277" s="456" t="s">
        <v>45</v>
      </c>
      <c r="S277" s="456" t="s">
        <v>45</v>
      </c>
      <c r="T277" s="456" t="s">
        <v>45</v>
      </c>
      <c r="U277" s="456" t="s">
        <v>45</v>
      </c>
      <c r="V277" s="88" t="s">
        <v>263</v>
      </c>
      <c r="W277" s="88" t="s">
        <v>271</v>
      </c>
      <c r="X277" s="456" t="s">
        <v>290</v>
      </c>
      <c r="Y277" s="456" t="s">
        <v>290</v>
      </c>
      <c r="Z277" s="456" t="s">
        <v>290</v>
      </c>
      <c r="AA277" s="88" t="s">
        <v>322</v>
      </c>
      <c r="AB277" s="88" t="s">
        <v>327</v>
      </c>
      <c r="AC277" s="88" t="s">
        <v>331</v>
      </c>
      <c r="AD277" s="88" t="s">
        <v>339</v>
      </c>
      <c r="AF277" s="1"/>
    </row>
    <row r="278" spans="1:32" ht="14.25" customHeight="1" thickTop="1" x14ac:dyDescent="0.2">
      <c r="A278" s="454" t="s">
        <v>10</v>
      </c>
      <c r="B278" s="456" t="s">
        <v>80</v>
      </c>
      <c r="C278" s="456" t="s">
        <v>99</v>
      </c>
      <c r="D278" s="456" t="s">
        <v>105</v>
      </c>
      <c r="E278" s="456" t="s">
        <v>116</v>
      </c>
      <c r="F278" s="456" t="s">
        <v>126</v>
      </c>
      <c r="G278" s="456" t="s">
        <v>137</v>
      </c>
      <c r="H278" s="456" t="s">
        <v>158</v>
      </c>
      <c r="I278" s="456" t="s">
        <v>165</v>
      </c>
      <c r="J278" s="456" t="s">
        <v>169</v>
      </c>
      <c r="K278" s="456" t="s">
        <v>177</v>
      </c>
      <c r="L278" s="456" t="s">
        <v>192</v>
      </c>
      <c r="M278" s="456" t="s">
        <v>198</v>
      </c>
      <c r="N278" s="1"/>
      <c r="O278" s="456" t="s">
        <v>227</v>
      </c>
      <c r="P278" s="456" t="s">
        <v>235</v>
      </c>
      <c r="Q278" s="456" t="s">
        <v>242</v>
      </c>
      <c r="R278" s="456" t="s">
        <v>247</v>
      </c>
      <c r="S278" s="456" t="s">
        <v>251</v>
      </c>
      <c r="T278" s="456" t="s">
        <v>254</v>
      </c>
      <c r="U278" s="456" t="s">
        <v>259</v>
      </c>
      <c r="V278" s="456" t="s">
        <v>264</v>
      </c>
      <c r="W278" s="456" t="s">
        <v>272</v>
      </c>
      <c r="X278" s="456" t="s">
        <v>291</v>
      </c>
      <c r="Y278" s="456" t="s">
        <v>309</v>
      </c>
      <c r="Z278" s="456" t="s">
        <v>313</v>
      </c>
      <c r="AA278" s="456" t="s">
        <v>323</v>
      </c>
      <c r="AB278" s="456" t="s">
        <v>328</v>
      </c>
      <c r="AC278" s="456" t="s">
        <v>332</v>
      </c>
      <c r="AD278" s="456" t="s">
        <v>339</v>
      </c>
      <c r="AF278" s="1"/>
    </row>
    <row r="279" spans="1:32" ht="13.5" thickBot="1" x14ac:dyDescent="0.25">
      <c r="A279" s="455"/>
      <c r="B279" s="456"/>
      <c r="C279" s="456"/>
      <c r="D279" s="456"/>
      <c r="E279" s="456"/>
      <c r="F279" s="456"/>
      <c r="G279" s="456"/>
      <c r="H279" s="456"/>
      <c r="I279" s="456"/>
      <c r="J279" s="456"/>
      <c r="K279" s="456"/>
      <c r="L279" s="456"/>
      <c r="M279" s="456"/>
      <c r="N279" s="1"/>
      <c r="O279" s="456"/>
      <c r="P279" s="456"/>
      <c r="Q279" s="456"/>
      <c r="R279" s="456"/>
      <c r="S279" s="456"/>
      <c r="T279" s="456"/>
      <c r="U279" s="456"/>
      <c r="V279" s="456"/>
      <c r="W279" s="456"/>
      <c r="X279" s="456"/>
      <c r="Y279" s="456"/>
      <c r="Z279" s="456"/>
      <c r="AA279" s="456"/>
      <c r="AB279" s="456"/>
      <c r="AC279" s="456"/>
      <c r="AD279" s="456"/>
      <c r="AF279" s="1"/>
    </row>
    <row r="280" spans="1:32" ht="18" thickTop="1" thickBot="1" x14ac:dyDescent="0.25">
      <c r="A280" s="46" t="s">
        <v>13</v>
      </c>
      <c r="B280" s="52">
        <f>IFERROR(X22*H22,"0")+IFERROR(X23*H23,"0")+IFERROR(X24*H24,"0")+IFERROR(X25*H25,"0")+IFERROR(X26*H26,"0")+IFERROR(X27*H27,"0")</f>
        <v>0</v>
      </c>
      <c r="C280" s="52">
        <f>IFERROR(X32*H32,"0")+IFERROR(X33*H33,"0")</f>
        <v>0</v>
      </c>
      <c r="D280" s="52">
        <f>IFERROR(X39*H39,"0")+IFERROR(X40*H40,"0")</f>
        <v>0</v>
      </c>
      <c r="E280" s="52">
        <f>IFERROR(X45*H45,"0")+IFERROR(X46*H46,"0")+IFERROR(X47*H47,"0")</f>
        <v>0</v>
      </c>
      <c r="F280" s="52">
        <f>IFERROR(X52*H52,"0")+IFERROR(X53*H53,"0")+IFERROR(X54*H54,"0")+IFERROR(X55*H55,"0")</f>
        <v>0</v>
      </c>
      <c r="G280" s="52">
        <f>IFERROR(X60*H60,"0")+IFERROR(X64*H64,"0")+IFERROR(X68*H68,"0")+IFERROR(X69*H69,"0")+IFERROR(X73*H73,"0")+IFERROR(X74*H74,"0")+IFERROR(X75*H75,"0")</f>
        <v>0</v>
      </c>
      <c r="H280" s="52">
        <f>IFERROR(X80*H80,"0")+IFERROR(X81*H81,"0")</f>
        <v>0</v>
      </c>
      <c r="I280" s="52">
        <f>IFERROR(X86*H86,"0")</f>
        <v>0</v>
      </c>
      <c r="J280" s="52">
        <f>IFERROR(X91*H91,"0")+IFERROR(X92*H92,"0")</f>
        <v>0</v>
      </c>
      <c r="K280" s="52">
        <f>IFERROR(X97*H97,"0")+IFERROR(X98*H98,"0")+IFERROR(X99*H99,"0")+IFERROR(X100*H100,"0")+IFERROR(X101*H101,"0")+IFERROR(X102*H102,"0")</f>
        <v>0</v>
      </c>
      <c r="L280" s="52">
        <f>IFERROR(X107*H107,"0")+IFERROR(X108*H108,"0")</f>
        <v>0</v>
      </c>
      <c r="M280" s="52">
        <f>IFERROR(X113*H113,"0")+IFERROR(X114*H114,"0")+IFERROR(X115*H115,"0")+IFERROR(X116*H116,"0")+IFERROR(X117*H117,"0")+IFERROR(X118*H118,"0")+IFERROR(X119*H119,"0")+IFERROR(X120*H120,"0")+IFERROR(X124*H124,"0")+IFERROR(X128*H128,"0")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2">
        <f>IFERROR(X133*H133,"0")+IFERROR(X134*H134,"0")</f>
        <v>0</v>
      </c>
      <c r="P280" s="52">
        <f>IFERROR(X139*H139,"0")+IFERROR(X140*H140,"0")</f>
        <v>0</v>
      </c>
      <c r="Q280" s="52">
        <f>IFERROR(X145*H145,"0")+IFERROR(X146*H146,"0")</f>
        <v>0</v>
      </c>
      <c r="R280" s="52">
        <f>IFERROR(X151*H151,"0")</f>
        <v>0</v>
      </c>
      <c r="S280" s="52">
        <f>IFERROR(X156*H156,"0")</f>
        <v>0</v>
      </c>
      <c r="T280" s="52">
        <f>IFERROR(X161*H161,"0")</f>
        <v>0</v>
      </c>
      <c r="U280" s="52">
        <f>IFERROR(X166*H166,"0")</f>
        <v>0</v>
      </c>
      <c r="V280" s="52">
        <f>IFERROR(X172*H172,"0")+IFERROR(X173*H173,"0")</f>
        <v>0</v>
      </c>
      <c r="W280" s="52">
        <f>IFERROR(X179*H179,"0")+IFERROR(X180*H180,"0")+IFERROR(X181*H181,"0")+IFERROR(X185*H185,"0")</f>
        <v>0</v>
      </c>
      <c r="X280" s="52">
        <f>IFERROR(X191*H191,"0")+IFERROR(X195*H195,"0")+IFERROR(X196*H196,"0")+IFERROR(X197*H197,"0")+IFERROR(X198*H198,"0")+IFERROR(X199*H199,"0")</f>
        <v>0</v>
      </c>
      <c r="Y280" s="52">
        <f>IFERROR(X204*H204,"0")</f>
        <v>0</v>
      </c>
      <c r="Z280" s="52">
        <f>IFERROR(X209*H209,"0")+IFERROR(X213*H213,"0")+IFERROR(X214*H214,"0")</f>
        <v>0</v>
      </c>
      <c r="AA280" s="52">
        <f>IFERROR(X220*H220,"0")</f>
        <v>0</v>
      </c>
      <c r="AB280" s="52">
        <f>IFERROR(X226*H226,"0")</f>
        <v>0</v>
      </c>
      <c r="AC280" s="52">
        <f>IFERROR(X232*H232,"0")+IFERROR(X236*H236,"0")</f>
        <v>0</v>
      </c>
      <c r="AD280" s="52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0</v>
      </c>
      <c r="AF280" s="1"/>
    </row>
    <row r="281" spans="1:32" ht="13.5" thickTop="1" x14ac:dyDescent="0.2">
      <c r="C281" s="1"/>
    </row>
    <row r="282" spans="1:32" ht="19.5" customHeight="1" x14ac:dyDescent="0.2">
      <c r="A282" s="70" t="s">
        <v>62</v>
      </c>
      <c r="B282" s="70" t="s">
        <v>63</v>
      </c>
      <c r="C282" s="70" t="s">
        <v>65</v>
      </c>
    </row>
    <row r="283" spans="1:32" x14ac:dyDescent="0.2">
      <c r="A283" s="71">
        <f>SUMPRODUCT(--(BB:BB="ЗПФ"),--(W:W="кор"),H:H,Y:Y)+SUMPRODUCT(--(BB:BB="ЗПФ"),--(W:W="кг"),Y:Y)</f>
        <v>0</v>
      </c>
      <c r="B283" s="72">
        <f>SUMPRODUCT(--(BB:BB="ПГП"),--(W:W="кор"),H:H,Y:Y)+SUMPRODUCT(--(BB:BB="ПГП"),--(W:W="кг"),Y:Y)</f>
        <v>0</v>
      </c>
      <c r="C283" s="72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0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6:E266"/>
    <mergeCell ref="P266:T266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49:V249"/>
    <mergeCell ref="A249:O250"/>
    <mergeCell ref="P250:V250"/>
    <mergeCell ref="A251:Z251"/>
    <mergeCell ref="D252:E252"/>
    <mergeCell ref="P252:T252"/>
    <mergeCell ref="D253:E253"/>
    <mergeCell ref="P253:T253"/>
    <mergeCell ref="D254:E254"/>
    <mergeCell ref="P254:T254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36:E236"/>
    <mergeCell ref="P236:T236"/>
    <mergeCell ref="P237:V237"/>
    <mergeCell ref="A237:O238"/>
    <mergeCell ref="P238:V238"/>
    <mergeCell ref="A239:Z239"/>
    <mergeCell ref="A240:Z240"/>
    <mergeCell ref="A241:Z241"/>
    <mergeCell ref="D242:E242"/>
    <mergeCell ref="P242:T242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D214:E214"/>
    <mergeCell ref="P214:T214"/>
    <mergeCell ref="P215:V215"/>
    <mergeCell ref="A215:O216"/>
    <mergeCell ref="P216:V216"/>
    <mergeCell ref="A217:Z217"/>
    <mergeCell ref="A218:Z218"/>
    <mergeCell ref="A219:Z219"/>
    <mergeCell ref="D220:E220"/>
    <mergeCell ref="P220:T220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P200:V200"/>
    <mergeCell ref="A200:O201"/>
    <mergeCell ref="P201:V201"/>
    <mergeCell ref="A202:Z202"/>
    <mergeCell ref="A203:Z203"/>
    <mergeCell ref="D204:E204"/>
    <mergeCell ref="P204:T204"/>
    <mergeCell ref="P205:V205"/>
    <mergeCell ref="A205:O206"/>
    <mergeCell ref="P206:V206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8:Z188"/>
    <mergeCell ref="A189:Z189"/>
    <mergeCell ref="A190:Z190"/>
    <mergeCell ref="D191:E191"/>
    <mergeCell ref="P191:T191"/>
    <mergeCell ref="P192:V192"/>
    <mergeCell ref="A192:O193"/>
    <mergeCell ref="P193:V193"/>
    <mergeCell ref="A194:Z194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P186:V186"/>
    <mergeCell ref="A186:O187"/>
    <mergeCell ref="P187:V187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67:V167"/>
    <mergeCell ref="A167:O168"/>
    <mergeCell ref="P168:V168"/>
    <mergeCell ref="A169:Z169"/>
    <mergeCell ref="A170:Z170"/>
    <mergeCell ref="A171:Z171"/>
    <mergeCell ref="D172:E172"/>
    <mergeCell ref="P172:T172"/>
    <mergeCell ref="D173:E173"/>
    <mergeCell ref="P173:T173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A154:Z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P147:V147"/>
    <mergeCell ref="A147:O148"/>
    <mergeCell ref="P148:V148"/>
    <mergeCell ref="A149:Z149"/>
    <mergeCell ref="A150:Z150"/>
    <mergeCell ref="D151:E151"/>
    <mergeCell ref="P151:T151"/>
    <mergeCell ref="P152:V152"/>
    <mergeCell ref="A152:O153"/>
    <mergeCell ref="P153:V153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35:V135"/>
    <mergeCell ref="A135:O136"/>
    <mergeCell ref="P136:V136"/>
    <mergeCell ref="A137:Z137"/>
    <mergeCell ref="A138:Z138"/>
    <mergeCell ref="D139:E139"/>
    <mergeCell ref="P139:T139"/>
    <mergeCell ref="D140:E140"/>
    <mergeCell ref="P140:T140"/>
    <mergeCell ref="P129:V129"/>
    <mergeCell ref="A129:O130"/>
    <mergeCell ref="P130:V130"/>
    <mergeCell ref="A131:Z131"/>
    <mergeCell ref="A132:Z132"/>
    <mergeCell ref="D133:E133"/>
    <mergeCell ref="P133:T133"/>
    <mergeCell ref="D134:E134"/>
    <mergeCell ref="P134:T134"/>
    <mergeCell ref="A123:Z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1:X267 X258 X254 X248 X242 X236 X232 X220 X213:X214 X209 X195:X199 X185 X172 X161 X156 X145:X146 X139 X128 X124 X120 X117 X113 X102 X80 X73:X75 X68:X69 X64 X60 X54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59:X260 X252:X253 X247 X243 X226 X204 X191 X179:X181 X173 X166 X151 X140 X133 X118:X119 X114:X116 X107:X108 X97:X101 X91:X92 X86 X81 X55 X52:X53 X45:X47 X39:X40" xr:uid="{00000000-0002-0000-0000-000019000000}">
      <formula1>IF(AK39&gt;0,OR(X39=0,AND(IF(X39-AK39&gt;=0,TRUE,FALSE),X39&gt;0,IF(X39/K39=ROUND(X39/K39,0),TRUE,FALSE))),FALSE)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41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9"/>
    </row>
    <row r="3" spans="2:8" x14ac:dyDescent="0.2">
      <c r="B3" s="53" t="s">
        <v>380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382</v>
      </c>
      <c r="D6" s="53" t="s">
        <v>383</v>
      </c>
      <c r="E6" s="53" t="s">
        <v>46</v>
      </c>
    </row>
    <row r="8" spans="2:8" x14ac:dyDescent="0.2">
      <c r="B8" s="53" t="s">
        <v>79</v>
      </c>
      <c r="C8" s="53" t="s">
        <v>382</v>
      </c>
      <c r="D8" s="53" t="s">
        <v>46</v>
      </c>
      <c r="E8" s="53" t="s">
        <v>46</v>
      </c>
    </row>
    <row r="10" spans="2:8" x14ac:dyDescent="0.2">
      <c r="B10" s="53" t="s">
        <v>384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385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386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394</v>
      </c>
      <c r="C20" s="53" t="s">
        <v>46</v>
      </c>
      <c r="D20" s="53" t="s">
        <v>46</v>
      </c>
      <c r="E20" s="53" t="s">
        <v>46</v>
      </c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