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436E88-7FC7-4641-B246-B7E8237E342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заказа'!$X$269:$X$269</definedName>
    <definedName name="GrossWeightTotalR">'Бланк заказа'!$Y$269:$Y$269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заказа'!$X$270:$X$270</definedName>
    <definedName name="PalletQtyTotalR">'Бланк заказа'!$Y$270:$Y$270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заказа'!$B$184:$B$184</definedName>
    <definedName name="ProductId63">'Бланк заказа'!$B$190:$B$190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заказа'!$B$203:$B$203</definedName>
    <definedName name="ProductId7">'Бланк заказа'!$B$32:$B$32</definedName>
    <definedName name="ProductId70">'Бланк заказа'!$B$208:$B$208</definedName>
    <definedName name="ProductId71">'Бланк заказа'!$B$212:$B$212</definedName>
    <definedName name="ProductId72">'Бланк заказа'!$B$213:$B$213</definedName>
    <definedName name="ProductId73">'Бланк заказа'!$B$219:$B$219</definedName>
    <definedName name="ProductId74">'Бланк заказа'!$B$225:$B$225</definedName>
    <definedName name="ProductId75">'Бланк заказа'!$B$231:$B$231</definedName>
    <definedName name="ProductId76">'Бланк заказа'!$B$235:$B$235</definedName>
    <definedName name="ProductId77">'Бланк заказа'!$B$241:$B$241</definedName>
    <definedName name="ProductId78">'Бланк заказа'!$B$242:$B$242</definedName>
    <definedName name="ProductId79">'Бланк заказа'!$B$246:$B$246</definedName>
    <definedName name="ProductId8">'Бланк заказа'!$B$33:$B$33</definedName>
    <definedName name="ProductId80">'Бланк заказа'!$B$250:$B$250</definedName>
    <definedName name="ProductId81">'Бланк заказа'!$B$251:$B$251</definedName>
    <definedName name="ProductId82">'Бланк заказа'!$B$252:$B$252</definedName>
    <definedName name="ProductId83">'Бланк заказа'!$B$256:$B$256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заказа'!$X$184:$X$184</definedName>
    <definedName name="SalesQty63">'Бланк заказа'!$X$190:$X$190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заказа'!$X$203:$X$203</definedName>
    <definedName name="SalesQty7">'Бланк заказа'!$X$32:$X$32</definedName>
    <definedName name="SalesQty70">'Бланк заказа'!$X$208:$X$208</definedName>
    <definedName name="SalesQty71">'Бланк заказа'!$X$212:$X$212</definedName>
    <definedName name="SalesQty72">'Бланк заказа'!$X$213:$X$213</definedName>
    <definedName name="SalesQty73">'Бланк заказа'!$X$219:$X$219</definedName>
    <definedName name="SalesQty74">'Бланк заказа'!$X$225:$X$225</definedName>
    <definedName name="SalesQty75">'Бланк заказа'!$X$231:$X$231</definedName>
    <definedName name="SalesQty76">'Бланк заказа'!$X$235:$X$235</definedName>
    <definedName name="SalesQty77">'Бланк заказа'!$X$241:$X$241</definedName>
    <definedName name="SalesQty78">'Бланк заказа'!$X$242:$X$242</definedName>
    <definedName name="SalesQty79">'Бланк заказа'!$X$246:$X$246</definedName>
    <definedName name="SalesQty8">'Бланк заказа'!$X$33:$X$33</definedName>
    <definedName name="SalesQty80">'Бланк заказа'!$X$250:$X$250</definedName>
    <definedName name="SalesQty81">'Бланк заказа'!$X$251:$X$251</definedName>
    <definedName name="SalesQty82">'Бланк заказа'!$X$252:$X$252</definedName>
    <definedName name="SalesQty83">'Бланк заказа'!$X$256:$X$256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заказа'!$Y$184:$Y$184</definedName>
    <definedName name="SalesRoundBox63">'Бланк заказа'!$Y$190:$Y$190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заказа'!$Y$203:$Y$203</definedName>
    <definedName name="SalesRoundBox7">'Бланк заказа'!$Y$32:$Y$32</definedName>
    <definedName name="SalesRoundBox70">'Бланк заказа'!$Y$208:$Y$208</definedName>
    <definedName name="SalesRoundBox71">'Бланк заказа'!$Y$212:$Y$212</definedName>
    <definedName name="SalesRoundBox72">'Бланк заказа'!$Y$213:$Y$213</definedName>
    <definedName name="SalesRoundBox73">'Бланк заказа'!$Y$219:$Y$219</definedName>
    <definedName name="SalesRoundBox74">'Бланк заказа'!$Y$225:$Y$225</definedName>
    <definedName name="SalesRoundBox75">'Бланк заказа'!$Y$231:$Y$231</definedName>
    <definedName name="SalesRoundBox76">'Бланк заказа'!$Y$235:$Y$235</definedName>
    <definedName name="SalesRoundBox77">'Бланк заказа'!$Y$241:$Y$241</definedName>
    <definedName name="SalesRoundBox78">'Бланк заказа'!$Y$242:$Y$242</definedName>
    <definedName name="SalesRoundBox79">'Бланк заказа'!$Y$246:$Y$246</definedName>
    <definedName name="SalesRoundBox8">'Бланк заказа'!$Y$33:$Y$33</definedName>
    <definedName name="SalesRoundBox80">'Бланк заказа'!$Y$250:$Y$250</definedName>
    <definedName name="SalesRoundBox81">'Бланк заказа'!$Y$251:$Y$251</definedName>
    <definedName name="SalesRoundBox82">'Бланк заказа'!$Y$252:$Y$252</definedName>
    <definedName name="SalesRoundBox83">'Бланк заказа'!$Y$256:$Y$256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заказа'!$W$184:$W$184</definedName>
    <definedName name="UnitOfMeasure63">'Бланк заказа'!$W$190:$W$190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заказа'!$W$203:$W$203</definedName>
    <definedName name="UnitOfMeasure7">'Бланк заказа'!$W$32:$W$32</definedName>
    <definedName name="UnitOfMeasure70">'Бланк заказа'!$W$208:$W$208</definedName>
    <definedName name="UnitOfMeasure71">'Бланк заказа'!$W$212:$W$212</definedName>
    <definedName name="UnitOfMeasure72">'Бланк заказа'!$W$213:$W$213</definedName>
    <definedName name="UnitOfMeasure73">'Бланк заказа'!$W$219:$W$219</definedName>
    <definedName name="UnitOfMeasure74">'Бланк заказа'!$W$225:$W$225</definedName>
    <definedName name="UnitOfMeasure75">'Бланк заказа'!$W$231:$W$231</definedName>
    <definedName name="UnitOfMeasure76">'Бланк заказа'!$W$235:$W$235</definedName>
    <definedName name="UnitOfMeasure77">'Бланк заказа'!$W$241:$W$241</definedName>
    <definedName name="UnitOfMeasure78">'Бланк заказа'!$W$242:$W$242</definedName>
    <definedName name="UnitOfMeasure79">'Бланк заказа'!$W$246:$W$246</definedName>
    <definedName name="UnitOfMeasure8">'Бланк заказа'!$W$33:$W$33</definedName>
    <definedName name="UnitOfMeasure80">'Бланк заказа'!$W$250:$W$250</definedName>
    <definedName name="UnitOfMeasure81">'Бланк заказа'!$W$251:$W$251</definedName>
    <definedName name="UnitOfMeasure82">'Бланк заказа'!$W$252:$W$252</definedName>
    <definedName name="UnitOfMeasure83">'Бланк заказа'!$W$256:$W$256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8" i="2" l="1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X267" i="2"/>
  <c r="X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P260" i="2"/>
  <c r="BO260" i="2"/>
  <c r="BN260" i="2"/>
  <c r="BM260" i="2"/>
  <c r="Z260" i="2"/>
  <c r="Y260" i="2"/>
  <c r="P260" i="2"/>
  <c r="BO259" i="2"/>
  <c r="BM259" i="2"/>
  <c r="Z259" i="2"/>
  <c r="Y259" i="2"/>
  <c r="BP259" i="2" s="1"/>
  <c r="P259" i="2"/>
  <c r="BP258" i="2"/>
  <c r="BO258" i="2"/>
  <c r="BN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N256" i="2" s="1"/>
  <c r="P256" i="2"/>
  <c r="X254" i="2"/>
  <c r="X253" i="2"/>
  <c r="BO252" i="2"/>
  <c r="BM252" i="2"/>
  <c r="Z252" i="2"/>
  <c r="Y252" i="2"/>
  <c r="P252" i="2"/>
  <c r="BO251" i="2"/>
  <c r="BN251" i="2"/>
  <c r="BM251" i="2"/>
  <c r="Z251" i="2"/>
  <c r="Z253" i="2" s="1"/>
  <c r="Y251" i="2"/>
  <c r="BP251" i="2" s="1"/>
  <c r="P251" i="2"/>
  <c r="BO250" i="2"/>
  <c r="BM250" i="2"/>
  <c r="Z250" i="2"/>
  <c r="Y250" i="2"/>
  <c r="BP250" i="2" s="1"/>
  <c r="P250" i="2"/>
  <c r="X248" i="2"/>
  <c r="Z247" i="2"/>
  <c r="X247" i="2"/>
  <c r="BO246" i="2"/>
  <c r="BM246" i="2"/>
  <c r="Z246" i="2"/>
  <c r="Y246" i="2"/>
  <c r="BP246" i="2" s="1"/>
  <c r="P246" i="2"/>
  <c r="X244" i="2"/>
  <c r="X243" i="2"/>
  <c r="BP242" i="2"/>
  <c r="BO242" i="2"/>
  <c r="BN242" i="2"/>
  <c r="BM242" i="2"/>
  <c r="Z242" i="2"/>
  <c r="Y242" i="2"/>
  <c r="P242" i="2"/>
  <c r="BO241" i="2"/>
  <c r="BM241" i="2"/>
  <c r="Z241" i="2"/>
  <c r="Z243" i="2" s="1"/>
  <c r="Y241" i="2"/>
  <c r="BN241" i="2" s="1"/>
  <c r="P241" i="2"/>
  <c r="X237" i="2"/>
  <c r="X236" i="2"/>
  <c r="BO235" i="2"/>
  <c r="BM235" i="2"/>
  <c r="Z235" i="2"/>
  <c r="Z236" i="2" s="1"/>
  <c r="Y235" i="2"/>
  <c r="Y237" i="2" s="1"/>
  <c r="P235" i="2"/>
  <c r="X233" i="2"/>
  <c r="X232" i="2"/>
  <c r="BO231" i="2"/>
  <c r="BM231" i="2"/>
  <c r="Z231" i="2"/>
  <c r="Z232" i="2" s="1"/>
  <c r="Y231" i="2"/>
  <c r="Y233" i="2" s="1"/>
  <c r="P231" i="2"/>
  <c r="X227" i="2"/>
  <c r="Z226" i="2"/>
  <c r="X226" i="2"/>
  <c r="BO225" i="2"/>
  <c r="BM225" i="2"/>
  <c r="Z225" i="2"/>
  <c r="Y225" i="2"/>
  <c r="Y226" i="2" s="1"/>
  <c r="P225" i="2"/>
  <c r="X221" i="2"/>
  <c r="X220" i="2"/>
  <c r="BO219" i="2"/>
  <c r="BM219" i="2"/>
  <c r="Z219" i="2"/>
  <c r="Z220" i="2" s="1"/>
  <c r="Y219" i="2"/>
  <c r="BN219" i="2" s="1"/>
  <c r="P219" i="2"/>
  <c r="X215" i="2"/>
  <c r="X214" i="2"/>
  <c r="BO213" i="2"/>
  <c r="BM213" i="2"/>
  <c r="Z213" i="2"/>
  <c r="Y213" i="2"/>
  <c r="BP213" i="2" s="1"/>
  <c r="P213" i="2"/>
  <c r="BP212" i="2"/>
  <c r="BO212" i="2"/>
  <c r="BN212" i="2"/>
  <c r="BM212" i="2"/>
  <c r="Z212" i="2"/>
  <c r="Z214" i="2" s="1"/>
  <c r="Y212" i="2"/>
  <c r="P212" i="2"/>
  <c r="X210" i="2"/>
  <c r="X209" i="2"/>
  <c r="BO208" i="2"/>
  <c r="BM208" i="2"/>
  <c r="Z208" i="2"/>
  <c r="Z209" i="2" s="1"/>
  <c r="Y208" i="2"/>
  <c r="Y210" i="2" s="1"/>
  <c r="P208" i="2"/>
  <c r="Y205" i="2"/>
  <c r="X205" i="2"/>
  <c r="Y204" i="2"/>
  <c r="X204" i="2"/>
  <c r="BO203" i="2"/>
  <c r="BM203" i="2"/>
  <c r="Z203" i="2"/>
  <c r="Z204" i="2" s="1"/>
  <c r="Y203" i="2"/>
  <c r="BP203" i="2" s="1"/>
  <c r="P203" i="2"/>
  <c r="X200" i="2"/>
  <c r="X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P195" i="2" s="1"/>
  <c r="P195" i="2"/>
  <c r="BP194" i="2"/>
  <c r="BO194" i="2"/>
  <c r="BN194" i="2"/>
  <c r="BM194" i="2"/>
  <c r="Z194" i="2"/>
  <c r="Z199" i="2" s="1"/>
  <c r="Y194" i="2"/>
  <c r="P194" i="2"/>
  <c r="X192" i="2"/>
  <c r="X191" i="2"/>
  <c r="BO190" i="2"/>
  <c r="BM190" i="2"/>
  <c r="Z190" i="2"/>
  <c r="Z191" i="2" s="1"/>
  <c r="Y190" i="2"/>
  <c r="BN190" i="2" s="1"/>
  <c r="P190" i="2"/>
  <c r="Y186" i="2"/>
  <c r="X186" i="2"/>
  <c r="Y185" i="2"/>
  <c r="X185" i="2"/>
  <c r="BP184" i="2"/>
  <c r="BO184" i="2"/>
  <c r="BN184" i="2"/>
  <c r="BM184" i="2"/>
  <c r="Z184" i="2"/>
  <c r="Z185" i="2" s="1"/>
  <c r="Y184" i="2"/>
  <c r="X182" i="2"/>
  <c r="X181" i="2"/>
  <c r="BO180" i="2"/>
  <c r="BM180" i="2"/>
  <c r="Z180" i="2"/>
  <c r="Y180" i="2"/>
  <c r="BP180" i="2" s="1"/>
  <c r="P180" i="2"/>
  <c r="BP179" i="2"/>
  <c r="BO179" i="2"/>
  <c r="BN179" i="2"/>
  <c r="BM179" i="2"/>
  <c r="Z179" i="2"/>
  <c r="Y179" i="2"/>
  <c r="P179" i="2"/>
  <c r="BO178" i="2"/>
  <c r="BM178" i="2"/>
  <c r="Z178" i="2"/>
  <c r="Z181" i="2" s="1"/>
  <c r="Y178" i="2"/>
  <c r="P178" i="2"/>
  <c r="X174" i="2"/>
  <c r="X173" i="2"/>
  <c r="BO172" i="2"/>
  <c r="BM172" i="2"/>
  <c r="Z172" i="2"/>
  <c r="Y172" i="2"/>
  <c r="Y174" i="2" s="1"/>
  <c r="P172" i="2"/>
  <c r="BO171" i="2"/>
  <c r="BM171" i="2"/>
  <c r="Z171" i="2"/>
  <c r="Z173" i="2" s="1"/>
  <c r="Y171" i="2"/>
  <c r="BP171" i="2" s="1"/>
  <c r="P171" i="2"/>
  <c r="X167" i="2"/>
  <c r="X166" i="2"/>
  <c r="BO165" i="2"/>
  <c r="BN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Y162" i="2" s="1"/>
  <c r="P160" i="2"/>
  <c r="Y157" i="2"/>
  <c r="X157" i="2"/>
  <c r="Y156" i="2"/>
  <c r="X156" i="2"/>
  <c r="BO155" i="2"/>
  <c r="BM155" i="2"/>
  <c r="Z155" i="2"/>
  <c r="Z156" i="2" s="1"/>
  <c r="Y155" i="2"/>
  <c r="BP155" i="2" s="1"/>
  <c r="P155" i="2"/>
  <c r="X152" i="2"/>
  <c r="X151" i="2"/>
  <c r="BO150" i="2"/>
  <c r="BN150" i="2"/>
  <c r="BM150" i="2"/>
  <c r="Z150" i="2"/>
  <c r="Z151" i="2" s="1"/>
  <c r="Y150" i="2"/>
  <c r="Y152" i="2" s="1"/>
  <c r="P150" i="2"/>
  <c r="X147" i="2"/>
  <c r="X146" i="2"/>
  <c r="BO145" i="2"/>
  <c r="BM145" i="2"/>
  <c r="Z145" i="2"/>
  <c r="Y145" i="2"/>
  <c r="P145" i="2"/>
  <c r="BP144" i="2"/>
  <c r="BO144" i="2"/>
  <c r="BM144" i="2"/>
  <c r="Z144" i="2"/>
  <c r="Z146" i="2" s="1"/>
  <c r="Y144" i="2"/>
  <c r="BN144" i="2" s="1"/>
  <c r="P144" i="2"/>
  <c r="X141" i="2"/>
  <c r="X140" i="2"/>
  <c r="BO139" i="2"/>
  <c r="BM139" i="2"/>
  <c r="Z139" i="2"/>
  <c r="Y139" i="2"/>
  <c r="BP139" i="2" s="1"/>
  <c r="P139" i="2"/>
  <c r="BP138" i="2"/>
  <c r="BO138" i="2"/>
  <c r="BN138" i="2"/>
  <c r="BM138" i="2"/>
  <c r="Z138" i="2"/>
  <c r="Z140" i="2" s="1"/>
  <c r="Y138" i="2"/>
  <c r="P138" i="2"/>
  <c r="X135" i="2"/>
  <c r="X134" i="2"/>
  <c r="BO133" i="2"/>
  <c r="BM133" i="2"/>
  <c r="Z133" i="2"/>
  <c r="Y133" i="2"/>
  <c r="P133" i="2"/>
  <c r="BO132" i="2"/>
  <c r="BM132" i="2"/>
  <c r="Z132" i="2"/>
  <c r="Z134" i="2" s="1"/>
  <c r="Y132" i="2"/>
  <c r="BP132" i="2" s="1"/>
  <c r="P132" i="2"/>
  <c r="X129" i="2"/>
  <c r="X128" i="2"/>
  <c r="BO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BP123" i="2" s="1"/>
  <c r="P123" i="2"/>
  <c r="X121" i="2"/>
  <c r="X120" i="2"/>
  <c r="BP119" i="2"/>
  <c r="BO119" i="2"/>
  <c r="BN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BP108" i="2" s="1"/>
  <c r="P108" i="2"/>
  <c r="BP107" i="2"/>
  <c r="BO107" i="2"/>
  <c r="BN107" i="2"/>
  <c r="BM107" i="2"/>
  <c r="Z107" i="2"/>
  <c r="Z109" i="2" s="1"/>
  <c r="Y107" i="2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O100" i="2"/>
  <c r="BN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X94" i="2"/>
  <c r="X93" i="2"/>
  <c r="BO92" i="2"/>
  <c r="BM92" i="2"/>
  <c r="Z92" i="2"/>
  <c r="Y92" i="2"/>
  <c r="P92" i="2"/>
  <c r="BO91" i="2"/>
  <c r="BM91" i="2"/>
  <c r="Z91" i="2"/>
  <c r="Y91" i="2"/>
  <c r="BN91" i="2" s="1"/>
  <c r="P91" i="2"/>
  <c r="X88" i="2"/>
  <c r="X87" i="2"/>
  <c r="BO86" i="2"/>
  <c r="BM86" i="2"/>
  <c r="Z86" i="2"/>
  <c r="Z87" i="2" s="1"/>
  <c r="Y86" i="2"/>
  <c r="Y88" i="2" s="1"/>
  <c r="P86" i="2"/>
  <c r="X83" i="2"/>
  <c r="X82" i="2"/>
  <c r="BP81" i="2"/>
  <c r="BO81" i="2"/>
  <c r="BN81" i="2"/>
  <c r="BM81" i="2"/>
  <c r="Z81" i="2"/>
  <c r="Y81" i="2"/>
  <c r="P81" i="2"/>
  <c r="BO80" i="2"/>
  <c r="BM80" i="2"/>
  <c r="Z80" i="2"/>
  <c r="Y80" i="2"/>
  <c r="Y83" i="2" s="1"/>
  <c r="P80" i="2"/>
  <c r="X77" i="2"/>
  <c r="X76" i="2"/>
  <c r="BO75" i="2"/>
  <c r="BM75" i="2"/>
  <c r="Z75" i="2"/>
  <c r="Y75" i="2"/>
  <c r="BP75" i="2" s="1"/>
  <c r="P75" i="2"/>
  <c r="BO74" i="2"/>
  <c r="BN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P69" i="2"/>
  <c r="BO69" i="2"/>
  <c r="BN69" i="2"/>
  <c r="BM69" i="2"/>
  <c r="Z69" i="2"/>
  <c r="Y69" i="2"/>
  <c r="P69" i="2"/>
  <c r="BO68" i="2"/>
  <c r="BM68" i="2"/>
  <c r="Z68" i="2"/>
  <c r="Y68" i="2"/>
  <c r="BP68" i="2" s="1"/>
  <c r="P68" i="2"/>
  <c r="X66" i="2"/>
  <c r="Z65" i="2"/>
  <c r="X65" i="2"/>
  <c r="BO64" i="2"/>
  <c r="BM64" i="2"/>
  <c r="Z64" i="2"/>
  <c r="Y64" i="2"/>
  <c r="Y65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P53" i="2"/>
  <c r="BO52" i="2"/>
  <c r="BM52" i="2"/>
  <c r="Z52" i="2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N46" i="2" s="1"/>
  <c r="P46" i="2"/>
  <c r="BP45" i="2"/>
  <c r="BO45" i="2"/>
  <c r="BN45" i="2"/>
  <c r="BM45" i="2"/>
  <c r="Z45" i="2"/>
  <c r="Z48" i="2" s="1"/>
  <c r="Y45" i="2"/>
  <c r="Y49" i="2" s="1"/>
  <c r="P45" i="2"/>
  <c r="X42" i="2"/>
  <c r="X41" i="2"/>
  <c r="BO40" i="2"/>
  <c r="BM40" i="2"/>
  <c r="Z40" i="2"/>
  <c r="Z41" i="2" s="1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P32" i="2"/>
  <c r="X29" i="2"/>
  <c r="X268" i="2" s="1"/>
  <c r="X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X269" i="2" s="1"/>
  <c r="Z22" i="2"/>
  <c r="Y22" i="2"/>
  <c r="Y29" i="2" s="1"/>
  <c r="P22" i="2"/>
  <c r="H10" i="2"/>
  <c r="A9" i="2"/>
  <c r="A10" i="2" s="1"/>
  <c r="D7" i="2"/>
  <c r="Q6" i="2"/>
  <c r="P2" i="2"/>
  <c r="X270" i="2" l="1"/>
  <c r="BP24" i="2"/>
  <c r="BN24" i="2"/>
  <c r="Y35" i="2"/>
  <c r="BP32" i="2"/>
  <c r="BN32" i="2"/>
  <c r="Y42" i="2"/>
  <c r="BP39" i="2"/>
  <c r="BN39" i="2"/>
  <c r="BP46" i="2"/>
  <c r="BP47" i="2"/>
  <c r="Y48" i="2"/>
  <c r="BN53" i="2"/>
  <c r="BP53" i="2"/>
  <c r="Y66" i="2"/>
  <c r="Y70" i="2"/>
  <c r="Y71" i="2"/>
  <c r="Z93" i="2"/>
  <c r="Z103" i="2"/>
  <c r="BP102" i="2"/>
  <c r="Y103" i="2"/>
  <c r="Z120" i="2"/>
  <c r="Y134" i="2"/>
  <c r="Y147" i="2"/>
  <c r="BP145" i="2"/>
  <c r="Y146" i="2"/>
  <c r="BP160" i="2"/>
  <c r="Y161" i="2"/>
  <c r="Y182" i="2"/>
  <c r="BP190" i="2"/>
  <c r="Y191" i="2"/>
  <c r="BP208" i="2"/>
  <c r="Y209" i="2"/>
  <c r="BP225" i="2"/>
  <c r="Y227" i="2"/>
  <c r="Y248" i="2"/>
  <c r="BP256" i="2"/>
  <c r="Z28" i="2"/>
  <c r="BP26" i="2"/>
  <c r="X272" i="2"/>
  <c r="Z34" i="2"/>
  <c r="Y34" i="2"/>
  <c r="Y56" i="2"/>
  <c r="Z56" i="2"/>
  <c r="Y57" i="2"/>
  <c r="BN64" i="2"/>
  <c r="BP64" i="2"/>
  <c r="Z70" i="2"/>
  <c r="BN68" i="2"/>
  <c r="Z76" i="2"/>
  <c r="Z82" i="2"/>
  <c r="BP91" i="2"/>
  <c r="Y94" i="2"/>
  <c r="BN97" i="2"/>
  <c r="Y110" i="2"/>
  <c r="BN108" i="2"/>
  <c r="Y109" i="2"/>
  <c r="BN114" i="2"/>
  <c r="Y120" i="2"/>
  <c r="BN118" i="2"/>
  <c r="Y124" i="2"/>
  <c r="Y125" i="2"/>
  <c r="BN132" i="2"/>
  <c r="Y141" i="2"/>
  <c r="Y181" i="2"/>
  <c r="BP178" i="2"/>
  <c r="Y192" i="2"/>
  <c r="BN195" i="2"/>
  <c r="BN198" i="2"/>
  <c r="Y215" i="2"/>
  <c r="BP241" i="2"/>
  <c r="Y247" i="2"/>
  <c r="BN250" i="2"/>
  <c r="Y253" i="2"/>
  <c r="Z266" i="2"/>
  <c r="BN259" i="2"/>
  <c r="BN261" i="2"/>
  <c r="BP263" i="2"/>
  <c r="Z273" i="2"/>
  <c r="X271" i="2"/>
  <c r="BN92" i="2"/>
  <c r="BP117" i="2"/>
  <c r="BP172" i="2"/>
  <c r="BP235" i="2"/>
  <c r="BN172" i="2"/>
  <c r="BP165" i="2"/>
  <c r="BP80" i="2"/>
  <c r="Y104" i="2"/>
  <c r="BN127" i="2"/>
  <c r="BP219" i="2"/>
  <c r="BN22" i="2"/>
  <c r="BN33" i="2"/>
  <c r="BN60" i="2"/>
  <c r="BP86" i="2"/>
  <c r="BN98" i="2"/>
  <c r="Y121" i="2"/>
  <c r="BN133" i="2"/>
  <c r="Y151" i="2"/>
  <c r="Y166" i="2"/>
  <c r="BN196" i="2"/>
  <c r="Y199" i="2"/>
  <c r="BN252" i="2"/>
  <c r="BN262" i="2"/>
  <c r="BN115" i="2"/>
  <c r="BP127" i="2"/>
  <c r="BN139" i="2"/>
  <c r="Y173" i="2"/>
  <c r="Y220" i="2"/>
  <c r="Y236" i="2"/>
  <c r="BN257" i="2"/>
  <c r="BP150" i="2"/>
  <c r="BP33" i="2"/>
  <c r="Y87" i="2"/>
  <c r="BN208" i="2"/>
  <c r="Y243" i="2"/>
  <c r="BP252" i="2"/>
  <c r="F10" i="2"/>
  <c r="BN117" i="2"/>
  <c r="BN235" i="2"/>
  <c r="BN86" i="2"/>
  <c r="BN27" i="2"/>
  <c r="BN54" i="2"/>
  <c r="BN40" i="2"/>
  <c r="BP92" i="2"/>
  <c r="BP22" i="2"/>
  <c r="BP60" i="2"/>
  <c r="BP133" i="2"/>
  <c r="BN145" i="2"/>
  <c r="BN160" i="2"/>
  <c r="BN25" i="2"/>
  <c r="Y28" i="2"/>
  <c r="BN52" i="2"/>
  <c r="BN75" i="2"/>
  <c r="Y93" i="2"/>
  <c r="BN101" i="2"/>
  <c r="Y128" i="2"/>
  <c r="Y200" i="2"/>
  <c r="BN213" i="2"/>
  <c r="BN231" i="2"/>
  <c r="BN265" i="2"/>
  <c r="Y221" i="2"/>
  <c r="Y41" i="2"/>
  <c r="BP52" i="2"/>
  <c r="BN113" i="2"/>
  <c r="BN123" i="2"/>
  <c r="Y140" i="2"/>
  <c r="BN180" i="2"/>
  <c r="BP231" i="2"/>
  <c r="Y244" i="2"/>
  <c r="BN23" i="2"/>
  <c r="Y62" i="2"/>
  <c r="BN73" i="2"/>
  <c r="Y76" i="2"/>
  <c r="BN99" i="2"/>
  <c r="Y135" i="2"/>
  <c r="BN197" i="2"/>
  <c r="Y214" i="2"/>
  <c r="Y232" i="2"/>
  <c r="Y254" i="2"/>
  <c r="Y266" i="2"/>
  <c r="BN80" i="2"/>
  <c r="F9" i="2"/>
  <c r="Y82" i="2"/>
  <c r="BN116" i="2"/>
  <c r="BN155" i="2"/>
  <c r="BN171" i="2"/>
  <c r="BN203" i="2"/>
  <c r="H9" i="2"/>
  <c r="BP73" i="2"/>
  <c r="BN178" i="2"/>
  <c r="BN225" i="2"/>
  <c r="J9" i="2"/>
  <c r="BN246" i="2"/>
  <c r="Y267" i="2"/>
  <c r="Y268" i="2" l="1"/>
  <c r="Y272" i="2"/>
  <c r="Y269" i="2"/>
  <c r="Y270" i="2"/>
  <c r="Y271" i="2" l="1"/>
  <c r="C281" i="2" l="1"/>
  <c r="B281" i="2"/>
  <c r="A281" i="2"/>
</calcChain>
</file>

<file path=xl/sharedStrings.xml><?xml version="1.0" encoding="utf-8"?>
<sst xmlns="http://schemas.openxmlformats.org/spreadsheetml/2006/main" count="1634" uniqueCount="390">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</sst>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3" t="s">
        <v>26</v>
      </c>
      <c r="E1" s="273"/>
      <c r="F1" s="273"/>
      <c r="G1" s="14" t="s">
        <v>70</v>
      </c>
      <c r="H1" s="273" t="s">
        <v>47</v>
      </c>
      <c r="I1" s="273"/>
      <c r="J1" s="273"/>
      <c r="K1" s="273"/>
      <c r="L1" s="273"/>
      <c r="M1" s="273"/>
      <c r="N1" s="273"/>
      <c r="O1" s="273"/>
      <c r="P1" s="273"/>
      <c r="Q1" s="273"/>
      <c r="R1" s="274" t="s">
        <v>71</v>
      </c>
      <c r="S1" s="275"/>
      <c r="T1" s="27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6"/>
      <c r="R2" s="276"/>
      <c r="S2" s="276"/>
      <c r="T2" s="276"/>
      <c r="U2" s="276"/>
      <c r="V2" s="276"/>
      <c r="W2" s="27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6"/>
      <c r="Q3" s="276"/>
      <c r="R3" s="276"/>
      <c r="S3" s="276"/>
      <c r="T3" s="276"/>
      <c r="U3" s="276"/>
      <c r="V3" s="276"/>
      <c r="W3" s="27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7" t="s">
        <v>8</v>
      </c>
      <c r="B5" s="277"/>
      <c r="C5" s="277"/>
      <c r="D5" s="278"/>
      <c r="E5" s="278"/>
      <c r="F5" s="279" t="s">
        <v>14</v>
      </c>
      <c r="G5" s="279"/>
      <c r="H5" s="278"/>
      <c r="I5" s="278"/>
      <c r="J5" s="278"/>
      <c r="K5" s="278"/>
      <c r="L5" s="278"/>
      <c r="M5" s="278"/>
      <c r="N5" s="75"/>
      <c r="P5" s="27" t="s">
        <v>4</v>
      </c>
      <c r="Q5" s="280">
        <v>46041</v>
      </c>
      <c r="R5" s="280"/>
      <c r="T5" s="281" t="s">
        <v>3</v>
      </c>
      <c r="U5" s="282"/>
      <c r="V5" s="283" t="s">
        <v>376</v>
      </c>
      <c r="W5" s="284"/>
      <c r="AB5" s="59"/>
      <c r="AC5" s="59"/>
      <c r="AD5" s="59"/>
      <c r="AE5" s="59"/>
    </row>
    <row r="6" spans="1:32" s="17" customFormat="1" ht="24" customHeight="1" x14ac:dyDescent="0.2">
      <c r="A6" s="277" t="s">
        <v>1</v>
      </c>
      <c r="B6" s="277"/>
      <c r="C6" s="277"/>
      <c r="D6" s="285" t="s">
        <v>79</v>
      </c>
      <c r="E6" s="285"/>
      <c r="F6" s="285"/>
      <c r="G6" s="285"/>
      <c r="H6" s="285"/>
      <c r="I6" s="285"/>
      <c r="J6" s="285"/>
      <c r="K6" s="285"/>
      <c r="L6" s="285"/>
      <c r="M6" s="285"/>
      <c r="N6" s="76"/>
      <c r="P6" s="27" t="s">
        <v>27</v>
      </c>
      <c r="Q6" s="286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287" t="s">
        <v>5</v>
      </c>
      <c r="U6" s="288"/>
      <c r="V6" s="289" t="s">
        <v>73</v>
      </c>
      <c r="W6" s="2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5" t="str">
        <f>IFERROR(VLOOKUP(DeliveryAddress,Table,3,0),1)</f>
        <v>1</v>
      </c>
      <c r="E7" s="296"/>
      <c r="F7" s="296"/>
      <c r="G7" s="296"/>
      <c r="H7" s="296"/>
      <c r="I7" s="296"/>
      <c r="J7" s="296"/>
      <c r="K7" s="296"/>
      <c r="L7" s="296"/>
      <c r="M7" s="297"/>
      <c r="N7" s="77"/>
      <c r="P7" s="29"/>
      <c r="Q7" s="48"/>
      <c r="R7" s="48"/>
      <c r="T7" s="287"/>
      <c r="U7" s="288"/>
      <c r="V7" s="291"/>
      <c r="W7" s="292"/>
      <c r="AB7" s="59"/>
      <c r="AC7" s="59"/>
      <c r="AD7" s="59"/>
      <c r="AE7" s="59"/>
    </row>
    <row r="8" spans="1:32" s="17" customFormat="1" ht="25.5" customHeight="1" x14ac:dyDescent="0.2">
      <c r="A8" s="298" t="s">
        <v>58</v>
      </c>
      <c r="B8" s="298"/>
      <c r="C8" s="298"/>
      <c r="D8" s="299" t="s">
        <v>80</v>
      </c>
      <c r="E8" s="299"/>
      <c r="F8" s="299"/>
      <c r="G8" s="299"/>
      <c r="H8" s="299"/>
      <c r="I8" s="299"/>
      <c r="J8" s="299"/>
      <c r="K8" s="299"/>
      <c r="L8" s="299"/>
      <c r="M8" s="299"/>
      <c r="N8" s="78"/>
      <c r="P8" s="27" t="s">
        <v>11</v>
      </c>
      <c r="Q8" s="300">
        <v>0.41666666666666669</v>
      </c>
      <c r="R8" s="300"/>
      <c r="T8" s="287"/>
      <c r="U8" s="288"/>
      <c r="V8" s="291"/>
      <c r="W8" s="292"/>
      <c r="AB8" s="59"/>
      <c r="AC8" s="59"/>
      <c r="AD8" s="59"/>
      <c r="AE8" s="59"/>
    </row>
    <row r="9" spans="1:32" s="17" customFormat="1" ht="39.950000000000003" customHeight="1" x14ac:dyDescent="0.2">
      <c r="A9" s="3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1"/>
      <c r="C9" s="301"/>
      <c r="D9" s="302" t="s">
        <v>46</v>
      </c>
      <c r="E9" s="303"/>
      <c r="F9" s="3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1"/>
      <c r="H9" s="304" t="str">
        <f>IF(AND($A$9="Тип доверенности/получателя при получении в адресе перегруза:",$D$9="Разовая доверенность"),"Введите ФИО","")</f>
        <v/>
      </c>
      <c r="I9" s="304"/>
      <c r="J9" s="3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4"/>
      <c r="L9" s="304"/>
      <c r="M9" s="304"/>
      <c r="N9" s="73"/>
      <c r="P9" s="31" t="s">
        <v>15</v>
      </c>
      <c r="Q9" s="305"/>
      <c r="R9" s="305"/>
      <c r="T9" s="287"/>
      <c r="U9" s="288"/>
      <c r="V9" s="293"/>
      <c r="W9" s="2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1"/>
      <c r="C10" s="301"/>
      <c r="D10" s="302"/>
      <c r="E10" s="303"/>
      <c r="F10" s="3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1"/>
      <c r="H10" s="306" t="str">
        <f>IFERROR(VLOOKUP($D$10,Proxy,2,FALSE),"")</f>
        <v/>
      </c>
      <c r="I10" s="306"/>
      <c r="J10" s="306"/>
      <c r="K10" s="306"/>
      <c r="L10" s="306"/>
      <c r="M10" s="306"/>
      <c r="N10" s="74"/>
      <c r="P10" s="31" t="s">
        <v>32</v>
      </c>
      <c r="Q10" s="307"/>
      <c r="R10" s="307"/>
      <c r="U10" s="29" t="s">
        <v>12</v>
      </c>
      <c r="V10" s="308" t="s">
        <v>74</v>
      </c>
      <c r="W10" s="30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0"/>
      <c r="R11" s="310"/>
      <c r="U11" s="29" t="s">
        <v>28</v>
      </c>
      <c r="V11" s="311" t="s">
        <v>55</v>
      </c>
      <c r="W11" s="3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2" t="s">
        <v>75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79"/>
      <c r="P12" s="27" t="s">
        <v>30</v>
      </c>
      <c r="Q12" s="300"/>
      <c r="R12" s="300"/>
      <c r="S12" s="28"/>
      <c r="T12"/>
      <c r="U12" s="29" t="s">
        <v>46</v>
      </c>
      <c r="V12" s="313"/>
      <c r="W12" s="313"/>
      <c r="X12"/>
      <c r="AB12" s="59"/>
      <c r="AC12" s="59"/>
      <c r="AD12" s="59"/>
      <c r="AE12" s="59"/>
    </row>
    <row r="13" spans="1:32" s="17" customFormat="1" ht="23.25" customHeight="1" x14ac:dyDescent="0.2">
      <c r="A13" s="312" t="s">
        <v>76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79"/>
      <c r="O13" s="31"/>
      <c r="P13" s="31" t="s">
        <v>31</v>
      </c>
      <c r="Q13" s="311"/>
      <c r="R13" s="3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2" t="s">
        <v>77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4" t="s">
        <v>78</v>
      </c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  <c r="M15" s="314"/>
      <c r="N15" s="80"/>
      <c r="O15"/>
      <c r="P15" s="315" t="s">
        <v>61</v>
      </c>
      <c r="Q15" s="315"/>
      <c r="R15" s="315"/>
      <c r="S15" s="315"/>
      <c r="T15" s="31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6"/>
      <c r="Q16" s="316"/>
      <c r="R16" s="316"/>
      <c r="S16" s="316"/>
      <c r="T16" s="31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19" t="s">
        <v>59</v>
      </c>
      <c r="B17" s="319" t="s">
        <v>49</v>
      </c>
      <c r="C17" s="321" t="s">
        <v>48</v>
      </c>
      <c r="D17" s="323" t="s">
        <v>50</v>
      </c>
      <c r="E17" s="324"/>
      <c r="F17" s="319" t="s">
        <v>21</v>
      </c>
      <c r="G17" s="319" t="s">
        <v>24</v>
      </c>
      <c r="H17" s="319" t="s">
        <v>22</v>
      </c>
      <c r="I17" s="319" t="s">
        <v>23</v>
      </c>
      <c r="J17" s="319" t="s">
        <v>16</v>
      </c>
      <c r="K17" s="319" t="s">
        <v>69</v>
      </c>
      <c r="L17" s="319" t="s">
        <v>67</v>
      </c>
      <c r="M17" s="319" t="s">
        <v>2</v>
      </c>
      <c r="N17" s="319" t="s">
        <v>66</v>
      </c>
      <c r="O17" s="319" t="s">
        <v>25</v>
      </c>
      <c r="P17" s="323" t="s">
        <v>17</v>
      </c>
      <c r="Q17" s="327"/>
      <c r="R17" s="327"/>
      <c r="S17" s="327"/>
      <c r="T17" s="324"/>
      <c r="U17" s="317" t="s">
        <v>56</v>
      </c>
      <c r="V17" s="318"/>
      <c r="W17" s="319" t="s">
        <v>6</v>
      </c>
      <c r="X17" s="319" t="s">
        <v>41</v>
      </c>
      <c r="Y17" s="329" t="s">
        <v>54</v>
      </c>
      <c r="Z17" s="331" t="s">
        <v>18</v>
      </c>
      <c r="AA17" s="333" t="s">
        <v>60</v>
      </c>
      <c r="AB17" s="333" t="s">
        <v>19</v>
      </c>
      <c r="AC17" s="333" t="s">
        <v>68</v>
      </c>
      <c r="AD17" s="335" t="s">
        <v>57</v>
      </c>
      <c r="AE17" s="336"/>
      <c r="AF17" s="337"/>
      <c r="AG17" s="85"/>
      <c r="BD17" s="84" t="s">
        <v>64</v>
      </c>
    </row>
    <row r="18" spans="1:68" ht="14.25" customHeight="1" x14ac:dyDescent="0.2">
      <c r="A18" s="320"/>
      <c r="B18" s="320"/>
      <c r="C18" s="322"/>
      <c r="D18" s="325"/>
      <c r="E18" s="326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5"/>
      <c r="Q18" s="328"/>
      <c r="R18" s="328"/>
      <c r="S18" s="328"/>
      <c r="T18" s="326"/>
      <c r="U18" s="86" t="s">
        <v>44</v>
      </c>
      <c r="V18" s="86" t="s">
        <v>43</v>
      </c>
      <c r="W18" s="320"/>
      <c r="X18" s="320"/>
      <c r="Y18" s="330"/>
      <c r="Z18" s="332"/>
      <c r="AA18" s="334"/>
      <c r="AB18" s="334"/>
      <c r="AC18" s="334"/>
      <c r="AD18" s="338"/>
      <c r="AE18" s="339"/>
      <c r="AF18" s="340"/>
      <c r="AG18" s="85"/>
      <c r="BD18" s="84"/>
    </row>
    <row r="19" spans="1:68" ht="27.75" customHeight="1" x14ac:dyDescent="0.2">
      <c r="A19" s="341" t="s">
        <v>81</v>
      </c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  <c r="AA19" s="54"/>
      <c r="AB19" s="54"/>
      <c r="AC19" s="54"/>
    </row>
    <row r="20" spans="1:68" ht="16.5" customHeight="1" x14ac:dyDescent="0.25">
      <c r="A20" s="342" t="s">
        <v>81</v>
      </c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  <c r="AA20" s="65"/>
      <c r="AB20" s="65"/>
      <c r="AC20" s="82"/>
    </row>
    <row r="21" spans="1:68" ht="14.25" customHeight="1" x14ac:dyDescent="0.25">
      <c r="A21" s="343" t="s">
        <v>82</v>
      </c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43"/>
      <c r="X21" s="343"/>
      <c r="Y21" s="343"/>
      <c r="Z21" s="343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4">
        <v>4607111035912</v>
      </c>
      <c r="E22" s="344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6"/>
      <c r="R22" s="346"/>
      <c r="S22" s="346"/>
      <c r="T22" s="34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4">
        <v>4607111035103</v>
      </c>
      <c r="E23" s="344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4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6"/>
      <c r="R23" s="346"/>
      <c r="S23" s="346"/>
      <c r="T23" s="34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4">
        <v>4607111035929</v>
      </c>
      <c r="E24" s="344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6"/>
      <c r="R24" s="346"/>
      <c r="S24" s="346"/>
      <c r="T24" s="34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4">
        <v>4607111035882</v>
      </c>
      <c r="E25" s="34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6"/>
      <c r="R25" s="346"/>
      <c r="S25" s="346"/>
      <c r="T25" s="34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4">
        <v>4607111035110</v>
      </c>
      <c r="E26" s="34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6"/>
      <c r="R26" s="346"/>
      <c r="S26" s="346"/>
      <c r="T26" s="34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4">
        <v>4607111035905</v>
      </c>
      <c r="E27" s="34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6"/>
      <c r="R27" s="346"/>
      <c r="S27" s="346"/>
      <c r="T27" s="34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6"/>
      <c r="B28" s="356"/>
      <c r="C28" s="356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7"/>
      <c r="P28" s="353" t="s">
        <v>40</v>
      </c>
      <c r="Q28" s="354"/>
      <c r="R28" s="354"/>
      <c r="S28" s="354"/>
      <c r="T28" s="354"/>
      <c r="U28" s="354"/>
      <c r="V28" s="355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6"/>
      <c r="B29" s="356"/>
      <c r="C29" s="356"/>
      <c r="D29" s="356"/>
      <c r="E29" s="356"/>
      <c r="F29" s="356"/>
      <c r="G29" s="356"/>
      <c r="H29" s="356"/>
      <c r="I29" s="356"/>
      <c r="J29" s="356"/>
      <c r="K29" s="356"/>
      <c r="L29" s="356"/>
      <c r="M29" s="356"/>
      <c r="N29" s="356"/>
      <c r="O29" s="357"/>
      <c r="P29" s="353" t="s">
        <v>40</v>
      </c>
      <c r="Q29" s="354"/>
      <c r="R29" s="354"/>
      <c r="S29" s="354"/>
      <c r="T29" s="354"/>
      <c r="U29" s="354"/>
      <c r="V29" s="355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2" t="s">
        <v>100</v>
      </c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  <c r="AA30" s="65"/>
      <c r="AB30" s="65"/>
      <c r="AC30" s="82"/>
    </row>
    <row r="31" spans="1:68" ht="14.25" customHeight="1" x14ac:dyDescent="0.25">
      <c r="A31" s="343" t="s">
        <v>82</v>
      </c>
      <c r="B31" s="343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343"/>
      <c r="U31" s="343"/>
      <c r="V31" s="343"/>
      <c r="W31" s="343"/>
      <c r="X31" s="343"/>
      <c r="Y31" s="343"/>
      <c r="Z31" s="343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4">
        <v>4607111039019</v>
      </c>
      <c r="E32" s="344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5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6"/>
      <c r="R32" s="346"/>
      <c r="S32" s="346"/>
      <c r="T32" s="347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4">
        <v>4607111038708</v>
      </c>
      <c r="E33" s="344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5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6"/>
      <c r="R33" s="346"/>
      <c r="S33" s="346"/>
      <c r="T33" s="34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6"/>
      <c r="B34" s="356"/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356"/>
      <c r="O34" s="357"/>
      <c r="P34" s="353" t="s">
        <v>40</v>
      </c>
      <c r="Q34" s="354"/>
      <c r="R34" s="354"/>
      <c r="S34" s="354"/>
      <c r="T34" s="354"/>
      <c r="U34" s="354"/>
      <c r="V34" s="355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6"/>
      <c r="B35" s="356"/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7"/>
      <c r="P35" s="353" t="s">
        <v>40</v>
      </c>
      <c r="Q35" s="354"/>
      <c r="R35" s="354"/>
      <c r="S35" s="354"/>
      <c r="T35" s="354"/>
      <c r="U35" s="354"/>
      <c r="V35" s="355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1" t="s">
        <v>45</v>
      </c>
      <c r="B36" s="341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54"/>
      <c r="AB36" s="54"/>
      <c r="AC36" s="54"/>
    </row>
    <row r="37" spans="1:68" ht="16.5" customHeight="1" x14ac:dyDescent="0.25">
      <c r="A37" s="342" t="s">
        <v>106</v>
      </c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65"/>
      <c r="AB37" s="65"/>
      <c r="AC37" s="82"/>
    </row>
    <row r="38" spans="1:68" ht="14.25" customHeight="1" x14ac:dyDescent="0.25">
      <c r="A38" s="343" t="s">
        <v>107</v>
      </c>
      <c r="B38" s="343"/>
      <c r="C38" s="343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343"/>
      <c r="U38" s="343"/>
      <c r="V38" s="343"/>
      <c r="W38" s="343"/>
      <c r="X38" s="343"/>
      <c r="Y38" s="343"/>
      <c r="Z38" s="343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4">
        <v>4607111036537</v>
      </c>
      <c r="E39" s="344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6"/>
      <c r="R39" s="346"/>
      <c r="S39" s="346"/>
      <c r="T39" s="34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4">
        <v>4607111036605</v>
      </c>
      <c r="E40" s="344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6"/>
      <c r="R40" s="346"/>
      <c r="S40" s="346"/>
      <c r="T40" s="347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7"/>
      <c r="P41" s="353" t="s">
        <v>40</v>
      </c>
      <c r="Q41" s="354"/>
      <c r="R41" s="354"/>
      <c r="S41" s="354"/>
      <c r="T41" s="354"/>
      <c r="U41" s="354"/>
      <c r="V41" s="355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7"/>
      <c r="P42" s="353" t="s">
        <v>40</v>
      </c>
      <c r="Q42" s="354"/>
      <c r="R42" s="354"/>
      <c r="S42" s="354"/>
      <c r="T42" s="354"/>
      <c r="U42" s="354"/>
      <c r="V42" s="355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2" t="s">
        <v>117</v>
      </c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  <c r="AA43" s="65"/>
      <c r="AB43" s="65"/>
      <c r="AC43" s="82"/>
    </row>
    <row r="44" spans="1:68" ht="14.25" customHeight="1" x14ac:dyDescent="0.25">
      <c r="A44" s="343" t="s">
        <v>82</v>
      </c>
      <c r="B44" s="343"/>
      <c r="C44" s="343"/>
      <c r="D44" s="343"/>
      <c r="E44" s="343"/>
      <c r="F44" s="343"/>
      <c r="G44" s="343"/>
      <c r="H44" s="343"/>
      <c r="I44" s="343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343"/>
      <c r="U44" s="343"/>
      <c r="V44" s="343"/>
      <c r="W44" s="343"/>
      <c r="X44" s="343"/>
      <c r="Y44" s="343"/>
      <c r="Z44" s="343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4">
        <v>4620207490075</v>
      </c>
      <c r="E45" s="344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6"/>
      <c r="R45" s="346"/>
      <c r="S45" s="346"/>
      <c r="T45" s="347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4">
        <v>4620207490174</v>
      </c>
      <c r="E46" s="344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6"/>
      <c r="R46" s="346"/>
      <c r="S46" s="346"/>
      <c r="T46" s="347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4">
        <v>4620207490044</v>
      </c>
      <c r="E47" s="34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6"/>
      <c r="R47" s="346"/>
      <c r="S47" s="346"/>
      <c r="T47" s="34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7"/>
      <c r="P48" s="353" t="s">
        <v>40</v>
      </c>
      <c r="Q48" s="354"/>
      <c r="R48" s="354"/>
      <c r="S48" s="354"/>
      <c r="T48" s="354"/>
      <c r="U48" s="354"/>
      <c r="V48" s="355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7"/>
      <c r="P49" s="353" t="s">
        <v>40</v>
      </c>
      <c r="Q49" s="354"/>
      <c r="R49" s="354"/>
      <c r="S49" s="354"/>
      <c r="T49" s="354"/>
      <c r="U49" s="354"/>
      <c r="V49" s="355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2" t="s">
        <v>127</v>
      </c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  <c r="AA50" s="65"/>
      <c r="AB50" s="65"/>
      <c r="AC50" s="82"/>
    </row>
    <row r="51" spans="1:68" ht="14.25" customHeight="1" x14ac:dyDescent="0.25">
      <c r="A51" s="343" t="s">
        <v>82</v>
      </c>
      <c r="B51" s="343"/>
      <c r="C51" s="343"/>
      <c r="D51" s="343"/>
      <c r="E51" s="343"/>
      <c r="F51" s="343"/>
      <c r="G51" s="343"/>
      <c r="H51" s="343"/>
      <c r="I51" s="343"/>
      <c r="J51" s="343"/>
      <c r="K51" s="343"/>
      <c r="L51" s="343"/>
      <c r="M51" s="343"/>
      <c r="N51" s="343"/>
      <c r="O51" s="343"/>
      <c r="P51" s="343"/>
      <c r="Q51" s="343"/>
      <c r="R51" s="343"/>
      <c r="S51" s="343"/>
      <c r="T51" s="343"/>
      <c r="U51" s="343"/>
      <c r="V51" s="343"/>
      <c r="W51" s="343"/>
      <c r="X51" s="343"/>
      <c r="Y51" s="343"/>
      <c r="Z51" s="343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4">
        <v>4607111039385</v>
      </c>
      <c r="E52" s="344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6"/>
      <c r="R52" s="346"/>
      <c r="S52" s="346"/>
      <c r="T52" s="347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4">
        <v>4607111038982</v>
      </c>
      <c r="E53" s="344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6"/>
      <c r="R53" s="346"/>
      <c r="S53" s="346"/>
      <c r="T53" s="347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4">
        <v>4607111039354</v>
      </c>
      <c r="E54" s="344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6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6"/>
      <c r="R54" s="346"/>
      <c r="S54" s="346"/>
      <c r="T54" s="347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4">
        <v>4607111039330</v>
      </c>
      <c r="E55" s="344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6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6"/>
      <c r="R55" s="346"/>
      <c r="S55" s="346"/>
      <c r="T55" s="347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7"/>
      <c r="P56" s="353" t="s">
        <v>40</v>
      </c>
      <c r="Q56" s="354"/>
      <c r="R56" s="354"/>
      <c r="S56" s="354"/>
      <c r="T56" s="354"/>
      <c r="U56" s="354"/>
      <c r="V56" s="355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7"/>
      <c r="P57" s="353" t="s">
        <v>40</v>
      </c>
      <c r="Q57" s="354"/>
      <c r="R57" s="354"/>
      <c r="S57" s="354"/>
      <c r="T57" s="354"/>
      <c r="U57" s="354"/>
      <c r="V57" s="355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2" t="s">
        <v>138</v>
      </c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65"/>
      <c r="AB58" s="65"/>
      <c r="AC58" s="82"/>
    </row>
    <row r="59" spans="1:68" ht="14.25" customHeight="1" x14ac:dyDescent="0.25">
      <c r="A59" s="343" t="s">
        <v>82</v>
      </c>
      <c r="B59" s="343"/>
      <c r="C59" s="343"/>
      <c r="D59" s="343"/>
      <c r="E59" s="343"/>
      <c r="F59" s="343"/>
      <c r="G59" s="343"/>
      <c r="H59" s="343"/>
      <c r="I59" s="343"/>
      <c r="J59" s="343"/>
      <c r="K59" s="343"/>
      <c r="L59" s="343"/>
      <c r="M59" s="343"/>
      <c r="N59" s="343"/>
      <c r="O59" s="343"/>
      <c r="P59" s="343"/>
      <c r="Q59" s="343"/>
      <c r="R59" s="343"/>
      <c r="S59" s="343"/>
      <c r="T59" s="343"/>
      <c r="U59" s="343"/>
      <c r="V59" s="343"/>
      <c r="W59" s="343"/>
      <c r="X59" s="343"/>
      <c r="Y59" s="343"/>
      <c r="Z59" s="343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4">
        <v>4620207490822</v>
      </c>
      <c r="E60" s="344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6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6"/>
      <c r="R60" s="346"/>
      <c r="S60" s="346"/>
      <c r="T60" s="347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7"/>
      <c r="P61" s="353" t="s">
        <v>40</v>
      </c>
      <c r="Q61" s="354"/>
      <c r="R61" s="354"/>
      <c r="S61" s="354"/>
      <c r="T61" s="354"/>
      <c r="U61" s="354"/>
      <c r="V61" s="355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7"/>
      <c r="P62" s="353" t="s">
        <v>40</v>
      </c>
      <c r="Q62" s="354"/>
      <c r="R62" s="354"/>
      <c r="S62" s="354"/>
      <c r="T62" s="354"/>
      <c r="U62" s="354"/>
      <c r="V62" s="355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3" t="s">
        <v>107</v>
      </c>
      <c r="B63" s="343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4">
        <v>4607111039712</v>
      </c>
      <c r="E64" s="344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6"/>
      <c r="R64" s="346"/>
      <c r="S64" s="346"/>
      <c r="T64" s="347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6"/>
      <c r="B65" s="356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7"/>
      <c r="P65" s="353" t="s">
        <v>40</v>
      </c>
      <c r="Q65" s="354"/>
      <c r="R65" s="354"/>
      <c r="S65" s="354"/>
      <c r="T65" s="354"/>
      <c r="U65" s="354"/>
      <c r="V65" s="355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6"/>
      <c r="B66" s="356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7"/>
      <c r="P66" s="353" t="s">
        <v>40</v>
      </c>
      <c r="Q66" s="354"/>
      <c r="R66" s="354"/>
      <c r="S66" s="354"/>
      <c r="T66" s="354"/>
      <c r="U66" s="354"/>
      <c r="V66" s="355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3" t="s">
        <v>145</v>
      </c>
      <c r="B67" s="343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4">
        <v>4607111037008</v>
      </c>
      <c r="E68" s="344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6"/>
      <c r="R68" s="346"/>
      <c r="S68" s="346"/>
      <c r="T68" s="34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4">
        <v>4607111037398</v>
      </c>
      <c r="E69" s="34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6"/>
      <c r="R69" s="346"/>
      <c r="S69" s="346"/>
      <c r="T69" s="34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6"/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7"/>
      <c r="P70" s="353" t="s">
        <v>40</v>
      </c>
      <c r="Q70" s="354"/>
      <c r="R70" s="354"/>
      <c r="S70" s="354"/>
      <c r="T70" s="354"/>
      <c r="U70" s="354"/>
      <c r="V70" s="355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6"/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7"/>
      <c r="P71" s="353" t="s">
        <v>40</v>
      </c>
      <c r="Q71" s="354"/>
      <c r="R71" s="354"/>
      <c r="S71" s="354"/>
      <c r="T71" s="354"/>
      <c r="U71" s="354"/>
      <c r="V71" s="355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3" t="s">
        <v>151</v>
      </c>
      <c r="B72" s="343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4">
        <v>4607111039705</v>
      </c>
      <c r="E73" s="344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6"/>
      <c r="R73" s="346"/>
      <c r="S73" s="346"/>
      <c r="T73" s="347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4">
        <v>4607111039729</v>
      </c>
      <c r="E74" s="344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6"/>
      <c r="R74" s="346"/>
      <c r="S74" s="346"/>
      <c r="T74" s="34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4">
        <v>4620207490228</v>
      </c>
      <c r="E75" s="34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6"/>
      <c r="R75" s="346"/>
      <c r="S75" s="346"/>
      <c r="T75" s="34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6"/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7"/>
      <c r="P76" s="353" t="s">
        <v>40</v>
      </c>
      <c r="Q76" s="354"/>
      <c r="R76" s="354"/>
      <c r="S76" s="354"/>
      <c r="T76" s="354"/>
      <c r="U76" s="354"/>
      <c r="V76" s="355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6"/>
      <c r="B77" s="356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7"/>
      <c r="P77" s="353" t="s">
        <v>40</v>
      </c>
      <c r="Q77" s="354"/>
      <c r="R77" s="354"/>
      <c r="S77" s="354"/>
      <c r="T77" s="354"/>
      <c r="U77" s="354"/>
      <c r="V77" s="355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2" t="s">
        <v>159</v>
      </c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65"/>
      <c r="AB78" s="65"/>
      <c r="AC78" s="82"/>
    </row>
    <row r="79" spans="1:68" ht="14.25" customHeight="1" x14ac:dyDescent="0.25">
      <c r="A79" s="343" t="s">
        <v>82</v>
      </c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4">
        <v>4607111037411</v>
      </c>
      <c r="E80" s="344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6"/>
      <c r="R80" s="346"/>
      <c r="S80" s="346"/>
      <c r="T80" s="347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4">
        <v>4607111036728</v>
      </c>
      <c r="E81" s="344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6"/>
      <c r="R81" s="346"/>
      <c r="S81" s="346"/>
      <c r="T81" s="347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6"/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7"/>
      <c r="P82" s="353" t="s">
        <v>40</v>
      </c>
      <c r="Q82" s="354"/>
      <c r="R82" s="354"/>
      <c r="S82" s="354"/>
      <c r="T82" s="354"/>
      <c r="U82" s="354"/>
      <c r="V82" s="355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6"/>
      <c r="B83" s="356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7"/>
      <c r="P83" s="353" t="s">
        <v>40</v>
      </c>
      <c r="Q83" s="354"/>
      <c r="R83" s="354"/>
      <c r="S83" s="354"/>
      <c r="T83" s="354"/>
      <c r="U83" s="354"/>
      <c r="V83" s="355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2" t="s">
        <v>166</v>
      </c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65"/>
      <c r="AB84" s="65"/>
      <c r="AC84" s="82"/>
    </row>
    <row r="85" spans="1:68" ht="14.25" customHeight="1" x14ac:dyDescent="0.25">
      <c r="A85" s="343" t="s">
        <v>151</v>
      </c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4">
        <v>4607111033659</v>
      </c>
      <c r="E86" s="34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6"/>
      <c r="R86" s="346"/>
      <c r="S86" s="346"/>
      <c r="T86" s="347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6"/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7"/>
      <c r="P87" s="353" t="s">
        <v>40</v>
      </c>
      <c r="Q87" s="354"/>
      <c r="R87" s="354"/>
      <c r="S87" s="354"/>
      <c r="T87" s="354"/>
      <c r="U87" s="354"/>
      <c r="V87" s="355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6"/>
      <c r="B88" s="356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7"/>
      <c r="P88" s="353" t="s">
        <v>40</v>
      </c>
      <c r="Q88" s="354"/>
      <c r="R88" s="354"/>
      <c r="S88" s="354"/>
      <c r="T88" s="354"/>
      <c r="U88" s="354"/>
      <c r="V88" s="355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2" t="s">
        <v>170</v>
      </c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65"/>
      <c r="AB89" s="65"/>
      <c r="AC89" s="82"/>
    </row>
    <row r="90" spans="1:68" ht="14.25" customHeight="1" x14ac:dyDescent="0.25">
      <c r="A90" s="343" t="s">
        <v>171</v>
      </c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4">
        <v>4607111034120</v>
      </c>
      <c r="E91" s="344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7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6"/>
      <c r="R91" s="346"/>
      <c r="S91" s="346"/>
      <c r="T91" s="347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4">
        <v>4607111034137</v>
      </c>
      <c r="E92" s="344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6"/>
      <c r="R92" s="346"/>
      <c r="S92" s="346"/>
      <c r="T92" s="347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6"/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7"/>
      <c r="P93" s="353" t="s">
        <v>40</v>
      </c>
      <c r="Q93" s="354"/>
      <c r="R93" s="354"/>
      <c r="S93" s="354"/>
      <c r="T93" s="354"/>
      <c r="U93" s="354"/>
      <c r="V93" s="355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6"/>
      <c r="B94" s="356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7"/>
      <c r="P94" s="353" t="s">
        <v>40</v>
      </c>
      <c r="Q94" s="354"/>
      <c r="R94" s="354"/>
      <c r="S94" s="354"/>
      <c r="T94" s="354"/>
      <c r="U94" s="354"/>
      <c r="V94" s="355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2" t="s">
        <v>178</v>
      </c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65"/>
      <c r="AB95" s="65"/>
      <c r="AC95" s="82"/>
    </row>
    <row r="96" spans="1:68" ht="14.25" customHeight="1" x14ac:dyDescent="0.25">
      <c r="A96" s="343" t="s">
        <v>151</v>
      </c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4">
        <v>4620207491027</v>
      </c>
      <c r="E97" s="344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6"/>
      <c r="R97" s="346"/>
      <c r="S97" s="346"/>
      <c r="T97" s="347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4">
        <v>4620207491003</v>
      </c>
      <c r="E98" s="344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6"/>
      <c r="R98" s="346"/>
      <c r="S98" s="346"/>
      <c r="T98" s="347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4">
        <v>4620207491034</v>
      </c>
      <c r="E99" s="34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6"/>
      <c r="R99" s="346"/>
      <c r="S99" s="346"/>
      <c r="T99" s="347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4">
        <v>4620207491010</v>
      </c>
      <c r="E100" s="34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6"/>
      <c r="R100" s="346"/>
      <c r="S100" s="346"/>
      <c r="T100" s="347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4">
        <v>4607111035028</v>
      </c>
      <c r="E101" s="344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6"/>
      <c r="R101" s="346"/>
      <c r="S101" s="346"/>
      <c r="T101" s="347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4">
        <v>4607111036407</v>
      </c>
      <c r="E102" s="344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88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6"/>
      <c r="R102" s="346"/>
      <c r="S102" s="346"/>
      <c r="T102" s="347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89</v>
      </c>
      <c r="AK102" s="87">
        <v>1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6"/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7"/>
      <c r="P103" s="353" t="s">
        <v>40</v>
      </c>
      <c r="Q103" s="354"/>
      <c r="R103" s="354"/>
      <c r="S103" s="354"/>
      <c r="T103" s="354"/>
      <c r="U103" s="354"/>
      <c r="V103" s="355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6"/>
      <c r="B104" s="356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7"/>
      <c r="P104" s="353" t="s">
        <v>40</v>
      </c>
      <c r="Q104" s="354"/>
      <c r="R104" s="354"/>
      <c r="S104" s="354"/>
      <c r="T104" s="354"/>
      <c r="U104" s="354"/>
      <c r="V104" s="355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2" t="s">
        <v>193</v>
      </c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65"/>
      <c r="AB105" s="65"/>
      <c r="AC105" s="82"/>
    </row>
    <row r="106" spans="1:68" ht="14.25" customHeight="1" x14ac:dyDescent="0.25">
      <c r="A106" s="343" t="s">
        <v>145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4">
        <v>4607025784012</v>
      </c>
      <c r="E107" s="344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6"/>
      <c r="R107" s="346"/>
      <c r="S107" s="346"/>
      <c r="T107" s="347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4">
        <v>4607025784319</v>
      </c>
      <c r="E108" s="344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8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6"/>
      <c r="R108" s="346"/>
      <c r="S108" s="346"/>
      <c r="T108" s="347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6"/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7"/>
      <c r="P109" s="353" t="s">
        <v>40</v>
      </c>
      <c r="Q109" s="354"/>
      <c r="R109" s="354"/>
      <c r="S109" s="354"/>
      <c r="T109" s="354"/>
      <c r="U109" s="354"/>
      <c r="V109" s="355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6"/>
      <c r="B110" s="356"/>
      <c r="C110" s="356"/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7"/>
      <c r="P110" s="353" t="s">
        <v>40</v>
      </c>
      <c r="Q110" s="354"/>
      <c r="R110" s="354"/>
      <c r="S110" s="354"/>
      <c r="T110" s="354"/>
      <c r="U110" s="354"/>
      <c r="V110" s="355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2" t="s">
        <v>199</v>
      </c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65"/>
      <c r="AB111" s="65"/>
      <c r="AC111" s="82"/>
    </row>
    <row r="112" spans="1:68" ht="14.25" customHeight="1" x14ac:dyDescent="0.25">
      <c r="A112" s="343" t="s">
        <v>82</v>
      </c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4">
        <v>4620207491157</v>
      </c>
      <c r="E113" s="344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6"/>
      <c r="R113" s="346"/>
      <c r="S113" s="346"/>
      <c r="T113" s="347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4">
        <v>4620207491393</v>
      </c>
      <c r="E114" s="344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6"/>
      <c r="R114" s="346"/>
      <c r="S114" s="346"/>
      <c r="T114" s="347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4">
        <v>4607111039262</v>
      </c>
      <c r="E115" s="344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6"/>
      <c r="R115" s="346"/>
      <c r="S115" s="346"/>
      <c r="T115" s="34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4">
        <v>4607111039248</v>
      </c>
      <c r="E116" s="344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6"/>
      <c r="R116" s="346"/>
      <c r="S116" s="346"/>
      <c r="T116" s="34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4">
        <v>4607111037145</v>
      </c>
      <c r="E117" s="344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6"/>
      <c r="R117" s="346"/>
      <c r="S117" s="346"/>
      <c r="T117" s="347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4">
        <v>4607111039293</v>
      </c>
      <c r="E118" s="344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6"/>
      <c r="R118" s="346"/>
      <c r="S118" s="346"/>
      <c r="T118" s="347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4">
        <v>4607111039279</v>
      </c>
      <c r="E119" s="344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6"/>
      <c r="R119" s="346"/>
      <c r="S119" s="346"/>
      <c r="T119" s="34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6"/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7"/>
      <c r="P120" s="353" t="s">
        <v>40</v>
      </c>
      <c r="Q120" s="354"/>
      <c r="R120" s="354"/>
      <c r="S120" s="354"/>
      <c r="T120" s="354"/>
      <c r="U120" s="354"/>
      <c r="V120" s="355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6"/>
      <c r="B121" s="356"/>
      <c r="C121" s="356"/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7"/>
      <c r="P121" s="353" t="s">
        <v>40</v>
      </c>
      <c r="Q121" s="354"/>
      <c r="R121" s="354"/>
      <c r="S121" s="354"/>
      <c r="T121" s="354"/>
      <c r="U121" s="354"/>
      <c r="V121" s="355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3" t="s">
        <v>151</v>
      </c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4">
        <v>4620207490983</v>
      </c>
      <c r="E123" s="344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39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6"/>
      <c r="R123" s="346"/>
      <c r="S123" s="346"/>
      <c r="T123" s="347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6"/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7"/>
      <c r="P124" s="353" t="s">
        <v>40</v>
      </c>
      <c r="Q124" s="354"/>
      <c r="R124" s="354"/>
      <c r="S124" s="354"/>
      <c r="T124" s="354"/>
      <c r="U124" s="354"/>
      <c r="V124" s="355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56"/>
      <c r="B125" s="356"/>
      <c r="C125" s="356"/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7"/>
      <c r="P125" s="353" t="s">
        <v>40</v>
      </c>
      <c r="Q125" s="354"/>
      <c r="R125" s="354"/>
      <c r="S125" s="354"/>
      <c r="T125" s="354"/>
      <c r="U125" s="354"/>
      <c r="V125" s="355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3" t="s">
        <v>220</v>
      </c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4">
        <v>4620207491140</v>
      </c>
      <c r="E127" s="344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39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46"/>
      <c r="R127" s="346"/>
      <c r="S127" s="346"/>
      <c r="T127" s="347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56"/>
      <c r="B128" s="356"/>
      <c r="C128" s="356"/>
      <c r="D128" s="356"/>
      <c r="E128" s="356"/>
      <c r="F128" s="356"/>
      <c r="G128" s="356"/>
      <c r="H128" s="356"/>
      <c r="I128" s="356"/>
      <c r="J128" s="356"/>
      <c r="K128" s="356"/>
      <c r="L128" s="356"/>
      <c r="M128" s="356"/>
      <c r="N128" s="356"/>
      <c r="O128" s="357"/>
      <c r="P128" s="353" t="s">
        <v>40</v>
      </c>
      <c r="Q128" s="354"/>
      <c r="R128" s="354"/>
      <c r="S128" s="354"/>
      <c r="T128" s="354"/>
      <c r="U128" s="354"/>
      <c r="V128" s="355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56"/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7"/>
      <c r="P129" s="353" t="s">
        <v>40</v>
      </c>
      <c r="Q129" s="354"/>
      <c r="R129" s="354"/>
      <c r="S129" s="354"/>
      <c r="T129" s="354"/>
      <c r="U129" s="354"/>
      <c r="V129" s="355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2" t="s">
        <v>224</v>
      </c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  <c r="AA130" s="65"/>
      <c r="AB130" s="65"/>
      <c r="AC130" s="82"/>
    </row>
    <row r="131" spans="1:68" ht="14.25" customHeight="1" x14ac:dyDescent="0.25">
      <c r="A131" s="343" t="s">
        <v>151</v>
      </c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4">
        <v>4607111034014</v>
      </c>
      <c r="E132" s="344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39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46"/>
      <c r="R132" s="346"/>
      <c r="S132" s="346"/>
      <c r="T132" s="347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4">
        <v>4607111033994</v>
      </c>
      <c r="E133" s="344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39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46"/>
      <c r="R133" s="346"/>
      <c r="S133" s="346"/>
      <c r="T133" s="34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56"/>
      <c r="B134" s="356"/>
      <c r="C134" s="356"/>
      <c r="D134" s="356"/>
      <c r="E134" s="356"/>
      <c r="F134" s="356"/>
      <c r="G134" s="356"/>
      <c r="H134" s="356"/>
      <c r="I134" s="356"/>
      <c r="J134" s="356"/>
      <c r="K134" s="356"/>
      <c r="L134" s="356"/>
      <c r="M134" s="356"/>
      <c r="N134" s="356"/>
      <c r="O134" s="357"/>
      <c r="P134" s="353" t="s">
        <v>40</v>
      </c>
      <c r="Q134" s="354"/>
      <c r="R134" s="354"/>
      <c r="S134" s="354"/>
      <c r="T134" s="354"/>
      <c r="U134" s="354"/>
      <c r="V134" s="355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56"/>
      <c r="B135" s="356"/>
      <c r="C135" s="356"/>
      <c r="D135" s="356"/>
      <c r="E135" s="356"/>
      <c r="F135" s="356"/>
      <c r="G135" s="356"/>
      <c r="H135" s="356"/>
      <c r="I135" s="356"/>
      <c r="J135" s="356"/>
      <c r="K135" s="356"/>
      <c r="L135" s="356"/>
      <c r="M135" s="356"/>
      <c r="N135" s="356"/>
      <c r="O135" s="357"/>
      <c r="P135" s="353" t="s">
        <v>40</v>
      </c>
      <c r="Q135" s="354"/>
      <c r="R135" s="354"/>
      <c r="S135" s="354"/>
      <c r="T135" s="354"/>
      <c r="U135" s="354"/>
      <c r="V135" s="355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2" t="s">
        <v>232</v>
      </c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  <c r="AA136" s="65"/>
      <c r="AB136" s="65"/>
      <c r="AC136" s="82"/>
    </row>
    <row r="137" spans="1:68" ht="14.25" customHeight="1" x14ac:dyDescent="0.25">
      <c r="A137" s="343" t="s">
        <v>151</v>
      </c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4">
        <v>4607111039095</v>
      </c>
      <c r="E138" s="344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46"/>
      <c r="R138" s="346"/>
      <c r="S138" s="346"/>
      <c r="T138" s="347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4">
        <v>4607111034199</v>
      </c>
      <c r="E139" s="344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46"/>
      <c r="R139" s="346"/>
      <c r="S139" s="346"/>
      <c r="T139" s="34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6"/>
      <c r="B140" s="356"/>
      <c r="C140" s="356"/>
      <c r="D140" s="356"/>
      <c r="E140" s="356"/>
      <c r="F140" s="356"/>
      <c r="G140" s="356"/>
      <c r="H140" s="356"/>
      <c r="I140" s="356"/>
      <c r="J140" s="356"/>
      <c r="K140" s="356"/>
      <c r="L140" s="356"/>
      <c r="M140" s="356"/>
      <c r="N140" s="356"/>
      <c r="O140" s="357"/>
      <c r="P140" s="353" t="s">
        <v>40</v>
      </c>
      <c r="Q140" s="354"/>
      <c r="R140" s="354"/>
      <c r="S140" s="354"/>
      <c r="T140" s="354"/>
      <c r="U140" s="354"/>
      <c r="V140" s="355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7"/>
      <c r="P141" s="353" t="s">
        <v>40</v>
      </c>
      <c r="Q141" s="354"/>
      <c r="R141" s="354"/>
      <c r="S141" s="354"/>
      <c r="T141" s="354"/>
      <c r="U141" s="354"/>
      <c r="V141" s="355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2" t="s">
        <v>239</v>
      </c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  <c r="AA142" s="65"/>
      <c r="AB142" s="65"/>
      <c r="AC142" s="82"/>
    </row>
    <row r="143" spans="1:68" ht="14.25" customHeight="1" x14ac:dyDescent="0.25">
      <c r="A143" s="343" t="s">
        <v>151</v>
      </c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4">
        <v>4620207490914</v>
      </c>
      <c r="E144" s="344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46"/>
      <c r="R144" s="346"/>
      <c r="S144" s="346"/>
      <c r="T144" s="347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4">
        <v>4620207490853</v>
      </c>
      <c r="E145" s="344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46"/>
      <c r="R145" s="346"/>
      <c r="S145" s="346"/>
      <c r="T145" s="347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6"/>
      <c r="B146" s="356"/>
      <c r="C146" s="356"/>
      <c r="D146" s="356"/>
      <c r="E146" s="356"/>
      <c r="F146" s="356"/>
      <c r="G146" s="356"/>
      <c r="H146" s="356"/>
      <c r="I146" s="356"/>
      <c r="J146" s="356"/>
      <c r="K146" s="356"/>
      <c r="L146" s="356"/>
      <c r="M146" s="356"/>
      <c r="N146" s="356"/>
      <c r="O146" s="357"/>
      <c r="P146" s="353" t="s">
        <v>40</v>
      </c>
      <c r="Q146" s="354"/>
      <c r="R146" s="354"/>
      <c r="S146" s="354"/>
      <c r="T146" s="354"/>
      <c r="U146" s="354"/>
      <c r="V146" s="35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56"/>
      <c r="B147" s="356"/>
      <c r="C147" s="356"/>
      <c r="D147" s="356"/>
      <c r="E147" s="356"/>
      <c r="F147" s="356"/>
      <c r="G147" s="356"/>
      <c r="H147" s="356"/>
      <c r="I147" s="356"/>
      <c r="J147" s="356"/>
      <c r="K147" s="356"/>
      <c r="L147" s="356"/>
      <c r="M147" s="356"/>
      <c r="N147" s="356"/>
      <c r="O147" s="357"/>
      <c r="P147" s="353" t="s">
        <v>40</v>
      </c>
      <c r="Q147" s="354"/>
      <c r="R147" s="354"/>
      <c r="S147" s="354"/>
      <c r="T147" s="354"/>
      <c r="U147" s="354"/>
      <c r="V147" s="35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2" t="s">
        <v>244</v>
      </c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  <c r="AA148" s="65"/>
      <c r="AB148" s="65"/>
      <c r="AC148" s="82"/>
    </row>
    <row r="149" spans="1:68" ht="14.25" customHeight="1" x14ac:dyDescent="0.25">
      <c r="A149" s="343" t="s">
        <v>151</v>
      </c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4">
        <v>4607111035806</v>
      </c>
      <c r="E150" s="344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46"/>
      <c r="R150" s="346"/>
      <c r="S150" s="346"/>
      <c r="T150" s="347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6"/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7"/>
      <c r="P151" s="353" t="s">
        <v>40</v>
      </c>
      <c r="Q151" s="354"/>
      <c r="R151" s="354"/>
      <c r="S151" s="354"/>
      <c r="T151" s="354"/>
      <c r="U151" s="354"/>
      <c r="V151" s="355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6"/>
      <c r="B152" s="356"/>
      <c r="C152" s="356"/>
      <c r="D152" s="356"/>
      <c r="E152" s="356"/>
      <c r="F152" s="356"/>
      <c r="G152" s="356"/>
      <c r="H152" s="356"/>
      <c r="I152" s="356"/>
      <c r="J152" s="356"/>
      <c r="K152" s="356"/>
      <c r="L152" s="356"/>
      <c r="M152" s="356"/>
      <c r="N152" s="356"/>
      <c r="O152" s="357"/>
      <c r="P152" s="353" t="s">
        <v>40</v>
      </c>
      <c r="Q152" s="354"/>
      <c r="R152" s="354"/>
      <c r="S152" s="354"/>
      <c r="T152" s="354"/>
      <c r="U152" s="354"/>
      <c r="V152" s="355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2" t="s">
        <v>248</v>
      </c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  <c r="AA153" s="65"/>
      <c r="AB153" s="65"/>
      <c r="AC153" s="82"/>
    </row>
    <row r="154" spans="1:68" ht="14.25" customHeight="1" x14ac:dyDescent="0.25">
      <c r="A154" s="343" t="s">
        <v>151</v>
      </c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4">
        <v>4607111039613</v>
      </c>
      <c r="E155" s="344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88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46"/>
      <c r="R155" s="346"/>
      <c r="S155" s="346"/>
      <c r="T155" s="347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89</v>
      </c>
      <c r="AK155" s="87">
        <v>1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6"/>
      <c r="B156" s="356"/>
      <c r="C156" s="356"/>
      <c r="D156" s="356"/>
      <c r="E156" s="356"/>
      <c r="F156" s="356"/>
      <c r="G156" s="356"/>
      <c r="H156" s="356"/>
      <c r="I156" s="356"/>
      <c r="J156" s="356"/>
      <c r="K156" s="356"/>
      <c r="L156" s="356"/>
      <c r="M156" s="356"/>
      <c r="N156" s="356"/>
      <c r="O156" s="357"/>
      <c r="P156" s="353" t="s">
        <v>40</v>
      </c>
      <c r="Q156" s="354"/>
      <c r="R156" s="354"/>
      <c r="S156" s="354"/>
      <c r="T156" s="354"/>
      <c r="U156" s="354"/>
      <c r="V156" s="355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6"/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7"/>
      <c r="P157" s="353" t="s">
        <v>40</v>
      </c>
      <c r="Q157" s="354"/>
      <c r="R157" s="354"/>
      <c r="S157" s="354"/>
      <c r="T157" s="354"/>
      <c r="U157" s="354"/>
      <c r="V157" s="355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2" t="s">
        <v>251</v>
      </c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  <c r="AA158" s="65"/>
      <c r="AB158" s="65"/>
      <c r="AC158" s="82"/>
    </row>
    <row r="159" spans="1:68" ht="14.25" customHeight="1" x14ac:dyDescent="0.25">
      <c r="A159" s="343" t="s">
        <v>220</v>
      </c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4">
        <v>4607111035646</v>
      </c>
      <c r="E160" s="344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88</v>
      </c>
      <c r="M160" s="38" t="s">
        <v>86</v>
      </c>
      <c r="N160" s="38"/>
      <c r="O160" s="37">
        <v>180</v>
      </c>
      <c r="P160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46"/>
      <c r="R160" s="346"/>
      <c r="S160" s="346"/>
      <c r="T160" s="347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89</v>
      </c>
      <c r="AK160" s="87">
        <v>1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56"/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7"/>
      <c r="P161" s="353" t="s">
        <v>40</v>
      </c>
      <c r="Q161" s="354"/>
      <c r="R161" s="354"/>
      <c r="S161" s="354"/>
      <c r="T161" s="354"/>
      <c r="U161" s="354"/>
      <c r="V161" s="355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56"/>
      <c r="B162" s="356"/>
      <c r="C162" s="356"/>
      <c r="D162" s="356"/>
      <c r="E162" s="356"/>
      <c r="F162" s="356"/>
      <c r="G162" s="356"/>
      <c r="H162" s="356"/>
      <c r="I162" s="356"/>
      <c r="J162" s="356"/>
      <c r="K162" s="356"/>
      <c r="L162" s="356"/>
      <c r="M162" s="356"/>
      <c r="N162" s="356"/>
      <c r="O162" s="357"/>
      <c r="P162" s="353" t="s">
        <v>40</v>
      </c>
      <c r="Q162" s="354"/>
      <c r="R162" s="354"/>
      <c r="S162" s="354"/>
      <c r="T162" s="354"/>
      <c r="U162" s="354"/>
      <c r="V162" s="355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2" t="s">
        <v>256</v>
      </c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  <c r="AA163" s="65"/>
      <c r="AB163" s="65"/>
      <c r="AC163" s="82"/>
    </row>
    <row r="164" spans="1:68" ht="14.25" customHeight="1" x14ac:dyDescent="0.25">
      <c r="A164" s="343" t="s">
        <v>151</v>
      </c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4">
        <v>4607111036568</v>
      </c>
      <c r="E165" s="344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0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46"/>
      <c r="R165" s="346"/>
      <c r="S165" s="346"/>
      <c r="T165" s="347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56"/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7"/>
      <c r="P166" s="353" t="s">
        <v>40</v>
      </c>
      <c r="Q166" s="354"/>
      <c r="R166" s="354"/>
      <c r="S166" s="354"/>
      <c r="T166" s="354"/>
      <c r="U166" s="354"/>
      <c r="V166" s="355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56"/>
      <c r="B167" s="356"/>
      <c r="C167" s="356"/>
      <c r="D167" s="356"/>
      <c r="E167" s="356"/>
      <c r="F167" s="356"/>
      <c r="G167" s="356"/>
      <c r="H167" s="356"/>
      <c r="I167" s="356"/>
      <c r="J167" s="356"/>
      <c r="K167" s="356"/>
      <c r="L167" s="356"/>
      <c r="M167" s="356"/>
      <c r="N167" s="356"/>
      <c r="O167" s="357"/>
      <c r="P167" s="353" t="s">
        <v>40</v>
      </c>
      <c r="Q167" s="354"/>
      <c r="R167" s="354"/>
      <c r="S167" s="354"/>
      <c r="T167" s="354"/>
      <c r="U167" s="354"/>
      <c r="V167" s="355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1" t="s">
        <v>260</v>
      </c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  <c r="P168" s="341"/>
      <c r="Q168" s="341"/>
      <c r="R168" s="341"/>
      <c r="S168" s="341"/>
      <c r="T168" s="341"/>
      <c r="U168" s="341"/>
      <c r="V168" s="341"/>
      <c r="W168" s="341"/>
      <c r="X168" s="341"/>
      <c r="Y168" s="341"/>
      <c r="Z168" s="341"/>
      <c r="AA168" s="54"/>
      <c r="AB168" s="54"/>
      <c r="AC168" s="54"/>
    </row>
    <row r="169" spans="1:68" ht="16.5" customHeight="1" x14ac:dyDescent="0.25">
      <c r="A169" s="342" t="s">
        <v>261</v>
      </c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  <c r="AA169" s="65"/>
      <c r="AB169" s="65"/>
      <c r="AC169" s="82"/>
    </row>
    <row r="170" spans="1:68" ht="14.25" customHeight="1" x14ac:dyDescent="0.25">
      <c r="A170" s="343" t="s">
        <v>82</v>
      </c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4">
        <v>4607111036384</v>
      </c>
      <c r="E171" s="344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0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46"/>
      <c r="R171" s="346"/>
      <c r="S171" s="346"/>
      <c r="T171" s="347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4">
        <v>4607111036216</v>
      </c>
      <c r="E172" s="344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0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46"/>
      <c r="R172" s="346"/>
      <c r="S172" s="346"/>
      <c r="T172" s="347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56"/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7"/>
      <c r="P173" s="353" t="s">
        <v>40</v>
      </c>
      <c r="Q173" s="354"/>
      <c r="R173" s="354"/>
      <c r="S173" s="354"/>
      <c r="T173" s="354"/>
      <c r="U173" s="354"/>
      <c r="V173" s="355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56"/>
      <c r="B174" s="356"/>
      <c r="C174" s="356"/>
      <c r="D174" s="356"/>
      <c r="E174" s="356"/>
      <c r="F174" s="356"/>
      <c r="G174" s="356"/>
      <c r="H174" s="356"/>
      <c r="I174" s="356"/>
      <c r="J174" s="356"/>
      <c r="K174" s="356"/>
      <c r="L174" s="356"/>
      <c r="M174" s="356"/>
      <c r="N174" s="356"/>
      <c r="O174" s="357"/>
      <c r="P174" s="353" t="s">
        <v>40</v>
      </c>
      <c r="Q174" s="354"/>
      <c r="R174" s="354"/>
      <c r="S174" s="354"/>
      <c r="T174" s="354"/>
      <c r="U174" s="354"/>
      <c r="V174" s="355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27.75" customHeight="1" x14ac:dyDescent="0.2">
      <c r="A175" s="341" t="s">
        <v>268</v>
      </c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  <c r="P175" s="341"/>
      <c r="Q175" s="341"/>
      <c r="R175" s="341"/>
      <c r="S175" s="341"/>
      <c r="T175" s="341"/>
      <c r="U175" s="341"/>
      <c r="V175" s="341"/>
      <c r="W175" s="341"/>
      <c r="X175" s="341"/>
      <c r="Y175" s="341"/>
      <c r="Z175" s="341"/>
      <c r="AA175" s="54"/>
      <c r="AB175" s="54"/>
      <c r="AC175" s="54"/>
    </row>
    <row r="176" spans="1:68" ht="16.5" customHeight="1" x14ac:dyDescent="0.25">
      <c r="A176" s="342" t="s">
        <v>269</v>
      </c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  <c r="AA176" s="65"/>
      <c r="AB176" s="65"/>
      <c r="AC176" s="82"/>
    </row>
    <row r="177" spans="1:68" ht="14.25" customHeight="1" x14ac:dyDescent="0.25">
      <c r="A177" s="343" t="s">
        <v>107</v>
      </c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66"/>
      <c r="AB177" s="66"/>
      <c r="AC177" s="83"/>
    </row>
    <row r="178" spans="1:68" ht="16.5" customHeight="1" x14ac:dyDescent="0.25">
      <c r="A178" s="63" t="s">
        <v>270</v>
      </c>
      <c r="B178" s="63" t="s">
        <v>271</v>
      </c>
      <c r="C178" s="36">
        <v>4301132179</v>
      </c>
      <c r="D178" s="344">
        <v>4607111035691</v>
      </c>
      <c r="E178" s="344"/>
      <c r="F178" s="62">
        <v>0.25</v>
      </c>
      <c r="G178" s="37">
        <v>12</v>
      </c>
      <c r="H178" s="62">
        <v>3</v>
      </c>
      <c r="I178" s="62">
        <v>3.3879999999999999</v>
      </c>
      <c r="J178" s="37">
        <v>70</v>
      </c>
      <c r="K178" s="37" t="s">
        <v>112</v>
      </c>
      <c r="L178" s="37" t="s">
        <v>113</v>
      </c>
      <c r="M178" s="38" t="s">
        <v>86</v>
      </c>
      <c r="N178" s="38"/>
      <c r="O178" s="37">
        <v>365</v>
      </c>
      <c r="P178" s="41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346"/>
      <c r="R178" s="346"/>
      <c r="S178" s="346"/>
      <c r="T178" s="34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IFERROR(IF(X178="","",X178*0.01788),"")</f>
        <v>0</v>
      </c>
      <c r="AA178" s="68" t="s">
        <v>46</v>
      </c>
      <c r="AB178" s="69" t="s">
        <v>46</v>
      </c>
      <c r="AC178" s="205" t="s">
        <v>272</v>
      </c>
      <c r="AG178" s="81"/>
      <c r="AJ178" s="87" t="s">
        <v>114</v>
      </c>
      <c r="AK178" s="87">
        <v>14</v>
      </c>
      <c r="BB178" s="206" t="s">
        <v>111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273</v>
      </c>
      <c r="B179" s="63" t="s">
        <v>274</v>
      </c>
      <c r="C179" s="36">
        <v>4301132182</v>
      </c>
      <c r="D179" s="344">
        <v>4607111035721</v>
      </c>
      <c r="E179" s="344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346"/>
      <c r="R179" s="346"/>
      <c r="S179" s="346"/>
      <c r="T179" s="347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4301132170</v>
      </c>
      <c r="D180" s="344">
        <v>4607111038487</v>
      </c>
      <c r="E180" s="344"/>
      <c r="F180" s="62">
        <v>0.25</v>
      </c>
      <c r="G180" s="37">
        <v>12</v>
      </c>
      <c r="H180" s="62">
        <v>3</v>
      </c>
      <c r="I180" s="62">
        <v>3.7360000000000002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180</v>
      </c>
      <c r="P180" s="41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346"/>
      <c r="R180" s="346"/>
      <c r="S180" s="346"/>
      <c r="T180" s="34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6"/>
      <c r="B181" s="356"/>
      <c r="C181" s="356"/>
      <c r="D181" s="356"/>
      <c r="E181" s="356"/>
      <c r="F181" s="356"/>
      <c r="G181" s="356"/>
      <c r="H181" s="356"/>
      <c r="I181" s="356"/>
      <c r="J181" s="356"/>
      <c r="K181" s="356"/>
      <c r="L181" s="356"/>
      <c r="M181" s="356"/>
      <c r="N181" s="356"/>
      <c r="O181" s="357"/>
      <c r="P181" s="353" t="s">
        <v>40</v>
      </c>
      <c r="Q181" s="354"/>
      <c r="R181" s="354"/>
      <c r="S181" s="354"/>
      <c r="T181" s="354"/>
      <c r="U181" s="354"/>
      <c r="V181" s="355"/>
      <c r="W181" s="42" t="s">
        <v>39</v>
      </c>
      <c r="X181" s="43">
        <f>IFERROR(SUM(X178:X180),"0")</f>
        <v>0</v>
      </c>
      <c r="Y181" s="43">
        <f>IFERROR(SUM(Y178:Y180),"0")</f>
        <v>0</v>
      </c>
      <c r="Z181" s="43">
        <f>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356"/>
      <c r="B182" s="356"/>
      <c r="C182" s="356"/>
      <c r="D182" s="356"/>
      <c r="E182" s="356"/>
      <c r="F182" s="356"/>
      <c r="G182" s="356"/>
      <c r="H182" s="356"/>
      <c r="I182" s="356"/>
      <c r="J182" s="356"/>
      <c r="K182" s="356"/>
      <c r="L182" s="356"/>
      <c r="M182" s="356"/>
      <c r="N182" s="356"/>
      <c r="O182" s="357"/>
      <c r="P182" s="353" t="s">
        <v>40</v>
      </c>
      <c r="Q182" s="354"/>
      <c r="R182" s="354"/>
      <c r="S182" s="354"/>
      <c r="T182" s="354"/>
      <c r="U182" s="354"/>
      <c r="V182" s="355"/>
      <c r="W182" s="42" t="s">
        <v>0</v>
      </c>
      <c r="X182" s="43">
        <f>IFERROR(SUMPRODUCT(X178:X180*H178:H180),"0")</f>
        <v>0</v>
      </c>
      <c r="Y182" s="43">
        <f>IFERROR(SUMPRODUCT(Y178:Y180*H178:H180),"0")</f>
        <v>0</v>
      </c>
      <c r="Z182" s="42"/>
      <c r="AA182" s="67"/>
      <c r="AB182" s="67"/>
      <c r="AC182" s="67"/>
    </row>
    <row r="183" spans="1:68" ht="14.25" customHeight="1" x14ac:dyDescent="0.25">
      <c r="A183" s="343" t="s">
        <v>279</v>
      </c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66"/>
      <c r="AB183" s="66"/>
      <c r="AC183" s="83"/>
    </row>
    <row r="184" spans="1:68" ht="27" customHeight="1" x14ac:dyDescent="0.25">
      <c r="A184" s="63" t="s">
        <v>280</v>
      </c>
      <c r="B184" s="63" t="s">
        <v>281</v>
      </c>
      <c r="C184" s="36">
        <v>4301051855</v>
      </c>
      <c r="D184" s="344">
        <v>4680115885875</v>
      </c>
      <c r="E184" s="344"/>
      <c r="F184" s="62">
        <v>1</v>
      </c>
      <c r="G184" s="37">
        <v>9</v>
      </c>
      <c r="H184" s="62">
        <v>9</v>
      </c>
      <c r="I184" s="62">
        <v>9.41</v>
      </c>
      <c r="J184" s="37">
        <v>64</v>
      </c>
      <c r="K184" s="37" t="s">
        <v>286</v>
      </c>
      <c r="L184" s="37" t="s">
        <v>88</v>
      </c>
      <c r="M184" s="38" t="s">
        <v>285</v>
      </c>
      <c r="N184" s="38"/>
      <c r="O184" s="37">
        <v>365</v>
      </c>
      <c r="P184" s="413" t="s">
        <v>282</v>
      </c>
      <c r="Q184" s="346"/>
      <c r="R184" s="346"/>
      <c r="S184" s="346"/>
      <c r="T184" s="347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IFERROR(IF(X184="","",X184*0.01898),"")</f>
        <v>0</v>
      </c>
      <c r="AA184" s="68" t="s">
        <v>46</v>
      </c>
      <c r="AB184" s="69" t="s">
        <v>46</v>
      </c>
      <c r="AC184" s="211" t="s">
        <v>283</v>
      </c>
      <c r="AG184" s="81"/>
      <c r="AJ184" s="87" t="s">
        <v>89</v>
      </c>
      <c r="AK184" s="87">
        <v>1</v>
      </c>
      <c r="BB184" s="212" t="s">
        <v>284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356"/>
      <c r="B185" s="356"/>
      <c r="C185" s="356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7"/>
      <c r="P185" s="353" t="s">
        <v>40</v>
      </c>
      <c r="Q185" s="354"/>
      <c r="R185" s="354"/>
      <c r="S185" s="354"/>
      <c r="T185" s="354"/>
      <c r="U185" s="354"/>
      <c r="V185" s="35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356"/>
      <c r="B186" s="356"/>
      <c r="C186" s="356"/>
      <c r="D186" s="356"/>
      <c r="E186" s="356"/>
      <c r="F186" s="356"/>
      <c r="G186" s="356"/>
      <c r="H186" s="356"/>
      <c r="I186" s="356"/>
      <c r="J186" s="356"/>
      <c r="K186" s="356"/>
      <c r="L186" s="356"/>
      <c r="M186" s="356"/>
      <c r="N186" s="356"/>
      <c r="O186" s="357"/>
      <c r="P186" s="353" t="s">
        <v>40</v>
      </c>
      <c r="Q186" s="354"/>
      <c r="R186" s="354"/>
      <c r="S186" s="354"/>
      <c r="T186" s="354"/>
      <c r="U186" s="354"/>
      <c r="V186" s="35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41" t="s">
        <v>287</v>
      </c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  <c r="P187" s="341"/>
      <c r="Q187" s="341"/>
      <c r="R187" s="341"/>
      <c r="S187" s="341"/>
      <c r="T187" s="341"/>
      <c r="U187" s="341"/>
      <c r="V187" s="341"/>
      <c r="W187" s="341"/>
      <c r="X187" s="341"/>
      <c r="Y187" s="341"/>
      <c r="Z187" s="341"/>
      <c r="AA187" s="54"/>
      <c r="AB187" s="54"/>
      <c r="AC187" s="54"/>
    </row>
    <row r="188" spans="1:68" ht="16.5" customHeight="1" x14ac:dyDescent="0.25">
      <c r="A188" s="342" t="s">
        <v>288</v>
      </c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  <c r="AA188" s="65"/>
      <c r="AB188" s="65"/>
      <c r="AC188" s="82"/>
    </row>
    <row r="189" spans="1:68" ht="14.25" customHeight="1" x14ac:dyDescent="0.25">
      <c r="A189" s="343" t="s">
        <v>107</v>
      </c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4301132227</v>
      </c>
      <c r="D190" s="344">
        <v>4620207491133</v>
      </c>
      <c r="E190" s="344"/>
      <c r="F190" s="62">
        <v>0.23</v>
      </c>
      <c r="G190" s="37">
        <v>12</v>
      </c>
      <c r="H190" s="62">
        <v>2.76</v>
      </c>
      <c r="I190" s="62">
        <v>2.98</v>
      </c>
      <c r="J190" s="37">
        <v>70</v>
      </c>
      <c r="K190" s="37" t="s">
        <v>112</v>
      </c>
      <c r="L190" s="37" t="s">
        <v>113</v>
      </c>
      <c r="M190" s="38" t="s">
        <v>86</v>
      </c>
      <c r="N190" s="38"/>
      <c r="O190" s="37">
        <v>180</v>
      </c>
      <c r="P190" s="41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0" s="346"/>
      <c r="R190" s="346"/>
      <c r="S190" s="346"/>
      <c r="T190" s="347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13" t="s">
        <v>291</v>
      </c>
      <c r="AG190" s="81"/>
      <c r="AJ190" s="87" t="s">
        <v>114</v>
      </c>
      <c r="AK190" s="87">
        <v>14</v>
      </c>
      <c r="BB190" s="214" t="s">
        <v>111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56"/>
      <c r="B191" s="356"/>
      <c r="C191" s="356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7"/>
      <c r="P191" s="353" t="s">
        <v>40</v>
      </c>
      <c r="Q191" s="354"/>
      <c r="R191" s="354"/>
      <c r="S191" s="354"/>
      <c r="T191" s="354"/>
      <c r="U191" s="354"/>
      <c r="V191" s="355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56"/>
      <c r="B192" s="356"/>
      <c r="C192" s="356"/>
      <c r="D192" s="356"/>
      <c r="E192" s="356"/>
      <c r="F192" s="356"/>
      <c r="G192" s="356"/>
      <c r="H192" s="356"/>
      <c r="I192" s="356"/>
      <c r="J192" s="356"/>
      <c r="K192" s="356"/>
      <c r="L192" s="356"/>
      <c r="M192" s="356"/>
      <c r="N192" s="356"/>
      <c r="O192" s="357"/>
      <c r="P192" s="353" t="s">
        <v>40</v>
      </c>
      <c r="Q192" s="354"/>
      <c r="R192" s="354"/>
      <c r="S192" s="354"/>
      <c r="T192" s="354"/>
      <c r="U192" s="354"/>
      <c r="V192" s="355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14.25" customHeight="1" x14ac:dyDescent="0.25">
      <c r="A193" s="343" t="s">
        <v>151</v>
      </c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66"/>
      <c r="AB193" s="66"/>
      <c r="AC193" s="83"/>
    </row>
    <row r="194" spans="1:68" ht="27" customHeight="1" x14ac:dyDescent="0.25">
      <c r="A194" s="63" t="s">
        <v>292</v>
      </c>
      <c r="B194" s="63" t="s">
        <v>293</v>
      </c>
      <c r="C194" s="36">
        <v>4301135834</v>
      </c>
      <c r="D194" s="344">
        <v>4620207491188</v>
      </c>
      <c r="E194" s="344"/>
      <c r="F194" s="62">
        <v>0.2</v>
      </c>
      <c r="G194" s="37">
        <v>12</v>
      </c>
      <c r="H194" s="62">
        <v>2.4</v>
      </c>
      <c r="I194" s="62">
        <v>3.1036000000000001</v>
      </c>
      <c r="J194" s="37">
        <v>70</v>
      </c>
      <c r="K194" s="37" t="s">
        <v>112</v>
      </c>
      <c r="L194" s="37" t="s">
        <v>88</v>
      </c>
      <c r="M194" s="38" t="s">
        <v>86</v>
      </c>
      <c r="N194" s="38"/>
      <c r="O194" s="37">
        <v>180</v>
      </c>
      <c r="P194" s="41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4" s="346"/>
      <c r="R194" s="346"/>
      <c r="S194" s="346"/>
      <c r="T194" s="34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111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295</v>
      </c>
      <c r="B195" s="63" t="s">
        <v>296</v>
      </c>
      <c r="C195" s="36">
        <v>4301135707</v>
      </c>
      <c r="D195" s="344">
        <v>4620207490198</v>
      </c>
      <c r="E195" s="344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88</v>
      </c>
      <c r="M195" s="38" t="s">
        <v>86</v>
      </c>
      <c r="N195" s="38"/>
      <c r="O195" s="37">
        <v>180</v>
      </c>
      <c r="P195" s="41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5" s="346"/>
      <c r="R195" s="346"/>
      <c r="S195" s="346"/>
      <c r="T195" s="34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89</v>
      </c>
      <c r="AK195" s="87">
        <v>1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4301135829</v>
      </c>
      <c r="D196" s="344">
        <v>4620207490235</v>
      </c>
      <c r="E196" s="344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1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6" s="346"/>
      <c r="R196" s="346"/>
      <c r="S196" s="346"/>
      <c r="T196" s="347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4301135697</v>
      </c>
      <c r="D197" s="344">
        <v>4620207490259</v>
      </c>
      <c r="E197" s="344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1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7" s="346"/>
      <c r="R197" s="346"/>
      <c r="S197" s="346"/>
      <c r="T197" s="347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297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303</v>
      </c>
      <c r="B198" s="63" t="s">
        <v>304</v>
      </c>
      <c r="C198" s="36">
        <v>4301135681</v>
      </c>
      <c r="D198" s="344">
        <v>4620207490143</v>
      </c>
      <c r="E198" s="344"/>
      <c r="F198" s="62">
        <v>0.22</v>
      </c>
      <c r="G198" s="37">
        <v>12</v>
      </c>
      <c r="H198" s="62">
        <v>2.64</v>
      </c>
      <c r="I198" s="62">
        <v>3.3435999999999999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8" s="346"/>
      <c r="R198" s="346"/>
      <c r="S198" s="346"/>
      <c r="T198" s="347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305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56"/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7"/>
      <c r="P199" s="353" t="s">
        <v>40</v>
      </c>
      <c r="Q199" s="354"/>
      <c r="R199" s="354"/>
      <c r="S199" s="354"/>
      <c r="T199" s="354"/>
      <c r="U199" s="354"/>
      <c r="V199" s="355"/>
      <c r="W199" s="42" t="s">
        <v>39</v>
      </c>
      <c r="X199" s="43">
        <f>IFERROR(SUM(X194:X198),"0")</f>
        <v>0</v>
      </c>
      <c r="Y199" s="43">
        <f>IFERROR(SUM(Y194:Y198),"0")</f>
        <v>0</v>
      </c>
      <c r="Z199" s="43">
        <f>IFERROR(IF(Z194="",0,Z194),"0")+IFERROR(IF(Z195="",0,Z195),"0")+IFERROR(IF(Z196="",0,Z196),"0")+IFERROR(IF(Z197="",0,Z197),"0")+IFERROR(IF(Z198="",0,Z198),"0")</f>
        <v>0</v>
      </c>
      <c r="AA199" s="67"/>
      <c r="AB199" s="67"/>
      <c r="AC199" s="67"/>
    </row>
    <row r="200" spans="1:68" x14ac:dyDescent="0.2">
      <c r="A200" s="356"/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7"/>
      <c r="P200" s="353" t="s">
        <v>40</v>
      </c>
      <c r="Q200" s="354"/>
      <c r="R200" s="354"/>
      <c r="S200" s="354"/>
      <c r="T200" s="354"/>
      <c r="U200" s="354"/>
      <c r="V200" s="355"/>
      <c r="W200" s="42" t="s">
        <v>0</v>
      </c>
      <c r="X200" s="43">
        <f>IFERROR(SUMPRODUCT(X194:X198*H194:H198),"0")</f>
        <v>0</v>
      </c>
      <c r="Y200" s="43">
        <f>IFERROR(SUMPRODUCT(Y194:Y198*H194:H198),"0")</f>
        <v>0</v>
      </c>
      <c r="Z200" s="42"/>
      <c r="AA200" s="67"/>
      <c r="AB200" s="67"/>
      <c r="AC200" s="67"/>
    </row>
    <row r="201" spans="1:68" ht="16.5" customHeight="1" x14ac:dyDescent="0.25">
      <c r="A201" s="342" t="s">
        <v>306</v>
      </c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  <c r="AA201" s="65"/>
      <c r="AB201" s="65"/>
      <c r="AC201" s="82"/>
    </row>
    <row r="202" spans="1:68" ht="14.25" customHeight="1" x14ac:dyDescent="0.25">
      <c r="A202" s="343" t="s">
        <v>82</v>
      </c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66"/>
      <c r="AB202" s="66"/>
      <c r="AC202" s="83"/>
    </row>
    <row r="203" spans="1:68" ht="27" customHeight="1" x14ac:dyDescent="0.25">
      <c r="A203" s="63" t="s">
        <v>307</v>
      </c>
      <c r="B203" s="63" t="s">
        <v>308</v>
      </c>
      <c r="C203" s="36">
        <v>4301071097</v>
      </c>
      <c r="D203" s="344">
        <v>4620207491096</v>
      </c>
      <c r="E203" s="344"/>
      <c r="F203" s="62">
        <v>1</v>
      </c>
      <c r="G203" s="37">
        <v>5</v>
      </c>
      <c r="H203" s="62">
        <v>5</v>
      </c>
      <c r="I203" s="62">
        <v>5.23</v>
      </c>
      <c r="J203" s="37">
        <v>84</v>
      </c>
      <c r="K203" s="37" t="s">
        <v>87</v>
      </c>
      <c r="L203" s="37" t="s">
        <v>113</v>
      </c>
      <c r="M203" s="38" t="s">
        <v>86</v>
      </c>
      <c r="N203" s="38"/>
      <c r="O203" s="37">
        <v>180</v>
      </c>
      <c r="P203" s="42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3" s="346"/>
      <c r="R203" s="346"/>
      <c r="S203" s="346"/>
      <c r="T203" s="347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IFERROR(IF(X203="","",X203*0.0155),"")</f>
        <v>0</v>
      </c>
      <c r="AA203" s="68" t="s">
        <v>46</v>
      </c>
      <c r="AB203" s="69" t="s">
        <v>46</v>
      </c>
      <c r="AC203" s="225" t="s">
        <v>309</v>
      </c>
      <c r="AG203" s="81"/>
      <c r="AJ203" s="87" t="s">
        <v>114</v>
      </c>
      <c r="AK203" s="87">
        <v>12</v>
      </c>
      <c r="BB203" s="226" t="s">
        <v>70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x14ac:dyDescent="0.2">
      <c r="A204" s="356"/>
      <c r="B204" s="356"/>
      <c r="C204" s="356"/>
      <c r="D204" s="356"/>
      <c r="E204" s="356"/>
      <c r="F204" s="356"/>
      <c r="G204" s="356"/>
      <c r="H204" s="356"/>
      <c r="I204" s="356"/>
      <c r="J204" s="356"/>
      <c r="K204" s="356"/>
      <c r="L204" s="356"/>
      <c r="M204" s="356"/>
      <c r="N204" s="356"/>
      <c r="O204" s="357"/>
      <c r="P204" s="353" t="s">
        <v>40</v>
      </c>
      <c r="Q204" s="354"/>
      <c r="R204" s="354"/>
      <c r="S204" s="354"/>
      <c r="T204" s="354"/>
      <c r="U204" s="354"/>
      <c r="V204" s="355"/>
      <c r="W204" s="42" t="s">
        <v>39</v>
      </c>
      <c r="X204" s="43">
        <f>IFERROR(SUM(X203:X203),"0")</f>
        <v>0</v>
      </c>
      <c r="Y204" s="43">
        <f>IFERROR(SUM(Y203:Y203),"0")</f>
        <v>0</v>
      </c>
      <c r="Z204" s="43">
        <f>IFERROR(IF(Z203="",0,Z203),"0")</f>
        <v>0</v>
      </c>
      <c r="AA204" s="67"/>
      <c r="AB204" s="67"/>
      <c r="AC204" s="67"/>
    </row>
    <row r="205" spans="1:68" x14ac:dyDescent="0.2">
      <c r="A205" s="356"/>
      <c r="B205" s="356"/>
      <c r="C205" s="356"/>
      <c r="D205" s="356"/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7"/>
      <c r="P205" s="353" t="s">
        <v>40</v>
      </c>
      <c r="Q205" s="354"/>
      <c r="R205" s="354"/>
      <c r="S205" s="354"/>
      <c r="T205" s="354"/>
      <c r="U205" s="354"/>
      <c r="V205" s="355"/>
      <c r="W205" s="42" t="s">
        <v>0</v>
      </c>
      <c r="X205" s="43">
        <f>IFERROR(SUMPRODUCT(X203:X203*H203:H203),"0")</f>
        <v>0</v>
      </c>
      <c r="Y205" s="43">
        <f>IFERROR(SUMPRODUCT(Y203:Y203*H203:H203),"0")</f>
        <v>0</v>
      </c>
      <c r="Z205" s="42"/>
      <c r="AA205" s="67"/>
      <c r="AB205" s="67"/>
      <c r="AC205" s="67"/>
    </row>
    <row r="206" spans="1:68" ht="16.5" customHeight="1" x14ac:dyDescent="0.25">
      <c r="A206" s="342" t="s">
        <v>310</v>
      </c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  <c r="AA206" s="65"/>
      <c r="AB206" s="65"/>
      <c r="AC206" s="82"/>
    </row>
    <row r="207" spans="1:68" ht="14.25" customHeight="1" x14ac:dyDescent="0.25">
      <c r="A207" s="343" t="s">
        <v>82</v>
      </c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66"/>
      <c r="AB207" s="66"/>
      <c r="AC207" s="83"/>
    </row>
    <row r="208" spans="1:68" ht="27" customHeight="1" x14ac:dyDescent="0.25">
      <c r="A208" s="63" t="s">
        <v>311</v>
      </c>
      <c r="B208" s="63" t="s">
        <v>312</v>
      </c>
      <c r="C208" s="36">
        <v>4301071093</v>
      </c>
      <c r="D208" s="344">
        <v>4620207490709</v>
      </c>
      <c r="E208" s="344"/>
      <c r="F208" s="62">
        <v>0.65</v>
      </c>
      <c r="G208" s="37">
        <v>8</v>
      </c>
      <c r="H208" s="62">
        <v>5.2</v>
      </c>
      <c r="I208" s="62">
        <v>5.47</v>
      </c>
      <c r="J208" s="37">
        <v>84</v>
      </c>
      <c r="K208" s="37" t="s">
        <v>87</v>
      </c>
      <c r="L208" s="37" t="s">
        <v>88</v>
      </c>
      <c r="M208" s="38" t="s">
        <v>86</v>
      </c>
      <c r="N208" s="38"/>
      <c r="O208" s="37">
        <v>180</v>
      </c>
      <c r="P208" s="4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8" s="346"/>
      <c r="R208" s="346"/>
      <c r="S208" s="346"/>
      <c r="T208" s="34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IFERROR(IF(X208="","",X208*0.0155),"")</f>
        <v>0</v>
      </c>
      <c r="AA208" s="68" t="s">
        <v>46</v>
      </c>
      <c r="AB208" s="69" t="s">
        <v>46</v>
      </c>
      <c r="AC208" s="227" t="s">
        <v>313</v>
      </c>
      <c r="AG208" s="81"/>
      <c r="AJ208" s="87" t="s">
        <v>89</v>
      </c>
      <c r="AK208" s="87">
        <v>1</v>
      </c>
      <c r="BB208" s="228" t="s">
        <v>70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56"/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7"/>
      <c r="P209" s="353" t="s">
        <v>40</v>
      </c>
      <c r="Q209" s="354"/>
      <c r="R209" s="354"/>
      <c r="S209" s="354"/>
      <c r="T209" s="354"/>
      <c r="U209" s="354"/>
      <c r="V209" s="355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x14ac:dyDescent="0.2">
      <c r="A210" s="356"/>
      <c r="B210" s="356"/>
      <c r="C210" s="356"/>
      <c r="D210" s="356"/>
      <c r="E210" s="356"/>
      <c r="F210" s="356"/>
      <c r="G210" s="356"/>
      <c r="H210" s="356"/>
      <c r="I210" s="356"/>
      <c r="J210" s="356"/>
      <c r="K210" s="356"/>
      <c r="L210" s="356"/>
      <c r="M210" s="356"/>
      <c r="N210" s="356"/>
      <c r="O210" s="357"/>
      <c r="P210" s="353" t="s">
        <v>40</v>
      </c>
      <c r="Q210" s="354"/>
      <c r="R210" s="354"/>
      <c r="S210" s="354"/>
      <c r="T210" s="354"/>
      <c r="U210" s="354"/>
      <c r="V210" s="355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customHeight="1" x14ac:dyDescent="0.25">
      <c r="A211" s="343" t="s">
        <v>151</v>
      </c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66"/>
      <c r="AB211" s="66"/>
      <c r="AC211" s="83"/>
    </row>
    <row r="212" spans="1:68" ht="27" customHeight="1" x14ac:dyDescent="0.25">
      <c r="A212" s="63" t="s">
        <v>314</v>
      </c>
      <c r="B212" s="63" t="s">
        <v>315</v>
      </c>
      <c r="C212" s="36">
        <v>4301135691</v>
      </c>
      <c r="D212" s="344">
        <v>4620207490549</v>
      </c>
      <c r="E212" s="34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112</v>
      </c>
      <c r="L212" s="37" t="s">
        <v>88</v>
      </c>
      <c r="M212" s="38" t="s">
        <v>86</v>
      </c>
      <c r="N212" s="38"/>
      <c r="O212" s="37">
        <v>180</v>
      </c>
      <c r="P212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2" s="346"/>
      <c r="R212" s="346"/>
      <c r="S212" s="346"/>
      <c r="T212" s="34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29" t="s">
        <v>316</v>
      </c>
      <c r="AG212" s="81"/>
      <c r="AJ212" s="87" t="s">
        <v>89</v>
      </c>
      <c r="AK212" s="87">
        <v>1</v>
      </c>
      <c r="BB212" s="230" t="s">
        <v>111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317</v>
      </c>
      <c r="B213" s="63" t="s">
        <v>318</v>
      </c>
      <c r="C213" s="36">
        <v>4301135694</v>
      </c>
      <c r="D213" s="344">
        <v>4620207490501</v>
      </c>
      <c r="E213" s="344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112</v>
      </c>
      <c r="L213" s="37" t="s">
        <v>88</v>
      </c>
      <c r="M213" s="38" t="s">
        <v>86</v>
      </c>
      <c r="N213" s="38"/>
      <c r="O213" s="37">
        <v>180</v>
      </c>
      <c r="P213" s="4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3" s="346"/>
      <c r="R213" s="346"/>
      <c r="S213" s="346"/>
      <c r="T213" s="34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316</v>
      </c>
      <c r="AG213" s="81"/>
      <c r="AJ213" s="87" t="s">
        <v>89</v>
      </c>
      <c r="AK213" s="87">
        <v>1</v>
      </c>
      <c r="BB213" s="232" t="s">
        <v>111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x14ac:dyDescent="0.2">
      <c r="A214" s="356"/>
      <c r="B214" s="356"/>
      <c r="C214" s="356"/>
      <c r="D214" s="356"/>
      <c r="E214" s="356"/>
      <c r="F214" s="356"/>
      <c r="G214" s="356"/>
      <c r="H214" s="356"/>
      <c r="I214" s="356"/>
      <c r="J214" s="356"/>
      <c r="K214" s="356"/>
      <c r="L214" s="356"/>
      <c r="M214" s="356"/>
      <c r="N214" s="356"/>
      <c r="O214" s="357"/>
      <c r="P214" s="353" t="s">
        <v>40</v>
      </c>
      <c r="Q214" s="354"/>
      <c r="R214" s="354"/>
      <c r="S214" s="354"/>
      <c r="T214" s="354"/>
      <c r="U214" s="354"/>
      <c r="V214" s="355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x14ac:dyDescent="0.2">
      <c r="A215" s="356"/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7"/>
      <c r="P215" s="353" t="s">
        <v>40</v>
      </c>
      <c r="Q215" s="354"/>
      <c r="R215" s="354"/>
      <c r="S215" s="354"/>
      <c r="T215" s="354"/>
      <c r="U215" s="354"/>
      <c r="V215" s="355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27.75" customHeight="1" x14ac:dyDescent="0.2">
      <c r="A216" s="341" t="s">
        <v>319</v>
      </c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  <c r="P216" s="341"/>
      <c r="Q216" s="341"/>
      <c r="R216" s="341"/>
      <c r="S216" s="341"/>
      <c r="T216" s="341"/>
      <c r="U216" s="341"/>
      <c r="V216" s="341"/>
      <c r="W216" s="341"/>
      <c r="X216" s="341"/>
      <c r="Y216" s="341"/>
      <c r="Z216" s="341"/>
      <c r="AA216" s="54"/>
      <c r="AB216" s="54"/>
      <c r="AC216" s="54"/>
    </row>
    <row r="217" spans="1:68" ht="16.5" customHeight="1" x14ac:dyDescent="0.25">
      <c r="A217" s="342" t="s">
        <v>320</v>
      </c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  <c r="AA217" s="65"/>
      <c r="AB217" s="65"/>
      <c r="AC217" s="82"/>
    </row>
    <row r="218" spans="1:68" ht="14.25" customHeight="1" x14ac:dyDescent="0.25">
      <c r="A218" s="343" t="s">
        <v>82</v>
      </c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66"/>
      <c r="AB218" s="66"/>
      <c r="AC218" s="83"/>
    </row>
    <row r="219" spans="1:68" ht="27" customHeight="1" x14ac:dyDescent="0.25">
      <c r="A219" s="63" t="s">
        <v>321</v>
      </c>
      <c r="B219" s="63" t="s">
        <v>322</v>
      </c>
      <c r="C219" s="36">
        <v>4301071036</v>
      </c>
      <c r="D219" s="344">
        <v>4607111036162</v>
      </c>
      <c r="E219" s="344"/>
      <c r="F219" s="62">
        <v>0.8</v>
      </c>
      <c r="G219" s="37">
        <v>8</v>
      </c>
      <c r="H219" s="62">
        <v>6.4</v>
      </c>
      <c r="I219" s="62">
        <v>6.6811999999999996</v>
      </c>
      <c r="J219" s="37">
        <v>84</v>
      </c>
      <c r="K219" s="37" t="s">
        <v>87</v>
      </c>
      <c r="L219" s="37" t="s">
        <v>88</v>
      </c>
      <c r="M219" s="38" t="s">
        <v>86</v>
      </c>
      <c r="N219" s="38"/>
      <c r="O219" s="37">
        <v>90</v>
      </c>
      <c r="P219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9" s="346"/>
      <c r="R219" s="346"/>
      <c r="S219" s="346"/>
      <c r="T219" s="34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33" t="s">
        <v>323</v>
      </c>
      <c r="AG219" s="81"/>
      <c r="AJ219" s="87" t="s">
        <v>89</v>
      </c>
      <c r="AK219" s="87">
        <v>1</v>
      </c>
      <c r="BB219" s="234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56"/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7"/>
      <c r="P220" s="353" t="s">
        <v>40</v>
      </c>
      <c r="Q220" s="354"/>
      <c r="R220" s="354"/>
      <c r="S220" s="354"/>
      <c r="T220" s="354"/>
      <c r="U220" s="354"/>
      <c r="V220" s="355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56"/>
      <c r="B221" s="356"/>
      <c r="C221" s="356"/>
      <c r="D221" s="356"/>
      <c r="E221" s="356"/>
      <c r="F221" s="356"/>
      <c r="G221" s="356"/>
      <c r="H221" s="356"/>
      <c r="I221" s="356"/>
      <c r="J221" s="356"/>
      <c r="K221" s="356"/>
      <c r="L221" s="356"/>
      <c r="M221" s="356"/>
      <c r="N221" s="356"/>
      <c r="O221" s="357"/>
      <c r="P221" s="353" t="s">
        <v>40</v>
      </c>
      <c r="Q221" s="354"/>
      <c r="R221" s="354"/>
      <c r="S221" s="354"/>
      <c r="T221" s="354"/>
      <c r="U221" s="354"/>
      <c r="V221" s="355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27.75" customHeight="1" x14ac:dyDescent="0.2">
      <c r="A222" s="341" t="s">
        <v>324</v>
      </c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  <c r="P222" s="341"/>
      <c r="Q222" s="341"/>
      <c r="R222" s="341"/>
      <c r="S222" s="341"/>
      <c r="T222" s="341"/>
      <c r="U222" s="341"/>
      <c r="V222" s="341"/>
      <c r="W222" s="341"/>
      <c r="X222" s="341"/>
      <c r="Y222" s="341"/>
      <c r="Z222" s="341"/>
      <c r="AA222" s="54"/>
      <c r="AB222" s="54"/>
      <c r="AC222" s="54"/>
    </row>
    <row r="223" spans="1:68" ht="16.5" customHeight="1" x14ac:dyDescent="0.25">
      <c r="A223" s="342" t="s">
        <v>325</v>
      </c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  <c r="AA223" s="65"/>
      <c r="AB223" s="65"/>
      <c r="AC223" s="82"/>
    </row>
    <row r="224" spans="1:68" ht="14.25" customHeight="1" x14ac:dyDescent="0.25">
      <c r="A224" s="343" t="s">
        <v>82</v>
      </c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4301071029</v>
      </c>
      <c r="D225" s="344">
        <v>4607111035899</v>
      </c>
      <c r="E225" s="344"/>
      <c r="F225" s="62">
        <v>1</v>
      </c>
      <c r="G225" s="37">
        <v>5</v>
      </c>
      <c r="H225" s="62">
        <v>5</v>
      </c>
      <c r="I225" s="62">
        <v>5.2619999999999996</v>
      </c>
      <c r="J225" s="37">
        <v>84</v>
      </c>
      <c r="K225" s="37" t="s">
        <v>87</v>
      </c>
      <c r="L225" s="37" t="s">
        <v>113</v>
      </c>
      <c r="M225" s="38" t="s">
        <v>86</v>
      </c>
      <c r="N225" s="38"/>
      <c r="O225" s="37">
        <v>180</v>
      </c>
      <c r="P225" s="42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5" s="346"/>
      <c r="R225" s="346"/>
      <c r="S225" s="346"/>
      <c r="T225" s="34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35" t="s">
        <v>267</v>
      </c>
      <c r="AG225" s="81"/>
      <c r="AJ225" s="87" t="s">
        <v>114</v>
      </c>
      <c r="AK225" s="87">
        <v>12</v>
      </c>
      <c r="BB225" s="236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56"/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7"/>
      <c r="P226" s="353" t="s">
        <v>40</v>
      </c>
      <c r="Q226" s="354"/>
      <c r="R226" s="354"/>
      <c r="S226" s="354"/>
      <c r="T226" s="354"/>
      <c r="U226" s="354"/>
      <c r="V226" s="355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56"/>
      <c r="B227" s="356"/>
      <c r="C227" s="356"/>
      <c r="D227" s="356"/>
      <c r="E227" s="356"/>
      <c r="F227" s="356"/>
      <c r="G227" s="356"/>
      <c r="H227" s="356"/>
      <c r="I227" s="356"/>
      <c r="J227" s="356"/>
      <c r="K227" s="356"/>
      <c r="L227" s="356"/>
      <c r="M227" s="356"/>
      <c r="N227" s="356"/>
      <c r="O227" s="357"/>
      <c r="P227" s="353" t="s">
        <v>40</v>
      </c>
      <c r="Q227" s="354"/>
      <c r="R227" s="354"/>
      <c r="S227" s="354"/>
      <c r="T227" s="354"/>
      <c r="U227" s="354"/>
      <c r="V227" s="355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41" t="s">
        <v>328</v>
      </c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  <c r="P228" s="341"/>
      <c r="Q228" s="341"/>
      <c r="R228" s="341"/>
      <c r="S228" s="341"/>
      <c r="T228" s="341"/>
      <c r="U228" s="341"/>
      <c r="V228" s="341"/>
      <c r="W228" s="341"/>
      <c r="X228" s="341"/>
      <c r="Y228" s="341"/>
      <c r="Z228" s="341"/>
      <c r="AA228" s="54"/>
      <c r="AB228" s="54"/>
      <c r="AC228" s="54"/>
    </row>
    <row r="229" spans="1:68" ht="16.5" customHeight="1" x14ac:dyDescent="0.25">
      <c r="A229" s="342" t="s">
        <v>329</v>
      </c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  <c r="AA229" s="65"/>
      <c r="AB229" s="65"/>
      <c r="AC229" s="82"/>
    </row>
    <row r="230" spans="1:68" ht="14.25" customHeight="1" x14ac:dyDescent="0.25">
      <c r="A230" s="343" t="s">
        <v>330</v>
      </c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4301133004</v>
      </c>
      <c r="D231" s="344">
        <v>4607111039774</v>
      </c>
      <c r="E231" s="344"/>
      <c r="F231" s="62">
        <v>0.25</v>
      </c>
      <c r="G231" s="37">
        <v>12</v>
      </c>
      <c r="H231" s="62">
        <v>3</v>
      </c>
      <c r="I231" s="62">
        <v>3.22</v>
      </c>
      <c r="J231" s="37">
        <v>70</v>
      </c>
      <c r="K231" s="37" t="s">
        <v>112</v>
      </c>
      <c r="L231" s="37" t="s">
        <v>88</v>
      </c>
      <c r="M231" s="38" t="s">
        <v>86</v>
      </c>
      <c r="N231" s="38"/>
      <c r="O231" s="37">
        <v>180</v>
      </c>
      <c r="P231" s="42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1" s="346"/>
      <c r="R231" s="346"/>
      <c r="S231" s="346"/>
      <c r="T231" s="34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37" t="s">
        <v>333</v>
      </c>
      <c r="AG231" s="81"/>
      <c r="AJ231" s="87" t="s">
        <v>89</v>
      </c>
      <c r="AK231" s="87">
        <v>1</v>
      </c>
      <c r="BB231" s="238" t="s">
        <v>111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56"/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7"/>
      <c r="P232" s="353" t="s">
        <v>40</v>
      </c>
      <c r="Q232" s="354"/>
      <c r="R232" s="354"/>
      <c r="S232" s="354"/>
      <c r="T232" s="354"/>
      <c r="U232" s="354"/>
      <c r="V232" s="355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56"/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7"/>
      <c r="P233" s="353" t="s">
        <v>40</v>
      </c>
      <c r="Q233" s="354"/>
      <c r="R233" s="354"/>
      <c r="S233" s="354"/>
      <c r="T233" s="354"/>
      <c r="U233" s="354"/>
      <c r="V233" s="355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14.25" customHeight="1" x14ac:dyDescent="0.25">
      <c r="A234" s="343" t="s">
        <v>151</v>
      </c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66"/>
      <c r="AB234" s="66"/>
      <c r="AC234" s="83"/>
    </row>
    <row r="235" spans="1:68" ht="37.5" customHeight="1" x14ac:dyDescent="0.25">
      <c r="A235" s="63" t="s">
        <v>334</v>
      </c>
      <c r="B235" s="63" t="s">
        <v>335</v>
      </c>
      <c r="C235" s="36">
        <v>4301135400</v>
      </c>
      <c r="D235" s="344">
        <v>4607111039361</v>
      </c>
      <c r="E235" s="344"/>
      <c r="F235" s="62">
        <v>0.25</v>
      </c>
      <c r="G235" s="37">
        <v>12</v>
      </c>
      <c r="H235" s="62">
        <v>3</v>
      </c>
      <c r="I235" s="62">
        <v>3.7035999999999998</v>
      </c>
      <c r="J235" s="37">
        <v>70</v>
      </c>
      <c r="K235" s="37" t="s">
        <v>112</v>
      </c>
      <c r="L235" s="37" t="s">
        <v>88</v>
      </c>
      <c r="M235" s="38" t="s">
        <v>86</v>
      </c>
      <c r="N235" s="38"/>
      <c r="O235" s="37">
        <v>180</v>
      </c>
      <c r="P235" s="4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5" s="346"/>
      <c r="R235" s="346"/>
      <c r="S235" s="346"/>
      <c r="T235" s="347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9" t="s">
        <v>333</v>
      </c>
      <c r="AG235" s="81"/>
      <c r="AJ235" s="87" t="s">
        <v>89</v>
      </c>
      <c r="AK235" s="87">
        <v>1</v>
      </c>
      <c r="BB235" s="240" t="s">
        <v>111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6"/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7"/>
      <c r="P236" s="353" t="s">
        <v>40</v>
      </c>
      <c r="Q236" s="354"/>
      <c r="R236" s="354"/>
      <c r="S236" s="354"/>
      <c r="T236" s="354"/>
      <c r="U236" s="354"/>
      <c r="V236" s="355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6"/>
      <c r="B237" s="356"/>
      <c r="C237" s="356"/>
      <c r="D237" s="356"/>
      <c r="E237" s="356"/>
      <c r="F237" s="356"/>
      <c r="G237" s="356"/>
      <c r="H237" s="356"/>
      <c r="I237" s="356"/>
      <c r="J237" s="356"/>
      <c r="K237" s="356"/>
      <c r="L237" s="356"/>
      <c r="M237" s="356"/>
      <c r="N237" s="356"/>
      <c r="O237" s="357"/>
      <c r="P237" s="353" t="s">
        <v>40</v>
      </c>
      <c r="Q237" s="354"/>
      <c r="R237" s="354"/>
      <c r="S237" s="354"/>
      <c r="T237" s="354"/>
      <c r="U237" s="354"/>
      <c r="V237" s="355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27.75" customHeight="1" x14ac:dyDescent="0.2">
      <c r="A238" s="341" t="s">
        <v>336</v>
      </c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  <c r="P238" s="341"/>
      <c r="Q238" s="341"/>
      <c r="R238" s="341"/>
      <c r="S238" s="341"/>
      <c r="T238" s="341"/>
      <c r="U238" s="341"/>
      <c r="V238" s="341"/>
      <c r="W238" s="341"/>
      <c r="X238" s="341"/>
      <c r="Y238" s="341"/>
      <c r="Z238" s="341"/>
      <c r="AA238" s="54"/>
      <c r="AB238" s="54"/>
      <c r="AC238" s="54"/>
    </row>
    <row r="239" spans="1:68" ht="16.5" customHeight="1" x14ac:dyDescent="0.25">
      <c r="A239" s="342" t="s">
        <v>336</v>
      </c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  <c r="AA239" s="65"/>
      <c r="AB239" s="65"/>
      <c r="AC239" s="82"/>
    </row>
    <row r="240" spans="1:68" ht="14.25" customHeight="1" x14ac:dyDescent="0.25">
      <c r="A240" s="343" t="s">
        <v>82</v>
      </c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66"/>
      <c r="AB240" s="66"/>
      <c r="AC240" s="83"/>
    </row>
    <row r="241" spans="1:68" ht="27" customHeight="1" x14ac:dyDescent="0.25">
      <c r="A241" s="63" t="s">
        <v>337</v>
      </c>
      <c r="B241" s="63" t="s">
        <v>338</v>
      </c>
      <c r="C241" s="36">
        <v>4301071014</v>
      </c>
      <c r="D241" s="344">
        <v>4640242181264</v>
      </c>
      <c r="E241" s="344"/>
      <c r="F241" s="62">
        <v>0.7</v>
      </c>
      <c r="G241" s="37">
        <v>10</v>
      </c>
      <c r="H241" s="62">
        <v>7</v>
      </c>
      <c r="I241" s="62">
        <v>7.28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180</v>
      </c>
      <c r="P241" s="42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1" s="346"/>
      <c r="R241" s="346"/>
      <c r="S241" s="346"/>
      <c r="T241" s="34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41" t="s">
        <v>339</v>
      </c>
      <c r="AG241" s="81"/>
      <c r="AJ241" s="87" t="s">
        <v>89</v>
      </c>
      <c r="AK241" s="87">
        <v>1</v>
      </c>
      <c r="BB241" s="24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27" customHeight="1" x14ac:dyDescent="0.25">
      <c r="A242" s="63" t="s">
        <v>340</v>
      </c>
      <c r="B242" s="63" t="s">
        <v>341</v>
      </c>
      <c r="C242" s="36">
        <v>4301071021</v>
      </c>
      <c r="D242" s="344">
        <v>4640242181325</v>
      </c>
      <c r="E242" s="344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113</v>
      </c>
      <c r="M242" s="38" t="s">
        <v>86</v>
      </c>
      <c r="N242" s="38"/>
      <c r="O242" s="37">
        <v>180</v>
      </c>
      <c r="P242" s="42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2" s="346"/>
      <c r="R242" s="346"/>
      <c r="S242" s="346"/>
      <c r="T242" s="347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339</v>
      </c>
      <c r="AG242" s="81"/>
      <c r="AJ242" s="87" t="s">
        <v>114</v>
      </c>
      <c r="AK242" s="87">
        <v>12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56"/>
      <c r="B243" s="356"/>
      <c r="C243" s="356"/>
      <c r="D243" s="356"/>
      <c r="E243" s="356"/>
      <c r="F243" s="356"/>
      <c r="G243" s="356"/>
      <c r="H243" s="356"/>
      <c r="I243" s="356"/>
      <c r="J243" s="356"/>
      <c r="K243" s="356"/>
      <c r="L243" s="356"/>
      <c r="M243" s="356"/>
      <c r="N243" s="356"/>
      <c r="O243" s="357"/>
      <c r="P243" s="353" t="s">
        <v>40</v>
      </c>
      <c r="Q243" s="354"/>
      <c r="R243" s="354"/>
      <c r="S243" s="354"/>
      <c r="T243" s="354"/>
      <c r="U243" s="354"/>
      <c r="V243" s="355"/>
      <c r="W243" s="42" t="s">
        <v>39</v>
      </c>
      <c r="X243" s="43">
        <f>IFERROR(SUM(X241:X242),"0")</f>
        <v>0</v>
      </c>
      <c r="Y243" s="43">
        <f>IFERROR(SUM(Y241:Y242),"0")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356"/>
      <c r="B244" s="356"/>
      <c r="C244" s="356"/>
      <c r="D244" s="356"/>
      <c r="E244" s="356"/>
      <c r="F244" s="356"/>
      <c r="G244" s="356"/>
      <c r="H244" s="356"/>
      <c r="I244" s="356"/>
      <c r="J244" s="356"/>
      <c r="K244" s="356"/>
      <c r="L244" s="356"/>
      <c r="M244" s="356"/>
      <c r="N244" s="356"/>
      <c r="O244" s="357"/>
      <c r="P244" s="353" t="s">
        <v>40</v>
      </c>
      <c r="Q244" s="354"/>
      <c r="R244" s="354"/>
      <c r="S244" s="354"/>
      <c r="T244" s="354"/>
      <c r="U244" s="354"/>
      <c r="V244" s="355"/>
      <c r="W244" s="42" t="s">
        <v>0</v>
      </c>
      <c r="X244" s="43">
        <f>IFERROR(SUMPRODUCT(X241:X242*H241:H242),"0")</f>
        <v>0</v>
      </c>
      <c r="Y244" s="43">
        <f>IFERROR(SUMPRODUCT(Y241:Y242*H241:H242),"0")</f>
        <v>0</v>
      </c>
      <c r="Z244" s="42"/>
      <c r="AA244" s="67"/>
      <c r="AB244" s="67"/>
      <c r="AC244" s="67"/>
    </row>
    <row r="245" spans="1:68" ht="14.25" customHeight="1" x14ac:dyDescent="0.25">
      <c r="A245" s="343" t="s">
        <v>107</v>
      </c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66"/>
      <c r="AB245" s="66"/>
      <c r="AC245" s="83"/>
    </row>
    <row r="246" spans="1:68" ht="27" customHeight="1" x14ac:dyDescent="0.25">
      <c r="A246" s="63" t="s">
        <v>342</v>
      </c>
      <c r="B246" s="63" t="s">
        <v>343</v>
      </c>
      <c r="C246" s="36">
        <v>4301132080</v>
      </c>
      <c r="D246" s="344">
        <v>4640242180397</v>
      </c>
      <c r="E246" s="344"/>
      <c r="F246" s="62">
        <v>1</v>
      </c>
      <c r="G246" s="37">
        <v>6</v>
      </c>
      <c r="H246" s="62">
        <v>6</v>
      </c>
      <c r="I246" s="62">
        <v>6.26</v>
      </c>
      <c r="J246" s="37">
        <v>84</v>
      </c>
      <c r="K246" s="37" t="s">
        <v>87</v>
      </c>
      <c r="L246" s="37" t="s">
        <v>113</v>
      </c>
      <c r="M246" s="38" t="s">
        <v>86</v>
      </c>
      <c r="N246" s="38"/>
      <c r="O246" s="37">
        <v>180</v>
      </c>
      <c r="P246" s="43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6" s="346"/>
      <c r="R246" s="346"/>
      <c r="S246" s="346"/>
      <c r="T246" s="34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5" t="s">
        <v>344</v>
      </c>
      <c r="AG246" s="81"/>
      <c r="AJ246" s="87" t="s">
        <v>114</v>
      </c>
      <c r="AK246" s="87">
        <v>12</v>
      </c>
      <c r="BB246" s="246" t="s">
        <v>111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56"/>
      <c r="B247" s="356"/>
      <c r="C247" s="356"/>
      <c r="D247" s="356"/>
      <c r="E247" s="356"/>
      <c r="F247" s="356"/>
      <c r="G247" s="356"/>
      <c r="H247" s="356"/>
      <c r="I247" s="356"/>
      <c r="J247" s="356"/>
      <c r="K247" s="356"/>
      <c r="L247" s="356"/>
      <c r="M247" s="356"/>
      <c r="N247" s="356"/>
      <c r="O247" s="357"/>
      <c r="P247" s="353" t="s">
        <v>40</v>
      </c>
      <c r="Q247" s="354"/>
      <c r="R247" s="354"/>
      <c r="S247" s="354"/>
      <c r="T247" s="354"/>
      <c r="U247" s="354"/>
      <c r="V247" s="355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56"/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7"/>
      <c r="P248" s="353" t="s">
        <v>40</v>
      </c>
      <c r="Q248" s="354"/>
      <c r="R248" s="354"/>
      <c r="S248" s="354"/>
      <c r="T248" s="354"/>
      <c r="U248" s="354"/>
      <c r="V248" s="355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customHeight="1" x14ac:dyDescent="0.25">
      <c r="A249" s="343" t="s">
        <v>145</v>
      </c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66"/>
      <c r="AB249" s="66"/>
      <c r="AC249" s="83"/>
    </row>
    <row r="250" spans="1:68" ht="27" customHeight="1" x14ac:dyDescent="0.25">
      <c r="A250" s="63" t="s">
        <v>345</v>
      </c>
      <c r="B250" s="63" t="s">
        <v>346</v>
      </c>
      <c r="C250" s="36">
        <v>4301136051</v>
      </c>
      <c r="D250" s="344">
        <v>4640242180304</v>
      </c>
      <c r="E250" s="344"/>
      <c r="F250" s="62">
        <v>2.7</v>
      </c>
      <c r="G250" s="37">
        <v>1</v>
      </c>
      <c r="H250" s="62">
        <v>2.7</v>
      </c>
      <c r="I250" s="62">
        <v>2.8906000000000001</v>
      </c>
      <c r="J250" s="37">
        <v>126</v>
      </c>
      <c r="K250" s="37" t="s">
        <v>112</v>
      </c>
      <c r="L250" s="37" t="s">
        <v>113</v>
      </c>
      <c r="M250" s="38" t="s">
        <v>86</v>
      </c>
      <c r="N250" s="38"/>
      <c r="O250" s="37">
        <v>180</v>
      </c>
      <c r="P250" s="43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0" s="346"/>
      <c r="R250" s="346"/>
      <c r="S250" s="346"/>
      <c r="T250" s="34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47" t="s">
        <v>347</v>
      </c>
      <c r="AG250" s="81"/>
      <c r="AJ250" s="87" t="s">
        <v>114</v>
      </c>
      <c r="AK250" s="87">
        <v>14</v>
      </c>
      <c r="BB250" s="248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t="27" customHeight="1" x14ac:dyDescent="0.25">
      <c r="A251" s="63" t="s">
        <v>348</v>
      </c>
      <c r="B251" s="63" t="s">
        <v>349</v>
      </c>
      <c r="C251" s="36">
        <v>4301136053</v>
      </c>
      <c r="D251" s="344">
        <v>4640242180236</v>
      </c>
      <c r="E251" s="344"/>
      <c r="F251" s="62">
        <v>5</v>
      </c>
      <c r="G251" s="37">
        <v>1</v>
      </c>
      <c r="H251" s="62">
        <v>5</v>
      </c>
      <c r="I251" s="62">
        <v>5.2350000000000003</v>
      </c>
      <c r="J251" s="37">
        <v>84</v>
      </c>
      <c r="K251" s="37" t="s">
        <v>87</v>
      </c>
      <c r="L251" s="37" t="s">
        <v>113</v>
      </c>
      <c r="M251" s="38" t="s">
        <v>86</v>
      </c>
      <c r="N251" s="38"/>
      <c r="O251" s="37">
        <v>180</v>
      </c>
      <c r="P251" s="43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1" s="346"/>
      <c r="R251" s="346"/>
      <c r="S251" s="346"/>
      <c r="T251" s="347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9" t="s">
        <v>347</v>
      </c>
      <c r="AG251" s="81"/>
      <c r="AJ251" s="87" t="s">
        <v>114</v>
      </c>
      <c r="AK251" s="87">
        <v>12</v>
      </c>
      <c r="BB251" s="250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350</v>
      </c>
      <c r="B252" s="63" t="s">
        <v>351</v>
      </c>
      <c r="C252" s="36">
        <v>4301136052</v>
      </c>
      <c r="D252" s="344">
        <v>4640242180410</v>
      </c>
      <c r="E252" s="344"/>
      <c r="F252" s="62">
        <v>2.2400000000000002</v>
      </c>
      <c r="G252" s="37">
        <v>1</v>
      </c>
      <c r="H252" s="62">
        <v>2.2400000000000002</v>
      </c>
      <c r="I252" s="62">
        <v>2.4319999999999999</v>
      </c>
      <c r="J252" s="37">
        <v>126</v>
      </c>
      <c r="K252" s="37" t="s">
        <v>112</v>
      </c>
      <c r="L252" s="37" t="s">
        <v>88</v>
      </c>
      <c r="M252" s="38" t="s">
        <v>86</v>
      </c>
      <c r="N252" s="38"/>
      <c r="O252" s="37">
        <v>180</v>
      </c>
      <c r="P252" s="4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2" s="346"/>
      <c r="R252" s="346"/>
      <c r="S252" s="346"/>
      <c r="T252" s="347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347</v>
      </c>
      <c r="AG252" s="81"/>
      <c r="AJ252" s="87" t="s">
        <v>89</v>
      </c>
      <c r="AK252" s="87">
        <v>1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6"/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7"/>
      <c r="P253" s="353" t="s">
        <v>40</v>
      </c>
      <c r="Q253" s="354"/>
      <c r="R253" s="354"/>
      <c r="S253" s="354"/>
      <c r="T253" s="354"/>
      <c r="U253" s="354"/>
      <c r="V253" s="355"/>
      <c r="W253" s="42" t="s">
        <v>39</v>
      </c>
      <c r="X253" s="43">
        <f>IFERROR(SUM(X250:X252),"0")</f>
        <v>0</v>
      </c>
      <c r="Y253" s="43">
        <f>IFERROR(SUM(Y250:Y252),"0")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56"/>
      <c r="B254" s="356"/>
      <c r="C254" s="356"/>
      <c r="D254" s="356"/>
      <c r="E254" s="356"/>
      <c r="F254" s="356"/>
      <c r="G254" s="356"/>
      <c r="H254" s="356"/>
      <c r="I254" s="356"/>
      <c r="J254" s="356"/>
      <c r="K254" s="356"/>
      <c r="L254" s="356"/>
      <c r="M254" s="356"/>
      <c r="N254" s="356"/>
      <c r="O254" s="357"/>
      <c r="P254" s="353" t="s">
        <v>40</v>
      </c>
      <c r="Q254" s="354"/>
      <c r="R254" s="354"/>
      <c r="S254" s="354"/>
      <c r="T254" s="354"/>
      <c r="U254" s="354"/>
      <c r="V254" s="355"/>
      <c r="W254" s="42" t="s">
        <v>0</v>
      </c>
      <c r="X254" s="43">
        <f>IFERROR(SUMPRODUCT(X250:X252*H250:H252),"0")</f>
        <v>0</v>
      </c>
      <c r="Y254" s="43">
        <f>IFERROR(SUMPRODUCT(Y250:Y252*H250:H252),"0")</f>
        <v>0</v>
      </c>
      <c r="Z254" s="42"/>
      <c r="AA254" s="67"/>
      <c r="AB254" s="67"/>
      <c r="AC254" s="67"/>
    </row>
    <row r="255" spans="1:68" ht="14.25" customHeight="1" x14ac:dyDescent="0.25">
      <c r="A255" s="343" t="s">
        <v>151</v>
      </c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66"/>
      <c r="AB255" s="66"/>
      <c r="AC255" s="83"/>
    </row>
    <row r="256" spans="1:68" ht="37.5" customHeight="1" x14ac:dyDescent="0.25">
      <c r="A256" s="63" t="s">
        <v>352</v>
      </c>
      <c r="B256" s="63" t="s">
        <v>353</v>
      </c>
      <c r="C256" s="36">
        <v>4301135504</v>
      </c>
      <c r="D256" s="344">
        <v>4640242181554</v>
      </c>
      <c r="E256" s="344"/>
      <c r="F256" s="62">
        <v>3</v>
      </c>
      <c r="G256" s="37">
        <v>1</v>
      </c>
      <c r="H256" s="62">
        <v>3</v>
      </c>
      <c r="I256" s="62">
        <v>3.1920000000000002</v>
      </c>
      <c r="J256" s="37">
        <v>126</v>
      </c>
      <c r="K256" s="37" t="s">
        <v>112</v>
      </c>
      <c r="L256" s="37" t="s">
        <v>88</v>
      </c>
      <c r="M256" s="38" t="s">
        <v>86</v>
      </c>
      <c r="N256" s="38"/>
      <c r="O256" s="37">
        <v>180</v>
      </c>
      <c r="P256" s="43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6" s="346"/>
      <c r="R256" s="346"/>
      <c r="S256" s="346"/>
      <c r="T256" s="347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ref="Y256:Y265" si="18"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3" t="s">
        <v>354</v>
      </c>
      <c r="AG256" s="81"/>
      <c r="AJ256" s="87" t="s">
        <v>89</v>
      </c>
      <c r="AK256" s="87">
        <v>1</v>
      </c>
      <c r="BB256" s="254" t="s">
        <v>111</v>
      </c>
      <c r="BM256" s="81">
        <f t="shared" ref="BM256:BM265" si="19">IFERROR(X256*I256,"0")</f>
        <v>0</v>
      </c>
      <c r="BN256" s="81">
        <f t="shared" ref="BN256:BN265" si="20">IFERROR(Y256*I256,"0")</f>
        <v>0</v>
      </c>
      <c r="BO256" s="81">
        <f t="shared" ref="BO256:BO265" si="21">IFERROR(X256/J256,"0")</f>
        <v>0</v>
      </c>
      <c r="BP256" s="81">
        <f t="shared" ref="BP256:BP265" si="22">IFERROR(Y256/J256,"0")</f>
        <v>0</v>
      </c>
    </row>
    <row r="257" spans="1:68" ht="27" customHeight="1" x14ac:dyDescent="0.25">
      <c r="A257" s="63" t="s">
        <v>355</v>
      </c>
      <c r="B257" s="63" t="s">
        <v>356</v>
      </c>
      <c r="C257" s="36">
        <v>4301135518</v>
      </c>
      <c r="D257" s="344">
        <v>4640242181561</v>
      </c>
      <c r="E257" s="344"/>
      <c r="F257" s="62">
        <v>3.7</v>
      </c>
      <c r="G257" s="37">
        <v>1</v>
      </c>
      <c r="H257" s="62">
        <v>3.7</v>
      </c>
      <c r="I257" s="62">
        <v>3.8919999999999999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3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7" s="346"/>
      <c r="R257" s="346"/>
      <c r="S257" s="346"/>
      <c r="T257" s="347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357</v>
      </c>
      <c r="AG257" s="81"/>
      <c r="AJ257" s="87" t="s">
        <v>114</v>
      </c>
      <c r="AK257" s="87">
        <v>14</v>
      </c>
      <c r="BB257" s="256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4301135374</v>
      </c>
      <c r="D258" s="344">
        <v>4640242181424</v>
      </c>
      <c r="E258" s="344"/>
      <c r="F258" s="62">
        <v>5.5</v>
      </c>
      <c r="G258" s="37">
        <v>1</v>
      </c>
      <c r="H258" s="62">
        <v>5.5</v>
      </c>
      <c r="I258" s="62">
        <v>5.7350000000000003</v>
      </c>
      <c r="J258" s="37">
        <v>84</v>
      </c>
      <c r="K258" s="37" t="s">
        <v>87</v>
      </c>
      <c r="L258" s="37" t="s">
        <v>113</v>
      </c>
      <c r="M258" s="38" t="s">
        <v>86</v>
      </c>
      <c r="N258" s="38"/>
      <c r="O258" s="37">
        <v>180</v>
      </c>
      <c r="P258" s="43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8" s="346"/>
      <c r="R258" s="346"/>
      <c r="S258" s="346"/>
      <c r="T258" s="347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7" t="s">
        <v>354</v>
      </c>
      <c r="AG258" s="81"/>
      <c r="AJ258" s="87" t="s">
        <v>114</v>
      </c>
      <c r="AK258" s="87">
        <v>12</v>
      </c>
      <c r="BB258" s="258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4301135405</v>
      </c>
      <c r="D259" s="344">
        <v>4640242181523</v>
      </c>
      <c r="E259" s="344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9" s="346"/>
      <c r="R259" s="346"/>
      <c r="S259" s="346"/>
      <c r="T259" s="347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ref="Z259:Z264" si="23">IFERROR(IF(X259="","",X259*0.00936),"")</f>
        <v>0</v>
      </c>
      <c r="AA259" s="68" t="s">
        <v>46</v>
      </c>
      <c r="AB259" s="69" t="s">
        <v>46</v>
      </c>
      <c r="AC259" s="259" t="s">
        <v>357</v>
      </c>
      <c r="AG259" s="81"/>
      <c r="AJ259" s="87" t="s">
        <v>89</v>
      </c>
      <c r="AK259" s="87">
        <v>1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362</v>
      </c>
      <c r="B260" s="63" t="s">
        <v>363</v>
      </c>
      <c r="C260" s="36">
        <v>4301135375</v>
      </c>
      <c r="D260" s="344">
        <v>4640242181486</v>
      </c>
      <c r="E260" s="344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3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0" s="346"/>
      <c r="R260" s="346"/>
      <c r="S260" s="346"/>
      <c r="T260" s="347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1" t="s">
        <v>354</v>
      </c>
      <c r="AG260" s="81"/>
      <c r="AJ260" s="87" t="s">
        <v>89</v>
      </c>
      <c r="AK260" s="87">
        <v>1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37.5" customHeight="1" x14ac:dyDescent="0.25">
      <c r="A261" s="63" t="s">
        <v>364</v>
      </c>
      <c r="B261" s="63" t="s">
        <v>365</v>
      </c>
      <c r="C261" s="36">
        <v>4301135402</v>
      </c>
      <c r="D261" s="344">
        <v>4640242181493</v>
      </c>
      <c r="E261" s="344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88</v>
      </c>
      <c r="M261" s="38" t="s">
        <v>86</v>
      </c>
      <c r="N261" s="38"/>
      <c r="O261" s="37">
        <v>180</v>
      </c>
      <c r="P261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1" s="346"/>
      <c r="R261" s="346"/>
      <c r="S261" s="346"/>
      <c r="T261" s="347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3" t="s">
        <v>354</v>
      </c>
      <c r="AG261" s="81"/>
      <c r="AJ261" s="87" t="s">
        <v>89</v>
      </c>
      <c r="AK261" s="87">
        <v>1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37.5" customHeight="1" x14ac:dyDescent="0.25">
      <c r="A262" s="63" t="s">
        <v>366</v>
      </c>
      <c r="B262" s="63" t="s">
        <v>367</v>
      </c>
      <c r="C262" s="36">
        <v>4301135403</v>
      </c>
      <c r="D262" s="344">
        <v>4640242181509</v>
      </c>
      <c r="E262" s="344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2" s="346"/>
      <c r="R262" s="346"/>
      <c r="S262" s="346"/>
      <c r="T262" s="34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354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368</v>
      </c>
      <c r="B263" s="63" t="s">
        <v>369</v>
      </c>
      <c r="C263" s="36">
        <v>4301135304</v>
      </c>
      <c r="D263" s="344">
        <v>4640242181240</v>
      </c>
      <c r="E263" s="344"/>
      <c r="F263" s="62">
        <v>0.3</v>
      </c>
      <c r="G263" s="37">
        <v>9</v>
      </c>
      <c r="H263" s="62">
        <v>2.7</v>
      </c>
      <c r="I263" s="62">
        <v>2.88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3" s="346"/>
      <c r="R263" s="346"/>
      <c r="S263" s="346"/>
      <c r="T263" s="347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354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370</v>
      </c>
      <c r="B264" s="63" t="s">
        <v>371</v>
      </c>
      <c r="C264" s="36">
        <v>4301135610</v>
      </c>
      <c r="D264" s="344">
        <v>4640242181318</v>
      </c>
      <c r="E264" s="344"/>
      <c r="F264" s="62">
        <v>0.3</v>
      </c>
      <c r="G264" s="37">
        <v>9</v>
      </c>
      <c r="H264" s="62">
        <v>2.7</v>
      </c>
      <c r="I264" s="62">
        <v>2.988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4" s="346"/>
      <c r="R264" s="346"/>
      <c r="S264" s="346"/>
      <c r="T264" s="347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357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372</v>
      </c>
      <c r="B265" s="63" t="s">
        <v>373</v>
      </c>
      <c r="C265" s="36">
        <v>4301135306</v>
      </c>
      <c r="D265" s="344">
        <v>4640242181387</v>
      </c>
      <c r="E265" s="344"/>
      <c r="F265" s="62">
        <v>0.3</v>
      </c>
      <c r="G265" s="37">
        <v>9</v>
      </c>
      <c r="H265" s="62">
        <v>2.7</v>
      </c>
      <c r="I265" s="62">
        <v>2.8450000000000002</v>
      </c>
      <c r="J265" s="37">
        <v>234</v>
      </c>
      <c r="K265" s="37" t="s">
        <v>163</v>
      </c>
      <c r="L265" s="37" t="s">
        <v>88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5" s="346"/>
      <c r="R265" s="346"/>
      <c r="S265" s="346"/>
      <c r="T265" s="347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IFERROR(IF(X265="","",X265*0.00502),"")</f>
        <v>0</v>
      </c>
      <c r="AA265" s="68" t="s">
        <v>46</v>
      </c>
      <c r="AB265" s="69" t="s">
        <v>46</v>
      </c>
      <c r="AC265" s="271" t="s">
        <v>354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x14ac:dyDescent="0.2">
      <c r="A266" s="356"/>
      <c r="B266" s="356"/>
      <c r="C266" s="356"/>
      <c r="D266" s="356"/>
      <c r="E266" s="356"/>
      <c r="F266" s="356"/>
      <c r="G266" s="356"/>
      <c r="H266" s="356"/>
      <c r="I266" s="356"/>
      <c r="J266" s="356"/>
      <c r="K266" s="356"/>
      <c r="L266" s="356"/>
      <c r="M266" s="356"/>
      <c r="N266" s="356"/>
      <c r="O266" s="357"/>
      <c r="P266" s="353" t="s">
        <v>40</v>
      </c>
      <c r="Q266" s="354"/>
      <c r="R266" s="354"/>
      <c r="S266" s="354"/>
      <c r="T266" s="354"/>
      <c r="U266" s="354"/>
      <c r="V266" s="355"/>
      <c r="W266" s="42" t="s">
        <v>39</v>
      </c>
      <c r="X266" s="43">
        <f>IFERROR(SUM(X256:X265),"0")</f>
        <v>0</v>
      </c>
      <c r="Y266" s="43">
        <f>IFERROR(SUM(Y256:Y265),"0")</f>
        <v>0</v>
      </c>
      <c r="Z266" s="43">
        <f>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356"/>
      <c r="B267" s="356"/>
      <c r="C267" s="356"/>
      <c r="D267" s="356"/>
      <c r="E267" s="356"/>
      <c r="F267" s="356"/>
      <c r="G267" s="356"/>
      <c r="H267" s="356"/>
      <c r="I267" s="356"/>
      <c r="J267" s="356"/>
      <c r="K267" s="356"/>
      <c r="L267" s="356"/>
      <c r="M267" s="356"/>
      <c r="N267" s="356"/>
      <c r="O267" s="357"/>
      <c r="P267" s="353" t="s">
        <v>40</v>
      </c>
      <c r="Q267" s="354"/>
      <c r="R267" s="354"/>
      <c r="S267" s="354"/>
      <c r="T267" s="354"/>
      <c r="U267" s="354"/>
      <c r="V267" s="355"/>
      <c r="W267" s="42" t="s">
        <v>0</v>
      </c>
      <c r="X267" s="43">
        <f>IFERROR(SUMPRODUCT(X256:X265*H256:H265),"0")</f>
        <v>0</v>
      </c>
      <c r="Y267" s="43">
        <f>IFERROR(SUMPRODUCT(Y256:Y265*H256:H265),"0")</f>
        <v>0</v>
      </c>
      <c r="Z267" s="42"/>
      <c r="AA267" s="67"/>
      <c r="AB267" s="67"/>
      <c r="AC267" s="67"/>
    </row>
    <row r="268" spans="1:68" ht="15" customHeight="1" x14ac:dyDescent="0.2">
      <c r="A268" s="356"/>
      <c r="B268" s="356"/>
      <c r="C268" s="356"/>
      <c r="D268" s="356"/>
      <c r="E268" s="356"/>
      <c r="F268" s="356"/>
      <c r="G268" s="356"/>
      <c r="H268" s="356"/>
      <c r="I268" s="356"/>
      <c r="J268" s="356"/>
      <c r="K268" s="356"/>
      <c r="L268" s="356"/>
      <c r="M268" s="356"/>
      <c r="N268" s="356"/>
      <c r="O268" s="447"/>
      <c r="P268" s="444" t="s">
        <v>33</v>
      </c>
      <c r="Q268" s="445"/>
      <c r="R268" s="445"/>
      <c r="S268" s="445"/>
      <c r="T268" s="445"/>
      <c r="U268" s="445"/>
      <c r="V268" s="446"/>
      <c r="W268" s="42" t="s">
        <v>0</v>
      </c>
      <c r="X268" s="43">
        <f>IFERROR(X29+X35+X42+X49+X57+X62+X66+X71+X77+X83+X88+X94+X104+X110+X121+X125+X129+X135+X141+X147+X152+X157+X162+X167+X174+X182+X186+X192+X200+X205+X210+X215+X221+X227+X233+X237+X244+X248+X254+X267,"0")</f>
        <v>0</v>
      </c>
      <c r="Y268" s="43">
        <f>IFERROR(Y29+Y35+Y42+Y49+Y57+Y62+Y66+Y71+Y77+Y83+Y88+Y94+Y104+Y110+Y121+Y125+Y129+Y135+Y141+Y147+Y152+Y157+Y162+Y167+Y174+Y182+Y186+Y192+Y200+Y205+Y210+Y215+Y221+Y227+Y233+Y237+Y244+Y248+Y254+Y267,"0")</f>
        <v>0</v>
      </c>
      <c r="Z268" s="42"/>
      <c r="AA268" s="67"/>
      <c r="AB268" s="67"/>
      <c r="AC268" s="67"/>
    </row>
    <row r="269" spans="1:68" x14ac:dyDescent="0.2">
      <c r="A269" s="356"/>
      <c r="B269" s="356"/>
      <c r="C269" s="356"/>
      <c r="D269" s="356"/>
      <c r="E269" s="356"/>
      <c r="F269" s="356"/>
      <c r="G269" s="356"/>
      <c r="H269" s="356"/>
      <c r="I269" s="356"/>
      <c r="J269" s="356"/>
      <c r="K269" s="356"/>
      <c r="L269" s="356"/>
      <c r="M269" s="356"/>
      <c r="N269" s="356"/>
      <c r="O269" s="447"/>
      <c r="P269" s="444" t="s">
        <v>34</v>
      </c>
      <c r="Q269" s="445"/>
      <c r="R269" s="445"/>
      <c r="S269" s="445"/>
      <c r="T269" s="445"/>
      <c r="U269" s="445"/>
      <c r="V269" s="446"/>
      <c r="W269" s="42" t="s">
        <v>0</v>
      </c>
      <c r="X269" s="43">
        <f>IFERROR(SUM(BM22:BM265),"0")</f>
        <v>0</v>
      </c>
      <c r="Y269" s="43">
        <f>IFERROR(SUM(BN22:BN265),"0")</f>
        <v>0</v>
      </c>
      <c r="Z269" s="42"/>
      <c r="AA269" s="67"/>
      <c r="AB269" s="67"/>
      <c r="AC269" s="67"/>
    </row>
    <row r="270" spans="1:68" x14ac:dyDescent="0.2">
      <c r="A270" s="356"/>
      <c r="B270" s="356"/>
      <c r="C270" s="356"/>
      <c r="D270" s="356"/>
      <c r="E270" s="356"/>
      <c r="F270" s="356"/>
      <c r="G270" s="356"/>
      <c r="H270" s="356"/>
      <c r="I270" s="356"/>
      <c r="J270" s="356"/>
      <c r="K270" s="356"/>
      <c r="L270" s="356"/>
      <c r="M270" s="356"/>
      <c r="N270" s="356"/>
      <c r="O270" s="447"/>
      <c r="P270" s="444" t="s">
        <v>35</v>
      </c>
      <c r="Q270" s="445"/>
      <c r="R270" s="445"/>
      <c r="S270" s="445"/>
      <c r="T270" s="445"/>
      <c r="U270" s="445"/>
      <c r="V270" s="446"/>
      <c r="W270" s="42" t="s">
        <v>20</v>
      </c>
      <c r="X270" s="44">
        <f>ROUNDUP(SUM(BO22:BO265),0)</f>
        <v>0</v>
      </c>
      <c r="Y270" s="44">
        <f>ROUNDUP(SUM(BP22:BP265),0)</f>
        <v>0</v>
      </c>
      <c r="Z270" s="42"/>
      <c r="AA270" s="67"/>
      <c r="AB270" s="67"/>
      <c r="AC270" s="67"/>
    </row>
    <row r="271" spans="1:68" x14ac:dyDescent="0.2">
      <c r="A271" s="356"/>
      <c r="B271" s="356"/>
      <c r="C271" s="356"/>
      <c r="D271" s="356"/>
      <c r="E271" s="356"/>
      <c r="F271" s="356"/>
      <c r="G271" s="356"/>
      <c r="H271" s="356"/>
      <c r="I271" s="356"/>
      <c r="J271" s="356"/>
      <c r="K271" s="356"/>
      <c r="L271" s="356"/>
      <c r="M271" s="356"/>
      <c r="N271" s="356"/>
      <c r="O271" s="447"/>
      <c r="P271" s="444" t="s">
        <v>36</v>
      </c>
      <c r="Q271" s="445"/>
      <c r="R271" s="445"/>
      <c r="S271" s="445"/>
      <c r="T271" s="445"/>
      <c r="U271" s="445"/>
      <c r="V271" s="446"/>
      <c r="W271" s="42" t="s">
        <v>0</v>
      </c>
      <c r="X271" s="43">
        <f>GrossWeightTotal+PalletQtyTotal*25</f>
        <v>0</v>
      </c>
      <c r="Y271" s="43">
        <f>GrossWeightTotalR+PalletQtyTotalR*25</f>
        <v>0</v>
      </c>
      <c r="Z271" s="42"/>
      <c r="AA271" s="67"/>
      <c r="AB271" s="67"/>
      <c r="AC271" s="67"/>
    </row>
    <row r="272" spans="1:68" x14ac:dyDescent="0.2">
      <c r="A272" s="356"/>
      <c r="B272" s="356"/>
      <c r="C272" s="356"/>
      <c r="D272" s="356"/>
      <c r="E272" s="356"/>
      <c r="F272" s="356"/>
      <c r="G272" s="356"/>
      <c r="H272" s="356"/>
      <c r="I272" s="356"/>
      <c r="J272" s="356"/>
      <c r="K272" s="356"/>
      <c r="L272" s="356"/>
      <c r="M272" s="356"/>
      <c r="N272" s="356"/>
      <c r="O272" s="447"/>
      <c r="P272" s="444" t="s">
        <v>37</v>
      </c>
      <c r="Q272" s="445"/>
      <c r="R272" s="445"/>
      <c r="S272" s="445"/>
      <c r="T272" s="445"/>
      <c r="U272" s="445"/>
      <c r="V272" s="446"/>
      <c r="W272" s="42" t="s">
        <v>20</v>
      </c>
      <c r="X272" s="43">
        <f>IFERROR(X28+X34+X41+X48+X56+X61+X65+X70+X76+X82+X87+X93+X103+X109+X120+X124+X128+X134+X140+X146+X151+X156+X161+X166+X173+X181+X185+X191+X199+X204+X209+X214+X220+X226+X232+X236+X243+X247+X253+X266,"0")</f>
        <v>0</v>
      </c>
      <c r="Y272" s="43">
        <f>IFERROR(Y28+Y34+Y41+Y48+Y56+Y61+Y65+Y70+Y76+Y82+Y87+Y93+Y103+Y109+Y120+Y124+Y128+Y134+Y140+Y146+Y151+Y156+Y161+Y166+Y173+Y181+Y185+Y191+Y199+Y204+Y209+Y214+Y220+Y226+Y232+Y236+Y243+Y247+Y253+Y266,"0")</f>
        <v>0</v>
      </c>
      <c r="Z272" s="42"/>
      <c r="AA272" s="67"/>
      <c r="AB272" s="67"/>
      <c r="AC272" s="67"/>
    </row>
    <row r="273" spans="1:32" ht="14.25" x14ac:dyDescent="0.2">
      <c r="A273" s="356"/>
      <c r="B273" s="356"/>
      <c r="C273" s="356"/>
      <c r="D273" s="356"/>
      <c r="E273" s="356"/>
      <c r="F273" s="356"/>
      <c r="G273" s="356"/>
      <c r="H273" s="356"/>
      <c r="I273" s="356"/>
      <c r="J273" s="356"/>
      <c r="K273" s="356"/>
      <c r="L273" s="356"/>
      <c r="M273" s="356"/>
      <c r="N273" s="356"/>
      <c r="O273" s="447"/>
      <c r="P273" s="444" t="s">
        <v>38</v>
      </c>
      <c r="Q273" s="445"/>
      <c r="R273" s="445"/>
      <c r="S273" s="445"/>
      <c r="T273" s="445"/>
      <c r="U273" s="445"/>
      <c r="V273" s="446"/>
      <c r="W273" s="45" t="s">
        <v>52</v>
      </c>
      <c r="X273" s="42"/>
      <c r="Y273" s="42"/>
      <c r="Z273" s="42">
        <f>IFERROR(Z28+Z34+Z41+Z48+Z56+Z61+Z65+Z70+Z76+Z82+Z87+Z93+Z103+Z109+Z120+Z124+Z128+Z134+Z140+Z146+Z151+Z156+Z161+Z166+Z173+Z181+Z185+Z191+Z199+Z204+Z209+Z214+Z220+Z226+Z232+Z236+Z243+Z247+Z253+Z266,"0")</f>
        <v>0</v>
      </c>
      <c r="AA273" s="67"/>
      <c r="AB273" s="67"/>
      <c r="AC273" s="67"/>
    </row>
    <row r="274" spans="1:32" ht="13.5" thickBot="1" x14ac:dyDescent="0.25"/>
    <row r="275" spans="1:32" ht="27" thickTop="1" thickBot="1" x14ac:dyDescent="0.25">
      <c r="A275" s="46" t="s">
        <v>9</v>
      </c>
      <c r="B275" s="450" t="s">
        <v>81</v>
      </c>
      <c r="C275" s="450" t="s">
        <v>81</v>
      </c>
      <c r="D275" s="450" t="s">
        <v>45</v>
      </c>
      <c r="E275" s="450" t="s">
        <v>45</v>
      </c>
      <c r="F275" s="450" t="s">
        <v>45</v>
      </c>
      <c r="G275" s="450" t="s">
        <v>45</v>
      </c>
      <c r="H275" s="450" t="s">
        <v>45</v>
      </c>
      <c r="I275" s="450" t="s">
        <v>45</v>
      </c>
      <c r="J275" s="450" t="s">
        <v>45</v>
      </c>
      <c r="K275" s="450" t="s">
        <v>45</v>
      </c>
      <c r="L275" s="450" t="s">
        <v>45</v>
      </c>
      <c r="M275" s="450" t="s">
        <v>45</v>
      </c>
      <c r="N275" s="451"/>
      <c r="O275" s="450" t="s">
        <v>45</v>
      </c>
      <c r="P275" s="450" t="s">
        <v>45</v>
      </c>
      <c r="Q275" s="450" t="s">
        <v>45</v>
      </c>
      <c r="R275" s="450" t="s">
        <v>45</v>
      </c>
      <c r="S275" s="450" t="s">
        <v>45</v>
      </c>
      <c r="T275" s="450" t="s">
        <v>45</v>
      </c>
      <c r="U275" s="450" t="s">
        <v>45</v>
      </c>
      <c r="V275" s="88" t="s">
        <v>260</v>
      </c>
      <c r="W275" s="88" t="s">
        <v>268</v>
      </c>
      <c r="X275" s="450" t="s">
        <v>287</v>
      </c>
      <c r="Y275" s="450" t="s">
        <v>287</v>
      </c>
      <c r="Z275" s="450" t="s">
        <v>287</v>
      </c>
      <c r="AA275" s="88" t="s">
        <v>319</v>
      </c>
      <c r="AB275" s="88" t="s">
        <v>324</v>
      </c>
      <c r="AC275" s="88" t="s">
        <v>328</v>
      </c>
      <c r="AD275" s="88" t="s">
        <v>336</v>
      </c>
      <c r="AF275" s="1"/>
    </row>
    <row r="276" spans="1:32" ht="14.25" customHeight="1" thickTop="1" x14ac:dyDescent="0.2">
      <c r="A276" s="448" t="s">
        <v>10</v>
      </c>
      <c r="B276" s="450" t="s">
        <v>81</v>
      </c>
      <c r="C276" s="450" t="s">
        <v>100</v>
      </c>
      <c r="D276" s="450" t="s">
        <v>106</v>
      </c>
      <c r="E276" s="450" t="s">
        <v>117</v>
      </c>
      <c r="F276" s="450" t="s">
        <v>127</v>
      </c>
      <c r="G276" s="450" t="s">
        <v>138</v>
      </c>
      <c r="H276" s="450" t="s">
        <v>159</v>
      </c>
      <c r="I276" s="450" t="s">
        <v>166</v>
      </c>
      <c r="J276" s="450" t="s">
        <v>170</v>
      </c>
      <c r="K276" s="450" t="s">
        <v>178</v>
      </c>
      <c r="L276" s="450" t="s">
        <v>193</v>
      </c>
      <c r="M276" s="450" t="s">
        <v>199</v>
      </c>
      <c r="N276" s="1"/>
      <c r="O276" s="450" t="s">
        <v>224</v>
      </c>
      <c r="P276" s="450" t="s">
        <v>232</v>
      </c>
      <c r="Q276" s="450" t="s">
        <v>239</v>
      </c>
      <c r="R276" s="450" t="s">
        <v>244</v>
      </c>
      <c r="S276" s="450" t="s">
        <v>248</v>
      </c>
      <c r="T276" s="450" t="s">
        <v>251</v>
      </c>
      <c r="U276" s="450" t="s">
        <v>256</v>
      </c>
      <c r="V276" s="450" t="s">
        <v>261</v>
      </c>
      <c r="W276" s="450" t="s">
        <v>269</v>
      </c>
      <c r="X276" s="450" t="s">
        <v>288</v>
      </c>
      <c r="Y276" s="450" t="s">
        <v>306</v>
      </c>
      <c r="Z276" s="450" t="s">
        <v>310</v>
      </c>
      <c r="AA276" s="450" t="s">
        <v>320</v>
      </c>
      <c r="AB276" s="450" t="s">
        <v>325</v>
      </c>
      <c r="AC276" s="450" t="s">
        <v>329</v>
      </c>
      <c r="AD276" s="450" t="s">
        <v>336</v>
      </c>
      <c r="AF276" s="1"/>
    </row>
    <row r="277" spans="1:32" ht="13.5" thickBot="1" x14ac:dyDescent="0.25">
      <c r="A277" s="449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1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  <c r="AA277" s="450"/>
      <c r="AB277" s="450"/>
      <c r="AC277" s="450"/>
      <c r="AD277" s="450"/>
      <c r="AF277" s="1"/>
    </row>
    <row r="278" spans="1:32" ht="18" thickTop="1" thickBot="1" x14ac:dyDescent="0.25">
      <c r="A278" s="46" t="s">
        <v>13</v>
      </c>
      <c r="B278" s="52">
        <f>IFERROR(X22*H22,"0")+IFERROR(X23*H23,"0")+IFERROR(X24*H24,"0")+IFERROR(X25*H25,"0")+IFERROR(X26*H26,"0")+IFERROR(X27*H27,"0")</f>
        <v>0</v>
      </c>
      <c r="C278" s="52">
        <f>IFERROR(X32*H32,"0")+IFERROR(X33*H33,"0")</f>
        <v>0</v>
      </c>
      <c r="D278" s="52">
        <f>IFERROR(X39*H39,"0")+IFERROR(X40*H40,"0")</f>
        <v>0</v>
      </c>
      <c r="E278" s="52">
        <f>IFERROR(X45*H45,"0")+IFERROR(X46*H46,"0")+IFERROR(X47*H47,"0")</f>
        <v>0</v>
      </c>
      <c r="F278" s="52">
        <f>IFERROR(X52*H52,"0")+IFERROR(X53*H53,"0")+IFERROR(X54*H54,"0")+IFERROR(X55*H55,"0")</f>
        <v>0</v>
      </c>
      <c r="G278" s="52">
        <f>IFERROR(X60*H60,"0")+IFERROR(X64*H64,"0")+IFERROR(X68*H68,"0")+IFERROR(X69*H69,"0")+IFERROR(X73*H73,"0")+IFERROR(X74*H74,"0")+IFERROR(X75*H75,"0")</f>
        <v>0</v>
      </c>
      <c r="H278" s="52">
        <f>IFERROR(X80*H80,"0")+IFERROR(X81*H81,"0")</f>
        <v>0</v>
      </c>
      <c r="I278" s="52">
        <f>IFERROR(X86*H86,"0")</f>
        <v>0</v>
      </c>
      <c r="J278" s="52">
        <f>IFERROR(X91*H91,"0")+IFERROR(X92*H92,"0")</f>
        <v>0</v>
      </c>
      <c r="K278" s="52">
        <f>IFERROR(X97*H97,"0")+IFERROR(X98*H98,"0")+IFERROR(X99*H99,"0")+IFERROR(X100*H100,"0")+IFERROR(X101*H101,"0")+IFERROR(X102*H102,"0")</f>
        <v>0</v>
      </c>
      <c r="L278" s="52">
        <f>IFERROR(X107*H107,"0")+IFERROR(X108*H108,"0")</f>
        <v>0</v>
      </c>
      <c r="M278" s="52">
        <f>IFERROR(X113*H113,"0")+IFERROR(X114*H114,"0")+IFERROR(X115*H115,"0")+IFERROR(X116*H116,"0")+IFERROR(X117*H117,"0")+IFERROR(X118*H118,"0")+IFERROR(X119*H119,"0")+IFERROR(X123*H123,"0")+IFERROR(X127*H127,"0")</f>
        <v>0</v>
      </c>
      <c r="N278" s="1"/>
      <c r="O278" s="52">
        <f>IFERROR(X132*H132,"0")+IFERROR(X133*H133,"0")</f>
        <v>0</v>
      </c>
      <c r="P278" s="52">
        <f>IFERROR(X138*H138,"0")+IFERROR(X139*H139,"0")</f>
        <v>0</v>
      </c>
      <c r="Q278" s="52">
        <f>IFERROR(X144*H144,"0")+IFERROR(X145*H145,"0")</f>
        <v>0</v>
      </c>
      <c r="R278" s="52">
        <f>IFERROR(X150*H150,"0")</f>
        <v>0</v>
      </c>
      <c r="S278" s="52">
        <f>IFERROR(X155*H155,"0")</f>
        <v>0</v>
      </c>
      <c r="T278" s="52">
        <f>IFERROR(X160*H160,"0")</f>
        <v>0</v>
      </c>
      <c r="U278" s="52">
        <f>IFERROR(X165*H165,"0")</f>
        <v>0</v>
      </c>
      <c r="V278" s="52">
        <f>IFERROR(X171*H171,"0")+IFERROR(X172*H172,"0")</f>
        <v>0</v>
      </c>
      <c r="W278" s="52">
        <f>IFERROR(X178*H178,"0")+IFERROR(X179*H179,"0")+IFERROR(X180*H180,"0")+IFERROR(X184*H184,"0")</f>
        <v>0</v>
      </c>
      <c r="X278" s="52">
        <f>IFERROR(X190*H190,"0")+IFERROR(X194*H194,"0")+IFERROR(X195*H195,"0")+IFERROR(X196*H196,"0")+IFERROR(X197*H197,"0")+IFERROR(X198*H198,"0")</f>
        <v>0</v>
      </c>
      <c r="Y278" s="52">
        <f>IFERROR(X203*H203,"0")</f>
        <v>0</v>
      </c>
      <c r="Z278" s="52">
        <f>IFERROR(X208*H208,"0")+IFERROR(X212*H212,"0")+IFERROR(X213*H213,"0")</f>
        <v>0</v>
      </c>
      <c r="AA278" s="52">
        <f>IFERROR(X219*H219,"0")</f>
        <v>0</v>
      </c>
      <c r="AB278" s="52">
        <f>IFERROR(X225*H225,"0")</f>
        <v>0</v>
      </c>
      <c r="AC278" s="52">
        <f>IFERROR(X231*H231,"0")+IFERROR(X235*H235,"0")</f>
        <v>0</v>
      </c>
      <c r="AD278" s="52">
        <f>IFERROR(X241*H241,"0")+IFERROR(X242*H242,"0")+IFERROR(X246*H246,"0")+IFERROR(X250*H250,"0")+IFERROR(X251*H251,"0")+IFERROR(X252*H252,"0")+IFERROR(X256*H256,"0")+IFERROR(X257*H257,"0")+IFERROR(X258*H258,"0")+IFERROR(X259*H259,"0")+IFERROR(X260*H260,"0")+IFERROR(X261*H261,"0")+IFERROR(X262*H262,"0")+IFERROR(X263*H263,"0")+IFERROR(X264*H264,"0")+IFERROR(X265*H265,"0")</f>
        <v>0</v>
      </c>
      <c r="AF278" s="1"/>
    </row>
    <row r="279" spans="1:32" ht="13.5" thickTop="1" x14ac:dyDescent="0.2">
      <c r="C279" s="1"/>
    </row>
    <row r="280" spans="1:32" ht="19.5" customHeight="1" x14ac:dyDescent="0.2">
      <c r="A280" s="70" t="s">
        <v>62</v>
      </c>
      <c r="B280" s="70" t="s">
        <v>63</v>
      </c>
      <c r="C280" s="70" t="s">
        <v>65</v>
      </c>
    </row>
    <row r="281" spans="1:32" x14ac:dyDescent="0.2">
      <c r="A281" s="71">
        <f>SUMPRODUCT(--(BB:BB="ЗПФ"),--(W:W="кор"),H:H,Y:Y)+SUMPRODUCT(--(BB:BB="ЗПФ"),--(W:W="кг"),Y:Y)</f>
        <v>0</v>
      </c>
      <c r="B281" s="72">
        <f>SUMPRODUCT(--(BB:BB="ПГП"),--(W:W="кор"),H:H,Y:Y)+SUMPRODUCT(--(BB:BB="ПГП"),--(W:W="кг"),Y:Y)</f>
        <v>0</v>
      </c>
      <c r="C281" s="72">
        <f>SUMPRODUCT(--(BB:BB="КИЗ"),--(W:W="кор"),H:H,Y:Y)+SUMPRODUCT(--(BB:BB="КИЗ"),--(W:W="кг"),Y:Y)</f>
        <v>0</v>
      </c>
    </row>
  </sheetData>
  <sheetProtection algorithmName="SHA-512" hashValue="Jxz/XaWoIgtYoiww++mJZMFsaC/Xw2M2TBNyANrqY6fuPxxLkNIrMaYsgScB0STNXFXk3DhCjlemvPwZ/vVkQw==" saltValue="715CCq/yMOWGNlySddUP8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6"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B275:C275"/>
    <mergeCell ref="D275:U275"/>
    <mergeCell ref="X275:Z275"/>
    <mergeCell ref="J276:J277"/>
    <mergeCell ref="K276:K277"/>
    <mergeCell ref="L276:L277"/>
    <mergeCell ref="M276:M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D265:E265"/>
    <mergeCell ref="P265:T265"/>
    <mergeCell ref="P266:V266"/>
    <mergeCell ref="A266:O267"/>
    <mergeCell ref="P267:V267"/>
    <mergeCell ref="P268:V268"/>
    <mergeCell ref="A268:O273"/>
    <mergeCell ref="P269:V269"/>
    <mergeCell ref="P270:V270"/>
    <mergeCell ref="P271:V271"/>
    <mergeCell ref="P272:V272"/>
    <mergeCell ref="P273:V273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A255:Z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D235:E235"/>
    <mergeCell ref="P235:T235"/>
    <mergeCell ref="P236:V236"/>
    <mergeCell ref="A236:O237"/>
    <mergeCell ref="P237:V237"/>
    <mergeCell ref="A238:Z238"/>
    <mergeCell ref="A239:Z239"/>
    <mergeCell ref="A240:Z240"/>
    <mergeCell ref="D241:E241"/>
    <mergeCell ref="P241:T241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D213:E213"/>
    <mergeCell ref="P213:T213"/>
    <mergeCell ref="P214:V214"/>
    <mergeCell ref="A214:O215"/>
    <mergeCell ref="P215:V215"/>
    <mergeCell ref="A216:Z216"/>
    <mergeCell ref="A217:Z217"/>
    <mergeCell ref="A218:Z218"/>
    <mergeCell ref="D219:E219"/>
    <mergeCell ref="P219:T219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P199:V199"/>
    <mergeCell ref="A199:O200"/>
    <mergeCell ref="P200:V200"/>
    <mergeCell ref="A201:Z201"/>
    <mergeCell ref="A202:Z202"/>
    <mergeCell ref="D203:E203"/>
    <mergeCell ref="P203:T203"/>
    <mergeCell ref="P204:V204"/>
    <mergeCell ref="A204:O205"/>
    <mergeCell ref="P205:V205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A187:Z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P185:V185"/>
    <mergeCell ref="A185:O186"/>
    <mergeCell ref="P186:V186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9:X265 X256 X252 X241 X235 X231 X219 X212:X213 X208 X194:X198 X184 X171 X160 X155 X144:X145 X138 X127 X123 X117 X114 X102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7:X258 X250:X251 X246 X242 X225 X203 X190 X178:X180 X172 X165 X150 X139 X132 X118:X119 X115:X116 X113 X107:X108 X97:X101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9"/>
    </row>
    <row r="3" spans="2:8" x14ac:dyDescent="0.2">
      <c r="B3" s="53" t="s">
        <v>375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377</v>
      </c>
      <c r="D6" s="53" t="s">
        <v>378</v>
      </c>
      <c r="E6" s="53" t="s">
        <v>46</v>
      </c>
    </row>
    <row r="8" spans="2:8" x14ac:dyDescent="0.2">
      <c r="B8" s="53" t="s">
        <v>80</v>
      </c>
      <c r="C8" s="53" t="s">
        <v>377</v>
      </c>
      <c r="D8" s="53" t="s">
        <v>46</v>
      </c>
      <c r="E8" s="53" t="s">
        <v>46</v>
      </c>
    </row>
    <row r="10" spans="2:8" x14ac:dyDescent="0.2">
      <c r="B10" s="53" t="s">
        <v>379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380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381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389</v>
      </c>
      <c r="C20" s="53" t="s">
        <v>46</v>
      </c>
      <c r="D20" s="53" t="s">
        <v>46</v>
      </c>
      <c r="E20" s="53" t="s">
        <v>46</v>
      </c>
    </row>
  </sheetData>
  <sheetProtection algorithmName="SHA-512" hashValue="hJ/nK+wGtTXZ+oYeoy1vvHxiYP/dI8CfM7XS2V/AGhGzE11kNIqcLlUhxycGhu0mJIMnFF7OU1OOlRI7c13lSQ==" saltValue="YwuoT4YnZZBSC5/VCSFxB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410</vt:i4>
      </vt:variant>
    </vt:vector>
  </HeadingPairs>
  <TitlesOfParts>
    <vt:vector size="41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