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58EB97-5D65-4BD9-9918-5AA453643A0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2" l="1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O257" i="2"/>
  <c r="BM257" i="2"/>
  <c r="Z257" i="2"/>
  <c r="Y257" i="2"/>
  <c r="P257" i="2"/>
  <c r="BP256" i="2"/>
  <c r="BO256" i="2"/>
  <c r="BN256" i="2"/>
  <c r="BM256" i="2"/>
  <c r="Z256" i="2"/>
  <c r="Y256" i="2"/>
  <c r="P256" i="2"/>
  <c r="BO255" i="2"/>
  <c r="BM255" i="2"/>
  <c r="Z255" i="2"/>
  <c r="Y255" i="2"/>
  <c r="BN255" i="2" s="1"/>
  <c r="P255" i="2"/>
  <c r="BO254" i="2"/>
  <c r="BM254" i="2"/>
  <c r="Z254" i="2"/>
  <c r="Y254" i="2"/>
  <c r="BP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Z249" i="2"/>
  <c r="Y249" i="2"/>
  <c r="BP249" i="2" s="1"/>
  <c r="P249" i="2"/>
  <c r="BO248" i="2"/>
  <c r="BM248" i="2"/>
  <c r="Z248" i="2"/>
  <c r="Z251" i="2" s="1"/>
  <c r="Y248" i="2"/>
  <c r="BP248" i="2" s="1"/>
  <c r="P248" i="2"/>
  <c r="X246" i="2"/>
  <c r="Y245" i="2"/>
  <c r="X245" i="2"/>
  <c r="BO244" i="2"/>
  <c r="BM244" i="2"/>
  <c r="Z244" i="2"/>
  <c r="Z245" i="2" s="1"/>
  <c r="Y244" i="2"/>
  <c r="BP244" i="2" s="1"/>
  <c r="P244" i="2"/>
  <c r="X242" i="2"/>
  <c r="X241" i="2"/>
  <c r="BO240" i="2"/>
  <c r="BM240" i="2"/>
  <c r="Z240" i="2"/>
  <c r="Y240" i="2"/>
  <c r="Y242" i="2" s="1"/>
  <c r="P240" i="2"/>
  <c r="BP239" i="2"/>
  <c r="BO239" i="2"/>
  <c r="BN239" i="2"/>
  <c r="BM239" i="2"/>
  <c r="Z239" i="2"/>
  <c r="Y239" i="2"/>
  <c r="P239" i="2"/>
  <c r="X235" i="2"/>
  <c r="X234" i="2"/>
  <c r="BO233" i="2"/>
  <c r="BM233" i="2"/>
  <c r="Z233" i="2"/>
  <c r="Z234" i="2" s="1"/>
  <c r="Y233" i="2"/>
  <c r="Y234" i="2" s="1"/>
  <c r="P233" i="2"/>
  <c r="X231" i="2"/>
  <c r="Z230" i="2"/>
  <c r="X230" i="2"/>
  <c r="BO229" i="2"/>
  <c r="BM229" i="2"/>
  <c r="Z229" i="2"/>
  <c r="Y229" i="2"/>
  <c r="Y230" i="2" s="1"/>
  <c r="P229" i="2"/>
  <c r="X225" i="2"/>
  <c r="X224" i="2"/>
  <c r="BO223" i="2"/>
  <c r="BM223" i="2"/>
  <c r="Z223" i="2"/>
  <c r="Z224" i="2" s="1"/>
  <c r="Y223" i="2"/>
  <c r="Y224" i="2" s="1"/>
  <c r="P223" i="2"/>
  <c r="X219" i="2"/>
  <c r="Y218" i="2"/>
  <c r="X218" i="2"/>
  <c r="BP217" i="2"/>
  <c r="BO217" i="2"/>
  <c r="BN217" i="2"/>
  <c r="BM217" i="2"/>
  <c r="Z217" i="2"/>
  <c r="Z218" i="2" s="1"/>
  <c r="Y217" i="2"/>
  <c r="Y219" i="2" s="1"/>
  <c r="P217" i="2"/>
  <c r="X213" i="2"/>
  <c r="X212" i="2"/>
  <c r="BO211" i="2"/>
  <c r="BM211" i="2"/>
  <c r="Z211" i="2"/>
  <c r="Y211" i="2"/>
  <c r="BP211" i="2" s="1"/>
  <c r="P211" i="2"/>
  <c r="BO210" i="2"/>
  <c r="BM210" i="2"/>
  <c r="Z210" i="2"/>
  <c r="Z212" i="2" s="1"/>
  <c r="Y210" i="2"/>
  <c r="BP210" i="2" s="1"/>
  <c r="P210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M200" i="2"/>
  <c r="Z200" i="2"/>
  <c r="Y200" i="2"/>
  <c r="BP200" i="2" s="1"/>
  <c r="P200" i="2"/>
  <c r="BP199" i="2"/>
  <c r="BO199" i="2"/>
  <c r="BN199" i="2"/>
  <c r="BM199" i="2"/>
  <c r="Z199" i="2"/>
  <c r="Y199" i="2"/>
  <c r="P199" i="2"/>
  <c r="BO198" i="2"/>
  <c r="BM198" i="2"/>
  <c r="Z198" i="2"/>
  <c r="Y198" i="2"/>
  <c r="BN198" i="2" s="1"/>
  <c r="P198" i="2"/>
  <c r="BO197" i="2"/>
  <c r="BM197" i="2"/>
  <c r="Z197" i="2"/>
  <c r="Y197" i="2"/>
  <c r="P197" i="2"/>
  <c r="BO196" i="2"/>
  <c r="BM196" i="2"/>
  <c r="Z196" i="2"/>
  <c r="Y196" i="2"/>
  <c r="BP196" i="2" s="1"/>
  <c r="P196" i="2"/>
  <c r="X194" i="2"/>
  <c r="X193" i="2"/>
  <c r="BO192" i="2"/>
  <c r="BM192" i="2"/>
  <c r="Z192" i="2"/>
  <c r="Z193" i="2" s="1"/>
  <c r="Y192" i="2"/>
  <c r="Y193" i="2" s="1"/>
  <c r="P192" i="2"/>
  <c r="X188" i="2"/>
  <c r="X187" i="2"/>
  <c r="BO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Z180" i="2"/>
  <c r="Y180" i="2"/>
  <c r="BP180" i="2" s="1"/>
  <c r="P180" i="2"/>
  <c r="BO179" i="2"/>
  <c r="BM179" i="2"/>
  <c r="Z179" i="2"/>
  <c r="Z183" i="2" s="1"/>
  <c r="Y179" i="2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Y172" i="2"/>
  <c r="BN172" i="2" s="1"/>
  <c r="P172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BN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Y142" i="2" s="1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Z135" i="2" s="1"/>
  <c r="Y133" i="2"/>
  <c r="BP133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M124" i="2"/>
  <c r="Z124" i="2"/>
  <c r="Z125" i="2" s="1"/>
  <c r="Y124" i="2"/>
  <c r="BP124" i="2" s="1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Z121" i="2" s="1"/>
  <c r="Y114" i="2"/>
  <c r="BP114" i="2" s="1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Y107" i="2"/>
  <c r="Y109" i="2" s="1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X94" i="2"/>
  <c r="X93" i="2"/>
  <c r="BO92" i="2"/>
  <c r="BM92" i="2"/>
  <c r="Z92" i="2"/>
  <c r="Z93" i="2" s="1"/>
  <c r="Y92" i="2"/>
  <c r="BN92" i="2" s="1"/>
  <c r="P92" i="2"/>
  <c r="BO91" i="2"/>
  <c r="BM91" i="2"/>
  <c r="Z91" i="2"/>
  <c r="Y91" i="2"/>
  <c r="Y93" i="2" s="1"/>
  <c r="P91" i="2"/>
  <c r="X88" i="2"/>
  <c r="Z87" i="2"/>
  <c r="X87" i="2"/>
  <c r="BO86" i="2"/>
  <c r="BM86" i="2"/>
  <c r="Z86" i="2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P74" i="2" s="1"/>
  <c r="P74" i="2"/>
  <c r="BO73" i="2"/>
  <c r="BM73" i="2"/>
  <c r="Z73" i="2"/>
  <c r="Y73" i="2"/>
  <c r="Y77" i="2" s="1"/>
  <c r="P73" i="2"/>
  <c r="X71" i="2"/>
  <c r="X70" i="2"/>
  <c r="BO69" i="2"/>
  <c r="BM69" i="2"/>
  <c r="Z69" i="2"/>
  <c r="Y69" i="2"/>
  <c r="BN69" i="2" s="1"/>
  <c r="P69" i="2"/>
  <c r="BO68" i="2"/>
  <c r="BM68" i="2"/>
  <c r="Z68" i="2"/>
  <c r="Y68" i="2"/>
  <c r="Y70" i="2" s="1"/>
  <c r="P68" i="2"/>
  <c r="X66" i="2"/>
  <c r="Z65" i="2"/>
  <c r="X65" i="2"/>
  <c r="BO64" i="2"/>
  <c r="BM64" i="2"/>
  <c r="Z64" i="2"/>
  <c r="Y64" i="2"/>
  <c r="BP64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Z56" i="2" s="1"/>
  <c r="Y54" i="2"/>
  <c r="BP54" i="2" s="1"/>
  <c r="P54" i="2"/>
  <c r="BO53" i="2"/>
  <c r="BM53" i="2"/>
  <c r="Z53" i="2"/>
  <c r="Y53" i="2"/>
  <c r="BN53" i="2" s="1"/>
  <c r="P53" i="2"/>
  <c r="BO52" i="2"/>
  <c r="BM52" i="2"/>
  <c r="Z52" i="2"/>
  <c r="Y52" i="2"/>
  <c r="BN52" i="2" s="1"/>
  <c r="P52" i="2"/>
  <c r="X49" i="2"/>
  <c r="X48" i="2"/>
  <c r="BO47" i="2"/>
  <c r="BM47" i="2"/>
  <c r="Z47" i="2"/>
  <c r="Y47" i="2"/>
  <c r="BP47" i="2" s="1"/>
  <c r="P47" i="2"/>
  <c r="BO46" i="2"/>
  <c r="BN46" i="2"/>
  <c r="BM46" i="2"/>
  <c r="Z46" i="2"/>
  <c r="Z48" i="2" s="1"/>
  <c r="Y46" i="2"/>
  <c r="P46" i="2"/>
  <c r="BO45" i="2"/>
  <c r="BM45" i="2"/>
  <c r="Z45" i="2"/>
  <c r="Y45" i="2"/>
  <c r="BP45" i="2" s="1"/>
  <c r="P45" i="2"/>
  <c r="X42" i="2"/>
  <c r="X41" i="2"/>
  <c r="BO40" i="2"/>
  <c r="BM40" i="2"/>
  <c r="Z40" i="2"/>
  <c r="Y40" i="2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BP33" i="2" s="1"/>
  <c r="P33" i="2"/>
  <c r="BO32" i="2"/>
  <c r="BM32" i="2"/>
  <c r="Z32" i="2"/>
  <c r="Y32" i="2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Z28" i="2" s="1"/>
  <c r="Y22" i="2"/>
  <c r="P22" i="2"/>
  <c r="H10" i="2"/>
  <c r="A9" i="2"/>
  <c r="F9" i="2" s="1"/>
  <c r="D7" i="2"/>
  <c r="Q6" i="2"/>
  <c r="P2" i="2"/>
  <c r="J9" i="2" l="1"/>
  <c r="F10" i="2"/>
  <c r="Y29" i="2"/>
  <c r="BP52" i="2"/>
  <c r="Y66" i="2"/>
  <c r="Y88" i="2"/>
  <c r="Y94" i="2"/>
  <c r="Y136" i="2"/>
  <c r="BP151" i="2"/>
  <c r="Y152" i="2"/>
  <c r="BP161" i="2"/>
  <c r="Y162" i="2"/>
  <c r="BP172" i="2"/>
  <c r="Y207" i="2"/>
  <c r="Y231" i="2"/>
  <c r="H9" i="2"/>
  <c r="A10" i="2"/>
  <c r="Y28" i="2"/>
  <c r="BP24" i="2"/>
  <c r="Z34" i="2"/>
  <c r="X270" i="2"/>
  <c r="Z41" i="2"/>
  <c r="BN39" i="2"/>
  <c r="Y42" i="2"/>
  <c r="Y56" i="2"/>
  <c r="Y65" i="2"/>
  <c r="Z70" i="2"/>
  <c r="Z76" i="2"/>
  <c r="Z82" i="2"/>
  <c r="BN86" i="2"/>
  <c r="BP86" i="2"/>
  <c r="Z103" i="2"/>
  <c r="Z109" i="2"/>
  <c r="BN113" i="2"/>
  <c r="BP116" i="2"/>
  <c r="BN120" i="2"/>
  <c r="BN128" i="2"/>
  <c r="BP128" i="2"/>
  <c r="Y129" i="2"/>
  <c r="Y135" i="2"/>
  <c r="Z141" i="2"/>
  <c r="Z147" i="2"/>
  <c r="Y153" i="2"/>
  <c r="Y163" i="2"/>
  <c r="Z174" i="2"/>
  <c r="Y184" i="2"/>
  <c r="BN180" i="2"/>
  <c r="BN186" i="2"/>
  <c r="BP186" i="2"/>
  <c r="Y187" i="2"/>
  <c r="Z201" i="2"/>
  <c r="BN196" i="2"/>
  <c r="Y202" i="2"/>
  <c r="BN200" i="2"/>
  <c r="BN210" i="2"/>
  <c r="BN229" i="2"/>
  <c r="BP229" i="2"/>
  <c r="Z241" i="2"/>
  <c r="Y246" i="2"/>
  <c r="BP250" i="2"/>
  <c r="Y251" i="2"/>
  <c r="Y252" i="2"/>
  <c r="BN263" i="2"/>
  <c r="BP97" i="2"/>
  <c r="BN97" i="2"/>
  <c r="Y103" i="2"/>
  <c r="Y264" i="2"/>
  <c r="Z264" i="2"/>
  <c r="Z271" i="2" s="1"/>
  <c r="Y76" i="2"/>
  <c r="BP73" i="2"/>
  <c r="BN73" i="2"/>
  <c r="BN100" i="2"/>
  <c r="Y148" i="2"/>
  <c r="Y147" i="2"/>
  <c r="BN145" i="2"/>
  <c r="BP145" i="2"/>
  <c r="Y82" i="2"/>
  <c r="Y83" i="2"/>
  <c r="BN80" i="2"/>
  <c r="BP80" i="2"/>
  <c r="BN25" i="2"/>
  <c r="BP25" i="2"/>
  <c r="X268" i="2"/>
  <c r="X267" i="2"/>
  <c r="Y104" i="2"/>
  <c r="X266" i="2"/>
  <c r="Y48" i="2"/>
  <c r="BP46" i="2"/>
  <c r="BN117" i="2"/>
  <c r="BP117" i="2"/>
  <c r="Y34" i="2"/>
  <c r="Y35" i="2"/>
  <c r="BN32" i="2"/>
  <c r="BP32" i="2"/>
  <c r="BP260" i="2"/>
  <c r="BN260" i="2"/>
  <c r="Y57" i="2"/>
  <c r="BN173" i="2"/>
  <c r="BP107" i="2"/>
  <c r="BN197" i="2"/>
  <c r="BP40" i="2"/>
  <c r="Y241" i="2"/>
  <c r="BN54" i="2"/>
  <c r="Y175" i="2"/>
  <c r="BN124" i="2"/>
  <c r="BN192" i="2"/>
  <c r="BP108" i="2"/>
  <c r="Y121" i="2"/>
  <c r="BN257" i="2"/>
  <c r="BN240" i="2"/>
  <c r="Y122" i="2"/>
  <c r="Y174" i="2"/>
  <c r="BP240" i="2"/>
  <c r="BN47" i="2"/>
  <c r="Y265" i="2"/>
  <c r="BP68" i="2"/>
  <c r="BN146" i="2"/>
  <c r="BN166" i="2"/>
  <c r="BP197" i="2"/>
  <c r="BN261" i="2"/>
  <c r="BP26" i="2"/>
  <c r="BP205" i="2"/>
  <c r="Y213" i="2"/>
  <c r="Y225" i="2"/>
  <c r="Y235" i="2"/>
  <c r="BN244" i="2"/>
  <c r="BP262" i="2"/>
  <c r="BN22" i="2"/>
  <c r="BP53" i="2"/>
  <c r="BN60" i="2"/>
  <c r="BN68" i="2"/>
  <c r="BN114" i="2"/>
  <c r="BP257" i="2"/>
  <c r="BN254" i="2"/>
  <c r="BP139" i="2"/>
  <c r="BN81" i="2"/>
  <c r="Y125" i="2"/>
  <c r="BP140" i="2"/>
  <c r="Y158" i="2"/>
  <c r="BP198" i="2"/>
  <c r="BN119" i="2"/>
  <c r="Y183" i="2"/>
  <c r="BP255" i="2"/>
  <c r="BN55" i="2"/>
  <c r="Y110" i="2"/>
  <c r="BN107" i="2"/>
  <c r="BN248" i="2"/>
  <c r="BN40" i="2"/>
  <c r="BP60" i="2"/>
  <c r="BP181" i="2"/>
  <c r="Y201" i="2"/>
  <c r="Y61" i="2"/>
  <c r="Y41" i="2"/>
  <c r="BP101" i="2"/>
  <c r="BP156" i="2"/>
  <c r="BP166" i="2"/>
  <c r="BN211" i="2"/>
  <c r="BN223" i="2"/>
  <c r="BN233" i="2"/>
  <c r="BN33" i="2"/>
  <c r="BN133" i="2"/>
  <c r="BN258" i="2"/>
  <c r="BN23" i="2"/>
  <c r="Y157" i="2"/>
  <c r="Y167" i="2"/>
  <c r="BN182" i="2"/>
  <c r="BP223" i="2"/>
  <c r="BP233" i="2"/>
  <c r="BN249" i="2"/>
  <c r="BP192" i="2"/>
  <c r="BP69" i="2"/>
  <c r="Y212" i="2"/>
  <c r="BN179" i="2"/>
  <c r="BN64" i="2"/>
  <c r="BP102" i="2"/>
  <c r="Y141" i="2"/>
  <c r="BP179" i="2"/>
  <c r="BP27" i="2"/>
  <c r="BN45" i="2"/>
  <c r="BP92" i="2"/>
  <c r="BN99" i="2"/>
  <c r="Y126" i="2"/>
  <c r="BN134" i="2"/>
  <c r="Y194" i="2"/>
  <c r="BN259" i="2"/>
  <c r="Y71" i="2"/>
  <c r="Y206" i="2"/>
  <c r="BN139" i="2"/>
  <c r="BP22" i="2"/>
  <c r="BN74" i="2"/>
  <c r="BN91" i="2"/>
  <c r="BN118" i="2"/>
  <c r="BP91" i="2"/>
  <c r="BN98" i="2"/>
  <c r="BN115" i="2"/>
  <c r="BN75" i="2"/>
  <c r="Y49" i="2"/>
  <c r="Y267" i="2" l="1"/>
  <c r="Y266" i="2"/>
  <c r="Y270" i="2"/>
  <c r="Y268" i="2"/>
  <c r="Y269" i="2" s="1"/>
  <c r="X269" i="2"/>
  <c r="B279" i="2" l="1"/>
  <c r="A279" i="2"/>
  <c r="C279" i="2"/>
</calcChain>
</file>

<file path=xl/sharedStrings.xml><?xml version="1.0" encoding="utf-8"?>
<sst xmlns="http://schemas.openxmlformats.org/spreadsheetml/2006/main" count="1642" uniqueCount="393">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</sst>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46037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Четверг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0.375</v>
      </c>
      <c r="R8" s="303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4"/>
      <c r="C9" s="304"/>
      <c r="D9" s="305" t="s">
        <v>46</v>
      </c>
      <c r="E9" s="306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4"/>
      <c r="H9" s="307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73"/>
      <c r="P9" s="31" t="s">
        <v>15</v>
      </c>
      <c r="Q9" s="308"/>
      <c r="R9" s="308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4"/>
      <c r="C10" s="304"/>
      <c r="D10" s="305"/>
      <c r="E10" s="306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4"/>
      <c r="H10" s="309" t="str">
        <f>IFERROR(VLOOKUP($D$10,Proxy,2,FALSE),"")</f>
        <v/>
      </c>
      <c r="I10" s="309"/>
      <c r="J10" s="309"/>
      <c r="K10" s="309"/>
      <c r="L10" s="309"/>
      <c r="M10" s="309"/>
      <c r="N10" s="74"/>
      <c r="P10" s="31" t="s">
        <v>32</v>
      </c>
      <c r="Q10" s="310"/>
      <c r="R10" s="310"/>
      <c r="U10" s="29" t="s">
        <v>12</v>
      </c>
      <c r="V10" s="311" t="s">
        <v>74</v>
      </c>
      <c r="W10" s="31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3"/>
      <c r="R11" s="313"/>
      <c r="U11" s="29" t="s">
        <v>28</v>
      </c>
      <c r="V11" s="314" t="s">
        <v>55</v>
      </c>
      <c r="W11" s="3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5" t="s">
        <v>75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79"/>
      <c r="P12" s="27" t="s">
        <v>30</v>
      </c>
      <c r="Q12" s="302"/>
      <c r="R12" s="302"/>
      <c r="S12" s="28"/>
      <c r="T12"/>
      <c r="U12" s="29" t="s">
        <v>46</v>
      </c>
      <c r="V12" s="316"/>
      <c r="W12" s="316"/>
      <c r="X12"/>
      <c r="AB12" s="59"/>
      <c r="AC12" s="59"/>
      <c r="AD12" s="59"/>
      <c r="AE12" s="59"/>
    </row>
    <row r="13" spans="1:32" s="17" customFormat="1" ht="23.25" customHeight="1" x14ac:dyDescent="0.2">
      <c r="A13" s="315" t="s">
        <v>76</v>
      </c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79"/>
      <c r="O13" s="31"/>
      <c r="P13" s="31" t="s">
        <v>31</v>
      </c>
      <c r="Q13" s="314"/>
      <c r="R13" s="3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5" t="s">
        <v>77</v>
      </c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7" t="s">
        <v>78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80"/>
      <c r="O15"/>
      <c r="P15" s="318" t="s">
        <v>61</v>
      </c>
      <c r="Q15" s="318"/>
      <c r="R15" s="318"/>
      <c r="S15" s="318"/>
      <c r="T15" s="3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9"/>
      <c r="Q16" s="319"/>
      <c r="R16" s="319"/>
      <c r="S16" s="319"/>
      <c r="T16" s="3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2" t="s">
        <v>59</v>
      </c>
      <c r="B17" s="322" t="s">
        <v>49</v>
      </c>
      <c r="C17" s="324" t="s">
        <v>48</v>
      </c>
      <c r="D17" s="326" t="s">
        <v>50</v>
      </c>
      <c r="E17" s="327"/>
      <c r="F17" s="322" t="s">
        <v>21</v>
      </c>
      <c r="G17" s="322" t="s">
        <v>24</v>
      </c>
      <c r="H17" s="322" t="s">
        <v>22</v>
      </c>
      <c r="I17" s="322" t="s">
        <v>23</v>
      </c>
      <c r="J17" s="322" t="s">
        <v>16</v>
      </c>
      <c r="K17" s="322" t="s">
        <v>69</v>
      </c>
      <c r="L17" s="322" t="s">
        <v>67</v>
      </c>
      <c r="M17" s="322" t="s">
        <v>2</v>
      </c>
      <c r="N17" s="322" t="s">
        <v>66</v>
      </c>
      <c r="O17" s="322" t="s">
        <v>25</v>
      </c>
      <c r="P17" s="326" t="s">
        <v>17</v>
      </c>
      <c r="Q17" s="330"/>
      <c r="R17" s="330"/>
      <c r="S17" s="330"/>
      <c r="T17" s="327"/>
      <c r="U17" s="320" t="s">
        <v>56</v>
      </c>
      <c r="V17" s="321"/>
      <c r="W17" s="322" t="s">
        <v>6</v>
      </c>
      <c r="X17" s="322" t="s">
        <v>41</v>
      </c>
      <c r="Y17" s="332" t="s">
        <v>54</v>
      </c>
      <c r="Z17" s="334" t="s">
        <v>18</v>
      </c>
      <c r="AA17" s="336" t="s">
        <v>60</v>
      </c>
      <c r="AB17" s="336" t="s">
        <v>19</v>
      </c>
      <c r="AC17" s="336" t="s">
        <v>68</v>
      </c>
      <c r="AD17" s="338" t="s">
        <v>57</v>
      </c>
      <c r="AE17" s="339"/>
      <c r="AF17" s="340"/>
      <c r="AG17" s="85"/>
      <c r="BD17" s="84" t="s">
        <v>64</v>
      </c>
    </row>
    <row r="18" spans="1:68" ht="14.25" customHeight="1" x14ac:dyDescent="0.2">
      <c r="A18" s="323"/>
      <c r="B18" s="323"/>
      <c r="C18" s="325"/>
      <c r="D18" s="328"/>
      <c r="E18" s="329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8"/>
      <c r="Q18" s="331"/>
      <c r="R18" s="331"/>
      <c r="S18" s="331"/>
      <c r="T18" s="329"/>
      <c r="U18" s="86" t="s">
        <v>44</v>
      </c>
      <c r="V18" s="86" t="s">
        <v>43</v>
      </c>
      <c r="W18" s="323"/>
      <c r="X18" s="323"/>
      <c r="Y18" s="333"/>
      <c r="Z18" s="335"/>
      <c r="AA18" s="337"/>
      <c r="AB18" s="337"/>
      <c r="AC18" s="337"/>
      <c r="AD18" s="341"/>
      <c r="AE18" s="342"/>
      <c r="AF18" s="343"/>
      <c r="AG18" s="85"/>
      <c r="BD18" s="84"/>
    </row>
    <row r="19" spans="1:68" ht="27.75" customHeight="1" x14ac:dyDescent="0.2">
      <c r="A19" s="344" t="s">
        <v>81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54"/>
      <c r="AB19" s="54"/>
      <c r="AC19" s="54"/>
    </row>
    <row r="20" spans="1:68" ht="16.5" customHeight="1" x14ac:dyDescent="0.25">
      <c r="A20" s="345" t="s">
        <v>81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65"/>
      <c r="AB20" s="65"/>
      <c r="AC20" s="82"/>
    </row>
    <row r="21" spans="1:68" ht="14.25" customHeight="1" x14ac:dyDescent="0.25">
      <c r="A21" s="346" t="s">
        <v>82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7">
        <v>4607111035912</v>
      </c>
      <c r="E22" s="347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9"/>
      <c r="R22" s="349"/>
      <c r="S22" s="349"/>
      <c r="T22" s="35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7">
        <v>4607111035103</v>
      </c>
      <c r="E23" s="347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9"/>
      <c r="R23" s="349"/>
      <c r="S23" s="349"/>
      <c r="T23" s="35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7">
        <v>4607111035929</v>
      </c>
      <c r="E24" s="347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9"/>
      <c r="R24" s="349"/>
      <c r="S24" s="349"/>
      <c r="T24" s="35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7">
        <v>4607111035882</v>
      </c>
      <c r="E25" s="34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9"/>
      <c r="R25" s="349"/>
      <c r="S25" s="349"/>
      <c r="T25" s="35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7">
        <v>4607111035110</v>
      </c>
      <c r="E26" s="34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9"/>
      <c r="R26" s="349"/>
      <c r="S26" s="349"/>
      <c r="T26" s="35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7">
        <v>4607111035905</v>
      </c>
      <c r="E27" s="347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9"/>
      <c r="R27" s="349"/>
      <c r="S27" s="349"/>
      <c r="T27" s="35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9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60"/>
      <c r="P28" s="356" t="s">
        <v>40</v>
      </c>
      <c r="Q28" s="357"/>
      <c r="R28" s="357"/>
      <c r="S28" s="357"/>
      <c r="T28" s="357"/>
      <c r="U28" s="357"/>
      <c r="V28" s="358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9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60"/>
      <c r="P29" s="356" t="s">
        <v>40</v>
      </c>
      <c r="Q29" s="357"/>
      <c r="R29" s="357"/>
      <c r="S29" s="357"/>
      <c r="T29" s="357"/>
      <c r="U29" s="357"/>
      <c r="V29" s="358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5" t="s">
        <v>100</v>
      </c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65"/>
      <c r="AB30" s="65"/>
      <c r="AC30" s="82"/>
    </row>
    <row r="31" spans="1:68" ht="14.25" customHeight="1" x14ac:dyDescent="0.25">
      <c r="A31" s="346" t="s">
        <v>82</v>
      </c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7">
        <v>4607111039019</v>
      </c>
      <c r="E32" s="347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9"/>
      <c r="R32" s="349"/>
      <c r="S32" s="349"/>
      <c r="T32" s="350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7">
        <v>4607111038708</v>
      </c>
      <c r="E33" s="347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9"/>
      <c r="R33" s="349"/>
      <c r="S33" s="349"/>
      <c r="T33" s="350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9"/>
      <c r="B34" s="359"/>
      <c r="C34" s="359"/>
      <c r="D34" s="359"/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60"/>
      <c r="P34" s="356" t="s">
        <v>40</v>
      </c>
      <c r="Q34" s="357"/>
      <c r="R34" s="357"/>
      <c r="S34" s="357"/>
      <c r="T34" s="357"/>
      <c r="U34" s="357"/>
      <c r="V34" s="358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9"/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  <c r="M35" s="359"/>
      <c r="N35" s="359"/>
      <c r="O35" s="360"/>
      <c r="P35" s="356" t="s">
        <v>40</v>
      </c>
      <c r="Q35" s="357"/>
      <c r="R35" s="357"/>
      <c r="S35" s="357"/>
      <c r="T35" s="357"/>
      <c r="U35" s="357"/>
      <c r="V35" s="358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4" t="s">
        <v>45</v>
      </c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54"/>
      <c r="AB36" s="54"/>
      <c r="AC36" s="54"/>
    </row>
    <row r="37" spans="1:68" ht="16.5" customHeight="1" x14ac:dyDescent="0.25">
      <c r="A37" s="345" t="s">
        <v>106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65"/>
      <c r="AB37" s="65"/>
      <c r="AC37" s="82"/>
    </row>
    <row r="38" spans="1:68" ht="14.25" customHeight="1" x14ac:dyDescent="0.25">
      <c r="A38" s="346" t="s">
        <v>107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7">
        <v>4607111036537</v>
      </c>
      <c r="E39" s="347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9"/>
      <c r="R39" s="349"/>
      <c r="S39" s="349"/>
      <c r="T39" s="350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7">
        <v>4607111036605</v>
      </c>
      <c r="E40" s="347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9"/>
      <c r="R40" s="349"/>
      <c r="S40" s="349"/>
      <c r="T40" s="350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9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60"/>
      <c r="P41" s="356" t="s">
        <v>40</v>
      </c>
      <c r="Q41" s="357"/>
      <c r="R41" s="357"/>
      <c r="S41" s="357"/>
      <c r="T41" s="357"/>
      <c r="U41" s="357"/>
      <c r="V41" s="358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9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59"/>
      <c r="M42" s="359"/>
      <c r="N42" s="359"/>
      <c r="O42" s="360"/>
      <c r="P42" s="356" t="s">
        <v>40</v>
      </c>
      <c r="Q42" s="357"/>
      <c r="R42" s="357"/>
      <c r="S42" s="357"/>
      <c r="T42" s="357"/>
      <c r="U42" s="357"/>
      <c r="V42" s="358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5" t="s">
        <v>117</v>
      </c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65"/>
      <c r="AB43" s="65"/>
      <c r="AC43" s="82"/>
    </row>
    <row r="44" spans="1:68" ht="14.25" customHeight="1" x14ac:dyDescent="0.25">
      <c r="A44" s="346" t="s">
        <v>82</v>
      </c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7">
        <v>4620207490075</v>
      </c>
      <c r="E45" s="347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9"/>
      <c r="R45" s="349"/>
      <c r="S45" s="349"/>
      <c r="T45" s="350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7">
        <v>4620207490174</v>
      </c>
      <c r="E46" s="347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9"/>
      <c r="R46" s="349"/>
      <c r="S46" s="349"/>
      <c r="T46" s="350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7">
        <v>4620207490044</v>
      </c>
      <c r="E47" s="34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6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9"/>
      <c r="R47" s="349"/>
      <c r="S47" s="349"/>
      <c r="T47" s="35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9"/>
      <c r="B48" s="359"/>
      <c r="C48" s="359"/>
      <c r="D48" s="359"/>
      <c r="E48" s="359"/>
      <c r="F48" s="359"/>
      <c r="G48" s="359"/>
      <c r="H48" s="359"/>
      <c r="I48" s="359"/>
      <c r="J48" s="359"/>
      <c r="K48" s="359"/>
      <c r="L48" s="359"/>
      <c r="M48" s="359"/>
      <c r="N48" s="359"/>
      <c r="O48" s="360"/>
      <c r="P48" s="356" t="s">
        <v>40</v>
      </c>
      <c r="Q48" s="357"/>
      <c r="R48" s="357"/>
      <c r="S48" s="357"/>
      <c r="T48" s="357"/>
      <c r="U48" s="357"/>
      <c r="V48" s="358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9"/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60"/>
      <c r="P49" s="356" t="s">
        <v>40</v>
      </c>
      <c r="Q49" s="357"/>
      <c r="R49" s="357"/>
      <c r="S49" s="357"/>
      <c r="T49" s="357"/>
      <c r="U49" s="357"/>
      <c r="V49" s="358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5" t="s">
        <v>127</v>
      </c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65"/>
      <c r="AB50" s="65"/>
      <c r="AC50" s="82"/>
    </row>
    <row r="51" spans="1:68" ht="14.25" customHeight="1" x14ac:dyDescent="0.25">
      <c r="A51" s="346" t="s">
        <v>82</v>
      </c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7">
        <v>4607111039385</v>
      </c>
      <c r="E52" s="347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9"/>
      <c r="R52" s="349"/>
      <c r="S52" s="349"/>
      <c r="T52" s="350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7">
        <v>4607111038982</v>
      </c>
      <c r="E53" s="347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9"/>
      <c r="R53" s="349"/>
      <c r="S53" s="349"/>
      <c r="T53" s="35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7">
        <v>4607111039354</v>
      </c>
      <c r="E54" s="347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9"/>
      <c r="R54" s="349"/>
      <c r="S54" s="349"/>
      <c r="T54" s="350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7">
        <v>4607111039330</v>
      </c>
      <c r="E55" s="347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88</v>
      </c>
      <c r="M55" s="38" t="s">
        <v>86</v>
      </c>
      <c r="N55" s="38"/>
      <c r="O55" s="37">
        <v>180</v>
      </c>
      <c r="P55" s="37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9"/>
      <c r="R55" s="349"/>
      <c r="S55" s="349"/>
      <c r="T55" s="350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89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9"/>
      <c r="B56" s="359"/>
      <c r="C56" s="359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60"/>
      <c r="P56" s="356" t="s">
        <v>40</v>
      </c>
      <c r="Q56" s="357"/>
      <c r="R56" s="357"/>
      <c r="S56" s="357"/>
      <c r="T56" s="357"/>
      <c r="U56" s="357"/>
      <c r="V56" s="358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9"/>
      <c r="B57" s="359"/>
      <c r="C57" s="359"/>
      <c r="D57" s="359"/>
      <c r="E57" s="359"/>
      <c r="F57" s="359"/>
      <c r="G57" s="359"/>
      <c r="H57" s="359"/>
      <c r="I57" s="359"/>
      <c r="J57" s="359"/>
      <c r="K57" s="359"/>
      <c r="L57" s="359"/>
      <c r="M57" s="359"/>
      <c r="N57" s="359"/>
      <c r="O57" s="360"/>
      <c r="P57" s="356" t="s">
        <v>40</v>
      </c>
      <c r="Q57" s="357"/>
      <c r="R57" s="357"/>
      <c r="S57" s="357"/>
      <c r="T57" s="357"/>
      <c r="U57" s="357"/>
      <c r="V57" s="358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5" t="s">
        <v>138</v>
      </c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65"/>
      <c r="AB58" s="65"/>
      <c r="AC58" s="82"/>
    </row>
    <row r="59" spans="1:68" ht="14.25" customHeight="1" x14ac:dyDescent="0.25">
      <c r="A59" s="346" t="s">
        <v>82</v>
      </c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7">
        <v>4620207490822</v>
      </c>
      <c r="E60" s="347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9"/>
      <c r="R60" s="349"/>
      <c r="S60" s="349"/>
      <c r="T60" s="350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9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60"/>
      <c r="P61" s="356" t="s">
        <v>40</v>
      </c>
      <c r="Q61" s="357"/>
      <c r="R61" s="357"/>
      <c r="S61" s="357"/>
      <c r="T61" s="357"/>
      <c r="U61" s="357"/>
      <c r="V61" s="358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9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60"/>
      <c r="P62" s="356" t="s">
        <v>40</v>
      </c>
      <c r="Q62" s="357"/>
      <c r="R62" s="357"/>
      <c r="S62" s="357"/>
      <c r="T62" s="357"/>
      <c r="U62" s="357"/>
      <c r="V62" s="358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6" t="s">
        <v>107</v>
      </c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7">
        <v>4607111039712</v>
      </c>
      <c r="E64" s="347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9"/>
      <c r="R64" s="349"/>
      <c r="S64" s="349"/>
      <c r="T64" s="350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9"/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60"/>
      <c r="P65" s="356" t="s">
        <v>40</v>
      </c>
      <c r="Q65" s="357"/>
      <c r="R65" s="357"/>
      <c r="S65" s="357"/>
      <c r="T65" s="357"/>
      <c r="U65" s="357"/>
      <c r="V65" s="358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9"/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  <c r="M66" s="359"/>
      <c r="N66" s="359"/>
      <c r="O66" s="360"/>
      <c r="P66" s="356" t="s">
        <v>40</v>
      </c>
      <c r="Q66" s="357"/>
      <c r="R66" s="357"/>
      <c r="S66" s="357"/>
      <c r="T66" s="357"/>
      <c r="U66" s="357"/>
      <c r="V66" s="358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6" t="s">
        <v>145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7">
        <v>4607111037008</v>
      </c>
      <c r="E68" s="347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9"/>
      <c r="R68" s="349"/>
      <c r="S68" s="349"/>
      <c r="T68" s="350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7">
        <v>4607111037398</v>
      </c>
      <c r="E69" s="347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9"/>
      <c r="R69" s="349"/>
      <c r="S69" s="349"/>
      <c r="T69" s="350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9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60"/>
      <c r="P70" s="356" t="s">
        <v>40</v>
      </c>
      <c r="Q70" s="357"/>
      <c r="R70" s="357"/>
      <c r="S70" s="357"/>
      <c r="T70" s="357"/>
      <c r="U70" s="357"/>
      <c r="V70" s="358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9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60"/>
      <c r="P71" s="356" t="s">
        <v>40</v>
      </c>
      <c r="Q71" s="357"/>
      <c r="R71" s="357"/>
      <c r="S71" s="357"/>
      <c r="T71" s="357"/>
      <c r="U71" s="357"/>
      <c r="V71" s="358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6" t="s">
        <v>151</v>
      </c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7">
        <v>4607111039705</v>
      </c>
      <c r="E73" s="347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9"/>
      <c r="R73" s="349"/>
      <c r="S73" s="349"/>
      <c r="T73" s="350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7">
        <v>4607111039729</v>
      </c>
      <c r="E74" s="347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9"/>
      <c r="R74" s="349"/>
      <c r="S74" s="349"/>
      <c r="T74" s="350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7">
        <v>4620207490228</v>
      </c>
      <c r="E75" s="34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9"/>
      <c r="R75" s="349"/>
      <c r="S75" s="349"/>
      <c r="T75" s="35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9"/>
      <c r="B76" s="359"/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60"/>
      <c r="P76" s="356" t="s">
        <v>40</v>
      </c>
      <c r="Q76" s="357"/>
      <c r="R76" s="357"/>
      <c r="S76" s="357"/>
      <c r="T76" s="357"/>
      <c r="U76" s="357"/>
      <c r="V76" s="358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9"/>
      <c r="B77" s="359"/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60"/>
      <c r="P77" s="356" t="s">
        <v>40</v>
      </c>
      <c r="Q77" s="357"/>
      <c r="R77" s="357"/>
      <c r="S77" s="357"/>
      <c r="T77" s="357"/>
      <c r="U77" s="357"/>
      <c r="V77" s="358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5" t="s">
        <v>159</v>
      </c>
      <c r="B78" s="345"/>
      <c r="C78" s="345"/>
      <c r="D78" s="345"/>
      <c r="E78" s="345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65"/>
      <c r="AB78" s="65"/>
      <c r="AC78" s="82"/>
    </row>
    <row r="79" spans="1:68" ht="14.25" customHeight="1" x14ac:dyDescent="0.25">
      <c r="A79" s="346" t="s">
        <v>82</v>
      </c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7">
        <v>4607111037411</v>
      </c>
      <c r="E80" s="347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9"/>
      <c r="R80" s="349"/>
      <c r="S80" s="349"/>
      <c r="T80" s="350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7">
        <v>4607111036728</v>
      </c>
      <c r="E81" s="347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166</v>
      </c>
      <c r="M81" s="38" t="s">
        <v>86</v>
      </c>
      <c r="N81" s="38"/>
      <c r="O81" s="37">
        <v>180</v>
      </c>
      <c r="P81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9"/>
      <c r="R81" s="349"/>
      <c r="S81" s="349"/>
      <c r="T81" s="350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167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9"/>
      <c r="B82" s="359"/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60"/>
      <c r="P82" s="356" t="s">
        <v>40</v>
      </c>
      <c r="Q82" s="357"/>
      <c r="R82" s="357"/>
      <c r="S82" s="357"/>
      <c r="T82" s="357"/>
      <c r="U82" s="357"/>
      <c r="V82" s="35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9"/>
      <c r="B83" s="359"/>
      <c r="C83" s="359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60"/>
      <c r="P83" s="356" t="s">
        <v>40</v>
      </c>
      <c r="Q83" s="357"/>
      <c r="R83" s="357"/>
      <c r="S83" s="357"/>
      <c r="T83" s="357"/>
      <c r="U83" s="357"/>
      <c r="V83" s="35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5" t="s">
        <v>168</v>
      </c>
      <c r="B84" s="345"/>
      <c r="C84" s="345"/>
      <c r="D84" s="345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65"/>
      <c r="AB84" s="65"/>
      <c r="AC84" s="82"/>
    </row>
    <row r="85" spans="1:68" ht="14.25" customHeight="1" x14ac:dyDescent="0.25">
      <c r="A85" s="346" t="s">
        <v>151</v>
      </c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7">
        <v>4607111033659</v>
      </c>
      <c r="E86" s="347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9"/>
      <c r="R86" s="349"/>
      <c r="S86" s="349"/>
      <c r="T86" s="350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9"/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60"/>
      <c r="P87" s="356" t="s">
        <v>40</v>
      </c>
      <c r="Q87" s="357"/>
      <c r="R87" s="357"/>
      <c r="S87" s="357"/>
      <c r="T87" s="357"/>
      <c r="U87" s="357"/>
      <c r="V87" s="358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9"/>
      <c r="B88" s="359"/>
      <c r="C88" s="359"/>
      <c r="D88" s="359"/>
      <c r="E88" s="359"/>
      <c r="F88" s="359"/>
      <c r="G88" s="359"/>
      <c r="H88" s="359"/>
      <c r="I88" s="359"/>
      <c r="J88" s="359"/>
      <c r="K88" s="359"/>
      <c r="L88" s="359"/>
      <c r="M88" s="359"/>
      <c r="N88" s="359"/>
      <c r="O88" s="360"/>
      <c r="P88" s="356" t="s">
        <v>40</v>
      </c>
      <c r="Q88" s="357"/>
      <c r="R88" s="357"/>
      <c r="S88" s="357"/>
      <c r="T88" s="357"/>
      <c r="U88" s="357"/>
      <c r="V88" s="358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5" t="s">
        <v>172</v>
      </c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65"/>
      <c r="AB89" s="65"/>
      <c r="AC89" s="82"/>
    </row>
    <row r="90" spans="1:68" ht="14.25" customHeight="1" x14ac:dyDescent="0.25">
      <c r="A90" s="346" t="s">
        <v>173</v>
      </c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7">
        <v>4607111034120</v>
      </c>
      <c r="E91" s="347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9"/>
      <c r="R91" s="349"/>
      <c r="S91" s="349"/>
      <c r="T91" s="350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7">
        <v>4607111034137</v>
      </c>
      <c r="E92" s="347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88</v>
      </c>
      <c r="M92" s="38" t="s">
        <v>86</v>
      </c>
      <c r="N92" s="38"/>
      <c r="O92" s="37">
        <v>180</v>
      </c>
      <c r="P92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9"/>
      <c r="R92" s="349"/>
      <c r="S92" s="349"/>
      <c r="T92" s="350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89</v>
      </c>
      <c r="AK92" s="87">
        <v>1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9"/>
      <c r="B93" s="359"/>
      <c r="C93" s="359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60"/>
      <c r="P93" s="356" t="s">
        <v>40</v>
      </c>
      <c r="Q93" s="357"/>
      <c r="R93" s="357"/>
      <c r="S93" s="357"/>
      <c r="T93" s="357"/>
      <c r="U93" s="357"/>
      <c r="V93" s="358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9"/>
      <c r="B94" s="359"/>
      <c r="C94" s="359"/>
      <c r="D94" s="359"/>
      <c r="E94" s="359"/>
      <c r="F94" s="359"/>
      <c r="G94" s="359"/>
      <c r="H94" s="359"/>
      <c r="I94" s="359"/>
      <c r="J94" s="359"/>
      <c r="K94" s="359"/>
      <c r="L94" s="359"/>
      <c r="M94" s="359"/>
      <c r="N94" s="359"/>
      <c r="O94" s="360"/>
      <c r="P94" s="356" t="s">
        <v>40</v>
      </c>
      <c r="Q94" s="357"/>
      <c r="R94" s="357"/>
      <c r="S94" s="357"/>
      <c r="T94" s="357"/>
      <c r="U94" s="357"/>
      <c r="V94" s="358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5" t="s">
        <v>180</v>
      </c>
      <c r="B95" s="345"/>
      <c r="C95" s="345"/>
      <c r="D95" s="345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65"/>
      <c r="AB95" s="65"/>
      <c r="AC95" s="82"/>
    </row>
    <row r="96" spans="1:68" ht="14.25" customHeight="1" x14ac:dyDescent="0.25">
      <c r="A96" s="346" t="s">
        <v>151</v>
      </c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7">
        <v>4620207491027</v>
      </c>
      <c r="E97" s="34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88</v>
      </c>
      <c r="M97" s="38" t="s">
        <v>86</v>
      </c>
      <c r="N97" s="38"/>
      <c r="O97" s="37">
        <v>180</v>
      </c>
      <c r="P97" s="38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9"/>
      <c r="R97" s="349"/>
      <c r="S97" s="349"/>
      <c r="T97" s="350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89</v>
      </c>
      <c r="AK97" s="87">
        <v>1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7">
        <v>4620207491003</v>
      </c>
      <c r="E98" s="347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88</v>
      </c>
      <c r="M98" s="38" t="s">
        <v>86</v>
      </c>
      <c r="N98" s="38"/>
      <c r="O98" s="37">
        <v>180</v>
      </c>
      <c r="P98" s="38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9"/>
      <c r="R98" s="349"/>
      <c r="S98" s="349"/>
      <c r="T98" s="350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89</v>
      </c>
      <c r="AK98" s="87">
        <v>1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7">
        <v>4620207491034</v>
      </c>
      <c r="E99" s="34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9"/>
      <c r="R99" s="349"/>
      <c r="S99" s="349"/>
      <c r="T99" s="350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7">
        <v>4620207491010</v>
      </c>
      <c r="E100" s="34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88</v>
      </c>
      <c r="M100" s="38" t="s">
        <v>86</v>
      </c>
      <c r="N100" s="38"/>
      <c r="O100" s="37">
        <v>180</v>
      </c>
      <c r="P100" s="38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9"/>
      <c r="R100" s="349"/>
      <c r="S100" s="349"/>
      <c r="T100" s="350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89</v>
      </c>
      <c r="AK100" s="87">
        <v>1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7">
        <v>4607111035028</v>
      </c>
      <c r="E101" s="347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8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9"/>
      <c r="R101" s="349"/>
      <c r="S101" s="349"/>
      <c r="T101" s="350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7">
        <v>4607111036407</v>
      </c>
      <c r="E102" s="347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9"/>
      <c r="R102" s="349"/>
      <c r="S102" s="349"/>
      <c r="T102" s="350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9"/>
      <c r="B103" s="359"/>
      <c r="C103" s="359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60"/>
      <c r="P103" s="356" t="s">
        <v>40</v>
      </c>
      <c r="Q103" s="357"/>
      <c r="R103" s="357"/>
      <c r="S103" s="357"/>
      <c r="T103" s="357"/>
      <c r="U103" s="357"/>
      <c r="V103" s="358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9"/>
      <c r="B104" s="359"/>
      <c r="C104" s="359"/>
      <c r="D104" s="359"/>
      <c r="E104" s="359"/>
      <c r="F104" s="359"/>
      <c r="G104" s="359"/>
      <c r="H104" s="359"/>
      <c r="I104" s="359"/>
      <c r="J104" s="359"/>
      <c r="K104" s="359"/>
      <c r="L104" s="359"/>
      <c r="M104" s="359"/>
      <c r="N104" s="359"/>
      <c r="O104" s="360"/>
      <c r="P104" s="356" t="s">
        <v>40</v>
      </c>
      <c r="Q104" s="357"/>
      <c r="R104" s="357"/>
      <c r="S104" s="357"/>
      <c r="T104" s="357"/>
      <c r="U104" s="357"/>
      <c r="V104" s="358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5" t="s">
        <v>195</v>
      </c>
      <c r="B105" s="345"/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65"/>
      <c r="AB105" s="65"/>
      <c r="AC105" s="82"/>
    </row>
    <row r="106" spans="1:68" ht="14.25" customHeight="1" x14ac:dyDescent="0.25">
      <c r="A106" s="346" t="s">
        <v>145</v>
      </c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7">
        <v>4607025784012</v>
      </c>
      <c r="E107" s="347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9"/>
      <c r="R107" s="349"/>
      <c r="S107" s="349"/>
      <c r="T107" s="350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7">
        <v>4607025784319</v>
      </c>
      <c r="E108" s="347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9"/>
      <c r="R108" s="349"/>
      <c r="S108" s="349"/>
      <c r="T108" s="350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9"/>
      <c r="B109" s="359"/>
      <c r="C109" s="359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60"/>
      <c r="P109" s="356" t="s">
        <v>40</v>
      </c>
      <c r="Q109" s="357"/>
      <c r="R109" s="357"/>
      <c r="S109" s="357"/>
      <c r="T109" s="357"/>
      <c r="U109" s="357"/>
      <c r="V109" s="358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9"/>
      <c r="B110" s="359"/>
      <c r="C110" s="359"/>
      <c r="D110" s="359"/>
      <c r="E110" s="359"/>
      <c r="F110" s="359"/>
      <c r="G110" s="359"/>
      <c r="H110" s="359"/>
      <c r="I110" s="359"/>
      <c r="J110" s="359"/>
      <c r="K110" s="359"/>
      <c r="L110" s="359"/>
      <c r="M110" s="359"/>
      <c r="N110" s="359"/>
      <c r="O110" s="360"/>
      <c r="P110" s="356" t="s">
        <v>40</v>
      </c>
      <c r="Q110" s="357"/>
      <c r="R110" s="357"/>
      <c r="S110" s="357"/>
      <c r="T110" s="357"/>
      <c r="U110" s="357"/>
      <c r="V110" s="358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5" t="s">
        <v>201</v>
      </c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65"/>
      <c r="AB111" s="65"/>
      <c r="AC111" s="82"/>
    </row>
    <row r="112" spans="1:68" ht="14.25" customHeight="1" x14ac:dyDescent="0.25">
      <c r="A112" s="346" t="s">
        <v>82</v>
      </c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7">
        <v>4620207491157</v>
      </c>
      <c r="E113" s="347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9"/>
      <c r="R113" s="349"/>
      <c r="S113" s="349"/>
      <c r="T113" s="35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89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7">
        <v>4620207491393</v>
      </c>
      <c r="E114" s="347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9"/>
      <c r="R114" s="349"/>
      <c r="S114" s="349"/>
      <c r="T114" s="350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7">
        <v>4607111039262</v>
      </c>
      <c r="E115" s="347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9"/>
      <c r="R115" s="349"/>
      <c r="S115" s="349"/>
      <c r="T115" s="35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7">
        <v>4607111039248</v>
      </c>
      <c r="E116" s="347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166</v>
      </c>
      <c r="M116" s="38" t="s">
        <v>86</v>
      </c>
      <c r="N116" s="38"/>
      <c r="O116" s="37">
        <v>180</v>
      </c>
      <c r="P116" s="3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9"/>
      <c r="R116" s="349"/>
      <c r="S116" s="349"/>
      <c r="T116" s="35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167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7">
        <v>4607111037145</v>
      </c>
      <c r="E117" s="347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9"/>
      <c r="R117" s="349"/>
      <c r="S117" s="349"/>
      <c r="T117" s="35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7">
        <v>4607111039293</v>
      </c>
      <c r="E118" s="347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9"/>
      <c r="R118" s="349"/>
      <c r="S118" s="349"/>
      <c r="T118" s="350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7">
        <v>4607111039279</v>
      </c>
      <c r="E119" s="347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9"/>
      <c r="R119" s="349"/>
      <c r="S119" s="349"/>
      <c r="T119" s="35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47">
        <v>4620207491102</v>
      </c>
      <c r="E120" s="347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9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49"/>
      <c r="R120" s="349"/>
      <c r="S120" s="349"/>
      <c r="T120" s="350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59"/>
      <c r="B121" s="359"/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60"/>
      <c r="P121" s="356" t="s">
        <v>40</v>
      </c>
      <c r="Q121" s="357"/>
      <c r="R121" s="357"/>
      <c r="S121" s="357"/>
      <c r="T121" s="357"/>
      <c r="U121" s="357"/>
      <c r="V121" s="358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59"/>
      <c r="B122" s="359"/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60"/>
      <c r="P122" s="356" t="s">
        <v>40</v>
      </c>
      <c r="Q122" s="357"/>
      <c r="R122" s="357"/>
      <c r="S122" s="357"/>
      <c r="T122" s="357"/>
      <c r="U122" s="357"/>
      <c r="V122" s="358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6" t="s">
        <v>151</v>
      </c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47">
        <v>4620207490983</v>
      </c>
      <c r="E124" s="347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9"/>
      <c r="R124" s="349"/>
      <c r="S124" s="349"/>
      <c r="T124" s="350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9"/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60"/>
      <c r="P125" s="356" t="s">
        <v>40</v>
      </c>
      <c r="Q125" s="357"/>
      <c r="R125" s="357"/>
      <c r="S125" s="357"/>
      <c r="T125" s="357"/>
      <c r="U125" s="357"/>
      <c r="V125" s="358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59"/>
      <c r="B126" s="359"/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60"/>
      <c r="P126" s="356" t="s">
        <v>40</v>
      </c>
      <c r="Q126" s="357"/>
      <c r="R126" s="357"/>
      <c r="S126" s="357"/>
      <c r="T126" s="357"/>
      <c r="U126" s="357"/>
      <c r="V126" s="358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6" t="s">
        <v>225</v>
      </c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47">
        <v>4620207491140</v>
      </c>
      <c r="E128" s="347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9"/>
      <c r="R128" s="349"/>
      <c r="S128" s="349"/>
      <c r="T128" s="350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9"/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60"/>
      <c r="P129" s="356" t="s">
        <v>40</v>
      </c>
      <c r="Q129" s="357"/>
      <c r="R129" s="357"/>
      <c r="S129" s="357"/>
      <c r="T129" s="357"/>
      <c r="U129" s="357"/>
      <c r="V129" s="358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9"/>
      <c r="B130" s="359"/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60"/>
      <c r="P130" s="356" t="s">
        <v>40</v>
      </c>
      <c r="Q130" s="357"/>
      <c r="R130" s="357"/>
      <c r="S130" s="357"/>
      <c r="T130" s="357"/>
      <c r="U130" s="357"/>
      <c r="V130" s="358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5" t="s">
        <v>229</v>
      </c>
      <c r="B131" s="345"/>
      <c r="C131" s="345"/>
      <c r="D131" s="345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  <c r="Z131" s="345"/>
      <c r="AA131" s="65"/>
      <c r="AB131" s="65"/>
      <c r="AC131" s="82"/>
    </row>
    <row r="132" spans="1:68" ht="14.25" customHeight="1" x14ac:dyDescent="0.25">
      <c r="A132" s="346" t="s">
        <v>151</v>
      </c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47">
        <v>4607111034014</v>
      </c>
      <c r="E133" s="347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9"/>
      <c r="R133" s="349"/>
      <c r="S133" s="349"/>
      <c r="T133" s="350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47">
        <v>4607111033994</v>
      </c>
      <c r="E134" s="347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9"/>
      <c r="R134" s="349"/>
      <c r="S134" s="349"/>
      <c r="T134" s="35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114</v>
      </c>
      <c r="AK134" s="87">
        <v>14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9"/>
      <c r="B135" s="359"/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60"/>
      <c r="P135" s="356" t="s">
        <v>40</v>
      </c>
      <c r="Q135" s="357"/>
      <c r="R135" s="357"/>
      <c r="S135" s="357"/>
      <c r="T135" s="357"/>
      <c r="U135" s="357"/>
      <c r="V135" s="358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9"/>
      <c r="B136" s="359"/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60"/>
      <c r="P136" s="356" t="s">
        <v>40</v>
      </c>
      <c r="Q136" s="357"/>
      <c r="R136" s="357"/>
      <c r="S136" s="357"/>
      <c r="T136" s="357"/>
      <c r="U136" s="357"/>
      <c r="V136" s="358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5" t="s">
        <v>235</v>
      </c>
      <c r="B137" s="345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  <c r="Z137" s="345"/>
      <c r="AA137" s="65"/>
      <c r="AB137" s="65"/>
      <c r="AC137" s="82"/>
    </row>
    <row r="138" spans="1:68" ht="14.25" customHeight="1" x14ac:dyDescent="0.25">
      <c r="A138" s="346" t="s">
        <v>151</v>
      </c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7">
        <v>4607111039095</v>
      </c>
      <c r="E139" s="347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9"/>
      <c r="R139" s="349"/>
      <c r="S139" s="349"/>
      <c r="T139" s="35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7">
        <v>4607111034199</v>
      </c>
      <c r="E140" s="34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166</v>
      </c>
      <c r="M140" s="38" t="s">
        <v>86</v>
      </c>
      <c r="N140" s="38"/>
      <c r="O140" s="37">
        <v>180</v>
      </c>
      <c r="P140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9"/>
      <c r="R140" s="349"/>
      <c r="S140" s="349"/>
      <c r="T140" s="350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167</v>
      </c>
      <c r="AK140" s="87">
        <v>70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9"/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60"/>
      <c r="P141" s="356" t="s">
        <v>40</v>
      </c>
      <c r="Q141" s="357"/>
      <c r="R141" s="357"/>
      <c r="S141" s="357"/>
      <c r="T141" s="357"/>
      <c r="U141" s="357"/>
      <c r="V141" s="358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9"/>
      <c r="B142" s="359"/>
      <c r="C142" s="359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60"/>
      <c r="P142" s="356" t="s">
        <v>40</v>
      </c>
      <c r="Q142" s="357"/>
      <c r="R142" s="357"/>
      <c r="S142" s="357"/>
      <c r="T142" s="357"/>
      <c r="U142" s="357"/>
      <c r="V142" s="358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5" t="s">
        <v>242</v>
      </c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  <c r="Z143" s="345"/>
      <c r="AA143" s="65"/>
      <c r="AB143" s="65"/>
      <c r="AC143" s="82"/>
    </row>
    <row r="144" spans="1:68" ht="14.25" customHeight="1" x14ac:dyDescent="0.25">
      <c r="A144" s="346" t="s">
        <v>151</v>
      </c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7">
        <v>4620207490914</v>
      </c>
      <c r="E145" s="347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9"/>
      <c r="R145" s="349"/>
      <c r="S145" s="349"/>
      <c r="T145" s="350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7">
        <v>4620207490853</v>
      </c>
      <c r="E146" s="347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9"/>
      <c r="R146" s="349"/>
      <c r="S146" s="349"/>
      <c r="T146" s="35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9"/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60"/>
      <c r="P147" s="356" t="s">
        <v>40</v>
      </c>
      <c r="Q147" s="357"/>
      <c r="R147" s="357"/>
      <c r="S147" s="357"/>
      <c r="T147" s="357"/>
      <c r="U147" s="357"/>
      <c r="V147" s="358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9"/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60"/>
      <c r="P148" s="356" t="s">
        <v>40</v>
      </c>
      <c r="Q148" s="357"/>
      <c r="R148" s="357"/>
      <c r="S148" s="357"/>
      <c r="T148" s="357"/>
      <c r="U148" s="357"/>
      <c r="V148" s="358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5" t="s">
        <v>247</v>
      </c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  <c r="Z149" s="345"/>
      <c r="AA149" s="65"/>
      <c r="AB149" s="65"/>
      <c r="AC149" s="82"/>
    </row>
    <row r="150" spans="1:68" ht="14.25" customHeight="1" x14ac:dyDescent="0.25">
      <c r="A150" s="346" t="s">
        <v>151</v>
      </c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7">
        <v>4607111035806</v>
      </c>
      <c r="E151" s="347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88</v>
      </c>
      <c r="M151" s="38" t="s">
        <v>86</v>
      </c>
      <c r="N151" s="38"/>
      <c r="O151" s="37">
        <v>180</v>
      </c>
      <c r="P151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9"/>
      <c r="R151" s="349"/>
      <c r="S151" s="349"/>
      <c r="T151" s="350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89</v>
      </c>
      <c r="AK151" s="87">
        <v>1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9"/>
      <c r="B152" s="359"/>
      <c r="C152" s="359"/>
      <c r="D152" s="359"/>
      <c r="E152" s="359"/>
      <c r="F152" s="359"/>
      <c r="G152" s="359"/>
      <c r="H152" s="359"/>
      <c r="I152" s="359"/>
      <c r="J152" s="359"/>
      <c r="K152" s="359"/>
      <c r="L152" s="359"/>
      <c r="M152" s="359"/>
      <c r="N152" s="359"/>
      <c r="O152" s="360"/>
      <c r="P152" s="356" t="s">
        <v>40</v>
      </c>
      <c r="Q152" s="357"/>
      <c r="R152" s="357"/>
      <c r="S152" s="357"/>
      <c r="T152" s="357"/>
      <c r="U152" s="357"/>
      <c r="V152" s="358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9"/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60"/>
      <c r="P153" s="356" t="s">
        <v>40</v>
      </c>
      <c r="Q153" s="357"/>
      <c r="R153" s="357"/>
      <c r="S153" s="357"/>
      <c r="T153" s="357"/>
      <c r="U153" s="357"/>
      <c r="V153" s="358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5" t="s">
        <v>251</v>
      </c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  <c r="Z154" s="345"/>
      <c r="AA154" s="65"/>
      <c r="AB154" s="65"/>
      <c r="AC154" s="82"/>
    </row>
    <row r="155" spans="1:68" ht="14.25" customHeight="1" x14ac:dyDescent="0.25">
      <c r="A155" s="346" t="s">
        <v>151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7">
        <v>4607111039613</v>
      </c>
      <c r="E156" s="347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88</v>
      </c>
      <c r="M156" s="38" t="s">
        <v>86</v>
      </c>
      <c r="N156" s="38"/>
      <c r="O156" s="37">
        <v>180</v>
      </c>
      <c r="P156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9"/>
      <c r="R156" s="349"/>
      <c r="S156" s="349"/>
      <c r="T156" s="350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89</v>
      </c>
      <c r="AK156" s="87">
        <v>1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9"/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60"/>
      <c r="P157" s="356" t="s">
        <v>40</v>
      </c>
      <c r="Q157" s="357"/>
      <c r="R157" s="357"/>
      <c r="S157" s="357"/>
      <c r="T157" s="357"/>
      <c r="U157" s="357"/>
      <c r="V157" s="358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9"/>
      <c r="B158" s="359"/>
      <c r="C158" s="359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60"/>
      <c r="P158" s="356" t="s">
        <v>40</v>
      </c>
      <c r="Q158" s="357"/>
      <c r="R158" s="357"/>
      <c r="S158" s="357"/>
      <c r="T158" s="357"/>
      <c r="U158" s="357"/>
      <c r="V158" s="358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5" t="s">
        <v>254</v>
      </c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65"/>
      <c r="AB159" s="65"/>
      <c r="AC159" s="82"/>
    </row>
    <row r="160" spans="1:68" ht="14.25" customHeight="1" x14ac:dyDescent="0.25">
      <c r="A160" s="346" t="s">
        <v>225</v>
      </c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7">
        <v>4607111035646</v>
      </c>
      <c r="E161" s="347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9"/>
      <c r="R161" s="349"/>
      <c r="S161" s="349"/>
      <c r="T161" s="350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9"/>
      <c r="B162" s="359"/>
      <c r="C162" s="359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60"/>
      <c r="P162" s="356" t="s">
        <v>40</v>
      </c>
      <c r="Q162" s="357"/>
      <c r="R162" s="357"/>
      <c r="S162" s="357"/>
      <c r="T162" s="357"/>
      <c r="U162" s="357"/>
      <c r="V162" s="358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9"/>
      <c r="B163" s="359"/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60"/>
      <c r="P163" s="356" t="s">
        <v>40</v>
      </c>
      <c r="Q163" s="357"/>
      <c r="R163" s="357"/>
      <c r="S163" s="357"/>
      <c r="T163" s="357"/>
      <c r="U163" s="357"/>
      <c r="V163" s="358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5" t="s">
        <v>259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65"/>
      <c r="AB164" s="65"/>
      <c r="AC164" s="82"/>
    </row>
    <row r="165" spans="1:68" ht="14.25" customHeight="1" x14ac:dyDescent="0.25">
      <c r="A165" s="346" t="s">
        <v>151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7">
        <v>4607111036568</v>
      </c>
      <c r="E166" s="347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88</v>
      </c>
      <c r="M166" s="38" t="s">
        <v>86</v>
      </c>
      <c r="N166" s="38"/>
      <c r="O166" s="37">
        <v>180</v>
      </c>
      <c r="P166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9"/>
      <c r="R166" s="349"/>
      <c r="S166" s="349"/>
      <c r="T166" s="350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89</v>
      </c>
      <c r="AK166" s="87">
        <v>1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9"/>
      <c r="B167" s="359"/>
      <c r="C167" s="359"/>
      <c r="D167" s="359"/>
      <c r="E167" s="359"/>
      <c r="F167" s="359"/>
      <c r="G167" s="359"/>
      <c r="H167" s="359"/>
      <c r="I167" s="359"/>
      <c r="J167" s="359"/>
      <c r="K167" s="359"/>
      <c r="L167" s="359"/>
      <c r="M167" s="359"/>
      <c r="N167" s="359"/>
      <c r="O167" s="360"/>
      <c r="P167" s="356" t="s">
        <v>40</v>
      </c>
      <c r="Q167" s="357"/>
      <c r="R167" s="357"/>
      <c r="S167" s="357"/>
      <c r="T167" s="357"/>
      <c r="U167" s="357"/>
      <c r="V167" s="358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9"/>
      <c r="B168" s="359"/>
      <c r="C168" s="359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60"/>
      <c r="P168" s="356" t="s">
        <v>40</v>
      </c>
      <c r="Q168" s="357"/>
      <c r="R168" s="357"/>
      <c r="S168" s="357"/>
      <c r="T168" s="357"/>
      <c r="U168" s="357"/>
      <c r="V168" s="358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4" t="s">
        <v>263</v>
      </c>
      <c r="B169" s="344"/>
      <c r="C169" s="34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54"/>
      <c r="AB169" s="54"/>
      <c r="AC169" s="54"/>
    </row>
    <row r="170" spans="1:68" ht="16.5" customHeight="1" x14ac:dyDescent="0.25">
      <c r="A170" s="345" t="s">
        <v>264</v>
      </c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65"/>
      <c r="AB170" s="65"/>
      <c r="AC170" s="82"/>
    </row>
    <row r="171" spans="1:68" ht="14.25" customHeight="1" x14ac:dyDescent="0.25">
      <c r="A171" s="346" t="s">
        <v>82</v>
      </c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7">
        <v>4607111036384</v>
      </c>
      <c r="E172" s="347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9"/>
      <c r="R172" s="349"/>
      <c r="S172" s="349"/>
      <c r="T172" s="350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7">
        <v>4607111036216</v>
      </c>
      <c r="E173" s="347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9"/>
      <c r="R173" s="349"/>
      <c r="S173" s="349"/>
      <c r="T173" s="350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9"/>
      <c r="B174" s="359"/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60"/>
      <c r="P174" s="356" t="s">
        <v>40</v>
      </c>
      <c r="Q174" s="357"/>
      <c r="R174" s="357"/>
      <c r="S174" s="357"/>
      <c r="T174" s="357"/>
      <c r="U174" s="357"/>
      <c r="V174" s="358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9"/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60"/>
      <c r="P175" s="356" t="s">
        <v>40</v>
      </c>
      <c r="Q175" s="357"/>
      <c r="R175" s="357"/>
      <c r="S175" s="357"/>
      <c r="T175" s="357"/>
      <c r="U175" s="357"/>
      <c r="V175" s="358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4" t="s">
        <v>271</v>
      </c>
      <c r="B176" s="344"/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54"/>
      <c r="AB176" s="54"/>
      <c r="AC176" s="54"/>
    </row>
    <row r="177" spans="1:68" ht="16.5" customHeight="1" x14ac:dyDescent="0.25">
      <c r="A177" s="345" t="s">
        <v>272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65"/>
      <c r="AB177" s="65"/>
      <c r="AC177" s="82"/>
    </row>
    <row r="178" spans="1:68" ht="14.25" customHeight="1" x14ac:dyDescent="0.25">
      <c r="A178" s="346" t="s">
        <v>107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7">
        <v>4607111035691</v>
      </c>
      <c r="E179" s="347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88</v>
      </c>
      <c r="M179" s="38" t="s">
        <v>86</v>
      </c>
      <c r="N179" s="38"/>
      <c r="O179" s="37">
        <v>365</v>
      </c>
      <c r="P179" s="41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9"/>
      <c r="R179" s="349"/>
      <c r="S179" s="349"/>
      <c r="T179" s="350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89</v>
      </c>
      <c r="AK179" s="87">
        <v>1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7">
        <v>4607111035721</v>
      </c>
      <c r="E180" s="347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88</v>
      </c>
      <c r="M180" s="38" t="s">
        <v>86</v>
      </c>
      <c r="N180" s="38"/>
      <c r="O180" s="37">
        <v>365</v>
      </c>
      <c r="P180" s="41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9"/>
      <c r="R180" s="349"/>
      <c r="S180" s="349"/>
      <c r="T180" s="35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89</v>
      </c>
      <c r="AK180" s="87">
        <v>1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7">
        <v>4607111038487</v>
      </c>
      <c r="E181" s="347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9"/>
      <c r="R181" s="349"/>
      <c r="S181" s="349"/>
      <c r="T181" s="35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4301132243</v>
      </c>
      <c r="D182" s="347">
        <v>4620207491195</v>
      </c>
      <c r="E182" s="347"/>
      <c r="F182" s="62">
        <v>0.23</v>
      </c>
      <c r="G182" s="37">
        <v>12</v>
      </c>
      <c r="H182" s="62">
        <v>2.76</v>
      </c>
      <c r="I182" s="62">
        <v>3.1480000000000001</v>
      </c>
      <c r="J182" s="37">
        <v>70</v>
      </c>
      <c r="K182" s="37" t="s">
        <v>112</v>
      </c>
      <c r="L182" s="37" t="s">
        <v>88</v>
      </c>
      <c r="M182" s="38" t="s">
        <v>86</v>
      </c>
      <c r="N182" s="38"/>
      <c r="O182" s="37">
        <v>180</v>
      </c>
      <c r="P182" s="41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349"/>
      <c r="R182" s="349"/>
      <c r="S182" s="349"/>
      <c r="T182" s="350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89</v>
      </c>
      <c r="AK182" s="87">
        <v>1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59"/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60"/>
      <c r="P183" s="356" t="s">
        <v>40</v>
      </c>
      <c r="Q183" s="357"/>
      <c r="R183" s="357"/>
      <c r="S183" s="357"/>
      <c r="T183" s="357"/>
      <c r="U183" s="357"/>
      <c r="V183" s="358"/>
      <c r="W183" s="42" t="s">
        <v>39</v>
      </c>
      <c r="X183" s="43">
        <f>IFERROR(SUM(X179:X182),"0")</f>
        <v>0</v>
      </c>
      <c r="Y183" s="43">
        <f>IFERROR(SUM(Y179:Y182),"0")</f>
        <v>0</v>
      </c>
      <c r="Z183" s="43">
        <f>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59"/>
      <c r="B184" s="359"/>
      <c r="C184" s="359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60"/>
      <c r="P184" s="356" t="s">
        <v>40</v>
      </c>
      <c r="Q184" s="357"/>
      <c r="R184" s="357"/>
      <c r="S184" s="357"/>
      <c r="T184" s="357"/>
      <c r="U184" s="357"/>
      <c r="V184" s="358"/>
      <c r="W184" s="42" t="s">
        <v>0</v>
      </c>
      <c r="X184" s="43">
        <f>IFERROR(SUMPRODUCT(X179:X182*H179:H182),"0")</f>
        <v>0</v>
      </c>
      <c r="Y184" s="43">
        <f>IFERROR(SUMPRODUCT(Y179:Y182*H179:H182),"0")</f>
        <v>0</v>
      </c>
      <c r="Z184" s="42"/>
      <c r="AA184" s="67"/>
      <c r="AB184" s="67"/>
      <c r="AC184" s="67"/>
    </row>
    <row r="185" spans="1:68" ht="14.25" customHeight="1" x14ac:dyDescent="0.25">
      <c r="A185" s="346" t="s">
        <v>285</v>
      </c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47">
        <v>4680115885875</v>
      </c>
      <c r="E186" s="347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418" t="s">
        <v>288</v>
      </c>
      <c r="Q186" s="349"/>
      <c r="R186" s="349"/>
      <c r="S186" s="349"/>
      <c r="T186" s="35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9"/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60"/>
      <c r="P187" s="356" t="s">
        <v>40</v>
      </c>
      <c r="Q187" s="357"/>
      <c r="R187" s="357"/>
      <c r="S187" s="357"/>
      <c r="T187" s="357"/>
      <c r="U187" s="357"/>
      <c r="V187" s="358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59"/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60"/>
      <c r="P188" s="356" t="s">
        <v>40</v>
      </c>
      <c r="Q188" s="357"/>
      <c r="R188" s="357"/>
      <c r="S188" s="357"/>
      <c r="T188" s="357"/>
      <c r="U188" s="357"/>
      <c r="V188" s="358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4" t="s">
        <v>293</v>
      </c>
      <c r="B189" s="344"/>
      <c r="C189" s="34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54"/>
      <c r="AB189" s="54"/>
      <c r="AC189" s="54"/>
    </row>
    <row r="190" spans="1:68" ht="16.5" customHeight="1" x14ac:dyDescent="0.25">
      <c r="A190" s="345" t="s">
        <v>294</v>
      </c>
      <c r="B190" s="345"/>
      <c r="C190" s="345"/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65"/>
      <c r="AB190" s="65"/>
      <c r="AC190" s="82"/>
    </row>
    <row r="191" spans="1:68" ht="14.25" customHeight="1" x14ac:dyDescent="0.25">
      <c r="A191" s="346" t="s">
        <v>107</v>
      </c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47">
        <v>4620207491133</v>
      </c>
      <c r="E192" s="347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88</v>
      </c>
      <c r="M192" s="38" t="s">
        <v>86</v>
      </c>
      <c r="N192" s="38"/>
      <c r="O192" s="37">
        <v>180</v>
      </c>
      <c r="P192" s="41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49"/>
      <c r="R192" s="349"/>
      <c r="S192" s="349"/>
      <c r="T192" s="350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89</v>
      </c>
      <c r="AK192" s="87">
        <v>1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59"/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60"/>
      <c r="P193" s="356" t="s">
        <v>40</v>
      </c>
      <c r="Q193" s="357"/>
      <c r="R193" s="357"/>
      <c r="S193" s="357"/>
      <c r="T193" s="357"/>
      <c r="U193" s="357"/>
      <c r="V193" s="358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59"/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60"/>
      <c r="P194" s="356" t="s">
        <v>40</v>
      </c>
      <c r="Q194" s="357"/>
      <c r="R194" s="357"/>
      <c r="S194" s="357"/>
      <c r="T194" s="357"/>
      <c r="U194" s="357"/>
      <c r="V194" s="358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6" t="s">
        <v>151</v>
      </c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47">
        <v>4620207491188</v>
      </c>
      <c r="E196" s="347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49"/>
      <c r="R196" s="349"/>
      <c r="S196" s="349"/>
      <c r="T196" s="350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47">
        <v>4620207490198</v>
      </c>
      <c r="E197" s="347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49"/>
      <c r="R197" s="349"/>
      <c r="S197" s="349"/>
      <c r="T197" s="350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47">
        <v>4620207490235</v>
      </c>
      <c r="E198" s="347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49"/>
      <c r="R198" s="349"/>
      <c r="S198" s="349"/>
      <c r="T198" s="350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47">
        <v>4620207490259</v>
      </c>
      <c r="E199" s="347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49"/>
      <c r="R199" s="349"/>
      <c r="S199" s="349"/>
      <c r="T199" s="350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47">
        <v>4620207490143</v>
      </c>
      <c r="E200" s="347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49"/>
      <c r="R200" s="349"/>
      <c r="S200" s="349"/>
      <c r="T200" s="350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89</v>
      </c>
      <c r="AK200" s="87">
        <v>1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9"/>
      <c r="B201" s="359"/>
      <c r="C201" s="359"/>
      <c r="D201" s="359"/>
      <c r="E201" s="359"/>
      <c r="F201" s="359"/>
      <c r="G201" s="359"/>
      <c r="H201" s="359"/>
      <c r="I201" s="359"/>
      <c r="J201" s="359"/>
      <c r="K201" s="359"/>
      <c r="L201" s="359"/>
      <c r="M201" s="359"/>
      <c r="N201" s="359"/>
      <c r="O201" s="360"/>
      <c r="P201" s="356" t="s">
        <v>40</v>
      </c>
      <c r="Q201" s="357"/>
      <c r="R201" s="357"/>
      <c r="S201" s="357"/>
      <c r="T201" s="357"/>
      <c r="U201" s="357"/>
      <c r="V201" s="358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59"/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60"/>
      <c r="P202" s="356" t="s">
        <v>40</v>
      </c>
      <c r="Q202" s="357"/>
      <c r="R202" s="357"/>
      <c r="S202" s="357"/>
      <c r="T202" s="357"/>
      <c r="U202" s="357"/>
      <c r="V202" s="358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5" t="s">
        <v>312</v>
      </c>
      <c r="B203" s="345"/>
      <c r="C203" s="345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65"/>
      <c r="AB203" s="65"/>
      <c r="AC203" s="82"/>
    </row>
    <row r="204" spans="1:68" ht="14.25" customHeight="1" x14ac:dyDescent="0.25">
      <c r="A204" s="346" t="s">
        <v>82</v>
      </c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47">
        <v>4620207491096</v>
      </c>
      <c r="E205" s="347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49"/>
      <c r="R205" s="349"/>
      <c r="S205" s="349"/>
      <c r="T205" s="35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89</v>
      </c>
      <c r="AK205" s="87">
        <v>1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9"/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60"/>
      <c r="P206" s="356" t="s">
        <v>40</v>
      </c>
      <c r="Q206" s="357"/>
      <c r="R206" s="357"/>
      <c r="S206" s="357"/>
      <c r="T206" s="357"/>
      <c r="U206" s="357"/>
      <c r="V206" s="358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9"/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60"/>
      <c r="P207" s="356" t="s">
        <v>40</v>
      </c>
      <c r="Q207" s="357"/>
      <c r="R207" s="357"/>
      <c r="S207" s="357"/>
      <c r="T207" s="357"/>
      <c r="U207" s="357"/>
      <c r="V207" s="358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5" t="s">
        <v>316</v>
      </c>
      <c r="B208" s="345"/>
      <c r="C208" s="345"/>
      <c r="D208" s="345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  <c r="Z208" s="345"/>
      <c r="AA208" s="65"/>
      <c r="AB208" s="65"/>
      <c r="AC208" s="82"/>
    </row>
    <row r="209" spans="1:68" ht="14.25" customHeight="1" x14ac:dyDescent="0.25">
      <c r="A209" s="346" t="s">
        <v>151</v>
      </c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  <c r="Z209" s="346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4301135691</v>
      </c>
      <c r="D210" s="347">
        <v>4620207490549</v>
      </c>
      <c r="E210" s="347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88</v>
      </c>
      <c r="M210" s="38" t="s">
        <v>86</v>
      </c>
      <c r="N210" s="38"/>
      <c r="O210" s="37">
        <v>180</v>
      </c>
      <c r="P210" s="42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49"/>
      <c r="R210" s="349"/>
      <c r="S210" s="349"/>
      <c r="T210" s="350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89</v>
      </c>
      <c r="AK210" s="87">
        <v>1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320</v>
      </c>
      <c r="B211" s="63" t="s">
        <v>321</v>
      </c>
      <c r="C211" s="36">
        <v>4301135694</v>
      </c>
      <c r="D211" s="347">
        <v>4620207490501</v>
      </c>
      <c r="E211" s="347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49"/>
      <c r="R211" s="349"/>
      <c r="S211" s="349"/>
      <c r="T211" s="350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319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9"/>
      <c r="B212" s="359"/>
      <c r="C212" s="359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60"/>
      <c r="P212" s="356" t="s">
        <v>40</v>
      </c>
      <c r="Q212" s="357"/>
      <c r="R212" s="357"/>
      <c r="S212" s="357"/>
      <c r="T212" s="357"/>
      <c r="U212" s="357"/>
      <c r="V212" s="358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59"/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60"/>
      <c r="P213" s="356" t="s">
        <v>40</v>
      </c>
      <c r="Q213" s="357"/>
      <c r="R213" s="357"/>
      <c r="S213" s="357"/>
      <c r="T213" s="357"/>
      <c r="U213" s="357"/>
      <c r="V213" s="358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27.75" customHeight="1" x14ac:dyDescent="0.2">
      <c r="A214" s="344" t="s">
        <v>322</v>
      </c>
      <c r="B214" s="344"/>
      <c r="C214" s="344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54"/>
      <c r="AB214" s="54"/>
      <c r="AC214" s="54"/>
    </row>
    <row r="215" spans="1:68" ht="16.5" customHeight="1" x14ac:dyDescent="0.25">
      <c r="A215" s="345" t="s">
        <v>323</v>
      </c>
      <c r="B215" s="345"/>
      <c r="C215" s="345"/>
      <c r="D215" s="345"/>
      <c r="E215" s="345"/>
      <c r="F215" s="345"/>
      <c r="G215" s="345"/>
      <c r="H215" s="345"/>
      <c r="I215" s="345"/>
      <c r="J215" s="345"/>
      <c r="K215" s="345"/>
      <c r="L215" s="345"/>
      <c r="M215" s="345"/>
      <c r="N215" s="345"/>
      <c r="O215" s="345"/>
      <c r="P215" s="345"/>
      <c r="Q215" s="345"/>
      <c r="R215" s="345"/>
      <c r="S215" s="345"/>
      <c r="T215" s="345"/>
      <c r="U215" s="345"/>
      <c r="V215" s="345"/>
      <c r="W215" s="345"/>
      <c r="X215" s="345"/>
      <c r="Y215" s="345"/>
      <c r="Z215" s="345"/>
      <c r="AA215" s="65"/>
      <c r="AB215" s="65"/>
      <c r="AC215" s="82"/>
    </row>
    <row r="216" spans="1:68" ht="14.25" customHeight="1" x14ac:dyDescent="0.25">
      <c r="A216" s="346" t="s">
        <v>82</v>
      </c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4301071036</v>
      </c>
      <c r="D217" s="347">
        <v>4607111036162</v>
      </c>
      <c r="E217" s="347"/>
      <c r="F217" s="62">
        <v>0.8</v>
      </c>
      <c r="G217" s="37">
        <v>8</v>
      </c>
      <c r="H217" s="62">
        <v>6.4</v>
      </c>
      <c r="I217" s="62">
        <v>6.6811999999999996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90</v>
      </c>
      <c r="P217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349"/>
      <c r="R217" s="349"/>
      <c r="S217" s="349"/>
      <c r="T217" s="350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5" t="s">
        <v>326</v>
      </c>
      <c r="AG217" s="81"/>
      <c r="AJ217" s="87" t="s">
        <v>89</v>
      </c>
      <c r="AK217" s="87">
        <v>1</v>
      </c>
      <c r="BB217" s="236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9"/>
      <c r="B218" s="359"/>
      <c r="C218" s="359"/>
      <c r="D218" s="359"/>
      <c r="E218" s="359"/>
      <c r="F218" s="359"/>
      <c r="G218" s="359"/>
      <c r="H218" s="359"/>
      <c r="I218" s="359"/>
      <c r="J218" s="359"/>
      <c r="K218" s="359"/>
      <c r="L218" s="359"/>
      <c r="M218" s="359"/>
      <c r="N218" s="359"/>
      <c r="O218" s="360"/>
      <c r="P218" s="356" t="s">
        <v>40</v>
      </c>
      <c r="Q218" s="357"/>
      <c r="R218" s="357"/>
      <c r="S218" s="357"/>
      <c r="T218" s="357"/>
      <c r="U218" s="357"/>
      <c r="V218" s="358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59"/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60"/>
      <c r="P219" s="356" t="s">
        <v>40</v>
      </c>
      <c r="Q219" s="357"/>
      <c r="R219" s="357"/>
      <c r="S219" s="357"/>
      <c r="T219" s="357"/>
      <c r="U219" s="357"/>
      <c r="V219" s="358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27.75" customHeight="1" x14ac:dyDescent="0.2">
      <c r="A220" s="344" t="s">
        <v>327</v>
      </c>
      <c r="B220" s="344"/>
      <c r="C220" s="344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  <c r="AA220" s="54"/>
      <c r="AB220" s="54"/>
      <c r="AC220" s="54"/>
    </row>
    <row r="221" spans="1:68" ht="16.5" customHeight="1" x14ac:dyDescent="0.25">
      <c r="A221" s="345" t="s">
        <v>328</v>
      </c>
      <c r="B221" s="345"/>
      <c r="C221" s="345"/>
      <c r="D221" s="345"/>
      <c r="E221" s="345"/>
      <c r="F221" s="345"/>
      <c r="G221" s="345"/>
      <c r="H221" s="345"/>
      <c r="I221" s="345"/>
      <c r="J221" s="345"/>
      <c r="K221" s="345"/>
      <c r="L221" s="345"/>
      <c r="M221" s="345"/>
      <c r="N221" s="345"/>
      <c r="O221" s="345"/>
      <c r="P221" s="345"/>
      <c r="Q221" s="345"/>
      <c r="R221" s="345"/>
      <c r="S221" s="345"/>
      <c r="T221" s="345"/>
      <c r="U221" s="345"/>
      <c r="V221" s="345"/>
      <c r="W221" s="345"/>
      <c r="X221" s="345"/>
      <c r="Y221" s="345"/>
      <c r="Z221" s="345"/>
      <c r="AA221" s="65"/>
      <c r="AB221" s="65"/>
      <c r="AC221" s="82"/>
    </row>
    <row r="222" spans="1:68" ht="14.25" customHeight="1" x14ac:dyDescent="0.25">
      <c r="A222" s="346" t="s">
        <v>82</v>
      </c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  <c r="AA222" s="66"/>
      <c r="AB222" s="66"/>
      <c r="AC222" s="83"/>
    </row>
    <row r="223" spans="1:68" ht="27" customHeight="1" x14ac:dyDescent="0.25">
      <c r="A223" s="63" t="s">
        <v>329</v>
      </c>
      <c r="B223" s="63" t="s">
        <v>330</v>
      </c>
      <c r="C223" s="36">
        <v>4301071029</v>
      </c>
      <c r="D223" s="347">
        <v>4607111035899</v>
      </c>
      <c r="E223" s="347"/>
      <c r="F223" s="62">
        <v>1</v>
      </c>
      <c r="G223" s="37">
        <v>5</v>
      </c>
      <c r="H223" s="62">
        <v>5</v>
      </c>
      <c r="I223" s="62">
        <v>5.2619999999999996</v>
      </c>
      <c r="J223" s="37">
        <v>84</v>
      </c>
      <c r="K223" s="37" t="s">
        <v>87</v>
      </c>
      <c r="L223" s="37" t="s">
        <v>113</v>
      </c>
      <c r="M223" s="38" t="s">
        <v>86</v>
      </c>
      <c r="N223" s="38"/>
      <c r="O223" s="37">
        <v>180</v>
      </c>
      <c r="P223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349"/>
      <c r="R223" s="349"/>
      <c r="S223" s="349"/>
      <c r="T223" s="350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7" t="s">
        <v>270</v>
      </c>
      <c r="AG223" s="81"/>
      <c r="AJ223" s="87" t="s">
        <v>114</v>
      </c>
      <c r="AK223" s="87">
        <v>12</v>
      </c>
      <c r="BB223" s="238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9"/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60"/>
      <c r="P224" s="356" t="s">
        <v>40</v>
      </c>
      <c r="Q224" s="357"/>
      <c r="R224" s="357"/>
      <c r="S224" s="357"/>
      <c r="T224" s="357"/>
      <c r="U224" s="357"/>
      <c r="V224" s="358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9"/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60"/>
      <c r="P225" s="356" t="s">
        <v>40</v>
      </c>
      <c r="Q225" s="357"/>
      <c r="R225" s="357"/>
      <c r="S225" s="357"/>
      <c r="T225" s="357"/>
      <c r="U225" s="357"/>
      <c r="V225" s="358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4" t="s">
        <v>331</v>
      </c>
      <c r="B226" s="344"/>
      <c r="C226" s="344"/>
      <c r="D226" s="344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  <c r="AA226" s="54"/>
      <c r="AB226" s="54"/>
      <c r="AC226" s="54"/>
    </row>
    <row r="227" spans="1:68" ht="16.5" customHeight="1" x14ac:dyDescent="0.25">
      <c r="A227" s="345" t="s">
        <v>332</v>
      </c>
      <c r="B227" s="345"/>
      <c r="C227" s="345"/>
      <c r="D227" s="345"/>
      <c r="E227" s="345"/>
      <c r="F227" s="345"/>
      <c r="G227" s="345"/>
      <c r="H227" s="345"/>
      <c r="I227" s="345"/>
      <c r="J227" s="345"/>
      <c r="K227" s="345"/>
      <c r="L227" s="345"/>
      <c r="M227" s="345"/>
      <c r="N227" s="345"/>
      <c r="O227" s="345"/>
      <c r="P227" s="345"/>
      <c r="Q227" s="345"/>
      <c r="R227" s="345"/>
      <c r="S227" s="345"/>
      <c r="T227" s="345"/>
      <c r="U227" s="345"/>
      <c r="V227" s="345"/>
      <c r="W227" s="345"/>
      <c r="X227" s="345"/>
      <c r="Y227" s="345"/>
      <c r="Z227" s="345"/>
      <c r="AA227" s="65"/>
      <c r="AB227" s="65"/>
      <c r="AC227" s="82"/>
    </row>
    <row r="228" spans="1:68" ht="14.25" customHeight="1" x14ac:dyDescent="0.25">
      <c r="A228" s="346" t="s">
        <v>333</v>
      </c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  <c r="AA228" s="66"/>
      <c r="AB228" s="66"/>
      <c r="AC228" s="83"/>
    </row>
    <row r="229" spans="1:68" ht="27" customHeight="1" x14ac:dyDescent="0.25">
      <c r="A229" s="63" t="s">
        <v>334</v>
      </c>
      <c r="B229" s="63" t="s">
        <v>335</v>
      </c>
      <c r="C229" s="36">
        <v>4301133004</v>
      </c>
      <c r="D229" s="347">
        <v>4607111039774</v>
      </c>
      <c r="E229" s="347"/>
      <c r="F229" s="62">
        <v>0.25</v>
      </c>
      <c r="G229" s="37">
        <v>12</v>
      </c>
      <c r="H229" s="62">
        <v>3</v>
      </c>
      <c r="I229" s="62">
        <v>3.22</v>
      </c>
      <c r="J229" s="37">
        <v>70</v>
      </c>
      <c r="K229" s="37" t="s">
        <v>112</v>
      </c>
      <c r="L229" s="37" t="s">
        <v>88</v>
      </c>
      <c r="M229" s="38" t="s">
        <v>86</v>
      </c>
      <c r="N229" s="38"/>
      <c r="O229" s="37">
        <v>180</v>
      </c>
      <c r="P229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349"/>
      <c r="R229" s="349"/>
      <c r="S229" s="349"/>
      <c r="T229" s="350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39" t="s">
        <v>336</v>
      </c>
      <c r="AG229" s="81"/>
      <c r="AJ229" s="87" t="s">
        <v>89</v>
      </c>
      <c r="AK229" s="87">
        <v>1</v>
      </c>
      <c r="BB229" s="240" t="s">
        <v>111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9"/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60"/>
      <c r="P230" s="356" t="s">
        <v>40</v>
      </c>
      <c r="Q230" s="357"/>
      <c r="R230" s="357"/>
      <c r="S230" s="357"/>
      <c r="T230" s="357"/>
      <c r="U230" s="357"/>
      <c r="V230" s="358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9"/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60"/>
      <c r="P231" s="356" t="s">
        <v>40</v>
      </c>
      <c r="Q231" s="357"/>
      <c r="R231" s="357"/>
      <c r="S231" s="357"/>
      <c r="T231" s="357"/>
      <c r="U231" s="357"/>
      <c r="V231" s="358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14.25" customHeight="1" x14ac:dyDescent="0.25">
      <c r="A232" s="346" t="s">
        <v>151</v>
      </c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66"/>
      <c r="AB232" s="66"/>
      <c r="AC232" s="83"/>
    </row>
    <row r="233" spans="1:68" ht="37.5" customHeight="1" x14ac:dyDescent="0.25">
      <c r="A233" s="63" t="s">
        <v>337</v>
      </c>
      <c r="B233" s="63" t="s">
        <v>338</v>
      </c>
      <c r="C233" s="36">
        <v>4301135400</v>
      </c>
      <c r="D233" s="347">
        <v>4607111039361</v>
      </c>
      <c r="E233" s="347"/>
      <c r="F233" s="62">
        <v>0.25</v>
      </c>
      <c r="G233" s="37">
        <v>12</v>
      </c>
      <c r="H233" s="62">
        <v>3</v>
      </c>
      <c r="I233" s="62">
        <v>3.7035999999999998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349"/>
      <c r="R233" s="349"/>
      <c r="S233" s="349"/>
      <c r="T233" s="350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336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59"/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60"/>
      <c r="P234" s="356" t="s">
        <v>40</v>
      </c>
      <c r="Q234" s="357"/>
      <c r="R234" s="357"/>
      <c r="S234" s="357"/>
      <c r="T234" s="357"/>
      <c r="U234" s="357"/>
      <c r="V234" s="358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59"/>
      <c r="B235" s="359"/>
      <c r="C235" s="359"/>
      <c r="D235" s="359"/>
      <c r="E235" s="359"/>
      <c r="F235" s="359"/>
      <c r="G235" s="359"/>
      <c r="H235" s="359"/>
      <c r="I235" s="359"/>
      <c r="J235" s="359"/>
      <c r="K235" s="359"/>
      <c r="L235" s="359"/>
      <c r="M235" s="359"/>
      <c r="N235" s="359"/>
      <c r="O235" s="360"/>
      <c r="P235" s="356" t="s">
        <v>40</v>
      </c>
      <c r="Q235" s="357"/>
      <c r="R235" s="357"/>
      <c r="S235" s="357"/>
      <c r="T235" s="357"/>
      <c r="U235" s="357"/>
      <c r="V235" s="358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44" t="s">
        <v>339</v>
      </c>
      <c r="B236" s="344"/>
      <c r="C236" s="344"/>
      <c r="D236" s="344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  <c r="AA236" s="54"/>
      <c r="AB236" s="54"/>
      <c r="AC236" s="54"/>
    </row>
    <row r="237" spans="1:68" ht="16.5" customHeight="1" x14ac:dyDescent="0.25">
      <c r="A237" s="345" t="s">
        <v>339</v>
      </c>
      <c r="B237" s="345"/>
      <c r="C237" s="345"/>
      <c r="D237" s="345"/>
      <c r="E237" s="345"/>
      <c r="F237" s="345"/>
      <c r="G237" s="345"/>
      <c r="H237" s="345"/>
      <c r="I237" s="345"/>
      <c r="J237" s="345"/>
      <c r="K237" s="345"/>
      <c r="L237" s="345"/>
      <c r="M237" s="345"/>
      <c r="N237" s="345"/>
      <c r="O237" s="345"/>
      <c r="P237" s="345"/>
      <c r="Q237" s="345"/>
      <c r="R237" s="345"/>
      <c r="S237" s="345"/>
      <c r="T237" s="345"/>
      <c r="U237" s="345"/>
      <c r="V237" s="345"/>
      <c r="W237" s="345"/>
      <c r="X237" s="345"/>
      <c r="Y237" s="345"/>
      <c r="Z237" s="345"/>
      <c r="AA237" s="65"/>
      <c r="AB237" s="65"/>
      <c r="AC237" s="82"/>
    </row>
    <row r="238" spans="1:68" ht="14.25" customHeight="1" x14ac:dyDescent="0.25">
      <c r="A238" s="346" t="s">
        <v>82</v>
      </c>
      <c r="B238" s="346"/>
      <c r="C238" s="346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66"/>
      <c r="AB238" s="66"/>
      <c r="AC238" s="83"/>
    </row>
    <row r="239" spans="1:68" ht="27" customHeight="1" x14ac:dyDescent="0.25">
      <c r="A239" s="63" t="s">
        <v>340</v>
      </c>
      <c r="B239" s="63" t="s">
        <v>341</v>
      </c>
      <c r="C239" s="36">
        <v>4301071014</v>
      </c>
      <c r="D239" s="347">
        <v>4640242181264</v>
      </c>
      <c r="E239" s="347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349"/>
      <c r="R239" s="349"/>
      <c r="S239" s="349"/>
      <c r="T239" s="350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342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t="27" customHeight="1" x14ac:dyDescent="0.25">
      <c r="A240" s="63" t="s">
        <v>343</v>
      </c>
      <c r="B240" s="63" t="s">
        <v>344</v>
      </c>
      <c r="C240" s="36">
        <v>4301071021</v>
      </c>
      <c r="D240" s="347">
        <v>4640242181325</v>
      </c>
      <c r="E240" s="347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349"/>
      <c r="R240" s="349"/>
      <c r="S240" s="349"/>
      <c r="T240" s="350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342</v>
      </c>
      <c r="AG240" s="81"/>
      <c r="AJ240" s="87" t="s">
        <v>89</v>
      </c>
      <c r="AK240" s="87">
        <v>1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59"/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60"/>
      <c r="P241" s="356" t="s">
        <v>40</v>
      </c>
      <c r="Q241" s="357"/>
      <c r="R241" s="357"/>
      <c r="S241" s="357"/>
      <c r="T241" s="357"/>
      <c r="U241" s="357"/>
      <c r="V241" s="358"/>
      <c r="W241" s="42" t="s">
        <v>39</v>
      </c>
      <c r="X241" s="43">
        <f>IFERROR(SUM(X239:X240),"0")</f>
        <v>0</v>
      </c>
      <c r="Y241" s="43">
        <f>IFERROR(SUM(Y239:Y240),"0")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59"/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60"/>
      <c r="P242" s="356" t="s">
        <v>40</v>
      </c>
      <c r="Q242" s="357"/>
      <c r="R242" s="357"/>
      <c r="S242" s="357"/>
      <c r="T242" s="357"/>
      <c r="U242" s="357"/>
      <c r="V242" s="358"/>
      <c r="W242" s="42" t="s">
        <v>0</v>
      </c>
      <c r="X242" s="43">
        <f>IFERROR(SUMPRODUCT(X239:X240*H239:H240),"0")</f>
        <v>0</v>
      </c>
      <c r="Y242" s="43">
        <f>IFERROR(SUMPRODUCT(Y239:Y240*H239:H240),"0")</f>
        <v>0</v>
      </c>
      <c r="Z242" s="42"/>
      <c r="AA242" s="67"/>
      <c r="AB242" s="67"/>
      <c r="AC242" s="67"/>
    </row>
    <row r="243" spans="1:68" ht="14.25" customHeight="1" x14ac:dyDescent="0.25">
      <c r="A243" s="346" t="s">
        <v>107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4301132080</v>
      </c>
      <c r="D244" s="347">
        <v>4640242180397</v>
      </c>
      <c r="E244" s="347"/>
      <c r="F244" s="62">
        <v>1</v>
      </c>
      <c r="G244" s="37">
        <v>6</v>
      </c>
      <c r="H244" s="62">
        <v>6</v>
      </c>
      <c r="I244" s="62">
        <v>6.26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349"/>
      <c r="R244" s="349"/>
      <c r="S244" s="349"/>
      <c r="T244" s="350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347</v>
      </c>
      <c r="AG244" s="81"/>
      <c r="AJ244" s="87" t="s">
        <v>114</v>
      </c>
      <c r="AK244" s="87">
        <v>12</v>
      </c>
      <c r="BB244" s="248" t="s">
        <v>111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59"/>
      <c r="B245" s="359"/>
      <c r="C245" s="359"/>
      <c r="D245" s="359"/>
      <c r="E245" s="359"/>
      <c r="F245" s="359"/>
      <c r="G245" s="359"/>
      <c r="H245" s="359"/>
      <c r="I245" s="359"/>
      <c r="J245" s="359"/>
      <c r="K245" s="359"/>
      <c r="L245" s="359"/>
      <c r="M245" s="359"/>
      <c r="N245" s="359"/>
      <c r="O245" s="360"/>
      <c r="P245" s="356" t="s">
        <v>40</v>
      </c>
      <c r="Q245" s="357"/>
      <c r="R245" s="357"/>
      <c r="S245" s="357"/>
      <c r="T245" s="357"/>
      <c r="U245" s="357"/>
      <c r="V245" s="358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59"/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60"/>
      <c r="P246" s="356" t="s">
        <v>40</v>
      </c>
      <c r="Q246" s="357"/>
      <c r="R246" s="357"/>
      <c r="S246" s="357"/>
      <c r="T246" s="357"/>
      <c r="U246" s="357"/>
      <c r="V246" s="358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46" t="s">
        <v>145</v>
      </c>
      <c r="B247" s="346"/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4301136051</v>
      </c>
      <c r="D248" s="347">
        <v>4640242180304</v>
      </c>
      <c r="E248" s="347"/>
      <c r="F248" s="62">
        <v>2.7</v>
      </c>
      <c r="G248" s="37">
        <v>1</v>
      </c>
      <c r="H248" s="62">
        <v>2.7</v>
      </c>
      <c r="I248" s="62">
        <v>2.8906000000000001</v>
      </c>
      <c r="J248" s="37">
        <v>126</v>
      </c>
      <c r="K248" s="37" t="s">
        <v>112</v>
      </c>
      <c r="L248" s="37" t="s">
        <v>88</v>
      </c>
      <c r="M248" s="38" t="s">
        <v>86</v>
      </c>
      <c r="N248" s="38"/>
      <c r="O248" s="37">
        <v>180</v>
      </c>
      <c r="P248" s="43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349"/>
      <c r="R248" s="349"/>
      <c r="S248" s="349"/>
      <c r="T248" s="35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89</v>
      </c>
      <c r="AK248" s="87">
        <v>1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4301136053</v>
      </c>
      <c r="D249" s="347">
        <v>4640242180236</v>
      </c>
      <c r="E249" s="347"/>
      <c r="F249" s="62">
        <v>5</v>
      </c>
      <c r="G249" s="37">
        <v>1</v>
      </c>
      <c r="H249" s="62">
        <v>5</v>
      </c>
      <c r="I249" s="62">
        <v>5.2350000000000003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349"/>
      <c r="R249" s="349"/>
      <c r="S249" s="349"/>
      <c r="T249" s="350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353</v>
      </c>
      <c r="B250" s="63" t="s">
        <v>354</v>
      </c>
      <c r="C250" s="36">
        <v>4301136052</v>
      </c>
      <c r="D250" s="347">
        <v>4640242180410</v>
      </c>
      <c r="E250" s="347"/>
      <c r="F250" s="62">
        <v>2.2400000000000002</v>
      </c>
      <c r="G250" s="37">
        <v>1</v>
      </c>
      <c r="H250" s="62">
        <v>2.2400000000000002</v>
      </c>
      <c r="I250" s="62">
        <v>2.4319999999999999</v>
      </c>
      <c r="J250" s="37">
        <v>126</v>
      </c>
      <c r="K250" s="37" t="s">
        <v>112</v>
      </c>
      <c r="L250" s="37" t="s">
        <v>113</v>
      </c>
      <c r="M250" s="38" t="s">
        <v>86</v>
      </c>
      <c r="N250" s="38"/>
      <c r="O250" s="37">
        <v>180</v>
      </c>
      <c r="P250" s="4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349"/>
      <c r="R250" s="349"/>
      <c r="S250" s="349"/>
      <c r="T250" s="350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350</v>
      </c>
      <c r="AG250" s="81"/>
      <c r="AJ250" s="87" t="s">
        <v>114</v>
      </c>
      <c r="AK250" s="87">
        <v>14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59"/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60"/>
      <c r="P251" s="356" t="s">
        <v>40</v>
      </c>
      <c r="Q251" s="357"/>
      <c r="R251" s="357"/>
      <c r="S251" s="357"/>
      <c r="T251" s="357"/>
      <c r="U251" s="357"/>
      <c r="V251" s="358"/>
      <c r="W251" s="42" t="s">
        <v>39</v>
      </c>
      <c r="X251" s="43">
        <f>IFERROR(SUM(X248:X250),"0")</f>
        <v>0</v>
      </c>
      <c r="Y251" s="43">
        <f>IFERROR(SUM(Y248:Y250),"0")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359"/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60"/>
      <c r="P252" s="356" t="s">
        <v>40</v>
      </c>
      <c r="Q252" s="357"/>
      <c r="R252" s="357"/>
      <c r="S252" s="357"/>
      <c r="T252" s="357"/>
      <c r="U252" s="357"/>
      <c r="V252" s="358"/>
      <c r="W252" s="42" t="s">
        <v>0</v>
      </c>
      <c r="X252" s="43">
        <f>IFERROR(SUMPRODUCT(X248:X250*H248:H250),"0")</f>
        <v>0</v>
      </c>
      <c r="Y252" s="43">
        <f>IFERROR(SUMPRODUCT(Y248:Y250*H248:H250),"0")</f>
        <v>0</v>
      </c>
      <c r="Z252" s="42"/>
      <c r="AA252" s="67"/>
      <c r="AB252" s="67"/>
      <c r="AC252" s="67"/>
    </row>
    <row r="253" spans="1:68" ht="14.25" customHeight="1" x14ac:dyDescent="0.25">
      <c r="A253" s="346" t="s">
        <v>151</v>
      </c>
      <c r="B253" s="346"/>
      <c r="C253" s="346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  <c r="Y253" s="346"/>
      <c r="Z253" s="346"/>
      <c r="AA253" s="66"/>
      <c r="AB253" s="66"/>
      <c r="AC253" s="83"/>
    </row>
    <row r="254" spans="1:68" ht="37.5" customHeight="1" x14ac:dyDescent="0.25">
      <c r="A254" s="63" t="s">
        <v>355</v>
      </c>
      <c r="B254" s="63" t="s">
        <v>356</v>
      </c>
      <c r="C254" s="36">
        <v>4301135504</v>
      </c>
      <c r="D254" s="347">
        <v>4640242181554</v>
      </c>
      <c r="E254" s="347"/>
      <c r="F254" s="62">
        <v>3</v>
      </c>
      <c r="G254" s="37">
        <v>1</v>
      </c>
      <c r="H254" s="62">
        <v>3</v>
      </c>
      <c r="I254" s="62">
        <v>3.1920000000000002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349"/>
      <c r="R254" s="349"/>
      <c r="S254" s="349"/>
      <c r="T254" s="350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ref="Y254:Y263" si="18"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89</v>
      </c>
      <c r="AK254" s="87">
        <v>1</v>
      </c>
      <c r="BB254" s="256" t="s">
        <v>111</v>
      </c>
      <c r="BM254" s="81">
        <f t="shared" ref="BM254:BM263" si="19">IFERROR(X254*I254,"0")</f>
        <v>0</v>
      </c>
      <c r="BN254" s="81">
        <f t="shared" ref="BN254:BN263" si="20">IFERROR(Y254*I254,"0")</f>
        <v>0</v>
      </c>
      <c r="BO254" s="81">
        <f t="shared" ref="BO254:BO263" si="21">IFERROR(X254/J254,"0")</f>
        <v>0</v>
      </c>
      <c r="BP254" s="81">
        <f t="shared" ref="BP254:BP263" si="22"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4301135518</v>
      </c>
      <c r="D255" s="347">
        <v>4640242181561</v>
      </c>
      <c r="E255" s="347"/>
      <c r="F255" s="62">
        <v>3.7</v>
      </c>
      <c r="G255" s="37">
        <v>1</v>
      </c>
      <c r="H255" s="62">
        <v>3.7</v>
      </c>
      <c r="I255" s="62">
        <v>3.8919999999999999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43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349"/>
      <c r="R255" s="349"/>
      <c r="S255" s="349"/>
      <c r="T255" s="350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114</v>
      </c>
      <c r="AK255" s="87">
        <v>14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4301135374</v>
      </c>
      <c r="D256" s="347">
        <v>4640242181424</v>
      </c>
      <c r="E256" s="347"/>
      <c r="F256" s="62">
        <v>5.5</v>
      </c>
      <c r="G256" s="37">
        <v>1</v>
      </c>
      <c r="H256" s="62">
        <v>5.5</v>
      </c>
      <c r="I256" s="62">
        <v>5.7350000000000003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4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349"/>
      <c r="R256" s="349"/>
      <c r="S256" s="349"/>
      <c r="T256" s="350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89</v>
      </c>
      <c r="AK256" s="87">
        <v>1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363</v>
      </c>
      <c r="B257" s="63" t="s">
        <v>364</v>
      </c>
      <c r="C257" s="36">
        <v>4301135405</v>
      </c>
      <c r="D257" s="347">
        <v>4640242181523</v>
      </c>
      <c r="E257" s="347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349"/>
      <c r="R257" s="349"/>
      <c r="S257" s="349"/>
      <c r="T257" s="350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ref="Z257:Z262" si="23"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114</v>
      </c>
      <c r="AK257" s="87">
        <v>14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365</v>
      </c>
      <c r="B258" s="63" t="s">
        <v>366</v>
      </c>
      <c r="C258" s="36">
        <v>4301135375</v>
      </c>
      <c r="D258" s="347">
        <v>4640242181486</v>
      </c>
      <c r="E258" s="347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349"/>
      <c r="R258" s="349"/>
      <c r="S258" s="349"/>
      <c r="T258" s="350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357</v>
      </c>
      <c r="AG258" s="81"/>
      <c r="AJ258" s="87" t="s">
        <v>114</v>
      </c>
      <c r="AK258" s="87">
        <v>14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367</v>
      </c>
      <c r="B259" s="63" t="s">
        <v>368</v>
      </c>
      <c r="C259" s="36">
        <v>4301135402</v>
      </c>
      <c r="D259" s="347">
        <v>4640242181493</v>
      </c>
      <c r="E259" s="347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349"/>
      <c r="R259" s="349"/>
      <c r="S259" s="349"/>
      <c r="T259" s="350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357</v>
      </c>
      <c r="AG259" s="81"/>
      <c r="AJ259" s="87" t="s">
        <v>89</v>
      </c>
      <c r="AK259" s="87">
        <v>1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369</v>
      </c>
      <c r="B260" s="63" t="s">
        <v>370</v>
      </c>
      <c r="C260" s="36">
        <v>4301135403</v>
      </c>
      <c r="D260" s="347">
        <v>4640242181509</v>
      </c>
      <c r="E260" s="347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349"/>
      <c r="R260" s="349"/>
      <c r="S260" s="349"/>
      <c r="T260" s="350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357</v>
      </c>
      <c r="AG260" s="81"/>
      <c r="AJ260" s="87" t="s">
        <v>89</v>
      </c>
      <c r="AK260" s="87">
        <v>1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371</v>
      </c>
      <c r="B261" s="63" t="s">
        <v>372</v>
      </c>
      <c r="C261" s="36">
        <v>4301135304</v>
      </c>
      <c r="D261" s="347">
        <v>4640242181240</v>
      </c>
      <c r="E261" s="347"/>
      <c r="F261" s="62">
        <v>0.3</v>
      </c>
      <c r="G261" s="37">
        <v>9</v>
      </c>
      <c r="H261" s="62">
        <v>2.7</v>
      </c>
      <c r="I261" s="62">
        <v>2.88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349"/>
      <c r="R261" s="349"/>
      <c r="S261" s="349"/>
      <c r="T261" s="350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373</v>
      </c>
      <c r="B262" s="63" t="s">
        <v>374</v>
      </c>
      <c r="C262" s="36">
        <v>4301135610</v>
      </c>
      <c r="D262" s="347">
        <v>4640242181318</v>
      </c>
      <c r="E262" s="347"/>
      <c r="F262" s="62">
        <v>0.3</v>
      </c>
      <c r="G262" s="37">
        <v>9</v>
      </c>
      <c r="H262" s="62">
        <v>2.7</v>
      </c>
      <c r="I262" s="62">
        <v>2.988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349"/>
      <c r="R262" s="349"/>
      <c r="S262" s="349"/>
      <c r="T262" s="35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375</v>
      </c>
      <c r="B263" s="63" t="s">
        <v>376</v>
      </c>
      <c r="C263" s="36">
        <v>4301135306</v>
      </c>
      <c r="D263" s="347">
        <v>4640242181387</v>
      </c>
      <c r="E263" s="347"/>
      <c r="F263" s="62">
        <v>0.3</v>
      </c>
      <c r="G263" s="37">
        <v>9</v>
      </c>
      <c r="H263" s="62">
        <v>2.7</v>
      </c>
      <c r="I263" s="62">
        <v>2.8450000000000002</v>
      </c>
      <c r="J263" s="37">
        <v>234</v>
      </c>
      <c r="K263" s="37" t="s">
        <v>163</v>
      </c>
      <c r="L263" s="37" t="s">
        <v>88</v>
      </c>
      <c r="M263" s="38" t="s">
        <v>86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349"/>
      <c r="R263" s="349"/>
      <c r="S263" s="349"/>
      <c r="T263" s="350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IFERROR(IF(X263="","",X263*0.00502),"")</f>
        <v>0</v>
      </c>
      <c r="AA263" s="68" t="s">
        <v>46</v>
      </c>
      <c r="AB263" s="69" t="s">
        <v>46</v>
      </c>
      <c r="AC263" s="273" t="s">
        <v>357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x14ac:dyDescent="0.2">
      <c r="A264" s="359"/>
      <c r="B264" s="359"/>
      <c r="C264" s="359"/>
      <c r="D264" s="359"/>
      <c r="E264" s="359"/>
      <c r="F264" s="359"/>
      <c r="G264" s="359"/>
      <c r="H264" s="359"/>
      <c r="I264" s="359"/>
      <c r="J264" s="359"/>
      <c r="K264" s="359"/>
      <c r="L264" s="359"/>
      <c r="M264" s="359"/>
      <c r="N264" s="359"/>
      <c r="O264" s="360"/>
      <c r="P264" s="356" t="s">
        <v>40</v>
      </c>
      <c r="Q264" s="357"/>
      <c r="R264" s="357"/>
      <c r="S264" s="357"/>
      <c r="T264" s="357"/>
      <c r="U264" s="357"/>
      <c r="V264" s="358"/>
      <c r="W264" s="42" t="s">
        <v>39</v>
      </c>
      <c r="X264" s="43">
        <f>IFERROR(SUM(X254:X263),"0")</f>
        <v>0</v>
      </c>
      <c r="Y264" s="43">
        <f>IFERROR(SUM(Y254:Y263),"0")</f>
        <v>0</v>
      </c>
      <c r="Z264" s="43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59"/>
      <c r="B265" s="359"/>
      <c r="C265" s="359"/>
      <c r="D265" s="359"/>
      <c r="E265" s="359"/>
      <c r="F265" s="359"/>
      <c r="G265" s="359"/>
      <c r="H265" s="359"/>
      <c r="I265" s="359"/>
      <c r="J265" s="359"/>
      <c r="K265" s="359"/>
      <c r="L265" s="359"/>
      <c r="M265" s="359"/>
      <c r="N265" s="359"/>
      <c r="O265" s="360"/>
      <c r="P265" s="356" t="s">
        <v>40</v>
      </c>
      <c r="Q265" s="357"/>
      <c r="R265" s="357"/>
      <c r="S265" s="357"/>
      <c r="T265" s="357"/>
      <c r="U265" s="357"/>
      <c r="V265" s="358"/>
      <c r="W265" s="42" t="s">
        <v>0</v>
      </c>
      <c r="X265" s="43">
        <f>IFERROR(SUMPRODUCT(X254:X263*H254:H263),"0")</f>
        <v>0</v>
      </c>
      <c r="Y265" s="43">
        <f>IFERROR(SUMPRODUCT(Y254:Y263*H254:H263),"0")</f>
        <v>0</v>
      </c>
      <c r="Z265" s="42"/>
      <c r="AA265" s="67"/>
      <c r="AB265" s="67"/>
      <c r="AC265" s="67"/>
    </row>
    <row r="266" spans="1:68" ht="15" customHeight="1" x14ac:dyDescent="0.2">
      <c r="A266" s="359"/>
      <c r="B266" s="359"/>
      <c r="C266" s="359"/>
      <c r="D266" s="359"/>
      <c r="E266" s="359"/>
      <c r="F266" s="359"/>
      <c r="G266" s="359"/>
      <c r="H266" s="359"/>
      <c r="I266" s="359"/>
      <c r="J266" s="359"/>
      <c r="K266" s="359"/>
      <c r="L266" s="359"/>
      <c r="M266" s="359"/>
      <c r="N266" s="359"/>
      <c r="O266" s="451"/>
      <c r="P266" s="448" t="s">
        <v>33</v>
      </c>
      <c r="Q266" s="449"/>
      <c r="R266" s="449"/>
      <c r="S266" s="449"/>
      <c r="T266" s="449"/>
      <c r="U266" s="449"/>
      <c r="V266" s="450"/>
      <c r="W266" s="42" t="s">
        <v>0</v>
      </c>
      <c r="X266" s="43">
        <f>IFERROR(X29+X35+X42+X49+X57+X62+X66+X71+X77+X83+X88+X94+X104+X110+X122+X126+X130+X136+X142+X148+X153+X158+X163+X168+X175+X184+X188+X194+X202+X207+X213+X219+X225+X231+X235+X242+X246+X252+X265,"0")</f>
        <v>0</v>
      </c>
      <c r="Y266" s="43">
        <f>IFERROR(Y29+Y35+Y42+Y49+Y57+Y62+Y66+Y71+Y77+Y83+Y88+Y94+Y104+Y110+Y122+Y126+Y130+Y136+Y142+Y148+Y153+Y158+Y163+Y168+Y175+Y184+Y188+Y194+Y202+Y207+Y213+Y219+Y225+Y231+Y235+Y242+Y246+Y252+Y265,"0")</f>
        <v>0</v>
      </c>
      <c r="Z266" s="42"/>
      <c r="AA266" s="67"/>
      <c r="AB266" s="67"/>
      <c r="AC266" s="67"/>
    </row>
    <row r="267" spans="1:68" x14ac:dyDescent="0.2">
      <c r="A267" s="359"/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451"/>
      <c r="P267" s="448" t="s">
        <v>34</v>
      </c>
      <c r="Q267" s="449"/>
      <c r="R267" s="449"/>
      <c r="S267" s="449"/>
      <c r="T267" s="449"/>
      <c r="U267" s="449"/>
      <c r="V267" s="450"/>
      <c r="W267" s="42" t="s">
        <v>0</v>
      </c>
      <c r="X267" s="43">
        <f>IFERROR(SUM(BM22:BM263),"0")</f>
        <v>0</v>
      </c>
      <c r="Y267" s="43">
        <f>IFERROR(SUM(BN22:BN263),"0")</f>
        <v>0</v>
      </c>
      <c r="Z267" s="42"/>
      <c r="AA267" s="67"/>
      <c r="AB267" s="67"/>
      <c r="AC267" s="67"/>
    </row>
    <row r="268" spans="1:68" x14ac:dyDescent="0.2">
      <c r="A268" s="359"/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451"/>
      <c r="P268" s="448" t="s">
        <v>35</v>
      </c>
      <c r="Q268" s="449"/>
      <c r="R268" s="449"/>
      <c r="S268" s="449"/>
      <c r="T268" s="449"/>
      <c r="U268" s="449"/>
      <c r="V268" s="450"/>
      <c r="W268" s="42" t="s">
        <v>20</v>
      </c>
      <c r="X268" s="44">
        <f>ROUNDUP(SUM(BO22:BO263),0)</f>
        <v>0</v>
      </c>
      <c r="Y268" s="44">
        <f>ROUNDUP(SUM(BP22:BP263),0)</f>
        <v>0</v>
      </c>
      <c r="Z268" s="42"/>
      <c r="AA268" s="67"/>
      <c r="AB268" s="67"/>
      <c r="AC268" s="67"/>
    </row>
    <row r="269" spans="1:68" x14ac:dyDescent="0.2">
      <c r="A269" s="359"/>
      <c r="B269" s="359"/>
      <c r="C269" s="359"/>
      <c r="D269" s="359"/>
      <c r="E269" s="359"/>
      <c r="F269" s="359"/>
      <c r="G269" s="359"/>
      <c r="H269" s="359"/>
      <c r="I269" s="359"/>
      <c r="J269" s="359"/>
      <c r="K269" s="359"/>
      <c r="L269" s="359"/>
      <c r="M269" s="359"/>
      <c r="N269" s="359"/>
      <c r="O269" s="451"/>
      <c r="P269" s="448" t="s">
        <v>36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GrossWeightTotal+PalletQtyTotal*25</f>
        <v>0</v>
      </c>
      <c r="Y269" s="43">
        <f>GrossWeightTotalR+PalletQtyTotalR*25</f>
        <v>0</v>
      </c>
      <c r="Z269" s="42"/>
      <c r="AA269" s="67"/>
      <c r="AB269" s="67"/>
      <c r="AC269" s="67"/>
    </row>
    <row r="270" spans="1:68" x14ac:dyDescent="0.2">
      <c r="A270" s="359"/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451"/>
      <c r="P270" s="448" t="s">
        <v>37</v>
      </c>
      <c r="Q270" s="449"/>
      <c r="R270" s="449"/>
      <c r="S270" s="449"/>
      <c r="T270" s="449"/>
      <c r="U270" s="449"/>
      <c r="V270" s="450"/>
      <c r="W270" s="42" t="s">
        <v>20</v>
      </c>
      <c r="X270" s="43">
        <f>IFERROR(X28+X34+X41+X48+X56+X61+X65+X70+X76+X82+X87+X93+X103+X109+X121+X125+X129+X135+X141+X147+X152+X157+X162+X167+X174+X183+X187+X193+X201+X206+X212+X218+X224+X230+X234+X241+X245+X251+X264,"0")</f>
        <v>0</v>
      </c>
      <c r="Y270" s="43">
        <f>IFERROR(Y28+Y34+Y41+Y48+Y56+Y61+Y65+Y70+Y76+Y82+Y87+Y93+Y103+Y109+Y121+Y125+Y129+Y135+Y141+Y147+Y152+Y157+Y162+Y167+Y174+Y183+Y187+Y193+Y201+Y206+Y212+Y218+Y224+Y230+Y234+Y241+Y245+Y251+Y264,"0")</f>
        <v>0</v>
      </c>
      <c r="Z270" s="42"/>
      <c r="AA270" s="67"/>
      <c r="AB270" s="67"/>
      <c r="AC270" s="67"/>
    </row>
    <row r="271" spans="1:68" ht="14.25" x14ac:dyDescent="0.2">
      <c r="A271" s="359"/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451"/>
      <c r="P271" s="448" t="s">
        <v>38</v>
      </c>
      <c r="Q271" s="449"/>
      <c r="R271" s="449"/>
      <c r="S271" s="449"/>
      <c r="T271" s="449"/>
      <c r="U271" s="449"/>
      <c r="V271" s="450"/>
      <c r="W271" s="45" t="s">
        <v>52</v>
      </c>
      <c r="X271" s="42"/>
      <c r="Y271" s="42"/>
      <c r="Z271" s="42">
        <f>IFERROR(Z28+Z34+Z41+Z48+Z56+Z61+Z65+Z70+Z76+Z82+Z87+Z93+Z103+Z109+Z121+Z125+Z129+Z135+Z141+Z147+Z152+Z157+Z162+Z167+Z174+Z183+Z187+Z193+Z201+Z206+Z212+Z218+Z224+Z230+Z234+Z241+Z245+Z251+Z264,"0")</f>
        <v>0</v>
      </c>
      <c r="AA271" s="67"/>
      <c r="AB271" s="67"/>
      <c r="AC271" s="67"/>
    </row>
    <row r="272" spans="1:68" ht="13.5" thickBot="1" x14ac:dyDescent="0.25"/>
    <row r="273" spans="1:32" ht="27" thickTop="1" thickBot="1" x14ac:dyDescent="0.25">
      <c r="A273" s="46" t="s">
        <v>9</v>
      </c>
      <c r="B273" s="454" t="s">
        <v>81</v>
      </c>
      <c r="C273" s="454" t="s">
        <v>81</v>
      </c>
      <c r="D273" s="454" t="s">
        <v>45</v>
      </c>
      <c r="E273" s="454" t="s">
        <v>45</v>
      </c>
      <c r="F273" s="454" t="s">
        <v>45</v>
      </c>
      <c r="G273" s="454" t="s">
        <v>45</v>
      </c>
      <c r="H273" s="454" t="s">
        <v>45</v>
      </c>
      <c r="I273" s="454" t="s">
        <v>45</v>
      </c>
      <c r="J273" s="454" t="s">
        <v>45</v>
      </c>
      <c r="K273" s="454" t="s">
        <v>45</v>
      </c>
      <c r="L273" s="454" t="s">
        <v>45</v>
      </c>
      <c r="M273" s="454" t="s">
        <v>45</v>
      </c>
      <c r="N273" s="455"/>
      <c r="O273" s="454" t="s">
        <v>45</v>
      </c>
      <c r="P273" s="454" t="s">
        <v>45</v>
      </c>
      <c r="Q273" s="454" t="s">
        <v>45</v>
      </c>
      <c r="R273" s="454" t="s">
        <v>45</v>
      </c>
      <c r="S273" s="454" t="s">
        <v>45</v>
      </c>
      <c r="T273" s="454" t="s">
        <v>45</v>
      </c>
      <c r="U273" s="454" t="s">
        <v>45</v>
      </c>
      <c r="V273" s="88" t="s">
        <v>263</v>
      </c>
      <c r="W273" s="88" t="s">
        <v>271</v>
      </c>
      <c r="X273" s="454" t="s">
        <v>293</v>
      </c>
      <c r="Y273" s="454" t="s">
        <v>293</v>
      </c>
      <c r="Z273" s="454" t="s">
        <v>293</v>
      </c>
      <c r="AA273" s="88" t="s">
        <v>322</v>
      </c>
      <c r="AB273" s="88" t="s">
        <v>327</v>
      </c>
      <c r="AC273" s="88" t="s">
        <v>331</v>
      </c>
      <c r="AD273" s="88" t="s">
        <v>339</v>
      </c>
      <c r="AF273" s="1"/>
    </row>
    <row r="274" spans="1:32" ht="14.25" customHeight="1" thickTop="1" x14ac:dyDescent="0.2">
      <c r="A274" s="452" t="s">
        <v>10</v>
      </c>
      <c r="B274" s="454" t="s">
        <v>81</v>
      </c>
      <c r="C274" s="454" t="s">
        <v>100</v>
      </c>
      <c r="D274" s="454" t="s">
        <v>106</v>
      </c>
      <c r="E274" s="454" t="s">
        <v>117</v>
      </c>
      <c r="F274" s="454" t="s">
        <v>127</v>
      </c>
      <c r="G274" s="454" t="s">
        <v>138</v>
      </c>
      <c r="H274" s="454" t="s">
        <v>159</v>
      </c>
      <c r="I274" s="454" t="s">
        <v>168</v>
      </c>
      <c r="J274" s="454" t="s">
        <v>172</v>
      </c>
      <c r="K274" s="454" t="s">
        <v>180</v>
      </c>
      <c r="L274" s="454" t="s">
        <v>195</v>
      </c>
      <c r="M274" s="454" t="s">
        <v>201</v>
      </c>
      <c r="N274" s="1"/>
      <c r="O274" s="454" t="s">
        <v>229</v>
      </c>
      <c r="P274" s="454" t="s">
        <v>235</v>
      </c>
      <c r="Q274" s="454" t="s">
        <v>242</v>
      </c>
      <c r="R274" s="454" t="s">
        <v>247</v>
      </c>
      <c r="S274" s="454" t="s">
        <v>251</v>
      </c>
      <c r="T274" s="454" t="s">
        <v>254</v>
      </c>
      <c r="U274" s="454" t="s">
        <v>259</v>
      </c>
      <c r="V274" s="454" t="s">
        <v>264</v>
      </c>
      <c r="W274" s="454" t="s">
        <v>272</v>
      </c>
      <c r="X274" s="454" t="s">
        <v>294</v>
      </c>
      <c r="Y274" s="454" t="s">
        <v>312</v>
      </c>
      <c r="Z274" s="454" t="s">
        <v>316</v>
      </c>
      <c r="AA274" s="454" t="s">
        <v>323</v>
      </c>
      <c r="AB274" s="454" t="s">
        <v>328</v>
      </c>
      <c r="AC274" s="454" t="s">
        <v>332</v>
      </c>
      <c r="AD274" s="454" t="s">
        <v>339</v>
      </c>
      <c r="AF274" s="1"/>
    </row>
    <row r="275" spans="1:32" ht="13.5" thickBot="1" x14ac:dyDescent="0.25">
      <c r="A275" s="453"/>
      <c r="B275" s="454"/>
      <c r="C275" s="454"/>
      <c r="D275" s="454"/>
      <c r="E275" s="454"/>
      <c r="F275" s="454"/>
      <c r="G275" s="454"/>
      <c r="H275" s="454"/>
      <c r="I275" s="454"/>
      <c r="J275" s="454"/>
      <c r="K275" s="454"/>
      <c r="L275" s="454"/>
      <c r="M275" s="454"/>
      <c r="N275" s="1"/>
      <c r="O275" s="454"/>
      <c r="P275" s="454"/>
      <c r="Q275" s="454"/>
      <c r="R275" s="454"/>
      <c r="S275" s="454"/>
      <c r="T275" s="454"/>
      <c r="U275" s="454"/>
      <c r="V275" s="454"/>
      <c r="W275" s="454"/>
      <c r="X275" s="454"/>
      <c r="Y275" s="454"/>
      <c r="Z275" s="454"/>
      <c r="AA275" s="454"/>
      <c r="AB275" s="454"/>
      <c r="AC275" s="454"/>
      <c r="AD275" s="454"/>
      <c r="AF275" s="1"/>
    </row>
    <row r="276" spans="1:32" ht="18" thickTop="1" thickBot="1" x14ac:dyDescent="0.25">
      <c r="A276" s="46" t="s">
        <v>13</v>
      </c>
      <c r="B276" s="52">
        <f>IFERROR(X22*H22,"0")+IFERROR(X23*H23,"0")+IFERROR(X24*H24,"0")+IFERROR(X25*H25,"0")+IFERROR(X26*H26,"0")+IFERROR(X27*H27,"0")</f>
        <v>0</v>
      </c>
      <c r="C276" s="52">
        <f>IFERROR(X32*H32,"0")+IFERROR(X33*H33,"0")</f>
        <v>0</v>
      </c>
      <c r="D276" s="52">
        <f>IFERROR(X39*H39,"0")+IFERROR(X40*H40,"0")</f>
        <v>0</v>
      </c>
      <c r="E276" s="52">
        <f>IFERROR(X45*H45,"0")+IFERROR(X46*H46,"0")+IFERROR(X47*H47,"0")</f>
        <v>0</v>
      </c>
      <c r="F276" s="52">
        <f>IFERROR(X52*H52,"0")+IFERROR(X53*H53,"0")+IFERROR(X54*H54,"0")+IFERROR(X55*H55,"0")</f>
        <v>0</v>
      </c>
      <c r="G276" s="52">
        <f>IFERROR(X60*H60,"0")+IFERROR(X64*H64,"0")+IFERROR(X68*H68,"0")+IFERROR(X69*H69,"0")+IFERROR(X73*H73,"0")+IFERROR(X74*H74,"0")+IFERROR(X75*H75,"0")</f>
        <v>0</v>
      </c>
      <c r="H276" s="52">
        <f>IFERROR(X80*H80,"0")+IFERROR(X81*H81,"0")</f>
        <v>0</v>
      </c>
      <c r="I276" s="52">
        <f>IFERROR(X86*H86,"0")</f>
        <v>0</v>
      </c>
      <c r="J276" s="52">
        <f>IFERROR(X91*H91,"0")+IFERROR(X92*H92,"0")</f>
        <v>0</v>
      </c>
      <c r="K276" s="52">
        <f>IFERROR(X97*H97,"0")+IFERROR(X98*H98,"0")+IFERROR(X99*H99,"0")+IFERROR(X100*H100,"0")+IFERROR(X101*H101,"0")+IFERROR(X102*H102,"0")</f>
        <v>0</v>
      </c>
      <c r="L276" s="52">
        <f>IFERROR(X107*H107,"0")+IFERROR(X108*H108,"0")</f>
        <v>0</v>
      </c>
      <c r="M276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76" s="1"/>
      <c r="O276" s="52">
        <f>IFERROR(X133*H133,"0")+IFERROR(X134*H134,"0")</f>
        <v>0</v>
      </c>
      <c r="P276" s="52">
        <f>IFERROR(X139*H139,"0")+IFERROR(X140*H140,"0")</f>
        <v>0</v>
      </c>
      <c r="Q276" s="52">
        <f>IFERROR(X145*H145,"0")+IFERROR(X146*H146,"0")</f>
        <v>0</v>
      </c>
      <c r="R276" s="52">
        <f>IFERROR(X151*H151,"0")</f>
        <v>0</v>
      </c>
      <c r="S276" s="52">
        <f>IFERROR(X156*H156,"0")</f>
        <v>0</v>
      </c>
      <c r="T276" s="52">
        <f>IFERROR(X161*H161,"0")</f>
        <v>0</v>
      </c>
      <c r="U276" s="52">
        <f>IFERROR(X166*H166,"0")</f>
        <v>0</v>
      </c>
      <c r="V276" s="52">
        <f>IFERROR(X172*H172,"0")+IFERROR(X173*H173,"0")</f>
        <v>0</v>
      </c>
      <c r="W276" s="52">
        <f>IFERROR(X179*H179,"0")+IFERROR(X180*H180,"0")+IFERROR(X181*H181,"0")+IFERROR(X182*H182,"0")+IFERROR(X186*H186,"0")</f>
        <v>0</v>
      </c>
      <c r="X276" s="52">
        <f>IFERROR(X192*H192,"0")+IFERROR(X196*H196,"0")+IFERROR(X197*H197,"0")+IFERROR(X198*H198,"0")+IFERROR(X199*H199,"0")+IFERROR(X200*H200,"0")</f>
        <v>0</v>
      </c>
      <c r="Y276" s="52">
        <f>IFERROR(X205*H205,"0")</f>
        <v>0</v>
      </c>
      <c r="Z276" s="52">
        <f>IFERROR(X210*H210,"0")+IFERROR(X211*H211,"0")</f>
        <v>0</v>
      </c>
      <c r="AA276" s="52">
        <f>IFERROR(X217*H217,"0")</f>
        <v>0</v>
      </c>
      <c r="AB276" s="52">
        <f>IFERROR(X223*H223,"0")</f>
        <v>0</v>
      </c>
      <c r="AC276" s="52">
        <f>IFERROR(X229*H229,"0")+IFERROR(X233*H233,"0")</f>
        <v>0</v>
      </c>
      <c r="AD276" s="52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1"/>
    </row>
    <row r="277" spans="1:32" ht="13.5" thickTop="1" x14ac:dyDescent="0.2">
      <c r="C277" s="1"/>
    </row>
    <row r="278" spans="1:32" ht="19.5" customHeight="1" x14ac:dyDescent="0.2">
      <c r="A278" s="70" t="s">
        <v>62</v>
      </c>
      <c r="B278" s="70" t="s">
        <v>63</v>
      </c>
      <c r="C278" s="70" t="s">
        <v>65</v>
      </c>
    </row>
    <row r="279" spans="1:32" x14ac:dyDescent="0.2">
      <c r="A279" s="71">
        <f>SUMPRODUCT(--(BB:BB="ЗПФ"),--(W:W="кор"),H:H,Y:Y)+SUMPRODUCT(--(BB:BB="ЗПФ"),--(W:W="кг"),Y:Y)</f>
        <v>0</v>
      </c>
      <c r="B279" s="72">
        <f>SUMPRODUCT(--(BB:BB="ПГП"),--(W:W="кор"),H:H,Y:Y)+SUMPRODUCT(--(BB:BB="ПГП"),--(W:W="кг"),Y:Y)</f>
        <v>0</v>
      </c>
      <c r="C279" s="72">
        <f>SUMPRODUCT(--(BB:BB="КИЗ"),--(W:W="кор"),H:H,Y:Y)+SUMPRODUCT(--(BB:BB="КИЗ"),--(W:W="кг"),Y:Y)</f>
        <v>0</v>
      </c>
    </row>
  </sheetData>
  <sheetProtection algorithmName="SHA-512" hashValue="nlVrnjW6zJ9KvKPdGaTs1AU7P3L2wVYyiPkQtZ0cFapFMU1vkD321IMEsx8x6rzHh3q7PD1YjoONw+llhx8qSA==" saltValue="rWOmufzHsVWXPAqoqjZ8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4"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B273:C273"/>
    <mergeCell ref="D273:U273"/>
    <mergeCell ref="X273:Z273"/>
    <mergeCell ref="J274:J275"/>
    <mergeCell ref="K274:K275"/>
    <mergeCell ref="L274:L275"/>
    <mergeCell ref="M274:M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D263:E263"/>
    <mergeCell ref="P263:T263"/>
    <mergeCell ref="P264:V264"/>
    <mergeCell ref="A264:O265"/>
    <mergeCell ref="P265:V265"/>
    <mergeCell ref="P266:V266"/>
    <mergeCell ref="A266:O271"/>
    <mergeCell ref="P267:V267"/>
    <mergeCell ref="P268:V268"/>
    <mergeCell ref="P269:V269"/>
    <mergeCell ref="P270:V270"/>
    <mergeCell ref="P271:V271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P234:V234"/>
    <mergeCell ref="A234:O235"/>
    <mergeCell ref="P235:V235"/>
    <mergeCell ref="A236:Z236"/>
    <mergeCell ref="A237:Z237"/>
    <mergeCell ref="A238:Z238"/>
    <mergeCell ref="D239:E239"/>
    <mergeCell ref="P239:T239"/>
    <mergeCell ref="D240:E240"/>
    <mergeCell ref="P240:T240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P212:V212"/>
    <mergeCell ref="A212:O213"/>
    <mergeCell ref="P213:V213"/>
    <mergeCell ref="A214:Z214"/>
    <mergeCell ref="A215:Z215"/>
    <mergeCell ref="A216:Z216"/>
    <mergeCell ref="D217:E217"/>
    <mergeCell ref="P217:T217"/>
    <mergeCell ref="P218:V218"/>
    <mergeCell ref="A218:O219"/>
    <mergeCell ref="P219:V219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9:X263 X256 X254 X248 X239:X240 X233 X229 X217 X210:X211 X205 X196:X200 X192 X186 X182 X179:X180 X172 X166 X161 X156 X151 X145:X146 X139 X128 X124 X120 X117 X113:X114 X108 X97:X101 X92 X73:X75 X68:X69 X64 X60 X55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7:X258 X255 X249:X250 X244 X223 X181 X173 X133:X134 X118:X119 X115 X107 X102 X91 X86 X80 X52:X54 X46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40 X116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5IVQ//GYLxdsi4k3kShABbCi8tx/tOdvckvnTGpXN+F0qawB2XnN/P4Quk8J1EeFYZU7JofiX0EjE1HRFbxgPw==" saltValue="Zgs/uMEqaDZDkyMMXsXJ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2026-01-13T07:40:36Z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