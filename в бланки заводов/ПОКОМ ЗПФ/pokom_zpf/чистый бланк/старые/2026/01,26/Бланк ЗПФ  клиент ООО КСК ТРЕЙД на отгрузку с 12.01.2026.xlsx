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DB2DEBB-7A68-49BE-A61E-B1BE29FDE4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N265" i="2" s="1"/>
  <c r="P265" i="2"/>
  <c r="BO264" i="2"/>
  <c r="BM264" i="2"/>
  <c r="Z264" i="2"/>
  <c r="Y264" i="2"/>
  <c r="BN264" i="2" s="1"/>
  <c r="P264" i="2"/>
  <c r="BO263" i="2"/>
  <c r="BN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BP261" i="2" s="1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BN254" i="2" s="1"/>
  <c r="P254" i="2"/>
  <c r="BO253" i="2"/>
  <c r="BN253" i="2"/>
  <c r="BM253" i="2"/>
  <c r="Z253" i="2"/>
  <c r="Y253" i="2"/>
  <c r="BP253" i="2" s="1"/>
  <c r="P253" i="2"/>
  <c r="BO252" i="2"/>
  <c r="BM252" i="2"/>
  <c r="Z252" i="2"/>
  <c r="Y252" i="2"/>
  <c r="Y256" i="2" s="1"/>
  <c r="P252" i="2"/>
  <c r="X250" i="2"/>
  <c r="Z249" i="2"/>
  <c r="X249" i="2"/>
  <c r="BO248" i="2"/>
  <c r="BM248" i="2"/>
  <c r="Z248" i="2"/>
  <c r="Y248" i="2"/>
  <c r="Y249" i="2" s="1"/>
  <c r="P248" i="2"/>
  <c r="X246" i="2"/>
  <c r="X245" i="2"/>
  <c r="BP244" i="2"/>
  <c r="BO244" i="2"/>
  <c r="BN244" i="2"/>
  <c r="BM244" i="2"/>
  <c r="Z244" i="2"/>
  <c r="Z245" i="2" s="1"/>
  <c r="Y244" i="2"/>
  <c r="P244" i="2"/>
  <c r="BO243" i="2"/>
  <c r="BM243" i="2"/>
  <c r="Z243" i="2"/>
  <c r="Y243" i="2"/>
  <c r="BP243" i="2" s="1"/>
  <c r="P243" i="2"/>
  <c r="X239" i="2"/>
  <c r="Z238" i="2"/>
  <c r="X238" i="2"/>
  <c r="BO237" i="2"/>
  <c r="BM237" i="2"/>
  <c r="Z237" i="2"/>
  <c r="Y237" i="2"/>
  <c r="Y238" i="2" s="1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Z222" i="2"/>
  <c r="X222" i="2"/>
  <c r="BO221" i="2"/>
  <c r="BM221" i="2"/>
  <c r="Z221" i="2"/>
  <c r="Y221" i="2"/>
  <c r="P221" i="2"/>
  <c r="X217" i="2"/>
  <c r="X216" i="2"/>
  <c r="BO215" i="2"/>
  <c r="BM215" i="2"/>
  <c r="Z215" i="2"/>
  <c r="Z216" i="2" s="1"/>
  <c r="Y215" i="2"/>
  <c r="BP215" i="2" s="1"/>
  <c r="P215" i="2"/>
  <c r="BO214" i="2"/>
  <c r="BM214" i="2"/>
  <c r="Z214" i="2"/>
  <c r="Y214" i="2"/>
  <c r="P214" i="2"/>
  <c r="X212" i="2"/>
  <c r="X211" i="2"/>
  <c r="BO210" i="2"/>
  <c r="BM210" i="2"/>
  <c r="Z210" i="2"/>
  <c r="Z211" i="2" s="1"/>
  <c r="Y210" i="2"/>
  <c r="Y212" i="2" s="1"/>
  <c r="P210" i="2"/>
  <c r="X207" i="2"/>
  <c r="X206" i="2"/>
  <c r="BO205" i="2"/>
  <c r="BM205" i="2"/>
  <c r="Z205" i="2"/>
  <c r="Z206" i="2" s="1"/>
  <c r="Y205" i="2"/>
  <c r="Y206" i="2" s="1"/>
  <c r="P205" i="2"/>
  <c r="X202" i="2"/>
  <c r="X201" i="2"/>
  <c r="BO200" i="2"/>
  <c r="BM200" i="2"/>
  <c r="Z200" i="2"/>
  <c r="Y200" i="2"/>
  <c r="P200" i="2"/>
  <c r="BO199" i="2"/>
  <c r="BM199" i="2"/>
  <c r="Z199" i="2"/>
  <c r="Y199" i="2"/>
  <c r="BN199" i="2" s="1"/>
  <c r="P199" i="2"/>
  <c r="BO198" i="2"/>
  <c r="BM198" i="2"/>
  <c r="Z198" i="2"/>
  <c r="Y198" i="2"/>
  <c r="BN198" i="2" s="1"/>
  <c r="P198" i="2"/>
  <c r="BO197" i="2"/>
  <c r="BN197" i="2"/>
  <c r="BM197" i="2"/>
  <c r="Z197" i="2"/>
  <c r="Y197" i="2"/>
  <c r="BP197" i="2" s="1"/>
  <c r="P197" i="2"/>
  <c r="BO196" i="2"/>
  <c r="BM196" i="2"/>
  <c r="Z196" i="2"/>
  <c r="Y196" i="2"/>
  <c r="BP196" i="2" s="1"/>
  <c r="P196" i="2"/>
  <c r="X194" i="2"/>
  <c r="Z193" i="2"/>
  <c r="X193" i="2"/>
  <c r="BO192" i="2"/>
  <c r="BM192" i="2"/>
  <c r="Z192" i="2"/>
  <c r="Y192" i="2"/>
  <c r="P192" i="2"/>
  <c r="Y188" i="2"/>
  <c r="X188" i="2"/>
  <c r="Y187" i="2"/>
  <c r="X187" i="2"/>
  <c r="BP186" i="2"/>
  <c r="BO186" i="2"/>
  <c r="BN186" i="2"/>
  <c r="BM186" i="2"/>
  <c r="Z186" i="2"/>
  <c r="Z187" i="2" s="1"/>
  <c r="Y186" i="2"/>
  <c r="X184" i="2"/>
  <c r="X183" i="2"/>
  <c r="BO182" i="2"/>
  <c r="BM182" i="2"/>
  <c r="Z182" i="2"/>
  <c r="Y182" i="2"/>
  <c r="P182" i="2"/>
  <c r="BP181" i="2"/>
  <c r="BO181" i="2"/>
  <c r="BN181" i="2"/>
  <c r="BM181" i="2"/>
  <c r="Z181" i="2"/>
  <c r="Z183" i="2" s="1"/>
  <c r="Y181" i="2"/>
  <c r="P181" i="2"/>
  <c r="BO180" i="2"/>
  <c r="BM180" i="2"/>
  <c r="Z180" i="2"/>
  <c r="Y180" i="2"/>
  <c r="BP180" i="2" s="1"/>
  <c r="P180" i="2"/>
  <c r="X176" i="2"/>
  <c r="X175" i="2"/>
  <c r="BO174" i="2"/>
  <c r="BM174" i="2"/>
  <c r="Z174" i="2"/>
  <c r="Y174" i="2"/>
  <c r="P174" i="2"/>
  <c r="BO173" i="2"/>
  <c r="BM173" i="2"/>
  <c r="Z173" i="2"/>
  <c r="Z175" i="2" s="1"/>
  <c r="Y173" i="2"/>
  <c r="BP173" i="2" s="1"/>
  <c r="P173" i="2"/>
  <c r="X169" i="2"/>
  <c r="Z168" i="2"/>
  <c r="X168" i="2"/>
  <c r="BO167" i="2"/>
  <c r="BM167" i="2"/>
  <c r="Z167" i="2"/>
  <c r="Y167" i="2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Z158" i="2" s="1"/>
  <c r="Y157" i="2"/>
  <c r="Y158" i="2" s="1"/>
  <c r="P157" i="2"/>
  <c r="X154" i="2"/>
  <c r="Z153" i="2"/>
  <c r="X153" i="2"/>
  <c r="BO152" i="2"/>
  <c r="BM152" i="2"/>
  <c r="Z152" i="2"/>
  <c r="Y152" i="2"/>
  <c r="P152" i="2"/>
  <c r="X149" i="2"/>
  <c r="X148" i="2"/>
  <c r="BO147" i="2"/>
  <c r="BM147" i="2"/>
  <c r="Z147" i="2"/>
  <c r="Y147" i="2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P141" i="2"/>
  <c r="BO140" i="2"/>
  <c r="BM140" i="2"/>
  <c r="Z140" i="2"/>
  <c r="Y140" i="2"/>
  <c r="BN140" i="2" s="1"/>
  <c r="P140" i="2"/>
  <c r="X137" i="2"/>
  <c r="X136" i="2"/>
  <c r="BO135" i="2"/>
  <c r="BM135" i="2"/>
  <c r="Z135" i="2"/>
  <c r="Y135" i="2"/>
  <c r="Y137" i="2" s="1"/>
  <c r="P135" i="2"/>
  <c r="BO134" i="2"/>
  <c r="BM134" i="2"/>
  <c r="Z134" i="2"/>
  <c r="Y134" i="2"/>
  <c r="BP134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Y125" i="2"/>
  <c r="P125" i="2"/>
  <c r="BP124" i="2"/>
  <c r="BO124" i="2"/>
  <c r="BN124" i="2"/>
  <c r="BM124" i="2"/>
  <c r="Z124" i="2"/>
  <c r="Z126" i="2" s="1"/>
  <c r="Y124" i="2"/>
  <c r="P124" i="2"/>
  <c r="X122" i="2"/>
  <c r="X121" i="2"/>
  <c r="BO120" i="2"/>
  <c r="BM120" i="2"/>
  <c r="Z120" i="2"/>
  <c r="Y120" i="2"/>
  <c r="BP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Y122" i="2" s="1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P97" i="2"/>
  <c r="BO97" i="2"/>
  <c r="BN97" i="2"/>
  <c r="BM97" i="2"/>
  <c r="Z97" i="2"/>
  <c r="Y97" i="2"/>
  <c r="P97" i="2"/>
  <c r="X94" i="2"/>
  <c r="X93" i="2"/>
  <c r="BO92" i="2"/>
  <c r="BM92" i="2"/>
  <c r="Z92" i="2"/>
  <c r="Y92" i="2"/>
  <c r="Y93" i="2" s="1"/>
  <c r="P92" i="2"/>
  <c r="BP91" i="2"/>
  <c r="BO91" i="2"/>
  <c r="BN91" i="2"/>
  <c r="BM91" i="2"/>
  <c r="Z91" i="2"/>
  <c r="Y91" i="2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P75" i="2"/>
  <c r="BO75" i="2"/>
  <c r="BN75" i="2"/>
  <c r="BM75" i="2"/>
  <c r="Z75" i="2"/>
  <c r="Y75" i="2"/>
  <c r="P75" i="2"/>
  <c r="BO74" i="2"/>
  <c r="BM74" i="2"/>
  <c r="Z74" i="2"/>
  <c r="Y74" i="2"/>
  <c r="BN74" i="2" s="1"/>
  <c r="P74" i="2"/>
  <c r="BO73" i="2"/>
  <c r="BM73" i="2"/>
  <c r="Z73" i="2"/>
  <c r="Z76" i="2" s="1"/>
  <c r="Y73" i="2"/>
  <c r="BP73" i="2" s="1"/>
  <c r="P73" i="2"/>
  <c r="X71" i="2"/>
  <c r="X70" i="2"/>
  <c r="BO69" i="2"/>
  <c r="BM69" i="2"/>
  <c r="Z69" i="2"/>
  <c r="Y69" i="2"/>
  <c r="BN69" i="2" s="1"/>
  <c r="P69" i="2"/>
  <c r="BO68" i="2"/>
  <c r="BM68" i="2"/>
  <c r="Z68" i="2"/>
  <c r="Z70" i="2" s="1"/>
  <c r="Y68" i="2"/>
  <c r="BP68" i="2" s="1"/>
  <c r="P68" i="2"/>
  <c r="X66" i="2"/>
  <c r="X65" i="2"/>
  <c r="BO64" i="2"/>
  <c r="BM64" i="2"/>
  <c r="Z64" i="2"/>
  <c r="Z65" i="2" s="1"/>
  <c r="Y64" i="2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P53" i="2"/>
  <c r="BO53" i="2"/>
  <c r="BN53" i="2"/>
  <c r="BM53" i="2"/>
  <c r="Z53" i="2"/>
  <c r="Y53" i="2"/>
  <c r="P53" i="2"/>
  <c r="BO52" i="2"/>
  <c r="BM52" i="2"/>
  <c r="Z52" i="2"/>
  <c r="Y52" i="2"/>
  <c r="P52" i="2"/>
  <c r="X49" i="2"/>
  <c r="X48" i="2"/>
  <c r="BO47" i="2"/>
  <c r="BM47" i="2"/>
  <c r="Z47" i="2"/>
  <c r="Y47" i="2"/>
  <c r="BN47" i="2" s="1"/>
  <c r="P47" i="2"/>
  <c r="BP46" i="2"/>
  <c r="BO46" i="2"/>
  <c r="BN46" i="2"/>
  <c r="BM46" i="2"/>
  <c r="Z46" i="2"/>
  <c r="Y46" i="2"/>
  <c r="P46" i="2"/>
  <c r="BO45" i="2"/>
  <c r="BM45" i="2"/>
  <c r="Z45" i="2"/>
  <c r="Y45" i="2"/>
  <c r="Y48" i="2" s="1"/>
  <c r="P45" i="2"/>
  <c r="X42" i="2"/>
  <c r="X41" i="2"/>
  <c r="BO40" i="2"/>
  <c r="BM40" i="2"/>
  <c r="Z40" i="2"/>
  <c r="Y40" i="2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Y35" i="2" s="1"/>
  <c r="P33" i="2"/>
  <c r="BP32" i="2"/>
  <c r="BO32" i="2"/>
  <c r="BN32" i="2"/>
  <c r="BM32" i="2"/>
  <c r="Z32" i="2"/>
  <c r="Z34" i="2" s="1"/>
  <c r="Y32" i="2"/>
  <c r="P32" i="2"/>
  <c r="X29" i="2"/>
  <c r="X28" i="2"/>
  <c r="BO27" i="2"/>
  <c r="BM27" i="2"/>
  <c r="Z27" i="2"/>
  <c r="Y27" i="2"/>
  <c r="BP27" i="2" s="1"/>
  <c r="P27" i="2"/>
  <c r="BP26" i="2"/>
  <c r="BO26" i="2"/>
  <c r="BN26" i="2"/>
  <c r="BM26" i="2"/>
  <c r="Z26" i="2"/>
  <c r="Y26" i="2"/>
  <c r="P26" i="2"/>
  <c r="BO25" i="2"/>
  <c r="BM25" i="2"/>
  <c r="Z25" i="2"/>
  <c r="Y25" i="2"/>
  <c r="P25" i="2"/>
  <c r="BO24" i="2"/>
  <c r="BM24" i="2"/>
  <c r="Z24" i="2"/>
  <c r="Y24" i="2"/>
  <c r="P24" i="2"/>
  <c r="BO23" i="2"/>
  <c r="BM23" i="2"/>
  <c r="Z23" i="2"/>
  <c r="Y23" i="2"/>
  <c r="BP23" i="2" s="1"/>
  <c r="P23" i="2"/>
  <c r="BO22" i="2"/>
  <c r="BM22" i="2"/>
  <c r="Z22" i="2"/>
  <c r="Y22" i="2"/>
  <c r="Y29" i="2" s="1"/>
  <c r="P22" i="2"/>
  <c r="H10" i="2"/>
  <c r="A9" i="2"/>
  <c r="H9" i="2" s="1"/>
  <c r="D7" i="2"/>
  <c r="Q6" i="2"/>
  <c r="P2" i="2"/>
  <c r="BP47" i="2" l="1"/>
  <c r="Y57" i="2"/>
  <c r="BP52" i="2"/>
  <c r="BN52" i="2"/>
  <c r="Y56" i="2"/>
  <c r="Y66" i="2"/>
  <c r="Y65" i="2"/>
  <c r="BP64" i="2"/>
  <c r="BN64" i="2"/>
  <c r="BP115" i="2"/>
  <c r="BN115" i="2"/>
  <c r="BP174" i="2"/>
  <c r="BN174" i="2"/>
  <c r="Y193" i="2"/>
  <c r="BP192" i="2"/>
  <c r="BN192" i="2"/>
  <c r="Y217" i="2"/>
  <c r="BP214" i="2"/>
  <c r="BN214" i="2"/>
  <c r="Y222" i="2"/>
  <c r="BP221" i="2"/>
  <c r="BN221" i="2"/>
  <c r="Y223" i="2"/>
  <c r="X271" i="2"/>
  <c r="BP22" i="2"/>
  <c r="BP25" i="2"/>
  <c r="BN25" i="2"/>
  <c r="X274" i="2"/>
  <c r="BP33" i="2"/>
  <c r="BP40" i="2"/>
  <c r="BN40" i="2"/>
  <c r="Z56" i="2"/>
  <c r="Y83" i="2"/>
  <c r="BP102" i="2"/>
  <c r="BN102" i="2"/>
  <c r="BP108" i="2"/>
  <c r="BN108" i="2"/>
  <c r="BP125" i="2"/>
  <c r="BN125" i="2"/>
  <c r="Z142" i="2"/>
  <c r="BP146" i="2"/>
  <c r="BN146" i="2"/>
  <c r="Y154" i="2"/>
  <c r="Y153" i="2"/>
  <c r="BP152" i="2"/>
  <c r="BN152" i="2"/>
  <c r="Y169" i="2"/>
  <c r="Y168" i="2"/>
  <c r="BP167" i="2"/>
  <c r="BN167" i="2"/>
  <c r="BP182" i="2"/>
  <c r="BN182" i="2"/>
  <c r="Y194" i="2"/>
  <c r="Z201" i="2"/>
  <c r="BP199" i="2"/>
  <c r="BP200" i="2"/>
  <c r="BN200" i="2"/>
  <c r="Y239" i="2"/>
  <c r="Y250" i="2"/>
  <c r="Z255" i="2"/>
  <c r="BP258" i="2"/>
  <c r="BP265" i="2"/>
  <c r="Z28" i="2"/>
  <c r="Y28" i="2"/>
  <c r="X272" i="2"/>
  <c r="X270" i="2"/>
  <c r="Y42" i="2"/>
  <c r="Y41" i="2"/>
  <c r="Z48" i="2"/>
  <c r="BP60" i="2"/>
  <c r="Y77" i="2"/>
  <c r="Y82" i="2"/>
  <c r="Y94" i="2"/>
  <c r="Z93" i="2"/>
  <c r="Z103" i="2"/>
  <c r="Y109" i="2"/>
  <c r="Z121" i="2"/>
  <c r="BP116" i="2"/>
  <c r="Y127" i="2"/>
  <c r="Y126" i="2"/>
  <c r="Z136" i="2"/>
  <c r="BP140" i="2"/>
  <c r="Y143" i="2"/>
  <c r="Z148" i="2"/>
  <c r="Y149" i="2"/>
  <c r="Y159" i="2"/>
  <c r="Y175" i="2"/>
  <c r="Y207" i="2"/>
  <c r="Y229" i="2"/>
  <c r="BN237" i="2"/>
  <c r="BP237" i="2"/>
  <c r="BN248" i="2"/>
  <c r="BP248" i="2"/>
  <c r="Z268" i="2"/>
  <c r="BN261" i="2"/>
  <c r="BN266" i="2"/>
  <c r="Z275" i="2"/>
  <c r="X273" i="2"/>
  <c r="F10" i="2"/>
  <c r="BP45" i="2"/>
  <c r="BP69" i="2"/>
  <c r="BP129" i="2"/>
  <c r="BN141" i="2"/>
  <c r="BN259" i="2"/>
  <c r="BP24" i="2"/>
  <c r="Y49" i="2"/>
  <c r="BP74" i="2"/>
  <c r="BN86" i="2"/>
  <c r="BP100" i="2"/>
  <c r="BP135" i="2"/>
  <c r="BN147" i="2"/>
  <c r="BN162" i="2"/>
  <c r="BP198" i="2"/>
  <c r="BN210" i="2"/>
  <c r="Y245" i="2"/>
  <c r="BP254" i="2"/>
  <c r="BP264" i="2"/>
  <c r="BN24" i="2"/>
  <c r="BN135" i="2"/>
  <c r="Y201" i="2"/>
  <c r="BN54" i="2"/>
  <c r="BP80" i="2"/>
  <c r="BN92" i="2"/>
  <c r="Y104" i="2"/>
  <c r="BP117" i="2"/>
  <c r="Y130" i="2"/>
  <c r="BP141" i="2"/>
  <c r="Y202" i="2"/>
  <c r="BN215" i="2"/>
  <c r="BN233" i="2"/>
  <c r="BN267" i="2"/>
  <c r="Y103" i="2"/>
  <c r="BN80" i="2"/>
  <c r="BN27" i="2"/>
  <c r="Y70" i="2"/>
  <c r="BN22" i="2"/>
  <c r="BN33" i="2"/>
  <c r="BN60" i="2"/>
  <c r="BP86" i="2"/>
  <c r="BN98" i="2"/>
  <c r="Y110" i="2"/>
  <c r="BN120" i="2"/>
  <c r="Y136" i="2"/>
  <c r="BP147" i="2"/>
  <c r="BP162" i="2"/>
  <c r="Y176" i="2"/>
  <c r="BN196" i="2"/>
  <c r="BP210" i="2"/>
  <c r="BN252" i="2"/>
  <c r="Y255" i="2"/>
  <c r="BN262" i="2"/>
  <c r="J9" i="2"/>
  <c r="A10" i="2"/>
  <c r="BP92" i="2"/>
  <c r="Y142" i="2"/>
  <c r="BP233" i="2"/>
  <c r="Y246" i="2"/>
  <c r="BN45" i="2"/>
  <c r="BN129" i="2"/>
  <c r="Y71" i="2"/>
  <c r="Y87" i="2"/>
  <c r="Y148" i="2"/>
  <c r="Y163" i="2"/>
  <c r="Y211" i="2"/>
  <c r="BP252" i="2"/>
  <c r="Y216" i="2"/>
  <c r="Y234" i="2"/>
  <c r="Y268" i="2"/>
  <c r="Y34" i="2"/>
  <c r="Y61" i="2"/>
  <c r="BN81" i="2"/>
  <c r="BN107" i="2"/>
  <c r="BN118" i="2"/>
  <c r="Y121" i="2"/>
  <c r="BN157" i="2"/>
  <c r="BN173" i="2"/>
  <c r="BN205" i="2"/>
  <c r="BN260" i="2"/>
  <c r="BN113" i="2"/>
  <c r="BN180" i="2"/>
  <c r="Y183" i="2"/>
  <c r="BN227" i="2"/>
  <c r="BN243" i="2"/>
  <c r="BN55" i="2"/>
  <c r="BN68" i="2"/>
  <c r="BP157" i="2"/>
  <c r="BP205" i="2"/>
  <c r="Y269" i="2"/>
  <c r="BN73" i="2"/>
  <c r="BP113" i="2"/>
  <c r="BP227" i="2"/>
  <c r="F9" i="2"/>
  <c r="Y184" i="2"/>
  <c r="BN23" i="2"/>
  <c r="Y76" i="2"/>
  <c r="BN99" i="2"/>
  <c r="BN134" i="2"/>
  <c r="Y270" i="2" l="1"/>
  <c r="Y274" i="2"/>
  <c r="Y272" i="2"/>
  <c r="A283" i="2"/>
  <c r="Y271" i="2"/>
  <c r="Y273" i="2" s="1"/>
  <c r="C283" i="2" l="1"/>
  <c r="B283" i="2"/>
</calcChain>
</file>

<file path=xl/sharedStrings.xml><?xml version="1.0" encoding="utf-8"?>
<sst xmlns="http://schemas.openxmlformats.org/spreadsheetml/2006/main" count="1660" uniqueCount="396">
  <si>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</si>
  <si>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</si>
  <si>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</si>
  <si>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</si>
  <si>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</si>
  <si>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</si>
  <si>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</si>
  <si>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</si>
  <si>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</si>
  <si>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</si>
  <si>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</si>
  <si>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</si>
  <si>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</si>
  <si>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</si>
  <si>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</si>
  <si>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</si>
  <si>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</si>
  <si>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</si>
  <si>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</si>
  <si>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</si>
  <si>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</si>
  <si>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</si>
  <si>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</si>
  <si>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</si>
  <si>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</si>
  <si>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</si>
  <si>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</si>
  <si>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</si>
  <si>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</si>
  <si>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</si>
  <si>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</si>
  <si>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</si>
  <si>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</si>
  <si>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</si>
  <si>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</si>
  <si>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</si>
  <si>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</si>
  <si>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</si>
  <si>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</si>
  <si>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</si>
  <si>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</si>
  <si>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</si>
  <si>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</si>
  <si>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</si>
  <si>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</si>
  <si>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</si>
  <si>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</si>
  <si>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</si>
  <si>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</si>
  <si>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</si>
  <si>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</si>
  <si>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</si>
  <si>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</si>
  <si>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</si>
  <si>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</si>
  <si>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</si>
  <si>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</si>
  <si>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</si>
  <si>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</si>
  <si>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</si>
  <si>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</si>
  <si>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</si>
  <si>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</si>
  <si>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</si>
  <si>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</si>
  <si>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</si>
  <si>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</si>
  <si>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</si>
  <si>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</si>
  <si>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</si>
  <si>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</si>
  <si>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12.01.2026</t>
  </si>
  <si>
    <t>09.01.2026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</si>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</sst>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46038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Пятница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5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3"/>
      <c r="P9" s="31" t="s">
        <v>15</v>
      </c>
      <c r="Q9" s="310"/>
      <c r="R9" s="310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4"/>
      <c r="P10" s="31" t="s">
        <v>32</v>
      </c>
      <c r="Q10" s="312"/>
      <c r="R10" s="312"/>
      <c r="U10" s="29" t="s">
        <v>12</v>
      </c>
      <c r="V10" s="313" t="s">
        <v>74</v>
      </c>
      <c r="W10" s="31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5"/>
      <c r="R11" s="315"/>
      <c r="U11" s="29" t="s">
        <v>28</v>
      </c>
      <c r="V11" s="316" t="s">
        <v>55</v>
      </c>
      <c r="W11" s="3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9"/>
      <c r="P12" s="27" t="s">
        <v>30</v>
      </c>
      <c r="Q12" s="304"/>
      <c r="R12" s="304"/>
      <c r="S12" s="28"/>
      <c r="T12"/>
      <c r="U12" s="29" t="s">
        <v>46</v>
      </c>
      <c r="V12" s="318"/>
      <c r="W12" s="318"/>
      <c r="X12"/>
      <c r="AB12" s="59"/>
      <c r="AC12" s="59"/>
      <c r="AD12" s="59"/>
      <c r="AE12" s="59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9"/>
      <c r="O13" s="31"/>
      <c r="P13" s="31" t="s">
        <v>31</v>
      </c>
      <c r="Q13" s="316"/>
      <c r="R13" s="3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80"/>
      <c r="O15"/>
      <c r="P15" s="320" t="s">
        <v>61</v>
      </c>
      <c r="Q15" s="320"/>
      <c r="R15" s="320"/>
      <c r="S15" s="320"/>
      <c r="T15" s="32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5"/>
      <c r="BD17" s="84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6" t="s">
        <v>44</v>
      </c>
      <c r="V18" s="86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5"/>
      <c r="BD18" s="84"/>
    </row>
    <row r="19" spans="1:68" ht="27.75" customHeight="1" x14ac:dyDescent="0.2">
      <c r="A19" s="346" t="s">
        <v>81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4"/>
      <c r="AB19" s="54"/>
      <c r="AC19" s="54"/>
    </row>
    <row r="20" spans="1:68" ht="16.5" customHeight="1" x14ac:dyDescent="0.25">
      <c r="A20" s="347" t="s">
        <v>81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5"/>
      <c r="AB20" s="65"/>
      <c r="AC20" s="82"/>
    </row>
    <row r="21" spans="1:68" ht="14.25" customHeight="1" x14ac:dyDescent="0.25">
      <c r="A21" s="348" t="s">
        <v>82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9">
        <v>4607111035912</v>
      </c>
      <c r="E22" s="349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1"/>
      <c r="R22" s="351"/>
      <c r="S22" s="351"/>
      <c r="T22" s="352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9">
        <v>4607111035103</v>
      </c>
      <c r="E23" s="349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1"/>
      <c r="R23" s="351"/>
      <c r="S23" s="351"/>
      <c r="T23" s="352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9">
        <v>4607111035929</v>
      </c>
      <c r="E24" s="349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1"/>
      <c r="R24" s="351"/>
      <c r="S24" s="351"/>
      <c r="T24" s="352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9">
        <v>4607111035882</v>
      </c>
      <c r="E25" s="349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1"/>
      <c r="R25" s="351"/>
      <c r="S25" s="351"/>
      <c r="T25" s="352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9">
        <v>4607111035110</v>
      </c>
      <c r="E26" s="349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1"/>
      <c r="R26" s="351"/>
      <c r="S26" s="351"/>
      <c r="T26" s="352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9">
        <v>4607111035905</v>
      </c>
      <c r="E27" s="349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7" t="s">
        <v>100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5"/>
      <c r="AB30" s="65"/>
      <c r="AC30" s="82"/>
    </row>
    <row r="31" spans="1:68" ht="14.25" customHeight="1" x14ac:dyDescent="0.25">
      <c r="A31" s="348" t="s">
        <v>82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9">
        <v>4607111039019</v>
      </c>
      <c r="E32" s="349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9">
        <v>4607111038708</v>
      </c>
      <c r="E33" s="349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4"/>
      <c r="AB36" s="54"/>
      <c r="AC36" s="54"/>
    </row>
    <row r="37" spans="1:68" ht="16.5" customHeight="1" x14ac:dyDescent="0.25">
      <c r="A37" s="347" t="s">
        <v>106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5"/>
      <c r="AB37" s="65"/>
      <c r="AC37" s="82"/>
    </row>
    <row r="38" spans="1:68" ht="14.25" customHeight="1" x14ac:dyDescent="0.25">
      <c r="A38" s="348" t="s">
        <v>107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9">
        <v>4607111036537</v>
      </c>
      <c r="E39" s="349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140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9">
        <v>4607111036605</v>
      </c>
      <c r="E40" s="349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88</v>
      </c>
      <c r="M40" s="38" t="s">
        <v>86</v>
      </c>
      <c r="N40" s="38"/>
      <c r="O40" s="37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89</v>
      </c>
      <c r="AK40" s="87">
        <v>1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7" t="s">
        <v>117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5"/>
      <c r="AB43" s="65"/>
      <c r="AC43" s="82"/>
    </row>
    <row r="44" spans="1:68" ht="14.25" customHeight="1" x14ac:dyDescent="0.25">
      <c r="A44" s="348" t="s">
        <v>82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9">
        <v>4620207490075</v>
      </c>
      <c r="E45" s="349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88</v>
      </c>
      <c r="M45" s="38" t="s">
        <v>86</v>
      </c>
      <c r="N45" s="38"/>
      <c r="O45" s="37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89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9">
        <v>4620207490174</v>
      </c>
      <c r="E46" s="349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124</v>
      </c>
      <c r="M46" s="38" t="s">
        <v>86</v>
      </c>
      <c r="N46" s="38"/>
      <c r="O46" s="37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125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126</v>
      </c>
      <c r="B47" s="63" t="s">
        <v>127</v>
      </c>
      <c r="C47" s="36">
        <v>4301071091</v>
      </c>
      <c r="D47" s="349">
        <v>4620207490044</v>
      </c>
      <c r="E47" s="349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88</v>
      </c>
      <c r="M47" s="38" t="s">
        <v>86</v>
      </c>
      <c r="N47" s="38"/>
      <c r="O47" s="37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128</v>
      </c>
      <c r="AG47" s="81"/>
      <c r="AJ47" s="87" t="s">
        <v>89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7" t="s">
        <v>129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5"/>
      <c r="AB50" s="65"/>
      <c r="AC50" s="82"/>
    </row>
    <row r="51" spans="1:68" ht="14.25" customHeight="1" x14ac:dyDescent="0.25">
      <c r="A51" s="348" t="s">
        <v>82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6"/>
      <c r="AB51" s="66"/>
      <c r="AC51" s="83"/>
    </row>
    <row r="52" spans="1:68" ht="27" customHeight="1" x14ac:dyDescent="0.25">
      <c r="A52" s="63" t="s">
        <v>130</v>
      </c>
      <c r="B52" s="63" t="s">
        <v>131</v>
      </c>
      <c r="C52" s="36">
        <v>4301071044</v>
      </c>
      <c r="D52" s="349">
        <v>4607111039385</v>
      </c>
      <c r="E52" s="349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132</v>
      </c>
      <c r="AG52" s="81"/>
      <c r="AJ52" s="87" t="s">
        <v>125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4301071031</v>
      </c>
      <c r="D53" s="349">
        <v>4607111038982</v>
      </c>
      <c r="E53" s="349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124</v>
      </c>
      <c r="M53" s="38" t="s">
        <v>86</v>
      </c>
      <c r="N53" s="38"/>
      <c r="O53" s="37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135</v>
      </c>
      <c r="AG53" s="81"/>
      <c r="AJ53" s="87" t="s">
        <v>125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4301071046</v>
      </c>
      <c r="D54" s="349">
        <v>4607111039354</v>
      </c>
      <c r="E54" s="349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124</v>
      </c>
      <c r="M54" s="38" t="s">
        <v>86</v>
      </c>
      <c r="N54" s="38"/>
      <c r="O54" s="37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125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4301071047</v>
      </c>
      <c r="D55" s="349">
        <v>4607111039330</v>
      </c>
      <c r="E55" s="349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114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7" t="s">
        <v>140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5"/>
      <c r="AB58" s="65"/>
      <c r="AC58" s="82"/>
    </row>
    <row r="59" spans="1:68" ht="14.25" customHeight="1" x14ac:dyDescent="0.25">
      <c r="A59" s="348" t="s">
        <v>82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6"/>
      <c r="AB59" s="66"/>
      <c r="AC59" s="83"/>
    </row>
    <row r="60" spans="1:68" ht="16.5" customHeight="1" x14ac:dyDescent="0.25">
      <c r="A60" s="63" t="s">
        <v>141</v>
      </c>
      <c r="B60" s="63" t="s">
        <v>142</v>
      </c>
      <c r="C60" s="36">
        <v>4301071073</v>
      </c>
      <c r="D60" s="349">
        <v>4620207490822</v>
      </c>
      <c r="E60" s="349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143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8" t="s">
        <v>107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6"/>
      <c r="AB63" s="66"/>
      <c r="AC63" s="83"/>
    </row>
    <row r="64" spans="1:68" ht="27" customHeight="1" x14ac:dyDescent="0.25">
      <c r="A64" s="63" t="s">
        <v>144</v>
      </c>
      <c r="B64" s="63" t="s">
        <v>145</v>
      </c>
      <c r="C64" s="36">
        <v>4301132194</v>
      </c>
      <c r="D64" s="349">
        <v>4607111039712</v>
      </c>
      <c r="E64" s="349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146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8" t="s">
        <v>147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6"/>
      <c r="AB67" s="66"/>
      <c r="AC67" s="83"/>
    </row>
    <row r="68" spans="1:68" ht="16.5" customHeight="1" x14ac:dyDescent="0.25">
      <c r="A68" s="63" t="s">
        <v>148</v>
      </c>
      <c r="B68" s="63" t="s">
        <v>149</v>
      </c>
      <c r="C68" s="36">
        <v>4301136018</v>
      </c>
      <c r="D68" s="349">
        <v>4607111037008</v>
      </c>
      <c r="E68" s="349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150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151</v>
      </c>
      <c r="B69" s="63" t="s">
        <v>152</v>
      </c>
      <c r="C69" s="36">
        <v>4301136015</v>
      </c>
      <c r="D69" s="349">
        <v>4607111037398</v>
      </c>
      <c r="E69" s="349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150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8" t="s">
        <v>153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6"/>
      <c r="AB72" s="66"/>
      <c r="AC72" s="83"/>
    </row>
    <row r="73" spans="1:68" ht="27" customHeight="1" x14ac:dyDescent="0.25">
      <c r="A73" s="63" t="s">
        <v>154</v>
      </c>
      <c r="B73" s="63" t="s">
        <v>155</v>
      </c>
      <c r="C73" s="36">
        <v>4301135664</v>
      </c>
      <c r="D73" s="349">
        <v>4607111039705</v>
      </c>
      <c r="E73" s="349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150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9">
        <v>4607111039729</v>
      </c>
      <c r="E74" s="349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124</v>
      </c>
      <c r="M74" s="38" t="s">
        <v>86</v>
      </c>
      <c r="N74" s="38"/>
      <c r="O74" s="37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125</v>
      </c>
      <c r="AK74" s="87">
        <v>14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9">
        <v>4620207490228</v>
      </c>
      <c r="E75" s="349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124</v>
      </c>
      <c r="M75" s="38" t="s">
        <v>86</v>
      </c>
      <c r="N75" s="38"/>
      <c r="O75" s="37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125</v>
      </c>
      <c r="AK75" s="87">
        <v>14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7" t="s">
        <v>161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5"/>
      <c r="AB78" s="65"/>
      <c r="AC78" s="82"/>
    </row>
    <row r="79" spans="1:68" ht="14.25" customHeight="1" x14ac:dyDescent="0.25">
      <c r="A79" s="348" t="s">
        <v>82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9">
        <v>4607111037411</v>
      </c>
      <c r="E80" s="349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124</v>
      </c>
      <c r="M80" s="38" t="s">
        <v>86</v>
      </c>
      <c r="N80" s="38"/>
      <c r="O80" s="37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125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9">
        <v>4607111036728</v>
      </c>
      <c r="E81" s="349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7" t="s">
        <v>168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5"/>
      <c r="AB84" s="65"/>
      <c r="AC84" s="82"/>
    </row>
    <row r="85" spans="1:68" ht="14.25" customHeight="1" x14ac:dyDescent="0.25">
      <c r="A85" s="348" t="s">
        <v>153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9">
        <v>4607111033659</v>
      </c>
      <c r="E86" s="349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124</v>
      </c>
      <c r="M86" s="38" t="s">
        <v>86</v>
      </c>
      <c r="N86" s="38"/>
      <c r="O86" s="37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125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7" t="s">
        <v>172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5"/>
      <c r="AB89" s="65"/>
      <c r="AC89" s="82"/>
    </row>
    <row r="90" spans="1:68" ht="14.25" customHeight="1" x14ac:dyDescent="0.25">
      <c r="A90" s="348" t="s">
        <v>173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9">
        <v>4607111034120</v>
      </c>
      <c r="E91" s="349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124</v>
      </c>
      <c r="M91" s="38" t="s">
        <v>86</v>
      </c>
      <c r="N91" s="38"/>
      <c r="O91" s="37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125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9">
        <v>4607111034137</v>
      </c>
      <c r="E92" s="349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124</v>
      </c>
      <c r="M92" s="38" t="s">
        <v>86</v>
      </c>
      <c r="N92" s="38"/>
      <c r="O92" s="37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125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7" t="s">
        <v>180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5"/>
      <c r="AB95" s="65"/>
      <c r="AC95" s="82"/>
    </row>
    <row r="96" spans="1:68" ht="14.25" customHeight="1" x14ac:dyDescent="0.25">
      <c r="A96" s="348" t="s">
        <v>153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9">
        <v>4620207491027</v>
      </c>
      <c r="E97" s="349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124</v>
      </c>
      <c r="M97" s="38" t="s">
        <v>86</v>
      </c>
      <c r="N97" s="38"/>
      <c r="O97" s="37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125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9">
        <v>4620207491003</v>
      </c>
      <c r="E98" s="349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70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9">
        <v>4620207491034</v>
      </c>
      <c r="E99" s="349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88</v>
      </c>
      <c r="M99" s="38" t="s">
        <v>86</v>
      </c>
      <c r="N99" s="38"/>
      <c r="O99" s="37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89</v>
      </c>
      <c r="AK99" s="87">
        <v>1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9">
        <v>4620207491010</v>
      </c>
      <c r="E100" s="349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70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9">
        <v>4607111035028</v>
      </c>
      <c r="E101" s="349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88</v>
      </c>
      <c r="M101" s="38" t="s">
        <v>86</v>
      </c>
      <c r="N101" s="38"/>
      <c r="O101" s="37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89</v>
      </c>
      <c r="AK101" s="87">
        <v>1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9">
        <v>4607111036407</v>
      </c>
      <c r="E102" s="349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124</v>
      </c>
      <c r="M102" s="38" t="s">
        <v>86</v>
      </c>
      <c r="N102" s="38"/>
      <c r="O102" s="37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125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1"/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2"/>
      <c r="P103" s="358" t="s">
        <v>40</v>
      </c>
      <c r="Q103" s="359"/>
      <c r="R103" s="359"/>
      <c r="S103" s="359"/>
      <c r="T103" s="359"/>
      <c r="U103" s="359"/>
      <c r="V103" s="360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7" t="s">
        <v>195</v>
      </c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  <c r="AA105" s="65"/>
      <c r="AB105" s="65"/>
      <c r="AC105" s="82"/>
    </row>
    <row r="106" spans="1:68" ht="14.25" customHeight="1" x14ac:dyDescent="0.25">
      <c r="A106" s="348" t="s">
        <v>147</v>
      </c>
      <c r="B106" s="348"/>
      <c r="C106" s="348"/>
      <c r="D106" s="348"/>
      <c r="E106" s="348"/>
      <c r="F106" s="348"/>
      <c r="G106" s="348"/>
      <c r="H106" s="348"/>
      <c r="I106" s="348"/>
      <c r="J106" s="348"/>
      <c r="K106" s="348"/>
      <c r="L106" s="348"/>
      <c r="M106" s="348"/>
      <c r="N106" s="348"/>
      <c r="O106" s="348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9">
        <v>4607025784012</v>
      </c>
      <c r="E107" s="349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124</v>
      </c>
      <c r="M107" s="38" t="s">
        <v>86</v>
      </c>
      <c r="N107" s="38"/>
      <c r="O107" s="37">
        <v>180</v>
      </c>
      <c r="P107" s="39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1"/>
      <c r="R107" s="351"/>
      <c r="S107" s="351"/>
      <c r="T107" s="352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125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9">
        <v>4607025784319</v>
      </c>
      <c r="E108" s="349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88</v>
      </c>
      <c r="M108" s="38" t="s">
        <v>86</v>
      </c>
      <c r="N108" s="38"/>
      <c r="O108" s="37">
        <v>180</v>
      </c>
      <c r="P108" s="39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1"/>
      <c r="R108" s="351"/>
      <c r="S108" s="351"/>
      <c r="T108" s="352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89</v>
      </c>
      <c r="AK108" s="87">
        <v>1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1"/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2"/>
      <c r="P109" s="358" t="s">
        <v>40</v>
      </c>
      <c r="Q109" s="359"/>
      <c r="R109" s="359"/>
      <c r="S109" s="359"/>
      <c r="T109" s="359"/>
      <c r="U109" s="359"/>
      <c r="V109" s="360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7" t="s">
        <v>201</v>
      </c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65"/>
      <c r="AB111" s="65"/>
      <c r="AC111" s="82"/>
    </row>
    <row r="112" spans="1:68" ht="14.25" customHeight="1" x14ac:dyDescent="0.25">
      <c r="A112" s="348" t="s">
        <v>82</v>
      </c>
      <c r="B112" s="348"/>
      <c r="C112" s="348"/>
      <c r="D112" s="348"/>
      <c r="E112" s="348"/>
      <c r="F112" s="348"/>
      <c r="G112" s="348"/>
      <c r="H112" s="348"/>
      <c r="I112" s="348"/>
      <c r="J112" s="348"/>
      <c r="K112" s="348"/>
      <c r="L112" s="348"/>
      <c r="M112" s="348"/>
      <c r="N112" s="348"/>
      <c r="O112" s="348"/>
      <c r="P112" s="348"/>
      <c r="Q112" s="348"/>
      <c r="R112" s="348"/>
      <c r="S112" s="348"/>
      <c r="T112" s="348"/>
      <c r="U112" s="348"/>
      <c r="V112" s="348"/>
      <c r="W112" s="348"/>
      <c r="X112" s="348"/>
      <c r="Y112" s="348"/>
      <c r="Z112" s="348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9">
        <v>4620207491157</v>
      </c>
      <c r="E113" s="349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124</v>
      </c>
      <c r="M113" s="38" t="s">
        <v>86</v>
      </c>
      <c r="N113" s="38"/>
      <c r="O113" s="37">
        <v>180</v>
      </c>
      <c r="P113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1"/>
      <c r="R113" s="351"/>
      <c r="S113" s="351"/>
      <c r="T113" s="352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125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9">
        <v>4620207491393</v>
      </c>
      <c r="E114" s="349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1"/>
      <c r="R114" s="351"/>
      <c r="S114" s="351"/>
      <c r="T114" s="352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9">
        <v>4607111039262</v>
      </c>
      <c r="E115" s="349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124</v>
      </c>
      <c r="M115" s="38" t="s">
        <v>86</v>
      </c>
      <c r="N115" s="38"/>
      <c r="O115" s="37">
        <v>180</v>
      </c>
      <c r="P115" s="39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1"/>
      <c r="R115" s="351"/>
      <c r="S115" s="351"/>
      <c r="T115" s="352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125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9">
        <v>4607111039248</v>
      </c>
      <c r="E116" s="349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1"/>
      <c r="R116" s="351"/>
      <c r="S116" s="351"/>
      <c r="T116" s="352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9">
        <v>4607111037145</v>
      </c>
      <c r="E117" s="349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1"/>
      <c r="R117" s="351"/>
      <c r="S117" s="351"/>
      <c r="T117" s="352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9">
        <v>4607111039293</v>
      </c>
      <c r="E118" s="349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124</v>
      </c>
      <c r="M118" s="38" t="s">
        <v>86</v>
      </c>
      <c r="N118" s="38"/>
      <c r="O118" s="37">
        <v>180</v>
      </c>
      <c r="P118" s="39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1"/>
      <c r="R118" s="351"/>
      <c r="S118" s="351"/>
      <c r="T118" s="352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125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9">
        <v>4607111039279</v>
      </c>
      <c r="E119" s="349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40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1"/>
      <c r="R119" s="351"/>
      <c r="S119" s="351"/>
      <c r="T119" s="352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4301071075</v>
      </c>
      <c r="D120" s="349">
        <v>4620207491102</v>
      </c>
      <c r="E120" s="349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87</v>
      </c>
      <c r="L120" s="37" t="s">
        <v>88</v>
      </c>
      <c r="M120" s="38" t="s">
        <v>86</v>
      </c>
      <c r="N120" s="38"/>
      <c r="O120" s="37">
        <v>180</v>
      </c>
      <c r="P120" s="401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351"/>
      <c r="R120" s="351"/>
      <c r="S120" s="351"/>
      <c r="T120" s="352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89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8" t="s">
        <v>153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6"/>
      <c r="AB123" s="66"/>
      <c r="AC123" s="83"/>
    </row>
    <row r="124" spans="1:68" ht="27" customHeight="1" x14ac:dyDescent="0.25">
      <c r="A124" s="63" t="s">
        <v>222</v>
      </c>
      <c r="B124" s="63" t="s">
        <v>223</v>
      </c>
      <c r="C124" s="36">
        <v>4301135670</v>
      </c>
      <c r="D124" s="349">
        <v>4620207490983</v>
      </c>
      <c r="E124" s="349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124</v>
      </c>
      <c r="M124" s="38" t="s">
        <v>86</v>
      </c>
      <c r="N124" s="38"/>
      <c r="O124" s="37">
        <v>180</v>
      </c>
      <c r="P124" s="402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125</v>
      </c>
      <c r="AK124" s="87">
        <v>14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49">
        <v>4620207490983</v>
      </c>
      <c r="E125" s="349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112</v>
      </c>
      <c r="L125" s="37" t="s">
        <v>88</v>
      </c>
      <c r="M125" s="38" t="s">
        <v>86</v>
      </c>
      <c r="N125" s="38"/>
      <c r="O125" s="37">
        <v>180</v>
      </c>
      <c r="P125" s="40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1"/>
      <c r="R125" s="351"/>
      <c r="S125" s="351"/>
      <c r="T125" s="352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89</v>
      </c>
      <c r="AK125" s="87">
        <v>1</v>
      </c>
      <c r="BB125" s="182" t="s">
        <v>111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2" t="s">
        <v>39</v>
      </c>
      <c r="X126" s="43">
        <f>IFERROR(SUM(X124:X125),"0")</f>
        <v>0</v>
      </c>
      <c r="Y126" s="43">
        <f>IFERROR(SUM(Y124:Y125),"0")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361"/>
      <c r="B127" s="361"/>
      <c r="C127" s="361"/>
      <c r="D127" s="361"/>
      <c r="E127" s="361"/>
      <c r="F127" s="361"/>
      <c r="G127" s="361"/>
      <c r="H127" s="361"/>
      <c r="I127" s="361"/>
      <c r="J127" s="361"/>
      <c r="K127" s="361"/>
      <c r="L127" s="361"/>
      <c r="M127" s="361"/>
      <c r="N127" s="361"/>
      <c r="O127" s="362"/>
      <c r="P127" s="358" t="s">
        <v>40</v>
      </c>
      <c r="Q127" s="359"/>
      <c r="R127" s="359"/>
      <c r="S127" s="359"/>
      <c r="T127" s="359"/>
      <c r="U127" s="359"/>
      <c r="V127" s="360"/>
      <c r="W127" s="42" t="s">
        <v>0</v>
      </c>
      <c r="X127" s="43">
        <f>IFERROR(SUMPRODUCT(X124:X125*H124:H125),"0")</f>
        <v>0</v>
      </c>
      <c r="Y127" s="43">
        <f>IFERROR(SUMPRODUCT(Y124:Y125*H124:H125),"0")</f>
        <v>0</v>
      </c>
      <c r="Z127" s="42"/>
      <c r="AA127" s="67"/>
      <c r="AB127" s="67"/>
      <c r="AC127" s="67"/>
    </row>
    <row r="128" spans="1:68" ht="14.25" customHeight="1" x14ac:dyDescent="0.25">
      <c r="A128" s="348" t="s">
        <v>228</v>
      </c>
      <c r="B128" s="348"/>
      <c r="C128" s="348"/>
      <c r="D128" s="348"/>
      <c r="E128" s="348"/>
      <c r="F128" s="348"/>
      <c r="G128" s="348"/>
      <c r="H128" s="348"/>
      <c r="I128" s="348"/>
      <c r="J128" s="348"/>
      <c r="K128" s="348"/>
      <c r="L128" s="348"/>
      <c r="M128" s="348"/>
      <c r="N128" s="348"/>
      <c r="O128" s="348"/>
      <c r="P128" s="348"/>
      <c r="Q128" s="348"/>
      <c r="R128" s="348"/>
      <c r="S128" s="348"/>
      <c r="T128" s="348"/>
      <c r="U128" s="348"/>
      <c r="V128" s="348"/>
      <c r="W128" s="348"/>
      <c r="X128" s="348"/>
      <c r="Y128" s="348"/>
      <c r="Z128" s="348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49">
        <v>4620207491140</v>
      </c>
      <c r="E129" s="349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1"/>
      <c r="R129" s="351"/>
      <c r="S129" s="351"/>
      <c r="T129" s="352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89</v>
      </c>
      <c r="AK129" s="87">
        <v>1</v>
      </c>
      <c r="BB129" s="184" t="s">
        <v>111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1"/>
      <c r="B131" s="361"/>
      <c r="C131" s="361"/>
      <c r="D131" s="361"/>
      <c r="E131" s="361"/>
      <c r="F131" s="361"/>
      <c r="G131" s="361"/>
      <c r="H131" s="361"/>
      <c r="I131" s="361"/>
      <c r="J131" s="361"/>
      <c r="K131" s="361"/>
      <c r="L131" s="361"/>
      <c r="M131" s="361"/>
      <c r="N131" s="361"/>
      <c r="O131" s="362"/>
      <c r="P131" s="358" t="s">
        <v>40</v>
      </c>
      <c r="Q131" s="359"/>
      <c r="R131" s="359"/>
      <c r="S131" s="359"/>
      <c r="T131" s="359"/>
      <c r="U131" s="359"/>
      <c r="V131" s="360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7" t="s">
        <v>232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5"/>
      <c r="AB132" s="65"/>
      <c r="AC132" s="82"/>
    </row>
    <row r="133" spans="1:68" ht="14.25" customHeight="1" x14ac:dyDescent="0.25">
      <c r="A133" s="348" t="s">
        <v>153</v>
      </c>
      <c r="B133" s="348"/>
      <c r="C133" s="348"/>
      <c r="D133" s="348"/>
      <c r="E133" s="348"/>
      <c r="F133" s="348"/>
      <c r="G133" s="348"/>
      <c r="H133" s="348"/>
      <c r="I133" s="348"/>
      <c r="J133" s="348"/>
      <c r="K133" s="348"/>
      <c r="L133" s="348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49">
        <v>4607111034014</v>
      </c>
      <c r="E134" s="349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113</v>
      </c>
      <c r="M134" s="38" t="s">
        <v>86</v>
      </c>
      <c r="N134" s="38"/>
      <c r="O134" s="37">
        <v>180</v>
      </c>
      <c r="P134" s="40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1"/>
      <c r="R134" s="351"/>
      <c r="S134" s="351"/>
      <c r="T134" s="352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114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49">
        <v>4607111033994</v>
      </c>
      <c r="E135" s="349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112</v>
      </c>
      <c r="L135" s="37" t="s">
        <v>113</v>
      </c>
      <c r="M135" s="38" t="s">
        <v>86</v>
      </c>
      <c r="N135" s="38"/>
      <c r="O135" s="37">
        <v>180</v>
      </c>
      <c r="P135" s="40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1"/>
      <c r="R135" s="351"/>
      <c r="S135" s="351"/>
      <c r="T135" s="352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171</v>
      </c>
      <c r="AG135" s="81"/>
      <c r="AJ135" s="87" t="s">
        <v>114</v>
      </c>
      <c r="AK135" s="87">
        <v>70</v>
      </c>
      <c r="BB135" s="188" t="s">
        <v>111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7" t="s">
        <v>238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5"/>
      <c r="AB138" s="65"/>
      <c r="AC138" s="82"/>
    </row>
    <row r="139" spans="1:68" ht="14.25" customHeight="1" x14ac:dyDescent="0.25">
      <c r="A139" s="348" t="s">
        <v>153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49">
        <v>4607111039095</v>
      </c>
      <c r="E140" s="349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112</v>
      </c>
      <c r="L140" s="37" t="s">
        <v>88</v>
      </c>
      <c r="M140" s="38" t="s">
        <v>86</v>
      </c>
      <c r="N140" s="38"/>
      <c r="O140" s="37">
        <v>180</v>
      </c>
      <c r="P140" s="40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1"/>
      <c r="R140" s="351"/>
      <c r="S140" s="351"/>
      <c r="T140" s="352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89</v>
      </c>
      <c r="AK140" s="87">
        <v>1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49">
        <v>4607111034199</v>
      </c>
      <c r="E141" s="349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112</v>
      </c>
      <c r="L141" s="37" t="s">
        <v>113</v>
      </c>
      <c r="M141" s="38" t="s">
        <v>86</v>
      </c>
      <c r="N141" s="38"/>
      <c r="O141" s="37">
        <v>180</v>
      </c>
      <c r="P141" s="40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1"/>
      <c r="R141" s="351"/>
      <c r="S141" s="351"/>
      <c r="T141" s="352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114</v>
      </c>
      <c r="AK141" s="87">
        <v>70</v>
      </c>
      <c r="BB141" s="192" t="s">
        <v>111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1"/>
      <c r="B142" s="361"/>
      <c r="C142" s="361"/>
      <c r="D142" s="361"/>
      <c r="E142" s="361"/>
      <c r="F142" s="361"/>
      <c r="G142" s="361"/>
      <c r="H142" s="361"/>
      <c r="I142" s="361"/>
      <c r="J142" s="361"/>
      <c r="K142" s="361"/>
      <c r="L142" s="361"/>
      <c r="M142" s="361"/>
      <c r="N142" s="361"/>
      <c r="O142" s="362"/>
      <c r="P142" s="358" t="s">
        <v>40</v>
      </c>
      <c r="Q142" s="359"/>
      <c r="R142" s="359"/>
      <c r="S142" s="359"/>
      <c r="T142" s="359"/>
      <c r="U142" s="359"/>
      <c r="V142" s="360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7" t="s">
        <v>245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5"/>
      <c r="AB144" s="65"/>
      <c r="AC144" s="82"/>
    </row>
    <row r="145" spans="1:68" ht="14.25" customHeight="1" x14ac:dyDescent="0.25">
      <c r="A145" s="348" t="s">
        <v>153</v>
      </c>
      <c r="B145" s="348"/>
      <c r="C145" s="348"/>
      <c r="D145" s="348"/>
      <c r="E145" s="348"/>
      <c r="F145" s="348"/>
      <c r="G145" s="348"/>
      <c r="H145" s="348"/>
      <c r="I145" s="348"/>
      <c r="J145" s="348"/>
      <c r="K145" s="348"/>
      <c r="L145" s="348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49">
        <v>4620207490914</v>
      </c>
      <c r="E146" s="349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88</v>
      </c>
      <c r="M146" s="38" t="s">
        <v>86</v>
      </c>
      <c r="N146" s="38"/>
      <c r="O146" s="37">
        <v>180</v>
      </c>
      <c r="P146" s="40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1"/>
      <c r="R146" s="351"/>
      <c r="S146" s="351"/>
      <c r="T146" s="352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89</v>
      </c>
      <c r="AK146" s="87">
        <v>1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49">
        <v>4620207490853</v>
      </c>
      <c r="E147" s="349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112</v>
      </c>
      <c r="L147" s="37" t="s">
        <v>124</v>
      </c>
      <c r="M147" s="38" t="s">
        <v>86</v>
      </c>
      <c r="N147" s="38"/>
      <c r="O147" s="37">
        <v>180</v>
      </c>
      <c r="P147" s="4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1"/>
      <c r="R147" s="351"/>
      <c r="S147" s="351"/>
      <c r="T147" s="352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125</v>
      </c>
      <c r="AK147" s="87">
        <v>14</v>
      </c>
      <c r="BB147" s="196" t="s">
        <v>111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1"/>
      <c r="B148" s="361"/>
      <c r="C148" s="361"/>
      <c r="D148" s="361"/>
      <c r="E148" s="361"/>
      <c r="F148" s="361"/>
      <c r="G148" s="361"/>
      <c r="H148" s="361"/>
      <c r="I148" s="361"/>
      <c r="J148" s="361"/>
      <c r="K148" s="361"/>
      <c r="L148" s="361"/>
      <c r="M148" s="361"/>
      <c r="N148" s="361"/>
      <c r="O148" s="362"/>
      <c r="P148" s="358" t="s">
        <v>40</v>
      </c>
      <c r="Q148" s="359"/>
      <c r="R148" s="359"/>
      <c r="S148" s="359"/>
      <c r="T148" s="359"/>
      <c r="U148" s="359"/>
      <c r="V148" s="360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1"/>
      <c r="B149" s="361"/>
      <c r="C149" s="361"/>
      <c r="D149" s="361"/>
      <c r="E149" s="361"/>
      <c r="F149" s="361"/>
      <c r="G149" s="361"/>
      <c r="H149" s="361"/>
      <c r="I149" s="361"/>
      <c r="J149" s="361"/>
      <c r="K149" s="361"/>
      <c r="L149" s="361"/>
      <c r="M149" s="361"/>
      <c r="N149" s="361"/>
      <c r="O149" s="362"/>
      <c r="P149" s="358" t="s">
        <v>40</v>
      </c>
      <c r="Q149" s="359"/>
      <c r="R149" s="359"/>
      <c r="S149" s="359"/>
      <c r="T149" s="359"/>
      <c r="U149" s="359"/>
      <c r="V149" s="360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7" t="s">
        <v>250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5"/>
      <c r="AB150" s="65"/>
      <c r="AC150" s="82"/>
    </row>
    <row r="151" spans="1:68" ht="14.25" customHeight="1" x14ac:dyDescent="0.25">
      <c r="A151" s="348" t="s">
        <v>153</v>
      </c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49">
        <v>4607111035806</v>
      </c>
      <c r="E152" s="349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112</v>
      </c>
      <c r="L152" s="37" t="s">
        <v>124</v>
      </c>
      <c r="M152" s="38" t="s">
        <v>86</v>
      </c>
      <c r="N152" s="38"/>
      <c r="O152" s="37">
        <v>180</v>
      </c>
      <c r="P152" s="4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1"/>
      <c r="R152" s="351"/>
      <c r="S152" s="351"/>
      <c r="T152" s="352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125</v>
      </c>
      <c r="AK152" s="87">
        <v>14</v>
      </c>
      <c r="BB152" s="198" t="s">
        <v>111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1"/>
      <c r="B153" s="361"/>
      <c r="C153" s="361"/>
      <c r="D153" s="361"/>
      <c r="E153" s="361"/>
      <c r="F153" s="361"/>
      <c r="G153" s="361"/>
      <c r="H153" s="361"/>
      <c r="I153" s="361"/>
      <c r="J153" s="361"/>
      <c r="K153" s="361"/>
      <c r="L153" s="361"/>
      <c r="M153" s="361"/>
      <c r="N153" s="361"/>
      <c r="O153" s="362"/>
      <c r="P153" s="358" t="s">
        <v>40</v>
      </c>
      <c r="Q153" s="359"/>
      <c r="R153" s="359"/>
      <c r="S153" s="359"/>
      <c r="T153" s="359"/>
      <c r="U153" s="359"/>
      <c r="V153" s="360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1"/>
      <c r="B154" s="361"/>
      <c r="C154" s="361"/>
      <c r="D154" s="361"/>
      <c r="E154" s="361"/>
      <c r="F154" s="361"/>
      <c r="G154" s="361"/>
      <c r="H154" s="361"/>
      <c r="I154" s="361"/>
      <c r="J154" s="361"/>
      <c r="K154" s="361"/>
      <c r="L154" s="361"/>
      <c r="M154" s="361"/>
      <c r="N154" s="361"/>
      <c r="O154" s="362"/>
      <c r="P154" s="358" t="s">
        <v>40</v>
      </c>
      <c r="Q154" s="359"/>
      <c r="R154" s="359"/>
      <c r="S154" s="359"/>
      <c r="T154" s="359"/>
      <c r="U154" s="359"/>
      <c r="V154" s="360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7" t="s">
        <v>254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5"/>
      <c r="AB155" s="65"/>
      <c r="AC155" s="82"/>
    </row>
    <row r="156" spans="1:68" ht="14.25" customHeight="1" x14ac:dyDescent="0.25">
      <c r="A156" s="348" t="s">
        <v>153</v>
      </c>
      <c r="B156" s="348"/>
      <c r="C156" s="348"/>
      <c r="D156" s="348"/>
      <c r="E156" s="348"/>
      <c r="F156" s="348"/>
      <c r="G156" s="348"/>
      <c r="H156" s="348"/>
      <c r="I156" s="348"/>
      <c r="J156" s="348"/>
      <c r="K156" s="348"/>
      <c r="L156" s="348"/>
      <c r="M156" s="348"/>
      <c r="N156" s="348"/>
      <c r="O156" s="348"/>
      <c r="P156" s="348"/>
      <c r="Q156" s="348"/>
      <c r="R156" s="348"/>
      <c r="S156" s="348"/>
      <c r="T156" s="348"/>
      <c r="U156" s="348"/>
      <c r="V156" s="348"/>
      <c r="W156" s="348"/>
      <c r="X156" s="348"/>
      <c r="Y156" s="348"/>
      <c r="Z156" s="348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49">
        <v>4607111039613</v>
      </c>
      <c r="E157" s="349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112</v>
      </c>
      <c r="L157" s="37" t="s">
        <v>124</v>
      </c>
      <c r="M157" s="38" t="s">
        <v>86</v>
      </c>
      <c r="N157" s="38"/>
      <c r="O157" s="37">
        <v>180</v>
      </c>
      <c r="P157" s="41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1"/>
      <c r="R157" s="351"/>
      <c r="S157" s="351"/>
      <c r="T157" s="352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125</v>
      </c>
      <c r="AK157" s="87">
        <v>14</v>
      </c>
      <c r="BB157" s="200" t="s">
        <v>111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1"/>
      <c r="B158" s="361"/>
      <c r="C158" s="361"/>
      <c r="D158" s="361"/>
      <c r="E158" s="361"/>
      <c r="F158" s="361"/>
      <c r="G158" s="361"/>
      <c r="H158" s="361"/>
      <c r="I158" s="361"/>
      <c r="J158" s="361"/>
      <c r="K158" s="361"/>
      <c r="L158" s="361"/>
      <c r="M158" s="361"/>
      <c r="N158" s="361"/>
      <c r="O158" s="362"/>
      <c r="P158" s="358" t="s">
        <v>40</v>
      </c>
      <c r="Q158" s="359"/>
      <c r="R158" s="359"/>
      <c r="S158" s="359"/>
      <c r="T158" s="359"/>
      <c r="U158" s="359"/>
      <c r="V158" s="360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1"/>
      <c r="B159" s="361"/>
      <c r="C159" s="361"/>
      <c r="D159" s="361"/>
      <c r="E159" s="361"/>
      <c r="F159" s="361"/>
      <c r="G159" s="361"/>
      <c r="H159" s="361"/>
      <c r="I159" s="361"/>
      <c r="J159" s="361"/>
      <c r="K159" s="361"/>
      <c r="L159" s="361"/>
      <c r="M159" s="361"/>
      <c r="N159" s="361"/>
      <c r="O159" s="362"/>
      <c r="P159" s="358" t="s">
        <v>40</v>
      </c>
      <c r="Q159" s="359"/>
      <c r="R159" s="359"/>
      <c r="S159" s="359"/>
      <c r="T159" s="359"/>
      <c r="U159" s="359"/>
      <c r="V159" s="360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7" t="s">
        <v>257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5"/>
      <c r="AB160" s="65"/>
      <c r="AC160" s="82"/>
    </row>
    <row r="161" spans="1:68" ht="14.25" customHeight="1" x14ac:dyDescent="0.25">
      <c r="A161" s="348" t="s">
        <v>228</v>
      </c>
      <c r="B161" s="348"/>
      <c r="C161" s="348"/>
      <c r="D161" s="348"/>
      <c r="E161" s="348"/>
      <c r="F161" s="348"/>
      <c r="G161" s="348"/>
      <c r="H161" s="348"/>
      <c r="I161" s="348"/>
      <c r="J161" s="348"/>
      <c r="K161" s="348"/>
      <c r="L161" s="348"/>
      <c r="M161" s="348"/>
      <c r="N161" s="348"/>
      <c r="O161" s="348"/>
      <c r="P161" s="348"/>
      <c r="Q161" s="348"/>
      <c r="R161" s="348"/>
      <c r="S161" s="348"/>
      <c r="T161" s="348"/>
      <c r="U161" s="348"/>
      <c r="V161" s="348"/>
      <c r="W161" s="348"/>
      <c r="X161" s="348"/>
      <c r="Y161" s="348"/>
      <c r="Z161" s="348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49">
        <v>4607111035646</v>
      </c>
      <c r="E162" s="349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88</v>
      </c>
      <c r="M162" s="38" t="s">
        <v>86</v>
      </c>
      <c r="N162" s="38"/>
      <c r="O162" s="37">
        <v>180</v>
      </c>
      <c r="P162" s="413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1"/>
      <c r="R162" s="351"/>
      <c r="S162" s="351"/>
      <c r="T162" s="352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89</v>
      </c>
      <c r="AK162" s="87">
        <v>1</v>
      </c>
      <c r="BB162" s="202" t="s">
        <v>111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1"/>
      <c r="B163" s="361"/>
      <c r="C163" s="361"/>
      <c r="D163" s="361"/>
      <c r="E163" s="361"/>
      <c r="F163" s="361"/>
      <c r="G163" s="361"/>
      <c r="H163" s="361"/>
      <c r="I163" s="361"/>
      <c r="J163" s="361"/>
      <c r="K163" s="361"/>
      <c r="L163" s="361"/>
      <c r="M163" s="361"/>
      <c r="N163" s="361"/>
      <c r="O163" s="362"/>
      <c r="P163" s="358" t="s">
        <v>40</v>
      </c>
      <c r="Q163" s="359"/>
      <c r="R163" s="359"/>
      <c r="S163" s="359"/>
      <c r="T163" s="359"/>
      <c r="U163" s="359"/>
      <c r="V163" s="360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1"/>
      <c r="B164" s="361"/>
      <c r="C164" s="361"/>
      <c r="D164" s="361"/>
      <c r="E164" s="361"/>
      <c r="F164" s="361"/>
      <c r="G164" s="361"/>
      <c r="H164" s="361"/>
      <c r="I164" s="361"/>
      <c r="J164" s="361"/>
      <c r="K164" s="361"/>
      <c r="L164" s="361"/>
      <c r="M164" s="361"/>
      <c r="N164" s="361"/>
      <c r="O164" s="362"/>
      <c r="P164" s="358" t="s">
        <v>40</v>
      </c>
      <c r="Q164" s="359"/>
      <c r="R164" s="359"/>
      <c r="S164" s="359"/>
      <c r="T164" s="359"/>
      <c r="U164" s="359"/>
      <c r="V164" s="360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7" t="s">
        <v>262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5"/>
      <c r="AB165" s="65"/>
      <c r="AC165" s="82"/>
    </row>
    <row r="166" spans="1:68" ht="14.25" customHeight="1" x14ac:dyDescent="0.25">
      <c r="A166" s="348" t="s">
        <v>153</v>
      </c>
      <c r="B166" s="348"/>
      <c r="C166" s="348"/>
      <c r="D166" s="348"/>
      <c r="E166" s="348"/>
      <c r="F166" s="348"/>
      <c r="G166" s="348"/>
      <c r="H166" s="348"/>
      <c r="I166" s="348"/>
      <c r="J166" s="348"/>
      <c r="K166" s="348"/>
      <c r="L166" s="348"/>
      <c r="M166" s="348"/>
      <c r="N166" s="348"/>
      <c r="O166" s="348"/>
      <c r="P166" s="348"/>
      <c r="Q166" s="348"/>
      <c r="R166" s="348"/>
      <c r="S166" s="348"/>
      <c r="T166" s="348"/>
      <c r="U166" s="348"/>
      <c r="V166" s="348"/>
      <c r="W166" s="348"/>
      <c r="X166" s="348"/>
      <c r="Y166" s="348"/>
      <c r="Z166" s="348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49">
        <v>4607111036568</v>
      </c>
      <c r="E167" s="349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112</v>
      </c>
      <c r="L167" s="37" t="s">
        <v>88</v>
      </c>
      <c r="M167" s="38" t="s">
        <v>86</v>
      </c>
      <c r="N167" s="38"/>
      <c r="O167" s="37">
        <v>180</v>
      </c>
      <c r="P167" s="41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1"/>
      <c r="R167" s="351"/>
      <c r="S167" s="351"/>
      <c r="T167" s="352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89</v>
      </c>
      <c r="AK167" s="87">
        <v>1</v>
      </c>
      <c r="BB167" s="204" t="s">
        <v>111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1"/>
      <c r="B168" s="361"/>
      <c r="C168" s="361"/>
      <c r="D168" s="361"/>
      <c r="E168" s="361"/>
      <c r="F168" s="361"/>
      <c r="G168" s="361"/>
      <c r="H168" s="361"/>
      <c r="I168" s="361"/>
      <c r="J168" s="361"/>
      <c r="K168" s="361"/>
      <c r="L168" s="361"/>
      <c r="M168" s="361"/>
      <c r="N168" s="361"/>
      <c r="O168" s="362"/>
      <c r="P168" s="358" t="s">
        <v>40</v>
      </c>
      <c r="Q168" s="359"/>
      <c r="R168" s="359"/>
      <c r="S168" s="359"/>
      <c r="T168" s="359"/>
      <c r="U168" s="359"/>
      <c r="V168" s="360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1"/>
      <c r="B169" s="361"/>
      <c r="C169" s="361"/>
      <c r="D169" s="361"/>
      <c r="E169" s="361"/>
      <c r="F169" s="361"/>
      <c r="G169" s="361"/>
      <c r="H169" s="361"/>
      <c r="I169" s="361"/>
      <c r="J169" s="361"/>
      <c r="K169" s="361"/>
      <c r="L169" s="361"/>
      <c r="M169" s="361"/>
      <c r="N169" s="361"/>
      <c r="O169" s="362"/>
      <c r="P169" s="358" t="s">
        <v>40</v>
      </c>
      <c r="Q169" s="359"/>
      <c r="R169" s="359"/>
      <c r="S169" s="359"/>
      <c r="T169" s="359"/>
      <c r="U169" s="359"/>
      <c r="V169" s="360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6" t="s">
        <v>266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54"/>
      <c r="AB170" s="54"/>
      <c r="AC170" s="54"/>
    </row>
    <row r="171" spans="1:68" ht="16.5" customHeight="1" x14ac:dyDescent="0.25">
      <c r="A171" s="347" t="s">
        <v>267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5"/>
      <c r="AB171" s="65"/>
      <c r="AC171" s="82"/>
    </row>
    <row r="172" spans="1:68" ht="14.25" customHeight="1" x14ac:dyDescent="0.25">
      <c r="A172" s="348" t="s">
        <v>82</v>
      </c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49">
        <v>4607111036384</v>
      </c>
      <c r="E173" s="349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87</v>
      </c>
      <c r="L173" s="37" t="s">
        <v>124</v>
      </c>
      <c r="M173" s="38" t="s">
        <v>86</v>
      </c>
      <c r="N173" s="38"/>
      <c r="O173" s="37">
        <v>180</v>
      </c>
      <c r="P173" s="4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1"/>
      <c r="R173" s="351"/>
      <c r="S173" s="351"/>
      <c r="T173" s="352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125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49">
        <v>4607111036216</v>
      </c>
      <c r="E174" s="349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87</v>
      </c>
      <c r="L174" s="37" t="s">
        <v>124</v>
      </c>
      <c r="M174" s="38" t="s">
        <v>86</v>
      </c>
      <c r="N174" s="38"/>
      <c r="O174" s="37">
        <v>180</v>
      </c>
      <c r="P174" s="41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1"/>
      <c r="R174" s="351"/>
      <c r="S174" s="351"/>
      <c r="T174" s="352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125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1"/>
      <c r="B175" s="361"/>
      <c r="C175" s="361"/>
      <c r="D175" s="361"/>
      <c r="E175" s="361"/>
      <c r="F175" s="361"/>
      <c r="G175" s="361"/>
      <c r="H175" s="361"/>
      <c r="I175" s="361"/>
      <c r="J175" s="361"/>
      <c r="K175" s="361"/>
      <c r="L175" s="361"/>
      <c r="M175" s="361"/>
      <c r="N175" s="361"/>
      <c r="O175" s="362"/>
      <c r="P175" s="358" t="s">
        <v>40</v>
      </c>
      <c r="Q175" s="359"/>
      <c r="R175" s="359"/>
      <c r="S175" s="359"/>
      <c r="T175" s="359"/>
      <c r="U175" s="359"/>
      <c r="V175" s="360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1"/>
      <c r="B176" s="361"/>
      <c r="C176" s="361"/>
      <c r="D176" s="361"/>
      <c r="E176" s="361"/>
      <c r="F176" s="361"/>
      <c r="G176" s="361"/>
      <c r="H176" s="361"/>
      <c r="I176" s="361"/>
      <c r="J176" s="361"/>
      <c r="K176" s="361"/>
      <c r="L176" s="361"/>
      <c r="M176" s="361"/>
      <c r="N176" s="361"/>
      <c r="O176" s="362"/>
      <c r="P176" s="358" t="s">
        <v>40</v>
      </c>
      <c r="Q176" s="359"/>
      <c r="R176" s="359"/>
      <c r="S176" s="359"/>
      <c r="T176" s="359"/>
      <c r="U176" s="359"/>
      <c r="V176" s="360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6" t="s">
        <v>274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54"/>
      <c r="AB177" s="54"/>
      <c r="AC177" s="54"/>
    </row>
    <row r="178" spans="1:68" ht="16.5" customHeight="1" x14ac:dyDescent="0.25">
      <c r="A178" s="347" t="s">
        <v>275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5"/>
      <c r="AB178" s="65"/>
      <c r="AC178" s="82"/>
    </row>
    <row r="179" spans="1:68" ht="14.25" customHeight="1" x14ac:dyDescent="0.25">
      <c r="A179" s="348" t="s">
        <v>107</v>
      </c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348"/>
      <c r="O179" s="348"/>
      <c r="P179" s="348"/>
      <c r="Q179" s="348"/>
      <c r="R179" s="348"/>
      <c r="S179" s="348"/>
      <c r="T179" s="348"/>
      <c r="U179" s="348"/>
      <c r="V179" s="348"/>
      <c r="W179" s="348"/>
      <c r="X179" s="348"/>
      <c r="Y179" s="348"/>
      <c r="Z179" s="348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49">
        <v>4607111035691</v>
      </c>
      <c r="E180" s="349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1"/>
      <c r="R180" s="351"/>
      <c r="S180" s="351"/>
      <c r="T180" s="352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70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49">
        <v>4607111035721</v>
      </c>
      <c r="E181" s="349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365</v>
      </c>
      <c r="P181" s="41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1"/>
      <c r="R181" s="351"/>
      <c r="S181" s="351"/>
      <c r="T181" s="352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70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49">
        <v>4607111038487</v>
      </c>
      <c r="E182" s="349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112</v>
      </c>
      <c r="L182" s="37" t="s">
        <v>113</v>
      </c>
      <c r="M182" s="38" t="s">
        <v>86</v>
      </c>
      <c r="N182" s="38"/>
      <c r="O182" s="37">
        <v>180</v>
      </c>
      <c r="P182" s="41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1"/>
      <c r="R182" s="351"/>
      <c r="S182" s="351"/>
      <c r="T182" s="352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114</v>
      </c>
      <c r="AK182" s="87">
        <v>70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2"/>
      <c r="P183" s="358" t="s">
        <v>40</v>
      </c>
      <c r="Q183" s="359"/>
      <c r="R183" s="359"/>
      <c r="S183" s="359"/>
      <c r="T183" s="359"/>
      <c r="U183" s="359"/>
      <c r="V183" s="360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48" t="s">
        <v>285</v>
      </c>
      <c r="B185" s="348"/>
      <c r="C185" s="348"/>
      <c r="D185" s="348"/>
      <c r="E185" s="348"/>
      <c r="F185" s="348"/>
      <c r="G185" s="348"/>
      <c r="H185" s="348"/>
      <c r="I185" s="348"/>
      <c r="J185" s="348"/>
      <c r="K185" s="348"/>
      <c r="L185" s="348"/>
      <c r="M185" s="348"/>
      <c r="N185" s="348"/>
      <c r="O185" s="348"/>
      <c r="P185" s="348"/>
      <c r="Q185" s="348"/>
      <c r="R185" s="348"/>
      <c r="S185" s="348"/>
      <c r="T185" s="348"/>
      <c r="U185" s="348"/>
      <c r="V185" s="348"/>
      <c r="W185" s="348"/>
      <c r="X185" s="348"/>
      <c r="Y185" s="348"/>
      <c r="Z185" s="348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9">
        <v>4680115885875</v>
      </c>
      <c r="E186" s="349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20" t="s">
        <v>288</v>
      </c>
      <c r="Q186" s="351"/>
      <c r="R186" s="351"/>
      <c r="S186" s="351"/>
      <c r="T186" s="352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1"/>
      <c r="B187" s="361"/>
      <c r="C187" s="361"/>
      <c r="D187" s="361"/>
      <c r="E187" s="361"/>
      <c r="F187" s="361"/>
      <c r="G187" s="361"/>
      <c r="H187" s="361"/>
      <c r="I187" s="361"/>
      <c r="J187" s="361"/>
      <c r="K187" s="361"/>
      <c r="L187" s="361"/>
      <c r="M187" s="361"/>
      <c r="N187" s="361"/>
      <c r="O187" s="362"/>
      <c r="P187" s="358" t="s">
        <v>40</v>
      </c>
      <c r="Q187" s="359"/>
      <c r="R187" s="359"/>
      <c r="S187" s="359"/>
      <c r="T187" s="359"/>
      <c r="U187" s="359"/>
      <c r="V187" s="360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61"/>
      <c r="B188" s="361"/>
      <c r="C188" s="361"/>
      <c r="D188" s="361"/>
      <c r="E188" s="361"/>
      <c r="F188" s="361"/>
      <c r="G188" s="361"/>
      <c r="H188" s="361"/>
      <c r="I188" s="361"/>
      <c r="J188" s="361"/>
      <c r="K188" s="361"/>
      <c r="L188" s="361"/>
      <c r="M188" s="361"/>
      <c r="N188" s="361"/>
      <c r="O188" s="362"/>
      <c r="P188" s="358" t="s">
        <v>40</v>
      </c>
      <c r="Q188" s="359"/>
      <c r="R188" s="359"/>
      <c r="S188" s="359"/>
      <c r="T188" s="359"/>
      <c r="U188" s="359"/>
      <c r="V188" s="360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6" t="s">
        <v>293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54"/>
      <c r="AB189" s="54"/>
      <c r="AC189" s="54"/>
    </row>
    <row r="190" spans="1:68" ht="16.5" customHeight="1" x14ac:dyDescent="0.25">
      <c r="A190" s="347" t="s">
        <v>294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5"/>
      <c r="AB190" s="65"/>
      <c r="AC190" s="82"/>
    </row>
    <row r="191" spans="1:68" ht="14.25" customHeight="1" x14ac:dyDescent="0.25">
      <c r="A191" s="348" t="s">
        <v>107</v>
      </c>
      <c r="B191" s="348"/>
      <c r="C191" s="348"/>
      <c r="D191" s="348"/>
      <c r="E191" s="348"/>
      <c r="F191" s="348"/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9">
        <v>4620207491133</v>
      </c>
      <c r="E192" s="349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124</v>
      </c>
      <c r="M192" s="38" t="s">
        <v>86</v>
      </c>
      <c r="N192" s="38"/>
      <c r="O192" s="37">
        <v>180</v>
      </c>
      <c r="P192" s="4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51"/>
      <c r="R192" s="351"/>
      <c r="S192" s="351"/>
      <c r="T192" s="352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125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2"/>
      <c r="P193" s="358" t="s">
        <v>40</v>
      </c>
      <c r="Q193" s="359"/>
      <c r="R193" s="359"/>
      <c r="S193" s="359"/>
      <c r="T193" s="359"/>
      <c r="U193" s="359"/>
      <c r="V193" s="360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1"/>
      <c r="B194" s="361"/>
      <c r="C194" s="361"/>
      <c r="D194" s="361"/>
      <c r="E194" s="361"/>
      <c r="F194" s="361"/>
      <c r="G194" s="361"/>
      <c r="H194" s="361"/>
      <c r="I194" s="361"/>
      <c r="J194" s="361"/>
      <c r="K194" s="361"/>
      <c r="L194" s="361"/>
      <c r="M194" s="361"/>
      <c r="N194" s="361"/>
      <c r="O194" s="362"/>
      <c r="P194" s="358" t="s">
        <v>40</v>
      </c>
      <c r="Q194" s="359"/>
      <c r="R194" s="359"/>
      <c r="S194" s="359"/>
      <c r="T194" s="359"/>
      <c r="U194" s="359"/>
      <c r="V194" s="360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8" t="s">
        <v>153</v>
      </c>
      <c r="B195" s="348"/>
      <c r="C195" s="348"/>
      <c r="D195" s="348"/>
      <c r="E195" s="348"/>
      <c r="F195" s="348"/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9">
        <v>4620207491188</v>
      </c>
      <c r="E196" s="349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51"/>
      <c r="R196" s="351"/>
      <c r="S196" s="351"/>
      <c r="T196" s="352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9">
        <v>4620207490198</v>
      </c>
      <c r="E197" s="349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124</v>
      </c>
      <c r="M197" s="38" t="s">
        <v>86</v>
      </c>
      <c r="N197" s="38"/>
      <c r="O197" s="37">
        <v>180</v>
      </c>
      <c r="P197" s="4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51"/>
      <c r="R197" s="351"/>
      <c r="S197" s="351"/>
      <c r="T197" s="352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125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9">
        <v>4620207490235</v>
      </c>
      <c r="E198" s="349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51"/>
      <c r="R198" s="351"/>
      <c r="S198" s="351"/>
      <c r="T198" s="352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9">
        <v>4620207490259</v>
      </c>
      <c r="E199" s="349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124</v>
      </c>
      <c r="M199" s="38" t="s">
        <v>86</v>
      </c>
      <c r="N199" s="38"/>
      <c r="O199" s="37">
        <v>180</v>
      </c>
      <c r="P199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51"/>
      <c r="R199" s="351"/>
      <c r="S199" s="351"/>
      <c r="T199" s="352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125</v>
      </c>
      <c r="AK199" s="87">
        <v>14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9">
        <v>4620207490143</v>
      </c>
      <c r="E200" s="349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51"/>
      <c r="R200" s="351"/>
      <c r="S200" s="351"/>
      <c r="T200" s="352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89</v>
      </c>
      <c r="AK200" s="87">
        <v>1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1"/>
      <c r="B201" s="361"/>
      <c r="C201" s="361"/>
      <c r="D201" s="361"/>
      <c r="E201" s="361"/>
      <c r="F201" s="361"/>
      <c r="G201" s="361"/>
      <c r="H201" s="361"/>
      <c r="I201" s="361"/>
      <c r="J201" s="361"/>
      <c r="K201" s="361"/>
      <c r="L201" s="361"/>
      <c r="M201" s="361"/>
      <c r="N201" s="361"/>
      <c r="O201" s="362"/>
      <c r="P201" s="358" t="s">
        <v>40</v>
      </c>
      <c r="Q201" s="359"/>
      <c r="R201" s="359"/>
      <c r="S201" s="359"/>
      <c r="T201" s="359"/>
      <c r="U201" s="359"/>
      <c r="V201" s="360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61"/>
      <c r="B202" s="361"/>
      <c r="C202" s="361"/>
      <c r="D202" s="361"/>
      <c r="E202" s="361"/>
      <c r="F202" s="361"/>
      <c r="G202" s="361"/>
      <c r="H202" s="361"/>
      <c r="I202" s="361"/>
      <c r="J202" s="361"/>
      <c r="K202" s="361"/>
      <c r="L202" s="361"/>
      <c r="M202" s="361"/>
      <c r="N202" s="361"/>
      <c r="O202" s="362"/>
      <c r="P202" s="358" t="s">
        <v>40</v>
      </c>
      <c r="Q202" s="359"/>
      <c r="R202" s="359"/>
      <c r="S202" s="359"/>
      <c r="T202" s="359"/>
      <c r="U202" s="359"/>
      <c r="V202" s="360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7" t="s">
        <v>312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5"/>
      <c r="AB203" s="65"/>
      <c r="AC203" s="82"/>
    </row>
    <row r="204" spans="1:68" ht="14.25" customHeight="1" x14ac:dyDescent="0.25">
      <c r="A204" s="348" t="s">
        <v>82</v>
      </c>
      <c r="B204" s="348"/>
      <c r="C204" s="348"/>
      <c r="D204" s="348"/>
      <c r="E204" s="348"/>
      <c r="F204" s="348"/>
      <c r="G204" s="348"/>
      <c r="H204" s="348"/>
      <c r="I204" s="348"/>
      <c r="J204" s="348"/>
      <c r="K204" s="348"/>
      <c r="L204" s="348"/>
      <c r="M204" s="348"/>
      <c r="N204" s="348"/>
      <c r="O204" s="348"/>
      <c r="P204" s="348"/>
      <c r="Q204" s="348"/>
      <c r="R204" s="348"/>
      <c r="S204" s="348"/>
      <c r="T204" s="348"/>
      <c r="U204" s="348"/>
      <c r="V204" s="348"/>
      <c r="W204" s="348"/>
      <c r="X204" s="348"/>
      <c r="Y204" s="348"/>
      <c r="Z204" s="348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9">
        <v>4620207491096</v>
      </c>
      <c r="E205" s="349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124</v>
      </c>
      <c r="M205" s="38" t="s">
        <v>86</v>
      </c>
      <c r="N205" s="38"/>
      <c r="O205" s="37">
        <v>180</v>
      </c>
      <c r="P205" s="4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51"/>
      <c r="R205" s="351"/>
      <c r="S205" s="351"/>
      <c r="T205" s="352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125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2"/>
      <c r="P206" s="358" t="s">
        <v>40</v>
      </c>
      <c r="Q206" s="359"/>
      <c r="R206" s="359"/>
      <c r="S206" s="359"/>
      <c r="T206" s="359"/>
      <c r="U206" s="359"/>
      <c r="V206" s="360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61"/>
      <c r="B207" s="361"/>
      <c r="C207" s="361"/>
      <c r="D207" s="361"/>
      <c r="E207" s="361"/>
      <c r="F207" s="361"/>
      <c r="G207" s="361"/>
      <c r="H207" s="361"/>
      <c r="I207" s="361"/>
      <c r="J207" s="361"/>
      <c r="K207" s="361"/>
      <c r="L207" s="361"/>
      <c r="M207" s="361"/>
      <c r="N207" s="361"/>
      <c r="O207" s="362"/>
      <c r="P207" s="358" t="s">
        <v>40</v>
      </c>
      <c r="Q207" s="359"/>
      <c r="R207" s="359"/>
      <c r="S207" s="359"/>
      <c r="T207" s="359"/>
      <c r="U207" s="359"/>
      <c r="V207" s="360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7" t="s">
        <v>316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5"/>
      <c r="AB208" s="65"/>
      <c r="AC208" s="82"/>
    </row>
    <row r="209" spans="1:68" ht="14.25" customHeight="1" x14ac:dyDescent="0.25">
      <c r="A209" s="348" t="s">
        <v>82</v>
      </c>
      <c r="B209" s="348"/>
      <c r="C209" s="348"/>
      <c r="D209" s="348"/>
      <c r="E209" s="348"/>
      <c r="F209" s="348"/>
      <c r="G209" s="348"/>
      <c r="H209" s="348"/>
      <c r="I209" s="348"/>
      <c r="J209" s="348"/>
      <c r="K209" s="348"/>
      <c r="L209" s="348"/>
      <c r="M209" s="348"/>
      <c r="N209" s="348"/>
      <c r="O209" s="348"/>
      <c r="P209" s="348"/>
      <c r="Q209" s="348"/>
      <c r="R209" s="348"/>
      <c r="S209" s="348"/>
      <c r="T209" s="348"/>
      <c r="U209" s="348"/>
      <c r="V209" s="348"/>
      <c r="W209" s="348"/>
      <c r="X209" s="348"/>
      <c r="Y209" s="348"/>
      <c r="Z209" s="348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349">
        <v>4620207490709</v>
      </c>
      <c r="E210" s="349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87</v>
      </c>
      <c r="L210" s="37" t="s">
        <v>88</v>
      </c>
      <c r="M210" s="38" t="s">
        <v>86</v>
      </c>
      <c r="N210" s="38"/>
      <c r="O210" s="37">
        <v>180</v>
      </c>
      <c r="P210" s="428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351"/>
      <c r="R210" s="351"/>
      <c r="S210" s="351"/>
      <c r="T210" s="352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89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2"/>
      <c r="P211" s="358" t="s">
        <v>40</v>
      </c>
      <c r="Q211" s="359"/>
      <c r="R211" s="359"/>
      <c r="S211" s="359"/>
      <c r="T211" s="359"/>
      <c r="U211" s="359"/>
      <c r="V211" s="360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1"/>
      <c r="B212" s="361"/>
      <c r="C212" s="361"/>
      <c r="D212" s="361"/>
      <c r="E212" s="361"/>
      <c r="F212" s="361"/>
      <c r="G212" s="361"/>
      <c r="H212" s="361"/>
      <c r="I212" s="361"/>
      <c r="J212" s="361"/>
      <c r="K212" s="361"/>
      <c r="L212" s="361"/>
      <c r="M212" s="361"/>
      <c r="N212" s="361"/>
      <c r="O212" s="362"/>
      <c r="P212" s="358" t="s">
        <v>40</v>
      </c>
      <c r="Q212" s="359"/>
      <c r="R212" s="359"/>
      <c r="S212" s="359"/>
      <c r="T212" s="359"/>
      <c r="U212" s="359"/>
      <c r="V212" s="360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48" t="s">
        <v>153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49">
        <v>4620207490549</v>
      </c>
      <c r="E214" s="349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1"/>
      <c r="R214" s="351"/>
      <c r="S214" s="351"/>
      <c r="T214" s="352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49">
        <v>4620207490501</v>
      </c>
      <c r="E215" s="349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3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1"/>
      <c r="R215" s="351"/>
      <c r="S215" s="351"/>
      <c r="T215" s="352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2"/>
      <c r="P216" s="358" t="s">
        <v>40</v>
      </c>
      <c r="Q216" s="359"/>
      <c r="R216" s="359"/>
      <c r="S216" s="359"/>
      <c r="T216" s="359"/>
      <c r="U216" s="359"/>
      <c r="V216" s="360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2"/>
      <c r="P217" s="358" t="s">
        <v>40</v>
      </c>
      <c r="Q217" s="359"/>
      <c r="R217" s="359"/>
      <c r="S217" s="359"/>
      <c r="T217" s="359"/>
      <c r="U217" s="359"/>
      <c r="V217" s="360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6" t="s">
        <v>325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54"/>
      <c r="AB218" s="54"/>
      <c r="AC218" s="54"/>
    </row>
    <row r="219" spans="1:68" ht="16.5" customHeight="1" x14ac:dyDescent="0.25">
      <c r="A219" s="347" t="s">
        <v>326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5"/>
      <c r="AB219" s="65"/>
      <c r="AC219" s="82"/>
    </row>
    <row r="220" spans="1:68" ht="14.25" customHeight="1" x14ac:dyDescent="0.25">
      <c r="A220" s="348" t="s">
        <v>82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49">
        <v>4607111036162</v>
      </c>
      <c r="E221" s="349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87</v>
      </c>
      <c r="L221" s="37" t="s">
        <v>88</v>
      </c>
      <c r="M221" s="38" t="s">
        <v>86</v>
      </c>
      <c r="N221" s="38"/>
      <c r="O221" s="37">
        <v>90</v>
      </c>
      <c r="P221" s="43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1"/>
      <c r="R221" s="351"/>
      <c r="S221" s="351"/>
      <c r="T221" s="352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89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2"/>
      <c r="P222" s="358" t="s">
        <v>40</v>
      </c>
      <c r="Q222" s="359"/>
      <c r="R222" s="359"/>
      <c r="S222" s="359"/>
      <c r="T222" s="359"/>
      <c r="U222" s="359"/>
      <c r="V222" s="360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2"/>
      <c r="P223" s="358" t="s">
        <v>40</v>
      </c>
      <c r="Q223" s="359"/>
      <c r="R223" s="359"/>
      <c r="S223" s="359"/>
      <c r="T223" s="359"/>
      <c r="U223" s="359"/>
      <c r="V223" s="360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6" t="s">
        <v>330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54"/>
      <c r="AB224" s="54"/>
      <c r="AC224" s="54"/>
    </row>
    <row r="225" spans="1:68" ht="16.5" customHeight="1" x14ac:dyDescent="0.25">
      <c r="A225" s="347" t="s">
        <v>331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5"/>
      <c r="AB225" s="65"/>
      <c r="AC225" s="82"/>
    </row>
    <row r="226" spans="1:68" ht="14.25" customHeight="1" x14ac:dyDescent="0.25">
      <c r="A226" s="348" t="s">
        <v>82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49">
        <v>4607111035899</v>
      </c>
      <c r="E227" s="349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87</v>
      </c>
      <c r="L227" s="37" t="s">
        <v>113</v>
      </c>
      <c r="M227" s="38" t="s">
        <v>86</v>
      </c>
      <c r="N227" s="38"/>
      <c r="O227" s="37">
        <v>180</v>
      </c>
      <c r="P227" s="43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1"/>
      <c r="R227" s="351"/>
      <c r="S227" s="351"/>
      <c r="T227" s="352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114</v>
      </c>
      <c r="AK227" s="87">
        <v>84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2"/>
      <c r="P228" s="358" t="s">
        <v>40</v>
      </c>
      <c r="Q228" s="359"/>
      <c r="R228" s="359"/>
      <c r="S228" s="359"/>
      <c r="T228" s="359"/>
      <c r="U228" s="359"/>
      <c r="V228" s="360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2"/>
      <c r="P229" s="358" t="s">
        <v>40</v>
      </c>
      <c r="Q229" s="359"/>
      <c r="R229" s="359"/>
      <c r="S229" s="359"/>
      <c r="T229" s="359"/>
      <c r="U229" s="359"/>
      <c r="V229" s="360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6" t="s">
        <v>334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54"/>
      <c r="AB230" s="54"/>
      <c r="AC230" s="54"/>
    </row>
    <row r="231" spans="1:68" ht="16.5" customHeight="1" x14ac:dyDescent="0.25">
      <c r="A231" s="347" t="s">
        <v>335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5"/>
      <c r="AB231" s="65"/>
      <c r="AC231" s="82"/>
    </row>
    <row r="232" spans="1:68" ht="14.25" customHeight="1" x14ac:dyDescent="0.25">
      <c r="A232" s="348" t="s">
        <v>336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49">
        <v>4607111039774</v>
      </c>
      <c r="E233" s="349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1"/>
      <c r="R233" s="351"/>
      <c r="S233" s="351"/>
      <c r="T233" s="352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2"/>
      <c r="P234" s="358" t="s">
        <v>40</v>
      </c>
      <c r="Q234" s="359"/>
      <c r="R234" s="359"/>
      <c r="S234" s="359"/>
      <c r="T234" s="359"/>
      <c r="U234" s="359"/>
      <c r="V234" s="360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8" t="s">
        <v>153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49">
        <v>4607111039361</v>
      </c>
      <c r="E237" s="349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112</v>
      </c>
      <c r="L237" s="37" t="s">
        <v>88</v>
      </c>
      <c r="M237" s="38" t="s">
        <v>86</v>
      </c>
      <c r="N237" s="38"/>
      <c r="O237" s="37">
        <v>180</v>
      </c>
      <c r="P237" s="43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1"/>
      <c r="R237" s="351"/>
      <c r="S237" s="351"/>
      <c r="T237" s="352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89</v>
      </c>
      <c r="AK237" s="87">
        <v>1</v>
      </c>
      <c r="BB237" s="244" t="s">
        <v>111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2"/>
      <c r="P238" s="358" t="s">
        <v>40</v>
      </c>
      <c r="Q238" s="359"/>
      <c r="R238" s="359"/>
      <c r="S238" s="359"/>
      <c r="T238" s="359"/>
      <c r="U238" s="359"/>
      <c r="V238" s="360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2"/>
      <c r="P239" s="358" t="s">
        <v>40</v>
      </c>
      <c r="Q239" s="359"/>
      <c r="R239" s="359"/>
      <c r="S239" s="359"/>
      <c r="T239" s="359"/>
      <c r="U239" s="359"/>
      <c r="V239" s="360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6" t="s">
        <v>342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54"/>
      <c r="AB240" s="54"/>
      <c r="AC240" s="54"/>
    </row>
    <row r="241" spans="1:68" ht="16.5" customHeight="1" x14ac:dyDescent="0.25">
      <c r="A241" s="347" t="s">
        <v>342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5"/>
      <c r="AB241" s="65"/>
      <c r="AC241" s="82"/>
    </row>
    <row r="242" spans="1:68" ht="14.25" customHeight="1" x14ac:dyDescent="0.25">
      <c r="A242" s="348" t="s">
        <v>82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49">
        <v>4640242181264</v>
      </c>
      <c r="E243" s="349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1"/>
      <c r="R243" s="351"/>
      <c r="S243" s="351"/>
      <c r="T243" s="352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49">
        <v>4640242181325</v>
      </c>
      <c r="E244" s="349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88</v>
      </c>
      <c r="M244" s="38" t="s">
        <v>86</v>
      </c>
      <c r="N244" s="38"/>
      <c r="O244" s="37">
        <v>180</v>
      </c>
      <c r="P244" s="43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1"/>
      <c r="R244" s="351"/>
      <c r="S244" s="351"/>
      <c r="T244" s="352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89</v>
      </c>
      <c r="AK244" s="87">
        <v>1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2"/>
      <c r="P245" s="358" t="s">
        <v>40</v>
      </c>
      <c r="Q245" s="359"/>
      <c r="R245" s="359"/>
      <c r="S245" s="359"/>
      <c r="T245" s="359"/>
      <c r="U245" s="359"/>
      <c r="V245" s="360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8" t="s">
        <v>107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49">
        <v>4640242180397</v>
      </c>
      <c r="E248" s="349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1"/>
      <c r="R248" s="351"/>
      <c r="S248" s="351"/>
      <c r="T248" s="352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84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2"/>
      <c r="P249" s="358" t="s">
        <v>40</v>
      </c>
      <c r="Q249" s="359"/>
      <c r="R249" s="359"/>
      <c r="S249" s="359"/>
      <c r="T249" s="359"/>
      <c r="U249" s="359"/>
      <c r="V249" s="360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2"/>
      <c r="P250" s="358" t="s">
        <v>40</v>
      </c>
      <c r="Q250" s="359"/>
      <c r="R250" s="359"/>
      <c r="S250" s="359"/>
      <c r="T250" s="359"/>
      <c r="U250" s="359"/>
      <c r="V250" s="360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48" t="s">
        <v>147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6"/>
      <c r="AB251" s="66"/>
      <c r="AC251" s="83"/>
    </row>
    <row r="252" spans="1:68" ht="27" customHeight="1" x14ac:dyDescent="0.25">
      <c r="A252" s="63" t="s">
        <v>351</v>
      </c>
      <c r="B252" s="63" t="s">
        <v>352</v>
      </c>
      <c r="C252" s="36">
        <v>4301136051</v>
      </c>
      <c r="D252" s="349">
        <v>4640242180304</v>
      </c>
      <c r="E252" s="349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112</v>
      </c>
      <c r="L252" s="37" t="s">
        <v>124</v>
      </c>
      <c r="M252" s="38" t="s">
        <v>86</v>
      </c>
      <c r="N252" s="38"/>
      <c r="O252" s="37">
        <v>180</v>
      </c>
      <c r="P252" s="43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1"/>
      <c r="R252" s="351"/>
      <c r="S252" s="351"/>
      <c r="T252" s="352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353</v>
      </c>
      <c r="AG252" s="81"/>
      <c r="AJ252" s="87" t="s">
        <v>125</v>
      </c>
      <c r="AK252" s="87">
        <v>14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4301136053</v>
      </c>
      <c r="D253" s="349">
        <v>4640242180236</v>
      </c>
      <c r="E253" s="349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87</v>
      </c>
      <c r="L253" s="37" t="s">
        <v>113</v>
      </c>
      <c r="M253" s="38" t="s">
        <v>86</v>
      </c>
      <c r="N253" s="38"/>
      <c r="O253" s="37">
        <v>180</v>
      </c>
      <c r="P253" s="4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1"/>
      <c r="R253" s="351"/>
      <c r="S253" s="351"/>
      <c r="T253" s="352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353</v>
      </c>
      <c r="AG253" s="81"/>
      <c r="AJ253" s="87" t="s">
        <v>114</v>
      </c>
      <c r="AK253" s="87">
        <v>84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4301136052</v>
      </c>
      <c r="D254" s="349">
        <v>4640242180410</v>
      </c>
      <c r="E254" s="349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112</v>
      </c>
      <c r="L254" s="37" t="s">
        <v>124</v>
      </c>
      <c r="M254" s="38" t="s">
        <v>86</v>
      </c>
      <c r="N254" s="38"/>
      <c r="O254" s="37">
        <v>180</v>
      </c>
      <c r="P254" s="4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1"/>
      <c r="R254" s="351"/>
      <c r="S254" s="351"/>
      <c r="T254" s="352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353</v>
      </c>
      <c r="AG254" s="81"/>
      <c r="AJ254" s="87" t="s">
        <v>125</v>
      </c>
      <c r="AK254" s="87">
        <v>14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2"/>
      <c r="P255" s="358" t="s">
        <v>40</v>
      </c>
      <c r="Q255" s="359"/>
      <c r="R255" s="359"/>
      <c r="S255" s="359"/>
      <c r="T255" s="359"/>
      <c r="U255" s="359"/>
      <c r="V255" s="360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2"/>
      <c r="P256" s="358" t="s">
        <v>40</v>
      </c>
      <c r="Q256" s="359"/>
      <c r="R256" s="359"/>
      <c r="S256" s="359"/>
      <c r="T256" s="359"/>
      <c r="U256" s="359"/>
      <c r="V256" s="360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8" t="s">
        <v>153</v>
      </c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66"/>
      <c r="AB257" s="66"/>
      <c r="AC257" s="83"/>
    </row>
    <row r="258" spans="1:68" ht="37.5" customHeight="1" x14ac:dyDescent="0.25">
      <c r="A258" s="63" t="s">
        <v>358</v>
      </c>
      <c r="B258" s="63" t="s">
        <v>359</v>
      </c>
      <c r="C258" s="36">
        <v>4301135504</v>
      </c>
      <c r="D258" s="349">
        <v>4640242181554</v>
      </c>
      <c r="E258" s="349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88</v>
      </c>
      <c r="M258" s="38" t="s">
        <v>86</v>
      </c>
      <c r="N258" s="38"/>
      <c r="O258" s="37">
        <v>180</v>
      </c>
      <c r="P258" s="4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1"/>
      <c r="R258" s="351"/>
      <c r="S258" s="351"/>
      <c r="T258" s="352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89</v>
      </c>
      <c r="AK258" s="87">
        <v>1</v>
      </c>
      <c r="BB258" s="258" t="s">
        <v>111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4301135518</v>
      </c>
      <c r="D259" s="349">
        <v>4640242181561</v>
      </c>
      <c r="E259" s="349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124</v>
      </c>
      <c r="M259" s="38" t="s">
        <v>86</v>
      </c>
      <c r="N259" s="38"/>
      <c r="O259" s="37">
        <v>180</v>
      </c>
      <c r="P259" s="44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1"/>
      <c r="R259" s="351"/>
      <c r="S259" s="351"/>
      <c r="T259" s="352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125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4301135374</v>
      </c>
      <c r="D260" s="349">
        <v>4640242181424</v>
      </c>
      <c r="E260" s="349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87</v>
      </c>
      <c r="L260" s="37" t="s">
        <v>124</v>
      </c>
      <c r="M260" s="38" t="s">
        <v>86</v>
      </c>
      <c r="N260" s="38"/>
      <c r="O260" s="37">
        <v>180</v>
      </c>
      <c r="P260" s="44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1"/>
      <c r="R260" s="351"/>
      <c r="S260" s="351"/>
      <c r="T260" s="352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125</v>
      </c>
      <c r="AK260" s="87">
        <v>12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4301135405</v>
      </c>
      <c r="D261" s="349">
        <v>4640242181523</v>
      </c>
      <c r="E261" s="349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112</v>
      </c>
      <c r="L261" s="37" t="s">
        <v>124</v>
      </c>
      <c r="M261" s="38" t="s">
        <v>86</v>
      </c>
      <c r="N261" s="38"/>
      <c r="O261" s="37">
        <v>180</v>
      </c>
      <c r="P261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1"/>
      <c r="R261" s="351"/>
      <c r="S261" s="351"/>
      <c r="T261" s="352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125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4301135375</v>
      </c>
      <c r="D262" s="349">
        <v>4640242181486</v>
      </c>
      <c r="E262" s="349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124</v>
      </c>
      <c r="M262" s="38" t="s">
        <v>86</v>
      </c>
      <c r="N262" s="38"/>
      <c r="O262" s="37">
        <v>180</v>
      </c>
      <c r="P262" s="44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1"/>
      <c r="R262" s="351"/>
      <c r="S262" s="351"/>
      <c r="T262" s="352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360</v>
      </c>
      <c r="AG262" s="81"/>
      <c r="AJ262" s="87" t="s">
        <v>125</v>
      </c>
      <c r="AK262" s="87">
        <v>14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4301135402</v>
      </c>
      <c r="D263" s="349">
        <v>4640242181493</v>
      </c>
      <c r="E263" s="349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1"/>
      <c r="R263" s="351"/>
      <c r="S263" s="351"/>
      <c r="T263" s="352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360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4301135403</v>
      </c>
      <c r="D264" s="349">
        <v>4640242181509</v>
      </c>
      <c r="E264" s="349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1"/>
      <c r="R264" s="351"/>
      <c r="S264" s="351"/>
      <c r="T264" s="352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360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4301135304</v>
      </c>
      <c r="D265" s="349">
        <v>4640242181240</v>
      </c>
      <c r="E265" s="349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1"/>
      <c r="R265" s="351"/>
      <c r="S265" s="351"/>
      <c r="T265" s="352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4301135610</v>
      </c>
      <c r="D266" s="349">
        <v>4640242181318</v>
      </c>
      <c r="E266" s="349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4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1"/>
      <c r="R266" s="351"/>
      <c r="S266" s="351"/>
      <c r="T266" s="352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4301135306</v>
      </c>
      <c r="D267" s="349">
        <v>4640242181387</v>
      </c>
      <c r="E267" s="349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165</v>
      </c>
      <c r="L267" s="37" t="s">
        <v>88</v>
      </c>
      <c r="M267" s="38" t="s">
        <v>86</v>
      </c>
      <c r="N267" s="38"/>
      <c r="O267" s="37">
        <v>180</v>
      </c>
      <c r="P267" s="45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1"/>
      <c r="R267" s="351"/>
      <c r="S267" s="351"/>
      <c r="T267" s="352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360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2"/>
      <c r="P268" s="358" t="s">
        <v>40</v>
      </c>
      <c r="Q268" s="359"/>
      <c r="R268" s="359"/>
      <c r="S268" s="359"/>
      <c r="T268" s="359"/>
      <c r="U268" s="359"/>
      <c r="V268" s="360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2"/>
      <c r="P269" s="358" t="s">
        <v>40</v>
      </c>
      <c r="Q269" s="359"/>
      <c r="R269" s="359"/>
      <c r="S269" s="359"/>
      <c r="T269" s="359"/>
      <c r="U269" s="359"/>
      <c r="V269" s="360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5"/>
      <c r="P270" s="452" t="s">
        <v>33</v>
      </c>
      <c r="Q270" s="453"/>
      <c r="R270" s="453"/>
      <c r="S270" s="453"/>
      <c r="T270" s="453"/>
      <c r="U270" s="453"/>
      <c r="V270" s="454"/>
      <c r="W270" s="42" t="s">
        <v>0</v>
      </c>
      <c r="X270" s="43">
        <f>IFERROR(X29+X35+X42+X49+X57+X62+X66+X71+X77+X83+X88+X94+X104+X110+X122+X127+X131+X137+X143+X149+X154+X159+X164+X169+X176+X184+X188+X194+X202+X207+X212+X217+X223+X229+X235+X239+X246+X250+X256+X269,"0")</f>
        <v>0</v>
      </c>
      <c r="Y270" s="43">
        <f>IFERROR(Y29+Y35+Y42+Y49+Y57+Y62+Y66+Y71+Y77+Y83+Y88+Y94+Y104+Y110+Y122+Y127+Y131+Y137+Y143+Y149+Y154+Y159+Y164+Y169+Y176+Y184+Y188+Y194+Y202+Y207+Y212+Y217+Y223+Y229+Y235+Y239+Y246+Y250+Y256+Y269,"0")</f>
        <v>0</v>
      </c>
      <c r="Z270" s="42"/>
      <c r="AA270" s="67"/>
      <c r="AB270" s="67"/>
      <c r="AC270" s="67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5"/>
      <c r="P271" s="452" t="s">
        <v>34</v>
      </c>
      <c r="Q271" s="453"/>
      <c r="R271" s="453"/>
      <c r="S271" s="453"/>
      <c r="T271" s="453"/>
      <c r="U271" s="453"/>
      <c r="V271" s="454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5"/>
      <c r="P272" s="452" t="s">
        <v>35</v>
      </c>
      <c r="Q272" s="453"/>
      <c r="R272" s="453"/>
      <c r="S272" s="453"/>
      <c r="T272" s="453"/>
      <c r="U272" s="453"/>
      <c r="V272" s="454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455"/>
      <c r="P273" s="452" t="s">
        <v>36</v>
      </c>
      <c r="Q273" s="453"/>
      <c r="R273" s="453"/>
      <c r="S273" s="453"/>
      <c r="T273" s="453"/>
      <c r="U273" s="453"/>
      <c r="V273" s="454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455"/>
      <c r="P274" s="452" t="s">
        <v>37</v>
      </c>
      <c r="Q274" s="453"/>
      <c r="R274" s="453"/>
      <c r="S274" s="453"/>
      <c r="T274" s="453"/>
      <c r="U274" s="453"/>
      <c r="V274" s="454"/>
      <c r="W274" s="42" t="s">
        <v>20</v>
      </c>
      <c r="X274" s="43">
        <f>IFERROR(X28+X34+X41+X48+X56+X61+X65+X70+X76+X82+X87+X93+X103+X109+X121+X126+X130+X136+X142+X148+X153+X158+X163+X168+X175+X183+X187+X193+X201+X206+X211+X216+X222+X228+X234+X238+X245+X249+X255+X268,"0")</f>
        <v>0</v>
      </c>
      <c r="Y274" s="43">
        <f>IFERROR(Y28+Y34+Y41+Y48+Y56+Y61+Y65+Y70+Y76+Y82+Y87+Y93+Y103+Y109+Y121+Y126+Y130+Y136+Y142+Y148+Y153+Y158+Y163+Y168+Y175+Y183+Y187+Y193+Y201+Y206+Y211+Y216+Y222+Y228+Y234+Y238+Y245+Y249+Y255+Y268,"0")</f>
        <v>0</v>
      </c>
      <c r="Z274" s="42"/>
      <c r="AA274" s="67"/>
      <c r="AB274" s="67"/>
      <c r="AC274" s="67"/>
    </row>
    <row r="275" spans="1:32" ht="14.25" x14ac:dyDescent="0.2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455"/>
      <c r="P275" s="452" t="s">
        <v>38</v>
      </c>
      <c r="Q275" s="453"/>
      <c r="R275" s="453"/>
      <c r="S275" s="453"/>
      <c r="T275" s="453"/>
      <c r="U275" s="453"/>
      <c r="V275" s="454"/>
      <c r="W275" s="45" t="s">
        <v>52</v>
      </c>
      <c r="X275" s="42"/>
      <c r="Y275" s="42"/>
      <c r="Z275" s="42">
        <f>IFERROR(Z28+Z34+Z41+Z48+Z56+Z61+Z65+Z70+Z76+Z82+Z87+Z93+Z103+Z109+Z121+Z126+Z130+Z136+Z142+Z148+Z153+Z158+Z163+Z168+Z175+Z183+Z187+Z193+Z201+Z206+Z211+Z216+Z222+Z228+Z234+Z238+Z245+Z249+Z255+Z268,"0")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1" t="s">
        <v>81</v>
      </c>
      <c r="C277" s="451" t="s">
        <v>81</v>
      </c>
      <c r="D277" s="451" t="s">
        <v>45</v>
      </c>
      <c r="E277" s="451" t="s">
        <v>45</v>
      </c>
      <c r="F277" s="451" t="s">
        <v>45</v>
      </c>
      <c r="G277" s="451" t="s">
        <v>45</v>
      </c>
      <c r="H277" s="451" t="s">
        <v>45</v>
      </c>
      <c r="I277" s="451" t="s">
        <v>45</v>
      </c>
      <c r="J277" s="451" t="s">
        <v>45</v>
      </c>
      <c r="K277" s="451" t="s">
        <v>45</v>
      </c>
      <c r="L277" s="451" t="s">
        <v>45</v>
      </c>
      <c r="M277" s="451" t="s">
        <v>45</v>
      </c>
      <c r="N277" s="456"/>
      <c r="O277" s="451" t="s">
        <v>45</v>
      </c>
      <c r="P277" s="451" t="s">
        <v>45</v>
      </c>
      <c r="Q277" s="451" t="s">
        <v>45</v>
      </c>
      <c r="R277" s="451" t="s">
        <v>45</v>
      </c>
      <c r="S277" s="451" t="s">
        <v>45</v>
      </c>
      <c r="T277" s="451" t="s">
        <v>45</v>
      </c>
      <c r="U277" s="451" t="s">
        <v>45</v>
      </c>
      <c r="V277" s="88" t="s">
        <v>266</v>
      </c>
      <c r="W277" s="88" t="s">
        <v>274</v>
      </c>
      <c r="X277" s="451" t="s">
        <v>293</v>
      </c>
      <c r="Y277" s="451" t="s">
        <v>293</v>
      </c>
      <c r="Z277" s="451" t="s">
        <v>293</v>
      </c>
      <c r="AA277" s="88" t="s">
        <v>325</v>
      </c>
      <c r="AB277" s="88" t="s">
        <v>330</v>
      </c>
      <c r="AC277" s="88" t="s">
        <v>334</v>
      </c>
      <c r="AD277" s="88" t="s">
        <v>342</v>
      </c>
      <c r="AF277" s="1"/>
    </row>
    <row r="278" spans="1:32" ht="14.25" customHeight="1" thickTop="1" x14ac:dyDescent="0.2">
      <c r="A278" s="457" t="s">
        <v>10</v>
      </c>
      <c r="B278" s="451" t="s">
        <v>81</v>
      </c>
      <c r="C278" s="451" t="s">
        <v>100</v>
      </c>
      <c r="D278" s="451" t="s">
        <v>106</v>
      </c>
      <c r="E278" s="451" t="s">
        <v>117</v>
      </c>
      <c r="F278" s="451" t="s">
        <v>129</v>
      </c>
      <c r="G278" s="451" t="s">
        <v>140</v>
      </c>
      <c r="H278" s="451" t="s">
        <v>161</v>
      </c>
      <c r="I278" s="451" t="s">
        <v>168</v>
      </c>
      <c r="J278" s="451" t="s">
        <v>172</v>
      </c>
      <c r="K278" s="451" t="s">
        <v>180</v>
      </c>
      <c r="L278" s="451" t="s">
        <v>195</v>
      </c>
      <c r="M278" s="451" t="s">
        <v>201</v>
      </c>
      <c r="N278" s="1"/>
      <c r="O278" s="451" t="s">
        <v>232</v>
      </c>
      <c r="P278" s="451" t="s">
        <v>238</v>
      </c>
      <c r="Q278" s="451" t="s">
        <v>245</v>
      </c>
      <c r="R278" s="451" t="s">
        <v>250</v>
      </c>
      <c r="S278" s="451" t="s">
        <v>254</v>
      </c>
      <c r="T278" s="451" t="s">
        <v>257</v>
      </c>
      <c r="U278" s="451" t="s">
        <v>262</v>
      </c>
      <c r="V278" s="451" t="s">
        <v>267</v>
      </c>
      <c r="W278" s="451" t="s">
        <v>275</v>
      </c>
      <c r="X278" s="451" t="s">
        <v>294</v>
      </c>
      <c r="Y278" s="451" t="s">
        <v>312</v>
      </c>
      <c r="Z278" s="451" t="s">
        <v>316</v>
      </c>
      <c r="AA278" s="451" t="s">
        <v>326</v>
      </c>
      <c r="AB278" s="451" t="s">
        <v>331</v>
      </c>
      <c r="AC278" s="451" t="s">
        <v>335</v>
      </c>
      <c r="AD278" s="451" t="s">
        <v>342</v>
      </c>
      <c r="AF278" s="1"/>
    </row>
    <row r="279" spans="1:32" ht="13.5" thickBot="1" x14ac:dyDescent="0.25">
      <c r="A279" s="458"/>
      <c r="B279" s="451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1"/>
      <c r="O279" s="451"/>
      <c r="P279" s="451"/>
      <c r="Q279" s="451"/>
      <c r="R279" s="451"/>
      <c r="S279" s="451"/>
      <c r="T279" s="451"/>
      <c r="U279" s="451"/>
      <c r="V279" s="451"/>
      <c r="W279" s="451"/>
      <c r="X279" s="451"/>
      <c r="Y279" s="451"/>
      <c r="Z279" s="451"/>
      <c r="AA279" s="451"/>
      <c r="AB279" s="451"/>
      <c r="AC279" s="451"/>
      <c r="AD279" s="451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0</v>
      </c>
      <c r="N280" s="1"/>
      <c r="O280" s="52">
        <f>IFERROR(X134*H134,"0")+IFERROR(X135*H135,"0")</f>
        <v>0</v>
      </c>
      <c r="P280" s="52">
        <f>IFERROR(X140*H140,"0")+IFERROR(X141*H141,"0")</f>
        <v>0</v>
      </c>
      <c r="Q280" s="52">
        <f>IFERROR(X146*H146,"0")+IFERROR(X147*H147,"0")</f>
        <v>0</v>
      </c>
      <c r="R280" s="52">
        <f>IFERROR(X152*H152,"0")</f>
        <v>0</v>
      </c>
      <c r="S280" s="52">
        <f>IFERROR(X157*H157,"0")</f>
        <v>0</v>
      </c>
      <c r="T280" s="52">
        <f>IFERROR(X162*H162,"0")</f>
        <v>0</v>
      </c>
      <c r="U280" s="52">
        <f>IFERROR(X167*H167,"0")</f>
        <v>0</v>
      </c>
      <c r="V280" s="52">
        <f>IFERROR(X173*H173,"0")+IFERROR(X174*H174,"0")</f>
        <v>0</v>
      </c>
      <c r="W280" s="52">
        <f>IFERROR(X180*H180,"0")+IFERROR(X181*H181,"0")+IFERROR(X182*H182,"0")+IFERROR(X186*H186,"0")</f>
        <v>0</v>
      </c>
      <c r="X280" s="52">
        <f>IFERROR(X192*H192,"0")+IFERROR(X196*H196,"0")+IFERROR(X197*H197,"0")+IFERROR(X198*H198,"0")+IFERROR(X199*H199,"0")+IFERROR(X200*H200,"0")</f>
        <v>0</v>
      </c>
      <c r="Y280" s="52">
        <f>IFERROR(X205*H205,"0")</f>
        <v>0</v>
      </c>
      <c r="Z280" s="52">
        <f>IFERROR(X210*H210,"0")+IFERROR(X214*H214,"0")+IFERROR(X215*H215,"0")</f>
        <v>0</v>
      </c>
      <c r="AA280" s="52">
        <f>IFERROR(X221*H221,"0")</f>
        <v>0</v>
      </c>
      <c r="AB280" s="52">
        <f>IFERROR(X227*H227,"0")</f>
        <v>0</v>
      </c>
      <c r="AC280" s="52">
        <f>IFERROR(X233*H233,"0")+IFERROR(X237*H237,"0")</f>
        <v>0</v>
      </c>
      <c r="AD280" s="52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K86faNYuvSCTq8f8NHgIxOqfVcAyieQzG+egN0qLZi/wj6FgMyHYi9VRCTNKkl+8jVncQx+nqyGO1KDXcRGxAw==" saltValue="vU8g+NHFChvJPyeNuJxIC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Y278:Y279"/>
    <mergeCell ref="Z278:Z279"/>
    <mergeCell ref="AA278:AA279"/>
    <mergeCell ref="AB278:AB279"/>
    <mergeCell ref="AC278:AC279"/>
    <mergeCell ref="AD278:AD279"/>
    <mergeCell ref="X277:Z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X278:X279"/>
    <mergeCell ref="P270:V270"/>
    <mergeCell ref="A270:O275"/>
    <mergeCell ref="P271:V271"/>
    <mergeCell ref="P272:V272"/>
    <mergeCell ref="P273:V273"/>
    <mergeCell ref="P274:V274"/>
    <mergeCell ref="P275:V275"/>
    <mergeCell ref="B277:C277"/>
    <mergeCell ref="D277:U277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:X267 X258 X243:X244 X237 X233 X221 X214:X215 X210 X200 X198 X196 X186 X167 X162 X146 X140 X129 X125 X120 X117 X114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3 X248 X227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59:X262 X254 X252 X205 X199 X197 X192 X173:X174 X157 X152 X147 X124 X118 X115 X113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d1Z2k8BPVr+iqvg6RWh8/xqfTGR19wUetC/SDOs7h2a5tusOMPIjtvAXmd99vHnH+7sdfEDYUd7BQOOZkmpNhA==" saltValue="gA4W/DYX1eGz6O+b1+K5S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2026-01-12T06:30:38Z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