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C033602-1193-4B22-9B66-B45F4DC58B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P262" i="2"/>
  <c r="BP261" i="2"/>
  <c r="BO261" i="2"/>
  <c r="BN261" i="2"/>
  <c r="BM261" i="2"/>
  <c r="Z261" i="2"/>
  <c r="Y261" i="2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7" i="2"/>
  <c r="X256" i="2"/>
  <c r="BO255" i="2"/>
  <c r="BM255" i="2"/>
  <c r="Z255" i="2"/>
  <c r="Y255" i="2"/>
  <c r="BN255" i="2" s="1"/>
  <c r="P255" i="2"/>
  <c r="BO254" i="2"/>
  <c r="BM254" i="2"/>
  <c r="Z254" i="2"/>
  <c r="Y254" i="2"/>
  <c r="BP254" i="2" s="1"/>
  <c r="P254" i="2"/>
  <c r="BO253" i="2"/>
  <c r="BM253" i="2"/>
  <c r="Z253" i="2"/>
  <c r="Z256" i="2" s="1"/>
  <c r="Y253" i="2"/>
  <c r="BN253" i="2" s="1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Z250" i="2" s="1"/>
  <c r="Y248" i="2"/>
  <c r="BP248" i="2" s="1"/>
  <c r="P248" i="2"/>
  <c r="X246" i="2"/>
  <c r="X245" i="2"/>
  <c r="BP244" i="2"/>
  <c r="BO244" i="2"/>
  <c r="BN244" i="2"/>
  <c r="BM244" i="2"/>
  <c r="Z244" i="2"/>
  <c r="Y244" i="2"/>
  <c r="P244" i="2"/>
  <c r="BO243" i="2"/>
  <c r="BM243" i="2"/>
  <c r="Z243" i="2"/>
  <c r="Z245" i="2" s="1"/>
  <c r="Y243" i="2"/>
  <c r="BP243" i="2" s="1"/>
  <c r="P243" i="2"/>
  <c r="X239" i="2"/>
  <c r="X238" i="2"/>
  <c r="BO237" i="2"/>
  <c r="BM237" i="2"/>
  <c r="Z237" i="2"/>
  <c r="Z238" i="2" s="1"/>
  <c r="Y237" i="2"/>
  <c r="Y238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2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BN214" i="2" s="1"/>
  <c r="P214" i="2"/>
  <c r="X212" i="2"/>
  <c r="X211" i="2"/>
  <c r="BO210" i="2"/>
  <c r="BM210" i="2"/>
  <c r="Z210" i="2"/>
  <c r="Z211" i="2" s="1"/>
  <c r="Y210" i="2"/>
  <c r="Y212" i="2" s="1"/>
  <c r="P210" i="2"/>
  <c r="Y207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BN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Z196" i="2"/>
  <c r="Y196" i="2"/>
  <c r="Y202" i="2" s="1"/>
  <c r="P196" i="2"/>
  <c r="Y194" i="2"/>
  <c r="X194" i="2"/>
  <c r="X193" i="2"/>
  <c r="BO192" i="2"/>
  <c r="BM192" i="2"/>
  <c r="Z192" i="2"/>
  <c r="Z193" i="2" s="1"/>
  <c r="Y192" i="2"/>
  <c r="Y193" i="2" s="1"/>
  <c r="P192" i="2"/>
  <c r="X188" i="2"/>
  <c r="X187" i="2"/>
  <c r="BO186" i="2"/>
  <c r="BM186" i="2"/>
  <c r="Z186" i="2"/>
  <c r="Z187" i="2" s="1"/>
  <c r="Y186" i="2"/>
  <c r="BN186" i="2" s="1"/>
  <c r="X184" i="2"/>
  <c r="X183" i="2"/>
  <c r="BO182" i="2"/>
  <c r="BM182" i="2"/>
  <c r="Z182" i="2"/>
  <c r="Y182" i="2"/>
  <c r="BP182" i="2" s="1"/>
  <c r="P182" i="2"/>
  <c r="BO181" i="2"/>
  <c r="BM181" i="2"/>
  <c r="Z181" i="2"/>
  <c r="Z183" i="2" s="1"/>
  <c r="Y181" i="2"/>
  <c r="BP181" i="2" s="1"/>
  <c r="P181" i="2"/>
  <c r="BO180" i="2"/>
  <c r="BM180" i="2"/>
  <c r="Z180" i="2"/>
  <c r="Y180" i="2"/>
  <c r="Y184" i="2" s="1"/>
  <c r="P180" i="2"/>
  <c r="X176" i="2"/>
  <c r="X175" i="2"/>
  <c r="BO174" i="2"/>
  <c r="BM174" i="2"/>
  <c r="Z174" i="2"/>
  <c r="Y174" i="2"/>
  <c r="BP174" i="2" s="1"/>
  <c r="P174" i="2"/>
  <c r="BO173" i="2"/>
  <c r="BM173" i="2"/>
  <c r="Z173" i="2"/>
  <c r="Z175" i="2" s="1"/>
  <c r="Y173" i="2"/>
  <c r="P173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Z158" i="2" s="1"/>
  <c r="Y157" i="2"/>
  <c r="BN157" i="2" s="1"/>
  <c r="P157" i="2"/>
  <c r="X154" i="2"/>
  <c r="X153" i="2"/>
  <c r="BO152" i="2"/>
  <c r="BM152" i="2"/>
  <c r="Z152" i="2"/>
  <c r="Z153" i="2" s="1"/>
  <c r="Y152" i="2"/>
  <c r="Y154" i="2" s="1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Z148" i="2" s="1"/>
  <c r="Y146" i="2"/>
  <c r="BP146" i="2" s="1"/>
  <c r="P146" i="2"/>
  <c r="X143" i="2"/>
  <c r="X142" i="2"/>
  <c r="BO141" i="2"/>
  <c r="BM141" i="2"/>
  <c r="Z141" i="2"/>
  <c r="Y141" i="2"/>
  <c r="BN141" i="2" s="1"/>
  <c r="P141" i="2"/>
  <c r="BO140" i="2"/>
  <c r="BM140" i="2"/>
  <c r="Z140" i="2"/>
  <c r="Y140" i="2"/>
  <c r="BP140" i="2" s="1"/>
  <c r="P140" i="2"/>
  <c r="X137" i="2"/>
  <c r="X136" i="2"/>
  <c r="BO135" i="2"/>
  <c r="BM135" i="2"/>
  <c r="Z135" i="2"/>
  <c r="Y135" i="2"/>
  <c r="Y137" i="2" s="1"/>
  <c r="P135" i="2"/>
  <c r="BP134" i="2"/>
  <c r="BO134" i="2"/>
  <c r="BN134" i="2"/>
  <c r="BM134" i="2"/>
  <c r="Z134" i="2"/>
  <c r="Z136" i="2" s="1"/>
  <c r="Y134" i="2"/>
  <c r="P134" i="2"/>
  <c r="X131" i="2"/>
  <c r="X130" i="2"/>
  <c r="BO129" i="2"/>
  <c r="BM129" i="2"/>
  <c r="Z129" i="2"/>
  <c r="Z130" i="2" s="1"/>
  <c r="Y129" i="2"/>
  <c r="Y131" i="2" s="1"/>
  <c r="P129" i="2"/>
  <c r="Y127" i="2"/>
  <c r="X127" i="2"/>
  <c r="Y126" i="2"/>
  <c r="X126" i="2"/>
  <c r="BP125" i="2"/>
  <c r="BO125" i="2"/>
  <c r="BN125" i="2"/>
  <c r="BM125" i="2"/>
  <c r="Z125" i="2"/>
  <c r="Z126" i="2" s="1"/>
  <c r="Y125" i="2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Y123" i="2" s="1"/>
  <c r="P113" i="2"/>
  <c r="X110" i="2"/>
  <c r="X109" i="2"/>
  <c r="BO108" i="2"/>
  <c r="BM108" i="2"/>
  <c r="Z108" i="2"/>
  <c r="Y108" i="2"/>
  <c r="BP108" i="2" s="1"/>
  <c r="P108" i="2"/>
  <c r="BO107" i="2"/>
  <c r="BM107" i="2"/>
  <c r="Z107" i="2"/>
  <c r="Z109" i="2" s="1"/>
  <c r="Y107" i="2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BP91" i="2" s="1"/>
  <c r="P91" i="2"/>
  <c r="X88" i="2"/>
  <c r="X87" i="2"/>
  <c r="BO86" i="2"/>
  <c r="BM86" i="2"/>
  <c r="Z86" i="2"/>
  <c r="Z87" i="2" s="1"/>
  <c r="Y86" i="2"/>
  <c r="BP86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N74" i="2"/>
  <c r="BM74" i="2"/>
  <c r="Z74" i="2"/>
  <c r="Z76" i="2" s="1"/>
  <c r="Y74" i="2"/>
  <c r="BP74" i="2" s="1"/>
  <c r="P74" i="2"/>
  <c r="BO73" i="2"/>
  <c r="BM73" i="2"/>
  <c r="Z73" i="2"/>
  <c r="Y73" i="2"/>
  <c r="BN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BP68" i="2" s="1"/>
  <c r="P68" i="2"/>
  <c r="X66" i="2"/>
  <c r="Y65" i="2"/>
  <c r="X65" i="2"/>
  <c r="BP64" i="2"/>
  <c r="BO64" i="2"/>
  <c r="BN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N53" i="2" s="1"/>
  <c r="P53" i="2"/>
  <c r="BO52" i="2"/>
  <c r="BM52" i="2"/>
  <c r="Z52" i="2"/>
  <c r="Y52" i="2"/>
  <c r="BN52" i="2" s="1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Y48" i="2" s="1"/>
  <c r="P46" i="2"/>
  <c r="BP45" i="2"/>
  <c r="BO45" i="2"/>
  <c r="BN45" i="2"/>
  <c r="BM45" i="2"/>
  <c r="Z45" i="2"/>
  <c r="Z48" i="2" s="1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Z41" i="2" s="1"/>
  <c r="Y39" i="2"/>
  <c r="P39" i="2"/>
  <c r="X35" i="2"/>
  <c r="X34" i="2"/>
  <c r="BO33" i="2"/>
  <c r="BM33" i="2"/>
  <c r="Z33" i="2"/>
  <c r="Y33" i="2"/>
  <c r="BP33" i="2" s="1"/>
  <c r="P33" i="2"/>
  <c r="BO32" i="2"/>
  <c r="BM32" i="2"/>
  <c r="Z32" i="2"/>
  <c r="Z34" i="2" s="1"/>
  <c r="Y32" i="2"/>
  <c r="P32" i="2"/>
  <c r="X29" i="2"/>
  <c r="X28" i="2"/>
  <c r="X275" i="2" s="1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Z28" i="2" l="1"/>
  <c r="X273" i="2"/>
  <c r="Y71" i="2"/>
  <c r="Y83" i="2"/>
  <c r="Y94" i="2"/>
  <c r="Y110" i="2"/>
  <c r="BP147" i="2"/>
  <c r="Y148" i="2"/>
  <c r="BP157" i="2"/>
  <c r="Y158" i="2"/>
  <c r="BP167" i="2"/>
  <c r="Y168" i="2"/>
  <c r="Y176" i="2"/>
  <c r="Z216" i="2"/>
  <c r="Y223" i="2"/>
  <c r="Y245" i="2"/>
  <c r="Y251" i="2"/>
  <c r="BP255" i="2"/>
  <c r="Y256" i="2"/>
  <c r="Y269" i="2"/>
  <c r="X272" i="2"/>
  <c r="BN27" i="2"/>
  <c r="X271" i="2"/>
  <c r="Y34" i="2"/>
  <c r="Y35" i="2"/>
  <c r="Y42" i="2"/>
  <c r="Y49" i="2"/>
  <c r="Z56" i="2"/>
  <c r="Y70" i="2"/>
  <c r="BP75" i="2"/>
  <c r="Y76" i="2"/>
  <c r="Y82" i="2"/>
  <c r="BN92" i="2"/>
  <c r="Y93" i="2"/>
  <c r="Z103" i="2"/>
  <c r="BN99" i="2"/>
  <c r="BP102" i="2"/>
  <c r="Y103" i="2"/>
  <c r="Y104" i="2"/>
  <c r="Y109" i="2"/>
  <c r="Z122" i="2"/>
  <c r="BN119" i="2"/>
  <c r="Z142" i="2"/>
  <c r="Y149" i="2"/>
  <c r="Y159" i="2"/>
  <c r="Y169" i="2"/>
  <c r="Y175" i="2"/>
  <c r="Y183" i="2"/>
  <c r="Z201" i="2"/>
  <c r="BP205" i="2"/>
  <c r="Y206" i="2"/>
  <c r="BP214" i="2"/>
  <c r="Y217" i="2"/>
  <c r="Y235" i="2"/>
  <c r="Y246" i="2"/>
  <c r="Y250" i="2"/>
  <c r="Y257" i="2"/>
  <c r="Z269" i="2"/>
  <c r="BN268" i="2"/>
  <c r="X274" i="2"/>
  <c r="BN24" i="2"/>
  <c r="Y28" i="2"/>
  <c r="Y56" i="2"/>
  <c r="BN86" i="2"/>
  <c r="F9" i="2"/>
  <c r="BN116" i="2"/>
  <c r="BN227" i="2"/>
  <c r="Y29" i="2"/>
  <c r="BN39" i="2"/>
  <c r="BN120" i="2"/>
  <c r="BP180" i="2"/>
  <c r="BP215" i="2"/>
  <c r="BP237" i="2"/>
  <c r="BN25" i="2"/>
  <c r="Y216" i="2"/>
  <c r="BN259" i="2"/>
  <c r="Y143" i="2"/>
  <c r="BN162" i="2"/>
  <c r="BN173" i="2"/>
  <c r="Y187" i="2"/>
  <c r="BN200" i="2"/>
  <c r="BN266" i="2"/>
  <c r="BN32" i="2"/>
  <c r="J9" i="2"/>
  <c r="A10" i="2"/>
  <c r="BP141" i="2"/>
  <c r="BN180" i="2"/>
  <c r="BP199" i="2"/>
  <c r="BN215" i="2"/>
  <c r="BN237" i="2"/>
  <c r="BN262" i="2"/>
  <c r="Y142" i="2"/>
  <c r="Y270" i="2"/>
  <c r="Y87" i="2"/>
  <c r="BP262" i="2"/>
  <c r="BP73" i="2"/>
  <c r="BN80" i="2"/>
  <c r="BP80" i="2"/>
  <c r="Y88" i="2"/>
  <c r="BN97" i="2"/>
  <c r="BP117" i="2"/>
  <c r="BN22" i="2"/>
  <c r="BP53" i="2"/>
  <c r="BN60" i="2"/>
  <c r="BN68" i="2"/>
  <c r="BP107" i="2"/>
  <c r="BN114" i="2"/>
  <c r="Y136" i="2"/>
  <c r="BP152" i="2"/>
  <c r="BP162" i="2"/>
  <c r="BP173" i="2"/>
  <c r="BN181" i="2"/>
  <c r="BP210" i="2"/>
  <c r="Y229" i="2"/>
  <c r="Y239" i="2"/>
  <c r="BN248" i="2"/>
  <c r="BP32" i="2"/>
  <c r="BN40" i="2"/>
  <c r="BN121" i="2"/>
  <c r="BN129" i="2"/>
  <c r="Y188" i="2"/>
  <c r="BN197" i="2"/>
  <c r="BN263" i="2"/>
  <c r="H9" i="2"/>
  <c r="Y77" i="2"/>
  <c r="BP52" i="2"/>
  <c r="Y57" i="2"/>
  <c r="BP227" i="2"/>
  <c r="BN135" i="2"/>
  <c r="BP186" i="2"/>
  <c r="BP253" i="2"/>
  <c r="Y153" i="2"/>
  <c r="Y163" i="2"/>
  <c r="Y201" i="2"/>
  <c r="Y211" i="2"/>
  <c r="BN254" i="2"/>
  <c r="BN265" i="2"/>
  <c r="BN113" i="2"/>
  <c r="BN196" i="2"/>
  <c r="BP113" i="2"/>
  <c r="BP39" i="2"/>
  <c r="BN46" i="2"/>
  <c r="BN100" i="2"/>
  <c r="BP196" i="2"/>
  <c r="BP46" i="2"/>
  <c r="BN107" i="2"/>
  <c r="BP135" i="2"/>
  <c r="BN152" i="2"/>
  <c r="BN210" i="2"/>
  <c r="BP60" i="2"/>
  <c r="BN47" i="2"/>
  <c r="BN101" i="2"/>
  <c r="BP129" i="2"/>
  <c r="BN146" i="2"/>
  <c r="BN26" i="2"/>
  <c r="Y61" i="2"/>
  <c r="BN81" i="2"/>
  <c r="BN91" i="2"/>
  <c r="BN118" i="2"/>
  <c r="BN260" i="2"/>
  <c r="Y41" i="2"/>
  <c r="BN54" i="2"/>
  <c r="BN108" i="2"/>
  <c r="Y122" i="2"/>
  <c r="Y130" i="2"/>
  <c r="BN174" i="2"/>
  <c r="BN221" i="2"/>
  <c r="BN233" i="2"/>
  <c r="BN243" i="2"/>
  <c r="BN267" i="2"/>
  <c r="BN33" i="2"/>
  <c r="BN98" i="2"/>
  <c r="BN192" i="2"/>
  <c r="BN23" i="2"/>
  <c r="BN69" i="2"/>
  <c r="BN115" i="2"/>
  <c r="BN182" i="2"/>
  <c r="BP221" i="2"/>
  <c r="BP233" i="2"/>
  <c r="BN249" i="2"/>
  <c r="BN140" i="2"/>
  <c r="BP192" i="2"/>
  <c r="BN198" i="2"/>
  <c r="BN264" i="2"/>
  <c r="Y273" i="2" l="1"/>
  <c r="Z276" i="2"/>
  <c r="Y275" i="2"/>
  <c r="Y272" i="2"/>
  <c r="Y274" i="2" s="1"/>
  <c r="A284" i="2"/>
  <c r="Y271" i="2"/>
  <c r="C284" i="2" s="1"/>
  <c r="B284" i="2" l="1"/>
</calcChain>
</file>

<file path=xl/sharedStrings.xml><?xml version="1.0" encoding="utf-8"?>
<sst xmlns="http://schemas.openxmlformats.org/spreadsheetml/2006/main" count="1673" uniqueCount="398">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</sst>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45999</v>
      </c>
      <c r="R5" s="286"/>
      <c r="T5" s="287" t="s">
        <v>3</v>
      </c>
      <c r="U5" s="288"/>
      <c r="V5" s="289" t="s">
        <v>384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78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72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79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0.41666666666666669</v>
      </c>
      <c r="R8" s="306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3"/>
      <c r="P9" s="31" t="s">
        <v>15</v>
      </c>
      <c r="Q9" s="311"/>
      <c r="R9" s="311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4"/>
      <c r="P10" s="31" t="s">
        <v>32</v>
      </c>
      <c r="Q10" s="313"/>
      <c r="R10" s="313"/>
      <c r="U10" s="29" t="s">
        <v>12</v>
      </c>
      <c r="V10" s="314" t="s">
        <v>73</v>
      </c>
      <c r="W10" s="31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6"/>
      <c r="R11" s="316"/>
      <c r="U11" s="29" t="s">
        <v>28</v>
      </c>
      <c r="V11" s="317" t="s">
        <v>55</v>
      </c>
      <c r="W11" s="3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8" t="s">
        <v>74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9"/>
      <c r="P12" s="27" t="s">
        <v>30</v>
      </c>
      <c r="Q12" s="306"/>
      <c r="R12" s="306"/>
      <c r="S12" s="28"/>
      <c r="T12"/>
      <c r="U12" s="29" t="s">
        <v>46</v>
      </c>
      <c r="V12" s="319"/>
      <c r="W12" s="319"/>
      <c r="X12"/>
      <c r="AB12" s="59"/>
      <c r="AC12" s="59"/>
      <c r="AD12" s="59"/>
      <c r="AE12" s="59"/>
    </row>
    <row r="13" spans="1:32" s="17" customFormat="1" ht="23.25" customHeight="1" x14ac:dyDescent="0.2">
      <c r="A13" s="318" t="s">
        <v>75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9"/>
      <c r="O13" s="31"/>
      <c r="P13" s="31" t="s">
        <v>31</v>
      </c>
      <c r="Q13" s="317"/>
      <c r="R13" s="3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8" t="s">
        <v>76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0" t="s">
        <v>77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80"/>
      <c r="O15"/>
      <c r="P15" s="321" t="s">
        <v>61</v>
      </c>
      <c r="Q15" s="321"/>
      <c r="R15" s="321"/>
      <c r="S15" s="321"/>
      <c r="T15" s="3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5"/>
      <c r="BD17" s="84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6" t="s">
        <v>44</v>
      </c>
      <c r="V18" s="86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5"/>
      <c r="BD18" s="84"/>
    </row>
    <row r="19" spans="1:68" ht="27.75" customHeight="1" x14ac:dyDescent="0.2">
      <c r="A19" s="347" t="s">
        <v>80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4"/>
      <c r="AB19" s="54"/>
      <c r="AC19" s="54"/>
    </row>
    <row r="20" spans="1:68" ht="16.5" customHeight="1" x14ac:dyDescent="0.25">
      <c r="A20" s="348" t="s">
        <v>80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5"/>
      <c r="AB20" s="65"/>
      <c r="AC20" s="82"/>
    </row>
    <row r="21" spans="1:68" ht="14.25" customHeight="1" x14ac:dyDescent="0.25">
      <c r="A21" s="349" t="s">
        <v>81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50">
        <v>4607111035912</v>
      </c>
      <c r="E22" s="350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2"/>
      <c r="R22" s="352"/>
      <c r="S22" s="352"/>
      <c r="T22" s="35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50">
        <v>4607111035103</v>
      </c>
      <c r="E23" s="350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2"/>
      <c r="R23" s="352"/>
      <c r="S23" s="352"/>
      <c r="T23" s="35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50">
        <v>4607111035929</v>
      </c>
      <c r="E24" s="350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2"/>
      <c r="R24" s="352"/>
      <c r="S24" s="352"/>
      <c r="T24" s="35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50">
        <v>4607111035882</v>
      </c>
      <c r="E25" s="350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2"/>
      <c r="R25" s="352"/>
      <c r="S25" s="352"/>
      <c r="T25" s="35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50">
        <v>4607111035110</v>
      </c>
      <c r="E26" s="350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2"/>
      <c r="R26" s="352"/>
      <c r="S26" s="352"/>
      <c r="T26" s="35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50">
        <v>4607111035905</v>
      </c>
      <c r="E27" s="35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2"/>
      <c r="R27" s="352"/>
      <c r="S27" s="352"/>
      <c r="T27" s="35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2"/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3"/>
      <c r="P28" s="359" t="s">
        <v>40</v>
      </c>
      <c r="Q28" s="360"/>
      <c r="R28" s="360"/>
      <c r="S28" s="360"/>
      <c r="T28" s="360"/>
      <c r="U28" s="360"/>
      <c r="V28" s="36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2"/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359" t="s">
        <v>40</v>
      </c>
      <c r="Q29" s="360"/>
      <c r="R29" s="360"/>
      <c r="S29" s="360"/>
      <c r="T29" s="360"/>
      <c r="U29" s="360"/>
      <c r="V29" s="36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8" t="s">
        <v>99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65"/>
      <c r="AB30" s="65"/>
      <c r="AC30" s="82"/>
    </row>
    <row r="31" spans="1:68" ht="14.25" customHeight="1" x14ac:dyDescent="0.25">
      <c r="A31" s="349" t="s">
        <v>81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50">
        <v>4607111039019</v>
      </c>
      <c r="E32" s="350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2"/>
      <c r="R32" s="352"/>
      <c r="S32" s="352"/>
      <c r="T32" s="353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50">
        <v>4607111038708</v>
      </c>
      <c r="E33" s="350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2"/>
      <c r="R33" s="352"/>
      <c r="S33" s="352"/>
      <c r="T33" s="35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2"/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3"/>
      <c r="P34" s="359" t="s">
        <v>40</v>
      </c>
      <c r="Q34" s="360"/>
      <c r="R34" s="360"/>
      <c r="S34" s="360"/>
      <c r="T34" s="360"/>
      <c r="U34" s="360"/>
      <c r="V34" s="36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2"/>
      <c r="B35" s="362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3"/>
      <c r="P35" s="359" t="s">
        <v>40</v>
      </c>
      <c r="Q35" s="360"/>
      <c r="R35" s="360"/>
      <c r="S35" s="360"/>
      <c r="T35" s="360"/>
      <c r="U35" s="360"/>
      <c r="V35" s="36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7" t="s">
        <v>45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54"/>
      <c r="AB36" s="54"/>
      <c r="AC36" s="54"/>
    </row>
    <row r="37" spans="1:68" ht="16.5" customHeight="1" x14ac:dyDescent="0.25">
      <c r="A37" s="348" t="s">
        <v>105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65"/>
      <c r="AB37" s="65"/>
      <c r="AC37" s="82"/>
    </row>
    <row r="38" spans="1:68" ht="14.25" customHeight="1" x14ac:dyDescent="0.25">
      <c r="A38" s="349" t="s">
        <v>106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50">
        <v>4607111036537</v>
      </c>
      <c r="E39" s="350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2"/>
      <c r="R39" s="352"/>
      <c r="S39" s="352"/>
      <c r="T39" s="35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50">
        <v>4607111036605</v>
      </c>
      <c r="E40" s="350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116</v>
      </c>
      <c r="M40" s="38" t="s">
        <v>85</v>
      </c>
      <c r="N40" s="38"/>
      <c r="O40" s="37">
        <v>365</v>
      </c>
      <c r="P40" s="36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2"/>
      <c r="R40" s="352"/>
      <c r="S40" s="352"/>
      <c r="T40" s="353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117</v>
      </c>
      <c r="AK40" s="87">
        <v>140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2"/>
      <c r="B41" s="362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3"/>
      <c r="P41" s="359" t="s">
        <v>40</v>
      </c>
      <c r="Q41" s="360"/>
      <c r="R41" s="360"/>
      <c r="S41" s="360"/>
      <c r="T41" s="360"/>
      <c r="U41" s="360"/>
      <c r="V41" s="36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2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3"/>
      <c r="P42" s="359" t="s">
        <v>40</v>
      </c>
      <c r="Q42" s="360"/>
      <c r="R42" s="360"/>
      <c r="S42" s="360"/>
      <c r="T42" s="360"/>
      <c r="U42" s="360"/>
      <c r="V42" s="36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8" t="s">
        <v>118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65"/>
      <c r="AB43" s="65"/>
      <c r="AC43" s="82"/>
    </row>
    <row r="44" spans="1:68" ht="14.25" customHeight="1" x14ac:dyDescent="0.25">
      <c r="A44" s="349" t="s">
        <v>81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4301071090</v>
      </c>
      <c r="D45" s="350">
        <v>4620207490075</v>
      </c>
      <c r="E45" s="350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116</v>
      </c>
      <c r="M45" s="38" t="s">
        <v>85</v>
      </c>
      <c r="N45" s="38"/>
      <c r="O45" s="37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2"/>
      <c r="R45" s="352"/>
      <c r="S45" s="352"/>
      <c r="T45" s="35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121</v>
      </c>
      <c r="AG45" s="81"/>
      <c r="AJ45" s="87" t="s">
        <v>117</v>
      </c>
      <c r="AK45" s="87">
        <v>84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122</v>
      </c>
      <c r="B46" s="63" t="s">
        <v>123</v>
      </c>
      <c r="C46" s="36">
        <v>4301071092</v>
      </c>
      <c r="D46" s="350">
        <v>4620207490174</v>
      </c>
      <c r="E46" s="350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87</v>
      </c>
      <c r="M46" s="38" t="s">
        <v>85</v>
      </c>
      <c r="N46" s="38"/>
      <c r="O46" s="37">
        <v>180</v>
      </c>
      <c r="P46" s="36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2"/>
      <c r="R46" s="352"/>
      <c r="S46" s="352"/>
      <c r="T46" s="35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124</v>
      </c>
      <c r="AG46" s="81"/>
      <c r="AJ46" s="87" t="s">
        <v>88</v>
      </c>
      <c r="AK46" s="87">
        <v>1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4301071091</v>
      </c>
      <c r="D47" s="350">
        <v>4620207490044</v>
      </c>
      <c r="E47" s="35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116</v>
      </c>
      <c r="M47" s="38" t="s">
        <v>85</v>
      </c>
      <c r="N47" s="38"/>
      <c r="O47" s="37">
        <v>180</v>
      </c>
      <c r="P47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2"/>
      <c r="R47" s="352"/>
      <c r="S47" s="352"/>
      <c r="T47" s="35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127</v>
      </c>
      <c r="AG47" s="81"/>
      <c r="AJ47" s="87" t="s">
        <v>117</v>
      </c>
      <c r="AK47" s="87">
        <v>84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2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3"/>
      <c r="P48" s="359" t="s">
        <v>40</v>
      </c>
      <c r="Q48" s="360"/>
      <c r="R48" s="360"/>
      <c r="S48" s="360"/>
      <c r="T48" s="360"/>
      <c r="U48" s="360"/>
      <c r="V48" s="36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2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3"/>
      <c r="P49" s="359" t="s">
        <v>40</v>
      </c>
      <c r="Q49" s="360"/>
      <c r="R49" s="360"/>
      <c r="S49" s="360"/>
      <c r="T49" s="360"/>
      <c r="U49" s="360"/>
      <c r="V49" s="36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8" t="s">
        <v>128</v>
      </c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65"/>
      <c r="AB50" s="65"/>
      <c r="AC50" s="82"/>
    </row>
    <row r="51" spans="1:68" ht="14.25" customHeight="1" x14ac:dyDescent="0.25">
      <c r="A51" s="349" t="s">
        <v>81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6"/>
      <c r="AB51" s="66"/>
      <c r="AC51" s="83"/>
    </row>
    <row r="52" spans="1:68" ht="27" customHeight="1" x14ac:dyDescent="0.25">
      <c r="A52" s="63" t="s">
        <v>129</v>
      </c>
      <c r="B52" s="63" t="s">
        <v>130</v>
      </c>
      <c r="C52" s="36">
        <v>4301071044</v>
      </c>
      <c r="D52" s="350">
        <v>4607111039385</v>
      </c>
      <c r="E52" s="350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2"/>
      <c r="R52" s="352"/>
      <c r="S52" s="352"/>
      <c r="T52" s="35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4301071031</v>
      </c>
      <c r="D53" s="350">
        <v>4607111038982</v>
      </c>
      <c r="E53" s="350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2"/>
      <c r="R53" s="352"/>
      <c r="S53" s="352"/>
      <c r="T53" s="35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134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4301071046</v>
      </c>
      <c r="D54" s="350">
        <v>4607111039354</v>
      </c>
      <c r="E54" s="350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2"/>
      <c r="R54" s="352"/>
      <c r="S54" s="352"/>
      <c r="T54" s="35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4301071047</v>
      </c>
      <c r="D55" s="350">
        <v>4607111039330</v>
      </c>
      <c r="E55" s="350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2"/>
      <c r="R55" s="352"/>
      <c r="S55" s="352"/>
      <c r="T55" s="35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2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3"/>
      <c r="P56" s="359" t="s">
        <v>40</v>
      </c>
      <c r="Q56" s="360"/>
      <c r="R56" s="360"/>
      <c r="S56" s="360"/>
      <c r="T56" s="360"/>
      <c r="U56" s="360"/>
      <c r="V56" s="36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2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3"/>
      <c r="P57" s="359" t="s">
        <v>40</v>
      </c>
      <c r="Q57" s="360"/>
      <c r="R57" s="360"/>
      <c r="S57" s="360"/>
      <c r="T57" s="360"/>
      <c r="U57" s="360"/>
      <c r="V57" s="36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8" t="s">
        <v>139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65"/>
      <c r="AB58" s="65"/>
      <c r="AC58" s="82"/>
    </row>
    <row r="59" spans="1:68" ht="14.25" customHeight="1" x14ac:dyDescent="0.25">
      <c r="A59" s="349" t="s">
        <v>81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6"/>
      <c r="AB59" s="66"/>
      <c r="AC59" s="83"/>
    </row>
    <row r="60" spans="1:68" ht="16.5" customHeight="1" x14ac:dyDescent="0.25">
      <c r="A60" s="63" t="s">
        <v>140</v>
      </c>
      <c r="B60" s="63" t="s">
        <v>141</v>
      </c>
      <c r="C60" s="36">
        <v>4301071073</v>
      </c>
      <c r="D60" s="350">
        <v>4620207490822</v>
      </c>
      <c r="E60" s="350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2"/>
      <c r="R60" s="352"/>
      <c r="S60" s="352"/>
      <c r="T60" s="35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142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2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3"/>
      <c r="P61" s="359" t="s">
        <v>40</v>
      </c>
      <c r="Q61" s="360"/>
      <c r="R61" s="360"/>
      <c r="S61" s="360"/>
      <c r="T61" s="360"/>
      <c r="U61" s="360"/>
      <c r="V61" s="36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2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3"/>
      <c r="P62" s="359" t="s">
        <v>40</v>
      </c>
      <c r="Q62" s="360"/>
      <c r="R62" s="360"/>
      <c r="S62" s="360"/>
      <c r="T62" s="360"/>
      <c r="U62" s="360"/>
      <c r="V62" s="36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9" t="s">
        <v>106</v>
      </c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66"/>
      <c r="AB63" s="66"/>
      <c r="AC63" s="83"/>
    </row>
    <row r="64" spans="1:68" ht="27" customHeight="1" x14ac:dyDescent="0.25">
      <c r="A64" s="63" t="s">
        <v>143</v>
      </c>
      <c r="B64" s="63" t="s">
        <v>144</v>
      </c>
      <c r="C64" s="36">
        <v>4301132194</v>
      </c>
      <c r="D64" s="350">
        <v>4607111039712</v>
      </c>
      <c r="E64" s="350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2"/>
      <c r="R64" s="352"/>
      <c r="S64" s="352"/>
      <c r="T64" s="353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145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2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3"/>
      <c r="P65" s="359" t="s">
        <v>40</v>
      </c>
      <c r="Q65" s="360"/>
      <c r="R65" s="360"/>
      <c r="S65" s="360"/>
      <c r="T65" s="360"/>
      <c r="U65" s="360"/>
      <c r="V65" s="36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2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3"/>
      <c r="P66" s="359" t="s">
        <v>40</v>
      </c>
      <c r="Q66" s="360"/>
      <c r="R66" s="360"/>
      <c r="S66" s="360"/>
      <c r="T66" s="360"/>
      <c r="U66" s="360"/>
      <c r="V66" s="36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9" t="s">
        <v>146</v>
      </c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66"/>
      <c r="AB67" s="66"/>
      <c r="AC67" s="83"/>
    </row>
    <row r="68" spans="1:68" ht="16.5" customHeight="1" x14ac:dyDescent="0.25">
      <c r="A68" s="63" t="s">
        <v>147</v>
      </c>
      <c r="B68" s="63" t="s">
        <v>148</v>
      </c>
      <c r="C68" s="36">
        <v>4301136018</v>
      </c>
      <c r="D68" s="350">
        <v>4607111037008</v>
      </c>
      <c r="E68" s="350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2"/>
      <c r="R68" s="352"/>
      <c r="S68" s="352"/>
      <c r="T68" s="35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149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150</v>
      </c>
      <c r="B69" s="63" t="s">
        <v>151</v>
      </c>
      <c r="C69" s="36">
        <v>4301136015</v>
      </c>
      <c r="D69" s="350">
        <v>4607111037398</v>
      </c>
      <c r="E69" s="35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2"/>
      <c r="R69" s="352"/>
      <c r="S69" s="352"/>
      <c r="T69" s="35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149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3"/>
      <c r="P70" s="359" t="s">
        <v>40</v>
      </c>
      <c r="Q70" s="360"/>
      <c r="R70" s="360"/>
      <c r="S70" s="360"/>
      <c r="T70" s="360"/>
      <c r="U70" s="360"/>
      <c r="V70" s="36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3"/>
      <c r="P71" s="359" t="s">
        <v>40</v>
      </c>
      <c r="Q71" s="360"/>
      <c r="R71" s="360"/>
      <c r="S71" s="360"/>
      <c r="T71" s="360"/>
      <c r="U71" s="360"/>
      <c r="V71" s="36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9" t="s">
        <v>152</v>
      </c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66"/>
      <c r="AB72" s="66"/>
      <c r="AC72" s="83"/>
    </row>
    <row r="73" spans="1:68" ht="27" customHeight="1" x14ac:dyDescent="0.25">
      <c r="A73" s="63" t="s">
        <v>153</v>
      </c>
      <c r="B73" s="63" t="s">
        <v>154</v>
      </c>
      <c r="C73" s="36">
        <v>4301135664</v>
      </c>
      <c r="D73" s="350">
        <v>4607111039705</v>
      </c>
      <c r="E73" s="350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2"/>
      <c r="R73" s="352"/>
      <c r="S73" s="352"/>
      <c r="T73" s="353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149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350">
        <v>4607111039729</v>
      </c>
      <c r="E74" s="350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2"/>
      <c r="R74" s="352"/>
      <c r="S74" s="352"/>
      <c r="T74" s="35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157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350">
        <v>4620207490228</v>
      </c>
      <c r="E75" s="35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2"/>
      <c r="R75" s="352"/>
      <c r="S75" s="352"/>
      <c r="T75" s="35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3"/>
      <c r="P76" s="359" t="s">
        <v>40</v>
      </c>
      <c r="Q76" s="360"/>
      <c r="R76" s="360"/>
      <c r="S76" s="360"/>
      <c r="T76" s="360"/>
      <c r="U76" s="360"/>
      <c r="V76" s="36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3"/>
      <c r="P77" s="359" t="s">
        <v>40</v>
      </c>
      <c r="Q77" s="360"/>
      <c r="R77" s="360"/>
      <c r="S77" s="360"/>
      <c r="T77" s="360"/>
      <c r="U77" s="360"/>
      <c r="V77" s="36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8" t="s">
        <v>160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65"/>
      <c r="AB78" s="65"/>
      <c r="AC78" s="82"/>
    </row>
    <row r="79" spans="1:68" ht="14.25" customHeight="1" x14ac:dyDescent="0.25">
      <c r="A79" s="349" t="s">
        <v>81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350">
        <v>4607111037411</v>
      </c>
      <c r="E80" s="350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112</v>
      </c>
      <c r="M80" s="38" t="s">
        <v>85</v>
      </c>
      <c r="N80" s="38"/>
      <c r="O80" s="37">
        <v>180</v>
      </c>
      <c r="P80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2"/>
      <c r="R80" s="352"/>
      <c r="S80" s="352"/>
      <c r="T80" s="35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350">
        <v>4607111036728</v>
      </c>
      <c r="E81" s="350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116</v>
      </c>
      <c r="M81" s="38" t="s">
        <v>85</v>
      </c>
      <c r="N81" s="38"/>
      <c r="O81" s="37">
        <v>180</v>
      </c>
      <c r="P81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2"/>
      <c r="R81" s="352"/>
      <c r="S81" s="352"/>
      <c r="T81" s="353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117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3"/>
      <c r="P82" s="359" t="s">
        <v>40</v>
      </c>
      <c r="Q82" s="360"/>
      <c r="R82" s="360"/>
      <c r="S82" s="360"/>
      <c r="T82" s="360"/>
      <c r="U82" s="360"/>
      <c r="V82" s="36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3"/>
      <c r="P83" s="359" t="s">
        <v>40</v>
      </c>
      <c r="Q83" s="360"/>
      <c r="R83" s="360"/>
      <c r="S83" s="360"/>
      <c r="T83" s="360"/>
      <c r="U83" s="360"/>
      <c r="V83" s="36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8" t="s">
        <v>167</v>
      </c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65"/>
      <c r="AB84" s="65"/>
      <c r="AC84" s="82"/>
    </row>
    <row r="85" spans="1:68" ht="14.25" customHeight="1" x14ac:dyDescent="0.25">
      <c r="A85" s="349" t="s">
        <v>152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350">
        <v>4607111033659</v>
      </c>
      <c r="E86" s="35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2"/>
      <c r="R86" s="352"/>
      <c r="S86" s="352"/>
      <c r="T86" s="35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3"/>
      <c r="P87" s="359" t="s">
        <v>40</v>
      </c>
      <c r="Q87" s="360"/>
      <c r="R87" s="360"/>
      <c r="S87" s="360"/>
      <c r="T87" s="360"/>
      <c r="U87" s="360"/>
      <c r="V87" s="36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3"/>
      <c r="P88" s="359" t="s">
        <v>40</v>
      </c>
      <c r="Q88" s="360"/>
      <c r="R88" s="360"/>
      <c r="S88" s="360"/>
      <c r="T88" s="360"/>
      <c r="U88" s="360"/>
      <c r="V88" s="36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8" t="s">
        <v>171</v>
      </c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65"/>
      <c r="AB89" s="65"/>
      <c r="AC89" s="82"/>
    </row>
    <row r="90" spans="1:68" ht="14.25" customHeight="1" x14ac:dyDescent="0.25">
      <c r="A90" s="349" t="s">
        <v>172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350">
        <v>4607111034120</v>
      </c>
      <c r="E91" s="350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2"/>
      <c r="R91" s="352"/>
      <c r="S91" s="352"/>
      <c r="T91" s="353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350">
        <v>4607111034137</v>
      </c>
      <c r="E92" s="350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116</v>
      </c>
      <c r="M92" s="38" t="s">
        <v>85</v>
      </c>
      <c r="N92" s="38"/>
      <c r="O92" s="37">
        <v>180</v>
      </c>
      <c r="P92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2"/>
      <c r="R92" s="352"/>
      <c r="S92" s="352"/>
      <c r="T92" s="353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117</v>
      </c>
      <c r="AK92" s="87">
        <v>70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3"/>
      <c r="P93" s="359" t="s">
        <v>40</v>
      </c>
      <c r="Q93" s="360"/>
      <c r="R93" s="360"/>
      <c r="S93" s="360"/>
      <c r="T93" s="360"/>
      <c r="U93" s="360"/>
      <c r="V93" s="36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3"/>
      <c r="P94" s="359" t="s">
        <v>40</v>
      </c>
      <c r="Q94" s="360"/>
      <c r="R94" s="360"/>
      <c r="S94" s="360"/>
      <c r="T94" s="360"/>
      <c r="U94" s="360"/>
      <c r="V94" s="36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8" t="s">
        <v>179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5"/>
      <c r="AB95" s="65"/>
      <c r="AC95" s="82"/>
    </row>
    <row r="96" spans="1:68" ht="14.25" customHeight="1" x14ac:dyDescent="0.25">
      <c r="A96" s="349" t="s">
        <v>152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350">
        <v>4620207491027</v>
      </c>
      <c r="E97" s="35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87</v>
      </c>
      <c r="M97" s="38" t="s">
        <v>85</v>
      </c>
      <c r="N97" s="38"/>
      <c r="O97" s="37">
        <v>180</v>
      </c>
      <c r="P97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2"/>
      <c r="R97" s="352"/>
      <c r="S97" s="352"/>
      <c r="T97" s="35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88</v>
      </c>
      <c r="AK97" s="87">
        <v>1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350">
        <v>4620207491003</v>
      </c>
      <c r="E98" s="350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8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2"/>
      <c r="R98" s="352"/>
      <c r="S98" s="352"/>
      <c r="T98" s="35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350">
        <v>4620207491034</v>
      </c>
      <c r="E99" s="35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2"/>
      <c r="R99" s="352"/>
      <c r="S99" s="352"/>
      <c r="T99" s="35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350">
        <v>4620207491010</v>
      </c>
      <c r="E100" s="35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116</v>
      </c>
      <c r="M100" s="38" t="s">
        <v>85</v>
      </c>
      <c r="N100" s="38"/>
      <c r="O100" s="37">
        <v>180</v>
      </c>
      <c r="P100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2"/>
      <c r="R100" s="352"/>
      <c r="S100" s="352"/>
      <c r="T100" s="35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117</v>
      </c>
      <c r="AK100" s="87">
        <v>70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350">
        <v>4607111035028</v>
      </c>
      <c r="E101" s="350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112</v>
      </c>
      <c r="M101" s="38" t="s">
        <v>85</v>
      </c>
      <c r="N101" s="38"/>
      <c r="O101" s="37">
        <v>180</v>
      </c>
      <c r="P101" s="39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2"/>
      <c r="R101" s="352"/>
      <c r="S101" s="352"/>
      <c r="T101" s="35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113</v>
      </c>
      <c r="AK101" s="87">
        <v>14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350">
        <v>4607111036407</v>
      </c>
      <c r="E102" s="350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2"/>
      <c r="R102" s="352"/>
      <c r="S102" s="352"/>
      <c r="T102" s="35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2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3"/>
      <c r="P103" s="359" t="s">
        <v>40</v>
      </c>
      <c r="Q103" s="360"/>
      <c r="R103" s="360"/>
      <c r="S103" s="360"/>
      <c r="T103" s="360"/>
      <c r="U103" s="360"/>
      <c r="V103" s="361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3"/>
      <c r="P104" s="359" t="s">
        <v>40</v>
      </c>
      <c r="Q104" s="360"/>
      <c r="R104" s="360"/>
      <c r="S104" s="360"/>
      <c r="T104" s="360"/>
      <c r="U104" s="360"/>
      <c r="V104" s="361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8" t="s">
        <v>194</v>
      </c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65"/>
      <c r="AB105" s="65"/>
      <c r="AC105" s="82"/>
    </row>
    <row r="106" spans="1:68" ht="14.25" customHeight="1" x14ac:dyDescent="0.25">
      <c r="A106" s="349" t="s">
        <v>146</v>
      </c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350">
        <v>4607025784012</v>
      </c>
      <c r="E107" s="350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2"/>
      <c r="R107" s="352"/>
      <c r="S107" s="352"/>
      <c r="T107" s="353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350">
        <v>4607025784319</v>
      </c>
      <c r="E108" s="350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2"/>
      <c r="R108" s="352"/>
      <c r="S108" s="352"/>
      <c r="T108" s="353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2"/>
      <c r="B109" s="362"/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3"/>
      <c r="P109" s="359" t="s">
        <v>40</v>
      </c>
      <c r="Q109" s="360"/>
      <c r="R109" s="360"/>
      <c r="S109" s="360"/>
      <c r="T109" s="360"/>
      <c r="U109" s="360"/>
      <c r="V109" s="361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3"/>
      <c r="P110" s="359" t="s">
        <v>40</v>
      </c>
      <c r="Q110" s="360"/>
      <c r="R110" s="360"/>
      <c r="S110" s="360"/>
      <c r="T110" s="360"/>
      <c r="U110" s="360"/>
      <c r="V110" s="361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8" t="s">
        <v>200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65"/>
      <c r="AB111" s="65"/>
      <c r="AC111" s="82"/>
    </row>
    <row r="112" spans="1:68" ht="14.25" customHeight="1" x14ac:dyDescent="0.25">
      <c r="A112" s="349" t="s">
        <v>81</v>
      </c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350">
        <v>4620207491393</v>
      </c>
      <c r="E113" s="350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2"/>
      <c r="R113" s="352"/>
      <c r="S113" s="352"/>
      <c r="T113" s="35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1" si="12">IFERROR(IF(X113="","",X113),"")</f>
        <v>0</v>
      </c>
      <c r="Z113" s="41">
        <f t="shared" ref="Z113:Z121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1" si="14">IFERROR(X113*I113,"0")</f>
        <v>0</v>
      </c>
      <c r="BN113" s="81">
        <f t="shared" ref="BN113:BN121" si="15">IFERROR(Y113*I113,"0")</f>
        <v>0</v>
      </c>
      <c r="BO113" s="81">
        <f t="shared" ref="BO113:BO121" si="16">IFERROR(X113/J113,"0")</f>
        <v>0</v>
      </c>
      <c r="BP113" s="81">
        <f t="shared" ref="BP113:BP121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50">
        <v>4620207491157</v>
      </c>
      <c r="E114" s="350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112</v>
      </c>
      <c r="M114" s="38" t="s">
        <v>85</v>
      </c>
      <c r="N114" s="38"/>
      <c r="O114" s="37">
        <v>180</v>
      </c>
      <c r="P114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2"/>
      <c r="R114" s="352"/>
      <c r="S114" s="352"/>
      <c r="T114" s="35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113</v>
      </c>
      <c r="AK114" s="87">
        <v>12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50">
        <v>4607111039262</v>
      </c>
      <c r="E115" s="35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2"/>
      <c r="R115" s="352"/>
      <c r="S115" s="352"/>
      <c r="T115" s="35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50">
        <v>4607111039248</v>
      </c>
      <c r="E116" s="35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116</v>
      </c>
      <c r="M116" s="38" t="s">
        <v>85</v>
      </c>
      <c r="N116" s="38"/>
      <c r="O116" s="37">
        <v>180</v>
      </c>
      <c r="P116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2"/>
      <c r="R116" s="352"/>
      <c r="S116" s="352"/>
      <c r="T116" s="35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163</v>
      </c>
      <c r="AG116" s="81"/>
      <c r="AJ116" s="87" t="s">
        <v>117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50">
        <v>4607111037145</v>
      </c>
      <c r="E117" s="350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2"/>
      <c r="R117" s="352"/>
      <c r="S117" s="352"/>
      <c r="T117" s="35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50">
        <v>4607111039293</v>
      </c>
      <c r="E118" s="350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2"/>
      <c r="R118" s="352"/>
      <c r="S118" s="352"/>
      <c r="T118" s="35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50">
        <v>4607111039279</v>
      </c>
      <c r="E119" s="350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2"/>
      <c r="R119" s="352"/>
      <c r="S119" s="352"/>
      <c r="T119" s="35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350">
        <v>4607111037435</v>
      </c>
      <c r="E120" s="350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2"/>
      <c r="R120" s="352"/>
      <c r="S120" s="352"/>
      <c r="T120" s="35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4301071075</v>
      </c>
      <c r="D121" s="350">
        <v>4620207491102</v>
      </c>
      <c r="E121" s="350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40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352"/>
      <c r="R121" s="352"/>
      <c r="S121" s="352"/>
      <c r="T121" s="353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3"/>
      <c r="P122" s="359" t="s">
        <v>40</v>
      </c>
      <c r="Q122" s="360"/>
      <c r="R122" s="360"/>
      <c r="S122" s="360"/>
      <c r="T122" s="360"/>
      <c r="U122" s="360"/>
      <c r="V122" s="361"/>
      <c r="W122" s="42" t="s">
        <v>39</v>
      </c>
      <c r="X122" s="43">
        <f>IFERROR(SUM(X113:X121),"0")</f>
        <v>0</v>
      </c>
      <c r="Y122" s="43">
        <f>IFERROR(SUM(Y113:Y121),"0")</f>
        <v>0</v>
      </c>
      <c r="Z122" s="43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2"/>
      <c r="B123" s="362"/>
      <c r="C123" s="362"/>
      <c r="D123" s="362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3"/>
      <c r="P123" s="359" t="s">
        <v>40</v>
      </c>
      <c r="Q123" s="360"/>
      <c r="R123" s="360"/>
      <c r="S123" s="360"/>
      <c r="T123" s="360"/>
      <c r="U123" s="360"/>
      <c r="V123" s="361"/>
      <c r="W123" s="42" t="s">
        <v>0</v>
      </c>
      <c r="X123" s="43">
        <f>IFERROR(SUMPRODUCT(X113:X121*H113:H121),"0")</f>
        <v>0</v>
      </c>
      <c r="Y123" s="43">
        <f>IFERROR(SUMPRODUCT(Y113:Y121*H113:H121),"0")</f>
        <v>0</v>
      </c>
      <c r="Z123" s="42"/>
      <c r="AA123" s="67"/>
      <c r="AB123" s="67"/>
      <c r="AC123" s="67"/>
    </row>
    <row r="124" spans="1:68" ht="14.25" customHeight="1" x14ac:dyDescent="0.25">
      <c r="A124" s="349" t="s">
        <v>152</v>
      </c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66"/>
      <c r="AB124" s="66"/>
      <c r="AC124" s="83"/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50">
        <v>4620207490983</v>
      </c>
      <c r="E125" s="35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2"/>
      <c r="R125" s="352"/>
      <c r="S125" s="352"/>
      <c r="T125" s="35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3"/>
      <c r="P126" s="359" t="s">
        <v>40</v>
      </c>
      <c r="Q126" s="360"/>
      <c r="R126" s="360"/>
      <c r="S126" s="360"/>
      <c r="T126" s="360"/>
      <c r="U126" s="360"/>
      <c r="V126" s="36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62"/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3"/>
      <c r="P127" s="359" t="s">
        <v>40</v>
      </c>
      <c r="Q127" s="360"/>
      <c r="R127" s="360"/>
      <c r="S127" s="360"/>
      <c r="T127" s="360"/>
      <c r="U127" s="360"/>
      <c r="V127" s="36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49" t="s">
        <v>228</v>
      </c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50">
        <v>4620207491140</v>
      </c>
      <c r="E129" s="35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2"/>
      <c r="R129" s="352"/>
      <c r="S129" s="352"/>
      <c r="T129" s="35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3"/>
      <c r="P130" s="359" t="s">
        <v>40</v>
      </c>
      <c r="Q130" s="360"/>
      <c r="R130" s="360"/>
      <c r="S130" s="360"/>
      <c r="T130" s="360"/>
      <c r="U130" s="360"/>
      <c r="V130" s="36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2"/>
      <c r="B131" s="362"/>
      <c r="C131" s="362"/>
      <c r="D131" s="362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3"/>
      <c r="P131" s="359" t="s">
        <v>40</v>
      </c>
      <c r="Q131" s="360"/>
      <c r="R131" s="360"/>
      <c r="S131" s="360"/>
      <c r="T131" s="360"/>
      <c r="U131" s="360"/>
      <c r="V131" s="36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48" t="s">
        <v>232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5"/>
      <c r="AB132" s="65"/>
      <c r="AC132" s="82"/>
    </row>
    <row r="133" spans="1:68" ht="14.25" customHeight="1" x14ac:dyDescent="0.25">
      <c r="A133" s="349" t="s">
        <v>152</v>
      </c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50">
        <v>4607111034014</v>
      </c>
      <c r="E134" s="350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40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2"/>
      <c r="R134" s="352"/>
      <c r="S134" s="352"/>
      <c r="T134" s="35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113</v>
      </c>
      <c r="AK134" s="87">
        <v>14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50">
        <v>4607111033994</v>
      </c>
      <c r="E135" s="350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40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2"/>
      <c r="R135" s="352"/>
      <c r="S135" s="352"/>
      <c r="T135" s="35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14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3"/>
      <c r="P136" s="359" t="s">
        <v>40</v>
      </c>
      <c r="Q136" s="360"/>
      <c r="R136" s="360"/>
      <c r="S136" s="360"/>
      <c r="T136" s="360"/>
      <c r="U136" s="360"/>
      <c r="V136" s="361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3"/>
      <c r="P137" s="359" t="s">
        <v>40</v>
      </c>
      <c r="Q137" s="360"/>
      <c r="R137" s="360"/>
      <c r="S137" s="360"/>
      <c r="T137" s="360"/>
      <c r="U137" s="360"/>
      <c r="V137" s="361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8" t="s">
        <v>238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65"/>
      <c r="AB138" s="65"/>
      <c r="AC138" s="82"/>
    </row>
    <row r="139" spans="1:68" ht="14.25" customHeight="1" x14ac:dyDescent="0.25">
      <c r="A139" s="349" t="s">
        <v>152</v>
      </c>
      <c r="B139" s="349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50">
        <v>4607111039095</v>
      </c>
      <c r="E140" s="350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40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2"/>
      <c r="R140" s="352"/>
      <c r="S140" s="352"/>
      <c r="T140" s="35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50">
        <v>4607111034199</v>
      </c>
      <c r="E141" s="350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116</v>
      </c>
      <c r="M141" s="38" t="s">
        <v>85</v>
      </c>
      <c r="N141" s="38"/>
      <c r="O141" s="37">
        <v>180</v>
      </c>
      <c r="P141" s="40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2"/>
      <c r="R141" s="352"/>
      <c r="S141" s="352"/>
      <c r="T141" s="35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117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3"/>
      <c r="P142" s="359" t="s">
        <v>40</v>
      </c>
      <c r="Q142" s="360"/>
      <c r="R142" s="360"/>
      <c r="S142" s="360"/>
      <c r="T142" s="360"/>
      <c r="U142" s="360"/>
      <c r="V142" s="361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2"/>
      <c r="B143" s="362"/>
      <c r="C143" s="362"/>
      <c r="D143" s="362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3"/>
      <c r="P143" s="359" t="s">
        <v>40</v>
      </c>
      <c r="Q143" s="360"/>
      <c r="R143" s="360"/>
      <c r="S143" s="360"/>
      <c r="T143" s="360"/>
      <c r="U143" s="360"/>
      <c r="V143" s="361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48" t="s">
        <v>245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5"/>
      <c r="AB144" s="65"/>
      <c r="AC144" s="82"/>
    </row>
    <row r="145" spans="1:68" ht="14.25" customHeight="1" x14ac:dyDescent="0.25">
      <c r="A145" s="349" t="s">
        <v>152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50">
        <v>4620207490914</v>
      </c>
      <c r="E146" s="350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112</v>
      </c>
      <c r="M146" s="38" t="s">
        <v>85</v>
      </c>
      <c r="N146" s="38"/>
      <c r="O146" s="37">
        <v>180</v>
      </c>
      <c r="P146" s="41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2"/>
      <c r="R146" s="352"/>
      <c r="S146" s="352"/>
      <c r="T146" s="35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113</v>
      </c>
      <c r="AK146" s="87">
        <v>14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50">
        <v>4620207490853</v>
      </c>
      <c r="E147" s="350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112</v>
      </c>
      <c r="M147" s="38" t="s">
        <v>85</v>
      </c>
      <c r="N147" s="38"/>
      <c r="O147" s="37">
        <v>180</v>
      </c>
      <c r="P147" s="41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2"/>
      <c r="R147" s="352"/>
      <c r="S147" s="352"/>
      <c r="T147" s="353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113</v>
      </c>
      <c r="AK147" s="87">
        <v>14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3"/>
      <c r="P148" s="359" t="s">
        <v>40</v>
      </c>
      <c r="Q148" s="360"/>
      <c r="R148" s="360"/>
      <c r="S148" s="360"/>
      <c r="T148" s="360"/>
      <c r="U148" s="360"/>
      <c r="V148" s="361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2"/>
      <c r="B149" s="362"/>
      <c r="C149" s="362"/>
      <c r="D149" s="362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3"/>
      <c r="P149" s="359" t="s">
        <v>40</v>
      </c>
      <c r="Q149" s="360"/>
      <c r="R149" s="360"/>
      <c r="S149" s="360"/>
      <c r="T149" s="360"/>
      <c r="U149" s="360"/>
      <c r="V149" s="361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48" t="s">
        <v>250</v>
      </c>
      <c r="B150" s="348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  <c r="AA150" s="65"/>
      <c r="AB150" s="65"/>
      <c r="AC150" s="82"/>
    </row>
    <row r="151" spans="1:68" ht="14.25" customHeight="1" x14ac:dyDescent="0.25">
      <c r="A151" s="349" t="s">
        <v>152</v>
      </c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50">
        <v>4607111035806</v>
      </c>
      <c r="E152" s="350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112</v>
      </c>
      <c r="M152" s="38" t="s">
        <v>85</v>
      </c>
      <c r="N152" s="38"/>
      <c r="O152" s="37">
        <v>180</v>
      </c>
      <c r="P152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2"/>
      <c r="R152" s="352"/>
      <c r="S152" s="352"/>
      <c r="T152" s="353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113</v>
      </c>
      <c r="AK152" s="87">
        <v>14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3"/>
      <c r="P153" s="359" t="s">
        <v>40</v>
      </c>
      <c r="Q153" s="360"/>
      <c r="R153" s="360"/>
      <c r="S153" s="360"/>
      <c r="T153" s="360"/>
      <c r="U153" s="360"/>
      <c r="V153" s="361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2"/>
      <c r="B154" s="362"/>
      <c r="C154" s="362"/>
      <c r="D154" s="362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3"/>
      <c r="P154" s="359" t="s">
        <v>40</v>
      </c>
      <c r="Q154" s="360"/>
      <c r="R154" s="360"/>
      <c r="S154" s="360"/>
      <c r="T154" s="360"/>
      <c r="U154" s="360"/>
      <c r="V154" s="361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48" t="s">
        <v>254</v>
      </c>
      <c r="B155" s="348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  <c r="AA155" s="65"/>
      <c r="AB155" s="65"/>
      <c r="AC155" s="82"/>
    </row>
    <row r="156" spans="1:68" ht="14.25" customHeight="1" x14ac:dyDescent="0.25">
      <c r="A156" s="349" t="s">
        <v>152</v>
      </c>
      <c r="B156" s="349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50">
        <v>4607111039613</v>
      </c>
      <c r="E157" s="350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112</v>
      </c>
      <c r="M157" s="38" t="s">
        <v>85</v>
      </c>
      <c r="N157" s="38"/>
      <c r="O157" s="37">
        <v>180</v>
      </c>
      <c r="P157" s="4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2"/>
      <c r="R157" s="352"/>
      <c r="S157" s="352"/>
      <c r="T157" s="353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113</v>
      </c>
      <c r="AK157" s="87">
        <v>14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3"/>
      <c r="P158" s="359" t="s">
        <v>40</v>
      </c>
      <c r="Q158" s="360"/>
      <c r="R158" s="360"/>
      <c r="S158" s="360"/>
      <c r="T158" s="360"/>
      <c r="U158" s="360"/>
      <c r="V158" s="361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2"/>
      <c r="B159" s="362"/>
      <c r="C159" s="362"/>
      <c r="D159" s="362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3"/>
      <c r="P159" s="359" t="s">
        <v>40</v>
      </c>
      <c r="Q159" s="360"/>
      <c r="R159" s="360"/>
      <c r="S159" s="360"/>
      <c r="T159" s="360"/>
      <c r="U159" s="360"/>
      <c r="V159" s="361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48" t="s">
        <v>257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65"/>
      <c r="AB160" s="65"/>
      <c r="AC160" s="82"/>
    </row>
    <row r="161" spans="1:68" ht="14.25" customHeight="1" x14ac:dyDescent="0.25">
      <c r="A161" s="349" t="s">
        <v>228</v>
      </c>
      <c r="B161" s="349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50">
        <v>4607111035646</v>
      </c>
      <c r="E162" s="350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112</v>
      </c>
      <c r="M162" s="38" t="s">
        <v>85</v>
      </c>
      <c r="N162" s="38"/>
      <c r="O162" s="37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2"/>
      <c r="R162" s="352"/>
      <c r="S162" s="352"/>
      <c r="T162" s="35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113</v>
      </c>
      <c r="AK162" s="87">
        <v>6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3"/>
      <c r="P163" s="359" t="s">
        <v>40</v>
      </c>
      <c r="Q163" s="360"/>
      <c r="R163" s="360"/>
      <c r="S163" s="360"/>
      <c r="T163" s="360"/>
      <c r="U163" s="360"/>
      <c r="V163" s="361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2"/>
      <c r="B164" s="362"/>
      <c r="C164" s="362"/>
      <c r="D164" s="362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3"/>
      <c r="P164" s="359" t="s">
        <v>40</v>
      </c>
      <c r="Q164" s="360"/>
      <c r="R164" s="360"/>
      <c r="S164" s="360"/>
      <c r="T164" s="360"/>
      <c r="U164" s="360"/>
      <c r="V164" s="361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48" t="s">
        <v>262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65"/>
      <c r="AB165" s="65"/>
      <c r="AC165" s="82"/>
    </row>
    <row r="166" spans="1:68" ht="14.25" customHeight="1" x14ac:dyDescent="0.25">
      <c r="A166" s="349" t="s">
        <v>152</v>
      </c>
      <c r="B166" s="349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50">
        <v>4607111036568</v>
      </c>
      <c r="E167" s="350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41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2"/>
      <c r="R167" s="352"/>
      <c r="S167" s="352"/>
      <c r="T167" s="35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3"/>
      <c r="P168" s="359" t="s">
        <v>40</v>
      </c>
      <c r="Q168" s="360"/>
      <c r="R168" s="360"/>
      <c r="S168" s="360"/>
      <c r="T168" s="360"/>
      <c r="U168" s="360"/>
      <c r="V168" s="36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2"/>
      <c r="B169" s="362"/>
      <c r="C169" s="362"/>
      <c r="D169" s="362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3"/>
      <c r="P169" s="359" t="s">
        <v>40</v>
      </c>
      <c r="Q169" s="360"/>
      <c r="R169" s="360"/>
      <c r="S169" s="360"/>
      <c r="T169" s="360"/>
      <c r="U169" s="360"/>
      <c r="V169" s="36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7" t="s">
        <v>266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54"/>
      <c r="AB170" s="54"/>
      <c r="AC170" s="54"/>
    </row>
    <row r="171" spans="1:68" ht="16.5" customHeight="1" x14ac:dyDescent="0.25">
      <c r="A171" s="348" t="s">
        <v>267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65"/>
      <c r="AB171" s="65"/>
      <c r="AC171" s="82"/>
    </row>
    <row r="172" spans="1:68" ht="14.25" customHeight="1" x14ac:dyDescent="0.25">
      <c r="A172" s="349" t="s">
        <v>81</v>
      </c>
      <c r="B172" s="349"/>
      <c r="C172" s="349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50">
        <v>4607111036384</v>
      </c>
      <c r="E173" s="350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87</v>
      </c>
      <c r="M173" s="38" t="s">
        <v>85</v>
      </c>
      <c r="N173" s="38"/>
      <c r="O173" s="37">
        <v>180</v>
      </c>
      <c r="P173" s="4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2"/>
      <c r="R173" s="352"/>
      <c r="S173" s="352"/>
      <c r="T173" s="35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88</v>
      </c>
      <c r="AK173" s="87">
        <v>1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50">
        <v>4607111036216</v>
      </c>
      <c r="E174" s="350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112</v>
      </c>
      <c r="M174" s="38" t="s">
        <v>85</v>
      </c>
      <c r="N174" s="38"/>
      <c r="O174" s="37">
        <v>180</v>
      </c>
      <c r="P174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2"/>
      <c r="R174" s="352"/>
      <c r="S174" s="352"/>
      <c r="T174" s="353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113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3"/>
      <c r="P175" s="359" t="s">
        <v>40</v>
      </c>
      <c r="Q175" s="360"/>
      <c r="R175" s="360"/>
      <c r="S175" s="360"/>
      <c r="T175" s="360"/>
      <c r="U175" s="360"/>
      <c r="V175" s="361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2"/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3"/>
      <c r="P176" s="359" t="s">
        <v>40</v>
      </c>
      <c r="Q176" s="360"/>
      <c r="R176" s="360"/>
      <c r="S176" s="360"/>
      <c r="T176" s="360"/>
      <c r="U176" s="360"/>
      <c r="V176" s="361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47" t="s">
        <v>274</v>
      </c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54"/>
      <c r="AB177" s="54"/>
      <c r="AC177" s="54"/>
    </row>
    <row r="178" spans="1:68" ht="16.5" customHeight="1" x14ac:dyDescent="0.25">
      <c r="A178" s="348" t="s">
        <v>275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65"/>
      <c r="AB178" s="65"/>
      <c r="AC178" s="82"/>
    </row>
    <row r="179" spans="1:68" ht="14.25" customHeight="1" x14ac:dyDescent="0.25">
      <c r="A179" s="349" t="s">
        <v>106</v>
      </c>
      <c r="B179" s="349"/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350">
        <v>4607111035691</v>
      </c>
      <c r="E180" s="350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116</v>
      </c>
      <c r="M180" s="38" t="s">
        <v>85</v>
      </c>
      <c r="N180" s="38"/>
      <c r="O180" s="37">
        <v>365</v>
      </c>
      <c r="P180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352"/>
      <c r="R180" s="352"/>
      <c r="S180" s="352"/>
      <c r="T180" s="353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117</v>
      </c>
      <c r="AK180" s="87">
        <v>70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350">
        <v>4607111035721</v>
      </c>
      <c r="E181" s="350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365</v>
      </c>
      <c r="P181" s="41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352"/>
      <c r="R181" s="352"/>
      <c r="S181" s="352"/>
      <c r="T181" s="353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350">
        <v>4607111038487</v>
      </c>
      <c r="E182" s="350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111</v>
      </c>
      <c r="L182" s="37" t="s">
        <v>112</v>
      </c>
      <c r="M182" s="38" t="s">
        <v>85</v>
      </c>
      <c r="N182" s="38"/>
      <c r="O182" s="37">
        <v>180</v>
      </c>
      <c r="P182" s="42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352"/>
      <c r="R182" s="352"/>
      <c r="S182" s="352"/>
      <c r="T182" s="35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113</v>
      </c>
      <c r="AK182" s="87">
        <v>14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62"/>
      <c r="B183" s="362"/>
      <c r="C183" s="362"/>
      <c r="D183" s="362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3"/>
      <c r="P183" s="359" t="s">
        <v>40</v>
      </c>
      <c r="Q183" s="360"/>
      <c r="R183" s="360"/>
      <c r="S183" s="360"/>
      <c r="T183" s="360"/>
      <c r="U183" s="360"/>
      <c r="V183" s="361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62"/>
      <c r="B184" s="362"/>
      <c r="C184" s="362"/>
      <c r="D184" s="362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3"/>
      <c r="P184" s="359" t="s">
        <v>40</v>
      </c>
      <c r="Q184" s="360"/>
      <c r="R184" s="360"/>
      <c r="S184" s="360"/>
      <c r="T184" s="360"/>
      <c r="U184" s="360"/>
      <c r="V184" s="361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49" t="s">
        <v>285</v>
      </c>
      <c r="B185" s="349"/>
      <c r="C185" s="349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50">
        <v>4680115885875</v>
      </c>
      <c r="E186" s="350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87</v>
      </c>
      <c r="M186" s="38" t="s">
        <v>291</v>
      </c>
      <c r="N186" s="38"/>
      <c r="O186" s="37">
        <v>365</v>
      </c>
      <c r="P186" s="421" t="s">
        <v>288</v>
      </c>
      <c r="Q186" s="352"/>
      <c r="R186" s="352"/>
      <c r="S186" s="352"/>
      <c r="T186" s="35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88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2"/>
      <c r="B187" s="362"/>
      <c r="C187" s="362"/>
      <c r="D187" s="362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3"/>
      <c r="P187" s="359" t="s">
        <v>40</v>
      </c>
      <c r="Q187" s="360"/>
      <c r="R187" s="360"/>
      <c r="S187" s="360"/>
      <c r="T187" s="360"/>
      <c r="U187" s="360"/>
      <c r="V187" s="361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3"/>
      <c r="P188" s="359" t="s">
        <v>40</v>
      </c>
      <c r="Q188" s="360"/>
      <c r="R188" s="360"/>
      <c r="S188" s="360"/>
      <c r="T188" s="360"/>
      <c r="U188" s="360"/>
      <c r="V188" s="361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7" t="s">
        <v>293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54"/>
      <c r="AB189" s="54"/>
      <c r="AC189" s="54"/>
    </row>
    <row r="190" spans="1:68" ht="16.5" customHeight="1" x14ac:dyDescent="0.25">
      <c r="A190" s="348" t="s">
        <v>294</v>
      </c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65"/>
      <c r="AB190" s="65"/>
      <c r="AC190" s="82"/>
    </row>
    <row r="191" spans="1:68" ht="14.25" customHeight="1" x14ac:dyDescent="0.25">
      <c r="A191" s="349" t="s">
        <v>106</v>
      </c>
      <c r="B191" s="349"/>
      <c r="C191" s="349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50">
        <v>4620207491133</v>
      </c>
      <c r="E192" s="350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111</v>
      </c>
      <c r="L192" s="37" t="s">
        <v>112</v>
      </c>
      <c r="M192" s="38" t="s">
        <v>85</v>
      </c>
      <c r="N192" s="38"/>
      <c r="O192" s="37">
        <v>180</v>
      </c>
      <c r="P192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52"/>
      <c r="R192" s="352"/>
      <c r="S192" s="352"/>
      <c r="T192" s="35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113</v>
      </c>
      <c r="AK192" s="87">
        <v>14</v>
      </c>
      <c r="BB192" s="218" t="s">
        <v>110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3"/>
      <c r="P193" s="359" t="s">
        <v>40</v>
      </c>
      <c r="Q193" s="360"/>
      <c r="R193" s="360"/>
      <c r="S193" s="360"/>
      <c r="T193" s="360"/>
      <c r="U193" s="360"/>
      <c r="V193" s="361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62"/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3"/>
      <c r="P194" s="359" t="s">
        <v>40</v>
      </c>
      <c r="Q194" s="360"/>
      <c r="R194" s="360"/>
      <c r="S194" s="360"/>
      <c r="T194" s="360"/>
      <c r="U194" s="360"/>
      <c r="V194" s="361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9" t="s">
        <v>152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50">
        <v>4620207491188</v>
      </c>
      <c r="E196" s="350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4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52"/>
      <c r="R196" s="352"/>
      <c r="S196" s="352"/>
      <c r="T196" s="35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50">
        <v>4620207490198</v>
      </c>
      <c r="E197" s="350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52"/>
      <c r="R197" s="352"/>
      <c r="S197" s="352"/>
      <c r="T197" s="35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50">
        <v>4620207490235</v>
      </c>
      <c r="E198" s="350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52"/>
      <c r="R198" s="352"/>
      <c r="S198" s="352"/>
      <c r="T198" s="35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50">
        <v>4620207490259</v>
      </c>
      <c r="E199" s="350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87</v>
      </c>
      <c r="M199" s="38" t="s">
        <v>85</v>
      </c>
      <c r="N199" s="38"/>
      <c r="O199" s="37">
        <v>180</v>
      </c>
      <c r="P199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52"/>
      <c r="R199" s="352"/>
      <c r="S199" s="352"/>
      <c r="T199" s="35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88</v>
      </c>
      <c r="AK199" s="87">
        <v>1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50">
        <v>4620207490143</v>
      </c>
      <c r="E200" s="350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111</v>
      </c>
      <c r="L200" s="37" t="s">
        <v>87</v>
      </c>
      <c r="M200" s="38" t="s">
        <v>85</v>
      </c>
      <c r="N200" s="38"/>
      <c r="O200" s="37">
        <v>180</v>
      </c>
      <c r="P200" s="42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52"/>
      <c r="R200" s="352"/>
      <c r="S200" s="352"/>
      <c r="T200" s="353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88</v>
      </c>
      <c r="AK200" s="87">
        <v>1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2"/>
      <c r="B201" s="362"/>
      <c r="C201" s="362"/>
      <c r="D201" s="362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3"/>
      <c r="P201" s="359" t="s">
        <v>40</v>
      </c>
      <c r="Q201" s="360"/>
      <c r="R201" s="360"/>
      <c r="S201" s="360"/>
      <c r="T201" s="360"/>
      <c r="U201" s="360"/>
      <c r="V201" s="361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62"/>
      <c r="B202" s="362"/>
      <c r="C202" s="362"/>
      <c r="D202" s="362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3"/>
      <c r="P202" s="359" t="s">
        <v>40</v>
      </c>
      <c r="Q202" s="360"/>
      <c r="R202" s="360"/>
      <c r="S202" s="360"/>
      <c r="T202" s="360"/>
      <c r="U202" s="360"/>
      <c r="V202" s="361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8" t="s">
        <v>312</v>
      </c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65"/>
      <c r="AB203" s="65"/>
      <c r="AC203" s="82"/>
    </row>
    <row r="204" spans="1:68" ht="14.25" customHeight="1" x14ac:dyDescent="0.25">
      <c r="A204" s="349" t="s">
        <v>81</v>
      </c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50">
        <v>4620207491096</v>
      </c>
      <c r="E205" s="350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86</v>
      </c>
      <c r="L205" s="37" t="s">
        <v>116</v>
      </c>
      <c r="M205" s="38" t="s">
        <v>85</v>
      </c>
      <c r="N205" s="38"/>
      <c r="O205" s="37">
        <v>180</v>
      </c>
      <c r="P205" s="4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52"/>
      <c r="R205" s="352"/>
      <c r="S205" s="352"/>
      <c r="T205" s="35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117</v>
      </c>
      <c r="AK205" s="87">
        <v>84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3"/>
      <c r="P206" s="359" t="s">
        <v>40</v>
      </c>
      <c r="Q206" s="360"/>
      <c r="R206" s="360"/>
      <c r="S206" s="360"/>
      <c r="T206" s="360"/>
      <c r="U206" s="360"/>
      <c r="V206" s="361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3"/>
      <c r="P207" s="359" t="s">
        <v>40</v>
      </c>
      <c r="Q207" s="360"/>
      <c r="R207" s="360"/>
      <c r="S207" s="360"/>
      <c r="T207" s="360"/>
      <c r="U207" s="360"/>
      <c r="V207" s="361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8" t="s">
        <v>316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5"/>
      <c r="AB208" s="65"/>
      <c r="AC208" s="82"/>
    </row>
    <row r="209" spans="1:68" ht="14.25" customHeight="1" x14ac:dyDescent="0.25">
      <c r="A209" s="349" t="s">
        <v>81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4301071093</v>
      </c>
      <c r="D210" s="350">
        <v>4620207490709</v>
      </c>
      <c r="E210" s="350"/>
      <c r="F210" s="62">
        <v>0.65</v>
      </c>
      <c r="G210" s="37">
        <v>8</v>
      </c>
      <c r="H210" s="62">
        <v>5.2</v>
      </c>
      <c r="I210" s="62">
        <v>5.47</v>
      </c>
      <c r="J210" s="37">
        <v>84</v>
      </c>
      <c r="K210" s="37" t="s">
        <v>86</v>
      </c>
      <c r="L210" s="37" t="s">
        <v>87</v>
      </c>
      <c r="M210" s="38" t="s">
        <v>85</v>
      </c>
      <c r="N210" s="38"/>
      <c r="O210" s="37">
        <v>180</v>
      </c>
      <c r="P210" s="42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352"/>
      <c r="R210" s="352"/>
      <c r="S210" s="352"/>
      <c r="T210" s="35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88</v>
      </c>
      <c r="AK210" s="87">
        <v>1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3"/>
      <c r="P211" s="359" t="s">
        <v>40</v>
      </c>
      <c r="Q211" s="360"/>
      <c r="R211" s="360"/>
      <c r="S211" s="360"/>
      <c r="T211" s="360"/>
      <c r="U211" s="360"/>
      <c r="V211" s="361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3"/>
      <c r="P212" s="359" t="s">
        <v>40</v>
      </c>
      <c r="Q212" s="360"/>
      <c r="R212" s="360"/>
      <c r="S212" s="360"/>
      <c r="T212" s="360"/>
      <c r="U212" s="360"/>
      <c r="V212" s="361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49" t="s">
        <v>152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50">
        <v>4620207490549</v>
      </c>
      <c r="E214" s="35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3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2"/>
      <c r="R214" s="352"/>
      <c r="S214" s="352"/>
      <c r="T214" s="35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50">
        <v>4620207490501</v>
      </c>
      <c r="E215" s="35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111</v>
      </c>
      <c r="L215" s="37" t="s">
        <v>87</v>
      </c>
      <c r="M215" s="38" t="s">
        <v>85</v>
      </c>
      <c r="N215" s="38"/>
      <c r="O215" s="37">
        <v>180</v>
      </c>
      <c r="P215" s="4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2"/>
      <c r="R215" s="352"/>
      <c r="S215" s="352"/>
      <c r="T215" s="35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88</v>
      </c>
      <c r="AK215" s="87">
        <v>1</v>
      </c>
      <c r="BB215" s="236" t="s">
        <v>110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2"/>
      <c r="B216" s="362"/>
      <c r="C216" s="362"/>
      <c r="D216" s="362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3"/>
      <c r="P216" s="359" t="s">
        <v>40</v>
      </c>
      <c r="Q216" s="360"/>
      <c r="R216" s="360"/>
      <c r="S216" s="360"/>
      <c r="T216" s="360"/>
      <c r="U216" s="360"/>
      <c r="V216" s="361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3"/>
      <c r="P217" s="359" t="s">
        <v>40</v>
      </c>
      <c r="Q217" s="360"/>
      <c r="R217" s="360"/>
      <c r="S217" s="360"/>
      <c r="T217" s="360"/>
      <c r="U217" s="360"/>
      <c r="V217" s="361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7" t="s">
        <v>325</v>
      </c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54"/>
      <c r="AB218" s="54"/>
      <c r="AC218" s="54"/>
    </row>
    <row r="219" spans="1:68" ht="16.5" customHeight="1" x14ac:dyDescent="0.25">
      <c r="A219" s="348" t="s">
        <v>326</v>
      </c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65"/>
      <c r="AB219" s="65"/>
      <c r="AC219" s="82"/>
    </row>
    <row r="220" spans="1:68" ht="14.25" customHeight="1" x14ac:dyDescent="0.25">
      <c r="A220" s="349" t="s">
        <v>81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50">
        <v>4607111036162</v>
      </c>
      <c r="E221" s="350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86</v>
      </c>
      <c r="L221" s="37" t="s">
        <v>87</v>
      </c>
      <c r="M221" s="38" t="s">
        <v>85</v>
      </c>
      <c r="N221" s="38"/>
      <c r="O221" s="37">
        <v>90</v>
      </c>
      <c r="P221" s="4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2"/>
      <c r="R221" s="352"/>
      <c r="S221" s="352"/>
      <c r="T221" s="35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88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2"/>
      <c r="B222" s="362"/>
      <c r="C222" s="362"/>
      <c r="D222" s="362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3"/>
      <c r="P222" s="359" t="s">
        <v>40</v>
      </c>
      <c r="Q222" s="360"/>
      <c r="R222" s="360"/>
      <c r="S222" s="360"/>
      <c r="T222" s="360"/>
      <c r="U222" s="360"/>
      <c r="V222" s="36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3"/>
      <c r="P223" s="359" t="s">
        <v>40</v>
      </c>
      <c r="Q223" s="360"/>
      <c r="R223" s="360"/>
      <c r="S223" s="360"/>
      <c r="T223" s="360"/>
      <c r="U223" s="360"/>
      <c r="V223" s="36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7" t="s">
        <v>330</v>
      </c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54"/>
      <c r="AB224" s="54"/>
      <c r="AC224" s="54"/>
    </row>
    <row r="225" spans="1:68" ht="16.5" customHeight="1" x14ac:dyDescent="0.25">
      <c r="A225" s="348" t="s">
        <v>331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65"/>
      <c r="AB225" s="65"/>
      <c r="AC225" s="82"/>
    </row>
    <row r="226" spans="1:68" ht="14.25" customHeight="1" x14ac:dyDescent="0.25">
      <c r="A226" s="349" t="s">
        <v>81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50">
        <v>4607111035899</v>
      </c>
      <c r="E227" s="350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86</v>
      </c>
      <c r="L227" s="37" t="s">
        <v>112</v>
      </c>
      <c r="M227" s="38" t="s">
        <v>85</v>
      </c>
      <c r="N227" s="38"/>
      <c r="O227" s="37">
        <v>180</v>
      </c>
      <c r="P227" s="43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2"/>
      <c r="R227" s="352"/>
      <c r="S227" s="352"/>
      <c r="T227" s="35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273</v>
      </c>
      <c r="AG227" s="81"/>
      <c r="AJ227" s="87" t="s">
        <v>113</v>
      </c>
      <c r="AK227" s="87">
        <v>12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2"/>
      <c r="B228" s="362"/>
      <c r="C228" s="362"/>
      <c r="D228" s="362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3"/>
      <c r="P228" s="359" t="s">
        <v>40</v>
      </c>
      <c r="Q228" s="360"/>
      <c r="R228" s="360"/>
      <c r="S228" s="360"/>
      <c r="T228" s="360"/>
      <c r="U228" s="360"/>
      <c r="V228" s="36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3"/>
      <c r="P229" s="359" t="s">
        <v>40</v>
      </c>
      <c r="Q229" s="360"/>
      <c r="R229" s="360"/>
      <c r="S229" s="360"/>
      <c r="T229" s="360"/>
      <c r="U229" s="360"/>
      <c r="V229" s="36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7" t="s">
        <v>334</v>
      </c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54"/>
      <c r="AB230" s="54"/>
      <c r="AC230" s="54"/>
    </row>
    <row r="231" spans="1:68" ht="16.5" customHeight="1" x14ac:dyDescent="0.25">
      <c r="A231" s="348" t="s">
        <v>335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65"/>
      <c r="AB231" s="65"/>
      <c r="AC231" s="82"/>
    </row>
    <row r="232" spans="1:68" ht="14.25" customHeight="1" x14ac:dyDescent="0.25">
      <c r="A232" s="349" t="s">
        <v>336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50">
        <v>4607111039774</v>
      </c>
      <c r="E233" s="350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111</v>
      </c>
      <c r="L233" s="37" t="s">
        <v>87</v>
      </c>
      <c r="M233" s="38" t="s">
        <v>85</v>
      </c>
      <c r="N233" s="38"/>
      <c r="O233" s="37">
        <v>180</v>
      </c>
      <c r="P233" s="43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2"/>
      <c r="R233" s="352"/>
      <c r="S233" s="352"/>
      <c r="T233" s="35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88</v>
      </c>
      <c r="AK233" s="87">
        <v>1</v>
      </c>
      <c r="BB233" s="242" t="s">
        <v>110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2"/>
      <c r="B234" s="362"/>
      <c r="C234" s="362"/>
      <c r="D234" s="362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3"/>
      <c r="P234" s="359" t="s">
        <v>40</v>
      </c>
      <c r="Q234" s="360"/>
      <c r="R234" s="360"/>
      <c r="S234" s="360"/>
      <c r="T234" s="360"/>
      <c r="U234" s="360"/>
      <c r="V234" s="36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3"/>
      <c r="P235" s="359" t="s">
        <v>40</v>
      </c>
      <c r="Q235" s="360"/>
      <c r="R235" s="360"/>
      <c r="S235" s="360"/>
      <c r="T235" s="360"/>
      <c r="U235" s="360"/>
      <c r="V235" s="36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9" t="s">
        <v>152</v>
      </c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50">
        <v>4607111039361</v>
      </c>
      <c r="E237" s="350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111</v>
      </c>
      <c r="L237" s="37" t="s">
        <v>87</v>
      </c>
      <c r="M237" s="38" t="s">
        <v>85</v>
      </c>
      <c r="N237" s="38"/>
      <c r="O237" s="37">
        <v>180</v>
      </c>
      <c r="P237" s="43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2"/>
      <c r="R237" s="352"/>
      <c r="S237" s="352"/>
      <c r="T237" s="35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88</v>
      </c>
      <c r="AK237" s="87">
        <v>1</v>
      </c>
      <c r="BB237" s="244" t="s">
        <v>110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2"/>
      <c r="B238" s="362"/>
      <c r="C238" s="362"/>
      <c r="D238" s="362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3"/>
      <c r="P238" s="359" t="s">
        <v>40</v>
      </c>
      <c r="Q238" s="360"/>
      <c r="R238" s="360"/>
      <c r="S238" s="360"/>
      <c r="T238" s="360"/>
      <c r="U238" s="360"/>
      <c r="V238" s="36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3"/>
      <c r="P239" s="359" t="s">
        <v>40</v>
      </c>
      <c r="Q239" s="360"/>
      <c r="R239" s="360"/>
      <c r="S239" s="360"/>
      <c r="T239" s="360"/>
      <c r="U239" s="360"/>
      <c r="V239" s="36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7" t="s">
        <v>342</v>
      </c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54"/>
      <c r="AB240" s="54"/>
      <c r="AC240" s="54"/>
    </row>
    <row r="241" spans="1:68" ht="16.5" customHeight="1" x14ac:dyDescent="0.25">
      <c r="A241" s="348" t="s">
        <v>342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65"/>
      <c r="AB241" s="65"/>
      <c r="AC241" s="82"/>
    </row>
    <row r="242" spans="1:68" ht="14.25" customHeight="1" x14ac:dyDescent="0.25">
      <c r="A242" s="349" t="s">
        <v>81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50">
        <v>4640242181264</v>
      </c>
      <c r="E243" s="350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4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2"/>
      <c r="R243" s="352"/>
      <c r="S243" s="352"/>
      <c r="T243" s="35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50">
        <v>4640242181325</v>
      </c>
      <c r="E244" s="350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87</v>
      </c>
      <c r="M244" s="38" t="s">
        <v>85</v>
      </c>
      <c r="N244" s="38"/>
      <c r="O244" s="37">
        <v>180</v>
      </c>
      <c r="P244" s="43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2"/>
      <c r="R244" s="352"/>
      <c r="S244" s="352"/>
      <c r="T244" s="35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88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2"/>
      <c r="B245" s="362"/>
      <c r="C245" s="362"/>
      <c r="D245" s="362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3"/>
      <c r="P245" s="359" t="s">
        <v>40</v>
      </c>
      <c r="Q245" s="360"/>
      <c r="R245" s="360"/>
      <c r="S245" s="360"/>
      <c r="T245" s="360"/>
      <c r="U245" s="360"/>
      <c r="V245" s="361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3"/>
      <c r="P246" s="359" t="s">
        <v>40</v>
      </c>
      <c r="Q246" s="360"/>
      <c r="R246" s="360"/>
      <c r="S246" s="360"/>
      <c r="T246" s="360"/>
      <c r="U246" s="360"/>
      <c r="V246" s="361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9" t="s">
        <v>106</v>
      </c>
      <c r="B247" s="349"/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50">
        <v>4640242180397</v>
      </c>
      <c r="E248" s="350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86</v>
      </c>
      <c r="L248" s="37" t="s">
        <v>112</v>
      </c>
      <c r="M248" s="38" t="s">
        <v>85</v>
      </c>
      <c r="N248" s="38"/>
      <c r="O248" s="37">
        <v>180</v>
      </c>
      <c r="P248" s="43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2"/>
      <c r="R248" s="352"/>
      <c r="S248" s="352"/>
      <c r="T248" s="35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113</v>
      </c>
      <c r="AK248" s="87">
        <v>12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4301132104</v>
      </c>
      <c r="D249" s="350">
        <v>4640242181219</v>
      </c>
      <c r="E249" s="350"/>
      <c r="F249" s="62">
        <v>0.3</v>
      </c>
      <c r="G249" s="37">
        <v>9</v>
      </c>
      <c r="H249" s="62">
        <v>2.7</v>
      </c>
      <c r="I249" s="62">
        <v>2.8450000000000002</v>
      </c>
      <c r="J249" s="37">
        <v>234</v>
      </c>
      <c r="K249" s="37" t="s">
        <v>164</v>
      </c>
      <c r="L249" s="37" t="s">
        <v>87</v>
      </c>
      <c r="M249" s="38" t="s">
        <v>85</v>
      </c>
      <c r="N249" s="38"/>
      <c r="O249" s="37">
        <v>180</v>
      </c>
      <c r="P249" s="4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352"/>
      <c r="R249" s="352"/>
      <c r="S249" s="352"/>
      <c r="T249" s="35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IFERROR(IF(X249="","",X249*0.00502),"")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88</v>
      </c>
      <c r="AK249" s="87">
        <v>1</v>
      </c>
      <c r="BB249" s="252" t="s">
        <v>110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3"/>
      <c r="P250" s="359" t="s">
        <v>40</v>
      </c>
      <c r="Q250" s="360"/>
      <c r="R250" s="360"/>
      <c r="S250" s="360"/>
      <c r="T250" s="360"/>
      <c r="U250" s="360"/>
      <c r="V250" s="361"/>
      <c r="W250" s="42" t="s">
        <v>39</v>
      </c>
      <c r="X250" s="43">
        <f>IFERROR(SUM(X248:X249),"0")</f>
        <v>0</v>
      </c>
      <c r="Y250" s="43">
        <f>IFERROR(SUM(Y248:Y249),"0")</f>
        <v>0</v>
      </c>
      <c r="Z250" s="43">
        <f>IFERROR(IF(Z248="",0,Z248),"0")+IFERROR(IF(Z249="",0,Z249),"0")</f>
        <v>0</v>
      </c>
      <c r="AA250" s="67"/>
      <c r="AB250" s="67"/>
      <c r="AC250" s="67"/>
    </row>
    <row r="251" spans="1:68" x14ac:dyDescent="0.2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3"/>
      <c r="P251" s="359" t="s">
        <v>40</v>
      </c>
      <c r="Q251" s="360"/>
      <c r="R251" s="360"/>
      <c r="S251" s="360"/>
      <c r="T251" s="360"/>
      <c r="U251" s="360"/>
      <c r="V251" s="361"/>
      <c r="W251" s="42" t="s">
        <v>0</v>
      </c>
      <c r="X251" s="43">
        <f>IFERROR(SUMPRODUCT(X248:X249*H248:H249),"0")</f>
        <v>0</v>
      </c>
      <c r="Y251" s="43">
        <f>IFERROR(SUMPRODUCT(Y248:Y249*H248:H249),"0")</f>
        <v>0</v>
      </c>
      <c r="Z251" s="42"/>
      <c r="AA251" s="67"/>
      <c r="AB251" s="67"/>
      <c r="AC251" s="67"/>
    </row>
    <row r="252" spans="1:68" ht="14.25" customHeight="1" x14ac:dyDescent="0.25">
      <c r="A252" s="349" t="s">
        <v>146</v>
      </c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66"/>
      <c r="AB252" s="66"/>
      <c r="AC252" s="83"/>
    </row>
    <row r="253" spans="1:68" ht="27" customHeight="1" x14ac:dyDescent="0.25">
      <c r="A253" s="63" t="s">
        <v>353</v>
      </c>
      <c r="B253" s="63" t="s">
        <v>354</v>
      </c>
      <c r="C253" s="36">
        <v>4301136051</v>
      </c>
      <c r="D253" s="350">
        <v>4640242180304</v>
      </c>
      <c r="E253" s="350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111</v>
      </c>
      <c r="L253" s="37" t="s">
        <v>112</v>
      </c>
      <c r="M253" s="38" t="s">
        <v>85</v>
      </c>
      <c r="N253" s="38"/>
      <c r="O253" s="37">
        <v>180</v>
      </c>
      <c r="P253" s="44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2"/>
      <c r="R253" s="352"/>
      <c r="S253" s="352"/>
      <c r="T253" s="35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355</v>
      </c>
      <c r="AG253" s="81"/>
      <c r="AJ253" s="87" t="s">
        <v>113</v>
      </c>
      <c r="AK253" s="87">
        <v>14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4301136053</v>
      </c>
      <c r="D254" s="350">
        <v>4640242180236</v>
      </c>
      <c r="E254" s="350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112</v>
      </c>
      <c r="M254" s="38" t="s">
        <v>85</v>
      </c>
      <c r="N254" s="38"/>
      <c r="O254" s="37">
        <v>180</v>
      </c>
      <c r="P254" s="44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2"/>
      <c r="R254" s="352"/>
      <c r="S254" s="352"/>
      <c r="T254" s="35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355</v>
      </c>
      <c r="AG254" s="81"/>
      <c r="AJ254" s="87" t="s">
        <v>113</v>
      </c>
      <c r="AK254" s="87">
        <v>12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4301136052</v>
      </c>
      <c r="D255" s="350">
        <v>4640242180410</v>
      </c>
      <c r="E255" s="350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111</v>
      </c>
      <c r="L255" s="37" t="s">
        <v>112</v>
      </c>
      <c r="M255" s="38" t="s">
        <v>85</v>
      </c>
      <c r="N255" s="38"/>
      <c r="O255" s="37">
        <v>180</v>
      </c>
      <c r="P255" s="4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2"/>
      <c r="R255" s="352"/>
      <c r="S255" s="352"/>
      <c r="T255" s="35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355</v>
      </c>
      <c r="AG255" s="81"/>
      <c r="AJ255" s="87" t="s">
        <v>113</v>
      </c>
      <c r="AK255" s="87">
        <v>14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3"/>
      <c r="P256" s="359" t="s">
        <v>40</v>
      </c>
      <c r="Q256" s="360"/>
      <c r="R256" s="360"/>
      <c r="S256" s="360"/>
      <c r="T256" s="360"/>
      <c r="U256" s="360"/>
      <c r="V256" s="361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3"/>
      <c r="P257" s="359" t="s">
        <v>40</v>
      </c>
      <c r="Q257" s="360"/>
      <c r="R257" s="360"/>
      <c r="S257" s="360"/>
      <c r="T257" s="360"/>
      <c r="U257" s="360"/>
      <c r="V257" s="361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49" t="s">
        <v>152</v>
      </c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66"/>
      <c r="AB258" s="66"/>
      <c r="AC258" s="83"/>
    </row>
    <row r="259" spans="1:68" ht="37.5" customHeight="1" x14ac:dyDescent="0.25">
      <c r="A259" s="63" t="s">
        <v>360</v>
      </c>
      <c r="B259" s="63" t="s">
        <v>361</v>
      </c>
      <c r="C259" s="36">
        <v>4301135504</v>
      </c>
      <c r="D259" s="350">
        <v>4640242181554</v>
      </c>
      <c r="E259" s="350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111</v>
      </c>
      <c r="L259" s="37" t="s">
        <v>87</v>
      </c>
      <c r="M259" s="38" t="s">
        <v>85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2"/>
      <c r="R259" s="352"/>
      <c r="S259" s="352"/>
      <c r="T259" s="353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88</v>
      </c>
      <c r="AK259" s="87">
        <v>1</v>
      </c>
      <c r="BB259" s="260" t="s">
        <v>110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4301135518</v>
      </c>
      <c r="D260" s="350">
        <v>4640242181561</v>
      </c>
      <c r="E260" s="350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111</v>
      </c>
      <c r="L260" s="37" t="s">
        <v>112</v>
      </c>
      <c r="M260" s="38" t="s">
        <v>85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2"/>
      <c r="R260" s="352"/>
      <c r="S260" s="352"/>
      <c r="T260" s="353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365</v>
      </c>
      <c r="AG260" s="81"/>
      <c r="AJ260" s="87" t="s">
        <v>113</v>
      </c>
      <c r="AK260" s="87">
        <v>14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4301135374</v>
      </c>
      <c r="D261" s="350">
        <v>4640242181424</v>
      </c>
      <c r="E261" s="350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112</v>
      </c>
      <c r="M261" s="38" t="s">
        <v>85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2"/>
      <c r="R261" s="352"/>
      <c r="S261" s="352"/>
      <c r="T261" s="353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113</v>
      </c>
      <c r="AK261" s="87">
        <v>12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4301135405</v>
      </c>
      <c r="D262" s="350">
        <v>4640242181523</v>
      </c>
      <c r="E262" s="350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111</v>
      </c>
      <c r="L262" s="37" t="s">
        <v>112</v>
      </c>
      <c r="M262" s="38" t="s">
        <v>85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2"/>
      <c r="R262" s="352"/>
      <c r="S262" s="352"/>
      <c r="T262" s="353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365</v>
      </c>
      <c r="AG262" s="81"/>
      <c r="AJ262" s="87" t="s">
        <v>113</v>
      </c>
      <c r="AK262" s="87">
        <v>14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370</v>
      </c>
      <c r="B263" s="63" t="s">
        <v>371</v>
      </c>
      <c r="C263" s="36">
        <v>4301135375</v>
      </c>
      <c r="D263" s="350">
        <v>4640242181486</v>
      </c>
      <c r="E263" s="350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2"/>
      <c r="R263" s="352"/>
      <c r="S263" s="352"/>
      <c r="T263" s="353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362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4301135402</v>
      </c>
      <c r="D264" s="350">
        <v>4640242181493</v>
      </c>
      <c r="E264" s="350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112</v>
      </c>
      <c r="M264" s="38" t="s">
        <v>85</v>
      </c>
      <c r="N264" s="38"/>
      <c r="O264" s="37">
        <v>180</v>
      </c>
      <c r="P264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2"/>
      <c r="R264" s="352"/>
      <c r="S264" s="352"/>
      <c r="T264" s="353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362</v>
      </c>
      <c r="AG264" s="81"/>
      <c r="AJ264" s="87" t="s">
        <v>113</v>
      </c>
      <c r="AK264" s="87">
        <v>14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374</v>
      </c>
      <c r="B265" s="63" t="s">
        <v>375</v>
      </c>
      <c r="C265" s="36">
        <v>4301135403</v>
      </c>
      <c r="D265" s="350">
        <v>4640242181509</v>
      </c>
      <c r="E265" s="350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116</v>
      </c>
      <c r="M265" s="38" t="s">
        <v>85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2"/>
      <c r="R265" s="352"/>
      <c r="S265" s="352"/>
      <c r="T265" s="353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362</v>
      </c>
      <c r="AG265" s="81"/>
      <c r="AJ265" s="87" t="s">
        <v>117</v>
      </c>
      <c r="AK265" s="87">
        <v>126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4301135304</v>
      </c>
      <c r="D266" s="350">
        <v>4640242181240</v>
      </c>
      <c r="E266" s="350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2"/>
      <c r="R266" s="352"/>
      <c r="S266" s="352"/>
      <c r="T266" s="353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4301135610</v>
      </c>
      <c r="D267" s="350">
        <v>4640242181318</v>
      </c>
      <c r="E267" s="350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2"/>
      <c r="R267" s="352"/>
      <c r="S267" s="352"/>
      <c r="T267" s="353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365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380</v>
      </c>
      <c r="B268" s="63" t="s">
        <v>381</v>
      </c>
      <c r="C268" s="36">
        <v>4301135306</v>
      </c>
      <c r="D268" s="350">
        <v>4640242181387</v>
      </c>
      <c r="E268" s="350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164</v>
      </c>
      <c r="L268" s="37" t="s">
        <v>87</v>
      </c>
      <c r="M268" s="38" t="s">
        <v>85</v>
      </c>
      <c r="N268" s="38"/>
      <c r="O268" s="37">
        <v>180</v>
      </c>
      <c r="P268" s="45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2"/>
      <c r="R268" s="352"/>
      <c r="S268" s="352"/>
      <c r="T268" s="35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362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2"/>
      <c r="B269" s="362"/>
      <c r="C269" s="362"/>
      <c r="D269" s="362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3"/>
      <c r="P269" s="359" t="s">
        <v>40</v>
      </c>
      <c r="Q269" s="360"/>
      <c r="R269" s="360"/>
      <c r="S269" s="360"/>
      <c r="T269" s="360"/>
      <c r="U269" s="360"/>
      <c r="V269" s="361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2"/>
      <c r="B270" s="362"/>
      <c r="C270" s="362"/>
      <c r="D270" s="362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3"/>
      <c r="P270" s="359" t="s">
        <v>40</v>
      </c>
      <c r="Q270" s="360"/>
      <c r="R270" s="360"/>
      <c r="S270" s="360"/>
      <c r="T270" s="360"/>
      <c r="U270" s="360"/>
      <c r="V270" s="361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2"/>
      <c r="B271" s="362"/>
      <c r="C271" s="362"/>
      <c r="D271" s="362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456"/>
      <c r="P271" s="453" t="s">
        <v>33</v>
      </c>
      <c r="Q271" s="454"/>
      <c r="R271" s="454"/>
      <c r="S271" s="454"/>
      <c r="T271" s="454"/>
      <c r="U271" s="454"/>
      <c r="V271" s="455"/>
      <c r="W271" s="42" t="s">
        <v>0</v>
      </c>
      <c r="X271" s="43">
        <f>IFERROR(X29+X35+X42+X49+X57+X62+X66+X71+X77+X83+X88+X94+X104+X110+X123+X127+X131+X137+X143+X149+X154+X159+X164+X169+X176+X184+X188+X194+X202+X207+X212+X217+X223+X229+X235+X239+X246+X251+X257+X270,"0")</f>
        <v>0</v>
      </c>
      <c r="Y271" s="43">
        <f>IFERROR(Y29+Y35+Y42+Y49+Y57+Y62+Y66+Y71+Y77+Y83+Y88+Y94+Y104+Y110+Y123+Y127+Y131+Y137+Y143+Y149+Y154+Y159+Y164+Y169+Y176+Y184+Y188+Y194+Y202+Y207+Y212+Y217+Y223+Y229+Y235+Y239+Y246+Y251+Y257+Y270,"0")</f>
        <v>0</v>
      </c>
      <c r="Z271" s="42"/>
      <c r="AA271" s="67"/>
      <c r="AB271" s="67"/>
      <c r="AC271" s="67"/>
    </row>
    <row r="272" spans="1:68" x14ac:dyDescent="0.2">
      <c r="A272" s="362"/>
      <c r="B272" s="362"/>
      <c r="C272" s="362"/>
      <c r="D272" s="362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456"/>
      <c r="P272" s="453" t="s">
        <v>34</v>
      </c>
      <c r="Q272" s="454"/>
      <c r="R272" s="454"/>
      <c r="S272" s="454"/>
      <c r="T272" s="454"/>
      <c r="U272" s="454"/>
      <c r="V272" s="455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2"/>
      <c r="B273" s="362"/>
      <c r="C273" s="362"/>
      <c r="D273" s="362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456"/>
      <c r="P273" s="453" t="s">
        <v>35</v>
      </c>
      <c r="Q273" s="454"/>
      <c r="R273" s="454"/>
      <c r="S273" s="454"/>
      <c r="T273" s="454"/>
      <c r="U273" s="454"/>
      <c r="V273" s="455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2"/>
      <c r="B274" s="362"/>
      <c r="C274" s="362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456"/>
      <c r="P274" s="453" t="s">
        <v>36</v>
      </c>
      <c r="Q274" s="454"/>
      <c r="R274" s="454"/>
      <c r="S274" s="454"/>
      <c r="T274" s="454"/>
      <c r="U274" s="454"/>
      <c r="V274" s="455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2"/>
      <c r="B275" s="362"/>
      <c r="C275" s="362"/>
      <c r="D275" s="362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456"/>
      <c r="P275" s="453" t="s">
        <v>37</v>
      </c>
      <c r="Q275" s="454"/>
      <c r="R275" s="454"/>
      <c r="S275" s="454"/>
      <c r="T275" s="454"/>
      <c r="U275" s="454"/>
      <c r="V275" s="455"/>
      <c r="W275" s="42" t="s">
        <v>20</v>
      </c>
      <c r="X275" s="43">
        <f>IFERROR(X28+X34+X41+X48+X56+X61+X65+X70+X76+X82+X87+X93+X103+X109+X122+X126+X130+X136+X142+X148+X153+X158+X163+X168+X175+X183+X187+X193+X201+X206+X211+X216+X222+X228+X234+X238+X245+X250+X256+X269,"0")</f>
        <v>0</v>
      </c>
      <c r="Y275" s="43">
        <f>IFERROR(Y28+Y34+Y41+Y48+Y56+Y61+Y65+Y70+Y76+Y82+Y87+Y93+Y103+Y109+Y122+Y126+Y130+Y136+Y142+Y148+Y153+Y158+Y163+Y168+Y175+Y183+Y187+Y193+Y201+Y206+Y211+Y216+Y222+Y228+Y234+Y238+Y245+Y250+Y256+Y269,"0")</f>
        <v>0</v>
      </c>
      <c r="Z275" s="42"/>
      <c r="AA275" s="67"/>
      <c r="AB275" s="67"/>
      <c r="AC275" s="67"/>
    </row>
    <row r="276" spans="1:32" ht="14.25" x14ac:dyDescent="0.2">
      <c r="A276" s="362"/>
      <c r="B276" s="362"/>
      <c r="C276" s="362"/>
      <c r="D276" s="362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456"/>
      <c r="P276" s="453" t="s">
        <v>38</v>
      </c>
      <c r="Q276" s="454"/>
      <c r="R276" s="454"/>
      <c r="S276" s="454"/>
      <c r="T276" s="454"/>
      <c r="U276" s="454"/>
      <c r="V276" s="455"/>
      <c r="W276" s="45" t="s">
        <v>52</v>
      </c>
      <c r="X276" s="42"/>
      <c r="Y276" s="42"/>
      <c r="Z276" s="42">
        <f>IFERROR(Z28+Z34+Z41+Z48+Z56+Z61+Z65+Z70+Z76+Z82+Z87+Z93+Z103+Z109+Z122+Z126+Z130+Z136+Z142+Z148+Z153+Z158+Z163+Z168+Z175+Z183+Z187+Z193+Z201+Z206+Z211+Z216+Z222+Z228+Z234+Z238+Z245+Z250+Z256+Z269,"0")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59" t="s">
        <v>80</v>
      </c>
      <c r="C278" s="459" t="s">
        <v>80</v>
      </c>
      <c r="D278" s="459" t="s">
        <v>45</v>
      </c>
      <c r="E278" s="459" t="s">
        <v>45</v>
      </c>
      <c r="F278" s="459" t="s">
        <v>45</v>
      </c>
      <c r="G278" s="459" t="s">
        <v>45</v>
      </c>
      <c r="H278" s="459" t="s">
        <v>45</v>
      </c>
      <c r="I278" s="459" t="s">
        <v>45</v>
      </c>
      <c r="J278" s="459" t="s">
        <v>45</v>
      </c>
      <c r="K278" s="459" t="s">
        <v>45</v>
      </c>
      <c r="L278" s="459" t="s">
        <v>45</v>
      </c>
      <c r="M278" s="459" t="s">
        <v>45</v>
      </c>
      <c r="N278" s="460"/>
      <c r="O278" s="459" t="s">
        <v>45</v>
      </c>
      <c r="P278" s="459" t="s">
        <v>45</v>
      </c>
      <c r="Q278" s="459" t="s">
        <v>45</v>
      </c>
      <c r="R278" s="459" t="s">
        <v>45</v>
      </c>
      <c r="S278" s="459" t="s">
        <v>45</v>
      </c>
      <c r="T278" s="459" t="s">
        <v>45</v>
      </c>
      <c r="U278" s="459" t="s">
        <v>45</v>
      </c>
      <c r="V278" s="88" t="s">
        <v>266</v>
      </c>
      <c r="W278" s="88" t="s">
        <v>274</v>
      </c>
      <c r="X278" s="459" t="s">
        <v>293</v>
      </c>
      <c r="Y278" s="459" t="s">
        <v>293</v>
      </c>
      <c r="Z278" s="459" t="s">
        <v>293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457" t="s">
        <v>10</v>
      </c>
      <c r="B279" s="459" t="s">
        <v>80</v>
      </c>
      <c r="C279" s="459" t="s">
        <v>99</v>
      </c>
      <c r="D279" s="459" t="s">
        <v>105</v>
      </c>
      <c r="E279" s="459" t="s">
        <v>118</v>
      </c>
      <c r="F279" s="459" t="s">
        <v>128</v>
      </c>
      <c r="G279" s="459" t="s">
        <v>139</v>
      </c>
      <c r="H279" s="459" t="s">
        <v>160</v>
      </c>
      <c r="I279" s="459" t="s">
        <v>167</v>
      </c>
      <c r="J279" s="459" t="s">
        <v>171</v>
      </c>
      <c r="K279" s="459" t="s">
        <v>179</v>
      </c>
      <c r="L279" s="459" t="s">
        <v>194</v>
      </c>
      <c r="M279" s="459" t="s">
        <v>200</v>
      </c>
      <c r="N279" s="1"/>
      <c r="O279" s="459" t="s">
        <v>232</v>
      </c>
      <c r="P279" s="459" t="s">
        <v>238</v>
      </c>
      <c r="Q279" s="459" t="s">
        <v>245</v>
      </c>
      <c r="R279" s="459" t="s">
        <v>250</v>
      </c>
      <c r="S279" s="459" t="s">
        <v>254</v>
      </c>
      <c r="T279" s="459" t="s">
        <v>257</v>
      </c>
      <c r="U279" s="459" t="s">
        <v>262</v>
      </c>
      <c r="V279" s="459" t="s">
        <v>267</v>
      </c>
      <c r="W279" s="459" t="s">
        <v>275</v>
      </c>
      <c r="X279" s="459" t="s">
        <v>294</v>
      </c>
      <c r="Y279" s="459" t="s">
        <v>312</v>
      </c>
      <c r="Z279" s="459" t="s">
        <v>316</v>
      </c>
      <c r="AA279" s="459" t="s">
        <v>326</v>
      </c>
      <c r="AB279" s="459" t="s">
        <v>331</v>
      </c>
      <c r="AC279" s="459" t="s">
        <v>335</v>
      </c>
      <c r="AD279" s="459" t="s">
        <v>342</v>
      </c>
      <c r="AF279" s="1"/>
    </row>
    <row r="280" spans="1:32" ht="13.5" thickBot="1" x14ac:dyDescent="0.25">
      <c r="A280" s="458"/>
      <c r="B280" s="459"/>
      <c r="C280" s="459"/>
      <c r="D280" s="459"/>
      <c r="E280" s="459"/>
      <c r="F280" s="459"/>
      <c r="G280" s="459"/>
      <c r="H280" s="459"/>
      <c r="I280" s="459"/>
      <c r="J280" s="459"/>
      <c r="K280" s="459"/>
      <c r="L280" s="459"/>
      <c r="M280" s="459"/>
      <c r="N280" s="1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0</v>
      </c>
      <c r="N281" s="1"/>
      <c r="O281" s="52">
        <f>IFERROR(X134*H134,"0")+IFERROR(X135*H135,"0")</f>
        <v>0</v>
      </c>
      <c r="P281" s="52">
        <f>IFERROR(X140*H140,"0")+IFERROR(X141*H141,"0")</f>
        <v>0</v>
      </c>
      <c r="Q281" s="52">
        <f>IFERROR(X146*H146,"0")+IFERROR(X147*H147,"0")</f>
        <v>0</v>
      </c>
      <c r="R281" s="52">
        <f>IFERROR(X152*H152,"0")</f>
        <v>0</v>
      </c>
      <c r="S281" s="52">
        <f>IFERROR(X157*H157,"0")</f>
        <v>0</v>
      </c>
      <c r="T281" s="52">
        <f>IFERROR(X162*H162,"0")</f>
        <v>0</v>
      </c>
      <c r="U281" s="52">
        <f>IFERROR(X167*H167,"0")</f>
        <v>0</v>
      </c>
      <c r="V281" s="52">
        <f>IFERROR(X173*H173,"0")+IFERROR(X174*H174,"0")</f>
        <v>0</v>
      </c>
      <c r="W281" s="52">
        <f>IFERROR(X180*H180,"0")+IFERROR(X181*H181,"0")+IFERROR(X182*H182,"0")+IFERROR(X186*H186,"0")</f>
        <v>0</v>
      </c>
      <c r="X281" s="52">
        <f>IFERROR(X192*H192,"0")+IFERROR(X196*H196,"0")+IFERROR(X197*H197,"0")+IFERROR(X198*H198,"0")+IFERROR(X199*H199,"0")+IFERROR(X200*H200,"0")</f>
        <v>0</v>
      </c>
      <c r="Y281" s="52">
        <f>IFERROR(X205*H205,"0")</f>
        <v>0</v>
      </c>
      <c r="Z281" s="52">
        <f>IFERROR(X210*H210,"0")+IFERROR(X214*H214,"0")+IFERROR(X215*H215,"0")</f>
        <v>0</v>
      </c>
      <c r="AA281" s="52">
        <f>IFERROR(X221*H221,"0")</f>
        <v>0</v>
      </c>
      <c r="AB281" s="52">
        <f>IFERROR(X227*H227,"0")</f>
        <v>0</v>
      </c>
      <c r="AC281" s="52">
        <f>IFERROR(X233*H233,"0")+IFERROR(X237*H237,"0")</f>
        <v>0</v>
      </c>
      <c r="AD281" s="52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ef4ba85X5x0e7+n+H2CzfpZgA3oY8jogWeQnFM2C8n6CIMLpbopq72BXiyH2z/wKdnqwPab9ARSQDzC2yogluw==" saltValue="tsxc/hXdNqkRR9OXBp9r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47:Z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6:X268 X259 X249 X243:X244 X237 X233 X221 X214:X215 X210 X196:X200 X186 X173 X167 X140 X129 X125 X120:X121 X117 X113 X99 X97 X73:X75 X68:X69 X64 X60 X46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0:X264 X253:X255 X248 X227 X192 X181:X182 X174 X162 X157 X152 X146:X147 X134:X135 X118:X119 X114:X115 X107:X108 X101:X102 X98 X91 X86 X80 X52:X55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265 X205 X180 X141 X116 X100 X92 X81 X47 X45" xr:uid="{00000000-0002-0000-0000-00001A000000}">
      <formula1>IF(AK40&gt;0,OR(X40=0,AND(IF(X40-AK40&gt;=0,TRUE,FALSE),X40&gt;0,IF(X40/J40=ROUND(X40/J40,0),TRUE,FALSE))),FALSE)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79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F/5RQx3Uv0Chzd9FPyIoti+oFmFE5i2AK98YuqHg+BdMal0ZY4x/63XvLL9wtKSiuSiRYF+qkpJmIsAvZZXHyQ==" saltValue="fCr7UasssoE2Bhfje3Kz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