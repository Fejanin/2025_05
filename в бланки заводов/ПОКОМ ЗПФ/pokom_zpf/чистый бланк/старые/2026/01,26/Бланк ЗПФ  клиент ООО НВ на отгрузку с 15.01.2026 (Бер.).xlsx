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12F050-415D-4EF4-A9C9-5857CB974C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O263" i="2"/>
  <c r="BN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Z255" i="2"/>
  <c r="Y255" i="2"/>
  <c r="BP255" i="2" s="1"/>
  <c r="P255" i="2"/>
  <c r="BO254" i="2"/>
  <c r="BM254" i="2"/>
  <c r="Z254" i="2"/>
  <c r="Z264" i="2" s="1"/>
  <c r="Y254" i="2"/>
  <c r="BP254" i="2" s="1"/>
  <c r="P254" i="2"/>
  <c r="X252" i="2"/>
  <c r="X251" i="2"/>
  <c r="BP250" i="2"/>
  <c r="BO250" i="2"/>
  <c r="BN250" i="2"/>
  <c r="BM250" i="2"/>
  <c r="Z250" i="2"/>
  <c r="Z251" i="2" s="1"/>
  <c r="Y250" i="2"/>
  <c r="P250" i="2"/>
  <c r="BO249" i="2"/>
  <c r="BM249" i="2"/>
  <c r="Z249" i="2"/>
  <c r="Y249" i="2"/>
  <c r="BP249" i="2" s="1"/>
  <c r="P249" i="2"/>
  <c r="BO248" i="2"/>
  <c r="BM248" i="2"/>
  <c r="Z248" i="2"/>
  <c r="Y248" i="2"/>
  <c r="BN248" i="2" s="1"/>
  <c r="P248" i="2"/>
  <c r="X246" i="2"/>
  <c r="Z245" i="2"/>
  <c r="X245" i="2"/>
  <c r="BO244" i="2"/>
  <c r="BM244" i="2"/>
  <c r="Z244" i="2"/>
  <c r="Y244" i="2"/>
  <c r="Y245" i="2" s="1"/>
  <c r="P244" i="2"/>
  <c r="X242" i="2"/>
  <c r="X241" i="2"/>
  <c r="BO240" i="2"/>
  <c r="BM240" i="2"/>
  <c r="Z240" i="2"/>
  <c r="Y240" i="2"/>
  <c r="BN240" i="2" s="1"/>
  <c r="P240" i="2"/>
  <c r="BO239" i="2"/>
  <c r="BM239" i="2"/>
  <c r="Z239" i="2"/>
  <c r="Z241" i="2" s="1"/>
  <c r="Y239" i="2"/>
  <c r="Y242" i="2" s="1"/>
  <c r="P239" i="2"/>
  <c r="X235" i="2"/>
  <c r="X234" i="2"/>
  <c r="BO233" i="2"/>
  <c r="BM233" i="2"/>
  <c r="Z233" i="2"/>
  <c r="Z234" i="2" s="1"/>
  <c r="Y233" i="2"/>
  <c r="Y235" i="2" s="1"/>
  <c r="P233" i="2"/>
  <c r="X231" i="2"/>
  <c r="X230" i="2"/>
  <c r="BO229" i="2"/>
  <c r="BN229" i="2"/>
  <c r="BM229" i="2"/>
  <c r="Z229" i="2"/>
  <c r="Z230" i="2" s="1"/>
  <c r="Y229" i="2"/>
  <c r="BP229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O217" i="2"/>
  <c r="BM217" i="2"/>
  <c r="Z217" i="2"/>
  <c r="Z218" i="2" s="1"/>
  <c r="Y217" i="2"/>
  <c r="BP217" i="2" s="1"/>
  <c r="P217" i="2"/>
  <c r="X213" i="2"/>
  <c r="X212" i="2"/>
  <c r="BO211" i="2"/>
  <c r="BM211" i="2"/>
  <c r="Z211" i="2"/>
  <c r="Y211" i="2"/>
  <c r="BP211" i="2" s="1"/>
  <c r="P211" i="2"/>
  <c r="BO210" i="2"/>
  <c r="BM210" i="2"/>
  <c r="Z210" i="2"/>
  <c r="Z212" i="2" s="1"/>
  <c r="Y210" i="2"/>
  <c r="Y213" i="2" s="1"/>
  <c r="P210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Y200" i="2"/>
  <c r="P200" i="2"/>
  <c r="BP199" i="2"/>
  <c r="BO199" i="2"/>
  <c r="BN199" i="2"/>
  <c r="BM199" i="2"/>
  <c r="Z199" i="2"/>
  <c r="Y199" i="2"/>
  <c r="P199" i="2"/>
  <c r="BO198" i="2"/>
  <c r="BN198" i="2"/>
  <c r="BM198" i="2"/>
  <c r="Z198" i="2"/>
  <c r="Y198" i="2"/>
  <c r="BP198" i="2" s="1"/>
  <c r="P198" i="2"/>
  <c r="BO197" i="2"/>
  <c r="BM197" i="2"/>
  <c r="Z197" i="2"/>
  <c r="Y197" i="2"/>
  <c r="P197" i="2"/>
  <c r="BP196" i="2"/>
  <c r="BO196" i="2"/>
  <c r="BN196" i="2"/>
  <c r="BM196" i="2"/>
  <c r="Z196" i="2"/>
  <c r="Z201" i="2" s="1"/>
  <c r="Y196" i="2"/>
  <c r="P196" i="2"/>
  <c r="X194" i="2"/>
  <c r="X193" i="2"/>
  <c r="BO192" i="2"/>
  <c r="BM192" i="2"/>
  <c r="Z192" i="2"/>
  <c r="Z193" i="2" s="1"/>
  <c r="Y192" i="2"/>
  <c r="Y194" i="2" s="1"/>
  <c r="P192" i="2"/>
  <c r="X188" i="2"/>
  <c r="X187" i="2"/>
  <c r="BO186" i="2"/>
  <c r="BN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Z180" i="2"/>
  <c r="Y180" i="2"/>
  <c r="P180" i="2"/>
  <c r="BO179" i="2"/>
  <c r="BM179" i="2"/>
  <c r="Z179" i="2"/>
  <c r="Z183" i="2" s="1"/>
  <c r="Y179" i="2"/>
  <c r="P179" i="2"/>
  <c r="X175" i="2"/>
  <c r="X174" i="2"/>
  <c r="BO173" i="2"/>
  <c r="BM173" i="2"/>
  <c r="Z173" i="2"/>
  <c r="Y173" i="2"/>
  <c r="BN173" i="2" s="1"/>
  <c r="P173" i="2"/>
  <c r="BO172" i="2"/>
  <c r="BM172" i="2"/>
  <c r="Z172" i="2"/>
  <c r="Y172" i="2"/>
  <c r="P172" i="2"/>
  <c r="X168" i="2"/>
  <c r="X167" i="2"/>
  <c r="BO166" i="2"/>
  <c r="BN166" i="2"/>
  <c r="BM166" i="2"/>
  <c r="Z166" i="2"/>
  <c r="Z167" i="2" s="1"/>
  <c r="Y166" i="2"/>
  <c r="Y168" i="2" s="1"/>
  <c r="P166" i="2"/>
  <c r="X163" i="2"/>
  <c r="Y162" i="2"/>
  <c r="X162" i="2"/>
  <c r="BP161" i="2"/>
  <c r="BO161" i="2"/>
  <c r="BN161" i="2"/>
  <c r="BM161" i="2"/>
  <c r="Z161" i="2"/>
  <c r="Z162" i="2" s="1"/>
  <c r="Y161" i="2"/>
  <c r="Y163" i="2" s="1"/>
  <c r="P161" i="2"/>
  <c r="X158" i="2"/>
  <c r="Z157" i="2"/>
  <c r="X157" i="2"/>
  <c r="BO156" i="2"/>
  <c r="BM156" i="2"/>
  <c r="Z156" i="2"/>
  <c r="Y156" i="2"/>
  <c r="P156" i="2"/>
  <c r="X153" i="2"/>
  <c r="X152" i="2"/>
  <c r="BO151" i="2"/>
  <c r="BM151" i="2"/>
  <c r="Z151" i="2"/>
  <c r="Z152" i="2" s="1"/>
  <c r="Y151" i="2"/>
  <c r="P151" i="2"/>
  <c r="X148" i="2"/>
  <c r="X147" i="2"/>
  <c r="BO146" i="2"/>
  <c r="BM146" i="2"/>
  <c r="Z146" i="2"/>
  <c r="Y146" i="2"/>
  <c r="P146" i="2"/>
  <c r="BO145" i="2"/>
  <c r="BM145" i="2"/>
  <c r="Z145" i="2"/>
  <c r="Z147" i="2" s="1"/>
  <c r="Y145" i="2"/>
  <c r="P145" i="2"/>
  <c r="X142" i="2"/>
  <c r="Y141" i="2"/>
  <c r="X141" i="2"/>
  <c r="BO140" i="2"/>
  <c r="BM140" i="2"/>
  <c r="Z140" i="2"/>
  <c r="Y140" i="2"/>
  <c r="P140" i="2"/>
  <c r="BP139" i="2"/>
  <c r="BO139" i="2"/>
  <c r="BN139" i="2"/>
  <c r="BM139" i="2"/>
  <c r="Z139" i="2"/>
  <c r="Z141" i="2" s="1"/>
  <c r="Y139" i="2"/>
  <c r="Y142" i="2" s="1"/>
  <c r="P139" i="2"/>
  <c r="X136" i="2"/>
  <c r="X135" i="2"/>
  <c r="BP134" i="2"/>
  <c r="BO134" i="2"/>
  <c r="BN134" i="2"/>
  <c r="BM134" i="2"/>
  <c r="Z134" i="2"/>
  <c r="Y134" i="2"/>
  <c r="P134" i="2"/>
  <c r="BO133" i="2"/>
  <c r="BM133" i="2"/>
  <c r="Z133" i="2"/>
  <c r="Z135" i="2" s="1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BP124" i="2" s="1"/>
  <c r="P124" i="2"/>
  <c r="BO123" i="2"/>
  <c r="BM123" i="2"/>
  <c r="Z123" i="2"/>
  <c r="Y123" i="2"/>
  <c r="Y125" i="2" s="1"/>
  <c r="P123" i="2"/>
  <c r="X121" i="2"/>
  <c r="X120" i="2"/>
  <c r="BO119" i="2"/>
  <c r="BM119" i="2"/>
  <c r="Z119" i="2"/>
  <c r="Y119" i="2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Y120" i="2" s="1"/>
  <c r="P113" i="2"/>
  <c r="X110" i="2"/>
  <c r="X109" i="2"/>
  <c r="BO108" i="2"/>
  <c r="BM108" i="2"/>
  <c r="Z108" i="2"/>
  <c r="Y108" i="2"/>
  <c r="BP108" i="2" s="1"/>
  <c r="P108" i="2"/>
  <c r="BO107" i="2"/>
  <c r="BM107" i="2"/>
  <c r="Z107" i="2"/>
  <c r="Y107" i="2"/>
  <c r="Y110" i="2" s="1"/>
  <c r="P107" i="2"/>
  <c r="X104" i="2"/>
  <c r="X103" i="2"/>
  <c r="BO102" i="2"/>
  <c r="BM102" i="2"/>
  <c r="Z102" i="2"/>
  <c r="Y102" i="2"/>
  <c r="BN102" i="2" s="1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O97" i="2"/>
  <c r="BM97" i="2"/>
  <c r="Z97" i="2"/>
  <c r="Z103" i="2" s="1"/>
  <c r="Y97" i="2"/>
  <c r="BP97" i="2" s="1"/>
  <c r="P97" i="2"/>
  <c r="X94" i="2"/>
  <c r="Y93" i="2"/>
  <c r="X93" i="2"/>
  <c r="BP92" i="2"/>
  <c r="BO92" i="2"/>
  <c r="BN92" i="2"/>
  <c r="BM92" i="2"/>
  <c r="Z92" i="2"/>
  <c r="Y92" i="2"/>
  <c r="P92" i="2"/>
  <c r="BO91" i="2"/>
  <c r="BM91" i="2"/>
  <c r="Z91" i="2"/>
  <c r="Y91" i="2"/>
  <c r="BN91" i="2" s="1"/>
  <c r="P91" i="2"/>
  <c r="X88" i="2"/>
  <c r="X87" i="2"/>
  <c r="BO86" i="2"/>
  <c r="BM86" i="2"/>
  <c r="Z86" i="2"/>
  <c r="Z87" i="2" s="1"/>
  <c r="Y86" i="2"/>
  <c r="BN86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P74" i="2"/>
  <c r="BO73" i="2"/>
  <c r="BM73" i="2"/>
  <c r="Z73" i="2"/>
  <c r="Z76" i="2" s="1"/>
  <c r="Y73" i="2"/>
  <c r="BP73" i="2" s="1"/>
  <c r="P73" i="2"/>
  <c r="X71" i="2"/>
  <c r="X70" i="2"/>
  <c r="BO69" i="2"/>
  <c r="BM69" i="2"/>
  <c r="Z69" i="2"/>
  <c r="Y69" i="2"/>
  <c r="BP69" i="2" s="1"/>
  <c r="P69" i="2"/>
  <c r="BP68" i="2"/>
  <c r="BO68" i="2"/>
  <c r="BN68" i="2"/>
  <c r="BM68" i="2"/>
  <c r="Z68" i="2"/>
  <c r="Z70" i="2" s="1"/>
  <c r="Y68" i="2"/>
  <c r="P68" i="2"/>
  <c r="X66" i="2"/>
  <c r="Y65" i="2"/>
  <c r="X65" i="2"/>
  <c r="BP64" i="2"/>
  <c r="BO64" i="2"/>
  <c r="BN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P52" i="2"/>
  <c r="BO52" i="2"/>
  <c r="BN52" i="2"/>
  <c r="BM52" i="2"/>
  <c r="Z52" i="2"/>
  <c r="Z56" i="2" s="1"/>
  <c r="Y52" i="2"/>
  <c r="P52" i="2"/>
  <c r="X49" i="2"/>
  <c r="X48" i="2"/>
  <c r="BO47" i="2"/>
  <c r="BN47" i="2"/>
  <c r="BM47" i="2"/>
  <c r="Z47" i="2"/>
  <c r="Y47" i="2"/>
  <c r="BP47" i="2" s="1"/>
  <c r="P47" i="2"/>
  <c r="BO46" i="2"/>
  <c r="BM46" i="2"/>
  <c r="Z46" i="2"/>
  <c r="Y46" i="2"/>
  <c r="BN46" i="2" s="1"/>
  <c r="P46" i="2"/>
  <c r="BP45" i="2"/>
  <c r="BO45" i="2"/>
  <c r="BN45" i="2"/>
  <c r="BM45" i="2"/>
  <c r="Z45" i="2"/>
  <c r="Z48" i="2" s="1"/>
  <c r="Y45" i="2"/>
  <c r="P45" i="2"/>
  <c r="X42" i="2"/>
  <c r="X41" i="2"/>
  <c r="BO40" i="2"/>
  <c r="BM40" i="2"/>
  <c r="Z40" i="2"/>
  <c r="Y40" i="2"/>
  <c r="BN40" i="2" s="1"/>
  <c r="P40" i="2"/>
  <c r="BO39" i="2"/>
  <c r="BM39" i="2"/>
  <c r="Z39" i="2"/>
  <c r="Y39" i="2"/>
  <c r="Y42" i="2" s="1"/>
  <c r="P39" i="2"/>
  <c r="X35" i="2"/>
  <c r="X34" i="2"/>
  <c r="BO33" i="2"/>
  <c r="BM33" i="2"/>
  <c r="Z33" i="2"/>
  <c r="Z34" i="2" s="1"/>
  <c r="Y33" i="2"/>
  <c r="BP33" i="2" s="1"/>
  <c r="P33" i="2"/>
  <c r="BO32" i="2"/>
  <c r="BM32" i="2"/>
  <c r="Z32" i="2"/>
  <c r="Y32" i="2"/>
  <c r="Y34" i="2" s="1"/>
  <c r="P32" i="2"/>
  <c r="X29" i="2"/>
  <c r="X266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O23" i="2"/>
  <c r="BM23" i="2"/>
  <c r="Z23" i="2"/>
  <c r="Y23" i="2"/>
  <c r="BN23" i="2" s="1"/>
  <c r="P23" i="2"/>
  <c r="BO22" i="2"/>
  <c r="X268" i="2" s="1"/>
  <c r="BM22" i="2"/>
  <c r="Z22" i="2"/>
  <c r="Z28" i="2" s="1"/>
  <c r="Y22" i="2"/>
  <c r="BN22" i="2" s="1"/>
  <c r="P22" i="2"/>
  <c r="H10" i="2"/>
  <c r="A9" i="2"/>
  <c r="H9" i="2" s="1"/>
  <c r="D7" i="2"/>
  <c r="Q6" i="2"/>
  <c r="P2" i="2"/>
  <c r="Y35" i="2" l="1"/>
  <c r="Y62" i="2"/>
  <c r="BP60" i="2"/>
  <c r="BN60" i="2"/>
  <c r="BP74" i="2"/>
  <c r="BN74" i="2"/>
  <c r="Y104" i="2"/>
  <c r="Y126" i="2"/>
  <c r="Y130" i="2"/>
  <c r="BN128" i="2"/>
  <c r="BP146" i="2"/>
  <c r="BN146" i="2"/>
  <c r="Y158" i="2"/>
  <c r="BN156" i="2"/>
  <c r="Y175" i="2"/>
  <c r="Y174" i="2"/>
  <c r="BP172" i="2"/>
  <c r="BN172" i="2"/>
  <c r="BN179" i="2"/>
  <c r="Y183" i="2"/>
  <c r="BP179" i="2"/>
  <c r="Y184" i="2"/>
  <c r="BN180" i="2"/>
  <c r="BP197" i="2"/>
  <c r="BN197" i="2"/>
  <c r="BN200" i="2"/>
  <c r="BP200" i="2"/>
  <c r="Y28" i="2"/>
  <c r="BP55" i="2"/>
  <c r="BN55" i="2"/>
  <c r="Y71" i="2"/>
  <c r="BP75" i="2"/>
  <c r="Y76" i="2"/>
  <c r="BP81" i="2"/>
  <c r="Z93" i="2"/>
  <c r="Z120" i="2"/>
  <c r="BP116" i="2"/>
  <c r="BN116" i="2"/>
  <c r="BP118" i="2"/>
  <c r="BP119" i="2"/>
  <c r="BN119" i="2"/>
  <c r="BN133" i="2"/>
  <c r="Y136" i="2"/>
  <c r="Y135" i="2"/>
  <c r="BP140" i="2"/>
  <c r="BN140" i="2"/>
  <c r="Y153" i="2"/>
  <c r="Y152" i="2"/>
  <c r="BP151" i="2"/>
  <c r="BN151" i="2"/>
  <c r="BP181" i="2"/>
  <c r="BP205" i="2"/>
  <c r="Y206" i="2"/>
  <c r="Y218" i="2"/>
  <c r="Y219" i="2"/>
  <c r="BP240" i="2"/>
  <c r="Y246" i="2"/>
  <c r="BP248" i="2"/>
  <c r="Y251" i="2"/>
  <c r="X267" i="2"/>
  <c r="BP22" i="2"/>
  <c r="BP23" i="2"/>
  <c r="Y29" i="2"/>
  <c r="BP26" i="2"/>
  <c r="X270" i="2"/>
  <c r="Z41" i="2"/>
  <c r="BP40" i="2"/>
  <c r="Y49" i="2"/>
  <c r="Y57" i="2"/>
  <c r="Y56" i="2"/>
  <c r="Y70" i="2"/>
  <c r="Y77" i="2"/>
  <c r="Y83" i="2"/>
  <c r="BP91" i="2"/>
  <c r="Y94" i="2"/>
  <c r="BP102" i="2"/>
  <c r="Y103" i="2"/>
  <c r="Z109" i="2"/>
  <c r="BP114" i="2"/>
  <c r="Y148" i="2"/>
  <c r="Z174" i="2"/>
  <c r="Z271" i="2" s="1"/>
  <c r="BP173" i="2"/>
  <c r="Y202" i="2"/>
  <c r="Y207" i="2"/>
  <c r="BP210" i="2"/>
  <c r="BN217" i="2"/>
  <c r="Y230" i="2"/>
  <c r="Y231" i="2"/>
  <c r="BN239" i="2"/>
  <c r="BN244" i="2"/>
  <c r="BP244" i="2"/>
  <c r="BN249" i="2"/>
  <c r="BN257" i="2"/>
  <c r="BN259" i="2"/>
  <c r="BP262" i="2"/>
  <c r="X269" i="2"/>
  <c r="BN39" i="2"/>
  <c r="BN73" i="2"/>
  <c r="BP113" i="2"/>
  <c r="BP180" i="2"/>
  <c r="BP239" i="2"/>
  <c r="BN260" i="2"/>
  <c r="BN80" i="2"/>
  <c r="BN117" i="2"/>
  <c r="Y252" i="2"/>
  <c r="Y264" i="2"/>
  <c r="J9" i="2"/>
  <c r="Y121" i="2"/>
  <c r="BN145" i="2"/>
  <c r="BN25" i="2"/>
  <c r="BP46" i="2"/>
  <c r="BN53" i="2"/>
  <c r="BP100" i="2"/>
  <c r="BN107" i="2"/>
  <c r="Y129" i="2"/>
  <c r="BP145" i="2"/>
  <c r="Y187" i="2"/>
  <c r="BN210" i="2"/>
  <c r="BP128" i="2"/>
  <c r="BN32" i="2"/>
  <c r="BN123" i="2"/>
  <c r="Y88" i="2"/>
  <c r="BP107" i="2"/>
  <c r="Y265" i="2"/>
  <c r="Y87" i="2"/>
  <c r="BP186" i="2"/>
  <c r="BP80" i="2"/>
  <c r="BN97" i="2"/>
  <c r="BP32" i="2"/>
  <c r="BP123" i="2"/>
  <c r="F10" i="2"/>
  <c r="Y201" i="2"/>
  <c r="BN254" i="2"/>
  <c r="F9" i="2"/>
  <c r="BP39" i="2"/>
  <c r="BN261" i="2"/>
  <c r="Y61" i="2"/>
  <c r="Y241" i="2"/>
  <c r="Y41" i="2"/>
  <c r="BN54" i="2"/>
  <c r="BN108" i="2"/>
  <c r="BP156" i="2"/>
  <c r="BP166" i="2"/>
  <c r="BN211" i="2"/>
  <c r="BN223" i="2"/>
  <c r="BN233" i="2"/>
  <c r="BN98" i="2"/>
  <c r="BN124" i="2"/>
  <c r="BN192" i="2"/>
  <c r="BN258" i="2"/>
  <c r="Y48" i="2"/>
  <c r="BN69" i="2"/>
  <c r="BN115" i="2"/>
  <c r="Y147" i="2"/>
  <c r="Y157" i="2"/>
  <c r="Y167" i="2"/>
  <c r="BN182" i="2"/>
  <c r="BP223" i="2"/>
  <c r="BP233" i="2"/>
  <c r="BN33" i="2"/>
  <c r="Y82" i="2"/>
  <c r="BP133" i="2"/>
  <c r="BP192" i="2"/>
  <c r="Y109" i="2"/>
  <c r="Y212" i="2"/>
  <c r="Y224" i="2"/>
  <c r="Y234" i="2"/>
  <c r="BN255" i="2"/>
  <c r="BN113" i="2"/>
  <c r="BP86" i="2"/>
  <c r="Y193" i="2"/>
  <c r="A10" i="2"/>
  <c r="Y270" i="2" l="1"/>
  <c r="Y268" i="2"/>
  <c r="Y266" i="2"/>
  <c r="Y267" i="2"/>
  <c r="Y269" i="2" s="1"/>
  <c r="C279" i="2"/>
  <c r="A279" i="2"/>
  <c r="B279" i="2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<sst xmlns="http://schemas.openxmlformats.org/spreadsheetml/2006/main" count="1642" uniqueCount="393">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</sst>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0.41666666666666669</v>
      </c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/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/>
      <c r="R10" s="309"/>
      <c r="U10" s="29" t="s">
        <v>12</v>
      </c>
      <c r="V10" s="310" t="s">
        <v>74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75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76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77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78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81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81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82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100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82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106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107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117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82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127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82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138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82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107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145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151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159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82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166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151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170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171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4" t="s">
        <v>178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151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88</v>
      </c>
      <c r="M102" s="38" t="s">
        <v>86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89</v>
      </c>
      <c r="AK102" s="87">
        <v>1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4" t="s">
        <v>193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145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199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82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151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220</v>
      </c>
      <c r="B124" s="63" t="s">
        <v>221</v>
      </c>
      <c r="C124" s="36">
        <v>4301135670</v>
      </c>
      <c r="D124" s="346">
        <v>4620207490983</v>
      </c>
      <c r="E124" s="34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113</v>
      </c>
      <c r="M124" s="38" t="s">
        <v>86</v>
      </c>
      <c r="N124" s="38"/>
      <c r="O124" s="37">
        <v>180</v>
      </c>
      <c r="P124" s="39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8"/>
      <c r="R124" s="348"/>
      <c r="S124" s="348"/>
      <c r="T124" s="34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114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39</v>
      </c>
      <c r="X125" s="43">
        <f>IFERROR(SUM(X123:X124),"0")</f>
        <v>0</v>
      </c>
      <c r="Y125" s="43">
        <f>IFERROR(SUM(Y123:Y124),"0")</f>
        <v>0</v>
      </c>
      <c r="Z125" s="43">
        <f>IFERROR(IF(Z123="",0,Z123),"0")+IFERROR(IF(Z124="",0,Z124),"0")</f>
        <v>0</v>
      </c>
      <c r="AA125" s="67"/>
      <c r="AB125" s="67"/>
      <c r="AC125" s="67"/>
    </row>
    <row r="126" spans="1:68" x14ac:dyDescent="0.2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9"/>
      <c r="P126" s="355" t="s">
        <v>40</v>
      </c>
      <c r="Q126" s="356"/>
      <c r="R126" s="356"/>
      <c r="S126" s="356"/>
      <c r="T126" s="356"/>
      <c r="U126" s="356"/>
      <c r="V126" s="357"/>
      <c r="W126" s="42" t="s">
        <v>0</v>
      </c>
      <c r="X126" s="43">
        <f>IFERROR(SUMPRODUCT(X123:X124*H123:H124),"0")</f>
        <v>0</v>
      </c>
      <c r="Y126" s="43">
        <f>IFERROR(SUMPRODUCT(Y123:Y124*H123:H124),"0")</f>
        <v>0</v>
      </c>
      <c r="Z126" s="42"/>
      <c r="AA126" s="67"/>
      <c r="AB126" s="67"/>
      <c r="AC126" s="67"/>
    </row>
    <row r="127" spans="1:68" ht="14.25" customHeight="1" x14ac:dyDescent="0.25">
      <c r="A127" s="345" t="s">
        <v>223</v>
      </c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46">
        <v>4620207491140</v>
      </c>
      <c r="E128" s="346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8"/>
      <c r="R128" s="348"/>
      <c r="S128" s="348"/>
      <c r="T128" s="34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9"/>
      <c r="P130" s="355" t="s">
        <v>40</v>
      </c>
      <c r="Q130" s="356"/>
      <c r="R130" s="356"/>
      <c r="S130" s="356"/>
      <c r="T130" s="356"/>
      <c r="U130" s="356"/>
      <c r="V130" s="357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4" t="s">
        <v>227</v>
      </c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65"/>
      <c r="AB131" s="65"/>
      <c r="AC131" s="82"/>
    </row>
    <row r="132" spans="1:68" ht="14.25" customHeight="1" x14ac:dyDescent="0.25">
      <c r="A132" s="345" t="s">
        <v>151</v>
      </c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46">
        <v>4607111034014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46">
        <v>4607111033994</v>
      </c>
      <c r="E134" s="34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8"/>
      <c r="R134" s="348"/>
      <c r="S134" s="348"/>
      <c r="T134" s="34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9"/>
      <c r="P136" s="355" t="s">
        <v>40</v>
      </c>
      <c r="Q136" s="356"/>
      <c r="R136" s="356"/>
      <c r="S136" s="356"/>
      <c r="T136" s="356"/>
      <c r="U136" s="356"/>
      <c r="V136" s="357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4" t="s">
        <v>235</v>
      </c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65"/>
      <c r="AB137" s="65"/>
      <c r="AC137" s="82"/>
    </row>
    <row r="138" spans="1:68" ht="14.25" customHeight="1" x14ac:dyDescent="0.25">
      <c r="A138" s="345" t="s">
        <v>151</v>
      </c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6">
        <v>4607111039095</v>
      </c>
      <c r="E139" s="346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6">
        <v>4607111034199</v>
      </c>
      <c r="E140" s="34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8"/>
      <c r="R140" s="348"/>
      <c r="S140" s="348"/>
      <c r="T140" s="34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9"/>
      <c r="P142" s="355" t="s">
        <v>40</v>
      </c>
      <c r="Q142" s="356"/>
      <c r="R142" s="356"/>
      <c r="S142" s="356"/>
      <c r="T142" s="356"/>
      <c r="U142" s="356"/>
      <c r="V142" s="357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4" t="s">
        <v>242</v>
      </c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65"/>
      <c r="AB143" s="65"/>
      <c r="AC143" s="82"/>
    </row>
    <row r="144" spans="1:68" ht="14.25" customHeight="1" x14ac:dyDescent="0.25">
      <c r="A144" s="345" t="s">
        <v>151</v>
      </c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6">
        <v>4620207490914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6">
        <v>4620207490853</v>
      </c>
      <c r="E146" s="34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8"/>
      <c r="R146" s="348"/>
      <c r="S146" s="348"/>
      <c r="T146" s="34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9"/>
      <c r="P148" s="355" t="s">
        <v>40</v>
      </c>
      <c r="Q148" s="356"/>
      <c r="R148" s="356"/>
      <c r="S148" s="356"/>
      <c r="T148" s="356"/>
      <c r="U148" s="356"/>
      <c r="V148" s="35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4" t="s">
        <v>247</v>
      </c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65"/>
      <c r="AB149" s="65"/>
      <c r="AC149" s="82"/>
    </row>
    <row r="150" spans="1:68" ht="14.25" customHeight="1" x14ac:dyDescent="0.25">
      <c r="A150" s="345" t="s">
        <v>151</v>
      </c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6">
        <v>4607111035806</v>
      </c>
      <c r="E151" s="34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8"/>
      <c r="R151" s="348"/>
      <c r="S151" s="348"/>
      <c r="T151" s="34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9"/>
      <c r="P153" s="355" t="s">
        <v>40</v>
      </c>
      <c r="Q153" s="356"/>
      <c r="R153" s="356"/>
      <c r="S153" s="356"/>
      <c r="T153" s="356"/>
      <c r="U153" s="356"/>
      <c r="V153" s="357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4" t="s">
        <v>251</v>
      </c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65"/>
      <c r="AB154" s="65"/>
      <c r="AC154" s="82"/>
    </row>
    <row r="155" spans="1:68" ht="14.25" customHeight="1" x14ac:dyDescent="0.25">
      <c r="A155" s="345" t="s">
        <v>151</v>
      </c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6">
        <v>4607111039613</v>
      </c>
      <c r="E156" s="346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88</v>
      </c>
      <c r="M156" s="38" t="s">
        <v>86</v>
      </c>
      <c r="N156" s="38"/>
      <c r="O156" s="37">
        <v>180</v>
      </c>
      <c r="P156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8"/>
      <c r="R156" s="348"/>
      <c r="S156" s="348"/>
      <c r="T156" s="34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89</v>
      </c>
      <c r="AK156" s="87">
        <v>1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9"/>
      <c r="P158" s="355" t="s">
        <v>40</v>
      </c>
      <c r="Q158" s="356"/>
      <c r="R158" s="356"/>
      <c r="S158" s="356"/>
      <c r="T158" s="356"/>
      <c r="U158" s="356"/>
      <c r="V158" s="357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4" t="s">
        <v>254</v>
      </c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65"/>
      <c r="AB159" s="65"/>
      <c r="AC159" s="82"/>
    </row>
    <row r="160" spans="1:68" ht="14.25" customHeight="1" x14ac:dyDescent="0.25">
      <c r="A160" s="345" t="s">
        <v>223</v>
      </c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6">
        <v>4607111035646</v>
      </c>
      <c r="E161" s="346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8"/>
      <c r="R161" s="348"/>
      <c r="S161" s="348"/>
      <c r="T161" s="34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9"/>
      <c r="P163" s="355" t="s">
        <v>40</v>
      </c>
      <c r="Q163" s="356"/>
      <c r="R163" s="356"/>
      <c r="S163" s="356"/>
      <c r="T163" s="356"/>
      <c r="U163" s="356"/>
      <c r="V163" s="357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4" t="s">
        <v>259</v>
      </c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65"/>
      <c r="AB164" s="65"/>
      <c r="AC164" s="82"/>
    </row>
    <row r="165" spans="1:68" ht="14.25" customHeight="1" x14ac:dyDescent="0.25">
      <c r="A165" s="345" t="s">
        <v>151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6">
        <v>4607111036568</v>
      </c>
      <c r="E166" s="346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8"/>
      <c r="R166" s="348"/>
      <c r="S166" s="348"/>
      <c r="T166" s="34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9"/>
      <c r="P168" s="355" t="s">
        <v>40</v>
      </c>
      <c r="Q168" s="356"/>
      <c r="R168" s="356"/>
      <c r="S168" s="356"/>
      <c r="T168" s="356"/>
      <c r="U168" s="356"/>
      <c r="V168" s="35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3" t="s">
        <v>263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54"/>
      <c r="AB169" s="54"/>
      <c r="AC169" s="54"/>
    </row>
    <row r="170" spans="1:68" ht="16.5" customHeight="1" x14ac:dyDescent="0.25">
      <c r="A170" s="344" t="s">
        <v>264</v>
      </c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65"/>
      <c r="AB170" s="65"/>
      <c r="AC170" s="82"/>
    </row>
    <row r="171" spans="1:68" ht="14.25" customHeight="1" x14ac:dyDescent="0.25">
      <c r="A171" s="345" t="s">
        <v>82</v>
      </c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6">
        <v>4607111036384</v>
      </c>
      <c r="E172" s="346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6">
        <v>4607111036216</v>
      </c>
      <c r="E173" s="346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8"/>
      <c r="R173" s="348"/>
      <c r="S173" s="348"/>
      <c r="T173" s="34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9"/>
      <c r="P175" s="355" t="s">
        <v>40</v>
      </c>
      <c r="Q175" s="356"/>
      <c r="R175" s="356"/>
      <c r="S175" s="356"/>
      <c r="T175" s="356"/>
      <c r="U175" s="356"/>
      <c r="V175" s="357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3" t="s">
        <v>271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54"/>
      <c r="AB176" s="54"/>
      <c r="AC176" s="54"/>
    </row>
    <row r="177" spans="1:68" ht="16.5" customHeight="1" x14ac:dyDescent="0.25">
      <c r="A177" s="344" t="s">
        <v>272</v>
      </c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65"/>
      <c r="AB177" s="65"/>
      <c r="AC177" s="82"/>
    </row>
    <row r="178" spans="1:68" ht="14.25" customHeight="1" x14ac:dyDescent="0.25">
      <c r="A178" s="345" t="s">
        <v>107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6">
        <v>4607111035691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6">
        <v>4607111035721</v>
      </c>
      <c r="E180" s="34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6">
        <v>4607111038487</v>
      </c>
      <c r="E181" s="346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8"/>
      <c r="R181" s="348"/>
      <c r="S181" s="348"/>
      <c r="T181" s="34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346">
        <v>4620207491195</v>
      </c>
      <c r="E182" s="346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41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348"/>
      <c r="R182" s="348"/>
      <c r="S182" s="348"/>
      <c r="T182" s="34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9"/>
      <c r="P183" s="355" t="s">
        <v>40</v>
      </c>
      <c r="Q183" s="356"/>
      <c r="R183" s="356"/>
      <c r="S183" s="356"/>
      <c r="T183" s="356"/>
      <c r="U183" s="356"/>
      <c r="V183" s="357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9"/>
      <c r="P184" s="355" t="s">
        <v>40</v>
      </c>
      <c r="Q184" s="356"/>
      <c r="R184" s="356"/>
      <c r="S184" s="356"/>
      <c r="T184" s="356"/>
      <c r="U184" s="356"/>
      <c r="V184" s="357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345" t="s">
        <v>285</v>
      </c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6">
        <v>4680115885875</v>
      </c>
      <c r="E186" s="346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17" t="s">
        <v>288</v>
      </c>
      <c r="Q186" s="348"/>
      <c r="R186" s="348"/>
      <c r="S186" s="348"/>
      <c r="T186" s="34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9"/>
      <c r="P187" s="355" t="s">
        <v>40</v>
      </c>
      <c r="Q187" s="356"/>
      <c r="R187" s="356"/>
      <c r="S187" s="356"/>
      <c r="T187" s="356"/>
      <c r="U187" s="356"/>
      <c r="V187" s="357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9"/>
      <c r="P188" s="355" t="s">
        <v>40</v>
      </c>
      <c r="Q188" s="356"/>
      <c r="R188" s="356"/>
      <c r="S188" s="356"/>
      <c r="T188" s="356"/>
      <c r="U188" s="356"/>
      <c r="V188" s="357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3" t="s">
        <v>293</v>
      </c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54"/>
      <c r="AB189" s="54"/>
      <c r="AC189" s="54"/>
    </row>
    <row r="190" spans="1:68" ht="16.5" customHeight="1" x14ac:dyDescent="0.25">
      <c r="A190" s="344" t="s">
        <v>294</v>
      </c>
      <c r="B190" s="344"/>
      <c r="C190" s="34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65"/>
      <c r="AB190" s="65"/>
      <c r="AC190" s="82"/>
    </row>
    <row r="191" spans="1:68" ht="14.25" customHeight="1" x14ac:dyDescent="0.25">
      <c r="A191" s="345" t="s">
        <v>107</v>
      </c>
      <c r="B191" s="345"/>
      <c r="C191" s="345"/>
      <c r="D191" s="345"/>
      <c r="E191" s="345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  <c r="Z191" s="345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6">
        <v>4620207491133</v>
      </c>
      <c r="E192" s="346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113</v>
      </c>
      <c r="M192" s="38" t="s">
        <v>86</v>
      </c>
      <c r="N192" s="38"/>
      <c r="O192" s="37">
        <v>180</v>
      </c>
      <c r="P192" s="41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48"/>
      <c r="R192" s="348"/>
      <c r="S192" s="348"/>
      <c r="T192" s="34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114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9"/>
      <c r="P193" s="355" t="s">
        <v>40</v>
      </c>
      <c r="Q193" s="356"/>
      <c r="R193" s="356"/>
      <c r="S193" s="356"/>
      <c r="T193" s="356"/>
      <c r="U193" s="356"/>
      <c r="V193" s="357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9"/>
      <c r="P194" s="355" t="s">
        <v>40</v>
      </c>
      <c r="Q194" s="356"/>
      <c r="R194" s="356"/>
      <c r="S194" s="356"/>
      <c r="T194" s="356"/>
      <c r="U194" s="356"/>
      <c r="V194" s="357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5" t="s">
        <v>151</v>
      </c>
      <c r="B195" s="345"/>
      <c r="C195" s="345"/>
      <c r="D195" s="345"/>
      <c r="E195" s="345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  <c r="Z195" s="345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6">
        <v>4620207491188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1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6">
        <v>4620207490198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6">
        <v>4620207490235</v>
      </c>
      <c r="E198" s="34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6">
        <v>4620207490259</v>
      </c>
      <c r="E199" s="346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48"/>
      <c r="R199" s="348"/>
      <c r="S199" s="348"/>
      <c r="T199" s="34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6">
        <v>4620207490143</v>
      </c>
      <c r="E200" s="346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48"/>
      <c r="R200" s="348"/>
      <c r="S200" s="348"/>
      <c r="T200" s="34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9"/>
      <c r="P201" s="355" t="s">
        <v>40</v>
      </c>
      <c r="Q201" s="356"/>
      <c r="R201" s="356"/>
      <c r="S201" s="356"/>
      <c r="T201" s="356"/>
      <c r="U201" s="356"/>
      <c r="V201" s="357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9"/>
      <c r="P202" s="355" t="s">
        <v>40</v>
      </c>
      <c r="Q202" s="356"/>
      <c r="R202" s="356"/>
      <c r="S202" s="356"/>
      <c r="T202" s="356"/>
      <c r="U202" s="356"/>
      <c r="V202" s="357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4" t="s">
        <v>312</v>
      </c>
      <c r="B203" s="344"/>
      <c r="C203" s="34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65"/>
      <c r="AB203" s="65"/>
      <c r="AC203" s="82"/>
    </row>
    <row r="204" spans="1:68" ht="14.25" customHeight="1" x14ac:dyDescent="0.25">
      <c r="A204" s="345" t="s">
        <v>82</v>
      </c>
      <c r="B204" s="345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6">
        <v>4620207491096</v>
      </c>
      <c r="E205" s="346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113</v>
      </c>
      <c r="M205" s="38" t="s">
        <v>86</v>
      </c>
      <c r="N205" s="38"/>
      <c r="O205" s="37">
        <v>180</v>
      </c>
      <c r="P205" s="4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48"/>
      <c r="R205" s="348"/>
      <c r="S205" s="348"/>
      <c r="T205" s="34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114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9"/>
      <c r="P206" s="355" t="s">
        <v>40</v>
      </c>
      <c r="Q206" s="356"/>
      <c r="R206" s="356"/>
      <c r="S206" s="356"/>
      <c r="T206" s="356"/>
      <c r="U206" s="356"/>
      <c r="V206" s="357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9"/>
      <c r="P207" s="355" t="s">
        <v>40</v>
      </c>
      <c r="Q207" s="356"/>
      <c r="R207" s="356"/>
      <c r="S207" s="356"/>
      <c r="T207" s="356"/>
      <c r="U207" s="356"/>
      <c r="V207" s="357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4" t="s">
        <v>316</v>
      </c>
      <c r="B208" s="344"/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65"/>
      <c r="AB208" s="65"/>
      <c r="AC208" s="82"/>
    </row>
    <row r="209" spans="1:68" ht="14.25" customHeight="1" x14ac:dyDescent="0.25">
      <c r="A209" s="345" t="s">
        <v>151</v>
      </c>
      <c r="B209" s="345"/>
      <c r="C209" s="345"/>
      <c r="D209" s="345"/>
      <c r="E209" s="345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  <c r="Z209" s="345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346">
        <v>4620207490549</v>
      </c>
      <c r="E210" s="34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48"/>
      <c r="R210" s="348"/>
      <c r="S210" s="348"/>
      <c r="T210" s="34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346">
        <v>4620207490501</v>
      </c>
      <c r="E211" s="34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48"/>
      <c r="R211" s="348"/>
      <c r="S211" s="348"/>
      <c r="T211" s="34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9"/>
      <c r="P212" s="355" t="s">
        <v>40</v>
      </c>
      <c r="Q212" s="356"/>
      <c r="R212" s="356"/>
      <c r="S212" s="356"/>
      <c r="T212" s="356"/>
      <c r="U212" s="356"/>
      <c r="V212" s="357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9"/>
      <c r="P213" s="355" t="s">
        <v>40</v>
      </c>
      <c r="Q213" s="356"/>
      <c r="R213" s="356"/>
      <c r="S213" s="356"/>
      <c r="T213" s="356"/>
      <c r="U213" s="356"/>
      <c r="V213" s="357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43" t="s">
        <v>322</v>
      </c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54"/>
      <c r="AB214" s="54"/>
      <c r="AC214" s="54"/>
    </row>
    <row r="215" spans="1:68" ht="16.5" customHeight="1" x14ac:dyDescent="0.25">
      <c r="A215" s="344" t="s">
        <v>323</v>
      </c>
      <c r="B215" s="344"/>
      <c r="C215" s="34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65"/>
      <c r="AB215" s="65"/>
      <c r="AC215" s="82"/>
    </row>
    <row r="216" spans="1:68" ht="14.25" customHeight="1" x14ac:dyDescent="0.25">
      <c r="A216" s="345" t="s">
        <v>82</v>
      </c>
      <c r="B216" s="34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  <c r="Z216" s="345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346">
        <v>4607111036162</v>
      </c>
      <c r="E217" s="346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348"/>
      <c r="R217" s="348"/>
      <c r="S217" s="348"/>
      <c r="T217" s="34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9"/>
      <c r="P218" s="355" t="s">
        <v>40</v>
      </c>
      <c r="Q218" s="356"/>
      <c r="R218" s="356"/>
      <c r="S218" s="356"/>
      <c r="T218" s="356"/>
      <c r="U218" s="356"/>
      <c r="V218" s="35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9"/>
      <c r="P219" s="355" t="s">
        <v>40</v>
      </c>
      <c r="Q219" s="356"/>
      <c r="R219" s="356"/>
      <c r="S219" s="356"/>
      <c r="T219" s="356"/>
      <c r="U219" s="356"/>
      <c r="V219" s="35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43" t="s">
        <v>327</v>
      </c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54"/>
      <c r="AB220" s="54"/>
      <c r="AC220" s="54"/>
    </row>
    <row r="221" spans="1:68" ht="16.5" customHeight="1" x14ac:dyDescent="0.25">
      <c r="A221" s="344" t="s">
        <v>328</v>
      </c>
      <c r="B221" s="344"/>
      <c r="C221" s="34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65"/>
      <c r="AB221" s="65"/>
      <c r="AC221" s="82"/>
    </row>
    <row r="222" spans="1:68" ht="14.25" customHeight="1" x14ac:dyDescent="0.25">
      <c r="A222" s="345" t="s">
        <v>82</v>
      </c>
      <c r="B222" s="345"/>
      <c r="C222" s="345"/>
      <c r="D222" s="345"/>
      <c r="E222" s="345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  <c r="Z222" s="345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346">
        <v>4607111035899</v>
      </c>
      <c r="E223" s="346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113</v>
      </c>
      <c r="M223" s="38" t="s">
        <v>86</v>
      </c>
      <c r="N223" s="38"/>
      <c r="O223" s="37">
        <v>180</v>
      </c>
      <c r="P223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348"/>
      <c r="R223" s="348"/>
      <c r="S223" s="348"/>
      <c r="T223" s="349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114</v>
      </c>
      <c r="AK223" s="87">
        <v>12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9"/>
      <c r="P224" s="355" t="s">
        <v>40</v>
      </c>
      <c r="Q224" s="356"/>
      <c r="R224" s="356"/>
      <c r="S224" s="356"/>
      <c r="T224" s="356"/>
      <c r="U224" s="356"/>
      <c r="V224" s="357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9"/>
      <c r="P225" s="355" t="s">
        <v>40</v>
      </c>
      <c r="Q225" s="356"/>
      <c r="R225" s="356"/>
      <c r="S225" s="356"/>
      <c r="T225" s="356"/>
      <c r="U225" s="356"/>
      <c r="V225" s="357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3" t="s">
        <v>331</v>
      </c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54"/>
      <c r="AB226" s="54"/>
      <c r="AC226" s="54"/>
    </row>
    <row r="227" spans="1:68" ht="16.5" customHeight="1" x14ac:dyDescent="0.25">
      <c r="A227" s="344" t="s">
        <v>332</v>
      </c>
      <c r="B227" s="344"/>
      <c r="C227" s="344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65"/>
      <c r="AB227" s="65"/>
      <c r="AC227" s="82"/>
    </row>
    <row r="228" spans="1:68" ht="14.25" customHeight="1" x14ac:dyDescent="0.25">
      <c r="A228" s="345" t="s">
        <v>333</v>
      </c>
      <c r="B228" s="345"/>
      <c r="C228" s="345"/>
      <c r="D228" s="345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345"/>
      <c r="Y228" s="345"/>
      <c r="Z228" s="345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346">
        <v>4607111039774</v>
      </c>
      <c r="E229" s="346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348"/>
      <c r="R229" s="348"/>
      <c r="S229" s="348"/>
      <c r="T229" s="349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9"/>
      <c r="P230" s="355" t="s">
        <v>40</v>
      </c>
      <c r="Q230" s="356"/>
      <c r="R230" s="356"/>
      <c r="S230" s="356"/>
      <c r="T230" s="356"/>
      <c r="U230" s="356"/>
      <c r="V230" s="357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9"/>
      <c r="P231" s="355" t="s">
        <v>40</v>
      </c>
      <c r="Q231" s="356"/>
      <c r="R231" s="356"/>
      <c r="S231" s="356"/>
      <c r="T231" s="356"/>
      <c r="U231" s="356"/>
      <c r="V231" s="357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345" t="s">
        <v>151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346">
        <v>4607111039361</v>
      </c>
      <c r="E233" s="346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348"/>
      <c r="R233" s="348"/>
      <c r="S233" s="348"/>
      <c r="T233" s="34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9"/>
      <c r="P234" s="355" t="s">
        <v>40</v>
      </c>
      <c r="Q234" s="356"/>
      <c r="R234" s="356"/>
      <c r="S234" s="356"/>
      <c r="T234" s="356"/>
      <c r="U234" s="356"/>
      <c r="V234" s="357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9"/>
      <c r="P235" s="355" t="s">
        <v>40</v>
      </c>
      <c r="Q235" s="356"/>
      <c r="R235" s="356"/>
      <c r="S235" s="356"/>
      <c r="T235" s="356"/>
      <c r="U235" s="356"/>
      <c r="V235" s="357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43" t="s">
        <v>339</v>
      </c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54"/>
      <c r="AB236" s="54"/>
      <c r="AC236" s="54"/>
    </row>
    <row r="237" spans="1:68" ht="16.5" customHeight="1" x14ac:dyDescent="0.25">
      <c r="A237" s="344" t="s">
        <v>339</v>
      </c>
      <c r="B237" s="344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65"/>
      <c r="AB237" s="65"/>
      <c r="AC237" s="82"/>
    </row>
    <row r="238" spans="1:68" ht="14.25" customHeight="1" x14ac:dyDescent="0.25">
      <c r="A238" s="345" t="s">
        <v>82</v>
      </c>
      <c r="B238" s="345"/>
      <c r="C238" s="345"/>
      <c r="D238" s="345"/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  <c r="X238" s="345"/>
      <c r="Y238" s="345"/>
      <c r="Z238" s="345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346">
        <v>4640242181264</v>
      </c>
      <c r="E239" s="346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348"/>
      <c r="R239" s="348"/>
      <c r="S239" s="348"/>
      <c r="T239" s="349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346">
        <v>4640242181325</v>
      </c>
      <c r="E240" s="346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113</v>
      </c>
      <c r="M240" s="38" t="s">
        <v>86</v>
      </c>
      <c r="N240" s="38"/>
      <c r="O240" s="37">
        <v>180</v>
      </c>
      <c r="P240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348"/>
      <c r="R240" s="348"/>
      <c r="S240" s="348"/>
      <c r="T240" s="34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114</v>
      </c>
      <c r="AK240" s="87">
        <v>12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9"/>
      <c r="P241" s="355" t="s">
        <v>40</v>
      </c>
      <c r="Q241" s="356"/>
      <c r="R241" s="356"/>
      <c r="S241" s="356"/>
      <c r="T241" s="356"/>
      <c r="U241" s="356"/>
      <c r="V241" s="357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9"/>
      <c r="P242" s="355" t="s">
        <v>40</v>
      </c>
      <c r="Q242" s="356"/>
      <c r="R242" s="356"/>
      <c r="S242" s="356"/>
      <c r="T242" s="356"/>
      <c r="U242" s="356"/>
      <c r="V242" s="357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345" t="s">
        <v>107</v>
      </c>
      <c r="B243" s="345"/>
      <c r="C243" s="345"/>
      <c r="D243" s="345"/>
      <c r="E243" s="345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  <c r="X243" s="345"/>
      <c r="Y243" s="345"/>
      <c r="Z243" s="345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346">
        <v>4640242180397</v>
      </c>
      <c r="E244" s="346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348"/>
      <c r="R244" s="348"/>
      <c r="S244" s="348"/>
      <c r="T244" s="34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9"/>
      <c r="P245" s="355" t="s">
        <v>40</v>
      </c>
      <c r="Q245" s="356"/>
      <c r="R245" s="356"/>
      <c r="S245" s="356"/>
      <c r="T245" s="356"/>
      <c r="U245" s="356"/>
      <c r="V245" s="35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9"/>
      <c r="P246" s="355" t="s">
        <v>40</v>
      </c>
      <c r="Q246" s="356"/>
      <c r="R246" s="356"/>
      <c r="S246" s="356"/>
      <c r="T246" s="356"/>
      <c r="U246" s="356"/>
      <c r="V246" s="35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45" t="s">
        <v>145</v>
      </c>
      <c r="B247" s="345"/>
      <c r="C247" s="345"/>
      <c r="D247" s="345"/>
      <c r="E247" s="345"/>
      <c r="F247" s="345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345"/>
      <c r="S247" s="345"/>
      <c r="T247" s="345"/>
      <c r="U247" s="345"/>
      <c r="V247" s="345"/>
      <c r="W247" s="345"/>
      <c r="X247" s="345"/>
      <c r="Y247" s="345"/>
      <c r="Z247" s="345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346">
        <v>4640242180304</v>
      </c>
      <c r="E248" s="346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113</v>
      </c>
      <c r="M248" s="38" t="s">
        <v>86</v>
      </c>
      <c r="N248" s="38"/>
      <c r="O248" s="37">
        <v>180</v>
      </c>
      <c r="P248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348"/>
      <c r="R248" s="348"/>
      <c r="S248" s="348"/>
      <c r="T248" s="349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346">
        <v>4640242180236</v>
      </c>
      <c r="E249" s="346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348"/>
      <c r="R249" s="348"/>
      <c r="S249" s="348"/>
      <c r="T249" s="34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346">
        <v>4640242180410</v>
      </c>
      <c r="E250" s="346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88</v>
      </c>
      <c r="M250" s="38" t="s">
        <v>86</v>
      </c>
      <c r="N250" s="38"/>
      <c r="O250" s="37">
        <v>180</v>
      </c>
      <c r="P250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348"/>
      <c r="R250" s="348"/>
      <c r="S250" s="348"/>
      <c r="T250" s="34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89</v>
      </c>
      <c r="AK250" s="87">
        <v>1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9"/>
      <c r="P251" s="355" t="s">
        <v>40</v>
      </c>
      <c r="Q251" s="356"/>
      <c r="R251" s="356"/>
      <c r="S251" s="356"/>
      <c r="T251" s="356"/>
      <c r="U251" s="356"/>
      <c r="V251" s="357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9"/>
      <c r="P252" s="355" t="s">
        <v>40</v>
      </c>
      <c r="Q252" s="356"/>
      <c r="R252" s="356"/>
      <c r="S252" s="356"/>
      <c r="T252" s="356"/>
      <c r="U252" s="356"/>
      <c r="V252" s="357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345" t="s">
        <v>151</v>
      </c>
      <c r="B253" s="345"/>
      <c r="C253" s="345"/>
      <c r="D253" s="345"/>
      <c r="E253" s="345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/>
      <c r="Q253" s="345"/>
      <c r="R253" s="345"/>
      <c r="S253" s="345"/>
      <c r="T253" s="345"/>
      <c r="U253" s="345"/>
      <c r="V253" s="345"/>
      <c r="W253" s="345"/>
      <c r="X253" s="345"/>
      <c r="Y253" s="345"/>
      <c r="Z253" s="345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346">
        <v>4640242181554</v>
      </c>
      <c r="E254" s="346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348"/>
      <c r="R254" s="348"/>
      <c r="S254" s="348"/>
      <c r="T254" s="349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89</v>
      </c>
      <c r="AK254" s="87">
        <v>1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346">
        <v>4640242181561</v>
      </c>
      <c r="E255" s="346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348"/>
      <c r="R255" s="348"/>
      <c r="S255" s="348"/>
      <c r="T255" s="349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346">
        <v>4640242181424</v>
      </c>
      <c r="E256" s="346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113</v>
      </c>
      <c r="M256" s="38" t="s">
        <v>86</v>
      </c>
      <c r="N256" s="38"/>
      <c r="O256" s="37">
        <v>180</v>
      </c>
      <c r="P256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348"/>
      <c r="R256" s="348"/>
      <c r="S256" s="348"/>
      <c r="T256" s="349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12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346">
        <v>4640242181523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88</v>
      </c>
      <c r="M257" s="38" t="s">
        <v>86</v>
      </c>
      <c r="N257" s="38"/>
      <c r="O257" s="37">
        <v>180</v>
      </c>
      <c r="P257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89</v>
      </c>
      <c r="AK257" s="87">
        <v>1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346">
        <v>4640242181486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88</v>
      </c>
      <c r="M258" s="38" t="s">
        <v>86</v>
      </c>
      <c r="N258" s="38"/>
      <c r="O258" s="37">
        <v>180</v>
      </c>
      <c r="P258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89</v>
      </c>
      <c r="AK258" s="87">
        <v>1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346">
        <v>4640242181493</v>
      </c>
      <c r="E259" s="346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89</v>
      </c>
      <c r="AK259" s="87">
        <v>1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346">
        <v>4640242181509</v>
      </c>
      <c r="E260" s="346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346">
        <v>4640242181240</v>
      </c>
      <c r="E261" s="346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346">
        <v>4640242181318</v>
      </c>
      <c r="E262" s="346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346">
        <v>4640242181387</v>
      </c>
      <c r="E263" s="346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163</v>
      </c>
      <c r="L263" s="37" t="s">
        <v>88</v>
      </c>
      <c r="M263" s="38" t="s">
        <v>86</v>
      </c>
      <c r="N263" s="38"/>
      <c r="O263" s="37">
        <v>180</v>
      </c>
      <c r="P263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9"/>
      <c r="P264" s="355" t="s">
        <v>40</v>
      </c>
      <c r="Q264" s="356"/>
      <c r="R264" s="356"/>
      <c r="S264" s="356"/>
      <c r="T264" s="356"/>
      <c r="U264" s="356"/>
      <c r="V264" s="357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9"/>
      <c r="P265" s="355" t="s">
        <v>40</v>
      </c>
      <c r="Q265" s="356"/>
      <c r="R265" s="356"/>
      <c r="S265" s="356"/>
      <c r="T265" s="356"/>
      <c r="U265" s="356"/>
      <c r="V265" s="357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451"/>
      <c r="P266" s="448" t="s">
        <v>33</v>
      </c>
      <c r="Q266" s="449"/>
      <c r="R266" s="449"/>
      <c r="S266" s="449"/>
      <c r="T266" s="449"/>
      <c r="U266" s="449"/>
      <c r="V266" s="450"/>
      <c r="W266" s="42" t="s">
        <v>0</v>
      </c>
      <c r="X266" s="43">
        <f>IFERROR(X29+X35+X42+X49+X57+X62+X66+X71+X77+X83+X88+X94+X104+X110+X121+X126+X130+X136+X142+X148+X153+X158+X163+X168+X175+X184+X188+X194+X202+X207+X213+X219+X225+X231+X235+X242+X246+X252+X265,"0")</f>
        <v>0</v>
      </c>
      <c r="Y266" s="43">
        <f>IFERROR(Y29+Y35+Y42+Y49+Y57+Y62+Y66+Y71+Y77+Y83+Y88+Y94+Y104+Y110+Y121+Y126+Y130+Y136+Y142+Y148+Y153+Y158+Y163+Y168+Y175+Y184+Y188+Y194+Y202+Y207+Y213+Y219+Y225+Y231+Y235+Y242+Y246+Y252+Y265,"0")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451"/>
      <c r="P267" s="448" t="s">
        <v>34</v>
      </c>
      <c r="Q267" s="449"/>
      <c r="R267" s="449"/>
      <c r="S267" s="449"/>
      <c r="T267" s="449"/>
      <c r="U267" s="449"/>
      <c r="V267" s="45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451"/>
      <c r="P268" s="448" t="s">
        <v>35</v>
      </c>
      <c r="Q268" s="449"/>
      <c r="R268" s="449"/>
      <c r="S268" s="449"/>
      <c r="T268" s="449"/>
      <c r="U268" s="449"/>
      <c r="V268" s="45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1"/>
      <c r="P269" s="448" t="s">
        <v>36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1"/>
      <c r="P270" s="448" t="s">
        <v>37</v>
      </c>
      <c r="Q270" s="449"/>
      <c r="R270" s="449"/>
      <c r="S270" s="449"/>
      <c r="T270" s="449"/>
      <c r="U270" s="449"/>
      <c r="V270" s="450"/>
      <c r="W270" s="42" t="s">
        <v>20</v>
      </c>
      <c r="X270" s="43">
        <f>IFERROR(X28+X34+X41+X48+X56+X61+X65+X70+X76+X82+X87+X93+X103+X109+X120+X125+X129+X135+X141+X147+X152+X157+X162+X167+X174+X183+X187+X193+X201+X206+X212+X218+X224+X230+X234+X241+X245+X251+X264,"0")</f>
        <v>0</v>
      </c>
      <c r="Y270" s="43">
        <f>IFERROR(Y28+Y34+Y41+Y48+Y56+Y61+Y65+Y70+Y76+Y82+Y87+Y93+Y103+Y109+Y120+Y125+Y129+Y135+Y141+Y147+Y152+Y157+Y162+Y167+Y174+Y183+Y187+Y193+Y201+Y206+Y212+Y218+Y224+Y230+Y234+Y241+Y245+Y251+Y264,"0")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1"/>
      <c r="P271" s="448" t="s">
        <v>38</v>
      </c>
      <c r="Q271" s="449"/>
      <c r="R271" s="449"/>
      <c r="S271" s="449"/>
      <c r="T271" s="449"/>
      <c r="U271" s="449"/>
      <c r="V271" s="450"/>
      <c r="W271" s="45" t="s">
        <v>52</v>
      </c>
      <c r="X271" s="42"/>
      <c r="Y271" s="42"/>
      <c r="Z271" s="42">
        <f>IFERROR(Z28+Z34+Z41+Z48+Z56+Z61+Z65+Z70+Z76+Z82+Z87+Z93+Z103+Z109+Z120+Z125+Z129+Z135+Z141+Z147+Z152+Z157+Z162+Z167+Z174+Z183+Z187+Z193+Z201+Z206+Z212+Z218+Z224+Z230+Z234+Z241+Z245+Z251+Z264,"0")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447" t="s">
        <v>81</v>
      </c>
      <c r="C273" s="447" t="s">
        <v>81</v>
      </c>
      <c r="D273" s="447" t="s">
        <v>45</v>
      </c>
      <c r="E273" s="447" t="s">
        <v>45</v>
      </c>
      <c r="F273" s="447" t="s">
        <v>45</v>
      </c>
      <c r="G273" s="447" t="s">
        <v>45</v>
      </c>
      <c r="H273" s="447" t="s">
        <v>45</v>
      </c>
      <c r="I273" s="447" t="s">
        <v>45</v>
      </c>
      <c r="J273" s="447" t="s">
        <v>45</v>
      </c>
      <c r="K273" s="447" t="s">
        <v>45</v>
      </c>
      <c r="L273" s="447" t="s">
        <v>45</v>
      </c>
      <c r="M273" s="447" t="s">
        <v>45</v>
      </c>
      <c r="N273" s="452"/>
      <c r="O273" s="447" t="s">
        <v>45</v>
      </c>
      <c r="P273" s="447" t="s">
        <v>45</v>
      </c>
      <c r="Q273" s="447" t="s">
        <v>45</v>
      </c>
      <c r="R273" s="447" t="s">
        <v>45</v>
      </c>
      <c r="S273" s="447" t="s">
        <v>45</v>
      </c>
      <c r="T273" s="447" t="s">
        <v>45</v>
      </c>
      <c r="U273" s="447" t="s">
        <v>45</v>
      </c>
      <c r="V273" s="88" t="s">
        <v>263</v>
      </c>
      <c r="W273" s="88" t="s">
        <v>271</v>
      </c>
      <c r="X273" s="447" t="s">
        <v>293</v>
      </c>
      <c r="Y273" s="447" t="s">
        <v>293</v>
      </c>
      <c r="Z273" s="447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453" t="s">
        <v>10</v>
      </c>
      <c r="B274" s="447" t="s">
        <v>81</v>
      </c>
      <c r="C274" s="447" t="s">
        <v>100</v>
      </c>
      <c r="D274" s="447" t="s">
        <v>106</v>
      </c>
      <c r="E274" s="447" t="s">
        <v>117</v>
      </c>
      <c r="F274" s="447" t="s">
        <v>127</v>
      </c>
      <c r="G274" s="447" t="s">
        <v>138</v>
      </c>
      <c r="H274" s="447" t="s">
        <v>159</v>
      </c>
      <c r="I274" s="447" t="s">
        <v>166</v>
      </c>
      <c r="J274" s="447" t="s">
        <v>170</v>
      </c>
      <c r="K274" s="447" t="s">
        <v>178</v>
      </c>
      <c r="L274" s="447" t="s">
        <v>193</v>
      </c>
      <c r="M274" s="447" t="s">
        <v>199</v>
      </c>
      <c r="N274" s="1"/>
      <c r="O274" s="447" t="s">
        <v>227</v>
      </c>
      <c r="P274" s="447" t="s">
        <v>235</v>
      </c>
      <c r="Q274" s="447" t="s">
        <v>242</v>
      </c>
      <c r="R274" s="447" t="s">
        <v>247</v>
      </c>
      <c r="S274" s="447" t="s">
        <v>251</v>
      </c>
      <c r="T274" s="447" t="s">
        <v>254</v>
      </c>
      <c r="U274" s="447" t="s">
        <v>259</v>
      </c>
      <c r="V274" s="447" t="s">
        <v>264</v>
      </c>
      <c r="W274" s="447" t="s">
        <v>272</v>
      </c>
      <c r="X274" s="447" t="s">
        <v>294</v>
      </c>
      <c r="Y274" s="447" t="s">
        <v>312</v>
      </c>
      <c r="Z274" s="447" t="s">
        <v>316</v>
      </c>
      <c r="AA274" s="447" t="s">
        <v>323</v>
      </c>
      <c r="AB274" s="447" t="s">
        <v>328</v>
      </c>
      <c r="AC274" s="447" t="s">
        <v>332</v>
      </c>
      <c r="AD274" s="447" t="s">
        <v>339</v>
      </c>
      <c r="AF274" s="1"/>
    </row>
    <row r="275" spans="1:32" ht="13.5" thickBot="1" x14ac:dyDescent="0.25">
      <c r="A275" s="454"/>
      <c r="B275" s="447"/>
      <c r="C275" s="447"/>
      <c r="D275" s="447"/>
      <c r="E275" s="447"/>
      <c r="F275" s="447"/>
      <c r="G275" s="447"/>
      <c r="H275" s="447"/>
      <c r="I275" s="447"/>
      <c r="J275" s="447"/>
      <c r="K275" s="447"/>
      <c r="L275" s="447"/>
      <c r="M275" s="447"/>
      <c r="N275" s="1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  <c r="AA275" s="447"/>
      <c r="AB275" s="447"/>
      <c r="AC275" s="447"/>
      <c r="AD275" s="447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IFERROR(X113*H113,"0")+IFERROR(X114*H114,"0")+IFERROR(X115*H115,"0")+IFERROR(X116*H116,"0")+IFERROR(X117*H117,"0")+IFERROR(X118*H118,"0")+IFERROR(X119*H119,"0")+IFERROR(X123*H123,"0")+IFERROR(X124*H124,"0")+IFERROR(X128*H128,"0")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OrU0yAoe0kmbfOzRmFYrjd1dcxkwKNiOI+a2yGzlyG12RAp8dk0bFsuXm68pbgh09f/+7nAfbBb2ZX50nCIHzw==" saltValue="1saXBKAcs3ZdrH8r89Gl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Y274:Y275"/>
    <mergeCell ref="Z274:Z275"/>
    <mergeCell ref="AA274:AA275"/>
    <mergeCell ref="AB274:AB275"/>
    <mergeCell ref="AC274:AC275"/>
    <mergeCell ref="AD274:AD275"/>
    <mergeCell ref="X273:Z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P266:V266"/>
    <mergeCell ref="A266:O271"/>
    <mergeCell ref="P267:V267"/>
    <mergeCell ref="P268:V268"/>
    <mergeCell ref="P269:V269"/>
    <mergeCell ref="P270:V270"/>
    <mergeCell ref="P271:V271"/>
    <mergeCell ref="B273:C273"/>
    <mergeCell ref="D273:U273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A236:Z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P230:V230"/>
    <mergeCell ref="A230:O231"/>
    <mergeCell ref="P231:V231"/>
    <mergeCell ref="A232:Z232"/>
    <mergeCell ref="D233:E233"/>
    <mergeCell ref="P233:T233"/>
    <mergeCell ref="P234:V234"/>
    <mergeCell ref="A234:O235"/>
    <mergeCell ref="P235:V235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2:Z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7:X263 X254 X250 X239 X233 X229 X217 X210:X211 X196:X200 X186 X182 X172 X161 X156 X145:X146 X139 X128 X123 X117 X114 X102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5:X256 X248:X249 X244 X240 X223 X205 X192 X179:X181 X173 X166 X151 X140 X133 X124 X118:X119 X115:X116 X113 X107:X108 X97:X101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6KN5EOLjnWHRqEqw/l9k+rkjQf6PWaQLZX5Aa/ygOQnRkqgw2f38eVR/w2VioDqBRigJL1SDE0Cyr19mkklY1Q==" saltValue="CBrohds+WZ82CV1xxaDa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