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8B266A3-E060-42CE-9CAA-555BBE9070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2" l="1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BO257" i="2"/>
  <c r="BM257" i="2"/>
  <c r="Z257" i="2"/>
  <c r="Y257" i="2"/>
  <c r="BN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BO251" i="2"/>
  <c r="BM251" i="2"/>
  <c r="Z251" i="2"/>
  <c r="Z254" i="2" s="1"/>
  <c r="Y251" i="2"/>
  <c r="BP251" i="2" s="1"/>
  <c r="P251" i="2"/>
  <c r="X249" i="2"/>
  <c r="Y248" i="2"/>
  <c r="X248" i="2"/>
  <c r="BO247" i="2"/>
  <c r="BM247" i="2"/>
  <c r="Z247" i="2"/>
  <c r="Z248" i="2" s="1"/>
  <c r="Y247" i="2"/>
  <c r="BP247" i="2" s="1"/>
  <c r="P247" i="2"/>
  <c r="X245" i="2"/>
  <c r="X244" i="2"/>
  <c r="BO243" i="2"/>
  <c r="BM243" i="2"/>
  <c r="Z243" i="2"/>
  <c r="Y243" i="2"/>
  <c r="BP243" i="2" s="1"/>
  <c r="P243" i="2"/>
  <c r="BO242" i="2"/>
  <c r="BM242" i="2"/>
  <c r="Z242" i="2"/>
  <c r="Y242" i="2"/>
  <c r="BP242" i="2" s="1"/>
  <c r="P242" i="2"/>
  <c r="X238" i="2"/>
  <c r="Y237" i="2"/>
  <c r="X237" i="2"/>
  <c r="BP236" i="2"/>
  <c r="BO236" i="2"/>
  <c r="BN236" i="2"/>
  <c r="BM236" i="2"/>
  <c r="Z236" i="2"/>
  <c r="Z237" i="2" s="1"/>
  <c r="Y236" i="2"/>
  <c r="Y238" i="2" s="1"/>
  <c r="P236" i="2"/>
  <c r="X234" i="2"/>
  <c r="X233" i="2"/>
  <c r="BO232" i="2"/>
  <c r="BM232" i="2"/>
  <c r="Z232" i="2"/>
  <c r="Z233" i="2" s="1"/>
  <c r="Y232" i="2"/>
  <c r="BN232" i="2" s="1"/>
  <c r="P232" i="2"/>
  <c r="Y228" i="2"/>
  <c r="X228" i="2"/>
  <c r="X227" i="2"/>
  <c r="BO226" i="2"/>
  <c r="BM226" i="2"/>
  <c r="Z226" i="2"/>
  <c r="Z227" i="2" s="1"/>
  <c r="Y226" i="2"/>
  <c r="Y227" i="2" s="1"/>
  <c r="P226" i="2"/>
  <c r="X222" i="2"/>
  <c r="Y221" i="2"/>
  <c r="X221" i="2"/>
  <c r="BP220" i="2"/>
  <c r="BO220" i="2"/>
  <c r="BN220" i="2"/>
  <c r="BM220" i="2"/>
  <c r="Z220" i="2"/>
  <c r="Z221" i="2" s="1"/>
  <c r="Y220" i="2"/>
  <c r="Y222" i="2" s="1"/>
  <c r="P220" i="2"/>
  <c r="X216" i="2"/>
  <c r="X215" i="2"/>
  <c r="BO214" i="2"/>
  <c r="BM214" i="2"/>
  <c r="Z214" i="2"/>
  <c r="Y214" i="2"/>
  <c r="BP214" i="2" s="1"/>
  <c r="P214" i="2"/>
  <c r="BP213" i="2"/>
  <c r="BO213" i="2"/>
  <c r="BN213" i="2"/>
  <c r="BM213" i="2"/>
  <c r="Z213" i="2"/>
  <c r="Y213" i="2"/>
  <c r="P213" i="2"/>
  <c r="X211" i="2"/>
  <c r="X210" i="2"/>
  <c r="BO209" i="2"/>
  <c r="BM209" i="2"/>
  <c r="Z209" i="2"/>
  <c r="Z210" i="2" s="1"/>
  <c r="Y209" i="2"/>
  <c r="Y210" i="2" s="1"/>
  <c r="P209" i="2"/>
  <c r="X206" i="2"/>
  <c r="X205" i="2"/>
  <c r="BO204" i="2"/>
  <c r="BM204" i="2"/>
  <c r="Z204" i="2"/>
  <c r="Z205" i="2" s="1"/>
  <c r="Y204" i="2"/>
  <c r="Y205" i="2" s="1"/>
  <c r="P204" i="2"/>
  <c r="X201" i="2"/>
  <c r="X200" i="2"/>
  <c r="BP199" i="2"/>
  <c r="BO199" i="2"/>
  <c r="BN199" i="2"/>
  <c r="BM199" i="2"/>
  <c r="Z199" i="2"/>
  <c r="Y199" i="2"/>
  <c r="P199" i="2"/>
  <c r="BO198" i="2"/>
  <c r="BM198" i="2"/>
  <c r="Z198" i="2"/>
  <c r="Y198" i="2"/>
  <c r="BN198" i="2" s="1"/>
  <c r="P198" i="2"/>
  <c r="BO197" i="2"/>
  <c r="BM197" i="2"/>
  <c r="Z197" i="2"/>
  <c r="Y197" i="2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X193" i="2"/>
  <c r="Y192" i="2"/>
  <c r="X192" i="2"/>
  <c r="BO191" i="2"/>
  <c r="BM191" i="2"/>
  <c r="Z191" i="2"/>
  <c r="Z192" i="2" s="1"/>
  <c r="Y191" i="2"/>
  <c r="BP191" i="2" s="1"/>
  <c r="P191" i="2"/>
  <c r="X187" i="2"/>
  <c r="X186" i="2"/>
  <c r="BO185" i="2"/>
  <c r="BM185" i="2"/>
  <c r="Z185" i="2"/>
  <c r="Z186" i="2" s="1"/>
  <c r="Y185" i="2"/>
  <c r="Y187" i="2" s="1"/>
  <c r="X183" i="2"/>
  <c r="X182" i="2"/>
  <c r="BO181" i="2"/>
  <c r="BM181" i="2"/>
  <c r="Z181" i="2"/>
  <c r="Y181" i="2"/>
  <c r="BP181" i="2" s="1"/>
  <c r="P181" i="2"/>
  <c r="BP180" i="2"/>
  <c r="BO180" i="2"/>
  <c r="BN180" i="2"/>
  <c r="BM180" i="2"/>
  <c r="Z180" i="2"/>
  <c r="Y180" i="2"/>
  <c r="P180" i="2"/>
  <c r="BO179" i="2"/>
  <c r="BM179" i="2"/>
  <c r="Z179" i="2"/>
  <c r="Y179" i="2"/>
  <c r="Y182" i="2" s="1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Z174" i="2" s="1"/>
  <c r="Y172" i="2"/>
  <c r="BN172" i="2" s="1"/>
  <c r="P172" i="2"/>
  <c r="X168" i="2"/>
  <c r="Y167" i="2"/>
  <c r="X167" i="2"/>
  <c r="BP166" i="2"/>
  <c r="BO166" i="2"/>
  <c r="BN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3" i="2" s="1"/>
  <c r="P161" i="2"/>
  <c r="X158" i="2"/>
  <c r="X157" i="2"/>
  <c r="BO156" i="2"/>
  <c r="BM156" i="2"/>
  <c r="Z156" i="2"/>
  <c r="Z157" i="2" s="1"/>
  <c r="Y156" i="2"/>
  <c r="Y157" i="2" s="1"/>
  <c r="P156" i="2"/>
  <c r="X153" i="2"/>
  <c r="X152" i="2"/>
  <c r="BO151" i="2"/>
  <c r="BM151" i="2"/>
  <c r="Z151" i="2"/>
  <c r="Z152" i="2" s="1"/>
  <c r="Y151" i="2"/>
  <c r="Y152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P140" i="2"/>
  <c r="BO139" i="2"/>
  <c r="BM139" i="2"/>
  <c r="Z139" i="2"/>
  <c r="Y139" i="2"/>
  <c r="BN139" i="2" s="1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X130" i="2"/>
  <c r="X129" i="2"/>
  <c r="BO128" i="2"/>
  <c r="BM128" i="2"/>
  <c r="Z128" i="2"/>
  <c r="Z129" i="2" s="1"/>
  <c r="Y128" i="2"/>
  <c r="BP128" i="2" s="1"/>
  <c r="P128" i="2"/>
  <c r="X126" i="2"/>
  <c r="X125" i="2"/>
  <c r="BO124" i="2"/>
  <c r="BM124" i="2"/>
  <c r="Z124" i="2"/>
  <c r="Y124" i="2"/>
  <c r="P124" i="2"/>
  <c r="BO123" i="2"/>
  <c r="BM123" i="2"/>
  <c r="Z123" i="2"/>
  <c r="Z125" i="2" s="1"/>
  <c r="Y123" i="2"/>
  <c r="Y126" i="2" s="1"/>
  <c r="P123" i="2"/>
  <c r="X121" i="2"/>
  <c r="X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P108" i="2"/>
  <c r="BO107" i="2"/>
  <c r="BM107" i="2"/>
  <c r="Z107" i="2"/>
  <c r="Y107" i="2"/>
  <c r="BP107" i="2" s="1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Y103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BP91" i="2" s="1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BN80" i="2" s="1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BP74" i="2" s="1"/>
  <c r="P74" i="2"/>
  <c r="BO73" i="2"/>
  <c r="BM73" i="2"/>
  <c r="Z73" i="2"/>
  <c r="Z76" i="2" s="1"/>
  <c r="Y73" i="2"/>
  <c r="P73" i="2"/>
  <c r="X71" i="2"/>
  <c r="X70" i="2"/>
  <c r="BO69" i="2"/>
  <c r="BM69" i="2"/>
  <c r="Z69" i="2"/>
  <c r="Y69" i="2"/>
  <c r="BN69" i="2" s="1"/>
  <c r="P69" i="2"/>
  <c r="BO68" i="2"/>
  <c r="BM68" i="2"/>
  <c r="Z68" i="2"/>
  <c r="Z70" i="2" s="1"/>
  <c r="Y68" i="2"/>
  <c r="Y71" i="2" s="1"/>
  <c r="P68" i="2"/>
  <c r="X66" i="2"/>
  <c r="X65" i="2"/>
  <c r="BO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BP60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BO52" i="2"/>
  <c r="BM52" i="2"/>
  <c r="Z52" i="2"/>
  <c r="Y52" i="2"/>
  <c r="BP52" i="2" s="1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P46" i="2" s="1"/>
  <c r="P46" i="2"/>
  <c r="BO45" i="2"/>
  <c r="BM45" i="2"/>
  <c r="Z45" i="2"/>
  <c r="Z48" i="2" s="1"/>
  <c r="Y45" i="2"/>
  <c r="Y49" i="2" s="1"/>
  <c r="P45" i="2"/>
  <c r="X42" i="2"/>
  <c r="X41" i="2"/>
  <c r="BO40" i="2"/>
  <c r="BM40" i="2"/>
  <c r="Z40" i="2"/>
  <c r="Y40" i="2"/>
  <c r="BN40" i="2" s="1"/>
  <c r="P40" i="2"/>
  <c r="BO39" i="2"/>
  <c r="BM39" i="2"/>
  <c r="Z39" i="2"/>
  <c r="Z41" i="2" s="1"/>
  <c r="Y39" i="2"/>
  <c r="BP39" i="2" s="1"/>
  <c r="P39" i="2"/>
  <c r="X35" i="2"/>
  <c r="X34" i="2"/>
  <c r="BO33" i="2"/>
  <c r="BM33" i="2"/>
  <c r="Z33" i="2"/>
  <c r="Y33" i="2"/>
  <c r="BP33" i="2" s="1"/>
  <c r="P33" i="2"/>
  <c r="BO32" i="2"/>
  <c r="BM32" i="2"/>
  <c r="Z32" i="2"/>
  <c r="Z34" i="2" s="1"/>
  <c r="Y32" i="2"/>
  <c r="BP32" i="2" s="1"/>
  <c r="P32" i="2"/>
  <c r="X29" i="2"/>
  <c r="X269" i="2" s="1"/>
  <c r="X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X270" i="2" s="1"/>
  <c r="Z22" i="2"/>
  <c r="Z28" i="2" s="1"/>
  <c r="Y22" i="2"/>
  <c r="BP22" i="2" s="1"/>
  <c r="P22" i="2"/>
  <c r="H10" i="2"/>
  <c r="A9" i="2"/>
  <c r="J9" i="2" s="1"/>
  <c r="D7" i="2"/>
  <c r="Q6" i="2"/>
  <c r="P2" i="2"/>
  <c r="X271" i="2" l="1"/>
  <c r="X273" i="2"/>
  <c r="Y35" i="2"/>
  <c r="Y42" i="2"/>
  <c r="BN46" i="2"/>
  <c r="BN52" i="2"/>
  <c r="Y57" i="2"/>
  <c r="Y61" i="2"/>
  <c r="Y77" i="2"/>
  <c r="Y83" i="2"/>
  <c r="Y94" i="2"/>
  <c r="Z109" i="2"/>
  <c r="BP115" i="2"/>
  <c r="Z141" i="2"/>
  <c r="Z147" i="2"/>
  <c r="Y153" i="2"/>
  <c r="Y158" i="2"/>
  <c r="Y175" i="2"/>
  <c r="Z200" i="2"/>
  <c r="Y206" i="2"/>
  <c r="BP257" i="2"/>
  <c r="BN265" i="2"/>
  <c r="Y28" i="2"/>
  <c r="Y34" i="2"/>
  <c r="BP40" i="2"/>
  <c r="Y41" i="2"/>
  <c r="Z56" i="2"/>
  <c r="Y62" i="2"/>
  <c r="BN81" i="2"/>
  <c r="Y82" i="2"/>
  <c r="Y88" i="2"/>
  <c r="Y93" i="2"/>
  <c r="Z103" i="2"/>
  <c r="BN101" i="2"/>
  <c r="BN107" i="2"/>
  <c r="Y109" i="2"/>
  <c r="Z120" i="2"/>
  <c r="BN113" i="2"/>
  <c r="BN118" i="2"/>
  <c r="BN123" i="2"/>
  <c r="BP123" i="2"/>
  <c r="Y125" i="2"/>
  <c r="Z135" i="2"/>
  <c r="BP139" i="2"/>
  <c r="Y142" i="2"/>
  <c r="BN145" i="2"/>
  <c r="BN151" i="2"/>
  <c r="BP151" i="2"/>
  <c r="BN173" i="2"/>
  <c r="Y174" i="2"/>
  <c r="Z182" i="2"/>
  <c r="BN185" i="2"/>
  <c r="BP185" i="2"/>
  <c r="Y186" i="2"/>
  <c r="Y193" i="2"/>
  <c r="Y200" i="2"/>
  <c r="Y216" i="2"/>
  <c r="Z215" i="2"/>
  <c r="Z244" i="2"/>
  <c r="BN243" i="2"/>
  <c r="Y244" i="2"/>
  <c r="Y245" i="2"/>
  <c r="Y249" i="2"/>
  <c r="Z267" i="2"/>
  <c r="BN260" i="2"/>
  <c r="X272" i="2"/>
  <c r="Z274" i="2"/>
  <c r="BN264" i="2"/>
  <c r="Y267" i="2"/>
  <c r="BN73" i="2"/>
  <c r="Y76" i="2"/>
  <c r="BN99" i="2"/>
  <c r="BN134" i="2"/>
  <c r="F9" i="2"/>
  <c r="BN116" i="2"/>
  <c r="BP23" i="2"/>
  <c r="BN146" i="2"/>
  <c r="BN161" i="2"/>
  <c r="BP197" i="2"/>
  <c r="BN209" i="2"/>
  <c r="BN53" i="2"/>
  <c r="Y129" i="2"/>
  <c r="BP140" i="2"/>
  <c r="BN266" i="2"/>
  <c r="BN32" i="2"/>
  <c r="BP47" i="2"/>
  <c r="BN119" i="2"/>
  <c r="Y135" i="2"/>
  <c r="BN251" i="2"/>
  <c r="BN39" i="2"/>
  <c r="BP102" i="2"/>
  <c r="BN124" i="2"/>
  <c r="BP232" i="2"/>
  <c r="BN45" i="2"/>
  <c r="BP108" i="2"/>
  <c r="Y130" i="2"/>
  <c r="BN24" i="2"/>
  <c r="BN100" i="2"/>
  <c r="Y136" i="2"/>
  <c r="BP45" i="2"/>
  <c r="Y120" i="2"/>
  <c r="BN156" i="2"/>
  <c r="BN259" i="2"/>
  <c r="BN179" i="2"/>
  <c r="BP198" i="2"/>
  <c r="Y211" i="2"/>
  <c r="BN226" i="2"/>
  <c r="BN242" i="2"/>
  <c r="BN27" i="2"/>
  <c r="BN54" i="2"/>
  <c r="Y70" i="2"/>
  <c r="BP80" i="2"/>
  <c r="BN92" i="2"/>
  <c r="Y104" i="2"/>
  <c r="BP117" i="2"/>
  <c r="BP156" i="2"/>
  <c r="BP172" i="2"/>
  <c r="BN191" i="2"/>
  <c r="BP204" i="2"/>
  <c r="Y234" i="2"/>
  <c r="BN247" i="2"/>
  <c r="Y268" i="2"/>
  <c r="Y29" i="2"/>
  <c r="BN55" i="2"/>
  <c r="BN128" i="2"/>
  <c r="BN263" i="2"/>
  <c r="BP68" i="2"/>
  <c r="BP73" i="2"/>
  <c r="BN91" i="2"/>
  <c r="Y201" i="2"/>
  <c r="BN214" i="2"/>
  <c r="BP258" i="2"/>
  <c r="BP161" i="2"/>
  <c r="BP209" i="2"/>
  <c r="BN261" i="2"/>
  <c r="BN181" i="2"/>
  <c r="Y48" i="2"/>
  <c r="Y147" i="2"/>
  <c r="Y162" i="2"/>
  <c r="BP195" i="2"/>
  <c r="BP64" i="2"/>
  <c r="Y215" i="2"/>
  <c r="Y233" i="2"/>
  <c r="BP69" i="2"/>
  <c r="BN204" i="2"/>
  <c r="BN86" i="2"/>
  <c r="Y148" i="2"/>
  <c r="BN33" i="2"/>
  <c r="BN98" i="2"/>
  <c r="Y121" i="2"/>
  <c r="BP179" i="2"/>
  <c r="BP226" i="2"/>
  <c r="BN68" i="2"/>
  <c r="BN197" i="2"/>
  <c r="BN253" i="2"/>
  <c r="BN26" i="2"/>
  <c r="Y56" i="2"/>
  <c r="A10" i="2"/>
  <c r="BN97" i="2"/>
  <c r="BN108" i="2"/>
  <c r="Y254" i="2"/>
  <c r="F10" i="2"/>
  <c r="BP53" i="2"/>
  <c r="BN64" i="2"/>
  <c r="BN114" i="2"/>
  <c r="Y141" i="2"/>
  <c r="BP97" i="2"/>
  <c r="BP124" i="2"/>
  <c r="Y255" i="2"/>
  <c r="BP86" i="2"/>
  <c r="Y110" i="2"/>
  <c r="BN133" i="2"/>
  <c r="BN196" i="2"/>
  <c r="BN252" i="2"/>
  <c r="BN262" i="2"/>
  <c r="Y66" i="2"/>
  <c r="Y183" i="2"/>
  <c r="BN140" i="2"/>
  <c r="H9" i="2"/>
  <c r="BN74" i="2"/>
  <c r="BN22" i="2"/>
  <c r="BN60" i="2"/>
  <c r="Y271" i="2" l="1"/>
  <c r="Y273" i="2"/>
  <c r="Y270" i="2"/>
  <c r="Y272" i="2" s="1"/>
  <c r="Y269" i="2"/>
  <c r="C282" i="2"/>
  <c r="B282" i="2"/>
  <c r="A282" i="2"/>
</calcChain>
</file>

<file path=xl/sharedStrings.xml><?xml version="1.0" encoding="utf-8"?>
<sst xmlns="http://schemas.openxmlformats.org/spreadsheetml/2006/main" count="1647" uniqueCount="393">
  <si>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</si>
  <si>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</si>
  <si>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</si>
  <si>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</si>
  <si>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</si>
  <si>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</si>
  <si>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</si>
  <si>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</si>
  <si>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</si>
  <si>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</si>
  <si>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</si>
  <si>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</si>
  <si>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</si>
  <si>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</si>
  <si>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</si>
  <si>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</si>
  <si>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</si>
  <si>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</si>
  <si>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</si>
  <si>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</si>
  <si>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</si>
  <si>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</si>
  <si>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</si>
  <si>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</si>
  <si>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</si>
  <si>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</si>
  <si>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</si>
  <si>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</si>
  <si>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</si>
  <si>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</si>
  <si>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</si>
  <si>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</si>
  <si>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</si>
  <si>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</si>
  <si>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</si>
  <si>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</si>
  <si>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</si>
  <si>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</si>
  <si>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</si>
  <si>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</si>
  <si>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</si>
  <si>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</si>
  <si>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</si>
  <si>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</si>
  <si>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</si>
  <si>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</si>
  <si>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</si>
  <si>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</si>
  <si>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</si>
  <si>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</si>
  <si>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</si>
  <si>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</si>
  <si>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</si>
  <si>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</si>
  <si>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</si>
  <si>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</si>
  <si>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</si>
  <si>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</si>
  <si>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</si>
  <si>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</si>
  <si>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</si>
  <si>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</si>
  <si>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</si>
  <si>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</si>
  <si>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</si>
  <si>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</si>
  <si>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</si>
  <si>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</si>
  <si>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</si>
  <si>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</si>
  <si>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</si>
  <si>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12.01.2026</t>
  </si>
  <si>
    <t>09.01.2026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</si>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</sst>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46041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0.41666666666666669</v>
      </c>
      <c r="R8" s="302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3"/>
      <c r="C9" s="303"/>
      <c r="D9" s="304" t="s">
        <v>46</v>
      </c>
      <c r="E9" s="305"/>
      <c r="F9" s="3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3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6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6"/>
      <c r="L9" s="306"/>
      <c r="M9" s="306"/>
      <c r="N9" s="73"/>
      <c r="P9" s="31" t="s">
        <v>15</v>
      </c>
      <c r="Q9" s="307"/>
      <c r="R9" s="307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3"/>
      <c r="C10" s="303"/>
      <c r="D10" s="304"/>
      <c r="E10" s="305"/>
      <c r="F10" s="3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3"/>
      <c r="H10" s="308" t="str">
        <f>IFERROR(VLOOKUP($D$10,Proxy,2,FALSE),"")</f>
        <v/>
      </c>
      <c r="I10" s="308"/>
      <c r="J10" s="308"/>
      <c r="K10" s="308"/>
      <c r="L10" s="308"/>
      <c r="M10" s="308"/>
      <c r="N10" s="74"/>
      <c r="P10" s="31" t="s">
        <v>32</v>
      </c>
      <c r="Q10" s="309"/>
      <c r="R10" s="309"/>
      <c r="U10" s="29" t="s">
        <v>12</v>
      </c>
      <c r="V10" s="310" t="s">
        <v>74</v>
      </c>
      <c r="W10" s="31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2"/>
      <c r="R11" s="312"/>
      <c r="U11" s="29" t="s">
        <v>28</v>
      </c>
      <c r="V11" s="313" t="s">
        <v>55</v>
      </c>
      <c r="W11" s="3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4" t="s">
        <v>75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79"/>
      <c r="P12" s="27" t="s">
        <v>30</v>
      </c>
      <c r="Q12" s="302"/>
      <c r="R12" s="302"/>
      <c r="S12" s="28"/>
      <c r="T12"/>
      <c r="U12" s="29" t="s">
        <v>46</v>
      </c>
      <c r="V12" s="315"/>
      <c r="W12" s="315"/>
      <c r="X12"/>
      <c r="AB12" s="59"/>
      <c r="AC12" s="59"/>
      <c r="AD12" s="59"/>
      <c r="AE12" s="59"/>
    </row>
    <row r="13" spans="1:32" s="17" customFormat="1" ht="23.25" customHeight="1" x14ac:dyDescent="0.2">
      <c r="A13" s="314" t="s">
        <v>76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79"/>
      <c r="O13" s="31"/>
      <c r="P13" s="31" t="s">
        <v>31</v>
      </c>
      <c r="Q13" s="313"/>
      <c r="R13" s="3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4" t="s">
        <v>77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6" t="s">
        <v>78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80"/>
      <c r="O15"/>
      <c r="P15" s="317" t="s">
        <v>61</v>
      </c>
      <c r="Q15" s="317"/>
      <c r="R15" s="317"/>
      <c r="S15" s="317"/>
      <c r="T15" s="3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8"/>
      <c r="Q16" s="318"/>
      <c r="R16" s="318"/>
      <c r="S16" s="318"/>
      <c r="T16" s="3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1" t="s">
        <v>59</v>
      </c>
      <c r="B17" s="321" t="s">
        <v>49</v>
      </c>
      <c r="C17" s="323" t="s">
        <v>48</v>
      </c>
      <c r="D17" s="325" t="s">
        <v>50</v>
      </c>
      <c r="E17" s="326"/>
      <c r="F17" s="321" t="s">
        <v>21</v>
      </c>
      <c r="G17" s="321" t="s">
        <v>24</v>
      </c>
      <c r="H17" s="321" t="s">
        <v>22</v>
      </c>
      <c r="I17" s="321" t="s">
        <v>23</v>
      </c>
      <c r="J17" s="321" t="s">
        <v>16</v>
      </c>
      <c r="K17" s="321" t="s">
        <v>69</v>
      </c>
      <c r="L17" s="321" t="s">
        <v>67</v>
      </c>
      <c r="M17" s="321" t="s">
        <v>2</v>
      </c>
      <c r="N17" s="321" t="s">
        <v>66</v>
      </c>
      <c r="O17" s="321" t="s">
        <v>25</v>
      </c>
      <c r="P17" s="325" t="s">
        <v>17</v>
      </c>
      <c r="Q17" s="329"/>
      <c r="R17" s="329"/>
      <c r="S17" s="329"/>
      <c r="T17" s="326"/>
      <c r="U17" s="319" t="s">
        <v>56</v>
      </c>
      <c r="V17" s="320"/>
      <c r="W17" s="321" t="s">
        <v>6</v>
      </c>
      <c r="X17" s="321" t="s">
        <v>41</v>
      </c>
      <c r="Y17" s="331" t="s">
        <v>54</v>
      </c>
      <c r="Z17" s="333" t="s">
        <v>18</v>
      </c>
      <c r="AA17" s="335" t="s">
        <v>60</v>
      </c>
      <c r="AB17" s="335" t="s">
        <v>19</v>
      </c>
      <c r="AC17" s="335" t="s">
        <v>68</v>
      </c>
      <c r="AD17" s="337" t="s">
        <v>57</v>
      </c>
      <c r="AE17" s="338"/>
      <c r="AF17" s="339"/>
      <c r="AG17" s="85"/>
      <c r="BD17" s="84" t="s">
        <v>64</v>
      </c>
    </row>
    <row r="18" spans="1:68" ht="14.25" customHeight="1" x14ac:dyDescent="0.2">
      <c r="A18" s="322"/>
      <c r="B18" s="322"/>
      <c r="C18" s="324"/>
      <c r="D18" s="327"/>
      <c r="E18" s="328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7"/>
      <c r="Q18" s="330"/>
      <c r="R18" s="330"/>
      <c r="S18" s="330"/>
      <c r="T18" s="328"/>
      <c r="U18" s="86" t="s">
        <v>44</v>
      </c>
      <c r="V18" s="86" t="s">
        <v>43</v>
      </c>
      <c r="W18" s="322"/>
      <c r="X18" s="322"/>
      <c r="Y18" s="332"/>
      <c r="Z18" s="334"/>
      <c r="AA18" s="336"/>
      <c r="AB18" s="336"/>
      <c r="AC18" s="336"/>
      <c r="AD18" s="340"/>
      <c r="AE18" s="341"/>
      <c r="AF18" s="342"/>
      <c r="AG18" s="85"/>
      <c r="BD18" s="84"/>
    </row>
    <row r="19" spans="1:68" ht="27.75" customHeight="1" x14ac:dyDescent="0.2">
      <c r="A19" s="343" t="s">
        <v>81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54"/>
      <c r="AB19" s="54"/>
      <c r="AC19" s="54"/>
    </row>
    <row r="20" spans="1:68" ht="16.5" customHeight="1" x14ac:dyDescent="0.25">
      <c r="A20" s="344" t="s">
        <v>81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65"/>
      <c r="AB20" s="65"/>
      <c r="AC20" s="82"/>
    </row>
    <row r="21" spans="1:68" ht="14.25" customHeight="1" x14ac:dyDescent="0.25">
      <c r="A21" s="345" t="s">
        <v>82</v>
      </c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6">
        <v>4607111035912</v>
      </c>
      <c r="E22" s="34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8"/>
      <c r="R22" s="348"/>
      <c r="S22" s="348"/>
      <c r="T22" s="34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6">
        <v>4607111035103</v>
      </c>
      <c r="E23" s="34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8"/>
      <c r="R23" s="348"/>
      <c r="S23" s="348"/>
      <c r="T23" s="34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6">
        <v>4607111035929</v>
      </c>
      <c r="E24" s="34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8"/>
      <c r="R24" s="348"/>
      <c r="S24" s="348"/>
      <c r="T24" s="34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6">
        <v>4607111035882</v>
      </c>
      <c r="E25" s="34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8"/>
      <c r="R25" s="348"/>
      <c r="S25" s="348"/>
      <c r="T25" s="34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6">
        <v>4607111035110</v>
      </c>
      <c r="E26" s="34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8"/>
      <c r="R26" s="348"/>
      <c r="S26" s="348"/>
      <c r="T26" s="34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6">
        <v>4607111035905</v>
      </c>
      <c r="E27" s="34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8"/>
      <c r="R27" s="348"/>
      <c r="S27" s="348"/>
      <c r="T27" s="34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9"/>
      <c r="P28" s="355" t="s">
        <v>40</v>
      </c>
      <c r="Q28" s="356"/>
      <c r="R28" s="356"/>
      <c r="S28" s="356"/>
      <c r="T28" s="356"/>
      <c r="U28" s="356"/>
      <c r="V28" s="35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9"/>
      <c r="P29" s="355" t="s">
        <v>40</v>
      </c>
      <c r="Q29" s="356"/>
      <c r="R29" s="356"/>
      <c r="S29" s="356"/>
      <c r="T29" s="356"/>
      <c r="U29" s="356"/>
      <c r="V29" s="35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4" t="s">
        <v>100</v>
      </c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65"/>
      <c r="AB30" s="65"/>
      <c r="AC30" s="82"/>
    </row>
    <row r="31" spans="1:68" ht="14.25" customHeight="1" x14ac:dyDescent="0.25">
      <c r="A31" s="345" t="s">
        <v>82</v>
      </c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6">
        <v>4607111039019</v>
      </c>
      <c r="E32" s="34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8"/>
      <c r="R32" s="348"/>
      <c r="S32" s="348"/>
      <c r="T32" s="34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6">
        <v>4607111038708</v>
      </c>
      <c r="E33" s="34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8"/>
      <c r="R33" s="348"/>
      <c r="S33" s="348"/>
      <c r="T33" s="34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9"/>
      <c r="P34" s="355" t="s">
        <v>40</v>
      </c>
      <c r="Q34" s="356"/>
      <c r="R34" s="356"/>
      <c r="S34" s="356"/>
      <c r="T34" s="356"/>
      <c r="U34" s="356"/>
      <c r="V34" s="35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9"/>
      <c r="P35" s="355" t="s">
        <v>40</v>
      </c>
      <c r="Q35" s="356"/>
      <c r="R35" s="356"/>
      <c r="S35" s="356"/>
      <c r="T35" s="356"/>
      <c r="U35" s="356"/>
      <c r="V35" s="35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3" t="s">
        <v>45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54"/>
      <c r="AB36" s="54"/>
      <c r="AC36" s="54"/>
    </row>
    <row r="37" spans="1:68" ht="16.5" customHeight="1" x14ac:dyDescent="0.25">
      <c r="A37" s="344" t="s">
        <v>106</v>
      </c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65"/>
      <c r="AB37" s="65"/>
      <c r="AC37" s="82"/>
    </row>
    <row r="38" spans="1:68" ht="14.25" customHeight="1" x14ac:dyDescent="0.25">
      <c r="A38" s="345" t="s">
        <v>107</v>
      </c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6">
        <v>4607111036537</v>
      </c>
      <c r="E39" s="34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8"/>
      <c r="R39" s="348"/>
      <c r="S39" s="348"/>
      <c r="T39" s="34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6">
        <v>4607111036605</v>
      </c>
      <c r="E40" s="34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8"/>
      <c r="R40" s="348"/>
      <c r="S40" s="348"/>
      <c r="T40" s="34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9"/>
      <c r="P41" s="355" t="s">
        <v>40</v>
      </c>
      <c r="Q41" s="356"/>
      <c r="R41" s="356"/>
      <c r="S41" s="356"/>
      <c r="T41" s="356"/>
      <c r="U41" s="356"/>
      <c r="V41" s="35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5" t="s">
        <v>40</v>
      </c>
      <c r="Q42" s="356"/>
      <c r="R42" s="356"/>
      <c r="S42" s="356"/>
      <c r="T42" s="356"/>
      <c r="U42" s="356"/>
      <c r="V42" s="35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4" t="s">
        <v>117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65"/>
      <c r="AB43" s="65"/>
      <c r="AC43" s="82"/>
    </row>
    <row r="44" spans="1:68" ht="14.25" customHeight="1" x14ac:dyDescent="0.25">
      <c r="A44" s="345" t="s">
        <v>82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6">
        <v>4620207490075</v>
      </c>
      <c r="E45" s="34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8"/>
      <c r="R45" s="348"/>
      <c r="S45" s="348"/>
      <c r="T45" s="34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6">
        <v>4620207490174</v>
      </c>
      <c r="E46" s="34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8"/>
      <c r="R46" s="348"/>
      <c r="S46" s="348"/>
      <c r="T46" s="34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6">
        <v>4620207490044</v>
      </c>
      <c r="E47" s="34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8"/>
      <c r="R47" s="348"/>
      <c r="S47" s="348"/>
      <c r="T47" s="34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9"/>
      <c r="P48" s="355" t="s">
        <v>40</v>
      </c>
      <c r="Q48" s="356"/>
      <c r="R48" s="356"/>
      <c r="S48" s="356"/>
      <c r="T48" s="356"/>
      <c r="U48" s="356"/>
      <c r="V48" s="35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9"/>
      <c r="P49" s="355" t="s">
        <v>40</v>
      </c>
      <c r="Q49" s="356"/>
      <c r="R49" s="356"/>
      <c r="S49" s="356"/>
      <c r="T49" s="356"/>
      <c r="U49" s="356"/>
      <c r="V49" s="35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4" t="s">
        <v>127</v>
      </c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65"/>
      <c r="AB50" s="65"/>
      <c r="AC50" s="82"/>
    </row>
    <row r="51" spans="1:68" ht="14.25" customHeight="1" x14ac:dyDescent="0.25">
      <c r="A51" s="345" t="s">
        <v>82</v>
      </c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6">
        <v>4607111039385</v>
      </c>
      <c r="E52" s="34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8"/>
      <c r="R52" s="348"/>
      <c r="S52" s="348"/>
      <c r="T52" s="34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6">
        <v>4607111038982</v>
      </c>
      <c r="E53" s="34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8"/>
      <c r="R53" s="348"/>
      <c r="S53" s="348"/>
      <c r="T53" s="34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6">
        <v>4607111039354</v>
      </c>
      <c r="E54" s="34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8"/>
      <c r="R54" s="348"/>
      <c r="S54" s="348"/>
      <c r="T54" s="34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6">
        <v>4607111039330</v>
      </c>
      <c r="E55" s="34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8"/>
      <c r="R55" s="348"/>
      <c r="S55" s="348"/>
      <c r="T55" s="34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9"/>
      <c r="P56" s="355" t="s">
        <v>40</v>
      </c>
      <c r="Q56" s="356"/>
      <c r="R56" s="356"/>
      <c r="S56" s="356"/>
      <c r="T56" s="356"/>
      <c r="U56" s="356"/>
      <c r="V56" s="35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9"/>
      <c r="P57" s="355" t="s">
        <v>40</v>
      </c>
      <c r="Q57" s="356"/>
      <c r="R57" s="356"/>
      <c r="S57" s="356"/>
      <c r="T57" s="356"/>
      <c r="U57" s="356"/>
      <c r="V57" s="35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4" t="s">
        <v>138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65"/>
      <c r="AB58" s="65"/>
      <c r="AC58" s="82"/>
    </row>
    <row r="59" spans="1:68" ht="14.25" customHeight="1" x14ac:dyDescent="0.25">
      <c r="A59" s="345" t="s">
        <v>82</v>
      </c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6">
        <v>4620207490822</v>
      </c>
      <c r="E60" s="34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8"/>
      <c r="R60" s="348"/>
      <c r="S60" s="348"/>
      <c r="T60" s="34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9"/>
      <c r="P61" s="355" t="s">
        <v>40</v>
      </c>
      <c r="Q61" s="356"/>
      <c r="R61" s="356"/>
      <c r="S61" s="356"/>
      <c r="T61" s="356"/>
      <c r="U61" s="356"/>
      <c r="V61" s="35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9"/>
      <c r="P62" s="355" t="s">
        <v>40</v>
      </c>
      <c r="Q62" s="356"/>
      <c r="R62" s="356"/>
      <c r="S62" s="356"/>
      <c r="T62" s="356"/>
      <c r="U62" s="356"/>
      <c r="V62" s="35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5" t="s">
        <v>107</v>
      </c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6">
        <v>4607111039712</v>
      </c>
      <c r="E64" s="34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8"/>
      <c r="R64" s="348"/>
      <c r="S64" s="348"/>
      <c r="T64" s="34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9"/>
      <c r="P65" s="355" t="s">
        <v>40</v>
      </c>
      <c r="Q65" s="356"/>
      <c r="R65" s="356"/>
      <c r="S65" s="356"/>
      <c r="T65" s="356"/>
      <c r="U65" s="356"/>
      <c r="V65" s="35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9"/>
      <c r="P66" s="355" t="s">
        <v>40</v>
      </c>
      <c r="Q66" s="356"/>
      <c r="R66" s="356"/>
      <c r="S66" s="356"/>
      <c r="T66" s="356"/>
      <c r="U66" s="356"/>
      <c r="V66" s="35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5" t="s">
        <v>145</v>
      </c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6">
        <v>4607111037008</v>
      </c>
      <c r="E68" s="34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8"/>
      <c r="R68" s="348"/>
      <c r="S68" s="348"/>
      <c r="T68" s="34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6">
        <v>4607111037398</v>
      </c>
      <c r="E69" s="34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8"/>
      <c r="R69" s="348"/>
      <c r="S69" s="348"/>
      <c r="T69" s="34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9"/>
      <c r="P70" s="355" t="s">
        <v>40</v>
      </c>
      <c r="Q70" s="356"/>
      <c r="R70" s="356"/>
      <c r="S70" s="356"/>
      <c r="T70" s="356"/>
      <c r="U70" s="356"/>
      <c r="V70" s="35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9"/>
      <c r="P71" s="355" t="s">
        <v>40</v>
      </c>
      <c r="Q71" s="356"/>
      <c r="R71" s="356"/>
      <c r="S71" s="356"/>
      <c r="T71" s="356"/>
      <c r="U71" s="356"/>
      <c r="V71" s="35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5" t="s">
        <v>151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6">
        <v>4607111039705</v>
      </c>
      <c r="E73" s="34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8"/>
      <c r="R73" s="348"/>
      <c r="S73" s="348"/>
      <c r="T73" s="34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6">
        <v>4607111039729</v>
      </c>
      <c r="E74" s="34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8"/>
      <c r="R74" s="348"/>
      <c r="S74" s="348"/>
      <c r="T74" s="34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6">
        <v>4620207490228</v>
      </c>
      <c r="E75" s="34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8"/>
      <c r="R75" s="348"/>
      <c r="S75" s="348"/>
      <c r="T75" s="34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9"/>
      <c r="P76" s="355" t="s">
        <v>40</v>
      </c>
      <c r="Q76" s="356"/>
      <c r="R76" s="356"/>
      <c r="S76" s="356"/>
      <c r="T76" s="356"/>
      <c r="U76" s="356"/>
      <c r="V76" s="35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9"/>
      <c r="P77" s="355" t="s">
        <v>40</v>
      </c>
      <c r="Q77" s="356"/>
      <c r="R77" s="356"/>
      <c r="S77" s="356"/>
      <c r="T77" s="356"/>
      <c r="U77" s="356"/>
      <c r="V77" s="35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4" t="s">
        <v>159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65"/>
      <c r="AB78" s="65"/>
      <c r="AC78" s="82"/>
    </row>
    <row r="79" spans="1:68" ht="14.25" customHeight="1" x14ac:dyDescent="0.25">
      <c r="A79" s="345" t="s">
        <v>82</v>
      </c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6">
        <v>4607111037411</v>
      </c>
      <c r="E80" s="34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8"/>
      <c r="R80" s="348"/>
      <c r="S80" s="348"/>
      <c r="T80" s="34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6">
        <v>4607111036728</v>
      </c>
      <c r="E81" s="34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8"/>
      <c r="R81" s="348"/>
      <c r="S81" s="348"/>
      <c r="T81" s="34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9"/>
      <c r="P82" s="355" t="s">
        <v>40</v>
      </c>
      <c r="Q82" s="356"/>
      <c r="R82" s="356"/>
      <c r="S82" s="356"/>
      <c r="T82" s="356"/>
      <c r="U82" s="356"/>
      <c r="V82" s="35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9"/>
      <c r="P83" s="355" t="s">
        <v>40</v>
      </c>
      <c r="Q83" s="356"/>
      <c r="R83" s="356"/>
      <c r="S83" s="356"/>
      <c r="T83" s="356"/>
      <c r="U83" s="356"/>
      <c r="V83" s="35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4" t="s">
        <v>166</v>
      </c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65"/>
      <c r="AB84" s="65"/>
      <c r="AC84" s="82"/>
    </row>
    <row r="85" spans="1:68" ht="14.25" customHeight="1" x14ac:dyDescent="0.25">
      <c r="A85" s="345" t="s">
        <v>151</v>
      </c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6">
        <v>4607111033659</v>
      </c>
      <c r="E86" s="34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8"/>
      <c r="R86" s="348"/>
      <c r="S86" s="348"/>
      <c r="T86" s="34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9"/>
      <c r="P87" s="355" t="s">
        <v>40</v>
      </c>
      <c r="Q87" s="356"/>
      <c r="R87" s="356"/>
      <c r="S87" s="356"/>
      <c r="T87" s="356"/>
      <c r="U87" s="356"/>
      <c r="V87" s="35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9"/>
      <c r="P88" s="355" t="s">
        <v>40</v>
      </c>
      <c r="Q88" s="356"/>
      <c r="R88" s="356"/>
      <c r="S88" s="356"/>
      <c r="T88" s="356"/>
      <c r="U88" s="356"/>
      <c r="V88" s="35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4" t="s">
        <v>170</v>
      </c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65"/>
      <c r="AB89" s="65"/>
      <c r="AC89" s="82"/>
    </row>
    <row r="90" spans="1:68" ht="14.25" customHeight="1" x14ac:dyDescent="0.25">
      <c r="A90" s="345" t="s">
        <v>171</v>
      </c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6">
        <v>4607111034120</v>
      </c>
      <c r="E91" s="34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8"/>
      <c r="R91" s="348"/>
      <c r="S91" s="348"/>
      <c r="T91" s="34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6">
        <v>4607111034137</v>
      </c>
      <c r="E92" s="34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8"/>
      <c r="R92" s="348"/>
      <c r="S92" s="348"/>
      <c r="T92" s="34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9"/>
      <c r="P93" s="355" t="s">
        <v>40</v>
      </c>
      <c r="Q93" s="356"/>
      <c r="R93" s="356"/>
      <c r="S93" s="356"/>
      <c r="T93" s="356"/>
      <c r="U93" s="356"/>
      <c r="V93" s="357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9"/>
      <c r="P94" s="355" t="s">
        <v>40</v>
      </c>
      <c r="Q94" s="356"/>
      <c r="R94" s="356"/>
      <c r="S94" s="356"/>
      <c r="T94" s="356"/>
      <c r="U94" s="356"/>
      <c r="V94" s="357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4" t="s">
        <v>178</v>
      </c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65"/>
      <c r="AB95" s="65"/>
      <c r="AC95" s="82"/>
    </row>
    <row r="96" spans="1:68" ht="14.25" customHeight="1" x14ac:dyDescent="0.25">
      <c r="A96" s="345" t="s">
        <v>151</v>
      </c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6">
        <v>4620207491027</v>
      </c>
      <c r="E97" s="34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8"/>
      <c r="R97" s="348"/>
      <c r="S97" s="348"/>
      <c r="T97" s="34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6">
        <v>4620207491003</v>
      </c>
      <c r="E98" s="34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8"/>
      <c r="R98" s="348"/>
      <c r="S98" s="348"/>
      <c r="T98" s="34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6">
        <v>4620207491034</v>
      </c>
      <c r="E99" s="34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8"/>
      <c r="R99" s="348"/>
      <c r="S99" s="348"/>
      <c r="T99" s="34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6">
        <v>4620207491010</v>
      </c>
      <c r="E100" s="34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8"/>
      <c r="R100" s="348"/>
      <c r="S100" s="348"/>
      <c r="T100" s="34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6">
        <v>4607111035028</v>
      </c>
      <c r="E101" s="34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8"/>
      <c r="R101" s="348"/>
      <c r="S101" s="348"/>
      <c r="T101" s="34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6">
        <v>4607111036407</v>
      </c>
      <c r="E102" s="34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8"/>
      <c r="R102" s="348"/>
      <c r="S102" s="348"/>
      <c r="T102" s="34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9"/>
      <c r="P103" s="355" t="s">
        <v>40</v>
      </c>
      <c r="Q103" s="356"/>
      <c r="R103" s="356"/>
      <c r="S103" s="356"/>
      <c r="T103" s="356"/>
      <c r="U103" s="356"/>
      <c r="V103" s="357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9"/>
      <c r="P104" s="355" t="s">
        <v>40</v>
      </c>
      <c r="Q104" s="356"/>
      <c r="R104" s="356"/>
      <c r="S104" s="356"/>
      <c r="T104" s="356"/>
      <c r="U104" s="356"/>
      <c r="V104" s="357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4" t="s">
        <v>193</v>
      </c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65"/>
      <c r="AB105" s="65"/>
      <c r="AC105" s="82"/>
    </row>
    <row r="106" spans="1:68" ht="14.25" customHeight="1" x14ac:dyDescent="0.25">
      <c r="A106" s="345" t="s">
        <v>145</v>
      </c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6">
        <v>4607025784012</v>
      </c>
      <c r="E107" s="34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8"/>
      <c r="R107" s="348"/>
      <c r="S107" s="348"/>
      <c r="T107" s="34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6">
        <v>4607025784319</v>
      </c>
      <c r="E108" s="34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8"/>
      <c r="R108" s="348"/>
      <c r="S108" s="348"/>
      <c r="T108" s="34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9"/>
      <c r="P109" s="355" t="s">
        <v>40</v>
      </c>
      <c r="Q109" s="356"/>
      <c r="R109" s="356"/>
      <c r="S109" s="356"/>
      <c r="T109" s="356"/>
      <c r="U109" s="356"/>
      <c r="V109" s="35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9"/>
      <c r="P110" s="355" t="s">
        <v>40</v>
      </c>
      <c r="Q110" s="356"/>
      <c r="R110" s="356"/>
      <c r="S110" s="356"/>
      <c r="T110" s="356"/>
      <c r="U110" s="356"/>
      <c r="V110" s="35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4" t="s">
        <v>199</v>
      </c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65"/>
      <c r="AB111" s="65"/>
      <c r="AC111" s="82"/>
    </row>
    <row r="112" spans="1:68" ht="14.25" customHeight="1" x14ac:dyDescent="0.25">
      <c r="A112" s="345" t="s">
        <v>82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6">
        <v>4620207491157</v>
      </c>
      <c r="E113" s="34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8"/>
      <c r="R113" s="348"/>
      <c r="S113" s="348"/>
      <c r="T113" s="34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6">
        <v>4620207491393</v>
      </c>
      <c r="E114" s="34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8"/>
      <c r="R114" s="348"/>
      <c r="S114" s="348"/>
      <c r="T114" s="34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6">
        <v>4607111039262</v>
      </c>
      <c r="E115" s="34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8"/>
      <c r="R115" s="348"/>
      <c r="S115" s="348"/>
      <c r="T115" s="34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6">
        <v>4607111039248</v>
      </c>
      <c r="E116" s="34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8"/>
      <c r="R116" s="348"/>
      <c r="S116" s="348"/>
      <c r="T116" s="34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6">
        <v>4607111037145</v>
      </c>
      <c r="E117" s="34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8"/>
      <c r="R117" s="348"/>
      <c r="S117" s="348"/>
      <c r="T117" s="34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6">
        <v>4607111039293</v>
      </c>
      <c r="E118" s="34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8"/>
      <c r="R118" s="348"/>
      <c r="S118" s="348"/>
      <c r="T118" s="34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6">
        <v>4607111039279</v>
      </c>
      <c r="E119" s="34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8"/>
      <c r="R119" s="348"/>
      <c r="S119" s="348"/>
      <c r="T119" s="34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9"/>
      <c r="P120" s="355" t="s">
        <v>40</v>
      </c>
      <c r="Q120" s="356"/>
      <c r="R120" s="356"/>
      <c r="S120" s="356"/>
      <c r="T120" s="356"/>
      <c r="U120" s="356"/>
      <c r="V120" s="35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9"/>
      <c r="P121" s="355" t="s">
        <v>40</v>
      </c>
      <c r="Q121" s="356"/>
      <c r="R121" s="356"/>
      <c r="S121" s="356"/>
      <c r="T121" s="356"/>
      <c r="U121" s="356"/>
      <c r="V121" s="35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5" t="s">
        <v>151</v>
      </c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6">
        <v>4620207490983</v>
      </c>
      <c r="E123" s="34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8"/>
      <c r="R123" s="348"/>
      <c r="S123" s="348"/>
      <c r="T123" s="34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t="27" customHeight="1" x14ac:dyDescent="0.25">
      <c r="A124" s="63" t="s">
        <v>220</v>
      </c>
      <c r="B124" s="63" t="s">
        <v>221</v>
      </c>
      <c r="C124" s="36">
        <v>4301135670</v>
      </c>
      <c r="D124" s="346">
        <v>4620207490983</v>
      </c>
      <c r="E124" s="346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113</v>
      </c>
      <c r="M124" s="38" t="s">
        <v>86</v>
      </c>
      <c r="N124" s="38"/>
      <c r="O124" s="37">
        <v>180</v>
      </c>
      <c r="P124" s="39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8"/>
      <c r="R124" s="348"/>
      <c r="S124" s="348"/>
      <c r="T124" s="349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114</v>
      </c>
      <c r="AK124" s="87">
        <v>14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9"/>
      <c r="P125" s="355" t="s">
        <v>40</v>
      </c>
      <c r="Q125" s="356"/>
      <c r="R125" s="356"/>
      <c r="S125" s="356"/>
      <c r="T125" s="356"/>
      <c r="U125" s="356"/>
      <c r="V125" s="357"/>
      <c r="W125" s="42" t="s">
        <v>39</v>
      </c>
      <c r="X125" s="43">
        <f>IFERROR(SUM(X123:X124),"0")</f>
        <v>0</v>
      </c>
      <c r="Y125" s="43">
        <f>IFERROR(SUM(Y123:Y124),"0")</f>
        <v>0</v>
      </c>
      <c r="Z125" s="43">
        <f>IFERROR(IF(Z123="",0,Z123),"0")+IFERROR(IF(Z124="",0,Z124),"0")</f>
        <v>0</v>
      </c>
      <c r="AA125" s="67"/>
      <c r="AB125" s="67"/>
      <c r="AC125" s="67"/>
    </row>
    <row r="126" spans="1:68" x14ac:dyDescent="0.2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9"/>
      <c r="P126" s="355" t="s">
        <v>40</v>
      </c>
      <c r="Q126" s="356"/>
      <c r="R126" s="356"/>
      <c r="S126" s="356"/>
      <c r="T126" s="356"/>
      <c r="U126" s="356"/>
      <c r="V126" s="357"/>
      <c r="W126" s="42" t="s">
        <v>0</v>
      </c>
      <c r="X126" s="43">
        <f>IFERROR(SUMPRODUCT(X123:X124*H123:H124),"0")</f>
        <v>0</v>
      </c>
      <c r="Y126" s="43">
        <f>IFERROR(SUMPRODUCT(Y123:Y124*H123:H124),"0")</f>
        <v>0</v>
      </c>
      <c r="Z126" s="42"/>
      <c r="AA126" s="67"/>
      <c r="AB126" s="67"/>
      <c r="AC126" s="67"/>
    </row>
    <row r="127" spans="1:68" ht="14.25" customHeight="1" x14ac:dyDescent="0.25">
      <c r="A127" s="345" t="s">
        <v>223</v>
      </c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46">
        <v>4620207491140</v>
      </c>
      <c r="E128" s="346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8"/>
      <c r="R128" s="348"/>
      <c r="S128" s="348"/>
      <c r="T128" s="34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9"/>
      <c r="P129" s="355" t="s">
        <v>40</v>
      </c>
      <c r="Q129" s="356"/>
      <c r="R129" s="356"/>
      <c r="S129" s="356"/>
      <c r="T129" s="356"/>
      <c r="U129" s="356"/>
      <c r="V129" s="357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9"/>
      <c r="P130" s="355" t="s">
        <v>40</v>
      </c>
      <c r="Q130" s="356"/>
      <c r="R130" s="356"/>
      <c r="S130" s="356"/>
      <c r="T130" s="356"/>
      <c r="U130" s="356"/>
      <c r="V130" s="357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4" t="s">
        <v>227</v>
      </c>
      <c r="B131" s="344"/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65"/>
      <c r="AB131" s="65"/>
      <c r="AC131" s="82"/>
    </row>
    <row r="132" spans="1:68" ht="14.25" customHeight="1" x14ac:dyDescent="0.25">
      <c r="A132" s="345" t="s">
        <v>151</v>
      </c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46">
        <v>4607111034014</v>
      </c>
      <c r="E133" s="346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8"/>
      <c r="R133" s="348"/>
      <c r="S133" s="348"/>
      <c r="T133" s="34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46">
        <v>4607111033994</v>
      </c>
      <c r="E134" s="346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233</v>
      </c>
      <c r="M134" s="38" t="s">
        <v>86</v>
      </c>
      <c r="N134" s="38"/>
      <c r="O134" s="37">
        <v>180</v>
      </c>
      <c r="P134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8"/>
      <c r="R134" s="348"/>
      <c r="S134" s="348"/>
      <c r="T134" s="34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169</v>
      </c>
      <c r="AG134" s="81"/>
      <c r="AJ134" s="87" t="s">
        <v>234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9"/>
      <c r="P135" s="355" t="s">
        <v>40</v>
      </c>
      <c r="Q135" s="356"/>
      <c r="R135" s="356"/>
      <c r="S135" s="356"/>
      <c r="T135" s="356"/>
      <c r="U135" s="356"/>
      <c r="V135" s="357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9"/>
      <c r="P136" s="355" t="s">
        <v>40</v>
      </c>
      <c r="Q136" s="356"/>
      <c r="R136" s="356"/>
      <c r="S136" s="356"/>
      <c r="T136" s="356"/>
      <c r="U136" s="356"/>
      <c r="V136" s="357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4" t="s">
        <v>235</v>
      </c>
      <c r="B137" s="344"/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65"/>
      <c r="AB137" s="65"/>
      <c r="AC137" s="82"/>
    </row>
    <row r="138" spans="1:68" ht="14.25" customHeight="1" x14ac:dyDescent="0.25">
      <c r="A138" s="345" t="s">
        <v>151</v>
      </c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6">
        <v>4607111039095</v>
      </c>
      <c r="E139" s="346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8"/>
      <c r="R139" s="348"/>
      <c r="S139" s="348"/>
      <c r="T139" s="34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6">
        <v>4607111034199</v>
      </c>
      <c r="E140" s="34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8"/>
      <c r="R140" s="348"/>
      <c r="S140" s="348"/>
      <c r="T140" s="34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9"/>
      <c r="P141" s="355" t="s">
        <v>40</v>
      </c>
      <c r="Q141" s="356"/>
      <c r="R141" s="356"/>
      <c r="S141" s="356"/>
      <c r="T141" s="356"/>
      <c r="U141" s="356"/>
      <c r="V141" s="357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9"/>
      <c r="P142" s="355" t="s">
        <v>40</v>
      </c>
      <c r="Q142" s="356"/>
      <c r="R142" s="356"/>
      <c r="S142" s="356"/>
      <c r="T142" s="356"/>
      <c r="U142" s="356"/>
      <c r="V142" s="357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4" t="s">
        <v>242</v>
      </c>
      <c r="B143" s="344"/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65"/>
      <c r="AB143" s="65"/>
      <c r="AC143" s="82"/>
    </row>
    <row r="144" spans="1:68" ht="14.25" customHeight="1" x14ac:dyDescent="0.25">
      <c r="A144" s="345" t="s">
        <v>151</v>
      </c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6">
        <v>4620207490914</v>
      </c>
      <c r="E145" s="346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8"/>
      <c r="R145" s="348"/>
      <c r="S145" s="348"/>
      <c r="T145" s="34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6">
        <v>4620207490853</v>
      </c>
      <c r="E146" s="346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8"/>
      <c r="R146" s="348"/>
      <c r="S146" s="348"/>
      <c r="T146" s="34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9"/>
      <c r="P147" s="355" t="s">
        <v>40</v>
      </c>
      <c r="Q147" s="356"/>
      <c r="R147" s="356"/>
      <c r="S147" s="356"/>
      <c r="T147" s="356"/>
      <c r="U147" s="356"/>
      <c r="V147" s="35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9"/>
      <c r="P148" s="355" t="s">
        <v>40</v>
      </c>
      <c r="Q148" s="356"/>
      <c r="R148" s="356"/>
      <c r="S148" s="356"/>
      <c r="T148" s="356"/>
      <c r="U148" s="356"/>
      <c r="V148" s="35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4" t="s">
        <v>247</v>
      </c>
      <c r="B149" s="344"/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65"/>
      <c r="AB149" s="65"/>
      <c r="AC149" s="82"/>
    </row>
    <row r="150" spans="1:68" ht="14.25" customHeight="1" x14ac:dyDescent="0.25">
      <c r="A150" s="345" t="s">
        <v>151</v>
      </c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6">
        <v>4607111035806</v>
      </c>
      <c r="E151" s="34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8"/>
      <c r="R151" s="348"/>
      <c r="S151" s="348"/>
      <c r="T151" s="34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9"/>
      <c r="P152" s="355" t="s">
        <v>40</v>
      </c>
      <c r="Q152" s="356"/>
      <c r="R152" s="356"/>
      <c r="S152" s="356"/>
      <c r="T152" s="356"/>
      <c r="U152" s="356"/>
      <c r="V152" s="357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9"/>
      <c r="P153" s="355" t="s">
        <v>40</v>
      </c>
      <c r="Q153" s="356"/>
      <c r="R153" s="356"/>
      <c r="S153" s="356"/>
      <c r="T153" s="356"/>
      <c r="U153" s="356"/>
      <c r="V153" s="357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4" t="s">
        <v>251</v>
      </c>
      <c r="B154" s="344"/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65"/>
      <c r="AB154" s="65"/>
      <c r="AC154" s="82"/>
    </row>
    <row r="155" spans="1:68" ht="14.25" customHeight="1" x14ac:dyDescent="0.25">
      <c r="A155" s="345" t="s">
        <v>151</v>
      </c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6">
        <v>4607111039613</v>
      </c>
      <c r="E156" s="346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8"/>
      <c r="R156" s="348"/>
      <c r="S156" s="348"/>
      <c r="T156" s="34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9"/>
      <c r="P157" s="355" t="s">
        <v>40</v>
      </c>
      <c r="Q157" s="356"/>
      <c r="R157" s="356"/>
      <c r="S157" s="356"/>
      <c r="T157" s="356"/>
      <c r="U157" s="356"/>
      <c r="V157" s="357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9"/>
      <c r="P158" s="355" t="s">
        <v>40</v>
      </c>
      <c r="Q158" s="356"/>
      <c r="R158" s="356"/>
      <c r="S158" s="356"/>
      <c r="T158" s="356"/>
      <c r="U158" s="356"/>
      <c r="V158" s="357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4" t="s">
        <v>254</v>
      </c>
      <c r="B159" s="344"/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65"/>
      <c r="AB159" s="65"/>
      <c r="AC159" s="82"/>
    </row>
    <row r="160" spans="1:68" ht="14.25" customHeight="1" x14ac:dyDescent="0.25">
      <c r="A160" s="345" t="s">
        <v>223</v>
      </c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6">
        <v>4607111035646</v>
      </c>
      <c r="E161" s="346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8"/>
      <c r="R161" s="348"/>
      <c r="S161" s="348"/>
      <c r="T161" s="34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9"/>
      <c r="P162" s="355" t="s">
        <v>40</v>
      </c>
      <c r="Q162" s="356"/>
      <c r="R162" s="356"/>
      <c r="S162" s="356"/>
      <c r="T162" s="356"/>
      <c r="U162" s="356"/>
      <c r="V162" s="357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9"/>
      <c r="P163" s="355" t="s">
        <v>40</v>
      </c>
      <c r="Q163" s="356"/>
      <c r="R163" s="356"/>
      <c r="S163" s="356"/>
      <c r="T163" s="356"/>
      <c r="U163" s="356"/>
      <c r="V163" s="357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4" t="s">
        <v>259</v>
      </c>
      <c r="B164" s="344"/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65"/>
      <c r="AB164" s="65"/>
      <c r="AC164" s="82"/>
    </row>
    <row r="165" spans="1:68" ht="14.25" customHeight="1" x14ac:dyDescent="0.25">
      <c r="A165" s="345" t="s">
        <v>151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6">
        <v>4607111036568</v>
      </c>
      <c r="E166" s="346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8"/>
      <c r="R166" s="348"/>
      <c r="S166" s="348"/>
      <c r="T166" s="34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9"/>
      <c r="P167" s="355" t="s">
        <v>40</v>
      </c>
      <c r="Q167" s="356"/>
      <c r="R167" s="356"/>
      <c r="S167" s="356"/>
      <c r="T167" s="356"/>
      <c r="U167" s="356"/>
      <c r="V167" s="357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9"/>
      <c r="P168" s="355" t="s">
        <v>40</v>
      </c>
      <c r="Q168" s="356"/>
      <c r="R168" s="356"/>
      <c r="S168" s="356"/>
      <c r="T168" s="356"/>
      <c r="U168" s="356"/>
      <c r="V168" s="357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3" t="s">
        <v>263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54"/>
      <c r="AB169" s="54"/>
      <c r="AC169" s="54"/>
    </row>
    <row r="170" spans="1:68" ht="16.5" customHeight="1" x14ac:dyDescent="0.25">
      <c r="A170" s="344" t="s">
        <v>264</v>
      </c>
      <c r="B170" s="344"/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65"/>
      <c r="AB170" s="65"/>
      <c r="AC170" s="82"/>
    </row>
    <row r="171" spans="1:68" ht="14.25" customHeight="1" x14ac:dyDescent="0.25">
      <c r="A171" s="345" t="s">
        <v>82</v>
      </c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6">
        <v>4607111036384</v>
      </c>
      <c r="E172" s="346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8"/>
      <c r="R172" s="348"/>
      <c r="S172" s="348"/>
      <c r="T172" s="34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6">
        <v>4607111036216</v>
      </c>
      <c r="E173" s="346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8"/>
      <c r="R173" s="348"/>
      <c r="S173" s="348"/>
      <c r="T173" s="34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9"/>
      <c r="P174" s="355" t="s">
        <v>40</v>
      </c>
      <c r="Q174" s="356"/>
      <c r="R174" s="356"/>
      <c r="S174" s="356"/>
      <c r="T174" s="356"/>
      <c r="U174" s="356"/>
      <c r="V174" s="357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9"/>
      <c r="P175" s="355" t="s">
        <v>40</v>
      </c>
      <c r="Q175" s="356"/>
      <c r="R175" s="356"/>
      <c r="S175" s="356"/>
      <c r="T175" s="356"/>
      <c r="U175" s="356"/>
      <c r="V175" s="357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3" t="s">
        <v>271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54"/>
      <c r="AB176" s="54"/>
      <c r="AC176" s="54"/>
    </row>
    <row r="177" spans="1:68" ht="16.5" customHeight="1" x14ac:dyDescent="0.25">
      <c r="A177" s="344" t="s">
        <v>272</v>
      </c>
      <c r="B177" s="344"/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65"/>
      <c r="AB177" s="65"/>
      <c r="AC177" s="82"/>
    </row>
    <row r="178" spans="1:68" ht="14.25" customHeight="1" x14ac:dyDescent="0.25">
      <c r="A178" s="345" t="s">
        <v>107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6">
        <v>4607111035691</v>
      </c>
      <c r="E179" s="346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8"/>
      <c r="R179" s="348"/>
      <c r="S179" s="348"/>
      <c r="T179" s="34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6">
        <v>4607111035721</v>
      </c>
      <c r="E180" s="346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8"/>
      <c r="R180" s="348"/>
      <c r="S180" s="348"/>
      <c r="T180" s="34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6">
        <v>4607111038487</v>
      </c>
      <c r="E181" s="346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8"/>
      <c r="R181" s="348"/>
      <c r="S181" s="348"/>
      <c r="T181" s="34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9"/>
      <c r="P182" s="355" t="s">
        <v>40</v>
      </c>
      <c r="Q182" s="356"/>
      <c r="R182" s="356"/>
      <c r="S182" s="356"/>
      <c r="T182" s="356"/>
      <c r="U182" s="356"/>
      <c r="V182" s="357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9"/>
      <c r="P183" s="355" t="s">
        <v>40</v>
      </c>
      <c r="Q183" s="356"/>
      <c r="R183" s="356"/>
      <c r="S183" s="356"/>
      <c r="T183" s="356"/>
      <c r="U183" s="356"/>
      <c r="V183" s="357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5" t="s">
        <v>282</v>
      </c>
      <c r="B184" s="345"/>
      <c r="C184" s="345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5"/>
      <c r="V184" s="345"/>
      <c r="W184" s="345"/>
      <c r="X184" s="345"/>
      <c r="Y184" s="345"/>
      <c r="Z184" s="345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6">
        <v>4680115885875</v>
      </c>
      <c r="E185" s="346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88</v>
      </c>
      <c r="M185" s="38" t="s">
        <v>288</v>
      </c>
      <c r="N185" s="38"/>
      <c r="O185" s="37">
        <v>365</v>
      </c>
      <c r="P185" s="416" t="s">
        <v>285</v>
      </c>
      <c r="Q185" s="348"/>
      <c r="R185" s="348"/>
      <c r="S185" s="348"/>
      <c r="T185" s="349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89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9"/>
      <c r="P186" s="355" t="s">
        <v>40</v>
      </c>
      <c r="Q186" s="356"/>
      <c r="R186" s="356"/>
      <c r="S186" s="356"/>
      <c r="T186" s="356"/>
      <c r="U186" s="356"/>
      <c r="V186" s="357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9"/>
      <c r="P187" s="355" t="s">
        <v>40</v>
      </c>
      <c r="Q187" s="356"/>
      <c r="R187" s="356"/>
      <c r="S187" s="356"/>
      <c r="T187" s="356"/>
      <c r="U187" s="356"/>
      <c r="V187" s="357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3" t="s">
        <v>290</v>
      </c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54"/>
      <c r="AB188" s="54"/>
      <c r="AC188" s="54"/>
    </row>
    <row r="189" spans="1:68" ht="16.5" customHeight="1" x14ac:dyDescent="0.25">
      <c r="A189" s="344" t="s">
        <v>291</v>
      </c>
      <c r="B189" s="344"/>
      <c r="C189" s="34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65"/>
      <c r="AB189" s="65"/>
      <c r="AC189" s="82"/>
    </row>
    <row r="190" spans="1:68" ht="14.25" customHeight="1" x14ac:dyDescent="0.25">
      <c r="A190" s="345" t="s">
        <v>107</v>
      </c>
      <c r="B190" s="345"/>
      <c r="C190" s="345"/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6">
        <v>4620207491133</v>
      </c>
      <c r="E191" s="346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112</v>
      </c>
      <c r="L191" s="37" t="s">
        <v>113</v>
      </c>
      <c r="M191" s="38" t="s">
        <v>86</v>
      </c>
      <c r="N191" s="38"/>
      <c r="O191" s="37">
        <v>180</v>
      </c>
      <c r="P191" s="41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48"/>
      <c r="R191" s="348"/>
      <c r="S191" s="348"/>
      <c r="T191" s="34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114</v>
      </c>
      <c r="AK191" s="87">
        <v>14</v>
      </c>
      <c r="BB191" s="216" t="s">
        <v>111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9"/>
      <c r="P192" s="355" t="s">
        <v>40</v>
      </c>
      <c r="Q192" s="356"/>
      <c r="R192" s="356"/>
      <c r="S192" s="356"/>
      <c r="T192" s="356"/>
      <c r="U192" s="356"/>
      <c r="V192" s="357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9"/>
      <c r="P193" s="355" t="s">
        <v>40</v>
      </c>
      <c r="Q193" s="356"/>
      <c r="R193" s="356"/>
      <c r="S193" s="356"/>
      <c r="T193" s="356"/>
      <c r="U193" s="356"/>
      <c r="V193" s="357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5" t="s">
        <v>151</v>
      </c>
      <c r="B194" s="345"/>
      <c r="C194" s="345"/>
      <c r="D194" s="345"/>
      <c r="E194" s="345"/>
      <c r="F194" s="345"/>
      <c r="G194" s="345"/>
      <c r="H194" s="345"/>
      <c r="I194" s="345"/>
      <c r="J194" s="345"/>
      <c r="K194" s="345"/>
      <c r="L194" s="345"/>
      <c r="M194" s="345"/>
      <c r="N194" s="345"/>
      <c r="O194" s="345"/>
      <c r="P194" s="345"/>
      <c r="Q194" s="345"/>
      <c r="R194" s="345"/>
      <c r="S194" s="345"/>
      <c r="T194" s="345"/>
      <c r="U194" s="345"/>
      <c r="V194" s="345"/>
      <c r="W194" s="345"/>
      <c r="X194" s="345"/>
      <c r="Y194" s="345"/>
      <c r="Z194" s="345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6">
        <v>4620207491188</v>
      </c>
      <c r="E195" s="346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112</v>
      </c>
      <c r="L195" s="37" t="s">
        <v>88</v>
      </c>
      <c r="M195" s="38" t="s">
        <v>86</v>
      </c>
      <c r="N195" s="38"/>
      <c r="O195" s="37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48"/>
      <c r="R195" s="348"/>
      <c r="S195" s="348"/>
      <c r="T195" s="349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89</v>
      </c>
      <c r="AK195" s="87">
        <v>1</v>
      </c>
      <c r="BB195" s="218" t="s">
        <v>111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6">
        <v>4620207490198</v>
      </c>
      <c r="E196" s="346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1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48"/>
      <c r="R196" s="348"/>
      <c r="S196" s="348"/>
      <c r="T196" s="34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6">
        <v>4620207490235</v>
      </c>
      <c r="E197" s="34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48"/>
      <c r="R197" s="348"/>
      <c r="S197" s="348"/>
      <c r="T197" s="34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6">
        <v>4620207490259</v>
      </c>
      <c r="E198" s="346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113</v>
      </c>
      <c r="M198" s="38" t="s">
        <v>86</v>
      </c>
      <c r="N198" s="38"/>
      <c r="O198" s="37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48"/>
      <c r="R198" s="348"/>
      <c r="S198" s="348"/>
      <c r="T198" s="34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114</v>
      </c>
      <c r="AK198" s="87">
        <v>14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6">
        <v>4620207490143</v>
      </c>
      <c r="E199" s="346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48"/>
      <c r="R199" s="348"/>
      <c r="S199" s="348"/>
      <c r="T199" s="34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9"/>
      <c r="P200" s="355" t="s">
        <v>40</v>
      </c>
      <c r="Q200" s="356"/>
      <c r="R200" s="356"/>
      <c r="S200" s="356"/>
      <c r="T200" s="356"/>
      <c r="U200" s="356"/>
      <c r="V200" s="357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9"/>
      <c r="P201" s="355" t="s">
        <v>40</v>
      </c>
      <c r="Q201" s="356"/>
      <c r="R201" s="356"/>
      <c r="S201" s="356"/>
      <c r="T201" s="356"/>
      <c r="U201" s="356"/>
      <c r="V201" s="357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4" t="s">
        <v>309</v>
      </c>
      <c r="B202" s="344"/>
      <c r="C202" s="344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  <c r="AA202" s="65"/>
      <c r="AB202" s="65"/>
      <c r="AC202" s="82"/>
    </row>
    <row r="203" spans="1:68" ht="14.25" customHeight="1" x14ac:dyDescent="0.25">
      <c r="A203" s="345" t="s">
        <v>82</v>
      </c>
      <c r="B203" s="345"/>
      <c r="C203" s="345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6">
        <v>4620207491096</v>
      </c>
      <c r="E204" s="346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87</v>
      </c>
      <c r="L204" s="37" t="s">
        <v>113</v>
      </c>
      <c r="M204" s="38" t="s">
        <v>86</v>
      </c>
      <c r="N204" s="38"/>
      <c r="O204" s="37">
        <v>180</v>
      </c>
      <c r="P204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48"/>
      <c r="R204" s="348"/>
      <c r="S204" s="348"/>
      <c r="T204" s="34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114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9"/>
      <c r="P205" s="355" t="s">
        <v>40</v>
      </c>
      <c r="Q205" s="356"/>
      <c r="R205" s="356"/>
      <c r="S205" s="356"/>
      <c r="T205" s="356"/>
      <c r="U205" s="356"/>
      <c r="V205" s="357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9"/>
      <c r="P206" s="355" t="s">
        <v>40</v>
      </c>
      <c r="Q206" s="356"/>
      <c r="R206" s="356"/>
      <c r="S206" s="356"/>
      <c r="T206" s="356"/>
      <c r="U206" s="356"/>
      <c r="V206" s="357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4" t="s">
        <v>313</v>
      </c>
      <c r="B207" s="344"/>
      <c r="C207" s="344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  <c r="AA207" s="65"/>
      <c r="AB207" s="65"/>
      <c r="AC207" s="82"/>
    </row>
    <row r="208" spans="1:68" ht="14.25" customHeight="1" x14ac:dyDescent="0.25">
      <c r="A208" s="345" t="s">
        <v>82</v>
      </c>
      <c r="B208" s="345"/>
      <c r="C208" s="345"/>
      <c r="D208" s="345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  <c r="Z208" s="345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346">
        <v>4620207490709</v>
      </c>
      <c r="E209" s="346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87</v>
      </c>
      <c r="L209" s="37" t="s">
        <v>88</v>
      </c>
      <c r="M209" s="38" t="s">
        <v>86</v>
      </c>
      <c r="N209" s="38"/>
      <c r="O209" s="37">
        <v>180</v>
      </c>
      <c r="P209" s="42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48"/>
      <c r="R209" s="348"/>
      <c r="S209" s="348"/>
      <c r="T209" s="34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89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9"/>
      <c r="P210" s="355" t="s">
        <v>40</v>
      </c>
      <c r="Q210" s="356"/>
      <c r="R210" s="356"/>
      <c r="S210" s="356"/>
      <c r="T210" s="356"/>
      <c r="U210" s="356"/>
      <c r="V210" s="357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9"/>
      <c r="P211" s="355" t="s">
        <v>40</v>
      </c>
      <c r="Q211" s="356"/>
      <c r="R211" s="356"/>
      <c r="S211" s="356"/>
      <c r="T211" s="356"/>
      <c r="U211" s="356"/>
      <c r="V211" s="357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5" t="s">
        <v>151</v>
      </c>
      <c r="B212" s="345"/>
      <c r="C212" s="345"/>
      <c r="D212" s="345"/>
      <c r="E212" s="345"/>
      <c r="F212" s="345"/>
      <c r="G212" s="345"/>
      <c r="H212" s="345"/>
      <c r="I212" s="345"/>
      <c r="J212" s="345"/>
      <c r="K212" s="345"/>
      <c r="L212" s="345"/>
      <c r="M212" s="345"/>
      <c r="N212" s="345"/>
      <c r="O212" s="345"/>
      <c r="P212" s="345"/>
      <c r="Q212" s="345"/>
      <c r="R212" s="345"/>
      <c r="S212" s="345"/>
      <c r="T212" s="345"/>
      <c r="U212" s="345"/>
      <c r="V212" s="345"/>
      <c r="W212" s="345"/>
      <c r="X212" s="345"/>
      <c r="Y212" s="345"/>
      <c r="Z212" s="345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346">
        <v>4620207490549</v>
      </c>
      <c r="E213" s="346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112</v>
      </c>
      <c r="L213" s="37" t="s">
        <v>88</v>
      </c>
      <c r="M213" s="38" t="s">
        <v>86</v>
      </c>
      <c r="N213" s="38"/>
      <c r="O213" s="37">
        <v>180</v>
      </c>
      <c r="P213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48"/>
      <c r="R213" s="348"/>
      <c r="S213" s="348"/>
      <c r="T213" s="34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89</v>
      </c>
      <c r="AK213" s="87">
        <v>1</v>
      </c>
      <c r="BB213" s="232" t="s">
        <v>111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346">
        <v>4620207490501</v>
      </c>
      <c r="E214" s="346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88</v>
      </c>
      <c r="M214" s="38" t="s">
        <v>86</v>
      </c>
      <c r="N214" s="38"/>
      <c r="O214" s="37">
        <v>180</v>
      </c>
      <c r="P214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48"/>
      <c r="R214" s="348"/>
      <c r="S214" s="348"/>
      <c r="T214" s="349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89</v>
      </c>
      <c r="AK214" s="87">
        <v>1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9"/>
      <c r="P215" s="355" t="s">
        <v>40</v>
      </c>
      <c r="Q215" s="356"/>
      <c r="R215" s="356"/>
      <c r="S215" s="356"/>
      <c r="T215" s="356"/>
      <c r="U215" s="356"/>
      <c r="V215" s="357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9"/>
      <c r="P216" s="355" t="s">
        <v>40</v>
      </c>
      <c r="Q216" s="356"/>
      <c r="R216" s="356"/>
      <c r="S216" s="356"/>
      <c r="T216" s="356"/>
      <c r="U216" s="356"/>
      <c r="V216" s="357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3" t="s">
        <v>322</v>
      </c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54"/>
      <c r="AB217" s="54"/>
      <c r="AC217" s="54"/>
    </row>
    <row r="218" spans="1:68" ht="16.5" customHeight="1" x14ac:dyDescent="0.25">
      <c r="A218" s="344" t="s">
        <v>323</v>
      </c>
      <c r="B218" s="344"/>
      <c r="C218" s="344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65"/>
      <c r="AB218" s="65"/>
      <c r="AC218" s="82"/>
    </row>
    <row r="219" spans="1:68" ht="14.25" customHeight="1" x14ac:dyDescent="0.25">
      <c r="A219" s="345" t="s">
        <v>82</v>
      </c>
      <c r="B219" s="345"/>
      <c r="C219" s="345"/>
      <c r="D219" s="345"/>
      <c r="E219" s="345"/>
      <c r="F219" s="345"/>
      <c r="G219" s="345"/>
      <c r="H219" s="345"/>
      <c r="I219" s="345"/>
      <c r="J219" s="345"/>
      <c r="K219" s="345"/>
      <c r="L219" s="345"/>
      <c r="M219" s="345"/>
      <c r="N219" s="345"/>
      <c r="O219" s="345"/>
      <c r="P219" s="345"/>
      <c r="Q219" s="345"/>
      <c r="R219" s="345"/>
      <c r="S219" s="345"/>
      <c r="T219" s="345"/>
      <c r="U219" s="345"/>
      <c r="V219" s="345"/>
      <c r="W219" s="345"/>
      <c r="X219" s="345"/>
      <c r="Y219" s="345"/>
      <c r="Z219" s="345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346">
        <v>4607111036162</v>
      </c>
      <c r="E220" s="346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87</v>
      </c>
      <c r="L220" s="37" t="s">
        <v>88</v>
      </c>
      <c r="M220" s="38" t="s">
        <v>86</v>
      </c>
      <c r="N220" s="38"/>
      <c r="O220" s="37">
        <v>90</v>
      </c>
      <c r="P220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48"/>
      <c r="R220" s="348"/>
      <c r="S220" s="348"/>
      <c r="T220" s="34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89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9"/>
      <c r="P221" s="355" t="s">
        <v>40</v>
      </c>
      <c r="Q221" s="356"/>
      <c r="R221" s="356"/>
      <c r="S221" s="356"/>
      <c r="T221" s="356"/>
      <c r="U221" s="356"/>
      <c r="V221" s="35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9"/>
      <c r="P222" s="355" t="s">
        <v>40</v>
      </c>
      <c r="Q222" s="356"/>
      <c r="R222" s="356"/>
      <c r="S222" s="356"/>
      <c r="T222" s="356"/>
      <c r="U222" s="356"/>
      <c r="V222" s="35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3" t="s">
        <v>327</v>
      </c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54"/>
      <c r="AB223" s="54"/>
      <c r="AC223" s="54"/>
    </row>
    <row r="224" spans="1:68" ht="16.5" customHeight="1" x14ac:dyDescent="0.25">
      <c r="A224" s="344" t="s">
        <v>328</v>
      </c>
      <c r="B224" s="344"/>
      <c r="C224" s="344"/>
      <c r="D224" s="344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65"/>
      <c r="AB224" s="65"/>
      <c r="AC224" s="82"/>
    </row>
    <row r="225" spans="1:68" ht="14.25" customHeight="1" x14ac:dyDescent="0.25">
      <c r="A225" s="345" t="s">
        <v>82</v>
      </c>
      <c r="B225" s="345"/>
      <c r="C225" s="345"/>
      <c r="D225" s="345"/>
      <c r="E225" s="345"/>
      <c r="F225" s="345"/>
      <c r="G225" s="345"/>
      <c r="H225" s="345"/>
      <c r="I225" s="345"/>
      <c r="J225" s="345"/>
      <c r="K225" s="345"/>
      <c r="L225" s="345"/>
      <c r="M225" s="345"/>
      <c r="N225" s="345"/>
      <c r="O225" s="345"/>
      <c r="P225" s="345"/>
      <c r="Q225" s="345"/>
      <c r="R225" s="345"/>
      <c r="S225" s="345"/>
      <c r="T225" s="345"/>
      <c r="U225" s="345"/>
      <c r="V225" s="345"/>
      <c r="W225" s="345"/>
      <c r="X225" s="345"/>
      <c r="Y225" s="345"/>
      <c r="Z225" s="345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346">
        <v>4607111035899</v>
      </c>
      <c r="E226" s="346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87</v>
      </c>
      <c r="L226" s="37" t="s">
        <v>88</v>
      </c>
      <c r="M226" s="38" t="s">
        <v>86</v>
      </c>
      <c r="N226" s="38"/>
      <c r="O226" s="37">
        <v>180</v>
      </c>
      <c r="P226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48"/>
      <c r="R226" s="348"/>
      <c r="S226" s="348"/>
      <c r="T226" s="34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89</v>
      </c>
      <c r="AK226" s="87">
        <v>1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9"/>
      <c r="P227" s="355" t="s">
        <v>40</v>
      </c>
      <c r="Q227" s="356"/>
      <c r="R227" s="356"/>
      <c r="S227" s="356"/>
      <c r="T227" s="356"/>
      <c r="U227" s="356"/>
      <c r="V227" s="357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9"/>
      <c r="P228" s="355" t="s">
        <v>40</v>
      </c>
      <c r="Q228" s="356"/>
      <c r="R228" s="356"/>
      <c r="S228" s="356"/>
      <c r="T228" s="356"/>
      <c r="U228" s="356"/>
      <c r="V228" s="357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3" t="s">
        <v>331</v>
      </c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54"/>
      <c r="AB229" s="54"/>
      <c r="AC229" s="54"/>
    </row>
    <row r="230" spans="1:68" ht="16.5" customHeight="1" x14ac:dyDescent="0.25">
      <c r="A230" s="344" t="s">
        <v>332</v>
      </c>
      <c r="B230" s="344"/>
      <c r="C230" s="344"/>
      <c r="D230" s="344"/>
      <c r="E230" s="344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  <c r="AA230" s="65"/>
      <c r="AB230" s="65"/>
      <c r="AC230" s="82"/>
    </row>
    <row r="231" spans="1:68" ht="14.25" customHeight="1" x14ac:dyDescent="0.25">
      <c r="A231" s="345" t="s">
        <v>333</v>
      </c>
      <c r="B231" s="345"/>
      <c r="C231" s="345"/>
      <c r="D231" s="345"/>
      <c r="E231" s="345"/>
      <c r="F231" s="345"/>
      <c r="G231" s="345"/>
      <c r="H231" s="345"/>
      <c r="I231" s="345"/>
      <c r="J231" s="345"/>
      <c r="K231" s="345"/>
      <c r="L231" s="345"/>
      <c r="M231" s="345"/>
      <c r="N231" s="345"/>
      <c r="O231" s="345"/>
      <c r="P231" s="345"/>
      <c r="Q231" s="345"/>
      <c r="R231" s="345"/>
      <c r="S231" s="345"/>
      <c r="T231" s="345"/>
      <c r="U231" s="345"/>
      <c r="V231" s="345"/>
      <c r="W231" s="345"/>
      <c r="X231" s="345"/>
      <c r="Y231" s="345"/>
      <c r="Z231" s="345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346">
        <v>4607111039774</v>
      </c>
      <c r="E232" s="34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112</v>
      </c>
      <c r="L232" s="37" t="s">
        <v>88</v>
      </c>
      <c r="M232" s="38" t="s">
        <v>86</v>
      </c>
      <c r="N232" s="38"/>
      <c r="O232" s="37">
        <v>180</v>
      </c>
      <c r="P232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48"/>
      <c r="R232" s="348"/>
      <c r="S232" s="348"/>
      <c r="T232" s="34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89</v>
      </c>
      <c r="AK232" s="87">
        <v>1</v>
      </c>
      <c r="BB232" s="240" t="s">
        <v>111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9"/>
      <c r="P233" s="355" t="s">
        <v>40</v>
      </c>
      <c r="Q233" s="356"/>
      <c r="R233" s="356"/>
      <c r="S233" s="356"/>
      <c r="T233" s="356"/>
      <c r="U233" s="356"/>
      <c r="V233" s="357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9"/>
      <c r="P234" s="355" t="s">
        <v>40</v>
      </c>
      <c r="Q234" s="356"/>
      <c r="R234" s="356"/>
      <c r="S234" s="356"/>
      <c r="T234" s="356"/>
      <c r="U234" s="356"/>
      <c r="V234" s="357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5" t="s">
        <v>151</v>
      </c>
      <c r="B235" s="345"/>
      <c r="C235" s="345"/>
      <c r="D235" s="345"/>
      <c r="E235" s="345"/>
      <c r="F235" s="345"/>
      <c r="G235" s="345"/>
      <c r="H235" s="345"/>
      <c r="I235" s="345"/>
      <c r="J235" s="345"/>
      <c r="K235" s="345"/>
      <c r="L235" s="345"/>
      <c r="M235" s="345"/>
      <c r="N235" s="345"/>
      <c r="O235" s="345"/>
      <c r="P235" s="345"/>
      <c r="Q235" s="345"/>
      <c r="R235" s="345"/>
      <c r="S235" s="345"/>
      <c r="T235" s="345"/>
      <c r="U235" s="345"/>
      <c r="V235" s="345"/>
      <c r="W235" s="345"/>
      <c r="X235" s="345"/>
      <c r="Y235" s="345"/>
      <c r="Z235" s="345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346">
        <v>4607111039361</v>
      </c>
      <c r="E236" s="34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112</v>
      </c>
      <c r="L236" s="37" t="s">
        <v>88</v>
      </c>
      <c r="M236" s="38" t="s">
        <v>86</v>
      </c>
      <c r="N236" s="38"/>
      <c r="O236" s="37">
        <v>180</v>
      </c>
      <c r="P236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48"/>
      <c r="R236" s="348"/>
      <c r="S236" s="348"/>
      <c r="T236" s="34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89</v>
      </c>
      <c r="AK236" s="87">
        <v>1</v>
      </c>
      <c r="BB236" s="242" t="s">
        <v>111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9"/>
      <c r="P237" s="355" t="s">
        <v>40</v>
      </c>
      <c r="Q237" s="356"/>
      <c r="R237" s="356"/>
      <c r="S237" s="356"/>
      <c r="T237" s="356"/>
      <c r="U237" s="356"/>
      <c r="V237" s="357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9"/>
      <c r="P238" s="355" t="s">
        <v>40</v>
      </c>
      <c r="Q238" s="356"/>
      <c r="R238" s="356"/>
      <c r="S238" s="356"/>
      <c r="T238" s="356"/>
      <c r="U238" s="356"/>
      <c r="V238" s="357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3" t="s">
        <v>339</v>
      </c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54"/>
      <c r="AB239" s="54"/>
      <c r="AC239" s="54"/>
    </row>
    <row r="240" spans="1:68" ht="16.5" customHeight="1" x14ac:dyDescent="0.25">
      <c r="A240" s="344" t="s">
        <v>339</v>
      </c>
      <c r="B240" s="344"/>
      <c r="C240" s="344"/>
      <c r="D240" s="344"/>
      <c r="E240" s="344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  <c r="AA240" s="65"/>
      <c r="AB240" s="65"/>
      <c r="AC240" s="82"/>
    </row>
    <row r="241" spans="1:68" ht="14.25" customHeight="1" x14ac:dyDescent="0.25">
      <c r="A241" s="345" t="s">
        <v>82</v>
      </c>
      <c r="B241" s="345"/>
      <c r="C241" s="345"/>
      <c r="D241" s="345"/>
      <c r="E241" s="345"/>
      <c r="F241" s="345"/>
      <c r="G241" s="345"/>
      <c r="H241" s="345"/>
      <c r="I241" s="345"/>
      <c r="J241" s="345"/>
      <c r="K241" s="345"/>
      <c r="L241" s="345"/>
      <c r="M241" s="345"/>
      <c r="N241" s="345"/>
      <c r="O241" s="345"/>
      <c r="P241" s="345"/>
      <c r="Q241" s="345"/>
      <c r="R241" s="345"/>
      <c r="S241" s="345"/>
      <c r="T241" s="345"/>
      <c r="U241" s="345"/>
      <c r="V241" s="345"/>
      <c r="W241" s="345"/>
      <c r="X241" s="345"/>
      <c r="Y241" s="345"/>
      <c r="Z241" s="345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346">
        <v>4640242181264</v>
      </c>
      <c r="E242" s="346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88</v>
      </c>
      <c r="M242" s="38" t="s">
        <v>86</v>
      </c>
      <c r="N242" s="38"/>
      <c r="O242" s="37">
        <v>180</v>
      </c>
      <c r="P242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48"/>
      <c r="R242" s="348"/>
      <c r="S242" s="348"/>
      <c r="T242" s="34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89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346">
        <v>4640242181325</v>
      </c>
      <c r="E243" s="346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113</v>
      </c>
      <c r="M243" s="38" t="s">
        <v>86</v>
      </c>
      <c r="N243" s="38"/>
      <c r="O243" s="37">
        <v>180</v>
      </c>
      <c r="P243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48"/>
      <c r="R243" s="348"/>
      <c r="S243" s="348"/>
      <c r="T243" s="34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114</v>
      </c>
      <c r="AK243" s="87">
        <v>12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9"/>
      <c r="P244" s="355" t="s">
        <v>40</v>
      </c>
      <c r="Q244" s="356"/>
      <c r="R244" s="356"/>
      <c r="S244" s="356"/>
      <c r="T244" s="356"/>
      <c r="U244" s="356"/>
      <c r="V244" s="357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9"/>
      <c r="P245" s="355" t="s">
        <v>40</v>
      </c>
      <c r="Q245" s="356"/>
      <c r="R245" s="356"/>
      <c r="S245" s="356"/>
      <c r="T245" s="356"/>
      <c r="U245" s="356"/>
      <c r="V245" s="357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5" t="s">
        <v>107</v>
      </c>
      <c r="B246" s="345"/>
      <c r="C246" s="345"/>
      <c r="D246" s="345"/>
      <c r="E246" s="345"/>
      <c r="F246" s="345"/>
      <c r="G246" s="345"/>
      <c r="H246" s="345"/>
      <c r="I246" s="345"/>
      <c r="J246" s="345"/>
      <c r="K246" s="345"/>
      <c r="L246" s="345"/>
      <c r="M246" s="345"/>
      <c r="N246" s="345"/>
      <c r="O246" s="345"/>
      <c r="P246" s="345"/>
      <c r="Q246" s="345"/>
      <c r="R246" s="345"/>
      <c r="S246" s="345"/>
      <c r="T246" s="345"/>
      <c r="U246" s="345"/>
      <c r="V246" s="345"/>
      <c r="W246" s="345"/>
      <c r="X246" s="345"/>
      <c r="Y246" s="345"/>
      <c r="Z246" s="34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346">
        <v>4640242180397</v>
      </c>
      <c r="E247" s="346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87</v>
      </c>
      <c r="L247" s="37" t="s">
        <v>113</v>
      </c>
      <c r="M247" s="38" t="s">
        <v>86</v>
      </c>
      <c r="N247" s="38"/>
      <c r="O247" s="37">
        <v>180</v>
      </c>
      <c r="P247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48"/>
      <c r="R247" s="348"/>
      <c r="S247" s="348"/>
      <c r="T247" s="34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114</v>
      </c>
      <c r="AK247" s="87">
        <v>12</v>
      </c>
      <c r="BB247" s="248" t="s">
        <v>111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9"/>
      <c r="P248" s="355" t="s">
        <v>40</v>
      </c>
      <c r="Q248" s="356"/>
      <c r="R248" s="356"/>
      <c r="S248" s="356"/>
      <c r="T248" s="356"/>
      <c r="U248" s="356"/>
      <c r="V248" s="35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9"/>
      <c r="P249" s="355" t="s">
        <v>40</v>
      </c>
      <c r="Q249" s="356"/>
      <c r="R249" s="356"/>
      <c r="S249" s="356"/>
      <c r="T249" s="356"/>
      <c r="U249" s="356"/>
      <c r="V249" s="35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customHeight="1" x14ac:dyDescent="0.25">
      <c r="A250" s="345" t="s">
        <v>145</v>
      </c>
      <c r="B250" s="345"/>
      <c r="C250" s="345"/>
      <c r="D250" s="345"/>
      <c r="E250" s="345"/>
      <c r="F250" s="345"/>
      <c r="G250" s="345"/>
      <c r="H250" s="345"/>
      <c r="I250" s="345"/>
      <c r="J250" s="345"/>
      <c r="K250" s="345"/>
      <c r="L250" s="345"/>
      <c r="M250" s="345"/>
      <c r="N250" s="345"/>
      <c r="O250" s="345"/>
      <c r="P250" s="345"/>
      <c r="Q250" s="345"/>
      <c r="R250" s="345"/>
      <c r="S250" s="345"/>
      <c r="T250" s="345"/>
      <c r="U250" s="345"/>
      <c r="V250" s="345"/>
      <c r="W250" s="345"/>
      <c r="X250" s="345"/>
      <c r="Y250" s="345"/>
      <c r="Z250" s="345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4301136051</v>
      </c>
      <c r="D251" s="346">
        <v>4640242180304</v>
      </c>
      <c r="E251" s="346"/>
      <c r="F251" s="62">
        <v>2.7</v>
      </c>
      <c r="G251" s="37">
        <v>1</v>
      </c>
      <c r="H251" s="62">
        <v>2.7</v>
      </c>
      <c r="I251" s="62">
        <v>2.8906000000000001</v>
      </c>
      <c r="J251" s="37">
        <v>126</v>
      </c>
      <c r="K251" s="37" t="s">
        <v>112</v>
      </c>
      <c r="L251" s="37" t="s">
        <v>113</v>
      </c>
      <c r="M251" s="38" t="s">
        <v>86</v>
      </c>
      <c r="N251" s="38"/>
      <c r="O251" s="37">
        <v>180</v>
      </c>
      <c r="P251" s="43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348"/>
      <c r="R251" s="348"/>
      <c r="S251" s="348"/>
      <c r="T251" s="349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49" t="s">
        <v>350</v>
      </c>
      <c r="AG251" s="81"/>
      <c r="AJ251" s="87" t="s">
        <v>114</v>
      </c>
      <c r="AK251" s="87">
        <v>14</v>
      </c>
      <c r="BB251" s="250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4301136053</v>
      </c>
      <c r="D252" s="346">
        <v>4640242180236</v>
      </c>
      <c r="E252" s="346"/>
      <c r="F252" s="62">
        <v>5</v>
      </c>
      <c r="G252" s="37">
        <v>1</v>
      </c>
      <c r="H252" s="62">
        <v>5</v>
      </c>
      <c r="I252" s="62">
        <v>5.2350000000000003</v>
      </c>
      <c r="J252" s="37">
        <v>84</v>
      </c>
      <c r="K252" s="37" t="s">
        <v>87</v>
      </c>
      <c r="L252" s="37" t="s">
        <v>113</v>
      </c>
      <c r="M252" s="38" t="s">
        <v>86</v>
      </c>
      <c r="N252" s="38"/>
      <c r="O252" s="37">
        <v>180</v>
      </c>
      <c r="P252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348"/>
      <c r="R252" s="348"/>
      <c r="S252" s="348"/>
      <c r="T252" s="34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1" t="s">
        <v>350</v>
      </c>
      <c r="AG252" s="81"/>
      <c r="AJ252" s="87" t="s">
        <v>114</v>
      </c>
      <c r="AK252" s="87">
        <v>12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4301136052</v>
      </c>
      <c r="D253" s="346">
        <v>4640242180410</v>
      </c>
      <c r="E253" s="346"/>
      <c r="F253" s="62">
        <v>2.2400000000000002</v>
      </c>
      <c r="G253" s="37">
        <v>1</v>
      </c>
      <c r="H253" s="62">
        <v>2.2400000000000002</v>
      </c>
      <c r="I253" s="62">
        <v>2.4319999999999999</v>
      </c>
      <c r="J253" s="37">
        <v>126</v>
      </c>
      <c r="K253" s="37" t="s">
        <v>112</v>
      </c>
      <c r="L253" s="37" t="s">
        <v>88</v>
      </c>
      <c r="M253" s="38" t="s">
        <v>86</v>
      </c>
      <c r="N253" s="38"/>
      <c r="O253" s="37">
        <v>180</v>
      </c>
      <c r="P253" s="43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348"/>
      <c r="R253" s="348"/>
      <c r="S253" s="348"/>
      <c r="T253" s="34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350</v>
      </c>
      <c r="AG253" s="81"/>
      <c r="AJ253" s="87" t="s">
        <v>89</v>
      </c>
      <c r="AK253" s="87">
        <v>1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9"/>
      <c r="P254" s="355" t="s">
        <v>40</v>
      </c>
      <c r="Q254" s="356"/>
      <c r="R254" s="356"/>
      <c r="S254" s="356"/>
      <c r="T254" s="356"/>
      <c r="U254" s="356"/>
      <c r="V254" s="357"/>
      <c r="W254" s="42" t="s">
        <v>39</v>
      </c>
      <c r="X254" s="43">
        <f>IFERROR(SUM(X251:X253),"0")</f>
        <v>0</v>
      </c>
      <c r="Y254" s="43">
        <f>IFERROR(SUM(Y251:Y253),"0")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9"/>
      <c r="P255" s="355" t="s">
        <v>40</v>
      </c>
      <c r="Q255" s="356"/>
      <c r="R255" s="356"/>
      <c r="S255" s="356"/>
      <c r="T255" s="356"/>
      <c r="U255" s="356"/>
      <c r="V255" s="357"/>
      <c r="W255" s="42" t="s">
        <v>0</v>
      </c>
      <c r="X255" s="43">
        <f>IFERROR(SUMPRODUCT(X251:X253*H251:H253),"0")</f>
        <v>0</v>
      </c>
      <c r="Y255" s="43">
        <f>IFERROR(SUMPRODUCT(Y251:Y253*H251:H253),"0")</f>
        <v>0</v>
      </c>
      <c r="Z255" s="42"/>
      <c r="AA255" s="67"/>
      <c r="AB255" s="67"/>
      <c r="AC255" s="67"/>
    </row>
    <row r="256" spans="1:68" ht="14.25" customHeight="1" x14ac:dyDescent="0.25">
      <c r="A256" s="345" t="s">
        <v>151</v>
      </c>
      <c r="B256" s="345"/>
      <c r="C256" s="345"/>
      <c r="D256" s="345"/>
      <c r="E256" s="345"/>
      <c r="F256" s="345"/>
      <c r="G256" s="345"/>
      <c r="H256" s="345"/>
      <c r="I256" s="345"/>
      <c r="J256" s="345"/>
      <c r="K256" s="345"/>
      <c r="L256" s="345"/>
      <c r="M256" s="345"/>
      <c r="N256" s="345"/>
      <c r="O256" s="345"/>
      <c r="P256" s="345"/>
      <c r="Q256" s="345"/>
      <c r="R256" s="345"/>
      <c r="S256" s="345"/>
      <c r="T256" s="345"/>
      <c r="U256" s="345"/>
      <c r="V256" s="345"/>
      <c r="W256" s="345"/>
      <c r="X256" s="345"/>
      <c r="Y256" s="345"/>
      <c r="Z256" s="345"/>
      <c r="AA256" s="66"/>
      <c r="AB256" s="66"/>
      <c r="AC256" s="83"/>
    </row>
    <row r="257" spans="1:68" ht="37.5" customHeight="1" x14ac:dyDescent="0.25">
      <c r="A257" s="63" t="s">
        <v>355</v>
      </c>
      <c r="B257" s="63" t="s">
        <v>356</v>
      </c>
      <c r="C257" s="36">
        <v>4301135504</v>
      </c>
      <c r="D257" s="346">
        <v>4640242181554</v>
      </c>
      <c r="E257" s="346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88</v>
      </c>
      <c r="M257" s="38" t="s">
        <v>86</v>
      </c>
      <c r="N257" s="38"/>
      <c r="O257" s="37">
        <v>180</v>
      </c>
      <c r="P257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348"/>
      <c r="R257" s="348"/>
      <c r="S257" s="348"/>
      <c r="T257" s="34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ref="Y257:Y266" si="18"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357</v>
      </c>
      <c r="AG257" s="81"/>
      <c r="AJ257" s="87" t="s">
        <v>89</v>
      </c>
      <c r="AK257" s="87">
        <v>1</v>
      </c>
      <c r="BB257" s="256" t="s">
        <v>111</v>
      </c>
      <c r="BM257" s="81">
        <f t="shared" ref="BM257:BM266" si="19">IFERROR(X257*I257,"0")</f>
        <v>0</v>
      </c>
      <c r="BN257" s="81">
        <f t="shared" ref="BN257:BN266" si="20">IFERROR(Y257*I257,"0")</f>
        <v>0</v>
      </c>
      <c r="BO257" s="81">
        <f t="shared" ref="BO257:BO266" si="21">IFERROR(X257/J257,"0")</f>
        <v>0</v>
      </c>
      <c r="BP257" s="81">
        <f t="shared" ref="BP257:BP266" si="22"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4301135518</v>
      </c>
      <c r="D258" s="346">
        <v>4640242181561</v>
      </c>
      <c r="E258" s="346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348"/>
      <c r="R258" s="348"/>
      <c r="S258" s="348"/>
      <c r="T258" s="349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114</v>
      </c>
      <c r="AK258" s="87">
        <v>14</v>
      </c>
      <c r="BB258" s="258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4301135374</v>
      </c>
      <c r="D259" s="346">
        <v>4640242181424</v>
      </c>
      <c r="E259" s="346"/>
      <c r="F259" s="62">
        <v>5.5</v>
      </c>
      <c r="G259" s="37">
        <v>1</v>
      </c>
      <c r="H259" s="62">
        <v>5.5</v>
      </c>
      <c r="I259" s="62">
        <v>5.7350000000000003</v>
      </c>
      <c r="J259" s="37">
        <v>84</v>
      </c>
      <c r="K259" s="37" t="s">
        <v>87</v>
      </c>
      <c r="L259" s="37" t="s">
        <v>113</v>
      </c>
      <c r="M259" s="38" t="s">
        <v>86</v>
      </c>
      <c r="N259" s="38"/>
      <c r="O259" s="37">
        <v>180</v>
      </c>
      <c r="P259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348"/>
      <c r="R259" s="348"/>
      <c r="S259" s="348"/>
      <c r="T259" s="34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357</v>
      </c>
      <c r="AG259" s="81"/>
      <c r="AJ259" s="87" t="s">
        <v>114</v>
      </c>
      <c r="AK259" s="87">
        <v>12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4301135405</v>
      </c>
      <c r="D260" s="346">
        <v>4640242181523</v>
      </c>
      <c r="E260" s="346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348"/>
      <c r="R260" s="348"/>
      <c r="S260" s="348"/>
      <c r="T260" s="34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ref="Z260:Z265" si="23">IFERROR(IF(X260="","",X260*0.00936),"")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4301135375</v>
      </c>
      <c r="D261" s="346">
        <v>4640242181486</v>
      </c>
      <c r="E261" s="346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233</v>
      </c>
      <c r="M261" s="38" t="s">
        <v>86</v>
      </c>
      <c r="N261" s="38"/>
      <c r="O261" s="37">
        <v>180</v>
      </c>
      <c r="P261" s="44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348"/>
      <c r="R261" s="348"/>
      <c r="S261" s="348"/>
      <c r="T261" s="34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3" t="s">
        <v>357</v>
      </c>
      <c r="AG261" s="81"/>
      <c r="AJ261" s="87" t="s">
        <v>234</v>
      </c>
      <c r="AK261" s="87">
        <v>126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37.5" customHeight="1" x14ac:dyDescent="0.25">
      <c r="A262" s="63" t="s">
        <v>367</v>
      </c>
      <c r="B262" s="63" t="s">
        <v>368</v>
      </c>
      <c r="C262" s="36">
        <v>4301135402</v>
      </c>
      <c r="D262" s="346">
        <v>4640242181493</v>
      </c>
      <c r="E262" s="346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348"/>
      <c r="R262" s="348"/>
      <c r="S262" s="348"/>
      <c r="T262" s="34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357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4301135403</v>
      </c>
      <c r="D263" s="346">
        <v>4640242181509</v>
      </c>
      <c r="E263" s="346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348"/>
      <c r="R263" s="348"/>
      <c r="S263" s="348"/>
      <c r="T263" s="34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357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371</v>
      </c>
      <c r="B264" s="63" t="s">
        <v>372</v>
      </c>
      <c r="C264" s="36">
        <v>4301135304</v>
      </c>
      <c r="D264" s="346">
        <v>4640242181240</v>
      </c>
      <c r="E264" s="346"/>
      <c r="F264" s="62">
        <v>0.3</v>
      </c>
      <c r="G264" s="37">
        <v>9</v>
      </c>
      <c r="H264" s="62">
        <v>2.7</v>
      </c>
      <c r="I264" s="62">
        <v>2.88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348"/>
      <c r="R264" s="348"/>
      <c r="S264" s="348"/>
      <c r="T264" s="34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357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4301135610</v>
      </c>
      <c r="D265" s="346">
        <v>4640242181318</v>
      </c>
      <c r="E265" s="346"/>
      <c r="F265" s="62">
        <v>0.3</v>
      </c>
      <c r="G265" s="37">
        <v>9</v>
      </c>
      <c r="H265" s="62">
        <v>2.7</v>
      </c>
      <c r="I265" s="62">
        <v>2.988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348"/>
      <c r="R265" s="348"/>
      <c r="S265" s="348"/>
      <c r="T265" s="34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4301135306</v>
      </c>
      <c r="D266" s="346">
        <v>4640242181387</v>
      </c>
      <c r="E266" s="346"/>
      <c r="F266" s="62">
        <v>0.3</v>
      </c>
      <c r="G266" s="37">
        <v>9</v>
      </c>
      <c r="H266" s="62">
        <v>2.7</v>
      </c>
      <c r="I266" s="62">
        <v>2.8450000000000002</v>
      </c>
      <c r="J266" s="37">
        <v>234</v>
      </c>
      <c r="K266" s="37" t="s">
        <v>163</v>
      </c>
      <c r="L266" s="37" t="s">
        <v>88</v>
      </c>
      <c r="M266" s="38" t="s">
        <v>86</v>
      </c>
      <c r="N266" s="38"/>
      <c r="O266" s="37">
        <v>180</v>
      </c>
      <c r="P266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348"/>
      <c r="R266" s="348"/>
      <c r="S266" s="348"/>
      <c r="T266" s="34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IFERROR(IF(X266="","",X266*0.00502),"")</f>
        <v>0</v>
      </c>
      <c r="AA266" s="68" t="s">
        <v>46</v>
      </c>
      <c r="AB266" s="69" t="s">
        <v>46</v>
      </c>
      <c r="AC266" s="273" t="s">
        <v>357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x14ac:dyDescent="0.2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9"/>
      <c r="P267" s="355" t="s">
        <v>40</v>
      </c>
      <c r="Q267" s="356"/>
      <c r="R267" s="356"/>
      <c r="S267" s="356"/>
      <c r="T267" s="356"/>
      <c r="U267" s="356"/>
      <c r="V267" s="357"/>
      <c r="W267" s="42" t="s">
        <v>39</v>
      </c>
      <c r="X267" s="43">
        <f>IFERROR(SUM(X257:X266),"0")</f>
        <v>0</v>
      </c>
      <c r="Y267" s="43">
        <f>IFERROR(SUM(Y257:Y266),"0")</f>
        <v>0</v>
      </c>
      <c r="Z267" s="43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9"/>
      <c r="P268" s="355" t="s">
        <v>40</v>
      </c>
      <c r="Q268" s="356"/>
      <c r="R268" s="356"/>
      <c r="S268" s="356"/>
      <c r="T268" s="356"/>
      <c r="U268" s="356"/>
      <c r="V268" s="357"/>
      <c r="W268" s="42" t="s">
        <v>0</v>
      </c>
      <c r="X268" s="43">
        <f>IFERROR(SUMPRODUCT(X257:X266*H257:H266),"0")</f>
        <v>0</v>
      </c>
      <c r="Y268" s="43">
        <f>IFERROR(SUMPRODUCT(Y257:Y266*H257:H266),"0")</f>
        <v>0</v>
      </c>
      <c r="Z268" s="42"/>
      <c r="AA268" s="67"/>
      <c r="AB268" s="67"/>
      <c r="AC268" s="67"/>
    </row>
    <row r="269" spans="1:68" ht="15" customHeight="1" x14ac:dyDescent="0.2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451"/>
      <c r="P269" s="448" t="s">
        <v>33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IFERROR(X29+X35+X42+X49+X57+X62+X66+X71+X77+X83+X88+X94+X104+X110+X121+X126+X130+X136+X142+X148+X153+X158+X163+X168+X175+X183+X187+X193+X201+X206+X211+X216+X222+X228+X234+X238+X245+X249+X255+X268,"0")</f>
        <v>0</v>
      </c>
      <c r="Y269" s="43">
        <f>IFERROR(Y29+Y35+Y42+Y49+Y57+Y62+Y66+Y71+Y77+Y83+Y88+Y94+Y104+Y110+Y121+Y126+Y130+Y136+Y142+Y148+Y153+Y158+Y163+Y168+Y175+Y183+Y187+Y193+Y201+Y206+Y211+Y216+Y222+Y228+Y234+Y238+Y245+Y249+Y255+Y268,"0")</f>
        <v>0</v>
      </c>
      <c r="Z269" s="42"/>
      <c r="AA269" s="67"/>
      <c r="AB269" s="67"/>
      <c r="AC269" s="67"/>
    </row>
    <row r="270" spans="1:68" x14ac:dyDescent="0.2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451"/>
      <c r="P270" s="448" t="s">
        <v>34</v>
      </c>
      <c r="Q270" s="449"/>
      <c r="R270" s="449"/>
      <c r="S270" s="449"/>
      <c r="T270" s="449"/>
      <c r="U270" s="449"/>
      <c r="V270" s="450"/>
      <c r="W270" s="42" t="s">
        <v>0</v>
      </c>
      <c r="X270" s="43">
        <f>IFERROR(SUM(BM22:BM266),"0")</f>
        <v>0</v>
      </c>
      <c r="Y270" s="43">
        <f>IFERROR(SUM(BN22:BN266),"0")</f>
        <v>0</v>
      </c>
      <c r="Z270" s="42"/>
      <c r="AA270" s="67"/>
      <c r="AB270" s="67"/>
      <c r="AC270" s="67"/>
    </row>
    <row r="271" spans="1:68" x14ac:dyDescent="0.2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451"/>
      <c r="P271" s="448" t="s">
        <v>35</v>
      </c>
      <c r="Q271" s="449"/>
      <c r="R271" s="449"/>
      <c r="S271" s="449"/>
      <c r="T271" s="449"/>
      <c r="U271" s="449"/>
      <c r="V271" s="450"/>
      <c r="W271" s="42" t="s">
        <v>20</v>
      </c>
      <c r="X271" s="44">
        <f>ROUNDUP(SUM(BO22:BO266),0)</f>
        <v>0</v>
      </c>
      <c r="Y271" s="44">
        <f>ROUNDUP(SUM(BP22:BP266),0)</f>
        <v>0</v>
      </c>
      <c r="Z271" s="42"/>
      <c r="AA271" s="67"/>
      <c r="AB271" s="67"/>
      <c r="AC271" s="67"/>
    </row>
    <row r="272" spans="1:68" x14ac:dyDescent="0.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451"/>
      <c r="P272" s="448" t="s">
        <v>36</v>
      </c>
      <c r="Q272" s="449"/>
      <c r="R272" s="449"/>
      <c r="S272" s="449"/>
      <c r="T272" s="449"/>
      <c r="U272" s="449"/>
      <c r="V272" s="450"/>
      <c r="W272" s="42" t="s">
        <v>0</v>
      </c>
      <c r="X272" s="43">
        <f>GrossWeightTotal+PalletQtyTotal*25</f>
        <v>0</v>
      </c>
      <c r="Y272" s="43">
        <f>GrossWeightTotalR+PalletQtyTotalR*25</f>
        <v>0</v>
      </c>
      <c r="Z272" s="42"/>
      <c r="AA272" s="67"/>
      <c r="AB272" s="67"/>
      <c r="AC272" s="67"/>
    </row>
    <row r="273" spans="1:32" x14ac:dyDescent="0.2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451"/>
      <c r="P273" s="448" t="s">
        <v>37</v>
      </c>
      <c r="Q273" s="449"/>
      <c r="R273" s="449"/>
      <c r="S273" s="449"/>
      <c r="T273" s="449"/>
      <c r="U273" s="449"/>
      <c r="V273" s="450"/>
      <c r="W273" s="42" t="s">
        <v>20</v>
      </c>
      <c r="X273" s="43">
        <f>IFERROR(X28+X34+X41+X48+X56+X61+X65+X70+X76+X82+X87+X93+X103+X109+X120+X125+X129+X135+X141+X147+X152+X157+X162+X167+X174+X182+X186+X192+X200+X205+X210+X215+X221+X227+X233+X237+X244+X248+X254+X267,"0")</f>
        <v>0</v>
      </c>
      <c r="Y273" s="43">
        <f>IFERROR(Y28+Y34+Y41+Y48+Y56+Y61+Y65+Y70+Y76+Y82+Y87+Y93+Y103+Y109+Y120+Y125+Y129+Y135+Y141+Y147+Y152+Y157+Y162+Y167+Y174+Y182+Y186+Y192+Y200+Y205+Y210+Y215+Y221+Y227+Y233+Y237+Y244+Y248+Y254+Y267,"0")</f>
        <v>0</v>
      </c>
      <c r="Z273" s="42"/>
      <c r="AA273" s="67"/>
      <c r="AB273" s="67"/>
      <c r="AC273" s="67"/>
    </row>
    <row r="274" spans="1:32" ht="14.25" x14ac:dyDescent="0.2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451"/>
      <c r="P274" s="448" t="s">
        <v>38</v>
      </c>
      <c r="Q274" s="449"/>
      <c r="R274" s="449"/>
      <c r="S274" s="449"/>
      <c r="T274" s="449"/>
      <c r="U274" s="449"/>
      <c r="V274" s="450"/>
      <c r="W274" s="45" t="s">
        <v>52</v>
      </c>
      <c r="X274" s="42"/>
      <c r="Y274" s="42"/>
      <c r="Z274" s="42">
        <f>IFERROR(Z28+Z34+Z41+Z48+Z56+Z61+Z65+Z70+Z76+Z82+Z87+Z93+Z103+Z109+Z120+Z125+Z129+Z135+Z141+Z147+Z152+Z157+Z162+Z167+Z174+Z182+Z186+Z192+Z200+Z205+Z210+Z215+Z221+Z227+Z233+Z237+Z244+Z248+Z254+Z267,"0")</f>
        <v>0</v>
      </c>
      <c r="AA274" s="67"/>
      <c r="AB274" s="67"/>
      <c r="AC274" s="67"/>
    </row>
    <row r="275" spans="1:32" ht="13.5" thickBot="1" x14ac:dyDescent="0.25"/>
    <row r="276" spans="1:32" ht="27" thickTop="1" thickBot="1" x14ac:dyDescent="0.25">
      <c r="A276" s="46" t="s">
        <v>9</v>
      </c>
      <c r="B276" s="447" t="s">
        <v>81</v>
      </c>
      <c r="C276" s="447" t="s">
        <v>81</v>
      </c>
      <c r="D276" s="447" t="s">
        <v>45</v>
      </c>
      <c r="E276" s="447" t="s">
        <v>45</v>
      </c>
      <c r="F276" s="447" t="s">
        <v>45</v>
      </c>
      <c r="G276" s="447" t="s">
        <v>45</v>
      </c>
      <c r="H276" s="447" t="s">
        <v>45</v>
      </c>
      <c r="I276" s="447" t="s">
        <v>45</v>
      </c>
      <c r="J276" s="447" t="s">
        <v>45</v>
      </c>
      <c r="K276" s="447" t="s">
        <v>45</v>
      </c>
      <c r="L276" s="447" t="s">
        <v>45</v>
      </c>
      <c r="M276" s="447" t="s">
        <v>45</v>
      </c>
      <c r="N276" s="452"/>
      <c r="O276" s="447" t="s">
        <v>45</v>
      </c>
      <c r="P276" s="447" t="s">
        <v>45</v>
      </c>
      <c r="Q276" s="447" t="s">
        <v>45</v>
      </c>
      <c r="R276" s="447" t="s">
        <v>45</v>
      </c>
      <c r="S276" s="447" t="s">
        <v>45</v>
      </c>
      <c r="T276" s="447" t="s">
        <v>45</v>
      </c>
      <c r="U276" s="447" t="s">
        <v>45</v>
      </c>
      <c r="V276" s="88" t="s">
        <v>263</v>
      </c>
      <c r="W276" s="88" t="s">
        <v>271</v>
      </c>
      <c r="X276" s="447" t="s">
        <v>290</v>
      </c>
      <c r="Y276" s="447" t="s">
        <v>290</v>
      </c>
      <c r="Z276" s="447" t="s">
        <v>290</v>
      </c>
      <c r="AA276" s="88" t="s">
        <v>322</v>
      </c>
      <c r="AB276" s="88" t="s">
        <v>327</v>
      </c>
      <c r="AC276" s="88" t="s">
        <v>331</v>
      </c>
      <c r="AD276" s="88" t="s">
        <v>339</v>
      </c>
      <c r="AF276" s="1"/>
    </row>
    <row r="277" spans="1:32" ht="14.25" customHeight="1" thickTop="1" x14ac:dyDescent="0.2">
      <c r="A277" s="453" t="s">
        <v>10</v>
      </c>
      <c r="B277" s="447" t="s">
        <v>81</v>
      </c>
      <c r="C277" s="447" t="s">
        <v>100</v>
      </c>
      <c r="D277" s="447" t="s">
        <v>106</v>
      </c>
      <c r="E277" s="447" t="s">
        <v>117</v>
      </c>
      <c r="F277" s="447" t="s">
        <v>127</v>
      </c>
      <c r="G277" s="447" t="s">
        <v>138</v>
      </c>
      <c r="H277" s="447" t="s">
        <v>159</v>
      </c>
      <c r="I277" s="447" t="s">
        <v>166</v>
      </c>
      <c r="J277" s="447" t="s">
        <v>170</v>
      </c>
      <c r="K277" s="447" t="s">
        <v>178</v>
      </c>
      <c r="L277" s="447" t="s">
        <v>193</v>
      </c>
      <c r="M277" s="447" t="s">
        <v>199</v>
      </c>
      <c r="N277" s="1"/>
      <c r="O277" s="447" t="s">
        <v>227</v>
      </c>
      <c r="P277" s="447" t="s">
        <v>235</v>
      </c>
      <c r="Q277" s="447" t="s">
        <v>242</v>
      </c>
      <c r="R277" s="447" t="s">
        <v>247</v>
      </c>
      <c r="S277" s="447" t="s">
        <v>251</v>
      </c>
      <c r="T277" s="447" t="s">
        <v>254</v>
      </c>
      <c r="U277" s="447" t="s">
        <v>259</v>
      </c>
      <c r="V277" s="447" t="s">
        <v>264</v>
      </c>
      <c r="W277" s="447" t="s">
        <v>272</v>
      </c>
      <c r="X277" s="447" t="s">
        <v>291</v>
      </c>
      <c r="Y277" s="447" t="s">
        <v>309</v>
      </c>
      <c r="Z277" s="447" t="s">
        <v>313</v>
      </c>
      <c r="AA277" s="447" t="s">
        <v>323</v>
      </c>
      <c r="AB277" s="447" t="s">
        <v>328</v>
      </c>
      <c r="AC277" s="447" t="s">
        <v>332</v>
      </c>
      <c r="AD277" s="447" t="s">
        <v>339</v>
      </c>
      <c r="AF277" s="1"/>
    </row>
    <row r="278" spans="1:32" ht="13.5" thickBot="1" x14ac:dyDescent="0.25">
      <c r="A278" s="454"/>
      <c r="B278" s="447"/>
      <c r="C278" s="447"/>
      <c r="D278" s="447"/>
      <c r="E278" s="447"/>
      <c r="F278" s="447"/>
      <c r="G278" s="447"/>
      <c r="H278" s="447"/>
      <c r="I278" s="447"/>
      <c r="J278" s="447"/>
      <c r="K278" s="447"/>
      <c r="L278" s="447"/>
      <c r="M278" s="447"/>
      <c r="N278" s="1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  <c r="AA278" s="447"/>
      <c r="AB278" s="447"/>
      <c r="AC278" s="447"/>
      <c r="AD278" s="447"/>
      <c r="AF278" s="1"/>
    </row>
    <row r="279" spans="1:32" ht="18" thickTop="1" thickBot="1" x14ac:dyDescent="0.25">
      <c r="A279" s="46" t="s">
        <v>13</v>
      </c>
      <c r="B279" s="52">
        <f>IFERROR(X22*H22,"0")+IFERROR(X23*H23,"0")+IFERROR(X24*H24,"0")+IFERROR(X25*H25,"0")+IFERROR(X26*H26,"0")+IFERROR(X27*H27,"0")</f>
        <v>0</v>
      </c>
      <c r="C279" s="52">
        <f>IFERROR(X32*H32,"0")+IFERROR(X33*H33,"0")</f>
        <v>0</v>
      </c>
      <c r="D279" s="52">
        <f>IFERROR(X39*H39,"0")+IFERROR(X40*H40,"0")</f>
        <v>0</v>
      </c>
      <c r="E279" s="52">
        <f>IFERROR(X45*H45,"0")+IFERROR(X46*H46,"0")+IFERROR(X47*H47,"0")</f>
        <v>0</v>
      </c>
      <c r="F279" s="52">
        <f>IFERROR(X52*H52,"0")+IFERROR(X53*H53,"0")+IFERROR(X54*H54,"0")+IFERROR(X55*H55,"0")</f>
        <v>0</v>
      </c>
      <c r="G279" s="52">
        <f>IFERROR(X60*H60,"0")+IFERROR(X64*H64,"0")+IFERROR(X68*H68,"0")+IFERROR(X69*H69,"0")+IFERROR(X73*H73,"0")+IFERROR(X74*H74,"0")+IFERROR(X75*H75,"0")</f>
        <v>0</v>
      </c>
      <c r="H279" s="52">
        <f>IFERROR(X80*H80,"0")+IFERROR(X81*H81,"0")</f>
        <v>0</v>
      </c>
      <c r="I279" s="52">
        <f>IFERROR(X86*H86,"0")</f>
        <v>0</v>
      </c>
      <c r="J279" s="52">
        <f>IFERROR(X91*H91,"0")+IFERROR(X92*H92,"0")</f>
        <v>0</v>
      </c>
      <c r="K279" s="52">
        <f>IFERROR(X97*H97,"0")+IFERROR(X98*H98,"0")+IFERROR(X99*H99,"0")+IFERROR(X100*H100,"0")+IFERROR(X101*H101,"0")+IFERROR(X102*H102,"0")</f>
        <v>0</v>
      </c>
      <c r="L279" s="52">
        <f>IFERROR(X107*H107,"0")+IFERROR(X108*H108,"0")</f>
        <v>0</v>
      </c>
      <c r="M279" s="52">
        <f>IFERROR(X113*H113,"0")+IFERROR(X114*H114,"0")+IFERROR(X115*H115,"0")+IFERROR(X116*H116,"0")+IFERROR(X117*H117,"0")+IFERROR(X118*H118,"0")+IFERROR(X119*H119,"0")+IFERROR(X123*H123,"0")+IFERROR(X124*H124,"0")+IFERROR(X128*H128,"0")</f>
        <v>0</v>
      </c>
      <c r="N279" s="1"/>
      <c r="O279" s="52">
        <f>IFERROR(X133*H133,"0")+IFERROR(X134*H134,"0")</f>
        <v>0</v>
      </c>
      <c r="P279" s="52">
        <f>IFERROR(X139*H139,"0")+IFERROR(X140*H140,"0")</f>
        <v>0</v>
      </c>
      <c r="Q279" s="52">
        <f>IFERROR(X145*H145,"0")+IFERROR(X146*H146,"0")</f>
        <v>0</v>
      </c>
      <c r="R279" s="52">
        <f>IFERROR(X151*H151,"0")</f>
        <v>0</v>
      </c>
      <c r="S279" s="52">
        <f>IFERROR(X156*H156,"0")</f>
        <v>0</v>
      </c>
      <c r="T279" s="52">
        <f>IFERROR(X161*H161,"0")</f>
        <v>0</v>
      </c>
      <c r="U279" s="52">
        <f>IFERROR(X166*H166,"0")</f>
        <v>0</v>
      </c>
      <c r="V279" s="52">
        <f>IFERROR(X172*H172,"0")+IFERROR(X173*H173,"0")</f>
        <v>0</v>
      </c>
      <c r="W279" s="52">
        <f>IFERROR(X179*H179,"0")+IFERROR(X180*H180,"0")+IFERROR(X181*H181,"0")+IFERROR(X185*H185,"0")</f>
        <v>0</v>
      </c>
      <c r="X279" s="52">
        <f>IFERROR(X191*H191,"0")+IFERROR(X195*H195,"0")+IFERROR(X196*H196,"0")+IFERROR(X197*H197,"0")+IFERROR(X198*H198,"0")+IFERROR(X199*H199,"0")</f>
        <v>0</v>
      </c>
      <c r="Y279" s="52">
        <f>IFERROR(X204*H204,"0")</f>
        <v>0</v>
      </c>
      <c r="Z279" s="52">
        <f>IFERROR(X209*H209,"0")+IFERROR(X213*H213,"0")+IFERROR(X214*H214,"0")</f>
        <v>0</v>
      </c>
      <c r="AA279" s="52">
        <f>IFERROR(X220*H220,"0")</f>
        <v>0</v>
      </c>
      <c r="AB279" s="52">
        <f>IFERROR(X226*H226,"0")</f>
        <v>0</v>
      </c>
      <c r="AC279" s="52">
        <f>IFERROR(X232*H232,"0")+IFERROR(X236*H236,"0")</f>
        <v>0</v>
      </c>
      <c r="AD279" s="52">
        <f>IFERROR(X242*H242,"0")+IFERROR(X243*H243,"0")+IFERROR(X247*H247,"0")+IFERROR(X251*H251,"0")+IFERROR(X252*H252,"0")+IFERROR(X253*H253,"0")+IFERROR(X257*H257,"0")+IFERROR(X258*H258,"0")+IFERROR(X259*H259,"0")+IFERROR(X260*H260,"0")+IFERROR(X261*H261,"0")+IFERROR(X262*H262,"0")+IFERROR(X263*H263,"0")+IFERROR(X264*H264,"0")+IFERROR(X265*H265,"0")+IFERROR(X266*H266,"0")</f>
        <v>0</v>
      </c>
      <c r="AF279" s="1"/>
    </row>
    <row r="280" spans="1:32" ht="13.5" thickTop="1" x14ac:dyDescent="0.2">
      <c r="C280" s="1"/>
    </row>
    <row r="281" spans="1:32" ht="19.5" customHeight="1" x14ac:dyDescent="0.2">
      <c r="A281" s="70" t="s">
        <v>62</v>
      </c>
      <c r="B281" s="70" t="s">
        <v>63</v>
      </c>
      <c r="C281" s="70" t="s">
        <v>65</v>
      </c>
    </row>
    <row r="282" spans="1:32" x14ac:dyDescent="0.2">
      <c r="A282" s="71">
        <f>SUMPRODUCT(--(BB:BB="ЗПФ"),--(W:W="кор"),H:H,Y:Y)+SUMPRODUCT(--(BB:BB="ЗПФ"),--(W:W="кг"),Y:Y)</f>
        <v>0</v>
      </c>
      <c r="B282" s="72">
        <f>SUMPRODUCT(--(BB:BB="ПГП"),--(W:W="кор"),H:H,Y:Y)+SUMPRODUCT(--(BB:BB="ПГП"),--(W:W="кг"),Y:Y)</f>
        <v>0</v>
      </c>
      <c r="C282" s="72">
        <f>SUMPRODUCT(--(BB:BB="КИЗ"),--(W:W="кор"),H:H,Y:Y)+SUMPRODUCT(--(BB:BB="КИЗ"),--(W:W="кг"),Y:Y)</f>
        <v>0</v>
      </c>
    </row>
  </sheetData>
  <sheetProtection algorithmName="SHA-512" hashValue="y/Ko5tpEkuPvTo/rbcPxEEuT7Yae2LhXZ50wiCJSL/78ogkdBTvk3kz0z9drF1ep8CM9dj7dVsb/kivvtPH4eQ==" saltValue="xGB0FYVgETbT1xX24i98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8">
    <mergeCell ref="Y277:Y278"/>
    <mergeCell ref="Z277:Z278"/>
    <mergeCell ref="AA277:AA278"/>
    <mergeCell ref="AB277:AB278"/>
    <mergeCell ref="AC277:AC278"/>
    <mergeCell ref="AD277:AD278"/>
    <mergeCell ref="X276:Z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W277:W278"/>
    <mergeCell ref="X277:X278"/>
    <mergeCell ref="P269:V269"/>
    <mergeCell ref="A269:O274"/>
    <mergeCell ref="P270:V270"/>
    <mergeCell ref="P271:V271"/>
    <mergeCell ref="P272:V272"/>
    <mergeCell ref="P273:V273"/>
    <mergeCell ref="P274:V274"/>
    <mergeCell ref="B276:C276"/>
    <mergeCell ref="D276:U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A246:Z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A239:Z239"/>
    <mergeCell ref="A240:Z240"/>
    <mergeCell ref="A241:Z241"/>
    <mergeCell ref="D242:E242"/>
    <mergeCell ref="P242:T242"/>
    <mergeCell ref="D243:E243"/>
    <mergeCell ref="P243:T243"/>
    <mergeCell ref="P244:V244"/>
    <mergeCell ref="A244:O245"/>
    <mergeCell ref="P245:V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A122:Z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:X266 X257 X253 X242 X236 X232 X226 X220 X213:X214 X209 X199 X197 X195 X185 X172 X145 X139 X128 X123 X117 X114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8:X260 X251:X252 X247 X243 X204 X198 X196 X191 X179:X181 X173 X166 X161 X156 X151 X146 X140 X133 X124 X118:X119 X115:X116 X113 X107:X108 X97:X102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1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kDsIQQHQrajCO6vd9j0LA4JTtU7P9l8j+BOsK7TV0p0kGfs/Svf45kMLc1A+DMwnfGgczO5onDqv1x1OdSH1ag==" saltValue="JeMfP1PHRzArA/Y/ZRNi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2026-01-12T06:32:00Z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