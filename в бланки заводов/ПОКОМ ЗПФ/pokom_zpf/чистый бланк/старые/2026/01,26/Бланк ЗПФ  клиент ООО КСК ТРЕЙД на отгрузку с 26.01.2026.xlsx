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144FCA5-3E20-49A1-828A-31CDEDD5E8C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заказа'!$B$187:$B$187</definedName>
    <definedName name="ProductId66">'Бланк заказа'!$B$191:$B$191</definedName>
    <definedName name="ProductId67">'Бланк заказа'!$B$197:$B$197</definedName>
    <definedName name="ProductId68">'Бланк заказа'!$B$201:$B$201</definedName>
    <definedName name="ProductId69">'Бланк заказа'!$B$202:$B$202</definedName>
    <definedName name="ProductId7">'Бланк заказа'!$B$32:$B$32</definedName>
    <definedName name="ProductId70">'Бланк заказа'!$B$203:$B$203</definedName>
    <definedName name="ProductId71">'Бланк заказа'!$B$204:$B$204</definedName>
    <definedName name="ProductId72">'Бланк заказа'!$B$205:$B$205</definedName>
    <definedName name="ProductId73">'Бланк заказа'!$B$210:$B$210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заказа'!$X$187:$X$187</definedName>
    <definedName name="SalesQty66">'Бланк заказа'!$X$191:$X$191</definedName>
    <definedName name="SalesQty67">'Бланк заказа'!$X$197:$X$197</definedName>
    <definedName name="SalesQty68">'Бланк заказа'!$X$201:$X$201</definedName>
    <definedName name="SalesQty69">'Бланк заказа'!$X$202:$X$202</definedName>
    <definedName name="SalesQty7">'Бланк заказа'!$X$32:$X$32</definedName>
    <definedName name="SalesQty70">'Бланк заказа'!$X$203:$X$203</definedName>
    <definedName name="SalesQty71">'Бланк заказа'!$X$204:$X$204</definedName>
    <definedName name="SalesQty72">'Бланк заказа'!$X$205:$X$205</definedName>
    <definedName name="SalesQty73">'Бланк заказа'!$X$210:$X$210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заказа'!$Y$187:$Y$187</definedName>
    <definedName name="SalesRoundBox66">'Бланк заказа'!$Y$191:$Y$191</definedName>
    <definedName name="SalesRoundBox67">'Бланк заказа'!$Y$197:$Y$197</definedName>
    <definedName name="SalesRoundBox68">'Бланк заказа'!$Y$201:$Y$201</definedName>
    <definedName name="SalesRoundBox69">'Бланк заказа'!$Y$202:$Y$202</definedName>
    <definedName name="SalesRoundBox7">'Бланк заказа'!$Y$32:$Y$32</definedName>
    <definedName name="SalesRoundBox70">'Бланк заказа'!$Y$203:$Y$203</definedName>
    <definedName name="SalesRoundBox71">'Бланк заказа'!$Y$204:$Y$204</definedName>
    <definedName name="SalesRoundBox72">'Бланк заказа'!$Y$205:$Y$205</definedName>
    <definedName name="SalesRoundBox73">'Бланк заказа'!$Y$210:$Y$210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заказа'!$W$187:$W$187</definedName>
    <definedName name="UnitOfMeasure66">'Бланк заказа'!$W$191:$W$191</definedName>
    <definedName name="UnitOfMeasure67">'Бланк заказа'!$W$197:$W$197</definedName>
    <definedName name="UnitOfMeasure68">'Бланк заказа'!$W$201:$W$201</definedName>
    <definedName name="UnitOfMeasure69">'Бланк заказа'!$W$202:$W$202</definedName>
    <definedName name="UnitOfMeasure7">'Бланк заказа'!$W$32:$W$32</definedName>
    <definedName name="UnitOfMeasure70">'Бланк заказа'!$W$203:$W$203</definedName>
    <definedName name="UnitOfMeasure71">'Бланк заказа'!$W$204:$W$204</definedName>
    <definedName name="UnitOfMeasure72">'Бланк заказа'!$W$205:$W$205</definedName>
    <definedName name="UnitOfMeasure73">'Бланк заказа'!$W$210:$W$210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62913"/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BP268" i="2" s="1"/>
  <c r="P268" i="2"/>
  <c r="BP267" i="2"/>
  <c r="BO267" i="2"/>
  <c r="BN267" i="2"/>
  <c r="BM267" i="2"/>
  <c r="Z267" i="2"/>
  <c r="Y267" i="2"/>
  <c r="P267" i="2"/>
  <c r="BO266" i="2"/>
  <c r="BM266" i="2"/>
  <c r="Z266" i="2"/>
  <c r="Y266" i="2"/>
  <c r="BN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N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P261" i="2"/>
  <c r="BO261" i="2"/>
  <c r="BN261" i="2"/>
  <c r="BM261" i="2"/>
  <c r="Z261" i="2"/>
  <c r="Y261" i="2"/>
  <c r="P261" i="2"/>
  <c r="BO260" i="2"/>
  <c r="BM260" i="2"/>
  <c r="Z260" i="2"/>
  <c r="Y260" i="2"/>
  <c r="BP260" i="2" s="1"/>
  <c r="P260" i="2"/>
  <c r="BO259" i="2"/>
  <c r="BM259" i="2"/>
  <c r="Z259" i="2"/>
  <c r="Y259" i="2"/>
  <c r="BN259" i="2" s="1"/>
  <c r="P259" i="2"/>
  <c r="X257" i="2"/>
  <c r="X256" i="2"/>
  <c r="BO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BP253" i="2"/>
  <c r="BO253" i="2"/>
  <c r="BN253" i="2"/>
  <c r="BM253" i="2"/>
  <c r="Z253" i="2"/>
  <c r="Y253" i="2"/>
  <c r="P253" i="2"/>
  <c r="X251" i="2"/>
  <c r="Y250" i="2"/>
  <c r="X250" i="2"/>
  <c r="BP249" i="2"/>
  <c r="BO249" i="2"/>
  <c r="BN249" i="2"/>
  <c r="BM249" i="2"/>
  <c r="Z249" i="2"/>
  <c r="Z250" i="2" s="1"/>
  <c r="Y249" i="2"/>
  <c r="Y251" i="2" s="1"/>
  <c r="P249" i="2"/>
  <c r="X247" i="2"/>
  <c r="X246" i="2"/>
  <c r="BO245" i="2"/>
  <c r="BM245" i="2"/>
  <c r="Z245" i="2"/>
  <c r="Y245" i="2"/>
  <c r="BP245" i="2" s="1"/>
  <c r="P245" i="2"/>
  <c r="BO244" i="2"/>
  <c r="BM244" i="2"/>
  <c r="Z244" i="2"/>
  <c r="Z246" i="2" s="1"/>
  <c r="Y244" i="2"/>
  <c r="BP244" i="2" s="1"/>
  <c r="P244" i="2"/>
  <c r="X240" i="2"/>
  <c r="X239" i="2"/>
  <c r="BO238" i="2"/>
  <c r="BM238" i="2"/>
  <c r="Z238" i="2"/>
  <c r="Z239" i="2" s="1"/>
  <c r="Y238" i="2"/>
  <c r="Y239" i="2" s="1"/>
  <c r="P238" i="2"/>
  <c r="X236" i="2"/>
  <c r="Z235" i="2"/>
  <c r="X235" i="2"/>
  <c r="BO234" i="2"/>
  <c r="BM234" i="2"/>
  <c r="Z234" i="2"/>
  <c r="Y234" i="2"/>
  <c r="Y235" i="2" s="1"/>
  <c r="P234" i="2"/>
  <c r="X230" i="2"/>
  <c r="Z229" i="2"/>
  <c r="X229" i="2"/>
  <c r="BO228" i="2"/>
  <c r="BM228" i="2"/>
  <c r="Z228" i="2"/>
  <c r="Y228" i="2"/>
  <c r="Y229" i="2" s="1"/>
  <c r="P228" i="2"/>
  <c r="X224" i="2"/>
  <c r="X223" i="2"/>
  <c r="BO222" i="2"/>
  <c r="BM222" i="2"/>
  <c r="Z222" i="2"/>
  <c r="Z223" i="2" s="1"/>
  <c r="Y222" i="2"/>
  <c r="Y223" i="2" s="1"/>
  <c r="P222" i="2"/>
  <c r="X218" i="2"/>
  <c r="X217" i="2"/>
  <c r="BO216" i="2"/>
  <c r="BM216" i="2"/>
  <c r="Z216" i="2"/>
  <c r="Y216" i="2"/>
  <c r="BN216" i="2" s="1"/>
  <c r="P216" i="2"/>
  <c r="BP215" i="2"/>
  <c r="BO215" i="2"/>
  <c r="BN215" i="2"/>
  <c r="BM215" i="2"/>
  <c r="Z215" i="2"/>
  <c r="Z217" i="2" s="1"/>
  <c r="Y215" i="2"/>
  <c r="P215" i="2"/>
  <c r="X212" i="2"/>
  <c r="X211" i="2"/>
  <c r="BO210" i="2"/>
  <c r="BM210" i="2"/>
  <c r="Z210" i="2"/>
  <c r="Z211" i="2" s="1"/>
  <c r="Y210" i="2"/>
  <c r="Y211" i="2" s="1"/>
  <c r="P210" i="2"/>
  <c r="X207" i="2"/>
  <c r="X206" i="2"/>
  <c r="BO205" i="2"/>
  <c r="BM205" i="2"/>
  <c r="Z205" i="2"/>
  <c r="Y205" i="2"/>
  <c r="BN205" i="2" s="1"/>
  <c r="P205" i="2"/>
  <c r="BO204" i="2"/>
  <c r="BM204" i="2"/>
  <c r="Z204" i="2"/>
  <c r="Y204" i="2"/>
  <c r="BP204" i="2" s="1"/>
  <c r="P204" i="2"/>
  <c r="BO203" i="2"/>
  <c r="BM203" i="2"/>
  <c r="Z203" i="2"/>
  <c r="Y203" i="2"/>
  <c r="P203" i="2"/>
  <c r="BO202" i="2"/>
  <c r="BN202" i="2"/>
  <c r="BM202" i="2"/>
  <c r="Z202" i="2"/>
  <c r="Y202" i="2"/>
  <c r="BP202" i="2" s="1"/>
  <c r="P202" i="2"/>
  <c r="BO201" i="2"/>
  <c r="BM201" i="2"/>
  <c r="Z201" i="2"/>
  <c r="Y201" i="2"/>
  <c r="P201" i="2"/>
  <c r="X199" i="2"/>
  <c r="Z198" i="2"/>
  <c r="X198" i="2"/>
  <c r="BO197" i="2"/>
  <c r="BM197" i="2"/>
  <c r="Z197" i="2"/>
  <c r="Y197" i="2"/>
  <c r="P197" i="2"/>
  <c r="X193" i="2"/>
  <c r="Z192" i="2"/>
  <c r="X192" i="2"/>
  <c r="BO191" i="2"/>
  <c r="BM191" i="2"/>
  <c r="Z191" i="2"/>
  <c r="Y191" i="2"/>
  <c r="Y193" i="2" s="1"/>
  <c r="X189" i="2"/>
  <c r="X188" i="2"/>
  <c r="BO187" i="2"/>
  <c r="BM187" i="2"/>
  <c r="Z187" i="2"/>
  <c r="Y187" i="2"/>
  <c r="P187" i="2"/>
  <c r="BP186" i="2"/>
  <c r="BO186" i="2"/>
  <c r="BN186" i="2"/>
  <c r="BM186" i="2"/>
  <c r="Z186" i="2"/>
  <c r="Z188" i="2" s="1"/>
  <c r="Y186" i="2"/>
  <c r="P186" i="2"/>
  <c r="BO185" i="2"/>
  <c r="BM185" i="2"/>
  <c r="Z185" i="2"/>
  <c r="Y185" i="2"/>
  <c r="BN185" i="2" s="1"/>
  <c r="P185" i="2"/>
  <c r="BO184" i="2"/>
  <c r="BM184" i="2"/>
  <c r="Z184" i="2"/>
  <c r="Y184" i="2"/>
  <c r="P184" i="2"/>
  <c r="X180" i="2"/>
  <c r="X179" i="2"/>
  <c r="BO178" i="2"/>
  <c r="BM178" i="2"/>
  <c r="Z178" i="2"/>
  <c r="Y178" i="2"/>
  <c r="BP178" i="2" s="1"/>
  <c r="P178" i="2"/>
  <c r="BO177" i="2"/>
  <c r="BM177" i="2"/>
  <c r="Z177" i="2"/>
  <c r="Z179" i="2" s="1"/>
  <c r="Y177" i="2"/>
  <c r="BN177" i="2" s="1"/>
  <c r="P177" i="2"/>
  <c r="X175" i="2"/>
  <c r="X174" i="2"/>
  <c r="BO173" i="2"/>
  <c r="BM173" i="2"/>
  <c r="Z173" i="2"/>
  <c r="Y173" i="2"/>
  <c r="BP173" i="2" s="1"/>
  <c r="P173" i="2"/>
  <c r="BO172" i="2"/>
  <c r="BM172" i="2"/>
  <c r="Z172" i="2"/>
  <c r="Z174" i="2" s="1"/>
  <c r="Y172" i="2"/>
  <c r="BN172" i="2" s="1"/>
  <c r="P172" i="2"/>
  <c r="X168" i="2"/>
  <c r="X167" i="2"/>
  <c r="BO166" i="2"/>
  <c r="BM166" i="2"/>
  <c r="Z166" i="2"/>
  <c r="Z167" i="2" s="1"/>
  <c r="Y166" i="2"/>
  <c r="Y168" i="2" s="1"/>
  <c r="P166" i="2"/>
  <c r="Y163" i="2"/>
  <c r="X163" i="2"/>
  <c r="Y162" i="2"/>
  <c r="X162" i="2"/>
  <c r="BP161" i="2"/>
  <c r="BO161" i="2"/>
  <c r="BN161" i="2"/>
  <c r="BM161" i="2"/>
  <c r="Z161" i="2"/>
  <c r="Z162" i="2" s="1"/>
  <c r="Y161" i="2"/>
  <c r="P161" i="2"/>
  <c r="X158" i="2"/>
  <c r="X157" i="2"/>
  <c r="BO156" i="2"/>
  <c r="BM156" i="2"/>
  <c r="Z156" i="2"/>
  <c r="Z157" i="2" s="1"/>
  <c r="Y156" i="2"/>
  <c r="BN156" i="2" s="1"/>
  <c r="P156" i="2"/>
  <c r="X153" i="2"/>
  <c r="X152" i="2"/>
  <c r="BO151" i="2"/>
  <c r="BM151" i="2"/>
  <c r="Z151" i="2"/>
  <c r="Z152" i="2" s="1"/>
  <c r="Y151" i="2"/>
  <c r="Y153" i="2" s="1"/>
  <c r="P151" i="2"/>
  <c r="X148" i="2"/>
  <c r="X147" i="2"/>
  <c r="BO146" i="2"/>
  <c r="BM146" i="2"/>
  <c r="Z146" i="2"/>
  <c r="Y146" i="2"/>
  <c r="P146" i="2"/>
  <c r="BO145" i="2"/>
  <c r="BM145" i="2"/>
  <c r="Z145" i="2"/>
  <c r="Z147" i="2" s="1"/>
  <c r="Y145" i="2"/>
  <c r="P145" i="2"/>
  <c r="X142" i="2"/>
  <c r="Y141" i="2"/>
  <c r="X141" i="2"/>
  <c r="BP140" i="2"/>
  <c r="BO140" i="2"/>
  <c r="BN140" i="2"/>
  <c r="BM140" i="2"/>
  <c r="Z140" i="2"/>
  <c r="Y140" i="2"/>
  <c r="P140" i="2"/>
  <c r="BO139" i="2"/>
  <c r="BN139" i="2"/>
  <c r="BM139" i="2"/>
  <c r="Z139" i="2"/>
  <c r="Z141" i="2" s="1"/>
  <c r="Y139" i="2"/>
  <c r="Y142" i="2" s="1"/>
  <c r="P139" i="2"/>
  <c r="X136" i="2"/>
  <c r="X135" i="2"/>
  <c r="BP134" i="2"/>
  <c r="BO134" i="2"/>
  <c r="BN134" i="2"/>
  <c r="BM134" i="2"/>
  <c r="Z134" i="2"/>
  <c r="Y134" i="2"/>
  <c r="P134" i="2"/>
  <c r="BO133" i="2"/>
  <c r="BM133" i="2"/>
  <c r="Z133" i="2"/>
  <c r="Y133" i="2"/>
  <c r="P133" i="2"/>
  <c r="X130" i="2"/>
  <c r="Z129" i="2"/>
  <c r="X129" i="2"/>
  <c r="BO128" i="2"/>
  <c r="BM128" i="2"/>
  <c r="Z128" i="2"/>
  <c r="Y128" i="2"/>
  <c r="Y129" i="2" s="1"/>
  <c r="P128" i="2"/>
  <c r="Y126" i="2"/>
  <c r="X126" i="2"/>
  <c r="Z125" i="2"/>
  <c r="X125" i="2"/>
  <c r="BO124" i="2"/>
  <c r="BN124" i="2"/>
  <c r="BM124" i="2"/>
  <c r="Z124" i="2"/>
  <c r="Y124" i="2"/>
  <c r="BP124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P116" i="2"/>
  <c r="BO115" i="2"/>
  <c r="BM115" i="2"/>
  <c r="Z115" i="2"/>
  <c r="Y115" i="2"/>
  <c r="P115" i="2"/>
  <c r="BO114" i="2"/>
  <c r="BM114" i="2"/>
  <c r="Z114" i="2"/>
  <c r="Y114" i="2"/>
  <c r="P114" i="2"/>
  <c r="BO113" i="2"/>
  <c r="BM113" i="2"/>
  <c r="Z113" i="2"/>
  <c r="Z121" i="2" s="1"/>
  <c r="Y113" i="2"/>
  <c r="P113" i="2"/>
  <c r="X110" i="2"/>
  <c r="X109" i="2"/>
  <c r="BO108" i="2"/>
  <c r="BM108" i="2"/>
  <c r="Z108" i="2"/>
  <c r="Y108" i="2"/>
  <c r="BN108" i="2" s="1"/>
  <c r="P108" i="2"/>
  <c r="BO107" i="2"/>
  <c r="BM107" i="2"/>
  <c r="Z107" i="2"/>
  <c r="Z109" i="2" s="1"/>
  <c r="Y107" i="2"/>
  <c r="P107" i="2"/>
  <c r="X104" i="2"/>
  <c r="X103" i="2"/>
  <c r="BO102" i="2"/>
  <c r="BM102" i="2"/>
  <c r="Z102" i="2"/>
  <c r="Y102" i="2"/>
  <c r="BN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N100" i="2" s="1"/>
  <c r="P100" i="2"/>
  <c r="BO99" i="2"/>
  <c r="BM99" i="2"/>
  <c r="Z99" i="2"/>
  <c r="Y99" i="2"/>
  <c r="P99" i="2"/>
  <c r="BP98" i="2"/>
  <c r="BO98" i="2"/>
  <c r="BN98" i="2"/>
  <c r="BM98" i="2"/>
  <c r="Z98" i="2"/>
  <c r="Y98" i="2"/>
  <c r="P98" i="2"/>
  <c r="BO97" i="2"/>
  <c r="BM97" i="2"/>
  <c r="Z97" i="2"/>
  <c r="Z103" i="2" s="1"/>
  <c r="Y97" i="2"/>
  <c r="P97" i="2"/>
  <c r="X94" i="2"/>
  <c r="Y93" i="2"/>
  <c r="X93" i="2"/>
  <c r="BP92" i="2"/>
  <c r="BO92" i="2"/>
  <c r="BN92" i="2"/>
  <c r="BM92" i="2"/>
  <c r="Z92" i="2"/>
  <c r="Y92" i="2"/>
  <c r="P92" i="2"/>
  <c r="BO91" i="2"/>
  <c r="BM91" i="2"/>
  <c r="Z91" i="2"/>
  <c r="Y91" i="2"/>
  <c r="BN91" i="2" s="1"/>
  <c r="P91" i="2"/>
  <c r="X88" i="2"/>
  <c r="Z87" i="2"/>
  <c r="X87" i="2"/>
  <c r="BO86" i="2"/>
  <c r="BM86" i="2"/>
  <c r="Z86" i="2"/>
  <c r="Y86" i="2"/>
  <c r="BN86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BN80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BN74" i="2" s="1"/>
  <c r="P74" i="2"/>
  <c r="BP73" i="2"/>
  <c r="BO73" i="2"/>
  <c r="BN73" i="2"/>
  <c r="BM73" i="2"/>
  <c r="Z73" i="2"/>
  <c r="Y73" i="2"/>
  <c r="P73" i="2"/>
  <c r="X71" i="2"/>
  <c r="Y70" i="2"/>
  <c r="X70" i="2"/>
  <c r="BP69" i="2"/>
  <c r="BO69" i="2"/>
  <c r="BN69" i="2"/>
  <c r="BM69" i="2"/>
  <c r="Z69" i="2"/>
  <c r="Y69" i="2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5" i="2" s="1"/>
  <c r="P64" i="2"/>
  <c r="X62" i="2"/>
  <c r="X61" i="2"/>
  <c r="BO60" i="2"/>
  <c r="BM60" i="2"/>
  <c r="Z60" i="2"/>
  <c r="Z61" i="2" s="1"/>
  <c r="Y60" i="2"/>
  <c r="P60" i="2"/>
  <c r="X57" i="2"/>
  <c r="X56" i="2"/>
  <c r="BO55" i="2"/>
  <c r="BM55" i="2"/>
  <c r="Z55" i="2"/>
  <c r="Y55" i="2"/>
  <c r="BN55" i="2" s="1"/>
  <c r="P55" i="2"/>
  <c r="BP54" i="2"/>
  <c r="BO54" i="2"/>
  <c r="BN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P47" i="2"/>
  <c r="BO47" i="2"/>
  <c r="BN47" i="2"/>
  <c r="BM47" i="2"/>
  <c r="Z47" i="2"/>
  <c r="Y47" i="2"/>
  <c r="P47" i="2"/>
  <c r="BO46" i="2"/>
  <c r="BM46" i="2"/>
  <c r="Z46" i="2"/>
  <c r="Y46" i="2"/>
  <c r="Y49" i="2" s="1"/>
  <c r="P46" i="2"/>
  <c r="BP45" i="2"/>
  <c r="BO45" i="2"/>
  <c r="BN45" i="2"/>
  <c r="BM45" i="2"/>
  <c r="Z45" i="2"/>
  <c r="Z48" i="2" s="1"/>
  <c r="Y45" i="2"/>
  <c r="P45" i="2"/>
  <c r="X42" i="2"/>
  <c r="X41" i="2"/>
  <c r="BO40" i="2"/>
  <c r="BN40" i="2"/>
  <c r="BM40" i="2"/>
  <c r="Z40" i="2"/>
  <c r="Y40" i="2"/>
  <c r="P40" i="2"/>
  <c r="BO39" i="2"/>
  <c r="BN39" i="2"/>
  <c r="BM39" i="2"/>
  <c r="Z39" i="2"/>
  <c r="Z41" i="2" s="1"/>
  <c r="Y39" i="2"/>
  <c r="BP39" i="2" s="1"/>
  <c r="P39" i="2"/>
  <c r="X35" i="2"/>
  <c r="X34" i="2"/>
  <c r="BO33" i="2"/>
  <c r="BM33" i="2"/>
  <c r="Z33" i="2"/>
  <c r="Y33" i="2"/>
  <c r="P33" i="2"/>
  <c r="BO32" i="2"/>
  <c r="BM32" i="2"/>
  <c r="Z32" i="2"/>
  <c r="Z34" i="2" s="1"/>
  <c r="Y32" i="2"/>
  <c r="BN32" i="2" s="1"/>
  <c r="P32" i="2"/>
  <c r="X29" i="2"/>
  <c r="X271" i="2" s="1"/>
  <c r="X28" i="2"/>
  <c r="BP27" i="2"/>
  <c r="BO27" i="2"/>
  <c r="BN27" i="2"/>
  <c r="BM27" i="2"/>
  <c r="Z27" i="2"/>
  <c r="Y27" i="2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P23" i="2"/>
  <c r="BO23" i="2"/>
  <c r="BN23" i="2"/>
  <c r="BM23" i="2"/>
  <c r="Z23" i="2"/>
  <c r="Y23" i="2"/>
  <c r="P23" i="2"/>
  <c r="BO22" i="2"/>
  <c r="BM22" i="2"/>
  <c r="X272" i="2" s="1"/>
  <c r="Z22" i="2"/>
  <c r="Y22" i="2"/>
  <c r="P22" i="2"/>
  <c r="H10" i="2"/>
  <c r="A9" i="2"/>
  <c r="F10" i="2" s="1"/>
  <c r="D7" i="2"/>
  <c r="Q6" i="2"/>
  <c r="P2" i="2"/>
  <c r="Y29" i="2" l="1"/>
  <c r="BP22" i="2"/>
  <c r="BN22" i="2"/>
  <c r="BP32" i="2"/>
  <c r="BP33" i="2"/>
  <c r="BN33" i="2"/>
  <c r="Y57" i="2"/>
  <c r="Z70" i="2"/>
  <c r="BP86" i="2"/>
  <c r="Z93" i="2"/>
  <c r="BP99" i="2"/>
  <c r="BN99" i="2"/>
  <c r="BP108" i="2"/>
  <c r="BP115" i="2"/>
  <c r="BN115" i="2"/>
  <c r="BP119" i="2"/>
  <c r="BP120" i="2"/>
  <c r="BN120" i="2"/>
  <c r="Z135" i="2"/>
  <c r="BP177" i="2"/>
  <c r="Y180" i="2"/>
  <c r="Y188" i="2"/>
  <c r="BP184" i="2"/>
  <c r="BN184" i="2"/>
  <c r="Y198" i="2"/>
  <c r="BP197" i="2"/>
  <c r="BN197" i="2"/>
  <c r="BP205" i="2"/>
  <c r="BP24" i="2"/>
  <c r="BP55" i="2"/>
  <c r="Y61" i="2"/>
  <c r="BP60" i="2"/>
  <c r="BN60" i="2"/>
  <c r="Y62" i="2"/>
  <c r="BP64" i="2"/>
  <c r="Y66" i="2"/>
  <c r="BN64" i="2"/>
  <c r="BP74" i="2"/>
  <c r="BP102" i="2"/>
  <c r="BP114" i="2"/>
  <c r="BN114" i="2"/>
  <c r="BP116" i="2"/>
  <c r="BN116" i="2"/>
  <c r="BP128" i="2"/>
  <c r="Y130" i="2"/>
  <c r="Y136" i="2"/>
  <c r="BP133" i="2"/>
  <c r="BN133" i="2"/>
  <c r="Y135" i="2"/>
  <c r="BP146" i="2"/>
  <c r="BN146" i="2"/>
  <c r="BP156" i="2"/>
  <c r="Y157" i="2"/>
  <c r="Y189" i="2"/>
  <c r="Y192" i="2"/>
  <c r="BP191" i="2"/>
  <c r="BN191" i="2"/>
  <c r="Y199" i="2"/>
  <c r="Y207" i="2"/>
  <c r="BP201" i="2"/>
  <c r="BN201" i="2"/>
  <c r="BP216" i="2"/>
  <c r="Y224" i="2"/>
  <c r="Y230" i="2"/>
  <c r="Y218" i="2"/>
  <c r="BP234" i="2"/>
  <c r="Y236" i="2"/>
  <c r="Y240" i="2"/>
  <c r="BP259" i="2"/>
  <c r="Z28" i="2"/>
  <c r="BP26" i="2"/>
  <c r="X273" i="2"/>
  <c r="X275" i="2"/>
  <c r="Y42" i="2"/>
  <c r="Z56" i="2"/>
  <c r="BP53" i="2"/>
  <c r="BP68" i="2"/>
  <c r="Y71" i="2"/>
  <c r="Z76" i="2"/>
  <c r="BP80" i="2"/>
  <c r="BP91" i="2"/>
  <c r="Y103" i="2"/>
  <c r="BP97" i="2"/>
  <c r="BP100" i="2"/>
  <c r="Y104" i="2"/>
  <c r="Y109" i="2"/>
  <c r="Y110" i="2"/>
  <c r="Y122" i="2"/>
  <c r="BP117" i="2"/>
  <c r="Y125" i="2"/>
  <c r="Y148" i="2"/>
  <c r="BP172" i="2"/>
  <c r="BP185" i="2"/>
  <c r="Z206" i="2"/>
  <c r="Y206" i="2"/>
  <c r="BP203" i="2"/>
  <c r="Y212" i="2"/>
  <c r="Y217" i="2"/>
  <c r="BN222" i="2"/>
  <c r="BP222" i="2"/>
  <c r="BN228" i="2"/>
  <c r="BN238" i="2"/>
  <c r="BP238" i="2"/>
  <c r="BN244" i="2"/>
  <c r="BN245" i="2"/>
  <c r="Y257" i="2"/>
  <c r="Z256" i="2"/>
  <c r="Z269" i="2"/>
  <c r="BN262" i="2"/>
  <c r="BP266" i="2"/>
  <c r="X274" i="2"/>
  <c r="Z276" i="2"/>
  <c r="BN25" i="2"/>
  <c r="Y28" i="2"/>
  <c r="BP40" i="2"/>
  <c r="BN52" i="2"/>
  <c r="BN75" i="2"/>
  <c r="BN101" i="2"/>
  <c r="BP139" i="2"/>
  <c r="BN151" i="2"/>
  <c r="BN166" i="2"/>
  <c r="BN255" i="2"/>
  <c r="BN265" i="2"/>
  <c r="Y34" i="2"/>
  <c r="BP46" i="2"/>
  <c r="BN81" i="2"/>
  <c r="BN107" i="2"/>
  <c r="BN118" i="2"/>
  <c r="Y121" i="2"/>
  <c r="BP145" i="2"/>
  <c r="Y158" i="2"/>
  <c r="BN173" i="2"/>
  <c r="BP187" i="2"/>
  <c r="BN204" i="2"/>
  <c r="BN260" i="2"/>
  <c r="BN145" i="2"/>
  <c r="Y41" i="2"/>
  <c r="BP52" i="2"/>
  <c r="Y88" i="2"/>
  <c r="BN113" i="2"/>
  <c r="BP151" i="2"/>
  <c r="BP166" i="2"/>
  <c r="BN178" i="2"/>
  <c r="BN210" i="2"/>
  <c r="Y246" i="2"/>
  <c r="BN46" i="2"/>
  <c r="BN187" i="2"/>
  <c r="Y94" i="2"/>
  <c r="BP107" i="2"/>
  <c r="BN128" i="2"/>
  <c r="BN234" i="2"/>
  <c r="BN268" i="2"/>
  <c r="Y35" i="2"/>
  <c r="Y76" i="2"/>
  <c r="BP113" i="2"/>
  <c r="Y152" i="2"/>
  <c r="Y167" i="2"/>
  <c r="BP210" i="2"/>
  <c r="Y256" i="2"/>
  <c r="Y82" i="2"/>
  <c r="Y174" i="2"/>
  <c r="Y247" i="2"/>
  <c r="Y87" i="2"/>
  <c r="F9" i="2"/>
  <c r="H9" i="2"/>
  <c r="Y179" i="2"/>
  <c r="J9" i="2"/>
  <c r="Y56" i="2"/>
  <c r="Y77" i="2"/>
  <c r="Y269" i="2"/>
  <c r="A10" i="2"/>
  <c r="Y83" i="2"/>
  <c r="BN97" i="2"/>
  <c r="Y175" i="2"/>
  <c r="Y48" i="2"/>
  <c r="Y270" i="2"/>
  <c r="Y147" i="2"/>
  <c r="BP228" i="2"/>
  <c r="BN254" i="2"/>
  <c r="BN264" i="2"/>
  <c r="BN203" i="2"/>
  <c r="Y271" i="2" l="1"/>
  <c r="Y273" i="2"/>
  <c r="Y272" i="2"/>
  <c r="Y274" i="2"/>
  <c r="C284" i="2"/>
  <c r="B284" i="2"/>
  <c r="A284" i="2"/>
  <c r="Y275" i="2"/>
</calcChain>
</file>

<file path=xl/sharedStrings.xml><?xml version="1.0" encoding="utf-8"?>
<sst xmlns="http://schemas.openxmlformats.org/spreadsheetml/2006/main" count="1673" uniqueCount="399">
  <si>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</si>
  <si>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</si>
  <si>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</si>
  <si>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</si>
  <si>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</si>
  <si>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</si>
  <si>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</si>
  <si>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</si>
  <si>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</si>
  <si>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</si>
  <si>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</si>
  <si>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</si>
  <si>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</si>
  <si>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</si>
  <si>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</si>
  <si>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</si>
  <si>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</si>
  <si>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</si>
  <si>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</si>
  <si>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</si>
  <si>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</si>
  <si>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</si>
  <si>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</si>
  <si>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</si>
  <si>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</si>
  <si>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</si>
  <si>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</si>
  <si>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</si>
  <si>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</si>
  <si>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</si>
  <si>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</si>
  <si>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</si>
  <si>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</si>
  <si>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</si>
  <si>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</si>
  <si>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</si>
  <si>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</si>
  <si>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</si>
  <si>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</si>
  <si>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</si>
  <si>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</si>
  <si>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</si>
  <si>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</si>
  <si>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</si>
  <si>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</si>
  <si>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</si>
  <si>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</si>
  <si>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</si>
  <si>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</si>
  <si>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</si>
  <si>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</si>
  <si>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</si>
  <si>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</si>
  <si>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</si>
  <si>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</si>
  <si>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</si>
  <si>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</si>
  <si>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</si>
  <si>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</si>
  <si>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</si>
  <si>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</si>
  <si>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</si>
  <si>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</si>
  <si>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</si>
  <si>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</si>
  <si>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</si>
  <si>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</si>
  <si>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</si>
  <si>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</si>
  <si>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</si>
  <si>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</si>
  <si>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26.01.2026</t>
  </si>
  <si>
    <t>23.01.2026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</si>
  <si>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</si>
  <si>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</si>
  <si>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</si>
  <si>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</si>
  <si>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</si>
  <si>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</si>
  <si>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</si>
  <si>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</si>
  <si>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</si>
  <si>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</si>
  <si>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</si>
  <si>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</si>
  <si>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</si>
  <si>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</si>
  <si>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</si>
  <si>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</si>
  <si>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</si>
  <si>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</si>
  <si>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</si>
  <si>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</si>
  <si>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</si>
  <si>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</si>
  <si>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</si>
  <si>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</si>
  <si>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</si>
  <si>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</si>
  <si>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</si>
  <si>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</si>
  <si>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</si>
  <si>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</si>
  <si>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</si>
  <si>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</si>
  <si>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</si>
  <si>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</si>
  <si>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</si>
  <si>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</si>
  <si>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</si>
  <si>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</si>
  <si>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</si>
  <si>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</si>
  <si>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Палетта, мин. 1</t>
  </si>
  <si>
    <t>Палетта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</si>
  <si>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</si>
  <si>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</si>
  <si>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</si>
  <si>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</si>
  <si>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</si>
  <si>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</si>
  <si>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</si>
  <si>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</si>
  <si>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</si>
  <si>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Слой, мин. 1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</si>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</sst>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9" t="s">
        <v>26</v>
      </c>
      <c r="E1" s="279"/>
      <c r="F1" s="279"/>
      <c r="G1" s="14" t="s">
        <v>70</v>
      </c>
      <c r="H1" s="279" t="s">
        <v>47</v>
      </c>
      <c r="I1" s="279"/>
      <c r="J1" s="279"/>
      <c r="K1" s="279"/>
      <c r="L1" s="279"/>
      <c r="M1" s="279"/>
      <c r="N1" s="279"/>
      <c r="O1" s="279"/>
      <c r="P1" s="279"/>
      <c r="Q1" s="279"/>
      <c r="R1" s="280" t="s">
        <v>71</v>
      </c>
      <c r="S1" s="281"/>
      <c r="T1" s="28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2"/>
      <c r="Q3" s="282"/>
      <c r="R3" s="282"/>
      <c r="S3" s="282"/>
      <c r="T3" s="282"/>
      <c r="U3" s="282"/>
      <c r="V3" s="282"/>
      <c r="W3" s="28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3" t="s">
        <v>8</v>
      </c>
      <c r="B5" s="283"/>
      <c r="C5" s="283"/>
      <c r="D5" s="284"/>
      <c r="E5" s="284"/>
      <c r="F5" s="285" t="s">
        <v>14</v>
      </c>
      <c r="G5" s="285"/>
      <c r="H5" s="284"/>
      <c r="I5" s="284"/>
      <c r="J5" s="284"/>
      <c r="K5" s="284"/>
      <c r="L5" s="284"/>
      <c r="M5" s="284"/>
      <c r="N5" s="75"/>
      <c r="P5" s="27" t="s">
        <v>4</v>
      </c>
      <c r="Q5" s="286">
        <v>46052</v>
      </c>
      <c r="R5" s="286"/>
      <c r="T5" s="287" t="s">
        <v>3</v>
      </c>
      <c r="U5" s="288"/>
      <c r="V5" s="289" t="s">
        <v>385</v>
      </c>
      <c r="W5" s="290"/>
      <c r="AB5" s="59"/>
      <c r="AC5" s="59"/>
      <c r="AD5" s="59"/>
      <c r="AE5" s="59"/>
    </row>
    <row r="6" spans="1:32" s="17" customFormat="1" ht="24" customHeight="1" x14ac:dyDescent="0.2">
      <c r="A6" s="283" t="s">
        <v>1</v>
      </c>
      <c r="B6" s="283"/>
      <c r="C6" s="283"/>
      <c r="D6" s="291" t="s">
        <v>79</v>
      </c>
      <c r="E6" s="291"/>
      <c r="F6" s="291"/>
      <c r="G6" s="291"/>
      <c r="H6" s="291"/>
      <c r="I6" s="291"/>
      <c r="J6" s="291"/>
      <c r="K6" s="291"/>
      <c r="L6" s="291"/>
      <c r="M6" s="291"/>
      <c r="N6" s="76"/>
      <c r="P6" s="27" t="s">
        <v>27</v>
      </c>
      <c r="Q6" s="292" t="str">
        <f>IF(Q5=0," ",CHOOSE(WEEKDAY(Q5,2),"Понедельник","Вторник","Среда","Четверг","Пятница","Суббота","Воскресенье"))</f>
        <v>Пятница</v>
      </c>
      <c r="R6" s="292"/>
      <c r="T6" s="293" t="s">
        <v>5</v>
      </c>
      <c r="U6" s="294"/>
      <c r="V6" s="295" t="s">
        <v>73</v>
      </c>
      <c r="W6" s="29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1" t="str">
        <f>IFERROR(VLOOKUP(DeliveryAddress,Table,3,0),1)</f>
        <v>1</v>
      </c>
      <c r="E7" s="302"/>
      <c r="F7" s="302"/>
      <c r="G7" s="302"/>
      <c r="H7" s="302"/>
      <c r="I7" s="302"/>
      <c r="J7" s="302"/>
      <c r="K7" s="302"/>
      <c r="L7" s="302"/>
      <c r="M7" s="303"/>
      <c r="N7" s="77"/>
      <c r="P7" s="29"/>
      <c r="Q7" s="48"/>
      <c r="R7" s="48"/>
      <c r="T7" s="293"/>
      <c r="U7" s="294"/>
      <c r="V7" s="297"/>
      <c r="W7" s="298"/>
      <c r="AB7" s="59"/>
      <c r="AC7" s="59"/>
      <c r="AD7" s="59"/>
      <c r="AE7" s="59"/>
    </row>
    <row r="8" spans="1:32" s="17" customFormat="1" ht="25.5" customHeight="1" x14ac:dyDescent="0.2">
      <c r="A8" s="304" t="s">
        <v>58</v>
      </c>
      <c r="B8" s="304"/>
      <c r="C8" s="304"/>
      <c r="D8" s="305" t="s">
        <v>80</v>
      </c>
      <c r="E8" s="305"/>
      <c r="F8" s="305"/>
      <c r="G8" s="305"/>
      <c r="H8" s="305"/>
      <c r="I8" s="305"/>
      <c r="J8" s="305"/>
      <c r="K8" s="305"/>
      <c r="L8" s="305"/>
      <c r="M8" s="305"/>
      <c r="N8" s="78"/>
      <c r="P8" s="27" t="s">
        <v>11</v>
      </c>
      <c r="Q8" s="306">
        <v>0.375</v>
      </c>
      <c r="R8" s="307"/>
      <c r="T8" s="293"/>
      <c r="U8" s="294"/>
      <c r="V8" s="297"/>
      <c r="W8" s="298"/>
      <c r="AB8" s="59"/>
      <c r="AC8" s="59"/>
      <c r="AD8" s="59"/>
      <c r="AE8" s="59"/>
    </row>
    <row r="9" spans="1:32" s="17" customFormat="1" ht="39.950000000000003" customHeight="1" x14ac:dyDescent="0.2">
      <c r="A9" s="30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8"/>
      <c r="C9" s="308"/>
      <c r="D9" s="309" t="s">
        <v>46</v>
      </c>
      <c r="E9" s="310"/>
      <c r="F9" s="30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8"/>
      <c r="H9" s="311" t="str">
        <f>IF(AND($A$9="Тип доверенности/получателя при получении в адресе перегруза:",$D$9="Разовая доверенность"),"Введите ФИО","")</f>
        <v/>
      </c>
      <c r="I9" s="311"/>
      <c r="J9" s="3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1"/>
      <c r="L9" s="311"/>
      <c r="M9" s="311"/>
      <c r="N9" s="73"/>
      <c r="P9" s="31" t="s">
        <v>15</v>
      </c>
      <c r="Q9" s="312"/>
      <c r="R9" s="312"/>
      <c r="T9" s="293"/>
      <c r="U9" s="294"/>
      <c r="V9" s="299"/>
      <c r="W9" s="30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8"/>
      <c r="C10" s="308"/>
      <c r="D10" s="309"/>
      <c r="E10" s="310"/>
      <c r="F10" s="30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8"/>
      <c r="H10" s="313" t="str">
        <f>IFERROR(VLOOKUP($D$10,Proxy,2,FALSE),"")</f>
        <v/>
      </c>
      <c r="I10" s="313"/>
      <c r="J10" s="313"/>
      <c r="K10" s="313"/>
      <c r="L10" s="313"/>
      <c r="M10" s="313"/>
      <c r="N10" s="74"/>
      <c r="P10" s="31" t="s">
        <v>32</v>
      </c>
      <c r="Q10" s="314"/>
      <c r="R10" s="314"/>
      <c r="U10" s="29" t="s">
        <v>12</v>
      </c>
      <c r="V10" s="315" t="s">
        <v>74</v>
      </c>
      <c r="W10" s="31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7"/>
      <c r="R11" s="317"/>
      <c r="U11" s="29" t="s">
        <v>28</v>
      </c>
      <c r="V11" s="318" t="s">
        <v>55</v>
      </c>
      <c r="W11" s="31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9" t="s">
        <v>75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79"/>
      <c r="P12" s="27" t="s">
        <v>30</v>
      </c>
      <c r="Q12" s="306"/>
      <c r="R12" s="306"/>
      <c r="S12" s="28"/>
      <c r="T12"/>
      <c r="U12" s="29" t="s">
        <v>46</v>
      </c>
      <c r="V12" s="320"/>
      <c r="W12" s="320"/>
      <c r="X12"/>
      <c r="AB12" s="59"/>
      <c r="AC12" s="59"/>
      <c r="AD12" s="59"/>
      <c r="AE12" s="59"/>
    </row>
    <row r="13" spans="1:32" s="17" customFormat="1" ht="23.25" customHeight="1" x14ac:dyDescent="0.2">
      <c r="A13" s="319" t="s">
        <v>76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19"/>
      <c r="N13" s="79"/>
      <c r="O13" s="31"/>
      <c r="P13" s="31" t="s">
        <v>31</v>
      </c>
      <c r="Q13" s="318"/>
      <c r="R13" s="31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9" t="s">
        <v>77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1" t="s">
        <v>78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1"/>
      <c r="N15" s="80"/>
      <c r="O15"/>
      <c r="P15" s="322" t="s">
        <v>61</v>
      </c>
      <c r="Q15" s="322"/>
      <c r="R15" s="322"/>
      <c r="S15" s="322"/>
      <c r="T15" s="3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3"/>
      <c r="Q16" s="323"/>
      <c r="R16" s="323"/>
      <c r="S16" s="323"/>
      <c r="T16" s="3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6" t="s">
        <v>59</v>
      </c>
      <c r="B17" s="326" t="s">
        <v>49</v>
      </c>
      <c r="C17" s="328" t="s">
        <v>48</v>
      </c>
      <c r="D17" s="330" t="s">
        <v>50</v>
      </c>
      <c r="E17" s="331"/>
      <c r="F17" s="326" t="s">
        <v>21</v>
      </c>
      <c r="G17" s="326" t="s">
        <v>24</v>
      </c>
      <c r="H17" s="326" t="s">
        <v>22</v>
      </c>
      <c r="I17" s="326" t="s">
        <v>23</v>
      </c>
      <c r="J17" s="326" t="s">
        <v>16</v>
      </c>
      <c r="K17" s="326" t="s">
        <v>69</v>
      </c>
      <c r="L17" s="326" t="s">
        <v>67</v>
      </c>
      <c r="M17" s="326" t="s">
        <v>2</v>
      </c>
      <c r="N17" s="326" t="s">
        <v>66</v>
      </c>
      <c r="O17" s="326" t="s">
        <v>25</v>
      </c>
      <c r="P17" s="330" t="s">
        <v>17</v>
      </c>
      <c r="Q17" s="334"/>
      <c r="R17" s="334"/>
      <c r="S17" s="334"/>
      <c r="T17" s="331"/>
      <c r="U17" s="324" t="s">
        <v>56</v>
      </c>
      <c r="V17" s="325"/>
      <c r="W17" s="326" t="s">
        <v>6</v>
      </c>
      <c r="X17" s="326" t="s">
        <v>41</v>
      </c>
      <c r="Y17" s="336" t="s">
        <v>54</v>
      </c>
      <c r="Z17" s="338" t="s">
        <v>18</v>
      </c>
      <c r="AA17" s="340" t="s">
        <v>60</v>
      </c>
      <c r="AB17" s="340" t="s">
        <v>19</v>
      </c>
      <c r="AC17" s="340" t="s">
        <v>68</v>
      </c>
      <c r="AD17" s="342" t="s">
        <v>57</v>
      </c>
      <c r="AE17" s="343"/>
      <c r="AF17" s="344"/>
      <c r="AG17" s="85"/>
      <c r="BD17" s="84" t="s">
        <v>64</v>
      </c>
    </row>
    <row r="18" spans="1:68" ht="14.25" customHeight="1" x14ac:dyDescent="0.2">
      <c r="A18" s="327"/>
      <c r="B18" s="327"/>
      <c r="C18" s="329"/>
      <c r="D18" s="332"/>
      <c r="E18" s="333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32"/>
      <c r="Q18" s="335"/>
      <c r="R18" s="335"/>
      <c r="S18" s="335"/>
      <c r="T18" s="333"/>
      <c r="U18" s="86" t="s">
        <v>44</v>
      </c>
      <c r="V18" s="86" t="s">
        <v>43</v>
      </c>
      <c r="W18" s="327"/>
      <c r="X18" s="327"/>
      <c r="Y18" s="337"/>
      <c r="Z18" s="339"/>
      <c r="AA18" s="341"/>
      <c r="AB18" s="341"/>
      <c r="AC18" s="341"/>
      <c r="AD18" s="345"/>
      <c r="AE18" s="346"/>
      <c r="AF18" s="347"/>
      <c r="AG18" s="85"/>
      <c r="BD18" s="84"/>
    </row>
    <row r="19" spans="1:68" ht="27.75" customHeight="1" x14ac:dyDescent="0.2">
      <c r="A19" s="348" t="s">
        <v>81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54"/>
      <c r="AB19" s="54"/>
      <c r="AC19" s="54"/>
    </row>
    <row r="20" spans="1:68" ht="16.5" customHeight="1" x14ac:dyDescent="0.25">
      <c r="A20" s="349" t="s">
        <v>81</v>
      </c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49"/>
      <c r="V20" s="349"/>
      <c r="W20" s="349"/>
      <c r="X20" s="349"/>
      <c r="Y20" s="349"/>
      <c r="Z20" s="349"/>
      <c r="AA20" s="65"/>
      <c r="AB20" s="65"/>
      <c r="AC20" s="82"/>
    </row>
    <row r="21" spans="1:68" ht="14.25" customHeight="1" x14ac:dyDescent="0.25">
      <c r="A21" s="350" t="s">
        <v>82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  <c r="Z21" s="350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51">
        <v>4607111035912</v>
      </c>
      <c r="E22" s="351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3"/>
      <c r="R22" s="353"/>
      <c r="S22" s="353"/>
      <c r="T22" s="354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51">
        <v>4607111035103</v>
      </c>
      <c r="E23" s="351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3"/>
      <c r="R23" s="353"/>
      <c r="S23" s="353"/>
      <c r="T23" s="354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51">
        <v>4607111035929</v>
      </c>
      <c r="E24" s="351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3"/>
      <c r="R24" s="353"/>
      <c r="S24" s="353"/>
      <c r="T24" s="354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51">
        <v>4607111035882</v>
      </c>
      <c r="E25" s="351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3"/>
      <c r="R25" s="353"/>
      <c r="S25" s="353"/>
      <c r="T25" s="354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51">
        <v>4607111035110</v>
      </c>
      <c r="E26" s="351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3"/>
      <c r="R26" s="353"/>
      <c r="S26" s="353"/>
      <c r="T26" s="354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51">
        <v>4607111035905</v>
      </c>
      <c r="E27" s="351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3"/>
      <c r="R27" s="353"/>
      <c r="S27" s="353"/>
      <c r="T27" s="354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3"/>
      <c r="B28" s="363"/>
      <c r="C28" s="363"/>
      <c r="D28" s="363"/>
      <c r="E28" s="363"/>
      <c r="F28" s="363"/>
      <c r="G28" s="363"/>
      <c r="H28" s="363"/>
      <c r="I28" s="363"/>
      <c r="J28" s="363"/>
      <c r="K28" s="363"/>
      <c r="L28" s="363"/>
      <c r="M28" s="363"/>
      <c r="N28" s="363"/>
      <c r="O28" s="364"/>
      <c r="P28" s="360" t="s">
        <v>40</v>
      </c>
      <c r="Q28" s="361"/>
      <c r="R28" s="361"/>
      <c r="S28" s="361"/>
      <c r="T28" s="361"/>
      <c r="U28" s="361"/>
      <c r="V28" s="362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3"/>
      <c r="B29" s="363"/>
      <c r="C29" s="363"/>
      <c r="D29" s="363"/>
      <c r="E29" s="363"/>
      <c r="F29" s="363"/>
      <c r="G29" s="363"/>
      <c r="H29" s="363"/>
      <c r="I29" s="363"/>
      <c r="J29" s="363"/>
      <c r="K29" s="363"/>
      <c r="L29" s="363"/>
      <c r="M29" s="363"/>
      <c r="N29" s="363"/>
      <c r="O29" s="364"/>
      <c r="P29" s="360" t="s">
        <v>40</v>
      </c>
      <c r="Q29" s="361"/>
      <c r="R29" s="361"/>
      <c r="S29" s="361"/>
      <c r="T29" s="361"/>
      <c r="U29" s="361"/>
      <c r="V29" s="362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9" t="s">
        <v>100</v>
      </c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349"/>
      <c r="P30" s="349"/>
      <c r="Q30" s="349"/>
      <c r="R30" s="349"/>
      <c r="S30" s="349"/>
      <c r="T30" s="349"/>
      <c r="U30" s="349"/>
      <c r="V30" s="349"/>
      <c r="W30" s="349"/>
      <c r="X30" s="349"/>
      <c r="Y30" s="349"/>
      <c r="Z30" s="349"/>
      <c r="AA30" s="65"/>
      <c r="AB30" s="65"/>
      <c r="AC30" s="82"/>
    </row>
    <row r="31" spans="1:68" ht="14.25" customHeight="1" x14ac:dyDescent="0.25">
      <c r="A31" s="350" t="s">
        <v>82</v>
      </c>
      <c r="B31" s="350"/>
      <c r="C31" s="350"/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50"/>
      <c r="W31" s="350"/>
      <c r="X31" s="350"/>
      <c r="Y31" s="350"/>
      <c r="Z31" s="350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51">
        <v>4607111039019</v>
      </c>
      <c r="E32" s="351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3"/>
      <c r="R32" s="353"/>
      <c r="S32" s="353"/>
      <c r="T32" s="354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51">
        <v>4607111038708</v>
      </c>
      <c r="E33" s="351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3"/>
      <c r="R33" s="353"/>
      <c r="S33" s="353"/>
      <c r="T33" s="354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3"/>
      <c r="B34" s="363"/>
      <c r="C34" s="363"/>
      <c r="D34" s="363"/>
      <c r="E34" s="363"/>
      <c r="F34" s="363"/>
      <c r="G34" s="363"/>
      <c r="H34" s="363"/>
      <c r="I34" s="363"/>
      <c r="J34" s="363"/>
      <c r="K34" s="363"/>
      <c r="L34" s="363"/>
      <c r="M34" s="363"/>
      <c r="N34" s="363"/>
      <c r="O34" s="364"/>
      <c r="P34" s="360" t="s">
        <v>40</v>
      </c>
      <c r="Q34" s="361"/>
      <c r="R34" s="361"/>
      <c r="S34" s="361"/>
      <c r="T34" s="361"/>
      <c r="U34" s="361"/>
      <c r="V34" s="362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64"/>
      <c r="P35" s="360" t="s">
        <v>40</v>
      </c>
      <c r="Q35" s="361"/>
      <c r="R35" s="361"/>
      <c r="S35" s="361"/>
      <c r="T35" s="361"/>
      <c r="U35" s="361"/>
      <c r="V35" s="362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8" t="s">
        <v>45</v>
      </c>
      <c r="B36" s="348"/>
      <c r="C36" s="348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54"/>
      <c r="AB36" s="54"/>
      <c r="AC36" s="54"/>
    </row>
    <row r="37" spans="1:68" ht="16.5" customHeight="1" x14ac:dyDescent="0.25">
      <c r="A37" s="349" t="s">
        <v>106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49"/>
      <c r="T37" s="349"/>
      <c r="U37" s="349"/>
      <c r="V37" s="349"/>
      <c r="W37" s="349"/>
      <c r="X37" s="349"/>
      <c r="Y37" s="349"/>
      <c r="Z37" s="349"/>
      <c r="AA37" s="65"/>
      <c r="AB37" s="65"/>
      <c r="AC37" s="82"/>
    </row>
    <row r="38" spans="1:68" ht="14.25" customHeight="1" x14ac:dyDescent="0.25">
      <c r="A38" s="350" t="s">
        <v>107</v>
      </c>
      <c r="B38" s="350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51">
        <v>4607111036537</v>
      </c>
      <c r="E39" s="351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3"/>
      <c r="R39" s="353"/>
      <c r="S39" s="353"/>
      <c r="T39" s="354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140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51">
        <v>4607111036605</v>
      </c>
      <c r="E40" s="351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88</v>
      </c>
      <c r="M40" s="38" t="s">
        <v>86</v>
      </c>
      <c r="N40" s="38"/>
      <c r="O40" s="37">
        <v>365</v>
      </c>
      <c r="P40" s="36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3"/>
      <c r="R40" s="353"/>
      <c r="S40" s="353"/>
      <c r="T40" s="354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89</v>
      </c>
      <c r="AK40" s="87">
        <v>1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3"/>
      <c r="B41" s="363"/>
      <c r="C41" s="363"/>
      <c r="D41" s="363"/>
      <c r="E41" s="363"/>
      <c r="F41" s="363"/>
      <c r="G41" s="363"/>
      <c r="H41" s="363"/>
      <c r="I41" s="363"/>
      <c r="J41" s="363"/>
      <c r="K41" s="363"/>
      <c r="L41" s="363"/>
      <c r="M41" s="363"/>
      <c r="N41" s="363"/>
      <c r="O41" s="364"/>
      <c r="P41" s="360" t="s">
        <v>40</v>
      </c>
      <c r="Q41" s="361"/>
      <c r="R41" s="361"/>
      <c r="S41" s="361"/>
      <c r="T41" s="361"/>
      <c r="U41" s="361"/>
      <c r="V41" s="362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64"/>
      <c r="P42" s="360" t="s">
        <v>40</v>
      </c>
      <c r="Q42" s="361"/>
      <c r="R42" s="361"/>
      <c r="S42" s="361"/>
      <c r="T42" s="361"/>
      <c r="U42" s="361"/>
      <c r="V42" s="362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9" t="s">
        <v>117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349"/>
      <c r="X43" s="349"/>
      <c r="Y43" s="349"/>
      <c r="Z43" s="349"/>
      <c r="AA43" s="65"/>
      <c r="AB43" s="65"/>
      <c r="AC43" s="82"/>
    </row>
    <row r="44" spans="1:68" ht="14.25" customHeight="1" x14ac:dyDescent="0.25">
      <c r="A44" s="350" t="s">
        <v>82</v>
      </c>
      <c r="B44" s="350"/>
      <c r="C44" s="350"/>
      <c r="D44" s="350"/>
      <c r="E44" s="350"/>
      <c r="F44" s="350"/>
      <c r="G44" s="350"/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  <c r="Z44" s="350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51">
        <v>4620207490075</v>
      </c>
      <c r="E45" s="351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88</v>
      </c>
      <c r="M45" s="38" t="s">
        <v>86</v>
      </c>
      <c r="N45" s="38"/>
      <c r="O45" s="37">
        <v>180</v>
      </c>
      <c r="P45" s="36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3"/>
      <c r="R45" s="353"/>
      <c r="S45" s="353"/>
      <c r="T45" s="354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89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51">
        <v>4620207490174</v>
      </c>
      <c r="E46" s="351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124</v>
      </c>
      <c r="M46" s="38" t="s">
        <v>86</v>
      </c>
      <c r="N46" s="38"/>
      <c r="O46" s="37">
        <v>180</v>
      </c>
      <c r="P46" s="37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3"/>
      <c r="R46" s="353"/>
      <c r="S46" s="353"/>
      <c r="T46" s="354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125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126</v>
      </c>
      <c r="B47" s="63" t="s">
        <v>127</v>
      </c>
      <c r="C47" s="36">
        <v>4301071091</v>
      </c>
      <c r="D47" s="351">
        <v>4620207490044</v>
      </c>
      <c r="E47" s="351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7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3"/>
      <c r="R47" s="353"/>
      <c r="S47" s="353"/>
      <c r="T47" s="354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128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3"/>
      <c r="B48" s="363"/>
      <c r="C48" s="363"/>
      <c r="D48" s="363"/>
      <c r="E48" s="363"/>
      <c r="F48" s="363"/>
      <c r="G48" s="363"/>
      <c r="H48" s="363"/>
      <c r="I48" s="363"/>
      <c r="J48" s="363"/>
      <c r="K48" s="363"/>
      <c r="L48" s="363"/>
      <c r="M48" s="363"/>
      <c r="N48" s="363"/>
      <c r="O48" s="364"/>
      <c r="P48" s="360" t="s">
        <v>40</v>
      </c>
      <c r="Q48" s="361"/>
      <c r="R48" s="361"/>
      <c r="S48" s="361"/>
      <c r="T48" s="361"/>
      <c r="U48" s="361"/>
      <c r="V48" s="362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3"/>
      <c r="B49" s="363"/>
      <c r="C49" s="363"/>
      <c r="D49" s="363"/>
      <c r="E49" s="363"/>
      <c r="F49" s="363"/>
      <c r="G49" s="363"/>
      <c r="H49" s="363"/>
      <c r="I49" s="363"/>
      <c r="J49" s="363"/>
      <c r="K49" s="363"/>
      <c r="L49" s="363"/>
      <c r="M49" s="363"/>
      <c r="N49" s="363"/>
      <c r="O49" s="364"/>
      <c r="P49" s="360" t="s">
        <v>40</v>
      </c>
      <c r="Q49" s="361"/>
      <c r="R49" s="361"/>
      <c r="S49" s="361"/>
      <c r="T49" s="361"/>
      <c r="U49" s="361"/>
      <c r="V49" s="362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9" t="s">
        <v>129</v>
      </c>
      <c r="B50" s="349"/>
      <c r="C50" s="349"/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49"/>
      <c r="T50" s="349"/>
      <c r="U50" s="349"/>
      <c r="V50" s="349"/>
      <c r="W50" s="349"/>
      <c r="X50" s="349"/>
      <c r="Y50" s="349"/>
      <c r="Z50" s="349"/>
      <c r="AA50" s="65"/>
      <c r="AB50" s="65"/>
      <c r="AC50" s="82"/>
    </row>
    <row r="51" spans="1:68" ht="14.25" customHeight="1" x14ac:dyDescent="0.25">
      <c r="A51" s="350" t="s">
        <v>82</v>
      </c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  <c r="Z51" s="350"/>
      <c r="AA51" s="66"/>
      <c r="AB51" s="66"/>
      <c r="AC51" s="83"/>
    </row>
    <row r="52" spans="1:68" ht="27" customHeight="1" x14ac:dyDescent="0.25">
      <c r="A52" s="63" t="s">
        <v>130</v>
      </c>
      <c r="B52" s="63" t="s">
        <v>131</v>
      </c>
      <c r="C52" s="36">
        <v>4301071044</v>
      </c>
      <c r="D52" s="351">
        <v>4607111039385</v>
      </c>
      <c r="E52" s="351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124</v>
      </c>
      <c r="M52" s="38" t="s">
        <v>86</v>
      </c>
      <c r="N52" s="38"/>
      <c r="O52" s="37">
        <v>180</v>
      </c>
      <c r="P52" s="37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3"/>
      <c r="R52" s="353"/>
      <c r="S52" s="353"/>
      <c r="T52" s="354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132</v>
      </c>
      <c r="AG52" s="81"/>
      <c r="AJ52" s="87" t="s">
        <v>125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4301071031</v>
      </c>
      <c r="D53" s="351">
        <v>4607111038982</v>
      </c>
      <c r="E53" s="351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124</v>
      </c>
      <c r="M53" s="38" t="s">
        <v>86</v>
      </c>
      <c r="N53" s="38"/>
      <c r="O53" s="37">
        <v>180</v>
      </c>
      <c r="P53" s="37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3"/>
      <c r="R53" s="353"/>
      <c r="S53" s="353"/>
      <c r="T53" s="354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135</v>
      </c>
      <c r="AG53" s="81"/>
      <c r="AJ53" s="87" t="s">
        <v>125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4301071046</v>
      </c>
      <c r="D54" s="351">
        <v>4607111039354</v>
      </c>
      <c r="E54" s="351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124</v>
      </c>
      <c r="M54" s="38" t="s">
        <v>86</v>
      </c>
      <c r="N54" s="38"/>
      <c r="O54" s="37">
        <v>180</v>
      </c>
      <c r="P54" s="37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3"/>
      <c r="R54" s="353"/>
      <c r="S54" s="353"/>
      <c r="T54" s="354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125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4301071047</v>
      </c>
      <c r="D55" s="351">
        <v>4607111039330</v>
      </c>
      <c r="E55" s="351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3"/>
      <c r="R55" s="353"/>
      <c r="S55" s="353"/>
      <c r="T55" s="354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114</v>
      </c>
      <c r="AK55" s="87">
        <v>84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3"/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4"/>
      <c r="P56" s="360" t="s">
        <v>40</v>
      </c>
      <c r="Q56" s="361"/>
      <c r="R56" s="361"/>
      <c r="S56" s="361"/>
      <c r="T56" s="361"/>
      <c r="U56" s="361"/>
      <c r="V56" s="362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3"/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4"/>
      <c r="P57" s="360" t="s">
        <v>40</v>
      </c>
      <c r="Q57" s="361"/>
      <c r="R57" s="361"/>
      <c r="S57" s="361"/>
      <c r="T57" s="361"/>
      <c r="U57" s="361"/>
      <c r="V57" s="362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9" t="s">
        <v>140</v>
      </c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65"/>
      <c r="AB58" s="65"/>
      <c r="AC58" s="82"/>
    </row>
    <row r="59" spans="1:68" ht="14.25" customHeight="1" x14ac:dyDescent="0.25">
      <c r="A59" s="350" t="s">
        <v>82</v>
      </c>
      <c r="B59" s="350"/>
      <c r="C59" s="350"/>
      <c r="D59" s="350"/>
      <c r="E59" s="350"/>
      <c r="F59" s="350"/>
      <c r="G59" s="350"/>
      <c r="H59" s="350"/>
      <c r="I59" s="350"/>
      <c r="J59" s="350"/>
      <c r="K59" s="350"/>
      <c r="L59" s="350"/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350"/>
      <c r="AA59" s="66"/>
      <c r="AB59" s="66"/>
      <c r="AC59" s="83"/>
    </row>
    <row r="60" spans="1:68" ht="16.5" customHeight="1" x14ac:dyDescent="0.25">
      <c r="A60" s="63" t="s">
        <v>141</v>
      </c>
      <c r="B60" s="63" t="s">
        <v>142</v>
      </c>
      <c r="C60" s="36">
        <v>4301071073</v>
      </c>
      <c r="D60" s="351">
        <v>4620207490822</v>
      </c>
      <c r="E60" s="351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3"/>
      <c r="R60" s="353"/>
      <c r="S60" s="353"/>
      <c r="T60" s="354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143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3"/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4"/>
      <c r="P61" s="360" t="s">
        <v>40</v>
      </c>
      <c r="Q61" s="361"/>
      <c r="R61" s="361"/>
      <c r="S61" s="361"/>
      <c r="T61" s="361"/>
      <c r="U61" s="361"/>
      <c r="V61" s="362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3"/>
      <c r="B62" s="363"/>
      <c r="C62" s="363"/>
      <c r="D62" s="363"/>
      <c r="E62" s="363"/>
      <c r="F62" s="363"/>
      <c r="G62" s="363"/>
      <c r="H62" s="363"/>
      <c r="I62" s="363"/>
      <c r="J62" s="363"/>
      <c r="K62" s="363"/>
      <c r="L62" s="363"/>
      <c r="M62" s="363"/>
      <c r="N62" s="363"/>
      <c r="O62" s="364"/>
      <c r="P62" s="360" t="s">
        <v>40</v>
      </c>
      <c r="Q62" s="361"/>
      <c r="R62" s="361"/>
      <c r="S62" s="361"/>
      <c r="T62" s="361"/>
      <c r="U62" s="361"/>
      <c r="V62" s="362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50" t="s">
        <v>107</v>
      </c>
      <c r="B63" s="350"/>
      <c r="C63" s="350"/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  <c r="Z63" s="350"/>
      <c r="AA63" s="66"/>
      <c r="AB63" s="66"/>
      <c r="AC63" s="83"/>
    </row>
    <row r="64" spans="1:68" ht="27" customHeight="1" x14ac:dyDescent="0.25">
      <c r="A64" s="63" t="s">
        <v>144</v>
      </c>
      <c r="B64" s="63" t="s">
        <v>145</v>
      </c>
      <c r="C64" s="36">
        <v>4301132194</v>
      </c>
      <c r="D64" s="351">
        <v>4607111039712</v>
      </c>
      <c r="E64" s="351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3"/>
      <c r="R64" s="353"/>
      <c r="S64" s="353"/>
      <c r="T64" s="354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146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64"/>
      <c r="P65" s="360" t="s">
        <v>40</v>
      </c>
      <c r="Q65" s="361"/>
      <c r="R65" s="361"/>
      <c r="S65" s="361"/>
      <c r="T65" s="361"/>
      <c r="U65" s="361"/>
      <c r="V65" s="362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3"/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4"/>
      <c r="P66" s="360" t="s">
        <v>40</v>
      </c>
      <c r="Q66" s="361"/>
      <c r="R66" s="361"/>
      <c r="S66" s="361"/>
      <c r="T66" s="361"/>
      <c r="U66" s="361"/>
      <c r="V66" s="362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50" t="s">
        <v>147</v>
      </c>
      <c r="B67" s="350"/>
      <c r="C67" s="350"/>
      <c r="D67" s="350"/>
      <c r="E67" s="350"/>
      <c r="F67" s="350"/>
      <c r="G67" s="350"/>
      <c r="H67" s="350"/>
      <c r="I67" s="350"/>
      <c r="J67" s="350"/>
      <c r="K67" s="350"/>
      <c r="L67" s="350"/>
      <c r="M67" s="350"/>
      <c r="N67" s="350"/>
      <c r="O67" s="350"/>
      <c r="P67" s="350"/>
      <c r="Q67" s="350"/>
      <c r="R67" s="350"/>
      <c r="S67" s="350"/>
      <c r="T67" s="350"/>
      <c r="U67" s="350"/>
      <c r="V67" s="350"/>
      <c r="W67" s="350"/>
      <c r="X67" s="350"/>
      <c r="Y67" s="350"/>
      <c r="Z67" s="350"/>
      <c r="AA67" s="66"/>
      <c r="AB67" s="66"/>
      <c r="AC67" s="83"/>
    </row>
    <row r="68" spans="1:68" ht="16.5" customHeight="1" x14ac:dyDescent="0.25">
      <c r="A68" s="63" t="s">
        <v>148</v>
      </c>
      <c r="B68" s="63" t="s">
        <v>149</v>
      </c>
      <c r="C68" s="36">
        <v>4301136018</v>
      </c>
      <c r="D68" s="351">
        <v>4607111037008</v>
      </c>
      <c r="E68" s="351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3"/>
      <c r="R68" s="353"/>
      <c r="S68" s="353"/>
      <c r="T68" s="354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150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151</v>
      </c>
      <c r="B69" s="63" t="s">
        <v>152</v>
      </c>
      <c r="C69" s="36">
        <v>4301136015</v>
      </c>
      <c r="D69" s="351">
        <v>4607111037398</v>
      </c>
      <c r="E69" s="351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3"/>
      <c r="R69" s="353"/>
      <c r="S69" s="353"/>
      <c r="T69" s="354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150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3"/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4"/>
      <c r="P70" s="360" t="s">
        <v>40</v>
      </c>
      <c r="Q70" s="361"/>
      <c r="R70" s="361"/>
      <c r="S70" s="361"/>
      <c r="T70" s="361"/>
      <c r="U70" s="361"/>
      <c r="V70" s="362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3"/>
      <c r="B71" s="363"/>
      <c r="C71" s="363"/>
      <c r="D71" s="363"/>
      <c r="E71" s="363"/>
      <c r="F71" s="363"/>
      <c r="G71" s="363"/>
      <c r="H71" s="363"/>
      <c r="I71" s="363"/>
      <c r="J71" s="363"/>
      <c r="K71" s="363"/>
      <c r="L71" s="363"/>
      <c r="M71" s="363"/>
      <c r="N71" s="363"/>
      <c r="O71" s="364"/>
      <c r="P71" s="360" t="s">
        <v>40</v>
      </c>
      <c r="Q71" s="361"/>
      <c r="R71" s="361"/>
      <c r="S71" s="361"/>
      <c r="T71" s="361"/>
      <c r="U71" s="361"/>
      <c r="V71" s="362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50" t="s">
        <v>153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0"/>
      <c r="Q72" s="350"/>
      <c r="R72" s="350"/>
      <c r="S72" s="350"/>
      <c r="T72" s="350"/>
      <c r="U72" s="350"/>
      <c r="V72" s="350"/>
      <c r="W72" s="350"/>
      <c r="X72" s="350"/>
      <c r="Y72" s="350"/>
      <c r="Z72" s="350"/>
      <c r="AA72" s="66"/>
      <c r="AB72" s="66"/>
      <c r="AC72" s="83"/>
    </row>
    <row r="73" spans="1:68" ht="27" customHeight="1" x14ac:dyDescent="0.25">
      <c r="A73" s="63" t="s">
        <v>154</v>
      </c>
      <c r="B73" s="63" t="s">
        <v>155</v>
      </c>
      <c r="C73" s="36">
        <v>4301135664</v>
      </c>
      <c r="D73" s="351">
        <v>4607111039705</v>
      </c>
      <c r="E73" s="351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8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3"/>
      <c r="R73" s="353"/>
      <c r="S73" s="353"/>
      <c r="T73" s="354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150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156</v>
      </c>
      <c r="B74" s="63" t="s">
        <v>157</v>
      </c>
      <c r="C74" s="36">
        <v>4301135665</v>
      </c>
      <c r="D74" s="351">
        <v>4607111039729</v>
      </c>
      <c r="E74" s="351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124</v>
      </c>
      <c r="M74" s="38" t="s">
        <v>86</v>
      </c>
      <c r="N74" s="38"/>
      <c r="O74" s="37">
        <v>365</v>
      </c>
      <c r="P74" s="38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3"/>
      <c r="R74" s="353"/>
      <c r="S74" s="353"/>
      <c r="T74" s="354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158</v>
      </c>
      <c r="AG74" s="81"/>
      <c r="AJ74" s="87" t="s">
        <v>125</v>
      </c>
      <c r="AK74" s="87">
        <v>14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159</v>
      </c>
      <c r="B75" s="63" t="s">
        <v>160</v>
      </c>
      <c r="C75" s="36">
        <v>4301135702</v>
      </c>
      <c r="D75" s="351">
        <v>4620207490228</v>
      </c>
      <c r="E75" s="351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124</v>
      </c>
      <c r="M75" s="38" t="s">
        <v>86</v>
      </c>
      <c r="N75" s="38"/>
      <c r="O75" s="37">
        <v>365</v>
      </c>
      <c r="P75" s="38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3"/>
      <c r="R75" s="353"/>
      <c r="S75" s="353"/>
      <c r="T75" s="354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158</v>
      </c>
      <c r="AG75" s="81"/>
      <c r="AJ75" s="87" t="s">
        <v>125</v>
      </c>
      <c r="AK75" s="87">
        <v>14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3"/>
      <c r="B76" s="363"/>
      <c r="C76" s="363"/>
      <c r="D76" s="363"/>
      <c r="E76" s="363"/>
      <c r="F76" s="363"/>
      <c r="G76" s="363"/>
      <c r="H76" s="363"/>
      <c r="I76" s="363"/>
      <c r="J76" s="363"/>
      <c r="K76" s="363"/>
      <c r="L76" s="363"/>
      <c r="M76" s="363"/>
      <c r="N76" s="363"/>
      <c r="O76" s="364"/>
      <c r="P76" s="360" t="s">
        <v>40</v>
      </c>
      <c r="Q76" s="361"/>
      <c r="R76" s="361"/>
      <c r="S76" s="361"/>
      <c r="T76" s="361"/>
      <c r="U76" s="361"/>
      <c r="V76" s="362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3"/>
      <c r="B77" s="363"/>
      <c r="C77" s="363"/>
      <c r="D77" s="363"/>
      <c r="E77" s="363"/>
      <c r="F77" s="363"/>
      <c r="G77" s="363"/>
      <c r="H77" s="363"/>
      <c r="I77" s="363"/>
      <c r="J77" s="363"/>
      <c r="K77" s="363"/>
      <c r="L77" s="363"/>
      <c r="M77" s="363"/>
      <c r="N77" s="363"/>
      <c r="O77" s="364"/>
      <c r="P77" s="360" t="s">
        <v>40</v>
      </c>
      <c r="Q77" s="361"/>
      <c r="R77" s="361"/>
      <c r="S77" s="361"/>
      <c r="T77" s="361"/>
      <c r="U77" s="361"/>
      <c r="V77" s="362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9" t="s">
        <v>161</v>
      </c>
      <c r="B78" s="349"/>
      <c r="C78" s="349"/>
      <c r="D78" s="349"/>
      <c r="E78" s="349"/>
      <c r="F78" s="349"/>
      <c r="G78" s="349"/>
      <c r="H78" s="349"/>
      <c r="I78" s="349"/>
      <c r="J78" s="349"/>
      <c r="K78" s="349"/>
      <c r="L78" s="349"/>
      <c r="M78" s="349"/>
      <c r="N78" s="349"/>
      <c r="O78" s="349"/>
      <c r="P78" s="349"/>
      <c r="Q78" s="349"/>
      <c r="R78" s="349"/>
      <c r="S78" s="349"/>
      <c r="T78" s="349"/>
      <c r="U78" s="349"/>
      <c r="V78" s="349"/>
      <c r="W78" s="349"/>
      <c r="X78" s="349"/>
      <c r="Y78" s="349"/>
      <c r="Z78" s="349"/>
      <c r="AA78" s="65"/>
      <c r="AB78" s="65"/>
      <c r="AC78" s="82"/>
    </row>
    <row r="79" spans="1:68" ht="14.25" customHeight="1" x14ac:dyDescent="0.25">
      <c r="A79" s="350" t="s">
        <v>82</v>
      </c>
      <c r="B79" s="350"/>
      <c r="C79" s="350"/>
      <c r="D79" s="350"/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50"/>
      <c r="Z79" s="350"/>
      <c r="AA79" s="66"/>
      <c r="AB79" s="66"/>
      <c r="AC79" s="83"/>
    </row>
    <row r="80" spans="1:68" ht="27" customHeight="1" x14ac:dyDescent="0.25">
      <c r="A80" s="63" t="s">
        <v>162</v>
      </c>
      <c r="B80" s="63" t="s">
        <v>163</v>
      </c>
      <c r="C80" s="36">
        <v>4301070977</v>
      </c>
      <c r="D80" s="351">
        <v>4607111037411</v>
      </c>
      <c r="E80" s="351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165</v>
      </c>
      <c r="L80" s="37" t="s">
        <v>124</v>
      </c>
      <c r="M80" s="38" t="s">
        <v>86</v>
      </c>
      <c r="N80" s="38"/>
      <c r="O80" s="37">
        <v>180</v>
      </c>
      <c r="P80" s="38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3"/>
      <c r="R80" s="353"/>
      <c r="S80" s="353"/>
      <c r="T80" s="354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164</v>
      </c>
      <c r="AG80" s="81"/>
      <c r="AJ80" s="87" t="s">
        <v>125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166</v>
      </c>
      <c r="B81" s="63" t="s">
        <v>167</v>
      </c>
      <c r="C81" s="36">
        <v>4301070981</v>
      </c>
      <c r="D81" s="351">
        <v>4607111036728</v>
      </c>
      <c r="E81" s="351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8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3"/>
      <c r="R81" s="353"/>
      <c r="S81" s="353"/>
      <c r="T81" s="354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164</v>
      </c>
      <c r="AG81" s="81"/>
      <c r="AJ81" s="87" t="s">
        <v>114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3"/>
      <c r="B82" s="363"/>
      <c r="C82" s="363"/>
      <c r="D82" s="363"/>
      <c r="E82" s="363"/>
      <c r="F82" s="363"/>
      <c r="G82" s="363"/>
      <c r="H82" s="363"/>
      <c r="I82" s="363"/>
      <c r="J82" s="363"/>
      <c r="K82" s="363"/>
      <c r="L82" s="363"/>
      <c r="M82" s="363"/>
      <c r="N82" s="363"/>
      <c r="O82" s="364"/>
      <c r="P82" s="360" t="s">
        <v>40</v>
      </c>
      <c r="Q82" s="361"/>
      <c r="R82" s="361"/>
      <c r="S82" s="361"/>
      <c r="T82" s="361"/>
      <c r="U82" s="361"/>
      <c r="V82" s="362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3"/>
      <c r="B83" s="363"/>
      <c r="C83" s="363"/>
      <c r="D83" s="363"/>
      <c r="E83" s="363"/>
      <c r="F83" s="363"/>
      <c r="G83" s="363"/>
      <c r="H83" s="363"/>
      <c r="I83" s="363"/>
      <c r="J83" s="363"/>
      <c r="K83" s="363"/>
      <c r="L83" s="363"/>
      <c r="M83" s="363"/>
      <c r="N83" s="363"/>
      <c r="O83" s="364"/>
      <c r="P83" s="360" t="s">
        <v>40</v>
      </c>
      <c r="Q83" s="361"/>
      <c r="R83" s="361"/>
      <c r="S83" s="361"/>
      <c r="T83" s="361"/>
      <c r="U83" s="361"/>
      <c r="V83" s="362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9" t="s">
        <v>168</v>
      </c>
      <c r="B84" s="349"/>
      <c r="C84" s="349"/>
      <c r="D84" s="349"/>
      <c r="E84" s="349"/>
      <c r="F84" s="349"/>
      <c r="G84" s="349"/>
      <c r="H84" s="349"/>
      <c r="I84" s="349"/>
      <c r="J84" s="349"/>
      <c r="K84" s="349"/>
      <c r="L84" s="349"/>
      <c r="M84" s="349"/>
      <c r="N84" s="349"/>
      <c r="O84" s="349"/>
      <c r="P84" s="349"/>
      <c r="Q84" s="349"/>
      <c r="R84" s="349"/>
      <c r="S84" s="349"/>
      <c r="T84" s="349"/>
      <c r="U84" s="349"/>
      <c r="V84" s="349"/>
      <c r="W84" s="349"/>
      <c r="X84" s="349"/>
      <c r="Y84" s="349"/>
      <c r="Z84" s="349"/>
      <c r="AA84" s="65"/>
      <c r="AB84" s="65"/>
      <c r="AC84" s="82"/>
    </row>
    <row r="85" spans="1:68" ht="14.25" customHeight="1" x14ac:dyDescent="0.25">
      <c r="A85" s="350" t="s">
        <v>153</v>
      </c>
      <c r="B85" s="350"/>
      <c r="C85" s="350"/>
      <c r="D85" s="350"/>
      <c r="E85" s="350"/>
      <c r="F85" s="350"/>
      <c r="G85" s="350"/>
      <c r="H85" s="350"/>
      <c r="I85" s="350"/>
      <c r="J85" s="350"/>
      <c r="K85" s="350"/>
      <c r="L85" s="350"/>
      <c r="M85" s="350"/>
      <c r="N85" s="350"/>
      <c r="O85" s="350"/>
      <c r="P85" s="350"/>
      <c r="Q85" s="350"/>
      <c r="R85" s="350"/>
      <c r="S85" s="350"/>
      <c r="T85" s="350"/>
      <c r="U85" s="350"/>
      <c r="V85" s="350"/>
      <c r="W85" s="350"/>
      <c r="X85" s="350"/>
      <c r="Y85" s="350"/>
      <c r="Z85" s="350"/>
      <c r="AA85" s="66"/>
      <c r="AB85" s="66"/>
      <c r="AC85" s="83"/>
    </row>
    <row r="86" spans="1:68" ht="27" customHeight="1" x14ac:dyDescent="0.25">
      <c r="A86" s="63" t="s">
        <v>169</v>
      </c>
      <c r="B86" s="63" t="s">
        <v>170</v>
      </c>
      <c r="C86" s="36">
        <v>4301135574</v>
      </c>
      <c r="D86" s="351">
        <v>4607111033659</v>
      </c>
      <c r="E86" s="351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124</v>
      </c>
      <c r="M86" s="38" t="s">
        <v>86</v>
      </c>
      <c r="N86" s="38"/>
      <c r="O86" s="37">
        <v>180</v>
      </c>
      <c r="P86" s="3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3"/>
      <c r="R86" s="353"/>
      <c r="S86" s="353"/>
      <c r="T86" s="354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171</v>
      </c>
      <c r="AG86" s="81"/>
      <c r="AJ86" s="87" t="s">
        <v>125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3"/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4"/>
      <c r="P87" s="360" t="s">
        <v>40</v>
      </c>
      <c r="Q87" s="361"/>
      <c r="R87" s="361"/>
      <c r="S87" s="361"/>
      <c r="T87" s="361"/>
      <c r="U87" s="361"/>
      <c r="V87" s="362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3"/>
      <c r="B88" s="363"/>
      <c r="C88" s="363"/>
      <c r="D88" s="363"/>
      <c r="E88" s="363"/>
      <c r="F88" s="363"/>
      <c r="G88" s="363"/>
      <c r="H88" s="363"/>
      <c r="I88" s="363"/>
      <c r="J88" s="363"/>
      <c r="K88" s="363"/>
      <c r="L88" s="363"/>
      <c r="M88" s="363"/>
      <c r="N88" s="363"/>
      <c r="O88" s="364"/>
      <c r="P88" s="360" t="s">
        <v>40</v>
      </c>
      <c r="Q88" s="361"/>
      <c r="R88" s="361"/>
      <c r="S88" s="361"/>
      <c r="T88" s="361"/>
      <c r="U88" s="361"/>
      <c r="V88" s="362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9" t="s">
        <v>172</v>
      </c>
      <c r="B89" s="349"/>
      <c r="C89" s="349"/>
      <c r="D89" s="349"/>
      <c r="E89" s="349"/>
      <c r="F89" s="349"/>
      <c r="G89" s="349"/>
      <c r="H89" s="349"/>
      <c r="I89" s="349"/>
      <c r="J89" s="349"/>
      <c r="K89" s="349"/>
      <c r="L89" s="349"/>
      <c r="M89" s="349"/>
      <c r="N89" s="349"/>
      <c r="O89" s="349"/>
      <c r="P89" s="349"/>
      <c r="Q89" s="349"/>
      <c r="R89" s="349"/>
      <c r="S89" s="349"/>
      <c r="T89" s="349"/>
      <c r="U89" s="349"/>
      <c r="V89" s="349"/>
      <c r="W89" s="349"/>
      <c r="X89" s="349"/>
      <c r="Y89" s="349"/>
      <c r="Z89" s="349"/>
      <c r="AA89" s="65"/>
      <c r="AB89" s="65"/>
      <c r="AC89" s="82"/>
    </row>
    <row r="90" spans="1:68" ht="14.25" customHeight="1" x14ac:dyDescent="0.25">
      <c r="A90" s="350" t="s">
        <v>173</v>
      </c>
      <c r="B90" s="350"/>
      <c r="C90" s="350"/>
      <c r="D90" s="350"/>
      <c r="E90" s="350"/>
      <c r="F90" s="350"/>
      <c r="G90" s="350"/>
      <c r="H90" s="350"/>
      <c r="I90" s="350"/>
      <c r="J90" s="350"/>
      <c r="K90" s="350"/>
      <c r="L90" s="350"/>
      <c r="M90" s="350"/>
      <c r="N90" s="350"/>
      <c r="O90" s="350"/>
      <c r="P90" s="350"/>
      <c r="Q90" s="350"/>
      <c r="R90" s="350"/>
      <c r="S90" s="350"/>
      <c r="T90" s="350"/>
      <c r="U90" s="350"/>
      <c r="V90" s="350"/>
      <c r="W90" s="350"/>
      <c r="X90" s="350"/>
      <c r="Y90" s="350"/>
      <c r="Z90" s="350"/>
      <c r="AA90" s="66"/>
      <c r="AB90" s="66"/>
      <c r="AC90" s="83"/>
    </row>
    <row r="91" spans="1:68" ht="27" customHeight="1" x14ac:dyDescent="0.25">
      <c r="A91" s="63" t="s">
        <v>174</v>
      </c>
      <c r="B91" s="63" t="s">
        <v>175</v>
      </c>
      <c r="C91" s="36">
        <v>4301131047</v>
      </c>
      <c r="D91" s="351">
        <v>4607111034120</v>
      </c>
      <c r="E91" s="351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124</v>
      </c>
      <c r="M91" s="38" t="s">
        <v>86</v>
      </c>
      <c r="N91" s="38"/>
      <c r="O91" s="37">
        <v>180</v>
      </c>
      <c r="P91" s="38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3"/>
      <c r="R91" s="353"/>
      <c r="S91" s="353"/>
      <c r="T91" s="354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176</v>
      </c>
      <c r="AG91" s="81"/>
      <c r="AJ91" s="87" t="s">
        <v>125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177</v>
      </c>
      <c r="B92" s="63" t="s">
        <v>178</v>
      </c>
      <c r="C92" s="36">
        <v>4301131046</v>
      </c>
      <c r="D92" s="351">
        <v>4607111034137</v>
      </c>
      <c r="E92" s="351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124</v>
      </c>
      <c r="M92" s="38" t="s">
        <v>86</v>
      </c>
      <c r="N92" s="38"/>
      <c r="O92" s="37">
        <v>180</v>
      </c>
      <c r="P92" s="38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3"/>
      <c r="R92" s="353"/>
      <c r="S92" s="353"/>
      <c r="T92" s="354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179</v>
      </c>
      <c r="AG92" s="81"/>
      <c r="AJ92" s="87" t="s">
        <v>125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3"/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4"/>
      <c r="P93" s="360" t="s">
        <v>40</v>
      </c>
      <c r="Q93" s="361"/>
      <c r="R93" s="361"/>
      <c r="S93" s="361"/>
      <c r="T93" s="361"/>
      <c r="U93" s="361"/>
      <c r="V93" s="362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3"/>
      <c r="B94" s="363"/>
      <c r="C94" s="363"/>
      <c r="D94" s="363"/>
      <c r="E94" s="363"/>
      <c r="F94" s="363"/>
      <c r="G94" s="363"/>
      <c r="H94" s="363"/>
      <c r="I94" s="363"/>
      <c r="J94" s="363"/>
      <c r="K94" s="363"/>
      <c r="L94" s="363"/>
      <c r="M94" s="363"/>
      <c r="N94" s="363"/>
      <c r="O94" s="364"/>
      <c r="P94" s="360" t="s">
        <v>40</v>
      </c>
      <c r="Q94" s="361"/>
      <c r="R94" s="361"/>
      <c r="S94" s="361"/>
      <c r="T94" s="361"/>
      <c r="U94" s="361"/>
      <c r="V94" s="362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9" t="s">
        <v>180</v>
      </c>
      <c r="B95" s="349"/>
      <c r="C95" s="349"/>
      <c r="D95" s="349"/>
      <c r="E95" s="349"/>
      <c r="F95" s="349"/>
      <c r="G95" s="349"/>
      <c r="H95" s="349"/>
      <c r="I95" s="349"/>
      <c r="J95" s="349"/>
      <c r="K95" s="349"/>
      <c r="L95" s="349"/>
      <c r="M95" s="349"/>
      <c r="N95" s="349"/>
      <c r="O95" s="349"/>
      <c r="P95" s="349"/>
      <c r="Q95" s="349"/>
      <c r="R95" s="349"/>
      <c r="S95" s="349"/>
      <c r="T95" s="349"/>
      <c r="U95" s="349"/>
      <c r="V95" s="349"/>
      <c r="W95" s="349"/>
      <c r="X95" s="349"/>
      <c r="Y95" s="349"/>
      <c r="Z95" s="349"/>
      <c r="AA95" s="65"/>
      <c r="AB95" s="65"/>
      <c r="AC95" s="82"/>
    </row>
    <row r="96" spans="1:68" ht="14.25" customHeight="1" x14ac:dyDescent="0.25">
      <c r="A96" s="350" t="s">
        <v>153</v>
      </c>
      <c r="B96" s="350"/>
      <c r="C96" s="350"/>
      <c r="D96" s="350"/>
      <c r="E96" s="350"/>
      <c r="F96" s="350"/>
      <c r="G96" s="350"/>
      <c r="H96" s="350"/>
      <c r="I96" s="350"/>
      <c r="J96" s="350"/>
      <c r="K96" s="350"/>
      <c r="L96" s="350"/>
      <c r="M96" s="350"/>
      <c r="N96" s="350"/>
      <c r="O96" s="350"/>
      <c r="P96" s="350"/>
      <c r="Q96" s="350"/>
      <c r="R96" s="350"/>
      <c r="S96" s="350"/>
      <c r="T96" s="350"/>
      <c r="U96" s="350"/>
      <c r="V96" s="350"/>
      <c r="W96" s="350"/>
      <c r="X96" s="350"/>
      <c r="Y96" s="350"/>
      <c r="Z96" s="350"/>
      <c r="AA96" s="66"/>
      <c r="AB96" s="66"/>
      <c r="AC96" s="83"/>
    </row>
    <row r="97" spans="1:68" ht="27" customHeight="1" x14ac:dyDescent="0.25">
      <c r="A97" s="63" t="s">
        <v>181</v>
      </c>
      <c r="B97" s="63" t="s">
        <v>182</v>
      </c>
      <c r="C97" s="36">
        <v>4301135763</v>
      </c>
      <c r="D97" s="351">
        <v>4620207491027</v>
      </c>
      <c r="E97" s="351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124</v>
      </c>
      <c r="M97" s="38" t="s">
        <v>86</v>
      </c>
      <c r="N97" s="38"/>
      <c r="O97" s="37">
        <v>180</v>
      </c>
      <c r="P97" s="3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3"/>
      <c r="R97" s="353"/>
      <c r="S97" s="353"/>
      <c r="T97" s="354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171</v>
      </c>
      <c r="AG97" s="81"/>
      <c r="AJ97" s="87" t="s">
        <v>125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183</v>
      </c>
      <c r="B98" s="63" t="s">
        <v>184</v>
      </c>
      <c r="C98" s="36">
        <v>4301135793</v>
      </c>
      <c r="D98" s="351">
        <v>4620207491003</v>
      </c>
      <c r="E98" s="351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3"/>
      <c r="R98" s="353"/>
      <c r="S98" s="353"/>
      <c r="T98" s="354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171</v>
      </c>
      <c r="AG98" s="81"/>
      <c r="AJ98" s="87" t="s">
        <v>114</v>
      </c>
      <c r="AK98" s="87">
        <v>70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4301135768</v>
      </c>
      <c r="D99" s="351">
        <v>4620207491034</v>
      </c>
      <c r="E99" s="351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88</v>
      </c>
      <c r="M99" s="38" t="s">
        <v>86</v>
      </c>
      <c r="N99" s="38"/>
      <c r="O99" s="37">
        <v>180</v>
      </c>
      <c r="P99" s="39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3"/>
      <c r="R99" s="353"/>
      <c r="S99" s="353"/>
      <c r="T99" s="354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187</v>
      </c>
      <c r="AG99" s="81"/>
      <c r="AJ99" s="87" t="s">
        <v>89</v>
      </c>
      <c r="AK99" s="87">
        <v>1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4301135760</v>
      </c>
      <c r="D100" s="351">
        <v>4620207491010</v>
      </c>
      <c r="E100" s="351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9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3"/>
      <c r="R100" s="353"/>
      <c r="S100" s="353"/>
      <c r="T100" s="354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171</v>
      </c>
      <c r="AG100" s="81"/>
      <c r="AJ100" s="87" t="s">
        <v>114</v>
      </c>
      <c r="AK100" s="87">
        <v>70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4301135571</v>
      </c>
      <c r="D101" s="351">
        <v>4607111035028</v>
      </c>
      <c r="E101" s="351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88</v>
      </c>
      <c r="M101" s="38" t="s">
        <v>86</v>
      </c>
      <c r="N101" s="38"/>
      <c r="O101" s="37">
        <v>180</v>
      </c>
      <c r="P101" s="39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3"/>
      <c r="R101" s="353"/>
      <c r="S101" s="353"/>
      <c r="T101" s="354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171</v>
      </c>
      <c r="AG101" s="81"/>
      <c r="AJ101" s="87" t="s">
        <v>89</v>
      </c>
      <c r="AK101" s="87">
        <v>1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4301135285</v>
      </c>
      <c r="D102" s="351">
        <v>4607111036407</v>
      </c>
      <c r="E102" s="351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124</v>
      </c>
      <c r="M102" s="38" t="s">
        <v>86</v>
      </c>
      <c r="N102" s="38"/>
      <c r="O102" s="37">
        <v>180</v>
      </c>
      <c r="P102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3"/>
      <c r="R102" s="353"/>
      <c r="S102" s="353"/>
      <c r="T102" s="354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194</v>
      </c>
      <c r="AG102" s="81"/>
      <c r="AJ102" s="87" t="s">
        <v>125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3"/>
      <c r="B103" s="363"/>
      <c r="C103" s="363"/>
      <c r="D103" s="363"/>
      <c r="E103" s="363"/>
      <c r="F103" s="363"/>
      <c r="G103" s="363"/>
      <c r="H103" s="363"/>
      <c r="I103" s="363"/>
      <c r="J103" s="363"/>
      <c r="K103" s="363"/>
      <c r="L103" s="363"/>
      <c r="M103" s="363"/>
      <c r="N103" s="363"/>
      <c r="O103" s="364"/>
      <c r="P103" s="360" t="s">
        <v>40</v>
      </c>
      <c r="Q103" s="361"/>
      <c r="R103" s="361"/>
      <c r="S103" s="361"/>
      <c r="T103" s="361"/>
      <c r="U103" s="361"/>
      <c r="V103" s="362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3"/>
      <c r="B104" s="363"/>
      <c r="C104" s="363"/>
      <c r="D104" s="363"/>
      <c r="E104" s="363"/>
      <c r="F104" s="363"/>
      <c r="G104" s="363"/>
      <c r="H104" s="363"/>
      <c r="I104" s="363"/>
      <c r="J104" s="363"/>
      <c r="K104" s="363"/>
      <c r="L104" s="363"/>
      <c r="M104" s="363"/>
      <c r="N104" s="363"/>
      <c r="O104" s="364"/>
      <c r="P104" s="360" t="s">
        <v>40</v>
      </c>
      <c r="Q104" s="361"/>
      <c r="R104" s="361"/>
      <c r="S104" s="361"/>
      <c r="T104" s="361"/>
      <c r="U104" s="361"/>
      <c r="V104" s="362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9" t="s">
        <v>195</v>
      </c>
      <c r="B105" s="349"/>
      <c r="C105" s="349"/>
      <c r="D105" s="349"/>
      <c r="E105" s="349"/>
      <c r="F105" s="349"/>
      <c r="G105" s="349"/>
      <c r="H105" s="349"/>
      <c r="I105" s="349"/>
      <c r="J105" s="349"/>
      <c r="K105" s="349"/>
      <c r="L105" s="349"/>
      <c r="M105" s="349"/>
      <c r="N105" s="349"/>
      <c r="O105" s="349"/>
      <c r="P105" s="349"/>
      <c r="Q105" s="349"/>
      <c r="R105" s="349"/>
      <c r="S105" s="349"/>
      <c r="T105" s="349"/>
      <c r="U105" s="349"/>
      <c r="V105" s="349"/>
      <c r="W105" s="349"/>
      <c r="X105" s="349"/>
      <c r="Y105" s="349"/>
      <c r="Z105" s="349"/>
      <c r="AA105" s="65"/>
      <c r="AB105" s="65"/>
      <c r="AC105" s="82"/>
    </row>
    <row r="106" spans="1:68" ht="14.25" customHeight="1" x14ac:dyDescent="0.25">
      <c r="A106" s="350" t="s">
        <v>147</v>
      </c>
      <c r="B106" s="350"/>
      <c r="C106" s="350"/>
      <c r="D106" s="350"/>
      <c r="E106" s="350"/>
      <c r="F106" s="350"/>
      <c r="G106" s="350"/>
      <c r="H106" s="350"/>
      <c r="I106" s="350"/>
      <c r="J106" s="350"/>
      <c r="K106" s="350"/>
      <c r="L106" s="350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  <c r="X106" s="350"/>
      <c r="Y106" s="350"/>
      <c r="Z106" s="350"/>
      <c r="AA106" s="66"/>
      <c r="AB106" s="66"/>
      <c r="AC106" s="83"/>
    </row>
    <row r="107" spans="1:68" ht="27" customHeight="1" x14ac:dyDescent="0.25">
      <c r="A107" s="63" t="s">
        <v>196</v>
      </c>
      <c r="B107" s="63" t="s">
        <v>197</v>
      </c>
      <c r="C107" s="36">
        <v>4301136070</v>
      </c>
      <c r="D107" s="351">
        <v>4607025784012</v>
      </c>
      <c r="E107" s="351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124</v>
      </c>
      <c r="M107" s="38" t="s">
        <v>86</v>
      </c>
      <c r="N107" s="38"/>
      <c r="O107" s="37">
        <v>180</v>
      </c>
      <c r="P107" s="39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3"/>
      <c r="R107" s="353"/>
      <c r="S107" s="353"/>
      <c r="T107" s="354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198</v>
      </c>
      <c r="AG107" s="81"/>
      <c r="AJ107" s="87" t="s">
        <v>125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199</v>
      </c>
      <c r="B108" s="63" t="s">
        <v>200</v>
      </c>
      <c r="C108" s="36">
        <v>4301136079</v>
      </c>
      <c r="D108" s="351">
        <v>4607025784319</v>
      </c>
      <c r="E108" s="351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88</v>
      </c>
      <c r="M108" s="38" t="s">
        <v>86</v>
      </c>
      <c r="N108" s="38"/>
      <c r="O108" s="37">
        <v>180</v>
      </c>
      <c r="P108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3"/>
      <c r="R108" s="353"/>
      <c r="S108" s="353"/>
      <c r="T108" s="354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171</v>
      </c>
      <c r="AG108" s="81"/>
      <c r="AJ108" s="87" t="s">
        <v>89</v>
      </c>
      <c r="AK108" s="87">
        <v>1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3"/>
      <c r="B109" s="363"/>
      <c r="C109" s="363"/>
      <c r="D109" s="363"/>
      <c r="E109" s="363"/>
      <c r="F109" s="363"/>
      <c r="G109" s="363"/>
      <c r="H109" s="363"/>
      <c r="I109" s="363"/>
      <c r="J109" s="363"/>
      <c r="K109" s="363"/>
      <c r="L109" s="363"/>
      <c r="M109" s="363"/>
      <c r="N109" s="363"/>
      <c r="O109" s="364"/>
      <c r="P109" s="360" t="s">
        <v>40</v>
      </c>
      <c r="Q109" s="361"/>
      <c r="R109" s="361"/>
      <c r="S109" s="361"/>
      <c r="T109" s="361"/>
      <c r="U109" s="361"/>
      <c r="V109" s="362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64"/>
      <c r="P110" s="360" t="s">
        <v>40</v>
      </c>
      <c r="Q110" s="361"/>
      <c r="R110" s="361"/>
      <c r="S110" s="361"/>
      <c r="T110" s="361"/>
      <c r="U110" s="361"/>
      <c r="V110" s="362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9" t="s">
        <v>201</v>
      </c>
      <c r="B111" s="349"/>
      <c r="C111" s="349"/>
      <c r="D111" s="349"/>
      <c r="E111" s="349"/>
      <c r="F111" s="349"/>
      <c r="G111" s="349"/>
      <c r="H111" s="349"/>
      <c r="I111" s="349"/>
      <c r="J111" s="349"/>
      <c r="K111" s="349"/>
      <c r="L111" s="349"/>
      <c r="M111" s="349"/>
      <c r="N111" s="349"/>
      <c r="O111" s="349"/>
      <c r="P111" s="349"/>
      <c r="Q111" s="349"/>
      <c r="R111" s="349"/>
      <c r="S111" s="349"/>
      <c r="T111" s="349"/>
      <c r="U111" s="349"/>
      <c r="V111" s="349"/>
      <c r="W111" s="349"/>
      <c r="X111" s="349"/>
      <c r="Y111" s="349"/>
      <c r="Z111" s="349"/>
      <c r="AA111" s="65"/>
      <c r="AB111" s="65"/>
      <c r="AC111" s="82"/>
    </row>
    <row r="112" spans="1:68" ht="14.25" customHeight="1" x14ac:dyDescent="0.25">
      <c r="A112" s="350" t="s">
        <v>82</v>
      </c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  <c r="Z112" s="350"/>
      <c r="AA112" s="66"/>
      <c r="AB112" s="66"/>
      <c r="AC112" s="83"/>
    </row>
    <row r="113" spans="1:68" ht="27" customHeight="1" x14ac:dyDescent="0.25">
      <c r="A113" s="63" t="s">
        <v>202</v>
      </c>
      <c r="B113" s="63" t="s">
        <v>203</v>
      </c>
      <c r="C113" s="36">
        <v>4301071074</v>
      </c>
      <c r="D113" s="351">
        <v>4620207491157</v>
      </c>
      <c r="E113" s="351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124</v>
      </c>
      <c r="M113" s="38" t="s">
        <v>86</v>
      </c>
      <c r="N113" s="38"/>
      <c r="O113" s="37">
        <v>180</v>
      </c>
      <c r="P113" s="39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53"/>
      <c r="R113" s="353"/>
      <c r="S113" s="353"/>
      <c r="T113" s="354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46</v>
      </c>
      <c r="AC113" s="163" t="s">
        <v>204</v>
      </c>
      <c r="AG113" s="81"/>
      <c r="AJ113" s="87" t="s">
        <v>125</v>
      </c>
      <c r="AK113" s="87">
        <v>12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4301071121</v>
      </c>
      <c r="D114" s="351">
        <v>4620207491393</v>
      </c>
      <c r="E114" s="351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53"/>
      <c r="R114" s="353"/>
      <c r="S114" s="353"/>
      <c r="T114" s="354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51">
        <v>4607111039262</v>
      </c>
      <c r="E115" s="351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124</v>
      </c>
      <c r="M115" s="38" t="s">
        <v>86</v>
      </c>
      <c r="N115" s="38"/>
      <c r="O115" s="37">
        <v>180</v>
      </c>
      <c r="P115" s="39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3"/>
      <c r="R115" s="353"/>
      <c r="S115" s="353"/>
      <c r="T115" s="354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164</v>
      </c>
      <c r="AG115" s="81"/>
      <c r="AJ115" s="87" t="s">
        <v>125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51">
        <v>4607111039248</v>
      </c>
      <c r="E116" s="351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3"/>
      <c r="R116" s="353"/>
      <c r="S116" s="353"/>
      <c r="T116" s="354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164</v>
      </c>
      <c r="AG116" s="81"/>
      <c r="AJ116" s="87" t="s">
        <v>114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51">
        <v>4607111037145</v>
      </c>
      <c r="E117" s="351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40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3"/>
      <c r="R117" s="353"/>
      <c r="S117" s="353"/>
      <c r="T117" s="354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51">
        <v>4607111039293</v>
      </c>
      <c r="E118" s="351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124</v>
      </c>
      <c r="M118" s="38" t="s">
        <v>86</v>
      </c>
      <c r="N118" s="38"/>
      <c r="O118" s="37">
        <v>180</v>
      </c>
      <c r="P118" s="40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3"/>
      <c r="R118" s="353"/>
      <c r="S118" s="353"/>
      <c r="T118" s="354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164</v>
      </c>
      <c r="AG118" s="81"/>
      <c r="AJ118" s="87" t="s">
        <v>125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51">
        <v>4607111039279</v>
      </c>
      <c r="E119" s="351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3"/>
      <c r="R119" s="353"/>
      <c r="S119" s="353"/>
      <c r="T119" s="354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164</v>
      </c>
      <c r="AG119" s="81"/>
      <c r="AJ119" s="87" t="s">
        <v>114</v>
      </c>
      <c r="AK119" s="87">
        <v>84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351">
        <v>4620207491102</v>
      </c>
      <c r="E120" s="351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40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53"/>
      <c r="R120" s="353"/>
      <c r="S120" s="353"/>
      <c r="T120" s="354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363"/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4"/>
      <c r="P121" s="360" t="s">
        <v>40</v>
      </c>
      <c r="Q121" s="361"/>
      <c r="R121" s="361"/>
      <c r="S121" s="361"/>
      <c r="T121" s="361"/>
      <c r="U121" s="361"/>
      <c r="V121" s="362"/>
      <c r="W121" s="42" t="s">
        <v>39</v>
      </c>
      <c r="X121" s="43">
        <f>IFERROR(SUM(X113:X120),"0")</f>
        <v>0</v>
      </c>
      <c r="Y121" s="43">
        <f>IFERROR(SUM(Y113:Y120),"0")</f>
        <v>0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363"/>
      <c r="B122" s="363"/>
      <c r="C122" s="363"/>
      <c r="D122" s="363"/>
      <c r="E122" s="363"/>
      <c r="F122" s="363"/>
      <c r="G122" s="363"/>
      <c r="H122" s="363"/>
      <c r="I122" s="363"/>
      <c r="J122" s="363"/>
      <c r="K122" s="363"/>
      <c r="L122" s="363"/>
      <c r="M122" s="363"/>
      <c r="N122" s="363"/>
      <c r="O122" s="364"/>
      <c r="P122" s="360" t="s">
        <v>40</v>
      </c>
      <c r="Q122" s="361"/>
      <c r="R122" s="361"/>
      <c r="S122" s="361"/>
      <c r="T122" s="361"/>
      <c r="U122" s="361"/>
      <c r="V122" s="362"/>
      <c r="W122" s="42" t="s">
        <v>0</v>
      </c>
      <c r="X122" s="43">
        <f>IFERROR(SUMPRODUCT(X113:X120*H113:H120),"0")</f>
        <v>0</v>
      </c>
      <c r="Y122" s="43">
        <f>IFERROR(SUMPRODUCT(Y113:Y120*H113:H120),"0")</f>
        <v>0</v>
      </c>
      <c r="Z122" s="42"/>
      <c r="AA122" s="67"/>
      <c r="AB122" s="67"/>
      <c r="AC122" s="67"/>
    </row>
    <row r="123" spans="1:68" ht="14.25" customHeight="1" x14ac:dyDescent="0.25">
      <c r="A123" s="350" t="s">
        <v>153</v>
      </c>
      <c r="B123" s="350"/>
      <c r="C123" s="350"/>
      <c r="D123" s="350"/>
      <c r="E123" s="350"/>
      <c r="F123" s="350"/>
      <c r="G123" s="350"/>
      <c r="H123" s="350"/>
      <c r="I123" s="350"/>
      <c r="J123" s="350"/>
      <c r="K123" s="350"/>
      <c r="L123" s="350"/>
      <c r="M123" s="350"/>
      <c r="N123" s="350"/>
      <c r="O123" s="350"/>
      <c r="P123" s="350"/>
      <c r="Q123" s="350"/>
      <c r="R123" s="350"/>
      <c r="S123" s="350"/>
      <c r="T123" s="350"/>
      <c r="U123" s="350"/>
      <c r="V123" s="350"/>
      <c r="W123" s="350"/>
      <c r="X123" s="350"/>
      <c r="Y123" s="350"/>
      <c r="Z123" s="350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4301135826</v>
      </c>
      <c r="D124" s="351">
        <v>4620207490983</v>
      </c>
      <c r="E124" s="351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88</v>
      </c>
      <c r="M124" s="38" t="s">
        <v>86</v>
      </c>
      <c r="N124" s="38"/>
      <c r="O124" s="37">
        <v>180</v>
      </c>
      <c r="P124" s="40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3"/>
      <c r="R124" s="353"/>
      <c r="S124" s="353"/>
      <c r="T124" s="354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89</v>
      </c>
      <c r="AK124" s="87">
        <v>1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63"/>
      <c r="B125" s="363"/>
      <c r="C125" s="363"/>
      <c r="D125" s="363"/>
      <c r="E125" s="363"/>
      <c r="F125" s="363"/>
      <c r="G125" s="363"/>
      <c r="H125" s="363"/>
      <c r="I125" s="363"/>
      <c r="J125" s="363"/>
      <c r="K125" s="363"/>
      <c r="L125" s="363"/>
      <c r="M125" s="363"/>
      <c r="N125" s="363"/>
      <c r="O125" s="364"/>
      <c r="P125" s="360" t="s">
        <v>40</v>
      </c>
      <c r="Q125" s="361"/>
      <c r="R125" s="361"/>
      <c r="S125" s="361"/>
      <c r="T125" s="361"/>
      <c r="U125" s="361"/>
      <c r="V125" s="362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63"/>
      <c r="B126" s="363"/>
      <c r="C126" s="363"/>
      <c r="D126" s="363"/>
      <c r="E126" s="363"/>
      <c r="F126" s="363"/>
      <c r="G126" s="363"/>
      <c r="H126" s="363"/>
      <c r="I126" s="363"/>
      <c r="J126" s="363"/>
      <c r="K126" s="363"/>
      <c r="L126" s="363"/>
      <c r="M126" s="363"/>
      <c r="N126" s="363"/>
      <c r="O126" s="364"/>
      <c r="P126" s="360" t="s">
        <v>40</v>
      </c>
      <c r="Q126" s="361"/>
      <c r="R126" s="361"/>
      <c r="S126" s="361"/>
      <c r="T126" s="361"/>
      <c r="U126" s="361"/>
      <c r="V126" s="362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350" t="s">
        <v>225</v>
      </c>
      <c r="B127" s="350"/>
      <c r="C127" s="350"/>
      <c r="D127" s="350"/>
      <c r="E127" s="350"/>
      <c r="F127" s="350"/>
      <c r="G127" s="350"/>
      <c r="H127" s="350"/>
      <c r="I127" s="350"/>
      <c r="J127" s="350"/>
      <c r="K127" s="350"/>
      <c r="L127" s="350"/>
      <c r="M127" s="350"/>
      <c r="N127" s="350"/>
      <c r="O127" s="350"/>
      <c r="P127" s="350"/>
      <c r="Q127" s="350"/>
      <c r="R127" s="350"/>
      <c r="S127" s="350"/>
      <c r="T127" s="350"/>
      <c r="U127" s="350"/>
      <c r="V127" s="350"/>
      <c r="W127" s="350"/>
      <c r="X127" s="350"/>
      <c r="Y127" s="350"/>
      <c r="Z127" s="350"/>
      <c r="AA127" s="66"/>
      <c r="AB127" s="66"/>
      <c r="AC127" s="83"/>
    </row>
    <row r="128" spans="1:68" ht="27" customHeight="1" x14ac:dyDescent="0.25">
      <c r="A128" s="63" t="s">
        <v>226</v>
      </c>
      <c r="B128" s="63" t="s">
        <v>227</v>
      </c>
      <c r="C128" s="36">
        <v>4301071094</v>
      </c>
      <c r="D128" s="351">
        <v>4620207491140</v>
      </c>
      <c r="E128" s="351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40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3"/>
      <c r="R128" s="353"/>
      <c r="S128" s="353"/>
      <c r="T128" s="354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228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64"/>
      <c r="P129" s="360" t="s">
        <v>40</v>
      </c>
      <c r="Q129" s="361"/>
      <c r="R129" s="361"/>
      <c r="S129" s="361"/>
      <c r="T129" s="361"/>
      <c r="U129" s="361"/>
      <c r="V129" s="362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63"/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4"/>
      <c r="P130" s="360" t="s">
        <v>40</v>
      </c>
      <c r="Q130" s="361"/>
      <c r="R130" s="361"/>
      <c r="S130" s="361"/>
      <c r="T130" s="361"/>
      <c r="U130" s="361"/>
      <c r="V130" s="362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9" t="s">
        <v>229</v>
      </c>
      <c r="B131" s="349"/>
      <c r="C131" s="349"/>
      <c r="D131" s="349"/>
      <c r="E131" s="349"/>
      <c r="F131" s="349"/>
      <c r="G131" s="349"/>
      <c r="H131" s="349"/>
      <c r="I131" s="349"/>
      <c r="J131" s="349"/>
      <c r="K131" s="349"/>
      <c r="L131" s="349"/>
      <c r="M131" s="349"/>
      <c r="N131" s="349"/>
      <c r="O131" s="349"/>
      <c r="P131" s="349"/>
      <c r="Q131" s="349"/>
      <c r="R131" s="349"/>
      <c r="S131" s="349"/>
      <c r="T131" s="349"/>
      <c r="U131" s="349"/>
      <c r="V131" s="349"/>
      <c r="W131" s="349"/>
      <c r="X131" s="349"/>
      <c r="Y131" s="349"/>
      <c r="Z131" s="349"/>
      <c r="AA131" s="65"/>
      <c r="AB131" s="65"/>
      <c r="AC131" s="82"/>
    </row>
    <row r="132" spans="1:68" ht="14.25" customHeight="1" x14ac:dyDescent="0.25">
      <c r="A132" s="350" t="s">
        <v>153</v>
      </c>
      <c r="B132" s="350"/>
      <c r="C132" s="350"/>
      <c r="D132" s="350"/>
      <c r="E132" s="350"/>
      <c r="F132" s="350"/>
      <c r="G132" s="350"/>
      <c r="H132" s="350"/>
      <c r="I132" s="350"/>
      <c r="J132" s="350"/>
      <c r="K132" s="350"/>
      <c r="L132" s="350"/>
      <c r="M132" s="350"/>
      <c r="N132" s="350"/>
      <c r="O132" s="350"/>
      <c r="P132" s="350"/>
      <c r="Q132" s="350"/>
      <c r="R132" s="350"/>
      <c r="S132" s="350"/>
      <c r="T132" s="350"/>
      <c r="U132" s="350"/>
      <c r="V132" s="350"/>
      <c r="W132" s="350"/>
      <c r="X132" s="350"/>
      <c r="Y132" s="350"/>
      <c r="Z132" s="350"/>
      <c r="AA132" s="66"/>
      <c r="AB132" s="66"/>
      <c r="AC132" s="83"/>
    </row>
    <row r="133" spans="1:68" ht="27" customHeight="1" x14ac:dyDescent="0.25">
      <c r="A133" s="63" t="s">
        <v>230</v>
      </c>
      <c r="B133" s="63" t="s">
        <v>231</v>
      </c>
      <c r="C133" s="36">
        <v>4301135555</v>
      </c>
      <c r="D133" s="351">
        <v>4607111034014</v>
      </c>
      <c r="E133" s="351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40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53"/>
      <c r="R133" s="353"/>
      <c r="S133" s="353"/>
      <c r="T133" s="354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232</v>
      </c>
      <c r="AG133" s="81"/>
      <c r="AJ133" s="87" t="s">
        <v>114</v>
      </c>
      <c r="AK133" s="87">
        <v>70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233</v>
      </c>
      <c r="B134" s="63" t="s">
        <v>234</v>
      </c>
      <c r="C134" s="36">
        <v>4301135532</v>
      </c>
      <c r="D134" s="351">
        <v>4607111033994</v>
      </c>
      <c r="E134" s="351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113</v>
      </c>
      <c r="M134" s="38" t="s">
        <v>86</v>
      </c>
      <c r="N134" s="38"/>
      <c r="O134" s="37">
        <v>180</v>
      </c>
      <c r="P134" s="40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53"/>
      <c r="R134" s="353"/>
      <c r="S134" s="353"/>
      <c r="T134" s="354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171</v>
      </c>
      <c r="AG134" s="81"/>
      <c r="AJ134" s="87" t="s">
        <v>114</v>
      </c>
      <c r="AK134" s="87">
        <v>70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63"/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4"/>
      <c r="P135" s="360" t="s">
        <v>40</v>
      </c>
      <c r="Q135" s="361"/>
      <c r="R135" s="361"/>
      <c r="S135" s="361"/>
      <c r="T135" s="361"/>
      <c r="U135" s="361"/>
      <c r="V135" s="362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63"/>
      <c r="B136" s="363"/>
      <c r="C136" s="363"/>
      <c r="D136" s="363"/>
      <c r="E136" s="363"/>
      <c r="F136" s="363"/>
      <c r="G136" s="363"/>
      <c r="H136" s="363"/>
      <c r="I136" s="363"/>
      <c r="J136" s="363"/>
      <c r="K136" s="363"/>
      <c r="L136" s="363"/>
      <c r="M136" s="363"/>
      <c r="N136" s="363"/>
      <c r="O136" s="364"/>
      <c r="P136" s="360" t="s">
        <v>40</v>
      </c>
      <c r="Q136" s="361"/>
      <c r="R136" s="361"/>
      <c r="S136" s="361"/>
      <c r="T136" s="361"/>
      <c r="U136" s="361"/>
      <c r="V136" s="362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9" t="s">
        <v>235</v>
      </c>
      <c r="B137" s="349"/>
      <c r="C137" s="349"/>
      <c r="D137" s="349"/>
      <c r="E137" s="349"/>
      <c r="F137" s="349"/>
      <c r="G137" s="349"/>
      <c r="H137" s="349"/>
      <c r="I137" s="349"/>
      <c r="J137" s="349"/>
      <c r="K137" s="349"/>
      <c r="L137" s="349"/>
      <c r="M137" s="349"/>
      <c r="N137" s="349"/>
      <c r="O137" s="349"/>
      <c r="P137" s="349"/>
      <c r="Q137" s="349"/>
      <c r="R137" s="349"/>
      <c r="S137" s="349"/>
      <c r="T137" s="349"/>
      <c r="U137" s="349"/>
      <c r="V137" s="349"/>
      <c r="W137" s="349"/>
      <c r="X137" s="349"/>
      <c r="Y137" s="349"/>
      <c r="Z137" s="349"/>
      <c r="AA137" s="65"/>
      <c r="AB137" s="65"/>
      <c r="AC137" s="82"/>
    </row>
    <row r="138" spans="1:68" ht="14.25" customHeight="1" x14ac:dyDescent="0.25">
      <c r="A138" s="350" t="s">
        <v>153</v>
      </c>
      <c r="B138" s="350"/>
      <c r="C138" s="350"/>
      <c r="D138" s="350"/>
      <c r="E138" s="350"/>
      <c r="F138" s="350"/>
      <c r="G138" s="350"/>
      <c r="H138" s="350"/>
      <c r="I138" s="350"/>
      <c r="J138" s="350"/>
      <c r="K138" s="350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0"/>
      <c r="Y138" s="350"/>
      <c r="Z138" s="350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51">
        <v>4607111039095</v>
      </c>
      <c r="E139" s="351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40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53"/>
      <c r="R139" s="353"/>
      <c r="S139" s="353"/>
      <c r="T139" s="354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51">
        <v>4607111034199</v>
      </c>
      <c r="E140" s="351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113</v>
      </c>
      <c r="M140" s="38" t="s">
        <v>86</v>
      </c>
      <c r="N140" s="38"/>
      <c r="O140" s="37">
        <v>180</v>
      </c>
      <c r="P140" s="40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53"/>
      <c r="R140" s="353"/>
      <c r="S140" s="353"/>
      <c r="T140" s="354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114</v>
      </c>
      <c r="AK140" s="87">
        <v>70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63"/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4"/>
      <c r="P141" s="360" t="s">
        <v>40</v>
      </c>
      <c r="Q141" s="361"/>
      <c r="R141" s="361"/>
      <c r="S141" s="361"/>
      <c r="T141" s="361"/>
      <c r="U141" s="361"/>
      <c r="V141" s="362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63"/>
      <c r="B142" s="363"/>
      <c r="C142" s="363"/>
      <c r="D142" s="363"/>
      <c r="E142" s="363"/>
      <c r="F142" s="363"/>
      <c r="G142" s="363"/>
      <c r="H142" s="363"/>
      <c r="I142" s="363"/>
      <c r="J142" s="363"/>
      <c r="K142" s="363"/>
      <c r="L142" s="363"/>
      <c r="M142" s="363"/>
      <c r="N142" s="363"/>
      <c r="O142" s="364"/>
      <c r="P142" s="360" t="s">
        <v>40</v>
      </c>
      <c r="Q142" s="361"/>
      <c r="R142" s="361"/>
      <c r="S142" s="361"/>
      <c r="T142" s="361"/>
      <c r="U142" s="361"/>
      <c r="V142" s="362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9" t="s">
        <v>242</v>
      </c>
      <c r="B143" s="349"/>
      <c r="C143" s="349"/>
      <c r="D143" s="349"/>
      <c r="E143" s="349"/>
      <c r="F143" s="349"/>
      <c r="G143" s="349"/>
      <c r="H143" s="349"/>
      <c r="I143" s="349"/>
      <c r="J143" s="349"/>
      <c r="K143" s="349"/>
      <c r="L143" s="349"/>
      <c r="M143" s="349"/>
      <c r="N143" s="349"/>
      <c r="O143" s="349"/>
      <c r="P143" s="349"/>
      <c r="Q143" s="349"/>
      <c r="R143" s="349"/>
      <c r="S143" s="349"/>
      <c r="T143" s="349"/>
      <c r="U143" s="349"/>
      <c r="V143" s="349"/>
      <c r="W143" s="349"/>
      <c r="X143" s="349"/>
      <c r="Y143" s="349"/>
      <c r="Z143" s="349"/>
      <c r="AA143" s="65"/>
      <c r="AB143" s="65"/>
      <c r="AC143" s="82"/>
    </row>
    <row r="144" spans="1:68" ht="14.25" customHeight="1" x14ac:dyDescent="0.25">
      <c r="A144" s="350" t="s">
        <v>153</v>
      </c>
      <c r="B144" s="350"/>
      <c r="C144" s="350"/>
      <c r="D144" s="350"/>
      <c r="E144" s="350"/>
      <c r="F144" s="350"/>
      <c r="G144" s="350"/>
      <c r="H144" s="350"/>
      <c r="I144" s="350"/>
      <c r="J144" s="350"/>
      <c r="K144" s="350"/>
      <c r="L144" s="350"/>
      <c r="M144" s="350"/>
      <c r="N144" s="350"/>
      <c r="O144" s="350"/>
      <c r="P144" s="350"/>
      <c r="Q144" s="350"/>
      <c r="R144" s="350"/>
      <c r="S144" s="350"/>
      <c r="T144" s="350"/>
      <c r="U144" s="350"/>
      <c r="V144" s="350"/>
      <c r="W144" s="350"/>
      <c r="X144" s="350"/>
      <c r="Y144" s="350"/>
      <c r="Z144" s="350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51">
        <v>4620207490914</v>
      </c>
      <c r="E145" s="351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41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53"/>
      <c r="R145" s="353"/>
      <c r="S145" s="353"/>
      <c r="T145" s="354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232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51">
        <v>4620207490853</v>
      </c>
      <c r="E146" s="351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124</v>
      </c>
      <c r="M146" s="38" t="s">
        <v>86</v>
      </c>
      <c r="N146" s="38"/>
      <c r="O146" s="37">
        <v>180</v>
      </c>
      <c r="P146" s="41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53"/>
      <c r="R146" s="353"/>
      <c r="S146" s="353"/>
      <c r="T146" s="354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232</v>
      </c>
      <c r="AG146" s="81"/>
      <c r="AJ146" s="87" t="s">
        <v>125</v>
      </c>
      <c r="AK146" s="87">
        <v>14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63"/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4"/>
      <c r="P147" s="360" t="s">
        <v>40</v>
      </c>
      <c r="Q147" s="361"/>
      <c r="R147" s="361"/>
      <c r="S147" s="361"/>
      <c r="T147" s="361"/>
      <c r="U147" s="361"/>
      <c r="V147" s="362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63"/>
      <c r="B148" s="363"/>
      <c r="C148" s="363"/>
      <c r="D148" s="363"/>
      <c r="E148" s="363"/>
      <c r="F148" s="363"/>
      <c r="G148" s="363"/>
      <c r="H148" s="363"/>
      <c r="I148" s="363"/>
      <c r="J148" s="363"/>
      <c r="K148" s="363"/>
      <c r="L148" s="363"/>
      <c r="M148" s="363"/>
      <c r="N148" s="363"/>
      <c r="O148" s="364"/>
      <c r="P148" s="360" t="s">
        <v>40</v>
      </c>
      <c r="Q148" s="361"/>
      <c r="R148" s="361"/>
      <c r="S148" s="361"/>
      <c r="T148" s="361"/>
      <c r="U148" s="361"/>
      <c r="V148" s="362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9" t="s">
        <v>247</v>
      </c>
      <c r="B149" s="349"/>
      <c r="C149" s="349"/>
      <c r="D149" s="349"/>
      <c r="E149" s="349"/>
      <c r="F149" s="349"/>
      <c r="G149" s="349"/>
      <c r="H149" s="349"/>
      <c r="I149" s="349"/>
      <c r="J149" s="349"/>
      <c r="K149" s="349"/>
      <c r="L149" s="349"/>
      <c r="M149" s="349"/>
      <c r="N149" s="349"/>
      <c r="O149" s="349"/>
      <c r="P149" s="349"/>
      <c r="Q149" s="349"/>
      <c r="R149" s="349"/>
      <c r="S149" s="349"/>
      <c r="T149" s="349"/>
      <c r="U149" s="349"/>
      <c r="V149" s="349"/>
      <c r="W149" s="349"/>
      <c r="X149" s="349"/>
      <c r="Y149" s="349"/>
      <c r="Z149" s="349"/>
      <c r="AA149" s="65"/>
      <c r="AB149" s="65"/>
      <c r="AC149" s="82"/>
    </row>
    <row r="150" spans="1:68" ht="14.25" customHeight="1" x14ac:dyDescent="0.25">
      <c r="A150" s="350" t="s">
        <v>153</v>
      </c>
      <c r="B150" s="350"/>
      <c r="C150" s="350"/>
      <c r="D150" s="350"/>
      <c r="E150" s="350"/>
      <c r="F150" s="350"/>
      <c r="G150" s="350"/>
      <c r="H150" s="350"/>
      <c r="I150" s="350"/>
      <c r="J150" s="350"/>
      <c r="K150" s="350"/>
      <c r="L150" s="350"/>
      <c r="M150" s="350"/>
      <c r="N150" s="350"/>
      <c r="O150" s="350"/>
      <c r="P150" s="350"/>
      <c r="Q150" s="350"/>
      <c r="R150" s="350"/>
      <c r="S150" s="350"/>
      <c r="T150" s="350"/>
      <c r="U150" s="350"/>
      <c r="V150" s="350"/>
      <c r="W150" s="350"/>
      <c r="X150" s="350"/>
      <c r="Y150" s="350"/>
      <c r="Z150" s="350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51">
        <v>4607111035806</v>
      </c>
      <c r="E151" s="351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124</v>
      </c>
      <c r="M151" s="38" t="s">
        <v>86</v>
      </c>
      <c r="N151" s="38"/>
      <c r="O151" s="37">
        <v>180</v>
      </c>
      <c r="P151" s="41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53"/>
      <c r="R151" s="353"/>
      <c r="S151" s="353"/>
      <c r="T151" s="354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125</v>
      </c>
      <c r="AK151" s="87">
        <v>14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63"/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4"/>
      <c r="P152" s="360" t="s">
        <v>40</v>
      </c>
      <c r="Q152" s="361"/>
      <c r="R152" s="361"/>
      <c r="S152" s="361"/>
      <c r="T152" s="361"/>
      <c r="U152" s="361"/>
      <c r="V152" s="362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63"/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4"/>
      <c r="P153" s="360" t="s">
        <v>40</v>
      </c>
      <c r="Q153" s="361"/>
      <c r="R153" s="361"/>
      <c r="S153" s="361"/>
      <c r="T153" s="361"/>
      <c r="U153" s="361"/>
      <c r="V153" s="362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9" t="s">
        <v>251</v>
      </c>
      <c r="B154" s="349"/>
      <c r="C154" s="349"/>
      <c r="D154" s="349"/>
      <c r="E154" s="349"/>
      <c r="F154" s="349"/>
      <c r="G154" s="349"/>
      <c r="H154" s="349"/>
      <c r="I154" s="349"/>
      <c r="J154" s="349"/>
      <c r="K154" s="349"/>
      <c r="L154" s="349"/>
      <c r="M154" s="349"/>
      <c r="N154" s="349"/>
      <c r="O154" s="349"/>
      <c r="P154" s="349"/>
      <c r="Q154" s="349"/>
      <c r="R154" s="349"/>
      <c r="S154" s="349"/>
      <c r="T154" s="349"/>
      <c r="U154" s="349"/>
      <c r="V154" s="349"/>
      <c r="W154" s="349"/>
      <c r="X154" s="349"/>
      <c r="Y154" s="349"/>
      <c r="Z154" s="349"/>
      <c r="AA154" s="65"/>
      <c r="AB154" s="65"/>
      <c r="AC154" s="82"/>
    </row>
    <row r="155" spans="1:68" ht="14.25" customHeight="1" x14ac:dyDescent="0.25">
      <c r="A155" s="350" t="s">
        <v>153</v>
      </c>
      <c r="B155" s="350"/>
      <c r="C155" s="350"/>
      <c r="D155" s="350"/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0"/>
      <c r="Q155" s="350"/>
      <c r="R155" s="350"/>
      <c r="S155" s="350"/>
      <c r="T155" s="350"/>
      <c r="U155" s="350"/>
      <c r="V155" s="350"/>
      <c r="W155" s="350"/>
      <c r="X155" s="350"/>
      <c r="Y155" s="350"/>
      <c r="Z155" s="350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51">
        <v>4607111039613</v>
      </c>
      <c r="E156" s="351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124</v>
      </c>
      <c r="M156" s="38" t="s">
        <v>86</v>
      </c>
      <c r="N156" s="38"/>
      <c r="O156" s="37">
        <v>180</v>
      </c>
      <c r="P156" s="41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53"/>
      <c r="R156" s="353"/>
      <c r="S156" s="353"/>
      <c r="T156" s="354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125</v>
      </c>
      <c r="AK156" s="87">
        <v>14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64"/>
      <c r="P157" s="360" t="s">
        <v>40</v>
      </c>
      <c r="Q157" s="361"/>
      <c r="R157" s="361"/>
      <c r="S157" s="361"/>
      <c r="T157" s="361"/>
      <c r="U157" s="361"/>
      <c r="V157" s="362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63"/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4"/>
      <c r="P158" s="360" t="s">
        <v>40</v>
      </c>
      <c r="Q158" s="361"/>
      <c r="R158" s="361"/>
      <c r="S158" s="361"/>
      <c r="T158" s="361"/>
      <c r="U158" s="361"/>
      <c r="V158" s="362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9" t="s">
        <v>254</v>
      </c>
      <c r="B159" s="349"/>
      <c r="C159" s="349"/>
      <c r="D159" s="349"/>
      <c r="E159" s="349"/>
      <c r="F159" s="349"/>
      <c r="G159" s="349"/>
      <c r="H159" s="349"/>
      <c r="I159" s="349"/>
      <c r="J159" s="349"/>
      <c r="K159" s="349"/>
      <c r="L159" s="349"/>
      <c r="M159" s="349"/>
      <c r="N159" s="349"/>
      <c r="O159" s="349"/>
      <c r="P159" s="349"/>
      <c r="Q159" s="349"/>
      <c r="R159" s="349"/>
      <c r="S159" s="349"/>
      <c r="T159" s="349"/>
      <c r="U159" s="349"/>
      <c r="V159" s="349"/>
      <c r="W159" s="349"/>
      <c r="X159" s="349"/>
      <c r="Y159" s="349"/>
      <c r="Z159" s="349"/>
      <c r="AA159" s="65"/>
      <c r="AB159" s="65"/>
      <c r="AC159" s="82"/>
    </row>
    <row r="160" spans="1:68" ht="14.25" customHeight="1" x14ac:dyDescent="0.25">
      <c r="A160" s="350" t="s">
        <v>225</v>
      </c>
      <c r="B160" s="350"/>
      <c r="C160" s="350"/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  <c r="W160" s="350"/>
      <c r="X160" s="350"/>
      <c r="Y160" s="350"/>
      <c r="Z160" s="350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51">
        <v>4607111035646</v>
      </c>
      <c r="E161" s="351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88</v>
      </c>
      <c r="M161" s="38" t="s">
        <v>86</v>
      </c>
      <c r="N161" s="38"/>
      <c r="O161" s="37">
        <v>180</v>
      </c>
      <c r="P161" s="41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53"/>
      <c r="R161" s="353"/>
      <c r="S161" s="353"/>
      <c r="T161" s="354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89</v>
      </c>
      <c r="AK161" s="87">
        <v>1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64"/>
      <c r="P162" s="360" t="s">
        <v>40</v>
      </c>
      <c r="Q162" s="361"/>
      <c r="R162" s="361"/>
      <c r="S162" s="361"/>
      <c r="T162" s="361"/>
      <c r="U162" s="361"/>
      <c r="V162" s="362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63"/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4"/>
      <c r="P163" s="360" t="s">
        <v>40</v>
      </c>
      <c r="Q163" s="361"/>
      <c r="R163" s="361"/>
      <c r="S163" s="361"/>
      <c r="T163" s="361"/>
      <c r="U163" s="361"/>
      <c r="V163" s="362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9" t="s">
        <v>259</v>
      </c>
      <c r="B164" s="349"/>
      <c r="C164" s="349"/>
      <c r="D164" s="349"/>
      <c r="E164" s="349"/>
      <c r="F164" s="349"/>
      <c r="G164" s="349"/>
      <c r="H164" s="349"/>
      <c r="I164" s="349"/>
      <c r="J164" s="349"/>
      <c r="K164" s="349"/>
      <c r="L164" s="349"/>
      <c r="M164" s="349"/>
      <c r="N164" s="349"/>
      <c r="O164" s="349"/>
      <c r="P164" s="349"/>
      <c r="Q164" s="349"/>
      <c r="R164" s="349"/>
      <c r="S164" s="349"/>
      <c r="T164" s="349"/>
      <c r="U164" s="349"/>
      <c r="V164" s="349"/>
      <c r="W164" s="349"/>
      <c r="X164" s="349"/>
      <c r="Y164" s="349"/>
      <c r="Z164" s="349"/>
      <c r="AA164" s="65"/>
      <c r="AB164" s="65"/>
      <c r="AC164" s="82"/>
    </row>
    <row r="165" spans="1:68" ht="14.25" customHeight="1" x14ac:dyDescent="0.25">
      <c r="A165" s="350" t="s">
        <v>153</v>
      </c>
      <c r="B165" s="350"/>
      <c r="C165" s="350"/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0"/>
      <c r="Q165" s="350"/>
      <c r="R165" s="350"/>
      <c r="S165" s="350"/>
      <c r="T165" s="350"/>
      <c r="U165" s="350"/>
      <c r="V165" s="350"/>
      <c r="W165" s="350"/>
      <c r="X165" s="350"/>
      <c r="Y165" s="350"/>
      <c r="Z165" s="350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51">
        <v>4607111036568</v>
      </c>
      <c r="E166" s="351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88</v>
      </c>
      <c r="M166" s="38" t="s">
        <v>86</v>
      </c>
      <c r="N166" s="38"/>
      <c r="O166" s="37">
        <v>180</v>
      </c>
      <c r="P166" s="41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53"/>
      <c r="R166" s="353"/>
      <c r="S166" s="353"/>
      <c r="T166" s="354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89</v>
      </c>
      <c r="AK166" s="87">
        <v>1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6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64"/>
      <c r="P167" s="360" t="s">
        <v>40</v>
      </c>
      <c r="Q167" s="361"/>
      <c r="R167" s="361"/>
      <c r="S167" s="361"/>
      <c r="T167" s="361"/>
      <c r="U167" s="361"/>
      <c r="V167" s="362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64"/>
      <c r="P168" s="360" t="s">
        <v>40</v>
      </c>
      <c r="Q168" s="361"/>
      <c r="R168" s="361"/>
      <c r="S168" s="361"/>
      <c r="T168" s="361"/>
      <c r="U168" s="361"/>
      <c r="V168" s="362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8" t="s">
        <v>263</v>
      </c>
      <c r="B169" s="348"/>
      <c r="C169" s="348"/>
      <c r="D169" s="348"/>
      <c r="E169" s="348"/>
      <c r="F169" s="348"/>
      <c r="G169" s="348"/>
      <c r="H169" s="348"/>
      <c r="I169" s="348"/>
      <c r="J169" s="348"/>
      <c r="K169" s="348"/>
      <c r="L169" s="348"/>
      <c r="M169" s="348"/>
      <c r="N169" s="348"/>
      <c r="O169" s="348"/>
      <c r="P169" s="348"/>
      <c r="Q169" s="348"/>
      <c r="R169" s="348"/>
      <c r="S169" s="348"/>
      <c r="T169" s="348"/>
      <c r="U169" s="348"/>
      <c r="V169" s="348"/>
      <c r="W169" s="348"/>
      <c r="X169" s="348"/>
      <c r="Y169" s="348"/>
      <c r="Z169" s="348"/>
      <c r="AA169" s="54"/>
      <c r="AB169" s="54"/>
      <c r="AC169" s="54"/>
    </row>
    <row r="170" spans="1:68" ht="16.5" customHeight="1" x14ac:dyDescent="0.25">
      <c r="A170" s="349" t="s">
        <v>264</v>
      </c>
      <c r="B170" s="349"/>
      <c r="C170" s="349"/>
      <c r="D170" s="349"/>
      <c r="E170" s="349"/>
      <c r="F170" s="349"/>
      <c r="G170" s="349"/>
      <c r="H170" s="349"/>
      <c r="I170" s="349"/>
      <c r="J170" s="349"/>
      <c r="K170" s="349"/>
      <c r="L170" s="349"/>
      <c r="M170" s="349"/>
      <c r="N170" s="349"/>
      <c r="O170" s="349"/>
      <c r="P170" s="349"/>
      <c r="Q170" s="349"/>
      <c r="R170" s="349"/>
      <c r="S170" s="349"/>
      <c r="T170" s="349"/>
      <c r="U170" s="349"/>
      <c r="V170" s="349"/>
      <c r="W170" s="349"/>
      <c r="X170" s="349"/>
      <c r="Y170" s="349"/>
      <c r="Z170" s="349"/>
      <c r="AA170" s="65"/>
      <c r="AB170" s="65"/>
      <c r="AC170" s="82"/>
    </row>
    <row r="171" spans="1:68" ht="14.25" customHeight="1" x14ac:dyDescent="0.25">
      <c r="A171" s="350" t="s">
        <v>82</v>
      </c>
      <c r="B171" s="350"/>
      <c r="C171" s="350"/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0"/>
      <c r="Q171" s="350"/>
      <c r="R171" s="350"/>
      <c r="S171" s="350"/>
      <c r="T171" s="350"/>
      <c r="U171" s="350"/>
      <c r="V171" s="350"/>
      <c r="W171" s="350"/>
      <c r="X171" s="350"/>
      <c r="Y171" s="350"/>
      <c r="Z171" s="350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51">
        <v>4607111036384</v>
      </c>
      <c r="E172" s="351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124</v>
      </c>
      <c r="M172" s="38" t="s">
        <v>86</v>
      </c>
      <c r="N172" s="38"/>
      <c r="O172" s="37">
        <v>180</v>
      </c>
      <c r="P172" s="4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53"/>
      <c r="R172" s="353"/>
      <c r="S172" s="353"/>
      <c r="T172" s="354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125</v>
      </c>
      <c r="AK172" s="87">
        <v>12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51">
        <v>4607111036216</v>
      </c>
      <c r="E173" s="351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124</v>
      </c>
      <c r="M173" s="38" t="s">
        <v>86</v>
      </c>
      <c r="N173" s="38"/>
      <c r="O173" s="37">
        <v>180</v>
      </c>
      <c r="P173" s="4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53"/>
      <c r="R173" s="353"/>
      <c r="S173" s="353"/>
      <c r="T173" s="354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125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63"/>
      <c r="B174" s="363"/>
      <c r="C174" s="363"/>
      <c r="D174" s="363"/>
      <c r="E174" s="363"/>
      <c r="F174" s="363"/>
      <c r="G174" s="363"/>
      <c r="H174" s="363"/>
      <c r="I174" s="363"/>
      <c r="J174" s="363"/>
      <c r="K174" s="363"/>
      <c r="L174" s="363"/>
      <c r="M174" s="363"/>
      <c r="N174" s="363"/>
      <c r="O174" s="364"/>
      <c r="P174" s="360" t="s">
        <v>40</v>
      </c>
      <c r="Q174" s="361"/>
      <c r="R174" s="361"/>
      <c r="S174" s="361"/>
      <c r="T174" s="361"/>
      <c r="U174" s="361"/>
      <c r="V174" s="362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63"/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4"/>
      <c r="P175" s="360" t="s">
        <v>40</v>
      </c>
      <c r="Q175" s="361"/>
      <c r="R175" s="361"/>
      <c r="S175" s="361"/>
      <c r="T175" s="361"/>
      <c r="U175" s="361"/>
      <c r="V175" s="362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14.25" customHeight="1" x14ac:dyDescent="0.25">
      <c r="A176" s="350" t="s">
        <v>271</v>
      </c>
      <c r="B176" s="350"/>
      <c r="C176" s="350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0"/>
      <c r="Q176" s="350"/>
      <c r="R176" s="350"/>
      <c r="S176" s="350"/>
      <c r="T176" s="350"/>
      <c r="U176" s="350"/>
      <c r="V176" s="350"/>
      <c r="W176" s="350"/>
      <c r="X176" s="350"/>
      <c r="Y176" s="350"/>
      <c r="Z176" s="350"/>
      <c r="AA176" s="66"/>
      <c r="AB176" s="66"/>
      <c r="AC176" s="83"/>
    </row>
    <row r="177" spans="1:68" ht="27" customHeight="1" x14ac:dyDescent="0.25">
      <c r="A177" s="63" t="s">
        <v>272</v>
      </c>
      <c r="B177" s="63" t="s">
        <v>273</v>
      </c>
      <c r="C177" s="36">
        <v>4301080153</v>
      </c>
      <c r="D177" s="351">
        <v>4607111036827</v>
      </c>
      <c r="E177" s="351"/>
      <c r="F177" s="62">
        <v>1</v>
      </c>
      <c r="G177" s="37">
        <v>5</v>
      </c>
      <c r="H177" s="62">
        <v>5</v>
      </c>
      <c r="I177" s="62">
        <v>5.2</v>
      </c>
      <c r="J177" s="37">
        <v>144</v>
      </c>
      <c r="K177" s="37" t="s">
        <v>87</v>
      </c>
      <c r="L177" s="37" t="s">
        <v>88</v>
      </c>
      <c r="M177" s="38" t="s">
        <v>86</v>
      </c>
      <c r="N177" s="38"/>
      <c r="O177" s="37">
        <v>90</v>
      </c>
      <c r="P177" s="41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53"/>
      <c r="R177" s="353"/>
      <c r="S177" s="353"/>
      <c r="T177" s="354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07" t="s">
        <v>274</v>
      </c>
      <c r="AG177" s="81"/>
      <c r="AJ177" s="87" t="s">
        <v>89</v>
      </c>
      <c r="AK177" s="87">
        <v>1</v>
      </c>
      <c r="BB177" s="208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customHeight="1" x14ac:dyDescent="0.25">
      <c r="A178" s="63" t="s">
        <v>275</v>
      </c>
      <c r="B178" s="63" t="s">
        <v>276</v>
      </c>
      <c r="C178" s="36">
        <v>4301080154</v>
      </c>
      <c r="D178" s="351">
        <v>4607111036834</v>
      </c>
      <c r="E178" s="351"/>
      <c r="F178" s="62">
        <v>1</v>
      </c>
      <c r="G178" s="37">
        <v>5</v>
      </c>
      <c r="H178" s="62">
        <v>5</v>
      </c>
      <c r="I178" s="62">
        <v>5.2530000000000001</v>
      </c>
      <c r="J178" s="37">
        <v>144</v>
      </c>
      <c r="K178" s="37" t="s">
        <v>87</v>
      </c>
      <c r="L178" s="37" t="s">
        <v>88</v>
      </c>
      <c r="M178" s="38" t="s">
        <v>86</v>
      </c>
      <c r="N178" s="38"/>
      <c r="O178" s="37">
        <v>90</v>
      </c>
      <c r="P178" s="419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53"/>
      <c r="R178" s="353"/>
      <c r="S178" s="353"/>
      <c r="T178" s="354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09" t="s">
        <v>274</v>
      </c>
      <c r="AG178" s="81"/>
      <c r="AJ178" s="87" t="s">
        <v>89</v>
      </c>
      <c r="AK178" s="87">
        <v>1</v>
      </c>
      <c r="BB178" s="210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64"/>
      <c r="P179" s="360" t="s">
        <v>40</v>
      </c>
      <c r="Q179" s="361"/>
      <c r="R179" s="361"/>
      <c r="S179" s="361"/>
      <c r="T179" s="361"/>
      <c r="U179" s="361"/>
      <c r="V179" s="362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363"/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4"/>
      <c r="P180" s="360" t="s">
        <v>40</v>
      </c>
      <c r="Q180" s="361"/>
      <c r="R180" s="361"/>
      <c r="S180" s="361"/>
      <c r="T180" s="361"/>
      <c r="U180" s="361"/>
      <c r="V180" s="362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27.75" customHeight="1" x14ac:dyDescent="0.2">
      <c r="A181" s="348" t="s">
        <v>277</v>
      </c>
      <c r="B181" s="348"/>
      <c r="C181" s="348"/>
      <c r="D181" s="348"/>
      <c r="E181" s="348"/>
      <c r="F181" s="348"/>
      <c r="G181" s="348"/>
      <c r="H181" s="348"/>
      <c r="I181" s="348"/>
      <c r="J181" s="348"/>
      <c r="K181" s="348"/>
      <c r="L181" s="348"/>
      <c r="M181" s="348"/>
      <c r="N181" s="348"/>
      <c r="O181" s="348"/>
      <c r="P181" s="348"/>
      <c r="Q181" s="348"/>
      <c r="R181" s="348"/>
      <c r="S181" s="348"/>
      <c r="T181" s="348"/>
      <c r="U181" s="348"/>
      <c r="V181" s="348"/>
      <c r="W181" s="348"/>
      <c r="X181" s="348"/>
      <c r="Y181" s="348"/>
      <c r="Z181" s="348"/>
      <c r="AA181" s="54"/>
      <c r="AB181" s="54"/>
      <c r="AC181" s="54"/>
    </row>
    <row r="182" spans="1:68" ht="16.5" customHeight="1" x14ac:dyDescent="0.25">
      <c r="A182" s="349" t="s">
        <v>278</v>
      </c>
      <c r="B182" s="349"/>
      <c r="C182" s="349"/>
      <c r="D182" s="349"/>
      <c r="E182" s="349"/>
      <c r="F182" s="349"/>
      <c r="G182" s="349"/>
      <c r="H182" s="349"/>
      <c r="I182" s="349"/>
      <c r="J182" s="349"/>
      <c r="K182" s="349"/>
      <c r="L182" s="349"/>
      <c r="M182" s="349"/>
      <c r="N182" s="349"/>
      <c r="O182" s="349"/>
      <c r="P182" s="349"/>
      <c r="Q182" s="349"/>
      <c r="R182" s="349"/>
      <c r="S182" s="349"/>
      <c r="T182" s="349"/>
      <c r="U182" s="349"/>
      <c r="V182" s="349"/>
      <c r="W182" s="349"/>
      <c r="X182" s="349"/>
      <c r="Y182" s="349"/>
      <c r="Z182" s="349"/>
      <c r="AA182" s="65"/>
      <c r="AB182" s="65"/>
      <c r="AC182" s="82"/>
    </row>
    <row r="183" spans="1:68" ht="14.25" customHeight="1" x14ac:dyDescent="0.25">
      <c r="A183" s="350" t="s">
        <v>107</v>
      </c>
      <c r="B183" s="350"/>
      <c r="C183" s="350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0"/>
      <c r="Q183" s="350"/>
      <c r="R183" s="350"/>
      <c r="S183" s="350"/>
      <c r="T183" s="350"/>
      <c r="U183" s="350"/>
      <c r="V183" s="350"/>
      <c r="W183" s="350"/>
      <c r="X183" s="350"/>
      <c r="Y183" s="350"/>
      <c r="Z183" s="350"/>
      <c r="AA183" s="66"/>
      <c r="AB183" s="66"/>
      <c r="AC183" s="83"/>
    </row>
    <row r="184" spans="1:68" ht="16.5" customHeight="1" x14ac:dyDescent="0.25">
      <c r="A184" s="63" t="s">
        <v>279</v>
      </c>
      <c r="B184" s="63" t="s">
        <v>280</v>
      </c>
      <c r="C184" s="36">
        <v>4301132179</v>
      </c>
      <c r="D184" s="351">
        <v>4607111035691</v>
      </c>
      <c r="E184" s="351"/>
      <c r="F184" s="62">
        <v>0.25</v>
      </c>
      <c r="G184" s="37">
        <v>12</v>
      </c>
      <c r="H184" s="62">
        <v>3</v>
      </c>
      <c r="I184" s="62">
        <v>3.3879999999999999</v>
      </c>
      <c r="J184" s="37">
        <v>70</v>
      </c>
      <c r="K184" s="37" t="s">
        <v>112</v>
      </c>
      <c r="L184" s="37" t="s">
        <v>113</v>
      </c>
      <c r="M184" s="38" t="s">
        <v>86</v>
      </c>
      <c r="N184" s="38"/>
      <c r="O184" s="37">
        <v>365</v>
      </c>
      <c r="P184" s="42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4" s="353"/>
      <c r="R184" s="353"/>
      <c r="S184" s="353"/>
      <c r="T184" s="354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11" t="s">
        <v>281</v>
      </c>
      <c r="AG184" s="81"/>
      <c r="AJ184" s="87" t="s">
        <v>114</v>
      </c>
      <c r="AK184" s="87">
        <v>70</v>
      </c>
      <c r="BB184" s="212" t="s">
        <v>111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4301132182</v>
      </c>
      <c r="D185" s="351">
        <v>4607111035721</v>
      </c>
      <c r="E185" s="351"/>
      <c r="F185" s="62">
        <v>0.25</v>
      </c>
      <c r="G185" s="37">
        <v>12</v>
      </c>
      <c r="H185" s="62">
        <v>3</v>
      </c>
      <c r="I185" s="62">
        <v>3.3879999999999999</v>
      </c>
      <c r="J185" s="37">
        <v>70</v>
      </c>
      <c r="K185" s="37" t="s">
        <v>112</v>
      </c>
      <c r="L185" s="37" t="s">
        <v>113</v>
      </c>
      <c r="M185" s="38" t="s">
        <v>86</v>
      </c>
      <c r="N185" s="38"/>
      <c r="O185" s="37">
        <v>365</v>
      </c>
      <c r="P185" s="42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5" s="353"/>
      <c r="R185" s="353"/>
      <c r="S185" s="353"/>
      <c r="T185" s="354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13" t="s">
        <v>284</v>
      </c>
      <c r="AG185" s="81"/>
      <c r="AJ185" s="87" t="s">
        <v>114</v>
      </c>
      <c r="AK185" s="87">
        <v>70</v>
      </c>
      <c r="BB185" s="214" t="s">
        <v>111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4301132170</v>
      </c>
      <c r="D186" s="351">
        <v>4607111038487</v>
      </c>
      <c r="E186" s="351"/>
      <c r="F186" s="62">
        <v>0.25</v>
      </c>
      <c r="G186" s="37">
        <v>12</v>
      </c>
      <c r="H186" s="62">
        <v>3</v>
      </c>
      <c r="I186" s="62">
        <v>3.7360000000000002</v>
      </c>
      <c r="J186" s="37">
        <v>70</v>
      </c>
      <c r="K186" s="37" t="s">
        <v>112</v>
      </c>
      <c r="L186" s="37" t="s">
        <v>113</v>
      </c>
      <c r="M186" s="38" t="s">
        <v>86</v>
      </c>
      <c r="N186" s="38"/>
      <c r="O186" s="37">
        <v>180</v>
      </c>
      <c r="P186" s="42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53"/>
      <c r="R186" s="353"/>
      <c r="S186" s="353"/>
      <c r="T186" s="354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15" t="s">
        <v>287</v>
      </c>
      <c r="AG186" s="81"/>
      <c r="AJ186" s="87" t="s">
        <v>114</v>
      </c>
      <c r="AK186" s="87">
        <v>70</v>
      </c>
      <c r="BB186" s="216" t="s">
        <v>111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288</v>
      </c>
      <c r="B187" s="63" t="s">
        <v>289</v>
      </c>
      <c r="C187" s="36">
        <v>4301132243</v>
      </c>
      <c r="D187" s="351">
        <v>4620207491195</v>
      </c>
      <c r="E187" s="351"/>
      <c r="F187" s="62">
        <v>0.23</v>
      </c>
      <c r="G187" s="37">
        <v>12</v>
      </c>
      <c r="H187" s="62">
        <v>2.76</v>
      </c>
      <c r="I187" s="62">
        <v>3.1480000000000001</v>
      </c>
      <c r="J187" s="37">
        <v>70</v>
      </c>
      <c r="K187" s="37" t="s">
        <v>112</v>
      </c>
      <c r="L187" s="37" t="s">
        <v>88</v>
      </c>
      <c r="M187" s="38" t="s">
        <v>86</v>
      </c>
      <c r="N187" s="38"/>
      <c r="O187" s="37">
        <v>180</v>
      </c>
      <c r="P187" s="42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7" s="353"/>
      <c r="R187" s="353"/>
      <c r="S187" s="353"/>
      <c r="T187" s="354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17" t="s">
        <v>290</v>
      </c>
      <c r="AG187" s="81"/>
      <c r="AJ187" s="87" t="s">
        <v>89</v>
      </c>
      <c r="AK187" s="87">
        <v>1</v>
      </c>
      <c r="BB187" s="218" t="s">
        <v>111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63"/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4"/>
      <c r="P188" s="360" t="s">
        <v>40</v>
      </c>
      <c r="Q188" s="361"/>
      <c r="R188" s="361"/>
      <c r="S188" s="361"/>
      <c r="T188" s="361"/>
      <c r="U188" s="361"/>
      <c r="V188" s="362"/>
      <c r="W188" s="42" t="s">
        <v>39</v>
      </c>
      <c r="X188" s="43">
        <f>IFERROR(SUM(X184:X187),"0")</f>
        <v>0</v>
      </c>
      <c r="Y188" s="43">
        <f>IFERROR(SUM(Y184:Y187),"0")</f>
        <v>0</v>
      </c>
      <c r="Z188" s="43">
        <f>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363"/>
      <c r="B189" s="363"/>
      <c r="C189" s="363"/>
      <c r="D189" s="363"/>
      <c r="E189" s="363"/>
      <c r="F189" s="363"/>
      <c r="G189" s="363"/>
      <c r="H189" s="363"/>
      <c r="I189" s="363"/>
      <c r="J189" s="363"/>
      <c r="K189" s="363"/>
      <c r="L189" s="363"/>
      <c r="M189" s="363"/>
      <c r="N189" s="363"/>
      <c r="O189" s="364"/>
      <c r="P189" s="360" t="s">
        <v>40</v>
      </c>
      <c r="Q189" s="361"/>
      <c r="R189" s="361"/>
      <c r="S189" s="361"/>
      <c r="T189" s="361"/>
      <c r="U189" s="361"/>
      <c r="V189" s="362"/>
      <c r="W189" s="42" t="s">
        <v>0</v>
      </c>
      <c r="X189" s="43">
        <f>IFERROR(SUMPRODUCT(X184:X187*H184:H187),"0")</f>
        <v>0</v>
      </c>
      <c r="Y189" s="43">
        <f>IFERROR(SUMPRODUCT(Y184:Y187*H184:H187),"0")</f>
        <v>0</v>
      </c>
      <c r="Z189" s="42"/>
      <c r="AA189" s="67"/>
      <c r="AB189" s="67"/>
      <c r="AC189" s="67"/>
    </row>
    <row r="190" spans="1:68" ht="14.25" customHeight="1" x14ac:dyDescent="0.25">
      <c r="A190" s="350" t="s">
        <v>291</v>
      </c>
      <c r="B190" s="350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0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4301051855</v>
      </c>
      <c r="D191" s="351">
        <v>4680115885875</v>
      </c>
      <c r="E191" s="351"/>
      <c r="F191" s="62">
        <v>1</v>
      </c>
      <c r="G191" s="37">
        <v>9</v>
      </c>
      <c r="H191" s="62">
        <v>9</v>
      </c>
      <c r="I191" s="62">
        <v>9.41</v>
      </c>
      <c r="J191" s="37">
        <v>64</v>
      </c>
      <c r="K191" s="37" t="s">
        <v>298</v>
      </c>
      <c r="L191" s="37" t="s">
        <v>88</v>
      </c>
      <c r="M191" s="38" t="s">
        <v>297</v>
      </c>
      <c r="N191" s="38"/>
      <c r="O191" s="37">
        <v>365</v>
      </c>
      <c r="P191" s="424" t="s">
        <v>294</v>
      </c>
      <c r="Q191" s="353"/>
      <c r="R191" s="353"/>
      <c r="S191" s="353"/>
      <c r="T191" s="354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IFERROR(IF(X191="","",X191*0.01898),"")</f>
        <v>0</v>
      </c>
      <c r="AA191" s="68" t="s">
        <v>46</v>
      </c>
      <c r="AB191" s="69" t="s">
        <v>46</v>
      </c>
      <c r="AC191" s="219" t="s">
        <v>295</v>
      </c>
      <c r="AG191" s="81"/>
      <c r="AJ191" s="87" t="s">
        <v>89</v>
      </c>
      <c r="AK191" s="87">
        <v>1</v>
      </c>
      <c r="BB191" s="220" t="s">
        <v>296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64"/>
      <c r="P192" s="360" t="s">
        <v>40</v>
      </c>
      <c r="Q192" s="361"/>
      <c r="R192" s="361"/>
      <c r="S192" s="361"/>
      <c r="T192" s="361"/>
      <c r="U192" s="361"/>
      <c r="V192" s="362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63"/>
      <c r="B193" s="363"/>
      <c r="C193" s="363"/>
      <c r="D193" s="363"/>
      <c r="E193" s="363"/>
      <c r="F193" s="363"/>
      <c r="G193" s="363"/>
      <c r="H193" s="363"/>
      <c r="I193" s="363"/>
      <c r="J193" s="363"/>
      <c r="K193" s="363"/>
      <c r="L193" s="363"/>
      <c r="M193" s="363"/>
      <c r="N193" s="363"/>
      <c r="O193" s="364"/>
      <c r="P193" s="360" t="s">
        <v>40</v>
      </c>
      <c r="Q193" s="361"/>
      <c r="R193" s="361"/>
      <c r="S193" s="361"/>
      <c r="T193" s="361"/>
      <c r="U193" s="361"/>
      <c r="V193" s="362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27.75" customHeight="1" x14ac:dyDescent="0.2">
      <c r="A194" s="348" t="s">
        <v>299</v>
      </c>
      <c r="B194" s="348"/>
      <c r="C194" s="348"/>
      <c r="D194" s="348"/>
      <c r="E194" s="348"/>
      <c r="F194" s="348"/>
      <c r="G194" s="348"/>
      <c r="H194" s="348"/>
      <c r="I194" s="348"/>
      <c r="J194" s="348"/>
      <c r="K194" s="348"/>
      <c r="L194" s="348"/>
      <c r="M194" s="348"/>
      <c r="N194" s="348"/>
      <c r="O194" s="348"/>
      <c r="P194" s="348"/>
      <c r="Q194" s="348"/>
      <c r="R194" s="348"/>
      <c r="S194" s="348"/>
      <c r="T194" s="348"/>
      <c r="U194" s="348"/>
      <c r="V194" s="348"/>
      <c r="W194" s="348"/>
      <c r="X194" s="348"/>
      <c r="Y194" s="348"/>
      <c r="Z194" s="348"/>
      <c r="AA194" s="54"/>
      <c r="AB194" s="54"/>
      <c r="AC194" s="54"/>
    </row>
    <row r="195" spans="1:68" ht="16.5" customHeight="1" x14ac:dyDescent="0.25">
      <c r="A195" s="349" t="s">
        <v>300</v>
      </c>
      <c r="B195" s="349"/>
      <c r="C195" s="349"/>
      <c r="D195" s="349"/>
      <c r="E195" s="349"/>
      <c r="F195" s="349"/>
      <c r="G195" s="349"/>
      <c r="H195" s="349"/>
      <c r="I195" s="349"/>
      <c r="J195" s="349"/>
      <c r="K195" s="349"/>
      <c r="L195" s="349"/>
      <c r="M195" s="349"/>
      <c r="N195" s="349"/>
      <c r="O195" s="349"/>
      <c r="P195" s="349"/>
      <c r="Q195" s="349"/>
      <c r="R195" s="349"/>
      <c r="S195" s="349"/>
      <c r="T195" s="349"/>
      <c r="U195" s="349"/>
      <c r="V195" s="349"/>
      <c r="W195" s="349"/>
      <c r="X195" s="349"/>
      <c r="Y195" s="349"/>
      <c r="Z195" s="349"/>
      <c r="AA195" s="65"/>
      <c r="AB195" s="65"/>
      <c r="AC195" s="82"/>
    </row>
    <row r="196" spans="1:68" ht="14.25" customHeight="1" x14ac:dyDescent="0.25">
      <c r="A196" s="350" t="s">
        <v>107</v>
      </c>
      <c r="B196" s="350"/>
      <c r="C196" s="350"/>
      <c r="D196" s="350"/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50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  <c r="AA196" s="66"/>
      <c r="AB196" s="66"/>
      <c r="AC196" s="83"/>
    </row>
    <row r="197" spans="1:68" ht="27" customHeight="1" x14ac:dyDescent="0.25">
      <c r="A197" s="63" t="s">
        <v>301</v>
      </c>
      <c r="B197" s="63" t="s">
        <v>302</v>
      </c>
      <c r="C197" s="36">
        <v>4301132227</v>
      </c>
      <c r="D197" s="351">
        <v>4620207491133</v>
      </c>
      <c r="E197" s="351"/>
      <c r="F197" s="62">
        <v>0.23</v>
      </c>
      <c r="G197" s="37">
        <v>12</v>
      </c>
      <c r="H197" s="62">
        <v>2.76</v>
      </c>
      <c r="I197" s="62">
        <v>2.98</v>
      </c>
      <c r="J197" s="37">
        <v>70</v>
      </c>
      <c r="K197" s="37" t="s">
        <v>112</v>
      </c>
      <c r="L197" s="37" t="s">
        <v>124</v>
      </c>
      <c r="M197" s="38" t="s">
        <v>86</v>
      </c>
      <c r="N197" s="38"/>
      <c r="O197" s="37">
        <v>180</v>
      </c>
      <c r="P197" s="42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353"/>
      <c r="R197" s="353"/>
      <c r="S197" s="353"/>
      <c r="T197" s="354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125</v>
      </c>
      <c r="AK197" s="87">
        <v>14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363"/>
      <c r="B198" s="363"/>
      <c r="C198" s="363"/>
      <c r="D198" s="363"/>
      <c r="E198" s="363"/>
      <c r="F198" s="363"/>
      <c r="G198" s="363"/>
      <c r="H198" s="363"/>
      <c r="I198" s="363"/>
      <c r="J198" s="363"/>
      <c r="K198" s="363"/>
      <c r="L198" s="363"/>
      <c r="M198" s="363"/>
      <c r="N198" s="363"/>
      <c r="O198" s="364"/>
      <c r="P198" s="360" t="s">
        <v>40</v>
      </c>
      <c r="Q198" s="361"/>
      <c r="R198" s="361"/>
      <c r="S198" s="361"/>
      <c r="T198" s="361"/>
      <c r="U198" s="361"/>
      <c r="V198" s="362"/>
      <c r="W198" s="42" t="s">
        <v>39</v>
      </c>
      <c r="X198" s="43">
        <f>IFERROR(SUM(X197:X197),"0")</f>
        <v>0</v>
      </c>
      <c r="Y198" s="43">
        <f>IFERROR(SUM(Y197:Y197),"0")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36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64"/>
      <c r="P199" s="360" t="s">
        <v>40</v>
      </c>
      <c r="Q199" s="361"/>
      <c r="R199" s="361"/>
      <c r="S199" s="361"/>
      <c r="T199" s="361"/>
      <c r="U199" s="361"/>
      <c r="V199" s="362"/>
      <c r="W199" s="42" t="s">
        <v>0</v>
      </c>
      <c r="X199" s="43">
        <f>IFERROR(SUMPRODUCT(X197:X197*H197:H197),"0")</f>
        <v>0</v>
      </c>
      <c r="Y199" s="43">
        <f>IFERROR(SUMPRODUCT(Y197:Y197*H197:H197),"0")</f>
        <v>0</v>
      </c>
      <c r="Z199" s="42"/>
      <c r="AA199" s="67"/>
      <c r="AB199" s="67"/>
      <c r="AC199" s="67"/>
    </row>
    <row r="200" spans="1:68" ht="14.25" customHeight="1" x14ac:dyDescent="0.25">
      <c r="A200" s="350" t="s">
        <v>153</v>
      </c>
      <c r="B200" s="350"/>
      <c r="C200" s="350"/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50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  <c r="AA200" s="66"/>
      <c r="AB200" s="66"/>
      <c r="AC200" s="83"/>
    </row>
    <row r="201" spans="1:68" ht="27" customHeight="1" x14ac:dyDescent="0.25">
      <c r="A201" s="63" t="s">
        <v>304</v>
      </c>
      <c r="B201" s="63" t="s">
        <v>305</v>
      </c>
      <c r="C201" s="36">
        <v>4301135834</v>
      </c>
      <c r="D201" s="351">
        <v>4620207491188</v>
      </c>
      <c r="E201" s="351"/>
      <c r="F201" s="62">
        <v>0.2</v>
      </c>
      <c r="G201" s="37">
        <v>12</v>
      </c>
      <c r="H201" s="62">
        <v>2.4</v>
      </c>
      <c r="I201" s="62">
        <v>3.1036000000000001</v>
      </c>
      <c r="J201" s="37">
        <v>70</v>
      </c>
      <c r="K201" s="37" t="s">
        <v>112</v>
      </c>
      <c r="L201" s="37" t="s">
        <v>88</v>
      </c>
      <c r="M201" s="38" t="s">
        <v>86</v>
      </c>
      <c r="N201" s="38"/>
      <c r="O201" s="37">
        <v>180</v>
      </c>
      <c r="P201" s="42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353"/>
      <c r="R201" s="353"/>
      <c r="S201" s="353"/>
      <c r="T201" s="354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3" t="s">
        <v>306</v>
      </c>
      <c r="AG201" s="81"/>
      <c r="AJ201" s="87" t="s">
        <v>89</v>
      </c>
      <c r="AK201" s="87">
        <v>1</v>
      </c>
      <c r="BB201" s="224" t="s">
        <v>111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307</v>
      </c>
      <c r="B202" s="63" t="s">
        <v>308</v>
      </c>
      <c r="C202" s="36">
        <v>4301135707</v>
      </c>
      <c r="D202" s="351">
        <v>4620207490198</v>
      </c>
      <c r="E202" s="351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112</v>
      </c>
      <c r="L202" s="37" t="s">
        <v>124</v>
      </c>
      <c r="M202" s="38" t="s">
        <v>86</v>
      </c>
      <c r="N202" s="38"/>
      <c r="O202" s="37">
        <v>180</v>
      </c>
      <c r="P202" s="42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353"/>
      <c r="R202" s="353"/>
      <c r="S202" s="353"/>
      <c r="T202" s="354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5" t="s">
        <v>309</v>
      </c>
      <c r="AG202" s="81"/>
      <c r="AJ202" s="87" t="s">
        <v>125</v>
      </c>
      <c r="AK202" s="87">
        <v>14</v>
      </c>
      <c r="BB202" s="226" t="s">
        <v>111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310</v>
      </c>
      <c r="B203" s="63" t="s">
        <v>311</v>
      </c>
      <c r="C203" s="36">
        <v>4301135829</v>
      </c>
      <c r="D203" s="351">
        <v>4620207490235</v>
      </c>
      <c r="E203" s="351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112</v>
      </c>
      <c r="L203" s="37" t="s">
        <v>88</v>
      </c>
      <c r="M203" s="38" t="s">
        <v>86</v>
      </c>
      <c r="N203" s="38"/>
      <c r="O203" s="37">
        <v>180</v>
      </c>
      <c r="P203" s="42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353"/>
      <c r="R203" s="353"/>
      <c r="S203" s="353"/>
      <c r="T203" s="354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312</v>
      </c>
      <c r="AG203" s="81"/>
      <c r="AJ203" s="87" t="s">
        <v>89</v>
      </c>
      <c r="AK203" s="87">
        <v>1</v>
      </c>
      <c r="BB203" s="228" t="s">
        <v>111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313</v>
      </c>
      <c r="B204" s="63" t="s">
        <v>314</v>
      </c>
      <c r="C204" s="36">
        <v>4301135697</v>
      </c>
      <c r="D204" s="351">
        <v>4620207490259</v>
      </c>
      <c r="E204" s="351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112</v>
      </c>
      <c r="L204" s="37" t="s">
        <v>124</v>
      </c>
      <c r="M204" s="38" t="s">
        <v>86</v>
      </c>
      <c r="N204" s="38"/>
      <c r="O204" s="37">
        <v>180</v>
      </c>
      <c r="P204" s="42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3"/>
      <c r="R204" s="353"/>
      <c r="S204" s="353"/>
      <c r="T204" s="354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309</v>
      </c>
      <c r="AG204" s="81"/>
      <c r="AJ204" s="87" t="s">
        <v>125</v>
      </c>
      <c r="AK204" s="87">
        <v>14</v>
      </c>
      <c r="BB204" s="230" t="s">
        <v>111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315</v>
      </c>
      <c r="B205" s="63" t="s">
        <v>316</v>
      </c>
      <c r="C205" s="36">
        <v>4301135681</v>
      </c>
      <c r="D205" s="351">
        <v>4620207490143</v>
      </c>
      <c r="E205" s="351"/>
      <c r="F205" s="62">
        <v>0.22</v>
      </c>
      <c r="G205" s="37">
        <v>12</v>
      </c>
      <c r="H205" s="62">
        <v>2.64</v>
      </c>
      <c r="I205" s="62">
        <v>3.3435999999999999</v>
      </c>
      <c r="J205" s="37">
        <v>70</v>
      </c>
      <c r="K205" s="37" t="s">
        <v>112</v>
      </c>
      <c r="L205" s="37" t="s">
        <v>88</v>
      </c>
      <c r="M205" s="38" t="s">
        <v>86</v>
      </c>
      <c r="N205" s="38"/>
      <c r="O205" s="37">
        <v>180</v>
      </c>
      <c r="P205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5" s="353"/>
      <c r="R205" s="353"/>
      <c r="S205" s="353"/>
      <c r="T205" s="354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1" t="s">
        <v>317</v>
      </c>
      <c r="AG205" s="81"/>
      <c r="AJ205" s="87" t="s">
        <v>89</v>
      </c>
      <c r="AK205" s="87">
        <v>1</v>
      </c>
      <c r="BB205" s="232" t="s">
        <v>111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63"/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4"/>
      <c r="P206" s="360" t="s">
        <v>40</v>
      </c>
      <c r="Q206" s="361"/>
      <c r="R206" s="361"/>
      <c r="S206" s="361"/>
      <c r="T206" s="361"/>
      <c r="U206" s="361"/>
      <c r="V206" s="362"/>
      <c r="W206" s="42" t="s">
        <v>39</v>
      </c>
      <c r="X206" s="43">
        <f>IFERROR(SUM(X201:X205),"0")</f>
        <v>0</v>
      </c>
      <c r="Y206" s="43">
        <f>IFERROR(SUM(Y201:Y205),"0")</f>
        <v>0</v>
      </c>
      <c r="Z206" s="43">
        <f>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363"/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4"/>
      <c r="P207" s="360" t="s">
        <v>40</v>
      </c>
      <c r="Q207" s="361"/>
      <c r="R207" s="361"/>
      <c r="S207" s="361"/>
      <c r="T207" s="361"/>
      <c r="U207" s="361"/>
      <c r="V207" s="362"/>
      <c r="W207" s="42" t="s">
        <v>0</v>
      </c>
      <c r="X207" s="43">
        <f>IFERROR(SUMPRODUCT(X201:X205*H201:H205),"0")</f>
        <v>0</v>
      </c>
      <c r="Y207" s="43">
        <f>IFERROR(SUMPRODUCT(Y201:Y205*H201:H205),"0")</f>
        <v>0</v>
      </c>
      <c r="Z207" s="42"/>
      <c r="AA207" s="67"/>
      <c r="AB207" s="67"/>
      <c r="AC207" s="67"/>
    </row>
    <row r="208" spans="1:68" ht="16.5" customHeight="1" x14ac:dyDescent="0.25">
      <c r="A208" s="349" t="s">
        <v>318</v>
      </c>
      <c r="B208" s="349"/>
      <c r="C208" s="349"/>
      <c r="D208" s="349"/>
      <c r="E208" s="349"/>
      <c r="F208" s="349"/>
      <c r="G208" s="349"/>
      <c r="H208" s="349"/>
      <c r="I208" s="349"/>
      <c r="J208" s="349"/>
      <c r="K208" s="349"/>
      <c r="L208" s="349"/>
      <c r="M208" s="349"/>
      <c r="N208" s="349"/>
      <c r="O208" s="349"/>
      <c r="P208" s="349"/>
      <c r="Q208" s="349"/>
      <c r="R208" s="349"/>
      <c r="S208" s="349"/>
      <c r="T208" s="349"/>
      <c r="U208" s="349"/>
      <c r="V208" s="349"/>
      <c r="W208" s="349"/>
      <c r="X208" s="349"/>
      <c r="Y208" s="349"/>
      <c r="Z208" s="349"/>
      <c r="AA208" s="65"/>
      <c r="AB208" s="65"/>
      <c r="AC208" s="82"/>
    </row>
    <row r="209" spans="1:68" ht="14.25" customHeight="1" x14ac:dyDescent="0.25">
      <c r="A209" s="350" t="s">
        <v>82</v>
      </c>
      <c r="B209" s="350"/>
      <c r="C209" s="350"/>
      <c r="D209" s="350"/>
      <c r="E209" s="350"/>
      <c r="F209" s="350"/>
      <c r="G209" s="350"/>
      <c r="H209" s="350"/>
      <c r="I209" s="350"/>
      <c r="J209" s="350"/>
      <c r="K209" s="350"/>
      <c r="L209" s="350"/>
      <c r="M209" s="350"/>
      <c r="N209" s="350"/>
      <c r="O209" s="350"/>
      <c r="P209" s="350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  <c r="AA209" s="66"/>
      <c r="AB209" s="66"/>
      <c r="AC209" s="83"/>
    </row>
    <row r="210" spans="1:68" ht="27" customHeight="1" x14ac:dyDescent="0.25">
      <c r="A210" s="63" t="s">
        <v>319</v>
      </c>
      <c r="B210" s="63" t="s">
        <v>320</v>
      </c>
      <c r="C210" s="36">
        <v>4301071097</v>
      </c>
      <c r="D210" s="351">
        <v>4620207491096</v>
      </c>
      <c r="E210" s="351"/>
      <c r="F210" s="62">
        <v>1</v>
      </c>
      <c r="G210" s="37">
        <v>5</v>
      </c>
      <c r="H210" s="62">
        <v>5</v>
      </c>
      <c r="I210" s="62">
        <v>5.23</v>
      </c>
      <c r="J210" s="37">
        <v>84</v>
      </c>
      <c r="K210" s="37" t="s">
        <v>87</v>
      </c>
      <c r="L210" s="37" t="s">
        <v>124</v>
      </c>
      <c r="M210" s="38" t="s">
        <v>86</v>
      </c>
      <c r="N210" s="38"/>
      <c r="O210" s="37">
        <v>180</v>
      </c>
      <c r="P210" s="43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353"/>
      <c r="R210" s="353"/>
      <c r="S210" s="353"/>
      <c r="T210" s="354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3" t="s">
        <v>321</v>
      </c>
      <c r="AG210" s="81"/>
      <c r="AJ210" s="87" t="s">
        <v>125</v>
      </c>
      <c r="AK210" s="87">
        <v>12</v>
      </c>
      <c r="BB210" s="234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63"/>
      <c r="B211" s="363"/>
      <c r="C211" s="363"/>
      <c r="D211" s="363"/>
      <c r="E211" s="363"/>
      <c r="F211" s="363"/>
      <c r="G211" s="363"/>
      <c r="H211" s="363"/>
      <c r="I211" s="363"/>
      <c r="J211" s="363"/>
      <c r="K211" s="363"/>
      <c r="L211" s="363"/>
      <c r="M211" s="363"/>
      <c r="N211" s="363"/>
      <c r="O211" s="364"/>
      <c r="P211" s="360" t="s">
        <v>40</v>
      </c>
      <c r="Q211" s="361"/>
      <c r="R211" s="361"/>
      <c r="S211" s="361"/>
      <c r="T211" s="361"/>
      <c r="U211" s="361"/>
      <c r="V211" s="362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363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64"/>
      <c r="P212" s="360" t="s">
        <v>40</v>
      </c>
      <c r="Q212" s="361"/>
      <c r="R212" s="361"/>
      <c r="S212" s="361"/>
      <c r="T212" s="361"/>
      <c r="U212" s="361"/>
      <c r="V212" s="362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6.5" customHeight="1" x14ac:dyDescent="0.25">
      <c r="A213" s="349" t="s">
        <v>322</v>
      </c>
      <c r="B213" s="349"/>
      <c r="C213" s="349"/>
      <c r="D213" s="349"/>
      <c r="E213" s="349"/>
      <c r="F213" s="349"/>
      <c r="G213" s="349"/>
      <c r="H213" s="349"/>
      <c r="I213" s="349"/>
      <c r="J213" s="349"/>
      <c r="K213" s="349"/>
      <c r="L213" s="349"/>
      <c r="M213" s="349"/>
      <c r="N213" s="349"/>
      <c r="O213" s="349"/>
      <c r="P213" s="349"/>
      <c r="Q213" s="349"/>
      <c r="R213" s="349"/>
      <c r="S213" s="349"/>
      <c r="T213" s="349"/>
      <c r="U213" s="349"/>
      <c r="V213" s="349"/>
      <c r="W213" s="349"/>
      <c r="X213" s="349"/>
      <c r="Y213" s="349"/>
      <c r="Z213" s="349"/>
      <c r="AA213" s="65"/>
      <c r="AB213" s="65"/>
      <c r="AC213" s="82"/>
    </row>
    <row r="214" spans="1:68" ht="14.25" customHeight="1" x14ac:dyDescent="0.25">
      <c r="A214" s="350" t="s">
        <v>153</v>
      </c>
      <c r="B214" s="350"/>
      <c r="C214" s="350"/>
      <c r="D214" s="350"/>
      <c r="E214" s="350"/>
      <c r="F214" s="350"/>
      <c r="G214" s="350"/>
      <c r="H214" s="350"/>
      <c r="I214" s="350"/>
      <c r="J214" s="350"/>
      <c r="K214" s="350"/>
      <c r="L214" s="350"/>
      <c r="M214" s="350"/>
      <c r="N214" s="350"/>
      <c r="O214" s="350"/>
      <c r="P214" s="350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  <c r="AA214" s="66"/>
      <c r="AB214" s="66"/>
      <c r="AC214" s="83"/>
    </row>
    <row r="215" spans="1:68" ht="27" customHeight="1" x14ac:dyDescent="0.25">
      <c r="A215" s="63" t="s">
        <v>323</v>
      </c>
      <c r="B215" s="63" t="s">
        <v>324</v>
      </c>
      <c r="C215" s="36">
        <v>4301135691</v>
      </c>
      <c r="D215" s="351">
        <v>4620207490549</v>
      </c>
      <c r="E215" s="351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112</v>
      </c>
      <c r="L215" s="37" t="s">
        <v>88</v>
      </c>
      <c r="M215" s="38" t="s">
        <v>86</v>
      </c>
      <c r="N215" s="38"/>
      <c r="O215" s="37">
        <v>180</v>
      </c>
      <c r="P215" s="43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353"/>
      <c r="R215" s="353"/>
      <c r="S215" s="353"/>
      <c r="T215" s="354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325</v>
      </c>
      <c r="AG215" s="81"/>
      <c r="AJ215" s="87" t="s">
        <v>89</v>
      </c>
      <c r="AK215" s="87">
        <v>1</v>
      </c>
      <c r="BB215" s="236" t="s">
        <v>111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customHeight="1" x14ac:dyDescent="0.25">
      <c r="A216" s="63" t="s">
        <v>326</v>
      </c>
      <c r="B216" s="63" t="s">
        <v>327</v>
      </c>
      <c r="C216" s="36">
        <v>4301135694</v>
      </c>
      <c r="D216" s="351">
        <v>4620207490501</v>
      </c>
      <c r="E216" s="351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112</v>
      </c>
      <c r="L216" s="37" t="s">
        <v>88</v>
      </c>
      <c r="M216" s="38" t="s">
        <v>86</v>
      </c>
      <c r="N216" s="38"/>
      <c r="O216" s="37">
        <v>180</v>
      </c>
      <c r="P216" s="43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353"/>
      <c r="R216" s="353"/>
      <c r="S216" s="353"/>
      <c r="T216" s="354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37" t="s">
        <v>325</v>
      </c>
      <c r="AG216" s="81"/>
      <c r="AJ216" s="87" t="s">
        <v>89</v>
      </c>
      <c r="AK216" s="87">
        <v>1</v>
      </c>
      <c r="BB216" s="238" t="s">
        <v>111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63"/>
      <c r="B217" s="363"/>
      <c r="C217" s="363"/>
      <c r="D217" s="363"/>
      <c r="E217" s="363"/>
      <c r="F217" s="363"/>
      <c r="G217" s="363"/>
      <c r="H217" s="363"/>
      <c r="I217" s="363"/>
      <c r="J217" s="363"/>
      <c r="K217" s="363"/>
      <c r="L217" s="363"/>
      <c r="M217" s="363"/>
      <c r="N217" s="363"/>
      <c r="O217" s="364"/>
      <c r="P217" s="360" t="s">
        <v>40</v>
      </c>
      <c r="Q217" s="361"/>
      <c r="R217" s="361"/>
      <c r="S217" s="361"/>
      <c r="T217" s="361"/>
      <c r="U217" s="361"/>
      <c r="V217" s="362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x14ac:dyDescent="0.2">
      <c r="A218" s="363"/>
      <c r="B218" s="363"/>
      <c r="C218" s="363"/>
      <c r="D218" s="363"/>
      <c r="E218" s="363"/>
      <c r="F218" s="363"/>
      <c r="G218" s="363"/>
      <c r="H218" s="363"/>
      <c r="I218" s="363"/>
      <c r="J218" s="363"/>
      <c r="K218" s="363"/>
      <c r="L218" s="363"/>
      <c r="M218" s="363"/>
      <c r="N218" s="363"/>
      <c r="O218" s="364"/>
      <c r="P218" s="360" t="s">
        <v>40</v>
      </c>
      <c r="Q218" s="361"/>
      <c r="R218" s="361"/>
      <c r="S218" s="361"/>
      <c r="T218" s="361"/>
      <c r="U218" s="361"/>
      <c r="V218" s="362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27.75" customHeight="1" x14ac:dyDescent="0.2">
      <c r="A219" s="348" t="s">
        <v>328</v>
      </c>
      <c r="B219" s="348"/>
      <c r="C219" s="348"/>
      <c r="D219" s="348"/>
      <c r="E219" s="348"/>
      <c r="F219" s="348"/>
      <c r="G219" s="348"/>
      <c r="H219" s="348"/>
      <c r="I219" s="348"/>
      <c r="J219" s="348"/>
      <c r="K219" s="348"/>
      <c r="L219" s="348"/>
      <c r="M219" s="348"/>
      <c r="N219" s="348"/>
      <c r="O219" s="348"/>
      <c r="P219" s="348"/>
      <c r="Q219" s="348"/>
      <c r="R219" s="348"/>
      <c r="S219" s="348"/>
      <c r="T219" s="348"/>
      <c r="U219" s="348"/>
      <c r="V219" s="348"/>
      <c r="W219" s="348"/>
      <c r="X219" s="348"/>
      <c r="Y219" s="348"/>
      <c r="Z219" s="348"/>
      <c r="AA219" s="54"/>
      <c r="AB219" s="54"/>
      <c r="AC219" s="54"/>
    </row>
    <row r="220" spans="1:68" ht="16.5" customHeight="1" x14ac:dyDescent="0.25">
      <c r="A220" s="349" t="s">
        <v>329</v>
      </c>
      <c r="B220" s="349"/>
      <c r="C220" s="349"/>
      <c r="D220" s="349"/>
      <c r="E220" s="349"/>
      <c r="F220" s="349"/>
      <c r="G220" s="349"/>
      <c r="H220" s="349"/>
      <c r="I220" s="349"/>
      <c r="J220" s="349"/>
      <c r="K220" s="349"/>
      <c r="L220" s="349"/>
      <c r="M220" s="349"/>
      <c r="N220" s="349"/>
      <c r="O220" s="349"/>
      <c r="P220" s="349"/>
      <c r="Q220" s="349"/>
      <c r="R220" s="349"/>
      <c r="S220" s="349"/>
      <c r="T220" s="349"/>
      <c r="U220" s="349"/>
      <c r="V220" s="349"/>
      <c r="W220" s="349"/>
      <c r="X220" s="349"/>
      <c r="Y220" s="349"/>
      <c r="Z220" s="349"/>
      <c r="AA220" s="65"/>
      <c r="AB220" s="65"/>
      <c r="AC220" s="82"/>
    </row>
    <row r="221" spans="1:68" ht="14.25" customHeight="1" x14ac:dyDescent="0.25">
      <c r="A221" s="350" t="s">
        <v>82</v>
      </c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  <c r="AA221" s="66"/>
      <c r="AB221" s="66"/>
      <c r="AC221" s="83"/>
    </row>
    <row r="222" spans="1:68" ht="27" customHeight="1" x14ac:dyDescent="0.25">
      <c r="A222" s="63" t="s">
        <v>330</v>
      </c>
      <c r="B222" s="63" t="s">
        <v>331</v>
      </c>
      <c r="C222" s="36">
        <v>4301071036</v>
      </c>
      <c r="D222" s="351">
        <v>4607111036162</v>
      </c>
      <c r="E222" s="351"/>
      <c r="F222" s="62">
        <v>0.8</v>
      </c>
      <c r="G222" s="37">
        <v>8</v>
      </c>
      <c r="H222" s="62">
        <v>6.4</v>
      </c>
      <c r="I222" s="62">
        <v>6.6811999999999996</v>
      </c>
      <c r="J222" s="37">
        <v>84</v>
      </c>
      <c r="K222" s="37" t="s">
        <v>87</v>
      </c>
      <c r="L222" s="37" t="s">
        <v>88</v>
      </c>
      <c r="M222" s="38" t="s">
        <v>86</v>
      </c>
      <c r="N222" s="38"/>
      <c r="O222" s="37">
        <v>90</v>
      </c>
      <c r="P222" s="43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353"/>
      <c r="R222" s="353"/>
      <c r="S222" s="353"/>
      <c r="T222" s="354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IFERROR(IF(X222="","",X222*0.0155),"")</f>
        <v>0</v>
      </c>
      <c r="AA222" s="68" t="s">
        <v>46</v>
      </c>
      <c r="AB222" s="69" t="s">
        <v>46</v>
      </c>
      <c r="AC222" s="239" t="s">
        <v>332</v>
      </c>
      <c r="AG222" s="81"/>
      <c r="AJ222" s="87" t="s">
        <v>89</v>
      </c>
      <c r="AK222" s="87">
        <v>1</v>
      </c>
      <c r="BB222" s="240" t="s">
        <v>70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63"/>
      <c r="B223" s="363"/>
      <c r="C223" s="363"/>
      <c r="D223" s="363"/>
      <c r="E223" s="363"/>
      <c r="F223" s="363"/>
      <c r="G223" s="363"/>
      <c r="H223" s="363"/>
      <c r="I223" s="363"/>
      <c r="J223" s="363"/>
      <c r="K223" s="363"/>
      <c r="L223" s="363"/>
      <c r="M223" s="363"/>
      <c r="N223" s="363"/>
      <c r="O223" s="364"/>
      <c r="P223" s="360" t="s">
        <v>40</v>
      </c>
      <c r="Q223" s="361"/>
      <c r="R223" s="361"/>
      <c r="S223" s="361"/>
      <c r="T223" s="361"/>
      <c r="U223" s="361"/>
      <c r="V223" s="362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63"/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4"/>
      <c r="P224" s="360" t="s">
        <v>40</v>
      </c>
      <c r="Q224" s="361"/>
      <c r="R224" s="361"/>
      <c r="S224" s="361"/>
      <c r="T224" s="361"/>
      <c r="U224" s="361"/>
      <c r="V224" s="362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48" t="s">
        <v>333</v>
      </c>
      <c r="B225" s="348"/>
      <c r="C225" s="348"/>
      <c r="D225" s="348"/>
      <c r="E225" s="348"/>
      <c r="F225" s="348"/>
      <c r="G225" s="348"/>
      <c r="H225" s="348"/>
      <c r="I225" s="348"/>
      <c r="J225" s="348"/>
      <c r="K225" s="348"/>
      <c r="L225" s="348"/>
      <c r="M225" s="348"/>
      <c r="N225" s="348"/>
      <c r="O225" s="348"/>
      <c r="P225" s="348"/>
      <c r="Q225" s="348"/>
      <c r="R225" s="348"/>
      <c r="S225" s="348"/>
      <c r="T225" s="348"/>
      <c r="U225" s="348"/>
      <c r="V225" s="348"/>
      <c r="W225" s="348"/>
      <c r="X225" s="348"/>
      <c r="Y225" s="348"/>
      <c r="Z225" s="348"/>
      <c r="AA225" s="54"/>
      <c r="AB225" s="54"/>
      <c r="AC225" s="54"/>
    </row>
    <row r="226" spans="1:68" ht="16.5" customHeight="1" x14ac:dyDescent="0.25">
      <c r="A226" s="349" t="s">
        <v>334</v>
      </c>
      <c r="B226" s="349"/>
      <c r="C226" s="349"/>
      <c r="D226" s="349"/>
      <c r="E226" s="349"/>
      <c r="F226" s="349"/>
      <c r="G226" s="349"/>
      <c r="H226" s="349"/>
      <c r="I226" s="349"/>
      <c r="J226" s="349"/>
      <c r="K226" s="349"/>
      <c r="L226" s="349"/>
      <c r="M226" s="349"/>
      <c r="N226" s="349"/>
      <c r="O226" s="349"/>
      <c r="P226" s="349"/>
      <c r="Q226" s="349"/>
      <c r="R226" s="349"/>
      <c r="S226" s="349"/>
      <c r="T226" s="349"/>
      <c r="U226" s="349"/>
      <c r="V226" s="349"/>
      <c r="W226" s="349"/>
      <c r="X226" s="349"/>
      <c r="Y226" s="349"/>
      <c r="Z226" s="349"/>
      <c r="AA226" s="65"/>
      <c r="AB226" s="65"/>
      <c r="AC226" s="82"/>
    </row>
    <row r="227" spans="1:68" ht="14.25" customHeight="1" x14ac:dyDescent="0.25">
      <c r="A227" s="350" t="s">
        <v>82</v>
      </c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  <c r="AA227" s="66"/>
      <c r="AB227" s="66"/>
      <c r="AC227" s="83"/>
    </row>
    <row r="228" spans="1:68" ht="27" customHeight="1" x14ac:dyDescent="0.25">
      <c r="A228" s="63" t="s">
        <v>335</v>
      </c>
      <c r="B228" s="63" t="s">
        <v>336</v>
      </c>
      <c r="C228" s="36">
        <v>4301071029</v>
      </c>
      <c r="D228" s="351">
        <v>4607111035899</v>
      </c>
      <c r="E228" s="351"/>
      <c r="F228" s="62">
        <v>1</v>
      </c>
      <c r="G228" s="37">
        <v>5</v>
      </c>
      <c r="H228" s="62">
        <v>5</v>
      </c>
      <c r="I228" s="62">
        <v>5.2619999999999996</v>
      </c>
      <c r="J228" s="37">
        <v>84</v>
      </c>
      <c r="K228" s="37" t="s">
        <v>87</v>
      </c>
      <c r="L228" s="37" t="s">
        <v>113</v>
      </c>
      <c r="M228" s="38" t="s">
        <v>86</v>
      </c>
      <c r="N228" s="38"/>
      <c r="O228" s="37">
        <v>180</v>
      </c>
      <c r="P228" s="4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353"/>
      <c r="R228" s="353"/>
      <c r="S228" s="353"/>
      <c r="T228" s="354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1" t="s">
        <v>270</v>
      </c>
      <c r="AG228" s="81"/>
      <c r="AJ228" s="87" t="s">
        <v>114</v>
      </c>
      <c r="AK228" s="87">
        <v>84</v>
      </c>
      <c r="BB228" s="242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6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64"/>
      <c r="P229" s="360" t="s">
        <v>40</v>
      </c>
      <c r="Q229" s="361"/>
      <c r="R229" s="361"/>
      <c r="S229" s="361"/>
      <c r="T229" s="361"/>
      <c r="U229" s="361"/>
      <c r="V229" s="362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4"/>
      <c r="P230" s="360" t="s">
        <v>40</v>
      </c>
      <c r="Q230" s="361"/>
      <c r="R230" s="361"/>
      <c r="S230" s="361"/>
      <c r="T230" s="361"/>
      <c r="U230" s="361"/>
      <c r="V230" s="362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48" t="s">
        <v>337</v>
      </c>
      <c r="B231" s="348"/>
      <c r="C231" s="348"/>
      <c r="D231" s="348"/>
      <c r="E231" s="348"/>
      <c r="F231" s="348"/>
      <c r="G231" s="348"/>
      <c r="H231" s="348"/>
      <c r="I231" s="348"/>
      <c r="J231" s="348"/>
      <c r="K231" s="348"/>
      <c r="L231" s="348"/>
      <c r="M231" s="348"/>
      <c r="N231" s="348"/>
      <c r="O231" s="348"/>
      <c r="P231" s="348"/>
      <c r="Q231" s="348"/>
      <c r="R231" s="348"/>
      <c r="S231" s="348"/>
      <c r="T231" s="348"/>
      <c r="U231" s="348"/>
      <c r="V231" s="348"/>
      <c r="W231" s="348"/>
      <c r="X231" s="348"/>
      <c r="Y231" s="348"/>
      <c r="Z231" s="348"/>
      <c r="AA231" s="54"/>
      <c r="AB231" s="54"/>
      <c r="AC231" s="54"/>
    </row>
    <row r="232" spans="1:68" ht="16.5" customHeight="1" x14ac:dyDescent="0.25">
      <c r="A232" s="349" t="s">
        <v>338</v>
      </c>
      <c r="B232" s="349"/>
      <c r="C232" s="349"/>
      <c r="D232" s="349"/>
      <c r="E232" s="349"/>
      <c r="F232" s="349"/>
      <c r="G232" s="349"/>
      <c r="H232" s="349"/>
      <c r="I232" s="349"/>
      <c r="J232" s="349"/>
      <c r="K232" s="349"/>
      <c r="L232" s="349"/>
      <c r="M232" s="349"/>
      <c r="N232" s="349"/>
      <c r="O232" s="349"/>
      <c r="P232" s="349"/>
      <c r="Q232" s="349"/>
      <c r="R232" s="349"/>
      <c r="S232" s="349"/>
      <c r="T232" s="349"/>
      <c r="U232" s="349"/>
      <c r="V232" s="349"/>
      <c r="W232" s="349"/>
      <c r="X232" s="349"/>
      <c r="Y232" s="349"/>
      <c r="Z232" s="349"/>
      <c r="AA232" s="65"/>
      <c r="AB232" s="65"/>
      <c r="AC232" s="82"/>
    </row>
    <row r="233" spans="1:68" ht="14.25" customHeight="1" x14ac:dyDescent="0.25">
      <c r="A233" s="350" t="s">
        <v>339</v>
      </c>
      <c r="B233" s="350"/>
      <c r="C233" s="350"/>
      <c r="D233" s="350"/>
      <c r="E233" s="350"/>
      <c r="F233" s="350"/>
      <c r="G233" s="350"/>
      <c r="H233" s="350"/>
      <c r="I233" s="350"/>
      <c r="J233" s="350"/>
      <c r="K233" s="350"/>
      <c r="L233" s="350"/>
      <c r="M233" s="350"/>
      <c r="N233" s="350"/>
      <c r="O233" s="350"/>
      <c r="P233" s="350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  <c r="AA233" s="66"/>
      <c r="AB233" s="66"/>
      <c r="AC233" s="83"/>
    </row>
    <row r="234" spans="1:68" ht="27" customHeight="1" x14ac:dyDescent="0.25">
      <c r="A234" s="63" t="s">
        <v>340</v>
      </c>
      <c r="B234" s="63" t="s">
        <v>341</v>
      </c>
      <c r="C234" s="36">
        <v>4301133004</v>
      </c>
      <c r="D234" s="351">
        <v>4607111039774</v>
      </c>
      <c r="E234" s="351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112</v>
      </c>
      <c r="L234" s="37" t="s">
        <v>88</v>
      </c>
      <c r="M234" s="38" t="s">
        <v>86</v>
      </c>
      <c r="N234" s="38"/>
      <c r="O234" s="37">
        <v>180</v>
      </c>
      <c r="P234" s="43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53"/>
      <c r="R234" s="353"/>
      <c r="S234" s="353"/>
      <c r="T234" s="354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3" t="s">
        <v>342</v>
      </c>
      <c r="AG234" s="81"/>
      <c r="AJ234" s="87" t="s">
        <v>89</v>
      </c>
      <c r="AK234" s="87">
        <v>1</v>
      </c>
      <c r="BB234" s="244" t="s">
        <v>111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63"/>
      <c r="B235" s="363"/>
      <c r="C235" s="363"/>
      <c r="D235" s="363"/>
      <c r="E235" s="363"/>
      <c r="F235" s="363"/>
      <c r="G235" s="363"/>
      <c r="H235" s="363"/>
      <c r="I235" s="363"/>
      <c r="J235" s="363"/>
      <c r="K235" s="363"/>
      <c r="L235" s="363"/>
      <c r="M235" s="363"/>
      <c r="N235" s="363"/>
      <c r="O235" s="364"/>
      <c r="P235" s="360" t="s">
        <v>40</v>
      </c>
      <c r="Q235" s="361"/>
      <c r="R235" s="361"/>
      <c r="S235" s="361"/>
      <c r="T235" s="361"/>
      <c r="U235" s="361"/>
      <c r="V235" s="362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63"/>
      <c r="B236" s="363"/>
      <c r="C236" s="363"/>
      <c r="D236" s="363"/>
      <c r="E236" s="363"/>
      <c r="F236" s="363"/>
      <c r="G236" s="363"/>
      <c r="H236" s="363"/>
      <c r="I236" s="363"/>
      <c r="J236" s="363"/>
      <c r="K236" s="363"/>
      <c r="L236" s="363"/>
      <c r="M236" s="363"/>
      <c r="N236" s="363"/>
      <c r="O236" s="364"/>
      <c r="P236" s="360" t="s">
        <v>40</v>
      </c>
      <c r="Q236" s="361"/>
      <c r="R236" s="361"/>
      <c r="S236" s="361"/>
      <c r="T236" s="361"/>
      <c r="U236" s="361"/>
      <c r="V236" s="362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50" t="s">
        <v>153</v>
      </c>
      <c r="B237" s="350"/>
      <c r="C237" s="350"/>
      <c r="D237" s="350"/>
      <c r="E237" s="350"/>
      <c r="F237" s="350"/>
      <c r="G237" s="350"/>
      <c r="H237" s="350"/>
      <c r="I237" s="350"/>
      <c r="J237" s="350"/>
      <c r="K237" s="350"/>
      <c r="L237" s="350"/>
      <c r="M237" s="350"/>
      <c r="N237" s="350"/>
      <c r="O237" s="350"/>
      <c r="P237" s="350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  <c r="AA237" s="66"/>
      <c r="AB237" s="66"/>
      <c r="AC237" s="83"/>
    </row>
    <row r="238" spans="1:68" ht="37.5" customHeight="1" x14ac:dyDescent="0.25">
      <c r="A238" s="63" t="s">
        <v>343</v>
      </c>
      <c r="B238" s="63" t="s">
        <v>344</v>
      </c>
      <c r="C238" s="36">
        <v>4301135400</v>
      </c>
      <c r="D238" s="351">
        <v>4607111039361</v>
      </c>
      <c r="E238" s="351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112</v>
      </c>
      <c r="L238" s="37" t="s">
        <v>88</v>
      </c>
      <c r="M238" s="38" t="s">
        <v>86</v>
      </c>
      <c r="N238" s="38"/>
      <c r="O238" s="37">
        <v>180</v>
      </c>
      <c r="P238" s="43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53"/>
      <c r="R238" s="353"/>
      <c r="S238" s="353"/>
      <c r="T238" s="354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45" t="s">
        <v>342</v>
      </c>
      <c r="AG238" s="81"/>
      <c r="AJ238" s="87" t="s">
        <v>89</v>
      </c>
      <c r="AK238" s="87">
        <v>1</v>
      </c>
      <c r="BB238" s="246" t="s">
        <v>111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63"/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4"/>
      <c r="P239" s="360" t="s">
        <v>40</v>
      </c>
      <c r="Q239" s="361"/>
      <c r="R239" s="361"/>
      <c r="S239" s="361"/>
      <c r="T239" s="361"/>
      <c r="U239" s="361"/>
      <c r="V239" s="362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63"/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4"/>
      <c r="P240" s="360" t="s">
        <v>40</v>
      </c>
      <c r="Q240" s="361"/>
      <c r="R240" s="361"/>
      <c r="S240" s="361"/>
      <c r="T240" s="361"/>
      <c r="U240" s="361"/>
      <c r="V240" s="362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48" t="s">
        <v>345</v>
      </c>
      <c r="B241" s="348"/>
      <c r="C241" s="348"/>
      <c r="D241" s="348"/>
      <c r="E241" s="348"/>
      <c r="F241" s="348"/>
      <c r="G241" s="348"/>
      <c r="H241" s="348"/>
      <c r="I241" s="348"/>
      <c r="J241" s="348"/>
      <c r="K241" s="348"/>
      <c r="L241" s="348"/>
      <c r="M241" s="348"/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348"/>
      <c r="AA241" s="54"/>
      <c r="AB241" s="54"/>
      <c r="AC241" s="54"/>
    </row>
    <row r="242" spans="1:68" ht="16.5" customHeight="1" x14ac:dyDescent="0.25">
      <c r="A242" s="349" t="s">
        <v>345</v>
      </c>
      <c r="B242" s="349"/>
      <c r="C242" s="349"/>
      <c r="D242" s="349"/>
      <c r="E242" s="349"/>
      <c r="F242" s="349"/>
      <c r="G242" s="349"/>
      <c r="H242" s="349"/>
      <c r="I242" s="349"/>
      <c r="J242" s="349"/>
      <c r="K242" s="349"/>
      <c r="L242" s="349"/>
      <c r="M242" s="349"/>
      <c r="N242" s="349"/>
      <c r="O242" s="349"/>
      <c r="P242" s="349"/>
      <c r="Q242" s="349"/>
      <c r="R242" s="349"/>
      <c r="S242" s="349"/>
      <c r="T242" s="349"/>
      <c r="U242" s="349"/>
      <c r="V242" s="349"/>
      <c r="W242" s="349"/>
      <c r="X242" s="349"/>
      <c r="Y242" s="349"/>
      <c r="Z242" s="349"/>
      <c r="AA242" s="65"/>
      <c r="AB242" s="65"/>
      <c r="AC242" s="82"/>
    </row>
    <row r="243" spans="1:68" ht="14.25" customHeight="1" x14ac:dyDescent="0.25">
      <c r="A243" s="350" t="s">
        <v>82</v>
      </c>
      <c r="B243" s="350"/>
      <c r="C243" s="350"/>
      <c r="D243" s="350"/>
      <c r="E243" s="350"/>
      <c r="F243" s="350"/>
      <c r="G243" s="350"/>
      <c r="H243" s="350"/>
      <c r="I243" s="350"/>
      <c r="J243" s="350"/>
      <c r="K243" s="350"/>
      <c r="L243" s="350"/>
      <c r="M243" s="350"/>
      <c r="N243" s="350"/>
      <c r="O243" s="350"/>
      <c r="P243" s="350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  <c r="AA243" s="66"/>
      <c r="AB243" s="66"/>
      <c r="AC243" s="83"/>
    </row>
    <row r="244" spans="1:68" ht="27" customHeight="1" x14ac:dyDescent="0.25">
      <c r="A244" s="63" t="s">
        <v>346</v>
      </c>
      <c r="B244" s="63" t="s">
        <v>347</v>
      </c>
      <c r="C244" s="36">
        <v>4301071014</v>
      </c>
      <c r="D244" s="351">
        <v>4640242181264</v>
      </c>
      <c r="E244" s="351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87</v>
      </c>
      <c r="L244" s="37" t="s">
        <v>88</v>
      </c>
      <c r="M244" s="38" t="s">
        <v>86</v>
      </c>
      <c r="N244" s="38"/>
      <c r="O244" s="37">
        <v>180</v>
      </c>
      <c r="P244" s="43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353"/>
      <c r="R244" s="353"/>
      <c r="S244" s="353"/>
      <c r="T244" s="354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348</v>
      </c>
      <c r="AG244" s="81"/>
      <c r="AJ244" s="87" t="s">
        <v>89</v>
      </c>
      <c r="AK244" s="87">
        <v>1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t="27" customHeight="1" x14ac:dyDescent="0.25">
      <c r="A245" s="63" t="s">
        <v>349</v>
      </c>
      <c r="B245" s="63" t="s">
        <v>350</v>
      </c>
      <c r="C245" s="36">
        <v>4301071021</v>
      </c>
      <c r="D245" s="351">
        <v>4640242181325</v>
      </c>
      <c r="E245" s="351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87</v>
      </c>
      <c r="L245" s="37" t="s">
        <v>88</v>
      </c>
      <c r="M245" s="38" t="s">
        <v>86</v>
      </c>
      <c r="N245" s="38"/>
      <c r="O245" s="37">
        <v>180</v>
      </c>
      <c r="P245" s="43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353"/>
      <c r="R245" s="353"/>
      <c r="S245" s="353"/>
      <c r="T245" s="354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9" t="s">
        <v>348</v>
      </c>
      <c r="AG245" s="81"/>
      <c r="AJ245" s="87" t="s">
        <v>89</v>
      </c>
      <c r="AK245" s="87">
        <v>1</v>
      </c>
      <c r="BB245" s="250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x14ac:dyDescent="0.2">
      <c r="A246" s="363"/>
      <c r="B246" s="363"/>
      <c r="C246" s="363"/>
      <c r="D246" s="363"/>
      <c r="E246" s="363"/>
      <c r="F246" s="363"/>
      <c r="G246" s="363"/>
      <c r="H246" s="363"/>
      <c r="I246" s="363"/>
      <c r="J246" s="363"/>
      <c r="K246" s="363"/>
      <c r="L246" s="363"/>
      <c r="M246" s="363"/>
      <c r="N246" s="363"/>
      <c r="O246" s="364"/>
      <c r="P246" s="360" t="s">
        <v>40</v>
      </c>
      <c r="Q246" s="361"/>
      <c r="R246" s="361"/>
      <c r="S246" s="361"/>
      <c r="T246" s="361"/>
      <c r="U246" s="361"/>
      <c r="V246" s="362"/>
      <c r="W246" s="42" t="s">
        <v>39</v>
      </c>
      <c r="X246" s="43">
        <f>IFERROR(SUM(X244:X245),"0")</f>
        <v>0</v>
      </c>
      <c r="Y246" s="43">
        <f>IFERROR(SUM(Y244:Y245),"0")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363"/>
      <c r="B247" s="363"/>
      <c r="C247" s="363"/>
      <c r="D247" s="363"/>
      <c r="E247" s="363"/>
      <c r="F247" s="363"/>
      <c r="G247" s="363"/>
      <c r="H247" s="363"/>
      <c r="I247" s="363"/>
      <c r="J247" s="363"/>
      <c r="K247" s="363"/>
      <c r="L247" s="363"/>
      <c r="M247" s="363"/>
      <c r="N247" s="363"/>
      <c r="O247" s="364"/>
      <c r="P247" s="360" t="s">
        <v>40</v>
      </c>
      <c r="Q247" s="361"/>
      <c r="R247" s="361"/>
      <c r="S247" s="361"/>
      <c r="T247" s="361"/>
      <c r="U247" s="361"/>
      <c r="V247" s="362"/>
      <c r="W247" s="42" t="s">
        <v>0</v>
      </c>
      <c r="X247" s="43">
        <f>IFERROR(SUMPRODUCT(X244:X245*H244:H245),"0")</f>
        <v>0</v>
      </c>
      <c r="Y247" s="43">
        <f>IFERROR(SUMPRODUCT(Y244:Y245*H244:H245),"0")</f>
        <v>0</v>
      </c>
      <c r="Z247" s="42"/>
      <c r="AA247" s="67"/>
      <c r="AB247" s="67"/>
      <c r="AC247" s="67"/>
    </row>
    <row r="248" spans="1:68" ht="14.25" customHeight="1" x14ac:dyDescent="0.25">
      <c r="A248" s="350" t="s">
        <v>107</v>
      </c>
      <c r="B248" s="350"/>
      <c r="C248" s="350"/>
      <c r="D248" s="350"/>
      <c r="E248" s="350"/>
      <c r="F248" s="350"/>
      <c r="G248" s="350"/>
      <c r="H248" s="350"/>
      <c r="I248" s="350"/>
      <c r="J248" s="350"/>
      <c r="K248" s="350"/>
      <c r="L248" s="350"/>
      <c r="M248" s="350"/>
      <c r="N248" s="350"/>
      <c r="O248" s="350"/>
      <c r="P248" s="350"/>
      <c r="Q248" s="350"/>
      <c r="R248" s="350"/>
      <c r="S248" s="350"/>
      <c r="T248" s="350"/>
      <c r="U248" s="350"/>
      <c r="V248" s="350"/>
      <c r="W248" s="350"/>
      <c r="X248" s="350"/>
      <c r="Y248" s="350"/>
      <c r="Z248" s="350"/>
      <c r="AA248" s="66"/>
      <c r="AB248" s="66"/>
      <c r="AC248" s="83"/>
    </row>
    <row r="249" spans="1:68" ht="27" customHeight="1" x14ac:dyDescent="0.25">
      <c r="A249" s="63" t="s">
        <v>351</v>
      </c>
      <c r="B249" s="63" t="s">
        <v>352</v>
      </c>
      <c r="C249" s="36">
        <v>4301132080</v>
      </c>
      <c r="D249" s="351">
        <v>4640242180397</v>
      </c>
      <c r="E249" s="351"/>
      <c r="F249" s="62">
        <v>1</v>
      </c>
      <c r="G249" s="37">
        <v>6</v>
      </c>
      <c r="H249" s="62">
        <v>6</v>
      </c>
      <c r="I249" s="62">
        <v>6.26</v>
      </c>
      <c r="J249" s="37">
        <v>84</v>
      </c>
      <c r="K249" s="37" t="s">
        <v>87</v>
      </c>
      <c r="L249" s="37" t="s">
        <v>113</v>
      </c>
      <c r="M249" s="38" t="s">
        <v>86</v>
      </c>
      <c r="N249" s="38"/>
      <c r="O249" s="37">
        <v>180</v>
      </c>
      <c r="P249" s="44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353"/>
      <c r="R249" s="353"/>
      <c r="S249" s="353"/>
      <c r="T249" s="354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1" t="s">
        <v>353</v>
      </c>
      <c r="AG249" s="81"/>
      <c r="AJ249" s="87" t="s">
        <v>114</v>
      </c>
      <c r="AK249" s="87">
        <v>84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363"/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4"/>
      <c r="P250" s="360" t="s">
        <v>40</v>
      </c>
      <c r="Q250" s="361"/>
      <c r="R250" s="361"/>
      <c r="S250" s="361"/>
      <c r="T250" s="361"/>
      <c r="U250" s="361"/>
      <c r="V250" s="362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363"/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4"/>
      <c r="P251" s="360" t="s">
        <v>40</v>
      </c>
      <c r="Q251" s="361"/>
      <c r="R251" s="361"/>
      <c r="S251" s="361"/>
      <c r="T251" s="361"/>
      <c r="U251" s="361"/>
      <c r="V251" s="362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customHeight="1" x14ac:dyDescent="0.25">
      <c r="A252" s="350" t="s">
        <v>147</v>
      </c>
      <c r="B252" s="350"/>
      <c r="C252" s="350"/>
      <c r="D252" s="350"/>
      <c r="E252" s="350"/>
      <c r="F252" s="350"/>
      <c r="G252" s="350"/>
      <c r="H252" s="350"/>
      <c r="I252" s="350"/>
      <c r="J252" s="350"/>
      <c r="K252" s="350"/>
      <c r="L252" s="350"/>
      <c r="M252" s="350"/>
      <c r="N252" s="350"/>
      <c r="O252" s="350"/>
      <c r="P252" s="350"/>
      <c r="Q252" s="350"/>
      <c r="R252" s="350"/>
      <c r="S252" s="350"/>
      <c r="T252" s="350"/>
      <c r="U252" s="350"/>
      <c r="V252" s="350"/>
      <c r="W252" s="350"/>
      <c r="X252" s="350"/>
      <c r="Y252" s="350"/>
      <c r="Z252" s="350"/>
      <c r="AA252" s="66"/>
      <c r="AB252" s="66"/>
      <c r="AC252" s="83"/>
    </row>
    <row r="253" spans="1:68" ht="27" customHeight="1" x14ac:dyDescent="0.25">
      <c r="A253" s="63" t="s">
        <v>354</v>
      </c>
      <c r="B253" s="63" t="s">
        <v>355</v>
      </c>
      <c r="C253" s="36">
        <v>4301136051</v>
      </c>
      <c r="D253" s="351">
        <v>4640242180304</v>
      </c>
      <c r="E253" s="351"/>
      <c r="F253" s="62">
        <v>2.7</v>
      </c>
      <c r="G253" s="37">
        <v>1</v>
      </c>
      <c r="H253" s="62">
        <v>2.7</v>
      </c>
      <c r="I253" s="62">
        <v>2.8906000000000001</v>
      </c>
      <c r="J253" s="37">
        <v>126</v>
      </c>
      <c r="K253" s="37" t="s">
        <v>112</v>
      </c>
      <c r="L253" s="37" t="s">
        <v>124</v>
      </c>
      <c r="M253" s="38" t="s">
        <v>86</v>
      </c>
      <c r="N253" s="38"/>
      <c r="O253" s="37">
        <v>180</v>
      </c>
      <c r="P253" s="44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353"/>
      <c r="R253" s="353"/>
      <c r="S253" s="353"/>
      <c r="T253" s="354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356</v>
      </c>
      <c r="AG253" s="81"/>
      <c r="AJ253" s="87" t="s">
        <v>125</v>
      </c>
      <c r="AK253" s="87">
        <v>14</v>
      </c>
      <c r="BB253" s="254" t="s">
        <v>111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357</v>
      </c>
      <c r="B254" s="63" t="s">
        <v>358</v>
      </c>
      <c r="C254" s="36">
        <v>4301136053</v>
      </c>
      <c r="D254" s="351">
        <v>4640242180236</v>
      </c>
      <c r="E254" s="351"/>
      <c r="F254" s="62">
        <v>5</v>
      </c>
      <c r="G254" s="37">
        <v>1</v>
      </c>
      <c r="H254" s="62">
        <v>5</v>
      </c>
      <c r="I254" s="62">
        <v>5.2350000000000003</v>
      </c>
      <c r="J254" s="37">
        <v>84</v>
      </c>
      <c r="K254" s="37" t="s">
        <v>87</v>
      </c>
      <c r="L254" s="37" t="s">
        <v>113</v>
      </c>
      <c r="M254" s="38" t="s">
        <v>86</v>
      </c>
      <c r="N254" s="38"/>
      <c r="O254" s="37">
        <v>180</v>
      </c>
      <c r="P254" s="44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353"/>
      <c r="R254" s="353"/>
      <c r="S254" s="353"/>
      <c r="T254" s="354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5" t="s">
        <v>356</v>
      </c>
      <c r="AG254" s="81"/>
      <c r="AJ254" s="87" t="s">
        <v>114</v>
      </c>
      <c r="AK254" s="87">
        <v>84</v>
      </c>
      <c r="BB254" s="256" t="s">
        <v>111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359</v>
      </c>
      <c r="B255" s="63" t="s">
        <v>360</v>
      </c>
      <c r="C255" s="36">
        <v>4301136052</v>
      </c>
      <c r="D255" s="351">
        <v>4640242180410</v>
      </c>
      <c r="E255" s="351"/>
      <c r="F255" s="62">
        <v>2.2400000000000002</v>
      </c>
      <c r="G255" s="37">
        <v>1</v>
      </c>
      <c r="H255" s="62">
        <v>2.2400000000000002</v>
      </c>
      <c r="I255" s="62">
        <v>2.4319999999999999</v>
      </c>
      <c r="J255" s="37">
        <v>126</v>
      </c>
      <c r="K255" s="37" t="s">
        <v>112</v>
      </c>
      <c r="L255" s="37" t="s">
        <v>124</v>
      </c>
      <c r="M255" s="38" t="s">
        <v>86</v>
      </c>
      <c r="N255" s="38"/>
      <c r="O255" s="37">
        <v>180</v>
      </c>
      <c r="P255" s="44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353"/>
      <c r="R255" s="353"/>
      <c r="S255" s="353"/>
      <c r="T255" s="354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356</v>
      </c>
      <c r="AG255" s="81"/>
      <c r="AJ255" s="87" t="s">
        <v>125</v>
      </c>
      <c r="AK255" s="87">
        <v>14</v>
      </c>
      <c r="BB255" s="258" t="s">
        <v>111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363"/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4"/>
      <c r="P256" s="360" t="s">
        <v>40</v>
      </c>
      <c r="Q256" s="361"/>
      <c r="R256" s="361"/>
      <c r="S256" s="361"/>
      <c r="T256" s="361"/>
      <c r="U256" s="361"/>
      <c r="V256" s="362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363"/>
      <c r="B257" s="363"/>
      <c r="C257" s="363"/>
      <c r="D257" s="363"/>
      <c r="E257" s="363"/>
      <c r="F257" s="363"/>
      <c r="G257" s="363"/>
      <c r="H257" s="363"/>
      <c r="I257" s="363"/>
      <c r="J257" s="363"/>
      <c r="K257" s="363"/>
      <c r="L257" s="363"/>
      <c r="M257" s="363"/>
      <c r="N257" s="363"/>
      <c r="O257" s="364"/>
      <c r="P257" s="360" t="s">
        <v>40</v>
      </c>
      <c r="Q257" s="361"/>
      <c r="R257" s="361"/>
      <c r="S257" s="361"/>
      <c r="T257" s="361"/>
      <c r="U257" s="361"/>
      <c r="V257" s="362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50" t="s">
        <v>153</v>
      </c>
      <c r="B258" s="350"/>
      <c r="C258" s="350"/>
      <c r="D258" s="350"/>
      <c r="E258" s="350"/>
      <c r="F258" s="350"/>
      <c r="G258" s="350"/>
      <c r="H258" s="350"/>
      <c r="I258" s="350"/>
      <c r="J258" s="350"/>
      <c r="K258" s="350"/>
      <c r="L258" s="350"/>
      <c r="M258" s="350"/>
      <c r="N258" s="350"/>
      <c r="O258" s="350"/>
      <c r="P258" s="350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  <c r="AA258" s="66"/>
      <c r="AB258" s="66"/>
      <c r="AC258" s="83"/>
    </row>
    <row r="259" spans="1:68" ht="37.5" customHeight="1" x14ac:dyDescent="0.25">
      <c r="A259" s="63" t="s">
        <v>361</v>
      </c>
      <c r="B259" s="63" t="s">
        <v>362</v>
      </c>
      <c r="C259" s="36">
        <v>4301135504</v>
      </c>
      <c r="D259" s="351">
        <v>4640242181554</v>
      </c>
      <c r="E259" s="351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112</v>
      </c>
      <c r="L259" s="37" t="s">
        <v>88</v>
      </c>
      <c r="M259" s="38" t="s">
        <v>86</v>
      </c>
      <c r="N259" s="38"/>
      <c r="O259" s="37">
        <v>180</v>
      </c>
      <c r="P259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353"/>
      <c r="R259" s="353"/>
      <c r="S259" s="353"/>
      <c r="T259" s="354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ref="Y259:Y268" si="18"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363</v>
      </c>
      <c r="AG259" s="81"/>
      <c r="AJ259" s="87" t="s">
        <v>89</v>
      </c>
      <c r="AK259" s="87">
        <v>1</v>
      </c>
      <c r="BB259" s="260" t="s">
        <v>111</v>
      </c>
      <c r="BM259" s="81">
        <f t="shared" ref="BM259:BM268" si="19">IFERROR(X259*I259,"0")</f>
        <v>0</v>
      </c>
      <c r="BN259" s="81">
        <f t="shared" ref="BN259:BN268" si="20">IFERROR(Y259*I259,"0")</f>
        <v>0</v>
      </c>
      <c r="BO259" s="81">
        <f t="shared" ref="BO259:BO268" si="21">IFERROR(X259/J259,"0")</f>
        <v>0</v>
      </c>
      <c r="BP259" s="81">
        <f t="shared" ref="BP259:BP268" si="22">IFERROR(Y259/J259,"0")</f>
        <v>0</v>
      </c>
    </row>
    <row r="260" spans="1:68" ht="27" customHeight="1" x14ac:dyDescent="0.25">
      <c r="A260" s="63" t="s">
        <v>364</v>
      </c>
      <c r="B260" s="63" t="s">
        <v>365</v>
      </c>
      <c r="C260" s="36">
        <v>4301135518</v>
      </c>
      <c r="D260" s="351">
        <v>4640242181561</v>
      </c>
      <c r="E260" s="351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124</v>
      </c>
      <c r="M260" s="38" t="s">
        <v>86</v>
      </c>
      <c r="N260" s="38"/>
      <c r="O260" s="37">
        <v>180</v>
      </c>
      <c r="P260" s="44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353"/>
      <c r="R260" s="353"/>
      <c r="S260" s="353"/>
      <c r="T260" s="354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1" t="s">
        <v>366</v>
      </c>
      <c r="AG260" s="81"/>
      <c r="AJ260" s="87" t="s">
        <v>125</v>
      </c>
      <c r="AK260" s="87">
        <v>14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367</v>
      </c>
      <c r="B261" s="63" t="s">
        <v>368</v>
      </c>
      <c r="C261" s="36">
        <v>4301135374</v>
      </c>
      <c r="D261" s="351">
        <v>4640242181424</v>
      </c>
      <c r="E261" s="351"/>
      <c r="F261" s="62">
        <v>5.5</v>
      </c>
      <c r="G261" s="37">
        <v>1</v>
      </c>
      <c r="H261" s="62">
        <v>5.5</v>
      </c>
      <c r="I261" s="62">
        <v>5.7350000000000003</v>
      </c>
      <c r="J261" s="37">
        <v>84</v>
      </c>
      <c r="K261" s="37" t="s">
        <v>87</v>
      </c>
      <c r="L261" s="37" t="s">
        <v>124</v>
      </c>
      <c r="M261" s="38" t="s">
        <v>86</v>
      </c>
      <c r="N261" s="38"/>
      <c r="O261" s="37">
        <v>180</v>
      </c>
      <c r="P261" s="44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353"/>
      <c r="R261" s="353"/>
      <c r="S261" s="353"/>
      <c r="T261" s="354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63" t="s">
        <v>363</v>
      </c>
      <c r="AG261" s="81"/>
      <c r="AJ261" s="87" t="s">
        <v>125</v>
      </c>
      <c r="AK261" s="87">
        <v>12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369</v>
      </c>
      <c r="B262" s="63" t="s">
        <v>370</v>
      </c>
      <c r="C262" s="36">
        <v>4301135405</v>
      </c>
      <c r="D262" s="351">
        <v>4640242181523</v>
      </c>
      <c r="E262" s="351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112</v>
      </c>
      <c r="L262" s="37" t="s">
        <v>124</v>
      </c>
      <c r="M262" s="38" t="s">
        <v>86</v>
      </c>
      <c r="N262" s="38"/>
      <c r="O262" s="37">
        <v>180</v>
      </c>
      <c r="P262" s="44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353"/>
      <c r="R262" s="353"/>
      <c r="S262" s="353"/>
      <c r="T262" s="354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ref="Z262:Z267" si="23">IFERROR(IF(X262="","",X262*0.00936),"")</f>
        <v>0</v>
      </c>
      <c r="AA262" s="68" t="s">
        <v>46</v>
      </c>
      <c r="AB262" s="69" t="s">
        <v>46</v>
      </c>
      <c r="AC262" s="265" t="s">
        <v>366</v>
      </c>
      <c r="AG262" s="81"/>
      <c r="AJ262" s="87" t="s">
        <v>125</v>
      </c>
      <c r="AK262" s="87">
        <v>14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371</v>
      </c>
      <c r="B263" s="63" t="s">
        <v>372</v>
      </c>
      <c r="C263" s="36">
        <v>4301135375</v>
      </c>
      <c r="D263" s="351">
        <v>4640242181486</v>
      </c>
      <c r="E263" s="351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112</v>
      </c>
      <c r="L263" s="37" t="s">
        <v>124</v>
      </c>
      <c r="M263" s="38" t="s">
        <v>86</v>
      </c>
      <c r="N263" s="38"/>
      <c r="O263" s="37">
        <v>180</v>
      </c>
      <c r="P263" s="44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353"/>
      <c r="R263" s="353"/>
      <c r="S263" s="353"/>
      <c r="T263" s="354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363</v>
      </c>
      <c r="AG263" s="81"/>
      <c r="AJ263" s="87" t="s">
        <v>125</v>
      </c>
      <c r="AK263" s="87">
        <v>14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373</v>
      </c>
      <c r="B264" s="63" t="s">
        <v>374</v>
      </c>
      <c r="C264" s="36">
        <v>4301135402</v>
      </c>
      <c r="D264" s="351">
        <v>4640242181493</v>
      </c>
      <c r="E264" s="351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112</v>
      </c>
      <c r="L264" s="37" t="s">
        <v>88</v>
      </c>
      <c r="M264" s="38" t="s">
        <v>86</v>
      </c>
      <c r="N264" s="38"/>
      <c r="O264" s="37">
        <v>180</v>
      </c>
      <c r="P264" s="44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353"/>
      <c r="R264" s="353"/>
      <c r="S264" s="353"/>
      <c r="T264" s="354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363</v>
      </c>
      <c r="AG264" s="81"/>
      <c r="AJ264" s="87" t="s">
        <v>89</v>
      </c>
      <c r="AK264" s="87">
        <v>1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375</v>
      </c>
      <c r="B265" s="63" t="s">
        <v>376</v>
      </c>
      <c r="C265" s="36">
        <v>4301135403</v>
      </c>
      <c r="D265" s="351">
        <v>4640242181509</v>
      </c>
      <c r="E265" s="351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112</v>
      </c>
      <c r="L265" s="37" t="s">
        <v>88</v>
      </c>
      <c r="M265" s="38" t="s">
        <v>86</v>
      </c>
      <c r="N265" s="38"/>
      <c r="O265" s="37">
        <v>180</v>
      </c>
      <c r="P265" s="45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353"/>
      <c r="R265" s="353"/>
      <c r="S265" s="353"/>
      <c r="T265" s="354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363</v>
      </c>
      <c r="AG265" s="81"/>
      <c r="AJ265" s="87" t="s">
        <v>89</v>
      </c>
      <c r="AK265" s="87">
        <v>1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377</v>
      </c>
      <c r="B266" s="63" t="s">
        <v>378</v>
      </c>
      <c r="C266" s="36">
        <v>4301135304</v>
      </c>
      <c r="D266" s="351">
        <v>4640242181240</v>
      </c>
      <c r="E266" s="351"/>
      <c r="F266" s="62">
        <v>0.3</v>
      </c>
      <c r="G266" s="37">
        <v>9</v>
      </c>
      <c r="H266" s="62">
        <v>2.7</v>
      </c>
      <c r="I266" s="62">
        <v>2.88</v>
      </c>
      <c r="J266" s="37">
        <v>126</v>
      </c>
      <c r="K266" s="37" t="s">
        <v>112</v>
      </c>
      <c r="L266" s="37" t="s">
        <v>88</v>
      </c>
      <c r="M266" s="38" t="s">
        <v>86</v>
      </c>
      <c r="N266" s="38"/>
      <c r="O266" s="37">
        <v>180</v>
      </c>
      <c r="P266" s="45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353"/>
      <c r="R266" s="353"/>
      <c r="S266" s="353"/>
      <c r="T266" s="354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363</v>
      </c>
      <c r="AG266" s="81"/>
      <c r="AJ266" s="87" t="s">
        <v>89</v>
      </c>
      <c r="AK266" s="87">
        <v>1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379</v>
      </c>
      <c r="B267" s="63" t="s">
        <v>380</v>
      </c>
      <c r="C267" s="36">
        <v>4301135610</v>
      </c>
      <c r="D267" s="351">
        <v>4640242181318</v>
      </c>
      <c r="E267" s="351"/>
      <c r="F267" s="62">
        <v>0.3</v>
      </c>
      <c r="G267" s="37">
        <v>9</v>
      </c>
      <c r="H267" s="62">
        <v>2.7</v>
      </c>
      <c r="I267" s="62">
        <v>2.988</v>
      </c>
      <c r="J267" s="37">
        <v>126</v>
      </c>
      <c r="K267" s="37" t="s">
        <v>112</v>
      </c>
      <c r="L267" s="37" t="s">
        <v>88</v>
      </c>
      <c r="M267" s="38" t="s">
        <v>86</v>
      </c>
      <c r="N267" s="38"/>
      <c r="O267" s="37">
        <v>180</v>
      </c>
      <c r="P267" s="4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353"/>
      <c r="R267" s="353"/>
      <c r="S267" s="353"/>
      <c r="T267" s="354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366</v>
      </c>
      <c r="AG267" s="81"/>
      <c r="AJ267" s="87" t="s">
        <v>89</v>
      </c>
      <c r="AK267" s="87">
        <v>1</v>
      </c>
      <c r="BB267" s="276" t="s">
        <v>111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381</v>
      </c>
      <c r="B268" s="63" t="s">
        <v>382</v>
      </c>
      <c r="C268" s="36">
        <v>4301135306</v>
      </c>
      <c r="D268" s="351">
        <v>4640242181387</v>
      </c>
      <c r="E268" s="351"/>
      <c r="F268" s="62">
        <v>0.3</v>
      </c>
      <c r="G268" s="37">
        <v>9</v>
      </c>
      <c r="H268" s="62">
        <v>2.7</v>
      </c>
      <c r="I268" s="62">
        <v>2.8450000000000002</v>
      </c>
      <c r="J268" s="37">
        <v>234</v>
      </c>
      <c r="K268" s="37" t="s">
        <v>165</v>
      </c>
      <c r="L268" s="37" t="s">
        <v>88</v>
      </c>
      <c r="M268" s="38" t="s">
        <v>86</v>
      </c>
      <c r="N268" s="38"/>
      <c r="O268" s="37">
        <v>180</v>
      </c>
      <c r="P268" s="45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353"/>
      <c r="R268" s="353"/>
      <c r="S268" s="353"/>
      <c r="T268" s="354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IFERROR(IF(X268="","",X268*0.00502),"")</f>
        <v>0</v>
      </c>
      <c r="AA268" s="68" t="s">
        <v>46</v>
      </c>
      <c r="AB268" s="69" t="s">
        <v>46</v>
      </c>
      <c r="AC268" s="277" t="s">
        <v>363</v>
      </c>
      <c r="AG268" s="81"/>
      <c r="AJ268" s="87" t="s">
        <v>89</v>
      </c>
      <c r="AK268" s="87">
        <v>1</v>
      </c>
      <c r="BB268" s="278" t="s">
        <v>111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x14ac:dyDescent="0.2">
      <c r="A269" s="363"/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4"/>
      <c r="P269" s="360" t="s">
        <v>40</v>
      </c>
      <c r="Q269" s="361"/>
      <c r="R269" s="361"/>
      <c r="S269" s="361"/>
      <c r="T269" s="361"/>
      <c r="U269" s="361"/>
      <c r="V269" s="362"/>
      <c r="W269" s="42" t="s">
        <v>39</v>
      </c>
      <c r="X269" s="43">
        <f>IFERROR(SUM(X259:X268),"0")</f>
        <v>0</v>
      </c>
      <c r="Y269" s="43">
        <f>IFERROR(SUM(Y259:Y268),"0")</f>
        <v>0</v>
      </c>
      <c r="Z269" s="43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363"/>
      <c r="B270" s="363"/>
      <c r="C270" s="363"/>
      <c r="D270" s="363"/>
      <c r="E270" s="363"/>
      <c r="F270" s="363"/>
      <c r="G270" s="363"/>
      <c r="H270" s="363"/>
      <c r="I270" s="363"/>
      <c r="J270" s="363"/>
      <c r="K270" s="363"/>
      <c r="L270" s="363"/>
      <c r="M270" s="363"/>
      <c r="N270" s="363"/>
      <c r="O270" s="364"/>
      <c r="P270" s="360" t="s">
        <v>40</v>
      </c>
      <c r="Q270" s="361"/>
      <c r="R270" s="361"/>
      <c r="S270" s="361"/>
      <c r="T270" s="361"/>
      <c r="U270" s="361"/>
      <c r="V270" s="362"/>
      <c r="W270" s="42" t="s">
        <v>0</v>
      </c>
      <c r="X270" s="43">
        <f>IFERROR(SUMPRODUCT(X259:X268*H259:H268),"0")</f>
        <v>0</v>
      </c>
      <c r="Y270" s="43">
        <f>IFERROR(SUMPRODUCT(Y259:Y268*H259:H268),"0")</f>
        <v>0</v>
      </c>
      <c r="Z270" s="42"/>
      <c r="AA270" s="67"/>
      <c r="AB270" s="67"/>
      <c r="AC270" s="67"/>
    </row>
    <row r="271" spans="1:68" ht="15" customHeight="1" x14ac:dyDescent="0.2">
      <c r="A271" s="363"/>
      <c r="B271" s="363"/>
      <c r="C271" s="363"/>
      <c r="D271" s="363"/>
      <c r="E271" s="363"/>
      <c r="F271" s="363"/>
      <c r="G271" s="363"/>
      <c r="H271" s="363"/>
      <c r="I271" s="363"/>
      <c r="J271" s="363"/>
      <c r="K271" s="363"/>
      <c r="L271" s="363"/>
      <c r="M271" s="363"/>
      <c r="N271" s="363"/>
      <c r="O271" s="457"/>
      <c r="P271" s="454" t="s">
        <v>33</v>
      </c>
      <c r="Q271" s="455"/>
      <c r="R271" s="455"/>
      <c r="S271" s="455"/>
      <c r="T271" s="455"/>
      <c r="U271" s="455"/>
      <c r="V271" s="456"/>
      <c r="W271" s="42" t="s">
        <v>0</v>
      </c>
      <c r="X271" s="43">
        <f>IFERROR(X29+X35+X42+X49+X57+X62+X66+X71+X77+X83+X88+X94+X104+X110+X122+X126+X130+X136+X142+X148+X153+X158+X163+X168+X175+X180+X189+X193+X199+X207+X212+X218+X224+X230+X236+X240+X247+X251+X257+X270,"0")</f>
        <v>0</v>
      </c>
      <c r="Y271" s="43">
        <f>IFERROR(Y29+Y35+Y42+Y49+Y57+Y62+Y66+Y71+Y77+Y83+Y88+Y94+Y104+Y110+Y122+Y126+Y130+Y136+Y142+Y148+Y153+Y158+Y163+Y168+Y175+Y180+Y189+Y193+Y199+Y207+Y212+Y218+Y224+Y230+Y236+Y240+Y247+Y251+Y257+Y270,"0")</f>
        <v>0</v>
      </c>
      <c r="Z271" s="42"/>
      <c r="AA271" s="67"/>
      <c r="AB271" s="67"/>
      <c r="AC271" s="67"/>
    </row>
    <row r="272" spans="1:68" x14ac:dyDescent="0.2">
      <c r="A272" s="36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457"/>
      <c r="P272" s="454" t="s">
        <v>34</v>
      </c>
      <c r="Q272" s="455"/>
      <c r="R272" s="455"/>
      <c r="S272" s="455"/>
      <c r="T272" s="455"/>
      <c r="U272" s="455"/>
      <c r="V272" s="456"/>
      <c r="W272" s="42" t="s">
        <v>0</v>
      </c>
      <c r="X272" s="43">
        <f>IFERROR(SUM(BM22:BM268),"0")</f>
        <v>0</v>
      </c>
      <c r="Y272" s="43">
        <f>IFERROR(SUM(BN22:BN268),"0")</f>
        <v>0</v>
      </c>
      <c r="Z272" s="42"/>
      <c r="AA272" s="67"/>
      <c r="AB272" s="67"/>
      <c r="AC272" s="67"/>
    </row>
    <row r="273" spans="1:32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457"/>
      <c r="P273" s="454" t="s">
        <v>35</v>
      </c>
      <c r="Q273" s="455"/>
      <c r="R273" s="455"/>
      <c r="S273" s="455"/>
      <c r="T273" s="455"/>
      <c r="U273" s="455"/>
      <c r="V273" s="456"/>
      <c r="W273" s="42" t="s">
        <v>20</v>
      </c>
      <c r="X273" s="44">
        <f>ROUNDUP(SUM(BO22:BO268),0)</f>
        <v>0</v>
      </c>
      <c r="Y273" s="44">
        <f>ROUNDUP(SUM(BP22:BP268),0)</f>
        <v>0</v>
      </c>
      <c r="Z273" s="42"/>
      <c r="AA273" s="67"/>
      <c r="AB273" s="67"/>
      <c r="AC273" s="67"/>
    </row>
    <row r="274" spans="1:32" x14ac:dyDescent="0.2">
      <c r="A274" s="363"/>
      <c r="B274" s="363"/>
      <c r="C274" s="363"/>
      <c r="D274" s="363"/>
      <c r="E274" s="363"/>
      <c r="F274" s="363"/>
      <c r="G274" s="363"/>
      <c r="H274" s="363"/>
      <c r="I274" s="363"/>
      <c r="J274" s="363"/>
      <c r="K274" s="363"/>
      <c r="L274" s="363"/>
      <c r="M274" s="363"/>
      <c r="N274" s="363"/>
      <c r="O274" s="457"/>
      <c r="P274" s="454" t="s">
        <v>36</v>
      </c>
      <c r="Q274" s="455"/>
      <c r="R274" s="455"/>
      <c r="S274" s="455"/>
      <c r="T274" s="455"/>
      <c r="U274" s="455"/>
      <c r="V274" s="456"/>
      <c r="W274" s="42" t="s">
        <v>0</v>
      </c>
      <c r="X274" s="43">
        <f>GrossWeightTotal+PalletQtyTotal*25</f>
        <v>0</v>
      </c>
      <c r="Y274" s="43">
        <f>GrossWeightTotalR+PalletQtyTotalR*25</f>
        <v>0</v>
      </c>
      <c r="Z274" s="42"/>
      <c r="AA274" s="67"/>
      <c r="AB274" s="67"/>
      <c r="AC274" s="67"/>
    </row>
    <row r="275" spans="1:32" x14ac:dyDescent="0.2">
      <c r="A275" s="363"/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457"/>
      <c r="P275" s="454" t="s">
        <v>37</v>
      </c>
      <c r="Q275" s="455"/>
      <c r="R275" s="455"/>
      <c r="S275" s="455"/>
      <c r="T275" s="455"/>
      <c r="U275" s="455"/>
      <c r="V275" s="456"/>
      <c r="W275" s="42" t="s">
        <v>20</v>
      </c>
      <c r="X275" s="43">
        <f>IFERROR(X28+X34+X41+X48+X56+X61+X65+X70+X76+X82+X87+X93+X103+X109+X121+X125+X129+X135+X141+X147+X152+X157+X162+X167+X174+X179+X188+X192+X198+X206+X211+X217+X223+X229+X235+X239+X246+X250+X256+X269,"0")</f>
        <v>0</v>
      </c>
      <c r="Y275" s="43">
        <f>IFERROR(Y28+Y34+Y41+Y48+Y56+Y61+Y65+Y70+Y76+Y82+Y87+Y93+Y103+Y109+Y121+Y125+Y129+Y135+Y141+Y147+Y152+Y157+Y162+Y167+Y174+Y179+Y188+Y192+Y198+Y206+Y211+Y217+Y223+Y229+Y235+Y239+Y246+Y250+Y256+Y269,"0")</f>
        <v>0</v>
      </c>
      <c r="Z275" s="42"/>
      <c r="AA275" s="67"/>
      <c r="AB275" s="67"/>
      <c r="AC275" s="67"/>
    </row>
    <row r="276" spans="1:32" ht="14.25" x14ac:dyDescent="0.2">
      <c r="A276" s="363"/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457"/>
      <c r="P276" s="454" t="s">
        <v>38</v>
      </c>
      <c r="Q276" s="455"/>
      <c r="R276" s="455"/>
      <c r="S276" s="455"/>
      <c r="T276" s="455"/>
      <c r="U276" s="455"/>
      <c r="V276" s="456"/>
      <c r="W276" s="45" t="s">
        <v>52</v>
      </c>
      <c r="X276" s="42"/>
      <c r="Y276" s="42"/>
      <c r="Z276" s="42">
        <f>IFERROR(Z28+Z34+Z41+Z48+Z56+Z61+Z65+Z70+Z76+Z82+Z87+Z93+Z103+Z109+Z121+Z125+Z129+Z135+Z141+Z147+Z152+Z157+Z162+Z167+Z174+Z179+Z188+Z192+Z198+Z206+Z211+Z217+Z223+Z229+Z235+Z239+Z246+Z250+Z256+Z269,"0")</f>
        <v>0</v>
      </c>
      <c r="AA276" s="67"/>
      <c r="AB276" s="67"/>
      <c r="AC276" s="67"/>
    </row>
    <row r="277" spans="1:32" ht="13.5" thickBot="1" x14ac:dyDescent="0.25"/>
    <row r="278" spans="1:32" ht="27" thickTop="1" thickBot="1" x14ac:dyDescent="0.25">
      <c r="A278" s="46" t="s">
        <v>9</v>
      </c>
      <c r="B278" s="460" t="s">
        <v>81</v>
      </c>
      <c r="C278" s="460" t="s">
        <v>81</v>
      </c>
      <c r="D278" s="460" t="s">
        <v>45</v>
      </c>
      <c r="E278" s="460" t="s">
        <v>45</v>
      </c>
      <c r="F278" s="460" t="s">
        <v>45</v>
      </c>
      <c r="G278" s="460" t="s">
        <v>45</v>
      </c>
      <c r="H278" s="460" t="s">
        <v>45</v>
      </c>
      <c r="I278" s="460" t="s">
        <v>45</v>
      </c>
      <c r="J278" s="460" t="s">
        <v>45</v>
      </c>
      <c r="K278" s="460" t="s">
        <v>45</v>
      </c>
      <c r="L278" s="460" t="s">
        <v>45</v>
      </c>
      <c r="M278" s="460" t="s">
        <v>45</v>
      </c>
      <c r="N278" s="461"/>
      <c r="O278" s="460" t="s">
        <v>45</v>
      </c>
      <c r="P278" s="460" t="s">
        <v>45</v>
      </c>
      <c r="Q278" s="460" t="s">
        <v>45</v>
      </c>
      <c r="R278" s="460" t="s">
        <v>45</v>
      </c>
      <c r="S278" s="460" t="s">
        <v>45</v>
      </c>
      <c r="T278" s="460" t="s">
        <v>45</v>
      </c>
      <c r="U278" s="460" t="s">
        <v>45</v>
      </c>
      <c r="V278" s="88" t="s">
        <v>263</v>
      </c>
      <c r="W278" s="88" t="s">
        <v>277</v>
      </c>
      <c r="X278" s="460" t="s">
        <v>299</v>
      </c>
      <c r="Y278" s="460" t="s">
        <v>299</v>
      </c>
      <c r="Z278" s="460" t="s">
        <v>299</v>
      </c>
      <c r="AA278" s="88" t="s">
        <v>328</v>
      </c>
      <c r="AB278" s="88" t="s">
        <v>333</v>
      </c>
      <c r="AC278" s="88" t="s">
        <v>337</v>
      </c>
      <c r="AD278" s="88" t="s">
        <v>345</v>
      </c>
      <c r="AF278" s="1"/>
    </row>
    <row r="279" spans="1:32" ht="14.25" customHeight="1" thickTop="1" x14ac:dyDescent="0.2">
      <c r="A279" s="458" t="s">
        <v>10</v>
      </c>
      <c r="B279" s="460" t="s">
        <v>81</v>
      </c>
      <c r="C279" s="460" t="s">
        <v>100</v>
      </c>
      <c r="D279" s="460" t="s">
        <v>106</v>
      </c>
      <c r="E279" s="460" t="s">
        <v>117</v>
      </c>
      <c r="F279" s="460" t="s">
        <v>129</v>
      </c>
      <c r="G279" s="460" t="s">
        <v>140</v>
      </c>
      <c r="H279" s="460" t="s">
        <v>161</v>
      </c>
      <c r="I279" s="460" t="s">
        <v>168</v>
      </c>
      <c r="J279" s="460" t="s">
        <v>172</v>
      </c>
      <c r="K279" s="460" t="s">
        <v>180</v>
      </c>
      <c r="L279" s="460" t="s">
        <v>195</v>
      </c>
      <c r="M279" s="460" t="s">
        <v>201</v>
      </c>
      <c r="N279" s="1"/>
      <c r="O279" s="460" t="s">
        <v>229</v>
      </c>
      <c r="P279" s="460" t="s">
        <v>235</v>
      </c>
      <c r="Q279" s="460" t="s">
        <v>242</v>
      </c>
      <c r="R279" s="460" t="s">
        <v>247</v>
      </c>
      <c r="S279" s="460" t="s">
        <v>251</v>
      </c>
      <c r="T279" s="460" t="s">
        <v>254</v>
      </c>
      <c r="U279" s="460" t="s">
        <v>259</v>
      </c>
      <c r="V279" s="460" t="s">
        <v>264</v>
      </c>
      <c r="W279" s="460" t="s">
        <v>278</v>
      </c>
      <c r="X279" s="460" t="s">
        <v>300</v>
      </c>
      <c r="Y279" s="460" t="s">
        <v>318</v>
      </c>
      <c r="Z279" s="460" t="s">
        <v>322</v>
      </c>
      <c r="AA279" s="460" t="s">
        <v>329</v>
      </c>
      <c r="AB279" s="460" t="s">
        <v>334</v>
      </c>
      <c r="AC279" s="460" t="s">
        <v>338</v>
      </c>
      <c r="AD279" s="460" t="s">
        <v>345</v>
      </c>
      <c r="AF279" s="1"/>
    </row>
    <row r="280" spans="1:32" ht="13.5" thickBot="1" x14ac:dyDescent="0.25">
      <c r="A280" s="459"/>
      <c r="B280" s="460"/>
      <c r="C280" s="460"/>
      <c r="D280" s="460"/>
      <c r="E280" s="460"/>
      <c r="F280" s="460"/>
      <c r="G280" s="460"/>
      <c r="H280" s="460"/>
      <c r="I280" s="460"/>
      <c r="J280" s="460"/>
      <c r="K280" s="460"/>
      <c r="L280" s="460"/>
      <c r="M280" s="460"/>
      <c r="N280" s="1"/>
      <c r="O280" s="460"/>
      <c r="P280" s="460"/>
      <c r="Q280" s="460"/>
      <c r="R280" s="460"/>
      <c r="S280" s="460"/>
      <c r="T280" s="460"/>
      <c r="U280" s="460"/>
      <c r="V280" s="460"/>
      <c r="W280" s="460"/>
      <c r="X280" s="460"/>
      <c r="Y280" s="460"/>
      <c r="Z280" s="460"/>
      <c r="AA280" s="460"/>
      <c r="AB280" s="460"/>
      <c r="AC280" s="460"/>
      <c r="AD280" s="460"/>
      <c r="AF280" s="1"/>
    </row>
    <row r="281" spans="1:32" ht="18" thickTop="1" thickBot="1" x14ac:dyDescent="0.25">
      <c r="A281" s="46" t="s">
        <v>13</v>
      </c>
      <c r="B281" s="52">
        <f>IFERROR(X22*H22,"0")+IFERROR(X23*H23,"0")+IFERROR(X24*H24,"0")+IFERROR(X25*H25,"0")+IFERROR(X26*H26,"0")+IFERROR(X27*H27,"0")</f>
        <v>0</v>
      </c>
      <c r="C281" s="52">
        <f>IFERROR(X32*H32,"0")+IFERROR(X33*H33,"0")</f>
        <v>0</v>
      </c>
      <c r="D281" s="52">
        <f>IFERROR(X39*H39,"0")+IFERROR(X40*H40,"0")</f>
        <v>0</v>
      </c>
      <c r="E281" s="52">
        <f>IFERROR(X45*H45,"0")+IFERROR(X46*H46,"0")+IFERROR(X47*H47,"0")</f>
        <v>0</v>
      </c>
      <c r="F281" s="52">
        <f>IFERROR(X52*H52,"0")+IFERROR(X53*H53,"0")+IFERROR(X54*H54,"0")+IFERROR(X55*H55,"0")</f>
        <v>0</v>
      </c>
      <c r="G281" s="52">
        <f>IFERROR(X60*H60,"0")+IFERROR(X64*H64,"0")+IFERROR(X68*H68,"0")+IFERROR(X69*H69,"0")+IFERROR(X73*H73,"0")+IFERROR(X74*H74,"0")+IFERROR(X75*H75,"0")</f>
        <v>0</v>
      </c>
      <c r="H281" s="52">
        <f>IFERROR(X80*H80,"0")+IFERROR(X81*H81,"0")</f>
        <v>0</v>
      </c>
      <c r="I281" s="52">
        <f>IFERROR(X86*H86,"0")</f>
        <v>0</v>
      </c>
      <c r="J281" s="52">
        <f>IFERROR(X91*H91,"0")+IFERROR(X92*H92,"0")</f>
        <v>0</v>
      </c>
      <c r="K281" s="52">
        <f>IFERROR(X97*H97,"0")+IFERROR(X98*H98,"0")+IFERROR(X99*H99,"0")+IFERROR(X100*H100,"0")+IFERROR(X101*H101,"0")+IFERROR(X102*H102,"0")</f>
        <v>0</v>
      </c>
      <c r="L281" s="52">
        <f>IFERROR(X107*H107,"0")+IFERROR(X108*H108,"0")</f>
        <v>0</v>
      </c>
      <c r="M281" s="52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1" s="1"/>
      <c r="O281" s="52">
        <f>IFERROR(X133*H133,"0")+IFERROR(X134*H134,"0")</f>
        <v>0</v>
      </c>
      <c r="P281" s="52">
        <f>IFERROR(X139*H139,"0")+IFERROR(X140*H140,"0")</f>
        <v>0</v>
      </c>
      <c r="Q281" s="52">
        <f>IFERROR(X145*H145,"0")+IFERROR(X146*H146,"0")</f>
        <v>0</v>
      </c>
      <c r="R281" s="52">
        <f>IFERROR(X151*H151,"0")</f>
        <v>0</v>
      </c>
      <c r="S281" s="52">
        <f>IFERROR(X156*H156,"0")</f>
        <v>0</v>
      </c>
      <c r="T281" s="52">
        <f>IFERROR(X161*H161,"0")</f>
        <v>0</v>
      </c>
      <c r="U281" s="52">
        <f>IFERROR(X166*H166,"0")</f>
        <v>0</v>
      </c>
      <c r="V281" s="52">
        <f>IFERROR(X172*H172,"0")+IFERROR(X173*H173,"0")+IFERROR(X177*H177,"0")+IFERROR(X178*H178,"0")</f>
        <v>0</v>
      </c>
      <c r="W281" s="52">
        <f>IFERROR(X184*H184,"0")+IFERROR(X185*H185,"0")+IFERROR(X186*H186,"0")+IFERROR(X187*H187,"0")+IFERROR(X191*H191,"0")</f>
        <v>0</v>
      </c>
      <c r="X281" s="52">
        <f>IFERROR(X197*H197,"0")+IFERROR(X201*H201,"0")+IFERROR(X202*H202,"0")+IFERROR(X203*H203,"0")+IFERROR(X204*H204,"0")+IFERROR(X205*H205,"0")</f>
        <v>0</v>
      </c>
      <c r="Y281" s="52">
        <f>IFERROR(X210*H210,"0")</f>
        <v>0</v>
      </c>
      <c r="Z281" s="52">
        <f>IFERROR(X215*H215,"0")+IFERROR(X216*H216,"0")</f>
        <v>0</v>
      </c>
      <c r="AA281" s="52">
        <f>IFERROR(X222*H222,"0")</f>
        <v>0</v>
      </c>
      <c r="AB281" s="52">
        <f>IFERROR(X228*H228,"0")</f>
        <v>0</v>
      </c>
      <c r="AC281" s="52">
        <f>IFERROR(X234*H234,"0")+IFERROR(X238*H238,"0")</f>
        <v>0</v>
      </c>
      <c r="AD281" s="52">
        <f>IFERROR(X244*H244,"0")+IFERROR(X245*H245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5" thickTop="1" x14ac:dyDescent="0.2">
      <c r="C282" s="1"/>
    </row>
    <row r="283" spans="1:32" ht="19.5" customHeight="1" x14ac:dyDescent="0.2">
      <c r="A283" s="70" t="s">
        <v>62</v>
      </c>
      <c r="B283" s="70" t="s">
        <v>63</v>
      </c>
      <c r="C283" s="70" t="s">
        <v>65</v>
      </c>
    </row>
    <row r="284" spans="1:32" x14ac:dyDescent="0.2">
      <c r="A284" s="71">
        <f>SUMPRODUCT(--(BB:BB="ЗПФ"),--(W:W="кор"),H:H,Y:Y)+SUMPRODUCT(--(BB:BB="ЗПФ"),--(W:W="кг"),Y:Y)</f>
        <v>0</v>
      </c>
      <c r="B284" s="72">
        <f>SUMPRODUCT(--(BB:BB="ПГП"),--(W:W="кор"),H:H,Y:Y)+SUMPRODUCT(--(BB:BB="ПГП"),--(W:W="кг"),Y:Y)</f>
        <v>0</v>
      </c>
      <c r="C284" s="72">
        <f>SUMPRODUCT(--(BB:BB="КИЗ"),--(W:W="кор"),H:H,Y:Y)+SUMPRODUCT(--(BB:BB="КИЗ"),--(W:W="кг"),Y:Y)</f>
        <v>0</v>
      </c>
    </row>
  </sheetData>
  <sheetProtection algorithmName="SHA-512" hashValue="zHTQsQ8f52ZX8WRmO6veQpl+E3brrekNhMll6YOGZzRnCbZD3LwGXf2r6jHcs2Dofb1NhrQxsOnyZ+J8GxAbJg==" saltValue="oZ7qOzW8bkbvIxUpY3dpx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A252:Z25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D245:E245"/>
    <mergeCell ref="P245:T245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19:Z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A194:Z194"/>
    <mergeCell ref="A195:Z195"/>
    <mergeCell ref="A196:Z196"/>
    <mergeCell ref="D197:E197"/>
    <mergeCell ref="P197:T197"/>
    <mergeCell ref="P198:V198"/>
    <mergeCell ref="A198:O199"/>
    <mergeCell ref="P199:V199"/>
    <mergeCell ref="A200:Z200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81:Z181"/>
    <mergeCell ref="A182:Z182"/>
    <mergeCell ref="A183:Z183"/>
    <mergeCell ref="D184:E184"/>
    <mergeCell ref="P184:T184"/>
    <mergeCell ref="D185:E185"/>
    <mergeCell ref="P185:T185"/>
    <mergeCell ref="D186:E186"/>
    <mergeCell ref="P186:T186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D173:E173"/>
    <mergeCell ref="P173:T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A154:Z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:X268 X259 X244:X245 X238 X234 X222 X215:X216 X205 X203 X201 X191 X187 X177:X178 X166 X161 X145 X139 X128 X124 X120 X117 X114 X108 X101 X99 X73 X68:X69 X64 X60 X47 X45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54 X249 X228 X184:X186 X140 X133:X134 X119 X116 X100 X98 X81 X55" xr:uid="{00000000-0002-0000-0000-000019000000}">
      <formula1>IF(AK39&gt;0,OR(X39=0,AND(IF(X39-AK39&gt;=0,TRUE,FALSE),X39&gt;0,IF(X39/J39=ROUND(X39/J39,0),TRUE,FALSE))),FALSE)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260:X263 X255 X253 X210 X204 X202 X197 X172:X173 X156 X151 X146 X118 X115 X113 X107 X102 X97 X91:X92 X86 X80 X74:X75 X52:X54" xr:uid="{00000000-0002-0000-0000-00001C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9"/>
    </row>
    <row r="3" spans="2:8" x14ac:dyDescent="0.2">
      <c r="B3" s="53" t="s">
        <v>384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386</v>
      </c>
      <c r="D6" s="53" t="s">
        <v>387</v>
      </c>
      <c r="E6" s="53" t="s">
        <v>46</v>
      </c>
    </row>
    <row r="8" spans="2:8" x14ac:dyDescent="0.2">
      <c r="B8" s="53" t="s">
        <v>80</v>
      </c>
      <c r="C8" s="53" t="s">
        <v>386</v>
      </c>
      <c r="D8" s="53" t="s">
        <v>46</v>
      </c>
      <c r="E8" s="53" t="s">
        <v>46</v>
      </c>
    </row>
    <row r="10" spans="2:8" x14ac:dyDescent="0.2">
      <c r="B10" s="53" t="s">
        <v>388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389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390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398</v>
      </c>
      <c r="C20" s="53" t="s">
        <v>46</v>
      </c>
      <c r="D20" s="53" t="s">
        <v>46</v>
      </c>
      <c r="E20" s="53" t="s">
        <v>46</v>
      </c>
    </row>
  </sheetData>
  <sheetProtection algorithmName="SHA-512" hashValue="/cPnc6ZqJer5PepPioLQGZRhPS/4fA6YL/JZFHpRxBGBNpKxz/9WPzqWaKk8UDHh6qIUSD2kQ6QVmdssyA6s7A==" saltValue="KUnU1MKdq1ekYIG64B69Y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422</vt:i4>
      </vt:variant>
    </vt:vector>
  </HeadingPairs>
  <TitlesOfParts>
    <vt:vector size="42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