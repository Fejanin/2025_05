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F03FF921-2CC4-4CF1-BE23-B1F1E415EE7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заказа'!$B$186:$B$186</definedName>
    <definedName name="ProductId67">'Бланк заказа'!$B$191:$B$191</definedName>
    <definedName name="ProductId68">'Бланк заказа'!$B$197:$B$197</definedName>
    <definedName name="ProductId69">'Бланк заказа'!$B$198:$B$198</definedName>
    <definedName name="ProductId7">'Бланк заказа'!$B$28:$B$28</definedName>
    <definedName name="ProductId70">'Бланк заказа'!$B$199:$B$199</definedName>
    <definedName name="ProductId71">'Бланк заказа'!$B$200:$B$200</definedName>
    <definedName name="ProductId72">'Бланк заказа'!$B$206:$B$206</definedName>
    <definedName name="ProductId73">'Бланк заказа'!$B$210:$B$210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заказа'!$B$218:$B$218</definedName>
    <definedName name="ProductId78">'Бланк заказа'!$B$223:$B$223</definedName>
    <definedName name="ProductId79">'Бланк заказа'!$B$228:$B$228</definedName>
    <definedName name="ProductId8">'Бланк заказа'!$B$29:$B$29</definedName>
    <definedName name="ProductId80">'Бланк заказа'!$B$234:$B$234</definedName>
    <definedName name="ProductId81">'Бланк заказа'!$B$240:$B$240</definedName>
    <definedName name="ProductId82">'Бланк заказа'!$B$244:$B$244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заказа'!$B$265:$B$265</definedName>
    <definedName name="ProductId88">'Бланк заказа'!$B$266:$B$266</definedName>
    <definedName name="ProductId89">'Бланк заказа'!$B$267:$B$267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заказа'!$X$186:$X$186</definedName>
    <definedName name="SalesQty67">'Бланк заказа'!$X$191:$X$191</definedName>
    <definedName name="SalesQty68">'Бланк заказа'!$X$197:$X$197</definedName>
    <definedName name="SalesQty69">'Бланк заказа'!$X$198:$X$198</definedName>
    <definedName name="SalesQty7">'Бланк заказа'!$X$28:$X$28</definedName>
    <definedName name="SalesQty70">'Бланк заказа'!$X$199:$X$199</definedName>
    <definedName name="SalesQty71">'Бланк заказа'!$X$200:$X$200</definedName>
    <definedName name="SalesQty72">'Бланк заказа'!$X$206:$X$206</definedName>
    <definedName name="SalesQty73">'Бланк заказа'!$X$210:$X$210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заказа'!$X$218:$X$218</definedName>
    <definedName name="SalesQty78">'Бланк заказа'!$X$223:$X$223</definedName>
    <definedName name="SalesQty79">'Бланк заказа'!$X$228:$X$228</definedName>
    <definedName name="SalesQty8">'Бланк заказа'!$X$29:$X$29</definedName>
    <definedName name="SalesQty80">'Бланк заказа'!$X$234:$X$234</definedName>
    <definedName name="SalesQty81">'Бланк заказа'!$X$240:$X$240</definedName>
    <definedName name="SalesQty82">'Бланк заказа'!$X$244:$X$244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заказа'!$X$265:$X$265</definedName>
    <definedName name="SalesQty88">'Бланк заказа'!$X$266:$X$266</definedName>
    <definedName name="SalesQty89">'Бланк заказа'!$X$267:$X$267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заказа'!$Y$186:$Y$186</definedName>
    <definedName name="SalesRoundBox67">'Бланк заказа'!$Y$191:$Y$191</definedName>
    <definedName name="SalesRoundBox68">'Бланк заказа'!$Y$197:$Y$197</definedName>
    <definedName name="SalesRoundBox69">'Бланк заказа'!$Y$198:$Y$198</definedName>
    <definedName name="SalesRoundBox7">'Бланк заказа'!$Y$28:$Y$28</definedName>
    <definedName name="SalesRoundBox70">'Бланк заказа'!$Y$199:$Y$199</definedName>
    <definedName name="SalesRoundBox71">'Бланк заказа'!$Y$200:$Y$200</definedName>
    <definedName name="SalesRoundBox72">'Бланк заказа'!$Y$206:$Y$206</definedName>
    <definedName name="SalesRoundBox73">'Бланк заказа'!$Y$210:$Y$210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заказа'!$Y$218:$Y$218</definedName>
    <definedName name="SalesRoundBox78">'Бланк заказа'!$Y$223:$Y$223</definedName>
    <definedName name="SalesRoundBox79">'Бланк заказа'!$Y$228:$Y$228</definedName>
    <definedName name="SalesRoundBox8">'Бланк заказа'!$Y$29:$Y$29</definedName>
    <definedName name="SalesRoundBox80">'Бланк заказа'!$Y$234:$Y$234</definedName>
    <definedName name="SalesRoundBox81">'Бланк заказа'!$Y$240:$Y$240</definedName>
    <definedName name="SalesRoundBox82">'Бланк заказа'!$Y$244:$Y$244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заказа'!$Y$265:$Y$265</definedName>
    <definedName name="SalesRoundBox88">'Бланк заказа'!$Y$266:$Y$266</definedName>
    <definedName name="SalesRoundBox89">'Бланк заказа'!$Y$267:$Y$267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заказа'!$W$186:$W$186</definedName>
    <definedName name="UnitOfMeasure67">'Бланк заказа'!$W$191:$W$191</definedName>
    <definedName name="UnitOfMeasure68">'Бланк заказа'!$W$197:$W$197</definedName>
    <definedName name="UnitOfMeasure69">'Бланк заказа'!$W$198:$W$198</definedName>
    <definedName name="UnitOfMeasure7">'Бланк заказа'!$W$28:$W$28</definedName>
    <definedName name="UnitOfMeasure70">'Бланк заказа'!$W$199:$W$199</definedName>
    <definedName name="UnitOfMeasure71">'Бланк заказа'!$W$200:$W$200</definedName>
    <definedName name="UnitOfMeasure72">'Бланк заказа'!$W$206:$W$206</definedName>
    <definedName name="UnitOfMeasure73">'Бланк заказа'!$W$210:$W$210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заказа'!$W$218:$W$218</definedName>
    <definedName name="UnitOfMeasure78">'Бланк заказа'!$W$223:$W$223</definedName>
    <definedName name="UnitOfMeasure79">'Бланк заказа'!$W$228:$W$228</definedName>
    <definedName name="UnitOfMeasure8">'Бланк заказа'!$W$29:$W$29</definedName>
    <definedName name="UnitOfMeasure80">'Бланк заказа'!$W$234:$W$234</definedName>
    <definedName name="UnitOfMeasure81">'Бланк заказа'!$W$240:$W$240</definedName>
    <definedName name="UnitOfMeasure82">'Бланк заказа'!$W$244:$W$244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заказа'!$W$265:$W$265</definedName>
    <definedName name="UnitOfMeasure88">'Бланк заказа'!$W$266:$W$266</definedName>
    <definedName name="UnitOfMeasure89">'Бланк заказа'!$W$267:$W$267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2" l="1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82" i="2"/>
  <c r="X281" i="2"/>
  <c r="BO280" i="2"/>
  <c r="BM280" i="2"/>
  <c r="Z280" i="2"/>
  <c r="Y280" i="2"/>
  <c r="BP280" i="2" s="1"/>
  <c r="P280" i="2"/>
  <c r="BP279" i="2"/>
  <c r="BO279" i="2"/>
  <c r="BN279" i="2"/>
  <c r="BM279" i="2"/>
  <c r="Z279" i="2"/>
  <c r="Y279" i="2"/>
  <c r="P279" i="2"/>
  <c r="BO278" i="2"/>
  <c r="BM278" i="2"/>
  <c r="Z278" i="2"/>
  <c r="Y278" i="2"/>
  <c r="BN278" i="2" s="1"/>
  <c r="P278" i="2"/>
  <c r="BO277" i="2"/>
  <c r="BN277" i="2"/>
  <c r="BM277" i="2"/>
  <c r="Z277" i="2"/>
  <c r="Y277" i="2"/>
  <c r="BP277" i="2" s="1"/>
  <c r="P277" i="2"/>
  <c r="BO276" i="2"/>
  <c r="BN276" i="2"/>
  <c r="BM276" i="2"/>
  <c r="Z276" i="2"/>
  <c r="Y276" i="2"/>
  <c r="BP276" i="2" s="1"/>
  <c r="P276" i="2"/>
  <c r="BO275" i="2"/>
  <c r="BN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P273" i="2"/>
  <c r="BO272" i="2"/>
  <c r="BM272" i="2"/>
  <c r="Z272" i="2"/>
  <c r="Y272" i="2"/>
  <c r="BP272" i="2" s="1"/>
  <c r="P272" i="2"/>
  <c r="BO271" i="2"/>
  <c r="BM271" i="2"/>
  <c r="Z271" i="2"/>
  <c r="Y271" i="2"/>
  <c r="P271" i="2"/>
  <c r="X269" i="2"/>
  <c r="X268" i="2"/>
  <c r="BO267" i="2"/>
  <c r="BM267" i="2"/>
  <c r="Z267" i="2"/>
  <c r="Y267" i="2"/>
  <c r="P267" i="2"/>
  <c r="BP266" i="2"/>
  <c r="BO266" i="2"/>
  <c r="BN266" i="2"/>
  <c r="BM266" i="2"/>
  <c r="Z266" i="2"/>
  <c r="Y266" i="2"/>
  <c r="P266" i="2"/>
  <c r="BO265" i="2"/>
  <c r="BM265" i="2"/>
  <c r="Z265" i="2"/>
  <c r="Y265" i="2"/>
  <c r="P265" i="2"/>
  <c r="Y263" i="2"/>
  <c r="X263" i="2"/>
  <c r="X262" i="2"/>
  <c r="BO261" i="2"/>
  <c r="BN261" i="2"/>
  <c r="BM261" i="2"/>
  <c r="Z261" i="2"/>
  <c r="Z262" i="2" s="1"/>
  <c r="Y261" i="2"/>
  <c r="BP261" i="2" s="1"/>
  <c r="P261" i="2"/>
  <c r="X259" i="2"/>
  <c r="X258" i="2"/>
  <c r="BO257" i="2"/>
  <c r="BM257" i="2"/>
  <c r="Z257" i="2"/>
  <c r="Y257" i="2"/>
  <c r="P257" i="2"/>
  <c r="BO256" i="2"/>
  <c r="BM256" i="2"/>
  <c r="Z256" i="2"/>
  <c r="Z258" i="2" s="1"/>
  <c r="Y256" i="2"/>
  <c r="P256" i="2"/>
  <c r="X252" i="2"/>
  <c r="X251" i="2"/>
  <c r="BO250" i="2"/>
  <c r="BM250" i="2"/>
  <c r="Z250" i="2"/>
  <c r="Z251" i="2" s="1"/>
  <c r="Y250" i="2"/>
  <c r="BN250" i="2" s="1"/>
  <c r="P250" i="2"/>
  <c r="Y246" i="2"/>
  <c r="X246" i="2"/>
  <c r="X245" i="2"/>
  <c r="BO244" i="2"/>
  <c r="BM244" i="2"/>
  <c r="Z244" i="2"/>
  <c r="Z245" i="2" s="1"/>
  <c r="Y244" i="2"/>
  <c r="Y245" i="2" s="1"/>
  <c r="P244" i="2"/>
  <c r="X242" i="2"/>
  <c r="X241" i="2"/>
  <c r="BO240" i="2"/>
  <c r="BN240" i="2"/>
  <c r="BM240" i="2"/>
  <c r="Z240" i="2"/>
  <c r="Z241" i="2" s="1"/>
  <c r="Y240" i="2"/>
  <c r="Y241" i="2" s="1"/>
  <c r="P240" i="2"/>
  <c r="X236" i="2"/>
  <c r="X235" i="2"/>
  <c r="BO234" i="2"/>
  <c r="BM234" i="2"/>
  <c r="Z234" i="2"/>
  <c r="Z235" i="2" s="1"/>
  <c r="Y234" i="2"/>
  <c r="BN234" i="2" s="1"/>
  <c r="P234" i="2"/>
  <c r="X230" i="2"/>
  <c r="X229" i="2"/>
  <c r="BO228" i="2"/>
  <c r="BM228" i="2"/>
  <c r="Z228" i="2"/>
  <c r="Z229" i="2" s="1"/>
  <c r="Y228" i="2"/>
  <c r="P228" i="2"/>
  <c r="Y225" i="2"/>
  <c r="X225" i="2"/>
  <c r="Z224" i="2"/>
  <c r="X224" i="2"/>
  <c r="BO223" i="2"/>
  <c r="BM223" i="2"/>
  <c r="Z223" i="2"/>
  <c r="Y223" i="2"/>
  <c r="P223" i="2"/>
  <c r="X220" i="2"/>
  <c r="X219" i="2"/>
  <c r="BO218" i="2"/>
  <c r="BM218" i="2"/>
  <c r="Z218" i="2"/>
  <c r="Y218" i="2"/>
  <c r="BN218" i="2" s="1"/>
  <c r="P218" i="2"/>
  <c r="BP217" i="2"/>
  <c r="BO217" i="2"/>
  <c r="BN217" i="2"/>
  <c r="BM217" i="2"/>
  <c r="Z217" i="2"/>
  <c r="Z219" i="2" s="1"/>
  <c r="Y217" i="2"/>
  <c r="P217" i="2"/>
  <c r="X214" i="2"/>
  <c r="X213" i="2"/>
  <c r="BP212" i="2"/>
  <c r="BO212" i="2"/>
  <c r="BN212" i="2"/>
  <c r="BM212" i="2"/>
  <c r="Z212" i="2"/>
  <c r="Y212" i="2"/>
  <c r="P212" i="2"/>
  <c r="BO211" i="2"/>
  <c r="BM211" i="2"/>
  <c r="Z211" i="2"/>
  <c r="Y211" i="2"/>
  <c r="P211" i="2"/>
  <c r="BO210" i="2"/>
  <c r="BM210" i="2"/>
  <c r="Z210" i="2"/>
  <c r="Y210" i="2"/>
  <c r="P210" i="2"/>
  <c r="X208" i="2"/>
  <c r="Y207" i="2"/>
  <c r="X207" i="2"/>
  <c r="BO206" i="2"/>
  <c r="BM206" i="2"/>
  <c r="Z206" i="2"/>
  <c r="Z207" i="2" s="1"/>
  <c r="Y206" i="2"/>
  <c r="Y208" i="2" s="1"/>
  <c r="P206" i="2"/>
  <c r="X202" i="2"/>
  <c r="X201" i="2"/>
  <c r="BP200" i="2"/>
  <c r="BO200" i="2"/>
  <c r="BN200" i="2"/>
  <c r="BM200" i="2"/>
  <c r="Z200" i="2"/>
  <c r="Y200" i="2"/>
  <c r="P200" i="2"/>
  <c r="BO199" i="2"/>
  <c r="BM199" i="2"/>
  <c r="Z199" i="2"/>
  <c r="Y199" i="2"/>
  <c r="BN199" i="2" s="1"/>
  <c r="P199" i="2"/>
  <c r="BO198" i="2"/>
  <c r="BM198" i="2"/>
  <c r="Z198" i="2"/>
  <c r="Y198" i="2"/>
  <c r="P198" i="2"/>
  <c r="BO197" i="2"/>
  <c r="BM197" i="2"/>
  <c r="Z197" i="2"/>
  <c r="Y197" i="2"/>
  <c r="P197" i="2"/>
  <c r="X193" i="2"/>
  <c r="X192" i="2"/>
  <c r="BO191" i="2"/>
  <c r="BM191" i="2"/>
  <c r="Z191" i="2"/>
  <c r="Z192" i="2" s="1"/>
  <c r="Y191" i="2"/>
  <c r="BN191" i="2" s="1"/>
  <c r="P191" i="2"/>
  <c r="X188" i="2"/>
  <c r="Z187" i="2"/>
  <c r="X187" i="2"/>
  <c r="BO186" i="2"/>
  <c r="BM186" i="2"/>
  <c r="Z186" i="2"/>
  <c r="Y186" i="2"/>
  <c r="P186" i="2"/>
  <c r="Y184" i="2"/>
  <c r="X184" i="2"/>
  <c r="Z183" i="2"/>
  <c r="X183" i="2"/>
  <c r="BO182" i="2"/>
  <c r="BM182" i="2"/>
  <c r="Z182" i="2"/>
  <c r="Y182" i="2"/>
  <c r="P182" i="2"/>
  <c r="BO181" i="2"/>
  <c r="BM181" i="2"/>
  <c r="Z181" i="2"/>
  <c r="Y181" i="2"/>
  <c r="P181" i="2"/>
  <c r="X177" i="2"/>
  <c r="X176" i="2"/>
  <c r="BO175" i="2"/>
  <c r="BM175" i="2"/>
  <c r="Z175" i="2"/>
  <c r="Z176" i="2" s="1"/>
  <c r="Y175" i="2"/>
  <c r="P175" i="2"/>
  <c r="Y172" i="2"/>
  <c r="X172" i="2"/>
  <c r="Y171" i="2"/>
  <c r="X171" i="2"/>
  <c r="BP170" i="2"/>
  <c r="BO170" i="2"/>
  <c r="BN170" i="2"/>
  <c r="BM170" i="2"/>
  <c r="Z170" i="2"/>
  <c r="Z171" i="2" s="1"/>
  <c r="Y170" i="2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Y160" i="2"/>
  <c r="P160" i="2"/>
  <c r="BO159" i="2"/>
  <c r="BM159" i="2"/>
  <c r="Z159" i="2"/>
  <c r="Z161" i="2" s="1"/>
  <c r="Y159" i="2"/>
  <c r="P159" i="2"/>
  <c r="X156" i="2"/>
  <c r="X155" i="2"/>
  <c r="BP154" i="2"/>
  <c r="BO154" i="2"/>
  <c r="BN154" i="2"/>
  <c r="BM154" i="2"/>
  <c r="Z154" i="2"/>
  <c r="Y154" i="2"/>
  <c r="P154" i="2"/>
  <c r="BO153" i="2"/>
  <c r="BM153" i="2"/>
  <c r="Z153" i="2"/>
  <c r="Y153" i="2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Y150" i="2" s="1"/>
  <c r="P147" i="2"/>
  <c r="X144" i="2"/>
  <c r="X143" i="2"/>
  <c r="BO142" i="2"/>
  <c r="BM142" i="2"/>
  <c r="Z142" i="2"/>
  <c r="Y142" i="2"/>
  <c r="BN142" i="2" s="1"/>
  <c r="P142" i="2"/>
  <c r="BP141" i="2"/>
  <c r="BO141" i="2"/>
  <c r="BN141" i="2"/>
  <c r="BM141" i="2"/>
  <c r="Z141" i="2"/>
  <c r="Y141" i="2"/>
  <c r="P141" i="2"/>
  <c r="BO140" i="2"/>
  <c r="BN140" i="2"/>
  <c r="BM140" i="2"/>
  <c r="Z140" i="2"/>
  <c r="Y140" i="2"/>
  <c r="BP140" i="2" s="1"/>
  <c r="P140" i="2"/>
  <c r="X138" i="2"/>
  <c r="X137" i="2"/>
  <c r="BO136" i="2"/>
  <c r="BM136" i="2"/>
  <c r="Z136" i="2"/>
  <c r="Y136" i="2"/>
  <c r="BN136" i="2" s="1"/>
  <c r="P136" i="2"/>
  <c r="BO135" i="2"/>
  <c r="BM135" i="2"/>
  <c r="Z135" i="2"/>
  <c r="Y135" i="2"/>
  <c r="P135" i="2"/>
  <c r="BO134" i="2"/>
  <c r="BM134" i="2"/>
  <c r="Z134" i="2"/>
  <c r="Z137" i="2" s="1"/>
  <c r="Y134" i="2"/>
  <c r="P134" i="2"/>
  <c r="X131" i="2"/>
  <c r="Y130" i="2"/>
  <c r="X130" i="2"/>
  <c r="BP129" i="2"/>
  <c r="BO129" i="2"/>
  <c r="BN129" i="2"/>
  <c r="BM129" i="2"/>
  <c r="Z129" i="2"/>
  <c r="Z130" i="2" s="1"/>
  <c r="Y129" i="2"/>
  <c r="Y131" i="2" s="1"/>
  <c r="P129" i="2"/>
  <c r="X127" i="2"/>
  <c r="Z126" i="2"/>
  <c r="X126" i="2"/>
  <c r="BO125" i="2"/>
  <c r="BM125" i="2"/>
  <c r="Z125" i="2"/>
  <c r="Y125" i="2"/>
  <c r="BN125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P120" i="2"/>
  <c r="BO119" i="2"/>
  <c r="BM119" i="2"/>
  <c r="Z119" i="2"/>
  <c r="Y119" i="2"/>
  <c r="BN119" i="2" s="1"/>
  <c r="P119" i="2"/>
  <c r="BP118" i="2"/>
  <c r="BO118" i="2"/>
  <c r="BN118" i="2"/>
  <c r="BM118" i="2"/>
  <c r="Z118" i="2"/>
  <c r="Y118" i="2"/>
  <c r="P118" i="2"/>
  <c r="BO117" i="2"/>
  <c r="BN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P100" i="2"/>
  <c r="BO99" i="2"/>
  <c r="BM99" i="2"/>
  <c r="Z99" i="2"/>
  <c r="Z105" i="2" s="1"/>
  <c r="Y99" i="2"/>
  <c r="P99" i="2"/>
  <c r="X96" i="2"/>
  <c r="X95" i="2"/>
  <c r="BP94" i="2"/>
  <c r="BO94" i="2"/>
  <c r="BN94" i="2"/>
  <c r="BM94" i="2"/>
  <c r="Z94" i="2"/>
  <c r="Y94" i="2"/>
  <c r="P94" i="2"/>
  <c r="BO93" i="2"/>
  <c r="BM93" i="2"/>
  <c r="Z93" i="2"/>
  <c r="Y93" i="2"/>
  <c r="P93" i="2"/>
  <c r="Y90" i="2"/>
  <c r="X90" i="2"/>
  <c r="X89" i="2"/>
  <c r="BO88" i="2"/>
  <c r="BN88" i="2"/>
  <c r="BM88" i="2"/>
  <c r="Z88" i="2"/>
  <c r="Z89" i="2" s="1"/>
  <c r="Y88" i="2"/>
  <c r="BP88" i="2" s="1"/>
  <c r="P88" i="2"/>
  <c r="X85" i="2"/>
  <c r="Y84" i="2"/>
  <c r="X84" i="2"/>
  <c r="BP83" i="2"/>
  <c r="BO83" i="2"/>
  <c r="BN83" i="2"/>
  <c r="BM83" i="2"/>
  <c r="Z83" i="2"/>
  <c r="Z84" i="2" s="1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P75" i="2"/>
  <c r="BO75" i="2"/>
  <c r="BN75" i="2"/>
  <c r="BM75" i="2"/>
  <c r="Z75" i="2"/>
  <c r="Z78" i="2" s="1"/>
  <c r="Y75" i="2"/>
  <c r="P75" i="2"/>
  <c r="X73" i="2"/>
  <c r="X72" i="2"/>
  <c r="BO71" i="2"/>
  <c r="BM71" i="2"/>
  <c r="Z71" i="2"/>
  <c r="Y71" i="2"/>
  <c r="BP71" i="2" s="1"/>
  <c r="P71" i="2"/>
  <c r="BP70" i="2"/>
  <c r="BO70" i="2"/>
  <c r="BN70" i="2"/>
  <c r="BM70" i="2"/>
  <c r="Z70" i="2"/>
  <c r="Z72" i="2" s="1"/>
  <c r="Y70" i="2"/>
  <c r="Y73" i="2" s="1"/>
  <c r="P70" i="2"/>
  <c r="X68" i="2"/>
  <c r="X67" i="2"/>
  <c r="BO66" i="2"/>
  <c r="BM66" i="2"/>
  <c r="Z66" i="2"/>
  <c r="Z67" i="2" s="1"/>
  <c r="Y66" i="2"/>
  <c r="Y68" i="2" s="1"/>
  <c r="P66" i="2"/>
  <c r="X64" i="2"/>
  <c r="Y63" i="2"/>
  <c r="X63" i="2"/>
  <c r="BP62" i="2"/>
  <c r="BO62" i="2"/>
  <c r="BN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P57" i="2"/>
  <c r="BP56" i="2"/>
  <c r="BO56" i="2"/>
  <c r="BN56" i="2"/>
  <c r="BM56" i="2"/>
  <c r="Z56" i="2"/>
  <c r="Y56" i="2"/>
  <c r="P56" i="2"/>
  <c r="BO55" i="2"/>
  <c r="BM55" i="2"/>
  <c r="Z55" i="2"/>
  <c r="Y55" i="2"/>
  <c r="P55" i="2"/>
  <c r="BO54" i="2"/>
  <c r="BM54" i="2"/>
  <c r="Z54" i="2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N48" i="2"/>
  <c r="BM48" i="2"/>
  <c r="Z48" i="2"/>
  <c r="Y48" i="2"/>
  <c r="BP48" i="2" s="1"/>
  <c r="P48" i="2"/>
  <c r="BO47" i="2"/>
  <c r="BM47" i="2"/>
  <c r="Z47" i="2"/>
  <c r="Y47" i="2"/>
  <c r="Y51" i="2" s="1"/>
  <c r="P47" i="2"/>
  <c r="Y44" i="2"/>
  <c r="X44" i="2"/>
  <c r="Z43" i="2"/>
  <c r="X43" i="2"/>
  <c r="BO42" i="2"/>
  <c r="BM42" i="2"/>
  <c r="Z42" i="2"/>
  <c r="Y42" i="2"/>
  <c r="P42" i="2"/>
  <c r="BO41" i="2"/>
  <c r="BM41" i="2"/>
  <c r="Z41" i="2"/>
  <c r="Y41" i="2"/>
  <c r="P41" i="2"/>
  <c r="X37" i="2"/>
  <c r="X36" i="2"/>
  <c r="BP35" i="2"/>
  <c r="BO35" i="2"/>
  <c r="BN35" i="2"/>
  <c r="BM35" i="2"/>
  <c r="Z35" i="2"/>
  <c r="Y35" i="2"/>
  <c r="P35" i="2"/>
  <c r="BO34" i="2"/>
  <c r="BM34" i="2"/>
  <c r="Z34" i="2"/>
  <c r="Y34" i="2"/>
  <c r="P34" i="2"/>
  <c r="X31" i="2"/>
  <c r="X30" i="2"/>
  <c r="X287" i="2" s="1"/>
  <c r="BO29" i="2"/>
  <c r="BM29" i="2"/>
  <c r="Z29" i="2"/>
  <c r="Y29" i="2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P25" i="2"/>
  <c r="BO25" i="2"/>
  <c r="BN25" i="2"/>
  <c r="BM25" i="2"/>
  <c r="Z25" i="2"/>
  <c r="Y25" i="2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X285" i="2" s="1"/>
  <c r="BM22" i="2"/>
  <c r="X284" i="2" s="1"/>
  <c r="Z22" i="2"/>
  <c r="Y22" i="2"/>
  <c r="Y30" i="2" s="1"/>
  <c r="P22" i="2"/>
  <c r="H10" i="2"/>
  <c r="A9" i="2"/>
  <c r="F10" i="2" s="1"/>
  <c r="D7" i="2"/>
  <c r="Q6" i="2"/>
  <c r="P2" i="2"/>
  <c r="Z30" i="2" l="1"/>
  <c r="BN22" i="2"/>
  <c r="BP22" i="2"/>
  <c r="BN24" i="2"/>
  <c r="BP27" i="2"/>
  <c r="BP42" i="2"/>
  <c r="BN42" i="2"/>
  <c r="BP100" i="2"/>
  <c r="BN100" i="2"/>
  <c r="Z143" i="2"/>
  <c r="BP142" i="2"/>
  <c r="Y143" i="2"/>
  <c r="Y144" i="2"/>
  <c r="Y155" i="2"/>
  <c r="Y156" i="2"/>
  <c r="BP186" i="2"/>
  <c r="Y187" i="2"/>
  <c r="BP198" i="2"/>
  <c r="BN198" i="2"/>
  <c r="Y214" i="2"/>
  <c r="BN210" i="2"/>
  <c r="Y229" i="2"/>
  <c r="Y230" i="2"/>
  <c r="BP257" i="2"/>
  <c r="BN257" i="2"/>
  <c r="Y282" i="2"/>
  <c r="BP271" i="2"/>
  <c r="BN271" i="2"/>
  <c r="BP273" i="2"/>
  <c r="BN273" i="2"/>
  <c r="BP29" i="2"/>
  <c r="BN29" i="2"/>
  <c r="Y31" i="2"/>
  <c r="Y36" i="2"/>
  <c r="Y37" i="2"/>
  <c r="BP54" i="2"/>
  <c r="Y58" i="2"/>
  <c r="BP57" i="2"/>
  <c r="BN57" i="2"/>
  <c r="Y95" i="2"/>
  <c r="Y96" i="2"/>
  <c r="Y112" i="2"/>
  <c r="BP109" i="2"/>
  <c r="BN109" i="2"/>
  <c r="BP115" i="2"/>
  <c r="BP119" i="2"/>
  <c r="BP120" i="2"/>
  <c r="BN120" i="2"/>
  <c r="BP125" i="2"/>
  <c r="BP135" i="2"/>
  <c r="BN135" i="2"/>
  <c r="BP160" i="2"/>
  <c r="BN160" i="2"/>
  <c r="Y177" i="2"/>
  <c r="Y176" i="2"/>
  <c r="BP175" i="2"/>
  <c r="BN175" i="2"/>
  <c r="BP182" i="2"/>
  <c r="BN182" i="2"/>
  <c r="Y188" i="2"/>
  <c r="BP191" i="2"/>
  <c r="BP197" i="2"/>
  <c r="BN197" i="2"/>
  <c r="Y201" i="2"/>
  <c r="BP211" i="2"/>
  <c r="BN211" i="2"/>
  <c r="Y213" i="2"/>
  <c r="BP218" i="2"/>
  <c r="Y224" i="2"/>
  <c r="BN223" i="2"/>
  <c r="BP250" i="2"/>
  <c r="BP256" i="2"/>
  <c r="BN256" i="2"/>
  <c r="BP265" i="2"/>
  <c r="BN265" i="2"/>
  <c r="Y269" i="2"/>
  <c r="BN267" i="2"/>
  <c r="X283" i="2"/>
  <c r="Z36" i="2"/>
  <c r="Y43" i="2"/>
  <c r="Z50" i="2"/>
  <c r="Z58" i="2"/>
  <c r="Y72" i="2"/>
  <c r="Y79" i="2"/>
  <c r="BP77" i="2"/>
  <c r="Y78" i="2"/>
  <c r="BP82" i="2"/>
  <c r="Y85" i="2"/>
  <c r="Y89" i="2"/>
  <c r="Z95" i="2"/>
  <c r="Y106" i="2"/>
  <c r="BP103" i="2"/>
  <c r="Z111" i="2"/>
  <c r="Z122" i="2"/>
  <c r="Y138" i="2"/>
  <c r="BP136" i="2"/>
  <c r="Z149" i="2"/>
  <c r="Z155" i="2"/>
  <c r="Y162" i="2"/>
  <c r="Y183" i="2"/>
  <c r="Z201" i="2"/>
  <c r="BP199" i="2"/>
  <c r="Z213" i="2"/>
  <c r="Y219" i="2"/>
  <c r="BP234" i="2"/>
  <c r="Y242" i="2"/>
  <c r="Y262" i="2"/>
  <c r="Z268" i="2"/>
  <c r="Y268" i="2"/>
  <c r="Z281" i="2"/>
  <c r="BP274" i="2"/>
  <c r="BP278" i="2"/>
  <c r="X286" i="2"/>
  <c r="Z288" i="2"/>
  <c r="BP147" i="2"/>
  <c r="BN159" i="2"/>
  <c r="Y192" i="2"/>
  <c r="Y202" i="2"/>
  <c r="Y235" i="2"/>
  <c r="Y251" i="2"/>
  <c r="BN272" i="2"/>
  <c r="BN34" i="2"/>
  <c r="BN110" i="2"/>
  <c r="BN121" i="2"/>
  <c r="BN134" i="2"/>
  <c r="Y137" i="2"/>
  <c r="F9" i="2"/>
  <c r="BP28" i="2"/>
  <c r="BN41" i="2"/>
  <c r="BP55" i="2"/>
  <c r="BN66" i="2"/>
  <c r="BP93" i="2"/>
  <c r="BP104" i="2"/>
  <c r="BN116" i="2"/>
  <c r="Y127" i="2"/>
  <c r="BP153" i="2"/>
  <c r="BN165" i="2"/>
  <c r="BN181" i="2"/>
  <c r="BP210" i="2"/>
  <c r="Y258" i="2"/>
  <c r="BP267" i="2"/>
  <c r="BP134" i="2"/>
  <c r="BP159" i="2"/>
  <c r="BN186" i="2"/>
  <c r="BN228" i="2"/>
  <c r="BN244" i="2"/>
  <c r="BN280" i="2"/>
  <c r="BN55" i="2"/>
  <c r="BN93" i="2"/>
  <c r="H9" i="2"/>
  <c r="Y59" i="2"/>
  <c r="BP99" i="2"/>
  <c r="Y105" i="2"/>
  <c r="BP165" i="2"/>
  <c r="BP181" i="2"/>
  <c r="Y193" i="2"/>
  <c r="Y220" i="2"/>
  <c r="Y236" i="2"/>
  <c r="Y252" i="2"/>
  <c r="BN153" i="2"/>
  <c r="BN23" i="2"/>
  <c r="BP49" i="2"/>
  <c r="BN99" i="2"/>
  <c r="BP34" i="2"/>
  <c r="BN47" i="2"/>
  <c r="Y50" i="2"/>
  <c r="BN71" i="2"/>
  <c r="J9" i="2"/>
  <c r="BN26" i="2"/>
  <c r="BP41" i="2"/>
  <c r="BP66" i="2"/>
  <c r="BN76" i="2"/>
  <c r="BN102" i="2"/>
  <c r="A10" i="2"/>
  <c r="BP47" i="2"/>
  <c r="Y111" i="2"/>
  <c r="Y122" i="2"/>
  <c r="BP228" i="2"/>
  <c r="BP244" i="2"/>
  <c r="Y259" i="2"/>
  <c r="BN147" i="2"/>
  <c r="Y67" i="2"/>
  <c r="BN148" i="2"/>
  <c r="Y166" i="2"/>
  <c r="BN206" i="2"/>
  <c r="Y281" i="2"/>
  <c r="Y126" i="2"/>
  <c r="Y123" i="2"/>
  <c r="BP206" i="2"/>
  <c r="BP223" i="2"/>
  <c r="BP240" i="2"/>
  <c r="Y149" i="2"/>
  <c r="Y161" i="2"/>
  <c r="Y285" i="2" l="1"/>
  <c r="Y287" i="2"/>
  <c r="Y283" i="2"/>
  <c r="Y284" i="2"/>
  <c r="Y286" i="2" s="1"/>
  <c r="C296" i="2"/>
  <c r="B296" i="2"/>
  <c r="A296" i="2"/>
</calcChain>
</file>

<file path=xl/sharedStrings.xml><?xml version="1.0" encoding="utf-8"?>
<sst xmlns="http://schemas.openxmlformats.org/spreadsheetml/2006/main" count="1769" uniqueCount="420">
  <si>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</si>
  <si>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</si>
  <si>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</si>
  <si>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</si>
  <si>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</si>
  <si>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</si>
  <si>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</si>
  <si>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</si>
  <si>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</si>
  <si>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</si>
  <si>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</si>
  <si>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</si>
  <si>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</si>
  <si>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</si>
  <si>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</si>
  <si>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</si>
  <si>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</si>
  <si>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</si>
  <si>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</si>
  <si>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</si>
  <si>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</si>
  <si>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</si>
  <si>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</si>
  <si>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</si>
  <si>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</si>
  <si>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</si>
  <si>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</si>
  <si>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</si>
  <si>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</si>
  <si>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</si>
  <si>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</si>
  <si>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</si>
  <si>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</si>
  <si>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</si>
  <si>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</si>
  <si>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</si>
  <si>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</si>
  <si>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</si>
  <si>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</si>
  <si>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</si>
  <si>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</si>
  <si>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</si>
  <si>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</si>
  <si>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</si>
  <si>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</si>
  <si>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</si>
  <si>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</si>
  <si>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</si>
  <si>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</si>
  <si>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</si>
  <si>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</si>
  <si>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</si>
  <si>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</si>
  <si>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</si>
  <si>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</si>
  <si>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</si>
  <si>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</si>
  <si>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</si>
  <si>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</si>
  <si>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</si>
  <si>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</si>
  <si>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</si>
  <si>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</si>
  <si>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</si>
  <si>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</si>
  <si>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</si>
  <si>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</si>
  <si>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</si>
  <si>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</si>
  <si>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</si>
  <si>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</si>
  <si>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12.07.2026</t>
  </si>
  <si>
    <t>10.07.2026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</si>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</sst>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7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2" t="s">
        <v>26</v>
      </c>
      <c r="E1" s="462"/>
      <c r="F1" s="462"/>
      <c r="G1" s="14" t="s">
        <v>70</v>
      </c>
      <c r="H1" s="462" t="s">
        <v>47</v>
      </c>
      <c r="I1" s="462"/>
      <c r="J1" s="462"/>
      <c r="K1" s="462"/>
      <c r="L1" s="462"/>
      <c r="M1" s="462"/>
      <c r="N1" s="462"/>
      <c r="O1" s="462"/>
      <c r="P1" s="462"/>
      <c r="Q1" s="462"/>
      <c r="R1" s="463" t="s">
        <v>71</v>
      </c>
      <c r="S1" s="464"/>
      <c r="T1" s="4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5"/>
      <c r="R2" s="465"/>
      <c r="S2" s="465"/>
      <c r="T2" s="465"/>
      <c r="U2" s="465"/>
      <c r="V2" s="465"/>
      <c r="W2" s="4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5"/>
      <c r="Q3" s="465"/>
      <c r="R3" s="465"/>
      <c r="S3" s="465"/>
      <c r="T3" s="465"/>
      <c r="U3" s="465"/>
      <c r="V3" s="465"/>
      <c r="W3" s="4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6"/>
      <c r="E5" s="466"/>
      <c r="F5" s="467" t="s">
        <v>14</v>
      </c>
      <c r="G5" s="467"/>
      <c r="H5" s="466"/>
      <c r="I5" s="466"/>
      <c r="J5" s="466"/>
      <c r="K5" s="466"/>
      <c r="L5" s="466"/>
      <c r="M5" s="466"/>
      <c r="N5" s="75"/>
      <c r="P5" s="27" t="s">
        <v>4</v>
      </c>
      <c r="Q5" s="468"/>
      <c r="R5" s="468"/>
      <c r="T5" s="469" t="s">
        <v>3</v>
      </c>
      <c r="U5" s="470"/>
      <c r="V5" s="471"/>
      <c r="W5" s="472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 xml:space="preserve"> 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/>
      <c r="R8" s="442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0" t="str">
        <f>IF(AND($A$9="Тип доверенности/получателя при получении в адресе перегруза:",$D$9="Разовая доверенность"),"Введите ФИО","")</f>
        <v/>
      </c>
      <c r="I9" s="460"/>
      <c r="J9" s="4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0"/>
      <c r="L9" s="460"/>
      <c r="M9" s="460"/>
      <c r="N9" s="73"/>
      <c r="P9" s="31" t="s">
        <v>15</v>
      </c>
      <c r="Q9" s="461"/>
      <c r="R9" s="461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customHeight="1" x14ac:dyDescent="0.2">
      <c r="A19" s="318" t="s">
        <v>79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customHeight="1" x14ac:dyDescent="0.25">
      <c r="A20" s="319" t="s">
        <v>79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customHeight="1" x14ac:dyDescent="0.25">
      <c r="A21" s="309" t="s">
        <v>80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291">
        <v>4620207491508</v>
      </c>
      <c r="E22" s="291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291">
        <v>4620207491256</v>
      </c>
      <c r="E23" s="291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291">
        <v>4620207491713</v>
      </c>
      <c r="E24" s="291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291">
        <v>4620207491720</v>
      </c>
      <c r="E25" s="291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291">
        <v>4607111035912</v>
      </c>
      <c r="E26" s="291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291">
        <v>4607111035929</v>
      </c>
      <c r="E27" s="29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291">
        <v>4607111035882</v>
      </c>
      <c r="E28" s="291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291">
        <v>4607111035905</v>
      </c>
      <c r="E29" s="291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9"/>
      <c r="P30" s="295" t="s">
        <v>40</v>
      </c>
      <c r="Q30" s="296"/>
      <c r="R30" s="296"/>
      <c r="S30" s="296"/>
      <c r="T30" s="296"/>
      <c r="U30" s="296"/>
      <c r="V30" s="29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9"/>
      <c r="P31" s="295" t="s">
        <v>40</v>
      </c>
      <c r="Q31" s="296"/>
      <c r="R31" s="296"/>
      <c r="S31" s="296"/>
      <c r="T31" s="296"/>
      <c r="U31" s="296"/>
      <c r="V31" s="29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9" t="s">
        <v>104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customHeight="1" x14ac:dyDescent="0.25">
      <c r="A33" s="309" t="s">
        <v>80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291">
        <v>4607111039019</v>
      </c>
      <c r="E34" s="291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291">
        <v>4607111038708</v>
      </c>
      <c r="E35" s="291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9"/>
      <c r="P36" s="295" t="s">
        <v>40</v>
      </c>
      <c r="Q36" s="296"/>
      <c r="R36" s="296"/>
      <c r="S36" s="296"/>
      <c r="T36" s="296"/>
      <c r="U36" s="296"/>
      <c r="V36" s="29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9"/>
      <c r="P37" s="295" t="s">
        <v>40</v>
      </c>
      <c r="Q37" s="296"/>
      <c r="R37" s="296"/>
      <c r="S37" s="296"/>
      <c r="T37" s="296"/>
      <c r="U37" s="296"/>
      <c r="V37" s="29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customHeight="1" x14ac:dyDescent="0.25">
      <c r="A39" s="319" t="s">
        <v>110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customHeight="1" x14ac:dyDescent="0.25">
      <c r="A40" s="309" t="s">
        <v>111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91">
        <v>4607111036537</v>
      </c>
      <c r="E41" s="291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91">
        <v>4607111036605</v>
      </c>
      <c r="E42" s="291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9"/>
      <c r="P43" s="295" t="s">
        <v>40</v>
      </c>
      <c r="Q43" s="296"/>
      <c r="R43" s="296"/>
      <c r="S43" s="296"/>
      <c r="T43" s="296"/>
      <c r="U43" s="296"/>
      <c r="V43" s="297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9"/>
      <c r="P44" s="295" t="s">
        <v>40</v>
      </c>
      <c r="Q44" s="296"/>
      <c r="R44" s="296"/>
      <c r="S44" s="296"/>
      <c r="T44" s="296"/>
      <c r="U44" s="296"/>
      <c r="V44" s="297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19" t="s">
        <v>121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customHeight="1" x14ac:dyDescent="0.25">
      <c r="A46" s="309" t="s">
        <v>80</v>
      </c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291">
        <v>4620207490075</v>
      </c>
      <c r="E47" s="29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291">
        <v>4620207490174</v>
      </c>
      <c r="E48" s="291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128</v>
      </c>
      <c r="B49" s="63" t="s">
        <v>129</v>
      </c>
      <c r="C49" s="36">
        <v>4301071091</v>
      </c>
      <c r="D49" s="291">
        <v>4620207490044</v>
      </c>
      <c r="E49" s="291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9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3"/>
      <c r="R49" s="293"/>
      <c r="S49" s="293"/>
      <c r="T49" s="294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9"/>
      <c r="P50" s="295" t="s">
        <v>40</v>
      </c>
      <c r="Q50" s="296"/>
      <c r="R50" s="296"/>
      <c r="S50" s="296"/>
      <c r="T50" s="296"/>
      <c r="U50" s="296"/>
      <c r="V50" s="29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9"/>
      <c r="P51" s="295" t="s">
        <v>40</v>
      </c>
      <c r="Q51" s="296"/>
      <c r="R51" s="296"/>
      <c r="S51" s="296"/>
      <c r="T51" s="296"/>
      <c r="U51" s="296"/>
      <c r="V51" s="297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19" t="s">
        <v>131</v>
      </c>
      <c r="B52" s="319"/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65"/>
      <c r="AB52" s="65"/>
      <c r="AC52" s="82"/>
    </row>
    <row r="53" spans="1:68" ht="14.25" customHeight="1" x14ac:dyDescent="0.25">
      <c r="A53" s="309" t="s">
        <v>80</v>
      </c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291">
        <v>4607111039385</v>
      </c>
      <c r="E54" s="291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3"/>
      <c r="R54" s="293"/>
      <c r="S54" s="293"/>
      <c r="T54" s="294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291">
        <v>4607111038982</v>
      </c>
      <c r="E55" s="291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3"/>
      <c r="R55" s="293"/>
      <c r="S55" s="293"/>
      <c r="T55" s="294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4301071046</v>
      </c>
      <c r="D56" s="291">
        <v>4607111039354</v>
      </c>
      <c r="E56" s="291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3"/>
      <c r="R56" s="293"/>
      <c r="S56" s="293"/>
      <c r="T56" s="294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4301071047</v>
      </c>
      <c r="D57" s="291">
        <v>4607111039330</v>
      </c>
      <c r="E57" s="291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3"/>
      <c r="R57" s="293"/>
      <c r="S57" s="293"/>
      <c r="T57" s="294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9"/>
      <c r="P58" s="295" t="s">
        <v>40</v>
      </c>
      <c r="Q58" s="296"/>
      <c r="R58" s="296"/>
      <c r="S58" s="296"/>
      <c r="T58" s="296"/>
      <c r="U58" s="296"/>
      <c r="V58" s="29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9"/>
      <c r="P59" s="295" t="s">
        <v>40</v>
      </c>
      <c r="Q59" s="296"/>
      <c r="R59" s="296"/>
      <c r="S59" s="296"/>
      <c r="T59" s="296"/>
      <c r="U59" s="296"/>
      <c r="V59" s="297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19" t="s">
        <v>142</v>
      </c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65"/>
      <c r="AB60" s="65"/>
      <c r="AC60" s="82"/>
    </row>
    <row r="61" spans="1:68" ht="14.25" customHeight="1" x14ac:dyDescent="0.25">
      <c r="A61" s="309" t="s">
        <v>80</v>
      </c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66"/>
      <c r="AB61" s="66"/>
      <c r="AC61" s="83"/>
    </row>
    <row r="62" spans="1:68" ht="16.5" customHeight="1" x14ac:dyDescent="0.25">
      <c r="A62" s="63" t="s">
        <v>143</v>
      </c>
      <c r="B62" s="63" t="s">
        <v>144</v>
      </c>
      <c r="C62" s="36">
        <v>4301071073</v>
      </c>
      <c r="D62" s="291">
        <v>4620207490822</v>
      </c>
      <c r="E62" s="291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3"/>
      <c r="R62" s="293"/>
      <c r="S62" s="293"/>
      <c r="T62" s="294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9"/>
      <c r="P63" s="295" t="s">
        <v>40</v>
      </c>
      <c r="Q63" s="296"/>
      <c r="R63" s="296"/>
      <c r="S63" s="296"/>
      <c r="T63" s="296"/>
      <c r="U63" s="296"/>
      <c r="V63" s="29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9"/>
      <c r="P64" s="295" t="s">
        <v>40</v>
      </c>
      <c r="Q64" s="296"/>
      <c r="R64" s="296"/>
      <c r="S64" s="296"/>
      <c r="T64" s="296"/>
      <c r="U64" s="296"/>
      <c r="V64" s="29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09" t="s">
        <v>111</v>
      </c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66"/>
      <c r="AB65" s="66"/>
      <c r="AC65" s="83"/>
    </row>
    <row r="66" spans="1:68" ht="27" customHeight="1" x14ac:dyDescent="0.25">
      <c r="A66" s="63" t="s">
        <v>146</v>
      </c>
      <c r="B66" s="63" t="s">
        <v>147</v>
      </c>
      <c r="C66" s="36">
        <v>4301132194</v>
      </c>
      <c r="D66" s="291">
        <v>4607111039712</v>
      </c>
      <c r="E66" s="291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3"/>
      <c r="R66" s="293"/>
      <c r="S66" s="293"/>
      <c r="T66" s="294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9"/>
      <c r="P67" s="295" t="s">
        <v>40</v>
      </c>
      <c r="Q67" s="296"/>
      <c r="R67" s="296"/>
      <c r="S67" s="296"/>
      <c r="T67" s="296"/>
      <c r="U67" s="296"/>
      <c r="V67" s="29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9"/>
      <c r="P68" s="295" t="s">
        <v>40</v>
      </c>
      <c r="Q68" s="296"/>
      <c r="R68" s="296"/>
      <c r="S68" s="296"/>
      <c r="T68" s="296"/>
      <c r="U68" s="296"/>
      <c r="V68" s="29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09" t="s">
        <v>149</v>
      </c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66"/>
      <c r="AB69" s="66"/>
      <c r="AC69" s="83"/>
    </row>
    <row r="70" spans="1:68" ht="16.5" customHeight="1" x14ac:dyDescent="0.25">
      <c r="A70" s="63" t="s">
        <v>150</v>
      </c>
      <c r="B70" s="63" t="s">
        <v>151</v>
      </c>
      <c r="C70" s="36">
        <v>4301136018</v>
      </c>
      <c r="D70" s="291">
        <v>4607111037008</v>
      </c>
      <c r="E70" s="291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3"/>
      <c r="R70" s="293"/>
      <c r="S70" s="293"/>
      <c r="T70" s="29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153</v>
      </c>
      <c r="B71" s="63" t="s">
        <v>154</v>
      </c>
      <c r="C71" s="36">
        <v>4301136015</v>
      </c>
      <c r="D71" s="291">
        <v>4607111037398</v>
      </c>
      <c r="E71" s="291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3"/>
      <c r="R71" s="293"/>
      <c r="S71" s="293"/>
      <c r="T71" s="294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9"/>
      <c r="P72" s="295" t="s">
        <v>40</v>
      </c>
      <c r="Q72" s="296"/>
      <c r="R72" s="296"/>
      <c r="S72" s="296"/>
      <c r="T72" s="296"/>
      <c r="U72" s="296"/>
      <c r="V72" s="29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9"/>
      <c r="P73" s="295" t="s">
        <v>40</v>
      </c>
      <c r="Q73" s="296"/>
      <c r="R73" s="296"/>
      <c r="S73" s="296"/>
      <c r="T73" s="296"/>
      <c r="U73" s="296"/>
      <c r="V73" s="29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09" t="s">
        <v>155</v>
      </c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291">
        <v>4607111039705</v>
      </c>
      <c r="E75" s="291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3"/>
      <c r="R75" s="293"/>
      <c r="S75" s="293"/>
      <c r="T75" s="29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291">
        <v>4607111039729</v>
      </c>
      <c r="E76" s="291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3"/>
      <c r="R76" s="293"/>
      <c r="S76" s="293"/>
      <c r="T76" s="294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291">
        <v>4620207490228</v>
      </c>
      <c r="E77" s="291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3"/>
      <c r="R77" s="293"/>
      <c r="S77" s="293"/>
      <c r="T77" s="294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9"/>
      <c r="P78" s="295" t="s">
        <v>40</v>
      </c>
      <c r="Q78" s="296"/>
      <c r="R78" s="296"/>
      <c r="S78" s="296"/>
      <c r="T78" s="296"/>
      <c r="U78" s="296"/>
      <c r="V78" s="29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9"/>
      <c r="P79" s="295" t="s">
        <v>40</v>
      </c>
      <c r="Q79" s="296"/>
      <c r="R79" s="296"/>
      <c r="S79" s="296"/>
      <c r="T79" s="296"/>
      <c r="U79" s="296"/>
      <c r="V79" s="29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19" t="s">
        <v>163</v>
      </c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65"/>
      <c r="AB80" s="65"/>
      <c r="AC80" s="82"/>
    </row>
    <row r="81" spans="1:68" ht="14.25" customHeight="1" x14ac:dyDescent="0.25">
      <c r="A81" s="309" t="s">
        <v>80</v>
      </c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4301070977</v>
      </c>
      <c r="D82" s="291">
        <v>4607111037411</v>
      </c>
      <c r="E82" s="291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3"/>
      <c r="R82" s="293"/>
      <c r="S82" s="293"/>
      <c r="T82" s="294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168</v>
      </c>
      <c r="B83" s="63" t="s">
        <v>169</v>
      </c>
      <c r="C83" s="36">
        <v>4301070981</v>
      </c>
      <c r="D83" s="291">
        <v>4607111036728</v>
      </c>
      <c r="E83" s="291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7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3"/>
      <c r="R83" s="293"/>
      <c r="S83" s="293"/>
      <c r="T83" s="294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9"/>
      <c r="P84" s="295" t="s">
        <v>40</v>
      </c>
      <c r="Q84" s="296"/>
      <c r="R84" s="296"/>
      <c r="S84" s="296"/>
      <c r="T84" s="296"/>
      <c r="U84" s="296"/>
      <c r="V84" s="29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9"/>
      <c r="P85" s="295" t="s">
        <v>40</v>
      </c>
      <c r="Q85" s="296"/>
      <c r="R85" s="296"/>
      <c r="S85" s="296"/>
      <c r="T85" s="296"/>
      <c r="U85" s="296"/>
      <c r="V85" s="297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19" t="s">
        <v>170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customHeight="1" x14ac:dyDescent="0.25">
      <c r="A87" s="309" t="s">
        <v>155</v>
      </c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291">
        <v>4607111033659</v>
      </c>
      <c r="E88" s="291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3"/>
      <c r="R88" s="293"/>
      <c r="S88" s="293"/>
      <c r="T88" s="294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9"/>
      <c r="P89" s="295" t="s">
        <v>40</v>
      </c>
      <c r="Q89" s="296"/>
      <c r="R89" s="296"/>
      <c r="S89" s="296"/>
      <c r="T89" s="296"/>
      <c r="U89" s="296"/>
      <c r="V89" s="297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x14ac:dyDescent="0.2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9"/>
      <c r="P90" s="295" t="s">
        <v>40</v>
      </c>
      <c r="Q90" s="296"/>
      <c r="R90" s="296"/>
      <c r="S90" s="296"/>
      <c r="T90" s="296"/>
      <c r="U90" s="296"/>
      <c r="V90" s="297"/>
      <c r="W90" s="42" t="s">
        <v>0</v>
      </c>
      <c r="X90" s="43">
        <f>IFERROR(SUMPRODUCT(X88:X88*H88:H88),"0")</f>
        <v>0</v>
      </c>
      <c r="Y90" s="43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19" t="s">
        <v>174</v>
      </c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  <c r="AA91" s="65"/>
      <c r="AB91" s="65"/>
      <c r="AC91" s="82"/>
    </row>
    <row r="92" spans="1:68" ht="14.25" customHeight="1" x14ac:dyDescent="0.25">
      <c r="A92" s="309" t="s">
        <v>175</v>
      </c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291">
        <v>4607111034120</v>
      </c>
      <c r="E93" s="291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3"/>
      <c r="R93" s="293"/>
      <c r="S93" s="293"/>
      <c r="T93" s="294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291">
        <v>4607111034137</v>
      </c>
      <c r="E94" s="291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7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3"/>
      <c r="R94" s="293"/>
      <c r="S94" s="293"/>
      <c r="T94" s="294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9"/>
      <c r="P95" s="295" t="s">
        <v>40</v>
      </c>
      <c r="Q95" s="296"/>
      <c r="R95" s="296"/>
      <c r="S95" s="296"/>
      <c r="T95" s="296"/>
      <c r="U95" s="296"/>
      <c r="V95" s="297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9"/>
      <c r="P96" s="295" t="s">
        <v>40</v>
      </c>
      <c r="Q96" s="296"/>
      <c r="R96" s="296"/>
      <c r="S96" s="296"/>
      <c r="T96" s="296"/>
      <c r="U96" s="296"/>
      <c r="V96" s="297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19" t="s">
        <v>182</v>
      </c>
      <c r="B97" s="319"/>
      <c r="C97" s="319"/>
      <c r="D97" s="319"/>
      <c r="E97" s="319"/>
      <c r="F97" s="319"/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65"/>
      <c r="AB97" s="65"/>
      <c r="AC97" s="82"/>
    </row>
    <row r="98" spans="1:68" ht="14.25" customHeight="1" x14ac:dyDescent="0.25">
      <c r="A98" s="309" t="s">
        <v>155</v>
      </c>
      <c r="B98" s="309"/>
      <c r="C98" s="309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291">
        <v>4620207491027</v>
      </c>
      <c r="E99" s="291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3"/>
      <c r="R99" s="293"/>
      <c r="S99" s="293"/>
      <c r="T99" s="294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291">
        <v>4620207491003</v>
      </c>
      <c r="E100" s="291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3"/>
      <c r="R100" s="293"/>
      <c r="S100" s="293"/>
      <c r="T100" s="294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187</v>
      </c>
      <c r="B101" s="63" t="s">
        <v>188</v>
      </c>
      <c r="C101" s="36">
        <v>4301135768</v>
      </c>
      <c r="D101" s="291">
        <v>4620207491034</v>
      </c>
      <c r="E101" s="291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3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3"/>
      <c r="R101" s="293"/>
      <c r="S101" s="293"/>
      <c r="T101" s="294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291">
        <v>4620207491010</v>
      </c>
      <c r="E102" s="291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36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3"/>
      <c r="R102" s="293"/>
      <c r="S102" s="293"/>
      <c r="T102" s="294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192</v>
      </c>
      <c r="B103" s="63" t="s">
        <v>193</v>
      </c>
      <c r="C103" s="36">
        <v>4301135571</v>
      </c>
      <c r="D103" s="291">
        <v>4607111035028</v>
      </c>
      <c r="E103" s="291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37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3"/>
      <c r="R103" s="293"/>
      <c r="S103" s="293"/>
      <c r="T103" s="294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194</v>
      </c>
      <c r="B104" s="63" t="s">
        <v>195</v>
      </c>
      <c r="C104" s="36">
        <v>4301135285</v>
      </c>
      <c r="D104" s="291">
        <v>4607111036407</v>
      </c>
      <c r="E104" s="291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7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3"/>
      <c r="R104" s="293"/>
      <c r="S104" s="293"/>
      <c r="T104" s="294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9"/>
      <c r="P105" s="295" t="s">
        <v>40</v>
      </c>
      <c r="Q105" s="296"/>
      <c r="R105" s="296"/>
      <c r="S105" s="296"/>
      <c r="T105" s="296"/>
      <c r="U105" s="296"/>
      <c r="V105" s="297"/>
      <c r="W105" s="42" t="s">
        <v>39</v>
      </c>
      <c r="X105" s="43">
        <f>IFERROR(SUM(X99:X104),"0")</f>
        <v>0</v>
      </c>
      <c r="Y105" s="43">
        <f>IFERROR(SUM(Y99:Y104),"0")</f>
        <v>0</v>
      </c>
      <c r="Z105" s="43">
        <f>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9"/>
      <c r="P106" s="295" t="s">
        <v>40</v>
      </c>
      <c r="Q106" s="296"/>
      <c r="R106" s="296"/>
      <c r="S106" s="296"/>
      <c r="T106" s="296"/>
      <c r="U106" s="296"/>
      <c r="V106" s="297"/>
      <c r="W106" s="42" t="s">
        <v>0</v>
      </c>
      <c r="X106" s="43">
        <f>IFERROR(SUMPRODUCT(X99:X104*H99:H104),"0")</f>
        <v>0</v>
      </c>
      <c r="Y106" s="43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19" t="s">
        <v>197</v>
      </c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  <c r="AA107" s="65"/>
      <c r="AB107" s="65"/>
      <c r="AC107" s="82"/>
    </row>
    <row r="108" spans="1:68" ht="14.25" customHeight="1" x14ac:dyDescent="0.25">
      <c r="A108" s="309" t="s">
        <v>149</v>
      </c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4301136070</v>
      </c>
      <c r="D109" s="291">
        <v>4607025784012</v>
      </c>
      <c r="E109" s="291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3"/>
      <c r="R109" s="293"/>
      <c r="S109" s="293"/>
      <c r="T109" s="294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291">
        <v>4607025784319</v>
      </c>
      <c r="E110" s="291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3"/>
      <c r="R110" s="293"/>
      <c r="S110" s="293"/>
      <c r="T110" s="294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9"/>
      <c r="P111" s="295" t="s">
        <v>40</v>
      </c>
      <c r="Q111" s="296"/>
      <c r="R111" s="296"/>
      <c r="S111" s="296"/>
      <c r="T111" s="296"/>
      <c r="U111" s="296"/>
      <c r="V111" s="29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9"/>
      <c r="P112" s="295" t="s">
        <v>40</v>
      </c>
      <c r="Q112" s="296"/>
      <c r="R112" s="296"/>
      <c r="S112" s="296"/>
      <c r="T112" s="296"/>
      <c r="U112" s="296"/>
      <c r="V112" s="29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19" t="s">
        <v>203</v>
      </c>
      <c r="B113" s="31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  <c r="AA113" s="65"/>
      <c r="AB113" s="65"/>
      <c r="AC113" s="82"/>
    </row>
    <row r="114" spans="1:68" ht="14.25" customHeight="1" x14ac:dyDescent="0.25">
      <c r="A114" s="309" t="s">
        <v>80</v>
      </c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291">
        <v>4620207491157</v>
      </c>
      <c r="E115" s="291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3"/>
      <c r="R115" s="293"/>
      <c r="S115" s="293"/>
      <c r="T115" s="294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207</v>
      </c>
      <c r="B116" s="63" t="s">
        <v>208</v>
      </c>
      <c r="C116" s="36">
        <v>4301071121</v>
      </c>
      <c r="D116" s="291">
        <v>4620207491393</v>
      </c>
      <c r="E116" s="291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3"/>
      <c r="R116" s="293"/>
      <c r="S116" s="293"/>
      <c r="T116" s="294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4301071051</v>
      </c>
      <c r="D117" s="291">
        <v>4607111039262</v>
      </c>
      <c r="E117" s="291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3"/>
      <c r="R117" s="293"/>
      <c r="S117" s="293"/>
      <c r="T117" s="29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291">
        <v>4607111039248</v>
      </c>
      <c r="E118" s="291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3"/>
      <c r="R118" s="293"/>
      <c r="S118" s="293"/>
      <c r="T118" s="294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214</v>
      </c>
      <c r="B119" s="63" t="s">
        <v>215</v>
      </c>
      <c r="C119" s="36">
        <v>4301070979</v>
      </c>
      <c r="D119" s="291">
        <v>4607111037145</v>
      </c>
      <c r="E119" s="291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3"/>
      <c r="R119" s="293"/>
      <c r="S119" s="293"/>
      <c r="T119" s="294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4301071049</v>
      </c>
      <c r="D120" s="291">
        <v>4607111039293</v>
      </c>
      <c r="E120" s="291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36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3"/>
      <c r="R120" s="293"/>
      <c r="S120" s="293"/>
      <c r="T120" s="294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291">
        <v>4607111039279</v>
      </c>
      <c r="E121" s="291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3"/>
      <c r="R121" s="293"/>
      <c r="S121" s="293"/>
      <c r="T121" s="294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9"/>
      <c r="P122" s="295" t="s">
        <v>40</v>
      </c>
      <c r="Q122" s="296"/>
      <c r="R122" s="296"/>
      <c r="S122" s="296"/>
      <c r="T122" s="296"/>
      <c r="U122" s="296"/>
      <c r="V122" s="297"/>
      <c r="W122" s="42" t="s">
        <v>39</v>
      </c>
      <c r="X122" s="43">
        <f>IFERROR(SUM(X115:X121),"0")</f>
        <v>0</v>
      </c>
      <c r="Y122" s="43">
        <f>IFERROR(SUM(Y115:Y121),"0")</f>
        <v>0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9"/>
      <c r="P123" s="295" t="s">
        <v>40</v>
      </c>
      <c r="Q123" s="296"/>
      <c r="R123" s="296"/>
      <c r="S123" s="296"/>
      <c r="T123" s="296"/>
      <c r="U123" s="296"/>
      <c r="V123" s="297"/>
      <c r="W123" s="42" t="s">
        <v>0</v>
      </c>
      <c r="X123" s="43">
        <f>IFERROR(SUMPRODUCT(X115:X121*H115:H121),"0")</f>
        <v>0</v>
      </c>
      <c r="Y123" s="43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09" t="s">
        <v>155</v>
      </c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291">
        <v>4620207490983</v>
      </c>
      <c r="E125" s="291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3"/>
      <c r="R125" s="293"/>
      <c r="S125" s="293"/>
      <c r="T125" s="294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9"/>
      <c r="P126" s="295" t="s">
        <v>40</v>
      </c>
      <c r="Q126" s="296"/>
      <c r="R126" s="296"/>
      <c r="S126" s="296"/>
      <c r="T126" s="296"/>
      <c r="U126" s="296"/>
      <c r="V126" s="29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9"/>
      <c r="P127" s="295" t="s">
        <v>40</v>
      </c>
      <c r="Q127" s="296"/>
      <c r="R127" s="296"/>
      <c r="S127" s="296"/>
      <c r="T127" s="296"/>
      <c r="U127" s="296"/>
      <c r="V127" s="29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09" t="s">
        <v>224</v>
      </c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  <c r="AA128" s="66"/>
      <c r="AB128" s="66"/>
      <c r="AC128" s="83"/>
    </row>
    <row r="129" spans="1:68" ht="27" customHeight="1" x14ac:dyDescent="0.25">
      <c r="A129" s="63" t="s">
        <v>225</v>
      </c>
      <c r="B129" s="63" t="s">
        <v>226</v>
      </c>
      <c r="C129" s="36">
        <v>4301071094</v>
      </c>
      <c r="D129" s="291">
        <v>4620207491140</v>
      </c>
      <c r="E129" s="291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3"/>
      <c r="R129" s="293"/>
      <c r="S129" s="293"/>
      <c r="T129" s="294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9"/>
      <c r="P130" s="295" t="s">
        <v>40</v>
      </c>
      <c r="Q130" s="296"/>
      <c r="R130" s="296"/>
      <c r="S130" s="296"/>
      <c r="T130" s="296"/>
      <c r="U130" s="296"/>
      <c r="V130" s="29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9"/>
      <c r="P131" s="295" t="s">
        <v>40</v>
      </c>
      <c r="Q131" s="296"/>
      <c r="R131" s="296"/>
      <c r="S131" s="296"/>
      <c r="T131" s="296"/>
      <c r="U131" s="296"/>
      <c r="V131" s="29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19" t="s">
        <v>228</v>
      </c>
      <c r="B132" s="31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  <c r="AA132" s="65"/>
      <c r="AB132" s="65"/>
      <c r="AC132" s="82"/>
    </row>
    <row r="133" spans="1:68" ht="14.25" customHeight="1" x14ac:dyDescent="0.25">
      <c r="A133" s="309" t="s">
        <v>155</v>
      </c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4301135850</v>
      </c>
      <c r="D134" s="291">
        <v>4620207491492</v>
      </c>
      <c r="E134" s="291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35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93"/>
      <c r="R134" s="293"/>
      <c r="S134" s="293"/>
      <c r="T134" s="294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232</v>
      </c>
      <c r="B135" s="63" t="s">
        <v>233</v>
      </c>
      <c r="C135" s="36">
        <v>4301190118</v>
      </c>
      <c r="D135" s="291">
        <v>4620207491461</v>
      </c>
      <c r="E135" s="291"/>
      <c r="F135" s="62">
        <v>0.22</v>
      </c>
      <c r="G135" s="37">
        <v>6</v>
      </c>
      <c r="H135" s="62">
        <v>1.32</v>
      </c>
      <c r="I135" s="62">
        <v>1.74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93"/>
      <c r="R135" s="293"/>
      <c r="S135" s="293"/>
      <c r="T135" s="294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4301135865</v>
      </c>
      <c r="D136" s="291">
        <v>4620207491485</v>
      </c>
      <c r="E136" s="291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93"/>
      <c r="R136" s="293"/>
      <c r="S136" s="293"/>
      <c r="T136" s="294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x14ac:dyDescent="0.2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9"/>
      <c r="P137" s="295" t="s">
        <v>40</v>
      </c>
      <c r="Q137" s="296"/>
      <c r="R137" s="296"/>
      <c r="S137" s="296"/>
      <c r="T137" s="296"/>
      <c r="U137" s="296"/>
      <c r="V137" s="297"/>
      <c r="W137" s="42" t="s">
        <v>39</v>
      </c>
      <c r="X137" s="43">
        <f>IFERROR(SUM(X134:X136),"0")</f>
        <v>0</v>
      </c>
      <c r="Y137" s="43">
        <f>IFERROR(SUM(Y134:Y136),"0")</f>
        <v>0</v>
      </c>
      <c r="Z137" s="43">
        <f>IFERROR(IF(Z134="",0,Z134),"0")+IFERROR(IF(Z135="",0,Z135),"0")+IFERROR(IF(Z136="",0,Z136),"0")</f>
        <v>0</v>
      </c>
      <c r="AA137" s="67"/>
      <c r="AB137" s="67"/>
      <c r="AC137" s="67"/>
    </row>
    <row r="138" spans="1:68" x14ac:dyDescent="0.2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9"/>
      <c r="P138" s="295" t="s">
        <v>40</v>
      </c>
      <c r="Q138" s="296"/>
      <c r="R138" s="296"/>
      <c r="S138" s="296"/>
      <c r="T138" s="296"/>
      <c r="U138" s="296"/>
      <c r="V138" s="297"/>
      <c r="W138" s="42" t="s">
        <v>0</v>
      </c>
      <c r="X138" s="43">
        <f>IFERROR(SUMPRODUCT(X134:X136*H134:H136),"0")</f>
        <v>0</v>
      </c>
      <c r="Y138" s="43">
        <f>IFERROR(SUMPRODUCT(Y134:Y136*H134:H136),"0")</f>
        <v>0</v>
      </c>
      <c r="Z138" s="42"/>
      <c r="AA138" s="67"/>
      <c r="AB138" s="67"/>
      <c r="AC138" s="67"/>
    </row>
    <row r="139" spans="1:68" ht="14.25" customHeight="1" x14ac:dyDescent="0.25">
      <c r="A139" s="309" t="s">
        <v>236</v>
      </c>
      <c r="B139" s="309"/>
      <c r="C139" s="309"/>
      <c r="D139" s="309"/>
      <c r="E139" s="309"/>
      <c r="F139" s="309"/>
      <c r="G139" s="309"/>
      <c r="H139" s="309"/>
      <c r="I139" s="309"/>
      <c r="J139" s="309"/>
      <c r="K139" s="309"/>
      <c r="L139" s="309"/>
      <c r="M139" s="309"/>
      <c r="N139" s="309"/>
      <c r="O139" s="309"/>
      <c r="P139" s="309"/>
      <c r="Q139" s="309"/>
      <c r="R139" s="309"/>
      <c r="S139" s="309"/>
      <c r="T139" s="309"/>
      <c r="U139" s="309"/>
      <c r="V139" s="309"/>
      <c r="W139" s="309"/>
      <c r="X139" s="309"/>
      <c r="Y139" s="309"/>
      <c r="Z139" s="309"/>
      <c r="AA139" s="66"/>
      <c r="AB139" s="66"/>
      <c r="AC139" s="83"/>
    </row>
    <row r="140" spans="1:68" ht="27" customHeight="1" x14ac:dyDescent="0.25">
      <c r="A140" s="63" t="s">
        <v>237</v>
      </c>
      <c r="B140" s="63" t="s">
        <v>238</v>
      </c>
      <c r="C140" s="36">
        <v>4301190117</v>
      </c>
      <c r="D140" s="291">
        <v>4620207491386</v>
      </c>
      <c r="E140" s="291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116</v>
      </c>
      <c r="L140" s="37" t="s">
        <v>86</v>
      </c>
      <c r="M140" s="38" t="s">
        <v>84</v>
      </c>
      <c r="N140" s="38"/>
      <c r="O140" s="37">
        <v>180</v>
      </c>
      <c r="P140" s="35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93"/>
      <c r="R140" s="293"/>
      <c r="S140" s="293"/>
      <c r="T140" s="294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1" t="s">
        <v>239</v>
      </c>
      <c r="AG140" s="81"/>
      <c r="AJ140" s="87" t="s">
        <v>87</v>
      </c>
      <c r="AK140" s="87">
        <v>1</v>
      </c>
      <c r="BB140" s="192" t="s">
        <v>115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customHeight="1" x14ac:dyDescent="0.25">
      <c r="A141" s="63" t="s">
        <v>240</v>
      </c>
      <c r="B141" s="63" t="s">
        <v>241</v>
      </c>
      <c r="C141" s="36">
        <v>4301190115</v>
      </c>
      <c r="D141" s="291">
        <v>4620207491362</v>
      </c>
      <c r="E141" s="291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35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93"/>
      <c r="R141" s="293"/>
      <c r="S141" s="293"/>
      <c r="T141" s="294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239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242</v>
      </c>
      <c r="B142" s="63" t="s">
        <v>243</v>
      </c>
      <c r="C142" s="36">
        <v>4301190116</v>
      </c>
      <c r="D142" s="291">
        <v>4620207491379</v>
      </c>
      <c r="E142" s="291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35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93"/>
      <c r="R142" s="293"/>
      <c r="S142" s="293"/>
      <c r="T142" s="294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239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x14ac:dyDescent="0.2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9"/>
      <c r="P143" s="295" t="s">
        <v>40</v>
      </c>
      <c r="Q143" s="296"/>
      <c r="R143" s="296"/>
      <c r="S143" s="296"/>
      <c r="T143" s="296"/>
      <c r="U143" s="296"/>
      <c r="V143" s="297"/>
      <c r="W143" s="42" t="s">
        <v>39</v>
      </c>
      <c r="X143" s="43">
        <f>IFERROR(SUM(X140:X142),"0")</f>
        <v>0</v>
      </c>
      <c r="Y143" s="43">
        <f>IFERROR(SUM(Y140:Y142),"0")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9"/>
      <c r="P144" s="295" t="s">
        <v>40</v>
      </c>
      <c r="Q144" s="296"/>
      <c r="R144" s="296"/>
      <c r="S144" s="296"/>
      <c r="T144" s="296"/>
      <c r="U144" s="296"/>
      <c r="V144" s="297"/>
      <c r="W144" s="42" t="s">
        <v>0</v>
      </c>
      <c r="X144" s="43">
        <f>IFERROR(SUMPRODUCT(X140:X142*H140:H142),"0")</f>
        <v>0</v>
      </c>
      <c r="Y144" s="43">
        <f>IFERROR(SUMPRODUCT(Y140:Y142*H140:H142),"0")</f>
        <v>0</v>
      </c>
      <c r="Z144" s="42"/>
      <c r="AA144" s="67"/>
      <c r="AB144" s="67"/>
      <c r="AC144" s="67"/>
    </row>
    <row r="145" spans="1:68" ht="16.5" customHeight="1" x14ac:dyDescent="0.25">
      <c r="A145" s="319" t="s">
        <v>244</v>
      </c>
      <c r="B145" s="319"/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  <c r="AA145" s="65"/>
      <c r="AB145" s="65"/>
      <c r="AC145" s="82"/>
    </row>
    <row r="146" spans="1:68" ht="14.25" customHeight="1" x14ac:dyDescent="0.25">
      <c r="A146" s="309" t="s">
        <v>155</v>
      </c>
      <c r="B146" s="309"/>
      <c r="C146" s="309"/>
      <c r="D146" s="309"/>
      <c r="E146" s="309"/>
      <c r="F146" s="309"/>
      <c r="G146" s="309"/>
      <c r="H146" s="309"/>
      <c r="I146" s="309"/>
      <c r="J146" s="309"/>
      <c r="K146" s="309"/>
      <c r="L146" s="309"/>
      <c r="M146" s="309"/>
      <c r="N146" s="309"/>
      <c r="O146" s="309"/>
      <c r="P146" s="309"/>
      <c r="Q146" s="309"/>
      <c r="R146" s="309"/>
      <c r="S146" s="309"/>
      <c r="T146" s="309"/>
      <c r="U146" s="309"/>
      <c r="V146" s="309"/>
      <c r="W146" s="309"/>
      <c r="X146" s="309"/>
      <c r="Y146" s="309"/>
      <c r="Z146" s="309"/>
      <c r="AA146" s="66"/>
      <c r="AB146" s="66"/>
      <c r="AC146" s="83"/>
    </row>
    <row r="147" spans="1:68" ht="27" customHeight="1" x14ac:dyDescent="0.25">
      <c r="A147" s="63" t="s">
        <v>245</v>
      </c>
      <c r="B147" s="63" t="s">
        <v>246</v>
      </c>
      <c r="C147" s="36">
        <v>4301135555</v>
      </c>
      <c r="D147" s="291">
        <v>4607111034014</v>
      </c>
      <c r="E147" s="291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116</v>
      </c>
      <c r="L147" s="37" t="s">
        <v>117</v>
      </c>
      <c r="M147" s="38" t="s">
        <v>84</v>
      </c>
      <c r="N147" s="38"/>
      <c r="O147" s="37">
        <v>180</v>
      </c>
      <c r="P147" s="35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93"/>
      <c r="R147" s="293"/>
      <c r="S147" s="293"/>
      <c r="T147" s="294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7" t="s">
        <v>247</v>
      </c>
      <c r="AG147" s="81"/>
      <c r="AJ147" s="87" t="s">
        <v>118</v>
      </c>
      <c r="AK147" s="87">
        <v>14</v>
      </c>
      <c r="BB147" s="198" t="s">
        <v>115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27" customHeight="1" x14ac:dyDescent="0.25">
      <c r="A148" s="63" t="s">
        <v>248</v>
      </c>
      <c r="B148" s="63" t="s">
        <v>249</v>
      </c>
      <c r="C148" s="36">
        <v>4301135532</v>
      </c>
      <c r="D148" s="291">
        <v>4607111033994</v>
      </c>
      <c r="E148" s="291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34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93"/>
      <c r="R148" s="293"/>
      <c r="S148" s="293"/>
      <c r="T148" s="294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173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x14ac:dyDescent="0.2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9"/>
      <c r="P149" s="295" t="s">
        <v>40</v>
      </c>
      <c r="Q149" s="296"/>
      <c r="R149" s="296"/>
      <c r="S149" s="296"/>
      <c r="T149" s="296"/>
      <c r="U149" s="296"/>
      <c r="V149" s="297"/>
      <c r="W149" s="42" t="s">
        <v>39</v>
      </c>
      <c r="X149" s="43">
        <f>IFERROR(SUM(X147:X148),"0")</f>
        <v>0</v>
      </c>
      <c r="Y149" s="43">
        <f>IFERROR(SUM(Y147:Y148),"0")</f>
        <v>0</v>
      </c>
      <c r="Z149" s="43">
        <f>IFERROR(IF(Z147="",0,Z147),"0")+IFERROR(IF(Z148="",0,Z148),"0")</f>
        <v>0</v>
      </c>
      <c r="AA149" s="67"/>
      <c r="AB149" s="67"/>
      <c r="AC149" s="67"/>
    </row>
    <row r="150" spans="1:68" x14ac:dyDescent="0.2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9"/>
      <c r="P150" s="295" t="s">
        <v>40</v>
      </c>
      <c r="Q150" s="296"/>
      <c r="R150" s="296"/>
      <c r="S150" s="296"/>
      <c r="T150" s="296"/>
      <c r="U150" s="296"/>
      <c r="V150" s="297"/>
      <c r="W150" s="42" t="s">
        <v>0</v>
      </c>
      <c r="X150" s="43">
        <f>IFERROR(SUMPRODUCT(X147:X148*H147:H148),"0")</f>
        <v>0</v>
      </c>
      <c r="Y150" s="43">
        <f>IFERROR(SUMPRODUCT(Y147:Y148*H147:H148),"0")</f>
        <v>0</v>
      </c>
      <c r="Z150" s="42"/>
      <c r="AA150" s="67"/>
      <c r="AB150" s="67"/>
      <c r="AC150" s="67"/>
    </row>
    <row r="151" spans="1:68" ht="16.5" customHeight="1" x14ac:dyDescent="0.25">
      <c r="A151" s="319" t="s">
        <v>250</v>
      </c>
      <c r="B151" s="319"/>
      <c r="C151" s="319"/>
      <c r="D151" s="319"/>
      <c r="E151" s="319"/>
      <c r="F151" s="319"/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  <c r="R151" s="319"/>
      <c r="S151" s="319"/>
      <c r="T151" s="319"/>
      <c r="U151" s="319"/>
      <c r="V151" s="319"/>
      <c r="W151" s="319"/>
      <c r="X151" s="319"/>
      <c r="Y151" s="319"/>
      <c r="Z151" s="319"/>
      <c r="AA151" s="65"/>
      <c r="AB151" s="65"/>
      <c r="AC151" s="82"/>
    </row>
    <row r="152" spans="1:68" ht="14.25" customHeight="1" x14ac:dyDescent="0.25">
      <c r="A152" s="309" t="s">
        <v>155</v>
      </c>
      <c r="B152" s="309"/>
      <c r="C152" s="309"/>
      <c r="D152" s="309"/>
      <c r="E152" s="309"/>
      <c r="F152" s="309"/>
      <c r="G152" s="309"/>
      <c r="H152" s="309"/>
      <c r="I152" s="309"/>
      <c r="J152" s="309"/>
      <c r="K152" s="309"/>
      <c r="L152" s="309"/>
      <c r="M152" s="309"/>
      <c r="N152" s="309"/>
      <c r="O152" s="309"/>
      <c r="P152" s="309"/>
      <c r="Q152" s="309"/>
      <c r="R152" s="309"/>
      <c r="S152" s="309"/>
      <c r="T152" s="309"/>
      <c r="U152" s="309"/>
      <c r="V152" s="309"/>
      <c r="W152" s="309"/>
      <c r="X152" s="309"/>
      <c r="Y152" s="309"/>
      <c r="Z152" s="309"/>
      <c r="AA152" s="66"/>
      <c r="AB152" s="66"/>
      <c r="AC152" s="83"/>
    </row>
    <row r="153" spans="1:68" ht="27" customHeight="1" x14ac:dyDescent="0.25">
      <c r="A153" s="63" t="s">
        <v>251</v>
      </c>
      <c r="B153" s="63" t="s">
        <v>252</v>
      </c>
      <c r="C153" s="36">
        <v>4301135824</v>
      </c>
      <c r="D153" s="291">
        <v>4607111039095</v>
      </c>
      <c r="E153" s="291"/>
      <c r="F153" s="62">
        <v>0.25</v>
      </c>
      <c r="G153" s="37">
        <v>12</v>
      </c>
      <c r="H153" s="62">
        <v>3</v>
      </c>
      <c r="I153" s="62">
        <v>3.7480000000000002</v>
      </c>
      <c r="J153" s="37">
        <v>70</v>
      </c>
      <c r="K153" s="37" t="s">
        <v>116</v>
      </c>
      <c r="L153" s="37" t="s">
        <v>86</v>
      </c>
      <c r="M153" s="38" t="s">
        <v>84</v>
      </c>
      <c r="N153" s="38"/>
      <c r="O153" s="37">
        <v>180</v>
      </c>
      <c r="P153" s="34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93"/>
      <c r="R153" s="293"/>
      <c r="S153" s="293"/>
      <c r="T153" s="294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IFERROR(IF(X153="","",X153*0.01788),"")</f>
        <v>0</v>
      </c>
      <c r="AA153" s="68" t="s">
        <v>46</v>
      </c>
      <c r="AB153" s="69" t="s">
        <v>46</v>
      </c>
      <c r="AC153" s="201" t="s">
        <v>253</v>
      </c>
      <c r="AG153" s="81"/>
      <c r="AJ153" s="87" t="s">
        <v>87</v>
      </c>
      <c r="AK153" s="87">
        <v>1</v>
      </c>
      <c r="BB153" s="202" t="s">
        <v>115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ht="16.5" customHeight="1" x14ac:dyDescent="0.25">
      <c r="A154" s="63" t="s">
        <v>254</v>
      </c>
      <c r="B154" s="63" t="s">
        <v>255</v>
      </c>
      <c r="C154" s="36">
        <v>4301135550</v>
      </c>
      <c r="D154" s="291">
        <v>4607111034199</v>
      </c>
      <c r="E154" s="291"/>
      <c r="F154" s="62">
        <v>0.25</v>
      </c>
      <c r="G154" s="37">
        <v>12</v>
      </c>
      <c r="H154" s="62">
        <v>3</v>
      </c>
      <c r="I154" s="62">
        <v>3.7035999999999998</v>
      </c>
      <c r="J154" s="37">
        <v>70</v>
      </c>
      <c r="K154" s="37" t="s">
        <v>116</v>
      </c>
      <c r="L154" s="37" t="s">
        <v>117</v>
      </c>
      <c r="M154" s="38" t="s">
        <v>84</v>
      </c>
      <c r="N154" s="38"/>
      <c r="O154" s="37">
        <v>180</v>
      </c>
      <c r="P154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93"/>
      <c r="R154" s="293"/>
      <c r="S154" s="293"/>
      <c r="T154" s="294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256</v>
      </c>
      <c r="AG154" s="81"/>
      <c r="AJ154" s="87" t="s">
        <v>118</v>
      </c>
      <c r="AK154" s="87">
        <v>14</v>
      </c>
      <c r="BB154" s="204" t="s">
        <v>115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9"/>
      <c r="P155" s="295" t="s">
        <v>40</v>
      </c>
      <c r="Q155" s="296"/>
      <c r="R155" s="296"/>
      <c r="S155" s="296"/>
      <c r="T155" s="296"/>
      <c r="U155" s="296"/>
      <c r="V155" s="297"/>
      <c r="W155" s="42" t="s">
        <v>39</v>
      </c>
      <c r="X155" s="43">
        <f>IFERROR(SUM(X153:X154),"0")</f>
        <v>0</v>
      </c>
      <c r="Y155" s="43">
        <f>IFERROR(SUM(Y153:Y154),"0")</f>
        <v>0</v>
      </c>
      <c r="Z155" s="43">
        <f>IFERROR(IF(Z153="",0,Z153),"0")+IFERROR(IF(Z154="",0,Z154),"0")</f>
        <v>0</v>
      </c>
      <c r="AA155" s="67"/>
      <c r="AB155" s="67"/>
      <c r="AC155" s="67"/>
    </row>
    <row r="156" spans="1:68" x14ac:dyDescent="0.2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9"/>
      <c r="P156" s="295" t="s">
        <v>40</v>
      </c>
      <c r="Q156" s="296"/>
      <c r="R156" s="296"/>
      <c r="S156" s="296"/>
      <c r="T156" s="296"/>
      <c r="U156" s="296"/>
      <c r="V156" s="297"/>
      <c r="W156" s="42" t="s">
        <v>0</v>
      </c>
      <c r="X156" s="43">
        <f>IFERROR(SUMPRODUCT(X153:X154*H153:H154),"0")</f>
        <v>0</v>
      </c>
      <c r="Y156" s="43">
        <f>IFERROR(SUMPRODUCT(Y153:Y154*H153:H154),"0")</f>
        <v>0</v>
      </c>
      <c r="Z156" s="42"/>
      <c r="AA156" s="67"/>
      <c r="AB156" s="67"/>
      <c r="AC156" s="67"/>
    </row>
    <row r="157" spans="1:68" ht="16.5" customHeight="1" x14ac:dyDescent="0.25">
      <c r="A157" s="319" t="s">
        <v>257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  <c r="AA157" s="65"/>
      <c r="AB157" s="65"/>
      <c r="AC157" s="82"/>
    </row>
    <row r="158" spans="1:68" ht="14.25" customHeight="1" x14ac:dyDescent="0.25">
      <c r="A158" s="309" t="s">
        <v>155</v>
      </c>
      <c r="B158" s="309"/>
      <c r="C158" s="309"/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09"/>
      <c r="O158" s="309"/>
      <c r="P158" s="309"/>
      <c r="Q158" s="309"/>
      <c r="R158" s="309"/>
      <c r="S158" s="309"/>
      <c r="T158" s="309"/>
      <c r="U158" s="309"/>
      <c r="V158" s="309"/>
      <c r="W158" s="309"/>
      <c r="X158" s="309"/>
      <c r="Y158" s="309"/>
      <c r="Z158" s="309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4301135753</v>
      </c>
      <c r="D159" s="291">
        <v>4620207490914</v>
      </c>
      <c r="E159" s="291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116</v>
      </c>
      <c r="L159" s="37" t="s">
        <v>86</v>
      </c>
      <c r="M159" s="38" t="s">
        <v>84</v>
      </c>
      <c r="N159" s="38"/>
      <c r="O159" s="37">
        <v>180</v>
      </c>
      <c r="P159" s="34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93"/>
      <c r="R159" s="293"/>
      <c r="S159" s="293"/>
      <c r="T159" s="294"/>
      <c r="U159" s="39" t="s">
        <v>46</v>
      </c>
      <c r="V159" s="39" t="s">
        <v>46</v>
      </c>
      <c r="W159" s="40" t="s">
        <v>39</v>
      </c>
      <c r="X159" s="58">
        <v>0</v>
      </c>
      <c r="Y159" s="55">
        <f>IFERROR(IF(X159="","",X159),"")</f>
        <v>0</v>
      </c>
      <c r="Z159" s="41">
        <f>IFERROR(IF(X159="","",X159*0.01788),"")</f>
        <v>0</v>
      </c>
      <c r="AA159" s="68" t="s">
        <v>46</v>
      </c>
      <c r="AB159" s="69" t="s">
        <v>46</v>
      </c>
      <c r="AC159" s="205" t="s">
        <v>247</v>
      </c>
      <c r="AG159" s="81"/>
      <c r="AJ159" s="87" t="s">
        <v>87</v>
      </c>
      <c r="AK159" s="87">
        <v>1</v>
      </c>
      <c r="BB159" s="206" t="s">
        <v>115</v>
      </c>
      <c r="BM159" s="81">
        <f>IFERROR(X159*I159,"0")</f>
        <v>0</v>
      </c>
      <c r="BN159" s="81">
        <f>IFERROR(Y159*I159,"0")</f>
        <v>0</v>
      </c>
      <c r="BO159" s="81">
        <f>IFERROR(X159/J159,"0")</f>
        <v>0</v>
      </c>
      <c r="BP159" s="81">
        <f>IFERROR(Y159/J159,"0")</f>
        <v>0</v>
      </c>
    </row>
    <row r="160" spans="1:68" ht="27" customHeight="1" x14ac:dyDescent="0.25">
      <c r="A160" s="63" t="s">
        <v>260</v>
      </c>
      <c r="B160" s="63" t="s">
        <v>261</v>
      </c>
      <c r="C160" s="36">
        <v>4301135778</v>
      </c>
      <c r="D160" s="291">
        <v>4620207490853</v>
      </c>
      <c r="E160" s="291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117</v>
      </c>
      <c r="M160" s="38" t="s">
        <v>84</v>
      </c>
      <c r="N160" s="38"/>
      <c r="O160" s="37">
        <v>180</v>
      </c>
      <c r="P160" s="3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93"/>
      <c r="R160" s="293"/>
      <c r="S160" s="293"/>
      <c r="T160" s="294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07" t="s">
        <v>247</v>
      </c>
      <c r="AG160" s="81"/>
      <c r="AJ160" s="87" t="s">
        <v>118</v>
      </c>
      <c r="AK160" s="87">
        <v>14</v>
      </c>
      <c r="BB160" s="208" t="s">
        <v>115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9"/>
      <c r="P161" s="295" t="s">
        <v>40</v>
      </c>
      <c r="Q161" s="296"/>
      <c r="R161" s="296"/>
      <c r="S161" s="296"/>
      <c r="T161" s="296"/>
      <c r="U161" s="296"/>
      <c r="V161" s="297"/>
      <c r="W161" s="42" t="s">
        <v>39</v>
      </c>
      <c r="X161" s="43">
        <f>IFERROR(SUM(X159:X160),"0")</f>
        <v>0</v>
      </c>
      <c r="Y161" s="43">
        <f>IFERROR(SUM(Y159:Y160),"0")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9"/>
      <c r="P162" s="295" t="s">
        <v>40</v>
      </c>
      <c r="Q162" s="296"/>
      <c r="R162" s="296"/>
      <c r="S162" s="296"/>
      <c r="T162" s="296"/>
      <c r="U162" s="296"/>
      <c r="V162" s="297"/>
      <c r="W162" s="42" t="s">
        <v>0</v>
      </c>
      <c r="X162" s="43">
        <f>IFERROR(SUMPRODUCT(X159:X160*H159:H160),"0")</f>
        <v>0</v>
      </c>
      <c r="Y162" s="43">
        <f>IFERROR(SUMPRODUCT(Y159:Y160*H159:H160),"0")</f>
        <v>0</v>
      </c>
      <c r="Z162" s="42"/>
      <c r="AA162" s="67"/>
      <c r="AB162" s="67"/>
      <c r="AC162" s="67"/>
    </row>
    <row r="163" spans="1:68" ht="16.5" customHeight="1" x14ac:dyDescent="0.25">
      <c r="A163" s="319" t="s">
        <v>262</v>
      </c>
      <c r="B163" s="319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  <c r="AA163" s="65"/>
      <c r="AB163" s="65"/>
      <c r="AC163" s="82"/>
    </row>
    <row r="164" spans="1:68" ht="14.25" customHeight="1" x14ac:dyDescent="0.25">
      <c r="A164" s="309" t="s">
        <v>155</v>
      </c>
      <c r="B164" s="309"/>
      <c r="C164" s="309"/>
      <c r="D164" s="309"/>
      <c r="E164" s="309"/>
      <c r="F164" s="309"/>
      <c r="G164" s="309"/>
      <c r="H164" s="309"/>
      <c r="I164" s="309"/>
      <c r="J164" s="309"/>
      <c r="K164" s="309"/>
      <c r="L164" s="309"/>
      <c r="M164" s="309"/>
      <c r="N164" s="309"/>
      <c r="O164" s="309"/>
      <c r="P164" s="309"/>
      <c r="Q164" s="309"/>
      <c r="R164" s="309"/>
      <c r="S164" s="309"/>
      <c r="T164" s="309"/>
      <c r="U164" s="309"/>
      <c r="V164" s="309"/>
      <c r="W164" s="309"/>
      <c r="X164" s="309"/>
      <c r="Y164" s="309"/>
      <c r="Z164" s="309"/>
      <c r="AA164" s="66"/>
      <c r="AB164" s="66"/>
      <c r="AC164" s="83"/>
    </row>
    <row r="165" spans="1:68" ht="27" customHeight="1" x14ac:dyDescent="0.25">
      <c r="A165" s="63" t="s">
        <v>263</v>
      </c>
      <c r="B165" s="63" t="s">
        <v>264</v>
      </c>
      <c r="C165" s="36">
        <v>4301135570</v>
      </c>
      <c r="D165" s="291">
        <v>4607111035806</v>
      </c>
      <c r="E165" s="291"/>
      <c r="F165" s="62">
        <v>0.25</v>
      </c>
      <c r="G165" s="37">
        <v>12</v>
      </c>
      <c r="H165" s="62">
        <v>3</v>
      </c>
      <c r="I165" s="62">
        <v>3.7035999999999998</v>
      </c>
      <c r="J165" s="37">
        <v>70</v>
      </c>
      <c r="K165" s="37" t="s">
        <v>116</v>
      </c>
      <c r="L165" s="37" t="s">
        <v>117</v>
      </c>
      <c r="M165" s="38" t="s">
        <v>84</v>
      </c>
      <c r="N165" s="38"/>
      <c r="O165" s="37">
        <v>180</v>
      </c>
      <c r="P165" s="3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93"/>
      <c r="R165" s="293"/>
      <c r="S165" s="293"/>
      <c r="T165" s="294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IFERROR(IF(X165="","",X165*0.01788),"")</f>
        <v>0</v>
      </c>
      <c r="AA165" s="68" t="s">
        <v>46</v>
      </c>
      <c r="AB165" s="69" t="s">
        <v>46</v>
      </c>
      <c r="AC165" s="209" t="s">
        <v>265</v>
      </c>
      <c r="AG165" s="81"/>
      <c r="AJ165" s="87" t="s">
        <v>118</v>
      </c>
      <c r="AK165" s="87">
        <v>14</v>
      </c>
      <c r="BB165" s="210" t="s">
        <v>115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9"/>
      <c r="P166" s="295" t="s">
        <v>40</v>
      </c>
      <c r="Q166" s="296"/>
      <c r="R166" s="296"/>
      <c r="S166" s="296"/>
      <c r="T166" s="296"/>
      <c r="U166" s="296"/>
      <c r="V166" s="297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9"/>
      <c r="P167" s="295" t="s">
        <v>40</v>
      </c>
      <c r="Q167" s="296"/>
      <c r="R167" s="296"/>
      <c r="S167" s="296"/>
      <c r="T167" s="296"/>
      <c r="U167" s="296"/>
      <c r="V167" s="297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16.5" customHeight="1" x14ac:dyDescent="0.25">
      <c r="A168" s="319" t="s">
        <v>266</v>
      </c>
      <c r="B168" s="319"/>
      <c r="C168" s="319"/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65"/>
      <c r="AB168" s="65"/>
      <c r="AC168" s="82"/>
    </row>
    <row r="169" spans="1:68" ht="14.25" customHeight="1" x14ac:dyDescent="0.25">
      <c r="A169" s="309" t="s">
        <v>155</v>
      </c>
      <c r="B169" s="309"/>
      <c r="C169" s="309"/>
      <c r="D169" s="309"/>
      <c r="E169" s="309"/>
      <c r="F169" s="309"/>
      <c r="G169" s="309"/>
      <c r="H169" s="309"/>
      <c r="I169" s="309"/>
      <c r="J169" s="309"/>
      <c r="K169" s="309"/>
      <c r="L169" s="309"/>
      <c r="M169" s="309"/>
      <c r="N169" s="309"/>
      <c r="O169" s="309"/>
      <c r="P169" s="309"/>
      <c r="Q169" s="309"/>
      <c r="R169" s="309"/>
      <c r="S169" s="309"/>
      <c r="T169" s="309"/>
      <c r="U169" s="309"/>
      <c r="V169" s="309"/>
      <c r="W169" s="309"/>
      <c r="X169" s="309"/>
      <c r="Y169" s="309"/>
      <c r="Z169" s="309"/>
      <c r="AA169" s="66"/>
      <c r="AB169" s="66"/>
      <c r="AC169" s="83"/>
    </row>
    <row r="170" spans="1:68" ht="16.5" customHeight="1" x14ac:dyDescent="0.25">
      <c r="A170" s="63" t="s">
        <v>267</v>
      </c>
      <c r="B170" s="63" t="s">
        <v>268</v>
      </c>
      <c r="C170" s="36">
        <v>4301135607</v>
      </c>
      <c r="D170" s="291">
        <v>4607111039613</v>
      </c>
      <c r="E170" s="291"/>
      <c r="F170" s="62">
        <v>0.09</v>
      </c>
      <c r="G170" s="37">
        <v>30</v>
      </c>
      <c r="H170" s="62">
        <v>2.7</v>
      </c>
      <c r="I170" s="62">
        <v>3.09</v>
      </c>
      <c r="J170" s="37">
        <v>126</v>
      </c>
      <c r="K170" s="37" t="s">
        <v>116</v>
      </c>
      <c r="L170" s="37" t="s">
        <v>117</v>
      </c>
      <c r="M170" s="38" t="s">
        <v>84</v>
      </c>
      <c r="N170" s="38"/>
      <c r="O170" s="37">
        <v>180</v>
      </c>
      <c r="P170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93"/>
      <c r="R170" s="293"/>
      <c r="S170" s="293"/>
      <c r="T170" s="294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IFERROR(IF(X170="","",X170*0.00936),"")</f>
        <v>0</v>
      </c>
      <c r="AA170" s="68" t="s">
        <v>46</v>
      </c>
      <c r="AB170" s="69" t="s">
        <v>46</v>
      </c>
      <c r="AC170" s="211" t="s">
        <v>253</v>
      </c>
      <c r="AG170" s="81"/>
      <c r="AJ170" s="87" t="s">
        <v>118</v>
      </c>
      <c r="AK170" s="87">
        <v>14</v>
      </c>
      <c r="BB170" s="212" t="s">
        <v>115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9"/>
      <c r="P171" s="295" t="s">
        <v>40</v>
      </c>
      <c r="Q171" s="296"/>
      <c r="R171" s="296"/>
      <c r="S171" s="296"/>
      <c r="T171" s="296"/>
      <c r="U171" s="296"/>
      <c r="V171" s="297"/>
      <c r="W171" s="42" t="s">
        <v>39</v>
      </c>
      <c r="X171" s="43">
        <f>IFERROR(SUM(X170:X170),"0")</f>
        <v>0</v>
      </c>
      <c r="Y171" s="43">
        <f>IFERROR(SUM(Y170:Y170),"0")</f>
        <v>0</v>
      </c>
      <c r="Z171" s="43">
        <f>IFERROR(IF(Z170="",0,Z170),"0")</f>
        <v>0</v>
      </c>
      <c r="AA171" s="67"/>
      <c r="AB171" s="67"/>
      <c r="AC171" s="67"/>
    </row>
    <row r="172" spans="1:68" x14ac:dyDescent="0.2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9"/>
      <c r="P172" s="295" t="s">
        <v>40</v>
      </c>
      <c r="Q172" s="296"/>
      <c r="R172" s="296"/>
      <c r="S172" s="296"/>
      <c r="T172" s="296"/>
      <c r="U172" s="296"/>
      <c r="V172" s="297"/>
      <c r="W172" s="42" t="s">
        <v>0</v>
      </c>
      <c r="X172" s="43">
        <f>IFERROR(SUMPRODUCT(X170:X170*H170:H170),"0")</f>
        <v>0</v>
      </c>
      <c r="Y172" s="43">
        <f>IFERROR(SUMPRODUCT(Y170:Y170*H170:H170),"0")</f>
        <v>0</v>
      </c>
      <c r="Z172" s="42"/>
      <c r="AA172" s="67"/>
      <c r="AB172" s="67"/>
      <c r="AC172" s="67"/>
    </row>
    <row r="173" spans="1:68" ht="16.5" customHeight="1" x14ac:dyDescent="0.25">
      <c r="A173" s="319" t="s">
        <v>269</v>
      </c>
      <c r="B173" s="319"/>
      <c r="C173" s="319"/>
      <c r="D173" s="319"/>
      <c r="E173" s="319"/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  <c r="Z173" s="319"/>
      <c r="AA173" s="65"/>
      <c r="AB173" s="65"/>
      <c r="AC173" s="82"/>
    </row>
    <row r="174" spans="1:68" ht="14.25" customHeight="1" x14ac:dyDescent="0.25">
      <c r="A174" s="309" t="s">
        <v>155</v>
      </c>
      <c r="B174" s="309"/>
      <c r="C174" s="309"/>
      <c r="D174" s="309"/>
      <c r="E174" s="309"/>
      <c r="F174" s="309"/>
      <c r="G174" s="309"/>
      <c r="H174" s="309"/>
      <c r="I174" s="309"/>
      <c r="J174" s="309"/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09"/>
      <c r="X174" s="309"/>
      <c r="Y174" s="309"/>
      <c r="Z174" s="309"/>
      <c r="AA174" s="66"/>
      <c r="AB174" s="66"/>
      <c r="AC174" s="83"/>
    </row>
    <row r="175" spans="1:68" ht="27" customHeight="1" x14ac:dyDescent="0.25">
      <c r="A175" s="63" t="s">
        <v>270</v>
      </c>
      <c r="B175" s="63" t="s">
        <v>271</v>
      </c>
      <c r="C175" s="36">
        <v>4301135591</v>
      </c>
      <c r="D175" s="291">
        <v>4607111036568</v>
      </c>
      <c r="E175" s="291"/>
      <c r="F175" s="62">
        <v>0.28000000000000003</v>
      </c>
      <c r="G175" s="37">
        <v>6</v>
      </c>
      <c r="H175" s="62">
        <v>1.68</v>
      </c>
      <c r="I175" s="62">
        <v>2.1017999999999999</v>
      </c>
      <c r="J175" s="37">
        <v>140</v>
      </c>
      <c r="K175" s="37" t="s">
        <v>116</v>
      </c>
      <c r="L175" s="37" t="s">
        <v>117</v>
      </c>
      <c r="M175" s="38" t="s">
        <v>84</v>
      </c>
      <c r="N175" s="38"/>
      <c r="O175" s="37">
        <v>180</v>
      </c>
      <c r="P175" s="34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93"/>
      <c r="R175" s="293"/>
      <c r="S175" s="293"/>
      <c r="T175" s="294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IFERROR(IF(X175="","",X175*0.00941),"")</f>
        <v>0</v>
      </c>
      <c r="AA175" s="68" t="s">
        <v>46</v>
      </c>
      <c r="AB175" s="69" t="s">
        <v>46</v>
      </c>
      <c r="AC175" s="213" t="s">
        <v>272</v>
      </c>
      <c r="AG175" s="81"/>
      <c r="AJ175" s="87" t="s">
        <v>118</v>
      </c>
      <c r="AK175" s="87">
        <v>14</v>
      </c>
      <c r="BB175" s="214" t="s">
        <v>115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x14ac:dyDescent="0.2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9"/>
      <c r="P176" s="295" t="s">
        <v>40</v>
      </c>
      <c r="Q176" s="296"/>
      <c r="R176" s="296"/>
      <c r="S176" s="296"/>
      <c r="T176" s="296"/>
      <c r="U176" s="296"/>
      <c r="V176" s="297"/>
      <c r="W176" s="42" t="s">
        <v>39</v>
      </c>
      <c r="X176" s="43">
        <f>IFERROR(SUM(X175:X175),"0")</f>
        <v>0</v>
      </c>
      <c r="Y176" s="43">
        <f>IFERROR(SUM(Y175:Y175),"0")</f>
        <v>0</v>
      </c>
      <c r="Z176" s="43">
        <f>IFERROR(IF(Z175="",0,Z175),"0")</f>
        <v>0</v>
      </c>
      <c r="AA176" s="67"/>
      <c r="AB176" s="67"/>
      <c r="AC176" s="67"/>
    </row>
    <row r="177" spans="1:68" x14ac:dyDescent="0.2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9"/>
      <c r="P177" s="295" t="s">
        <v>40</v>
      </c>
      <c r="Q177" s="296"/>
      <c r="R177" s="296"/>
      <c r="S177" s="296"/>
      <c r="T177" s="296"/>
      <c r="U177" s="296"/>
      <c r="V177" s="297"/>
      <c r="W177" s="42" t="s">
        <v>0</v>
      </c>
      <c r="X177" s="43">
        <f>IFERROR(SUMPRODUCT(X175:X175*H175:H175),"0")</f>
        <v>0</v>
      </c>
      <c r="Y177" s="43">
        <f>IFERROR(SUMPRODUCT(Y175:Y175*H175:H175),"0")</f>
        <v>0</v>
      </c>
      <c r="Z177" s="42"/>
      <c r="AA177" s="67"/>
      <c r="AB177" s="67"/>
      <c r="AC177" s="67"/>
    </row>
    <row r="178" spans="1:68" ht="27.75" customHeight="1" x14ac:dyDescent="0.2">
      <c r="A178" s="318" t="s">
        <v>273</v>
      </c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54"/>
      <c r="AB178" s="54"/>
      <c r="AC178" s="54"/>
    </row>
    <row r="179" spans="1:68" ht="16.5" customHeight="1" x14ac:dyDescent="0.25">
      <c r="A179" s="319" t="s">
        <v>274</v>
      </c>
      <c r="B179" s="319"/>
      <c r="C179" s="319"/>
      <c r="D179" s="319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  <c r="Z179" s="319"/>
      <c r="AA179" s="65"/>
      <c r="AB179" s="65"/>
      <c r="AC179" s="82"/>
    </row>
    <row r="180" spans="1:68" ht="14.25" customHeight="1" x14ac:dyDescent="0.25">
      <c r="A180" s="309" t="s">
        <v>80</v>
      </c>
      <c r="B180" s="309"/>
      <c r="C180" s="309"/>
      <c r="D180" s="309"/>
      <c r="E180" s="309"/>
      <c r="F180" s="309"/>
      <c r="G180" s="309"/>
      <c r="H180" s="309"/>
      <c r="I180" s="309"/>
      <c r="J180" s="309"/>
      <c r="K180" s="309"/>
      <c r="L180" s="309"/>
      <c r="M180" s="309"/>
      <c r="N180" s="309"/>
      <c r="O180" s="309"/>
      <c r="P180" s="309"/>
      <c r="Q180" s="309"/>
      <c r="R180" s="309"/>
      <c r="S180" s="309"/>
      <c r="T180" s="309"/>
      <c r="U180" s="309"/>
      <c r="V180" s="309"/>
      <c r="W180" s="309"/>
      <c r="X180" s="309"/>
      <c r="Y180" s="309"/>
      <c r="Z180" s="309"/>
      <c r="AA180" s="66"/>
      <c r="AB180" s="66"/>
      <c r="AC180" s="83"/>
    </row>
    <row r="181" spans="1:68" ht="16.5" customHeight="1" x14ac:dyDescent="0.25">
      <c r="A181" s="63" t="s">
        <v>275</v>
      </c>
      <c r="B181" s="63" t="s">
        <v>276</v>
      </c>
      <c r="C181" s="36">
        <v>4301071062</v>
      </c>
      <c r="D181" s="291">
        <v>4607111036384</v>
      </c>
      <c r="E181" s="291"/>
      <c r="F181" s="62">
        <v>5</v>
      </c>
      <c r="G181" s="37">
        <v>1</v>
      </c>
      <c r="H181" s="62">
        <v>5</v>
      </c>
      <c r="I181" s="62">
        <v>5.2106000000000003</v>
      </c>
      <c r="J181" s="37">
        <v>144</v>
      </c>
      <c r="K181" s="37" t="s">
        <v>85</v>
      </c>
      <c r="L181" s="37" t="s">
        <v>86</v>
      </c>
      <c r="M181" s="38" t="s">
        <v>84</v>
      </c>
      <c r="N181" s="38"/>
      <c r="O181" s="37">
        <v>180</v>
      </c>
      <c r="P181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93"/>
      <c r="R181" s="293"/>
      <c r="S181" s="293"/>
      <c r="T181" s="294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5" t="s">
        <v>277</v>
      </c>
      <c r="AG181" s="81"/>
      <c r="AJ181" s="87" t="s">
        <v>87</v>
      </c>
      <c r="AK181" s="87">
        <v>1</v>
      </c>
      <c r="BB181" s="216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278</v>
      </c>
      <c r="B182" s="63" t="s">
        <v>279</v>
      </c>
      <c r="C182" s="36">
        <v>4301071050</v>
      </c>
      <c r="D182" s="291">
        <v>4607111036216</v>
      </c>
      <c r="E182" s="291"/>
      <c r="F182" s="62">
        <v>5</v>
      </c>
      <c r="G182" s="37">
        <v>1</v>
      </c>
      <c r="H182" s="62">
        <v>5</v>
      </c>
      <c r="I182" s="62">
        <v>5.2131999999999996</v>
      </c>
      <c r="J182" s="37">
        <v>144</v>
      </c>
      <c r="K182" s="37" t="s">
        <v>85</v>
      </c>
      <c r="L182" s="37" t="s">
        <v>117</v>
      </c>
      <c r="M182" s="38" t="s">
        <v>84</v>
      </c>
      <c r="N182" s="38"/>
      <c r="O182" s="37">
        <v>180</v>
      </c>
      <c r="P182" s="3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93"/>
      <c r="R182" s="293"/>
      <c r="S182" s="293"/>
      <c r="T182" s="294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280</v>
      </c>
      <c r="AG182" s="81"/>
      <c r="AJ182" s="87" t="s">
        <v>118</v>
      </c>
      <c r="AK182" s="87">
        <v>12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9"/>
      <c r="P183" s="295" t="s">
        <v>40</v>
      </c>
      <c r="Q183" s="296"/>
      <c r="R183" s="296"/>
      <c r="S183" s="296"/>
      <c r="T183" s="296"/>
      <c r="U183" s="296"/>
      <c r="V183" s="297"/>
      <c r="W183" s="42" t="s">
        <v>39</v>
      </c>
      <c r="X183" s="43">
        <f>IFERROR(SUM(X181:X182),"0")</f>
        <v>0</v>
      </c>
      <c r="Y183" s="43">
        <f>IFERROR(SUM(Y181:Y182),"0")</f>
        <v>0</v>
      </c>
      <c r="Z183" s="43">
        <f>IFERROR(IF(Z181="",0,Z181),"0")+IFERROR(IF(Z182="",0,Z182),"0")</f>
        <v>0</v>
      </c>
      <c r="AA183" s="67"/>
      <c r="AB183" s="67"/>
      <c r="AC183" s="67"/>
    </row>
    <row r="184" spans="1:68" x14ac:dyDescent="0.2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9"/>
      <c r="P184" s="295" t="s">
        <v>40</v>
      </c>
      <c r="Q184" s="296"/>
      <c r="R184" s="296"/>
      <c r="S184" s="296"/>
      <c r="T184" s="296"/>
      <c r="U184" s="296"/>
      <c r="V184" s="297"/>
      <c r="W184" s="42" t="s">
        <v>0</v>
      </c>
      <c r="X184" s="43">
        <f>IFERROR(SUMPRODUCT(X181:X182*H181:H182),"0")</f>
        <v>0</v>
      </c>
      <c r="Y184" s="43">
        <f>IFERROR(SUMPRODUCT(Y181:Y182*H181:H182),"0")</f>
        <v>0</v>
      </c>
      <c r="Z184" s="42"/>
      <c r="AA184" s="67"/>
      <c r="AB184" s="67"/>
      <c r="AC184" s="67"/>
    </row>
    <row r="185" spans="1:68" ht="14.25" customHeight="1" x14ac:dyDescent="0.25">
      <c r="A185" s="309" t="s">
        <v>281</v>
      </c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66"/>
      <c r="AB185" s="66"/>
      <c r="AC185" s="83"/>
    </row>
    <row r="186" spans="1:68" ht="27" customHeight="1" x14ac:dyDescent="0.25">
      <c r="A186" s="63" t="s">
        <v>282</v>
      </c>
      <c r="B186" s="63" t="s">
        <v>283</v>
      </c>
      <c r="C186" s="36">
        <v>4301080153</v>
      </c>
      <c r="D186" s="291">
        <v>4607111036827</v>
      </c>
      <c r="E186" s="291"/>
      <c r="F186" s="62">
        <v>1</v>
      </c>
      <c r="G186" s="37">
        <v>5</v>
      </c>
      <c r="H186" s="62">
        <v>5</v>
      </c>
      <c r="I186" s="62">
        <v>5.2</v>
      </c>
      <c r="J186" s="37">
        <v>144</v>
      </c>
      <c r="K186" s="37" t="s">
        <v>85</v>
      </c>
      <c r="L186" s="37" t="s">
        <v>86</v>
      </c>
      <c r="M186" s="38" t="s">
        <v>84</v>
      </c>
      <c r="N186" s="38"/>
      <c r="O186" s="37">
        <v>90</v>
      </c>
      <c r="P186" s="33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6" s="293"/>
      <c r="R186" s="293"/>
      <c r="S186" s="293"/>
      <c r="T186" s="294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9" t="s">
        <v>284</v>
      </c>
      <c r="AG186" s="81"/>
      <c r="AJ186" s="87" t="s">
        <v>87</v>
      </c>
      <c r="AK186" s="87">
        <v>1</v>
      </c>
      <c r="BB186" s="220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9"/>
      <c r="P187" s="295" t="s">
        <v>40</v>
      </c>
      <c r="Q187" s="296"/>
      <c r="R187" s="296"/>
      <c r="S187" s="296"/>
      <c r="T187" s="296"/>
      <c r="U187" s="296"/>
      <c r="V187" s="297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9"/>
      <c r="P188" s="295" t="s">
        <v>40</v>
      </c>
      <c r="Q188" s="296"/>
      <c r="R188" s="296"/>
      <c r="S188" s="296"/>
      <c r="T188" s="296"/>
      <c r="U188" s="296"/>
      <c r="V188" s="297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16.5" customHeight="1" x14ac:dyDescent="0.25">
      <c r="A189" s="319" t="s">
        <v>285</v>
      </c>
      <c r="B189" s="319"/>
      <c r="C189" s="319"/>
      <c r="D189" s="319"/>
      <c r="E189" s="319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  <c r="Z189" s="319"/>
      <c r="AA189" s="65"/>
      <c r="AB189" s="65"/>
      <c r="AC189" s="82"/>
    </row>
    <row r="190" spans="1:68" ht="14.25" customHeight="1" x14ac:dyDescent="0.25">
      <c r="A190" s="309" t="s">
        <v>80</v>
      </c>
      <c r="B190" s="309"/>
      <c r="C190" s="309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  <c r="AA190" s="66"/>
      <c r="AB190" s="66"/>
      <c r="AC190" s="83"/>
    </row>
    <row r="191" spans="1:68" ht="27" customHeight="1" x14ac:dyDescent="0.25">
      <c r="A191" s="63" t="s">
        <v>286</v>
      </c>
      <c r="B191" s="63" t="s">
        <v>287</v>
      </c>
      <c r="C191" s="36">
        <v>4301071117</v>
      </c>
      <c r="D191" s="291">
        <v>4620207491737</v>
      </c>
      <c r="E191" s="291"/>
      <c r="F191" s="62">
        <v>1</v>
      </c>
      <c r="G191" s="37">
        <v>5</v>
      </c>
      <c r="H191" s="62">
        <v>5</v>
      </c>
      <c r="I191" s="62">
        <v>5.2619999999999996</v>
      </c>
      <c r="J191" s="37">
        <v>84</v>
      </c>
      <c r="K191" s="37" t="s">
        <v>85</v>
      </c>
      <c r="L191" s="37" t="s">
        <v>86</v>
      </c>
      <c r="M191" s="38" t="s">
        <v>84</v>
      </c>
      <c r="N191" s="38"/>
      <c r="O191" s="37">
        <v>180</v>
      </c>
      <c r="P191" s="3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1" s="293"/>
      <c r="R191" s="293"/>
      <c r="S191" s="293"/>
      <c r="T191" s="294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21" t="s">
        <v>280</v>
      </c>
      <c r="AG191" s="81"/>
      <c r="AJ191" s="87" t="s">
        <v>87</v>
      </c>
      <c r="AK191" s="87">
        <v>1</v>
      </c>
      <c r="BB191" s="222" t="s">
        <v>70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298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  <c r="M192" s="298"/>
      <c r="N192" s="298"/>
      <c r="O192" s="299"/>
      <c r="P192" s="295" t="s">
        <v>40</v>
      </c>
      <c r="Q192" s="296"/>
      <c r="R192" s="296"/>
      <c r="S192" s="296"/>
      <c r="T192" s="296"/>
      <c r="U192" s="296"/>
      <c r="V192" s="297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9"/>
      <c r="P193" s="295" t="s">
        <v>40</v>
      </c>
      <c r="Q193" s="296"/>
      <c r="R193" s="296"/>
      <c r="S193" s="296"/>
      <c r="T193" s="296"/>
      <c r="U193" s="296"/>
      <c r="V193" s="297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27.75" customHeight="1" x14ac:dyDescent="0.2">
      <c r="A194" s="318" t="s">
        <v>288</v>
      </c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  <c r="AA194" s="54"/>
      <c r="AB194" s="54"/>
      <c r="AC194" s="54"/>
    </row>
    <row r="195" spans="1:68" ht="16.5" customHeight="1" x14ac:dyDescent="0.25">
      <c r="A195" s="319" t="s">
        <v>289</v>
      </c>
      <c r="B195" s="31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  <c r="Z195" s="319"/>
      <c r="AA195" s="65"/>
      <c r="AB195" s="65"/>
      <c r="AC195" s="82"/>
    </row>
    <row r="196" spans="1:68" ht="14.25" customHeight="1" x14ac:dyDescent="0.25">
      <c r="A196" s="309" t="s">
        <v>111</v>
      </c>
      <c r="B196" s="309"/>
      <c r="C196" s="309"/>
      <c r="D196" s="309"/>
      <c r="E196" s="309"/>
      <c r="F196" s="309"/>
      <c r="G196" s="309"/>
      <c r="H196" s="309"/>
      <c r="I196" s="309"/>
      <c r="J196" s="309"/>
      <c r="K196" s="309"/>
      <c r="L196" s="309"/>
      <c r="M196" s="309"/>
      <c r="N196" s="309"/>
      <c r="O196" s="309"/>
      <c r="P196" s="309"/>
      <c r="Q196" s="309"/>
      <c r="R196" s="309"/>
      <c r="S196" s="309"/>
      <c r="T196" s="309"/>
      <c r="U196" s="309"/>
      <c r="V196" s="309"/>
      <c r="W196" s="309"/>
      <c r="X196" s="309"/>
      <c r="Y196" s="309"/>
      <c r="Z196" s="309"/>
      <c r="AA196" s="66"/>
      <c r="AB196" s="66"/>
      <c r="AC196" s="83"/>
    </row>
    <row r="197" spans="1:68" ht="16.5" customHeight="1" x14ac:dyDescent="0.25">
      <c r="A197" s="63" t="s">
        <v>290</v>
      </c>
      <c r="B197" s="63" t="s">
        <v>291</v>
      </c>
      <c r="C197" s="36">
        <v>4301132179</v>
      </c>
      <c r="D197" s="291">
        <v>4607111035691</v>
      </c>
      <c r="E197" s="291"/>
      <c r="F197" s="62">
        <v>0.25</v>
      </c>
      <c r="G197" s="37">
        <v>12</v>
      </c>
      <c r="H197" s="62">
        <v>3</v>
      </c>
      <c r="I197" s="62">
        <v>3.3879999999999999</v>
      </c>
      <c r="J197" s="37">
        <v>70</v>
      </c>
      <c r="K197" s="37" t="s">
        <v>116</v>
      </c>
      <c r="L197" s="37" t="s">
        <v>117</v>
      </c>
      <c r="M197" s="38" t="s">
        <v>84</v>
      </c>
      <c r="N197" s="38"/>
      <c r="O197" s="37">
        <v>365</v>
      </c>
      <c r="P197" s="33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293"/>
      <c r="R197" s="293"/>
      <c r="S197" s="293"/>
      <c r="T197" s="294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3" t="s">
        <v>292</v>
      </c>
      <c r="AG197" s="81"/>
      <c r="AJ197" s="87" t="s">
        <v>118</v>
      </c>
      <c r="AK197" s="87">
        <v>14</v>
      </c>
      <c r="BB197" s="224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293</v>
      </c>
      <c r="B198" s="63" t="s">
        <v>294</v>
      </c>
      <c r="C198" s="36">
        <v>4301132182</v>
      </c>
      <c r="D198" s="291">
        <v>4607111035721</v>
      </c>
      <c r="E198" s="291"/>
      <c r="F198" s="62">
        <v>0.25</v>
      </c>
      <c r="G198" s="37">
        <v>12</v>
      </c>
      <c r="H198" s="62">
        <v>3</v>
      </c>
      <c r="I198" s="62">
        <v>3.3879999999999999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365</v>
      </c>
      <c r="P198" s="33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8" s="293"/>
      <c r="R198" s="293"/>
      <c r="S198" s="293"/>
      <c r="T198" s="294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5" t="s">
        <v>295</v>
      </c>
      <c r="AG198" s="81"/>
      <c r="AJ198" s="87" t="s">
        <v>118</v>
      </c>
      <c r="AK198" s="87">
        <v>14</v>
      </c>
      <c r="BB198" s="226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296</v>
      </c>
      <c r="B199" s="63" t="s">
        <v>297</v>
      </c>
      <c r="C199" s="36">
        <v>4301132170</v>
      </c>
      <c r="D199" s="291">
        <v>4607111038487</v>
      </c>
      <c r="E199" s="291"/>
      <c r="F199" s="62">
        <v>0.25</v>
      </c>
      <c r="G199" s="37">
        <v>12</v>
      </c>
      <c r="H199" s="62">
        <v>3</v>
      </c>
      <c r="I199" s="62">
        <v>3.7360000000000002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3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9" s="293"/>
      <c r="R199" s="293"/>
      <c r="S199" s="293"/>
      <c r="T199" s="294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7" t="s">
        <v>298</v>
      </c>
      <c r="AG199" s="81"/>
      <c r="AJ199" s="87" t="s">
        <v>118</v>
      </c>
      <c r="AK199" s="87">
        <v>14</v>
      </c>
      <c r="BB199" s="228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299</v>
      </c>
      <c r="B200" s="63" t="s">
        <v>300</v>
      </c>
      <c r="C200" s="36">
        <v>4301132243</v>
      </c>
      <c r="D200" s="291">
        <v>4620207491195</v>
      </c>
      <c r="E200" s="291"/>
      <c r="F200" s="62">
        <v>0.23</v>
      </c>
      <c r="G200" s="37">
        <v>12</v>
      </c>
      <c r="H200" s="62">
        <v>2.76</v>
      </c>
      <c r="I200" s="62">
        <v>3.1480000000000001</v>
      </c>
      <c r="J200" s="37">
        <v>70</v>
      </c>
      <c r="K200" s="37" t="s">
        <v>116</v>
      </c>
      <c r="L200" s="37" t="s">
        <v>86</v>
      </c>
      <c r="M200" s="38" t="s">
        <v>84</v>
      </c>
      <c r="N200" s="38"/>
      <c r="O200" s="37">
        <v>180</v>
      </c>
      <c r="P200" s="33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0" s="293"/>
      <c r="R200" s="293"/>
      <c r="S200" s="293"/>
      <c r="T200" s="294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9" t="s">
        <v>301</v>
      </c>
      <c r="AG200" s="81"/>
      <c r="AJ200" s="87" t="s">
        <v>87</v>
      </c>
      <c r="AK200" s="87">
        <v>1</v>
      </c>
      <c r="BB200" s="230" t="s">
        <v>115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9"/>
      <c r="P201" s="295" t="s">
        <v>40</v>
      </c>
      <c r="Q201" s="296"/>
      <c r="R201" s="296"/>
      <c r="S201" s="296"/>
      <c r="T201" s="296"/>
      <c r="U201" s="296"/>
      <c r="V201" s="297"/>
      <c r="W201" s="42" t="s">
        <v>39</v>
      </c>
      <c r="X201" s="43">
        <f>IFERROR(SUM(X197:X200),"0")</f>
        <v>0</v>
      </c>
      <c r="Y201" s="43">
        <f>IFERROR(SUM(Y197:Y200),"0")</f>
        <v>0</v>
      </c>
      <c r="Z201" s="43">
        <f>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9"/>
      <c r="P202" s="295" t="s">
        <v>40</v>
      </c>
      <c r="Q202" s="296"/>
      <c r="R202" s="296"/>
      <c r="S202" s="296"/>
      <c r="T202" s="296"/>
      <c r="U202" s="296"/>
      <c r="V202" s="297"/>
      <c r="W202" s="42" t="s">
        <v>0</v>
      </c>
      <c r="X202" s="43">
        <f>IFERROR(SUMPRODUCT(X197:X200*H197:H200),"0")</f>
        <v>0</v>
      </c>
      <c r="Y202" s="43">
        <f>IFERROR(SUMPRODUCT(Y197:Y200*H197:H200),"0")</f>
        <v>0</v>
      </c>
      <c r="Z202" s="42"/>
      <c r="AA202" s="67"/>
      <c r="AB202" s="67"/>
      <c r="AC202" s="67"/>
    </row>
    <row r="203" spans="1:68" ht="27.75" customHeight="1" x14ac:dyDescent="0.2">
      <c r="A203" s="318" t="s">
        <v>302</v>
      </c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  <c r="AA203" s="54"/>
      <c r="AB203" s="54"/>
      <c r="AC203" s="54"/>
    </row>
    <row r="204" spans="1:68" ht="16.5" customHeight="1" x14ac:dyDescent="0.25">
      <c r="A204" s="319" t="s">
        <v>303</v>
      </c>
      <c r="B204" s="31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  <c r="AA204" s="65"/>
      <c r="AB204" s="65"/>
      <c r="AC204" s="82"/>
    </row>
    <row r="205" spans="1:68" ht="14.25" customHeight="1" x14ac:dyDescent="0.25">
      <c r="A205" s="309" t="s">
        <v>111</v>
      </c>
      <c r="B205" s="309"/>
      <c r="C205" s="309"/>
      <c r="D205" s="309"/>
      <c r="E205" s="309"/>
      <c r="F205" s="309"/>
      <c r="G205" s="309"/>
      <c r="H205" s="309"/>
      <c r="I205" s="309"/>
      <c r="J205" s="309"/>
      <c r="K205" s="309"/>
      <c r="L205" s="309"/>
      <c r="M205" s="309"/>
      <c r="N205" s="309"/>
      <c r="O205" s="309"/>
      <c r="P205" s="309"/>
      <c r="Q205" s="309"/>
      <c r="R205" s="309"/>
      <c r="S205" s="309"/>
      <c r="T205" s="309"/>
      <c r="U205" s="309"/>
      <c r="V205" s="309"/>
      <c r="W205" s="309"/>
      <c r="X205" s="309"/>
      <c r="Y205" s="309"/>
      <c r="Z205" s="309"/>
      <c r="AA205" s="66"/>
      <c r="AB205" s="66"/>
      <c r="AC205" s="83"/>
    </row>
    <row r="206" spans="1:68" ht="27" customHeight="1" x14ac:dyDescent="0.25">
      <c r="A206" s="63" t="s">
        <v>304</v>
      </c>
      <c r="B206" s="63" t="s">
        <v>305</v>
      </c>
      <c r="C206" s="36">
        <v>4301132227</v>
      </c>
      <c r="D206" s="291">
        <v>4620207491133</v>
      </c>
      <c r="E206" s="291"/>
      <c r="F206" s="62">
        <v>0.23</v>
      </c>
      <c r="G206" s="37">
        <v>12</v>
      </c>
      <c r="H206" s="62">
        <v>2.76</v>
      </c>
      <c r="I206" s="62">
        <v>2.98</v>
      </c>
      <c r="J206" s="37">
        <v>70</v>
      </c>
      <c r="K206" s="37" t="s">
        <v>116</v>
      </c>
      <c r="L206" s="37" t="s">
        <v>117</v>
      </c>
      <c r="M206" s="38" t="s">
        <v>84</v>
      </c>
      <c r="N206" s="38"/>
      <c r="O206" s="37">
        <v>180</v>
      </c>
      <c r="P206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6" s="293"/>
      <c r="R206" s="293"/>
      <c r="S206" s="293"/>
      <c r="T206" s="294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306</v>
      </c>
      <c r="AG206" s="81"/>
      <c r="AJ206" s="87" t="s">
        <v>118</v>
      </c>
      <c r="AK206" s="87">
        <v>14</v>
      </c>
      <c r="BB206" s="232" t="s">
        <v>115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9"/>
      <c r="P207" s="295" t="s">
        <v>40</v>
      </c>
      <c r="Q207" s="296"/>
      <c r="R207" s="296"/>
      <c r="S207" s="296"/>
      <c r="T207" s="296"/>
      <c r="U207" s="296"/>
      <c r="V207" s="297"/>
      <c r="W207" s="42" t="s">
        <v>39</v>
      </c>
      <c r="X207" s="43">
        <f>IFERROR(SUM(X206:X206),"0")</f>
        <v>0</v>
      </c>
      <c r="Y207" s="43">
        <f>IFERROR(SUM(Y206:Y206),"0")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9"/>
      <c r="P208" s="295" t="s">
        <v>40</v>
      </c>
      <c r="Q208" s="296"/>
      <c r="R208" s="296"/>
      <c r="S208" s="296"/>
      <c r="T208" s="296"/>
      <c r="U208" s="296"/>
      <c r="V208" s="297"/>
      <c r="W208" s="42" t="s">
        <v>0</v>
      </c>
      <c r="X208" s="43">
        <f>IFERROR(SUMPRODUCT(X206:X206*H206:H206),"0")</f>
        <v>0</v>
      </c>
      <c r="Y208" s="43">
        <f>IFERROR(SUMPRODUCT(Y206:Y206*H206:H206),"0")</f>
        <v>0</v>
      </c>
      <c r="Z208" s="42"/>
      <c r="AA208" s="67"/>
      <c r="AB208" s="67"/>
      <c r="AC208" s="67"/>
    </row>
    <row r="209" spans="1:68" ht="14.25" customHeight="1" x14ac:dyDescent="0.25">
      <c r="A209" s="309" t="s">
        <v>155</v>
      </c>
      <c r="B209" s="309"/>
      <c r="C209" s="309"/>
      <c r="D209" s="309"/>
      <c r="E209" s="309"/>
      <c r="F209" s="309"/>
      <c r="G209" s="309"/>
      <c r="H209" s="309"/>
      <c r="I209" s="309"/>
      <c r="J209" s="309"/>
      <c r="K209" s="309"/>
      <c r="L209" s="309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  <c r="AA209" s="66"/>
      <c r="AB209" s="66"/>
      <c r="AC209" s="83"/>
    </row>
    <row r="210" spans="1:68" ht="27" customHeight="1" x14ac:dyDescent="0.25">
      <c r="A210" s="63" t="s">
        <v>307</v>
      </c>
      <c r="B210" s="63" t="s">
        <v>308</v>
      </c>
      <c r="C210" s="36">
        <v>4301135834</v>
      </c>
      <c r="D210" s="291">
        <v>4620207491188</v>
      </c>
      <c r="E210" s="291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3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0" s="293"/>
      <c r="R210" s="293"/>
      <c r="S210" s="293"/>
      <c r="T210" s="294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3" t="s">
        <v>309</v>
      </c>
      <c r="AG210" s="81"/>
      <c r="AJ210" s="87" t="s">
        <v>87</v>
      </c>
      <c r="AK210" s="87">
        <v>1</v>
      </c>
      <c r="BB210" s="234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310</v>
      </c>
      <c r="B211" s="63" t="s">
        <v>311</v>
      </c>
      <c r="C211" s="36">
        <v>4301135829</v>
      </c>
      <c r="D211" s="291">
        <v>4620207490235</v>
      </c>
      <c r="E211" s="291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33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11" s="293"/>
      <c r="R211" s="293"/>
      <c r="S211" s="293"/>
      <c r="T211" s="294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5" t="s">
        <v>312</v>
      </c>
      <c r="AG211" s="81"/>
      <c r="AJ211" s="87" t="s">
        <v>87</v>
      </c>
      <c r="AK211" s="87">
        <v>1</v>
      </c>
      <c r="BB211" s="236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313</v>
      </c>
      <c r="B212" s="63" t="s">
        <v>314</v>
      </c>
      <c r="C212" s="36">
        <v>4301135697</v>
      </c>
      <c r="D212" s="291">
        <v>4620207490259</v>
      </c>
      <c r="E212" s="291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116</v>
      </c>
      <c r="L212" s="37" t="s">
        <v>117</v>
      </c>
      <c r="M212" s="38" t="s">
        <v>84</v>
      </c>
      <c r="N212" s="38"/>
      <c r="O212" s="37">
        <v>180</v>
      </c>
      <c r="P212" s="3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2" s="293"/>
      <c r="R212" s="293"/>
      <c r="S212" s="293"/>
      <c r="T212" s="294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7" t="s">
        <v>315</v>
      </c>
      <c r="AG212" s="81"/>
      <c r="AJ212" s="87" t="s">
        <v>118</v>
      </c>
      <c r="AK212" s="87">
        <v>14</v>
      </c>
      <c r="BB212" s="238" t="s">
        <v>115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9"/>
      <c r="P213" s="295" t="s">
        <v>40</v>
      </c>
      <c r="Q213" s="296"/>
      <c r="R213" s="296"/>
      <c r="S213" s="296"/>
      <c r="T213" s="296"/>
      <c r="U213" s="296"/>
      <c r="V213" s="297"/>
      <c r="W213" s="42" t="s">
        <v>39</v>
      </c>
      <c r="X213" s="43">
        <f>IFERROR(SUM(X210:X212),"0")</f>
        <v>0</v>
      </c>
      <c r="Y213" s="43">
        <f>IFERROR(SUM(Y210:Y212),"0")</f>
        <v>0</v>
      </c>
      <c r="Z213" s="43">
        <f>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9"/>
      <c r="P214" s="295" t="s">
        <v>40</v>
      </c>
      <c r="Q214" s="296"/>
      <c r="R214" s="296"/>
      <c r="S214" s="296"/>
      <c r="T214" s="296"/>
      <c r="U214" s="296"/>
      <c r="V214" s="297"/>
      <c r="W214" s="42" t="s">
        <v>0</v>
      </c>
      <c r="X214" s="43">
        <f>IFERROR(SUMPRODUCT(X210:X212*H210:H212),"0")</f>
        <v>0</v>
      </c>
      <c r="Y214" s="43">
        <f>IFERROR(SUMPRODUCT(Y210:Y212*H210:H212),"0")</f>
        <v>0</v>
      </c>
      <c r="Z214" s="42"/>
      <c r="AA214" s="67"/>
      <c r="AB214" s="67"/>
      <c r="AC214" s="67"/>
    </row>
    <row r="215" spans="1:68" ht="16.5" customHeight="1" x14ac:dyDescent="0.25">
      <c r="A215" s="319" t="s">
        <v>316</v>
      </c>
      <c r="B215" s="31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319"/>
      <c r="W215" s="319"/>
      <c r="X215" s="319"/>
      <c r="Y215" s="319"/>
      <c r="Z215" s="319"/>
      <c r="AA215" s="65"/>
      <c r="AB215" s="65"/>
      <c r="AC215" s="82"/>
    </row>
    <row r="216" spans="1:68" ht="14.25" customHeight="1" x14ac:dyDescent="0.25">
      <c r="A216" s="309" t="s">
        <v>155</v>
      </c>
      <c r="B216" s="309"/>
      <c r="C216" s="309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  <c r="AA216" s="66"/>
      <c r="AB216" s="66"/>
      <c r="AC216" s="83"/>
    </row>
    <row r="217" spans="1:68" ht="27" customHeight="1" x14ac:dyDescent="0.25">
      <c r="A217" s="63" t="s">
        <v>317</v>
      </c>
      <c r="B217" s="63" t="s">
        <v>318</v>
      </c>
      <c r="C217" s="36">
        <v>4301135854</v>
      </c>
      <c r="D217" s="291">
        <v>4620207491706</v>
      </c>
      <c r="E217" s="291"/>
      <c r="F217" s="62">
        <v>0.2</v>
      </c>
      <c r="G217" s="37">
        <v>12</v>
      </c>
      <c r="H217" s="62">
        <v>2.4</v>
      </c>
      <c r="I217" s="62">
        <v>3.1036000000000001</v>
      </c>
      <c r="J217" s="37">
        <v>70</v>
      </c>
      <c r="K217" s="37" t="s">
        <v>116</v>
      </c>
      <c r="L217" s="37" t="s">
        <v>86</v>
      </c>
      <c r="M217" s="38" t="s">
        <v>84</v>
      </c>
      <c r="N217" s="38"/>
      <c r="O217" s="37">
        <v>180</v>
      </c>
      <c r="P217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7" s="293"/>
      <c r="R217" s="293"/>
      <c r="S217" s="293"/>
      <c r="T217" s="294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IFERROR(IF(X217="","",X217*0.01788),"")</f>
        <v>0</v>
      </c>
      <c r="AA217" s="68" t="s">
        <v>46</v>
      </c>
      <c r="AB217" s="69" t="s">
        <v>46</v>
      </c>
      <c r="AC217" s="239" t="s">
        <v>319</v>
      </c>
      <c r="AG217" s="81"/>
      <c r="AJ217" s="87" t="s">
        <v>87</v>
      </c>
      <c r="AK217" s="87">
        <v>1</v>
      </c>
      <c r="BB217" s="240" t="s">
        <v>115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t="27" customHeight="1" x14ac:dyDescent="0.25">
      <c r="A218" s="63" t="s">
        <v>320</v>
      </c>
      <c r="B218" s="63" t="s">
        <v>321</v>
      </c>
      <c r="C218" s="36">
        <v>4301135895</v>
      </c>
      <c r="D218" s="291">
        <v>4620207491522</v>
      </c>
      <c r="E218" s="291"/>
      <c r="F218" s="62">
        <v>0.28000000000000003</v>
      </c>
      <c r="G218" s="37">
        <v>12</v>
      </c>
      <c r="H218" s="62">
        <v>3.36</v>
      </c>
      <c r="I218" s="62">
        <v>4.0636000000000001</v>
      </c>
      <c r="J218" s="37">
        <v>70</v>
      </c>
      <c r="K218" s="37" t="s">
        <v>116</v>
      </c>
      <c r="L218" s="37" t="s">
        <v>86</v>
      </c>
      <c r="M218" s="38" t="s">
        <v>84</v>
      </c>
      <c r="N218" s="38"/>
      <c r="O218" s="37">
        <v>180</v>
      </c>
      <c r="P218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8" s="293"/>
      <c r="R218" s="293"/>
      <c r="S218" s="293"/>
      <c r="T218" s="294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1" t="s">
        <v>322</v>
      </c>
      <c r="AG218" s="81"/>
      <c r="AJ218" s="87" t="s">
        <v>87</v>
      </c>
      <c r="AK218" s="87">
        <v>1</v>
      </c>
      <c r="BB218" s="242" t="s">
        <v>115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x14ac:dyDescent="0.2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9"/>
      <c r="P219" s="295" t="s">
        <v>40</v>
      </c>
      <c r="Q219" s="296"/>
      <c r="R219" s="296"/>
      <c r="S219" s="296"/>
      <c r="T219" s="296"/>
      <c r="U219" s="296"/>
      <c r="V219" s="297"/>
      <c r="W219" s="42" t="s">
        <v>39</v>
      </c>
      <c r="X219" s="43">
        <f>IFERROR(SUM(X217:X218),"0")</f>
        <v>0</v>
      </c>
      <c r="Y219" s="43">
        <f>IFERROR(SUM(Y217:Y218),"0")</f>
        <v>0</v>
      </c>
      <c r="Z219" s="43">
        <f>IFERROR(IF(Z217="",0,Z217),"0")+IFERROR(IF(Z218="",0,Z218),"0")</f>
        <v>0</v>
      </c>
      <c r="AA219" s="67"/>
      <c r="AB219" s="67"/>
      <c r="AC219" s="67"/>
    </row>
    <row r="220" spans="1:68" x14ac:dyDescent="0.2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9"/>
      <c r="P220" s="295" t="s">
        <v>40</v>
      </c>
      <c r="Q220" s="296"/>
      <c r="R220" s="296"/>
      <c r="S220" s="296"/>
      <c r="T220" s="296"/>
      <c r="U220" s="296"/>
      <c r="V220" s="297"/>
      <c r="W220" s="42" t="s">
        <v>0</v>
      </c>
      <c r="X220" s="43">
        <f>IFERROR(SUMPRODUCT(X217:X218*H217:H218),"0")</f>
        <v>0</v>
      </c>
      <c r="Y220" s="43">
        <f>IFERROR(SUMPRODUCT(Y217:Y218*H217:H218),"0")</f>
        <v>0</v>
      </c>
      <c r="Z220" s="42"/>
      <c r="AA220" s="67"/>
      <c r="AB220" s="67"/>
      <c r="AC220" s="67"/>
    </row>
    <row r="221" spans="1:68" ht="16.5" customHeight="1" x14ac:dyDescent="0.25">
      <c r="A221" s="319" t="s">
        <v>323</v>
      </c>
      <c r="B221" s="319"/>
      <c r="C221" s="319"/>
      <c r="D221" s="319"/>
      <c r="E221" s="319"/>
      <c r="F221" s="319"/>
      <c r="G221" s="319"/>
      <c r="H221" s="319"/>
      <c r="I221" s="319"/>
      <c r="J221" s="319"/>
      <c r="K221" s="319"/>
      <c r="L221" s="319"/>
      <c r="M221" s="319"/>
      <c r="N221" s="319"/>
      <c r="O221" s="319"/>
      <c r="P221" s="319"/>
      <c r="Q221" s="319"/>
      <c r="R221" s="319"/>
      <c r="S221" s="319"/>
      <c r="T221" s="319"/>
      <c r="U221" s="319"/>
      <c r="V221" s="319"/>
      <c r="W221" s="319"/>
      <c r="X221" s="319"/>
      <c r="Y221" s="319"/>
      <c r="Z221" s="319"/>
      <c r="AA221" s="65"/>
      <c r="AB221" s="65"/>
      <c r="AC221" s="82"/>
    </row>
    <row r="222" spans="1:68" ht="14.25" customHeight="1" x14ac:dyDescent="0.25">
      <c r="A222" s="309" t="s">
        <v>80</v>
      </c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  <c r="AA222" s="66"/>
      <c r="AB222" s="66"/>
      <c r="AC222" s="83"/>
    </row>
    <row r="223" spans="1:68" ht="27" customHeight="1" x14ac:dyDescent="0.25">
      <c r="A223" s="63" t="s">
        <v>324</v>
      </c>
      <c r="B223" s="63" t="s">
        <v>325</v>
      </c>
      <c r="C223" s="36">
        <v>4301071097</v>
      </c>
      <c r="D223" s="291">
        <v>4620207491096</v>
      </c>
      <c r="E223" s="291"/>
      <c r="F223" s="62">
        <v>1</v>
      </c>
      <c r="G223" s="37">
        <v>5</v>
      </c>
      <c r="H223" s="62">
        <v>5</v>
      </c>
      <c r="I223" s="62">
        <v>5.23</v>
      </c>
      <c r="J223" s="37">
        <v>84</v>
      </c>
      <c r="K223" s="37" t="s">
        <v>85</v>
      </c>
      <c r="L223" s="37" t="s">
        <v>117</v>
      </c>
      <c r="M223" s="38" t="s">
        <v>84</v>
      </c>
      <c r="N223" s="38"/>
      <c r="O223" s="37">
        <v>180</v>
      </c>
      <c r="P223" s="32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3" s="293"/>
      <c r="R223" s="293"/>
      <c r="S223" s="293"/>
      <c r="T223" s="294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43" t="s">
        <v>326</v>
      </c>
      <c r="AG223" s="81"/>
      <c r="AJ223" s="87" t="s">
        <v>118</v>
      </c>
      <c r="AK223" s="87">
        <v>12</v>
      </c>
      <c r="BB223" s="24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9"/>
      <c r="P224" s="295" t="s">
        <v>40</v>
      </c>
      <c r="Q224" s="296"/>
      <c r="R224" s="296"/>
      <c r="S224" s="296"/>
      <c r="T224" s="296"/>
      <c r="U224" s="296"/>
      <c r="V224" s="297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9"/>
      <c r="P225" s="295" t="s">
        <v>40</v>
      </c>
      <c r="Q225" s="296"/>
      <c r="R225" s="296"/>
      <c r="S225" s="296"/>
      <c r="T225" s="296"/>
      <c r="U225" s="296"/>
      <c r="V225" s="297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16.5" customHeight="1" x14ac:dyDescent="0.25">
      <c r="A226" s="319" t="s">
        <v>327</v>
      </c>
      <c r="B226" s="319"/>
      <c r="C226" s="319"/>
      <c r="D226" s="319"/>
      <c r="E226" s="319"/>
      <c r="F226" s="319"/>
      <c r="G226" s="319"/>
      <c r="H226" s="319"/>
      <c r="I226" s="319"/>
      <c r="J226" s="319"/>
      <c r="K226" s="319"/>
      <c r="L226" s="319"/>
      <c r="M226" s="319"/>
      <c r="N226" s="319"/>
      <c r="O226" s="319"/>
      <c r="P226" s="319"/>
      <c r="Q226" s="319"/>
      <c r="R226" s="319"/>
      <c r="S226" s="319"/>
      <c r="T226" s="319"/>
      <c r="U226" s="319"/>
      <c r="V226" s="319"/>
      <c r="W226" s="319"/>
      <c r="X226" s="319"/>
      <c r="Y226" s="319"/>
      <c r="Z226" s="319"/>
      <c r="AA226" s="65"/>
      <c r="AB226" s="65"/>
      <c r="AC226" s="82"/>
    </row>
    <row r="227" spans="1:68" ht="14.25" customHeight="1" x14ac:dyDescent="0.25">
      <c r="A227" s="309" t="s">
        <v>155</v>
      </c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  <c r="AA227" s="66"/>
      <c r="AB227" s="66"/>
      <c r="AC227" s="83"/>
    </row>
    <row r="228" spans="1:68" ht="27" customHeight="1" x14ac:dyDescent="0.25">
      <c r="A228" s="63" t="s">
        <v>328</v>
      </c>
      <c r="B228" s="63" t="s">
        <v>329</v>
      </c>
      <c r="C228" s="36">
        <v>4301135694</v>
      </c>
      <c r="D228" s="291">
        <v>4620207490501</v>
      </c>
      <c r="E228" s="291"/>
      <c r="F228" s="62">
        <v>0.2</v>
      </c>
      <c r="G228" s="37">
        <v>12</v>
      </c>
      <c r="H228" s="62">
        <v>2.4</v>
      </c>
      <c r="I228" s="62">
        <v>3.1036000000000001</v>
      </c>
      <c r="J228" s="37">
        <v>70</v>
      </c>
      <c r="K228" s="37" t="s">
        <v>116</v>
      </c>
      <c r="L228" s="37" t="s">
        <v>86</v>
      </c>
      <c r="M228" s="38" t="s">
        <v>84</v>
      </c>
      <c r="N228" s="38"/>
      <c r="O228" s="37">
        <v>180</v>
      </c>
      <c r="P228" s="3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8" s="293"/>
      <c r="R228" s="293"/>
      <c r="S228" s="293"/>
      <c r="T228" s="294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IFERROR(IF(X228="","",X228*0.01788),"")</f>
        <v>0</v>
      </c>
      <c r="AA228" s="68" t="s">
        <v>46</v>
      </c>
      <c r="AB228" s="69" t="s">
        <v>46</v>
      </c>
      <c r="AC228" s="245" t="s">
        <v>330</v>
      </c>
      <c r="AG228" s="81"/>
      <c r="AJ228" s="87" t="s">
        <v>87</v>
      </c>
      <c r="AK228" s="87">
        <v>1</v>
      </c>
      <c r="BB228" s="246" t="s">
        <v>115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9"/>
      <c r="P229" s="295" t="s">
        <v>40</v>
      </c>
      <c r="Q229" s="296"/>
      <c r="R229" s="296"/>
      <c r="S229" s="296"/>
      <c r="T229" s="296"/>
      <c r="U229" s="296"/>
      <c r="V229" s="297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9"/>
      <c r="P230" s="295" t="s">
        <v>40</v>
      </c>
      <c r="Q230" s="296"/>
      <c r="R230" s="296"/>
      <c r="S230" s="296"/>
      <c r="T230" s="296"/>
      <c r="U230" s="296"/>
      <c r="V230" s="297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18" t="s">
        <v>331</v>
      </c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  <c r="AA231" s="54"/>
      <c r="AB231" s="54"/>
      <c r="AC231" s="54"/>
    </row>
    <row r="232" spans="1:68" ht="16.5" customHeight="1" x14ac:dyDescent="0.25">
      <c r="A232" s="319" t="s">
        <v>332</v>
      </c>
      <c r="B232" s="319"/>
      <c r="C232" s="319"/>
      <c r="D232" s="319"/>
      <c r="E232" s="319"/>
      <c r="F232" s="319"/>
      <c r="G232" s="319"/>
      <c r="H232" s="319"/>
      <c r="I232" s="319"/>
      <c r="J232" s="319"/>
      <c r="K232" s="319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  <c r="Y232" s="319"/>
      <c r="Z232" s="319"/>
      <c r="AA232" s="65"/>
      <c r="AB232" s="65"/>
      <c r="AC232" s="82"/>
    </row>
    <row r="233" spans="1:68" ht="14.25" customHeight="1" x14ac:dyDescent="0.25">
      <c r="A233" s="309" t="s">
        <v>80</v>
      </c>
      <c r="B233" s="309"/>
      <c r="C233" s="309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  <c r="AA233" s="66"/>
      <c r="AB233" s="66"/>
      <c r="AC233" s="83"/>
    </row>
    <row r="234" spans="1:68" ht="27" customHeight="1" x14ac:dyDescent="0.25">
      <c r="A234" s="63" t="s">
        <v>333</v>
      </c>
      <c r="B234" s="63" t="s">
        <v>334</v>
      </c>
      <c r="C234" s="36">
        <v>4301071036</v>
      </c>
      <c r="D234" s="291">
        <v>4607111036162</v>
      </c>
      <c r="E234" s="291"/>
      <c r="F234" s="62">
        <v>0.8</v>
      </c>
      <c r="G234" s="37">
        <v>8</v>
      </c>
      <c r="H234" s="62">
        <v>6.4</v>
      </c>
      <c r="I234" s="62">
        <v>6.6811999999999996</v>
      </c>
      <c r="J234" s="37">
        <v>84</v>
      </c>
      <c r="K234" s="37" t="s">
        <v>85</v>
      </c>
      <c r="L234" s="37" t="s">
        <v>86</v>
      </c>
      <c r="M234" s="38" t="s">
        <v>84</v>
      </c>
      <c r="N234" s="38"/>
      <c r="O234" s="37">
        <v>90</v>
      </c>
      <c r="P234" s="32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4" s="293"/>
      <c r="R234" s="293"/>
      <c r="S234" s="293"/>
      <c r="T234" s="294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IFERROR(IF(X234="","",X234*0.0155),"")</f>
        <v>0</v>
      </c>
      <c r="AA234" s="68" t="s">
        <v>46</v>
      </c>
      <c r="AB234" s="69" t="s">
        <v>46</v>
      </c>
      <c r="AC234" s="247" t="s">
        <v>335</v>
      </c>
      <c r="AG234" s="81"/>
      <c r="AJ234" s="87" t="s">
        <v>87</v>
      </c>
      <c r="AK234" s="87">
        <v>1</v>
      </c>
      <c r="BB234" s="248" t="s">
        <v>70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9"/>
      <c r="P235" s="295" t="s">
        <v>40</v>
      </c>
      <c r="Q235" s="296"/>
      <c r="R235" s="296"/>
      <c r="S235" s="296"/>
      <c r="T235" s="296"/>
      <c r="U235" s="296"/>
      <c r="V235" s="29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9"/>
      <c r="P236" s="295" t="s">
        <v>40</v>
      </c>
      <c r="Q236" s="296"/>
      <c r="R236" s="296"/>
      <c r="S236" s="296"/>
      <c r="T236" s="296"/>
      <c r="U236" s="296"/>
      <c r="V236" s="29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27.75" customHeight="1" x14ac:dyDescent="0.2">
      <c r="A237" s="318" t="s">
        <v>336</v>
      </c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  <c r="AA237" s="54"/>
      <c r="AB237" s="54"/>
      <c r="AC237" s="54"/>
    </row>
    <row r="238" spans="1:68" ht="16.5" customHeight="1" x14ac:dyDescent="0.25">
      <c r="A238" s="319" t="s">
        <v>337</v>
      </c>
      <c r="B238" s="319"/>
      <c r="C238" s="319"/>
      <c r="D238" s="319"/>
      <c r="E238" s="319"/>
      <c r="F238" s="319"/>
      <c r="G238" s="319"/>
      <c r="H238" s="319"/>
      <c r="I238" s="319"/>
      <c r="J238" s="319"/>
      <c r="K238" s="319"/>
      <c r="L238" s="319"/>
      <c r="M238" s="319"/>
      <c r="N238" s="319"/>
      <c r="O238" s="319"/>
      <c r="P238" s="319"/>
      <c r="Q238" s="319"/>
      <c r="R238" s="319"/>
      <c r="S238" s="319"/>
      <c r="T238" s="319"/>
      <c r="U238" s="319"/>
      <c r="V238" s="319"/>
      <c r="W238" s="319"/>
      <c r="X238" s="319"/>
      <c r="Y238" s="319"/>
      <c r="Z238" s="319"/>
      <c r="AA238" s="65"/>
      <c r="AB238" s="65"/>
      <c r="AC238" s="82"/>
    </row>
    <row r="239" spans="1:68" ht="14.25" customHeight="1" x14ac:dyDescent="0.25">
      <c r="A239" s="309" t="s">
        <v>338</v>
      </c>
      <c r="B239" s="309"/>
      <c r="C239" s="309"/>
      <c r="D239" s="309"/>
      <c r="E239" s="309"/>
      <c r="F239" s="309"/>
      <c r="G239" s="309"/>
      <c r="H239" s="309"/>
      <c r="I239" s="309"/>
      <c r="J239" s="309"/>
      <c r="K239" s="309"/>
      <c r="L239" s="309"/>
      <c r="M239" s="309"/>
      <c r="N239" s="309"/>
      <c r="O239" s="309"/>
      <c r="P239" s="309"/>
      <c r="Q239" s="309"/>
      <c r="R239" s="309"/>
      <c r="S239" s="309"/>
      <c r="T239" s="309"/>
      <c r="U239" s="309"/>
      <c r="V239" s="309"/>
      <c r="W239" s="309"/>
      <c r="X239" s="309"/>
      <c r="Y239" s="309"/>
      <c r="Z239" s="309"/>
      <c r="AA239" s="66"/>
      <c r="AB239" s="66"/>
      <c r="AC239" s="83"/>
    </row>
    <row r="240" spans="1:68" ht="27" customHeight="1" x14ac:dyDescent="0.25">
      <c r="A240" s="63" t="s">
        <v>339</v>
      </c>
      <c r="B240" s="63" t="s">
        <v>340</v>
      </c>
      <c r="C240" s="36">
        <v>4301133004</v>
      </c>
      <c r="D240" s="291">
        <v>4607111039774</v>
      </c>
      <c r="E240" s="291"/>
      <c r="F240" s="62">
        <v>0.25</v>
      </c>
      <c r="G240" s="37">
        <v>12</v>
      </c>
      <c r="H240" s="62">
        <v>3</v>
      </c>
      <c r="I240" s="62">
        <v>3.22</v>
      </c>
      <c r="J240" s="37">
        <v>70</v>
      </c>
      <c r="K240" s="37" t="s">
        <v>116</v>
      </c>
      <c r="L240" s="37" t="s">
        <v>86</v>
      </c>
      <c r="M240" s="38" t="s">
        <v>84</v>
      </c>
      <c r="N240" s="38"/>
      <c r="O240" s="37">
        <v>180</v>
      </c>
      <c r="P240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93"/>
      <c r="R240" s="293"/>
      <c r="S240" s="293"/>
      <c r="T240" s="294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9" t="s">
        <v>341</v>
      </c>
      <c r="AG240" s="81"/>
      <c r="AJ240" s="87" t="s">
        <v>87</v>
      </c>
      <c r="AK240" s="87">
        <v>1</v>
      </c>
      <c r="BB240" s="250" t="s">
        <v>115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9"/>
      <c r="P241" s="295" t="s">
        <v>40</v>
      </c>
      <c r="Q241" s="296"/>
      <c r="R241" s="296"/>
      <c r="S241" s="296"/>
      <c r="T241" s="296"/>
      <c r="U241" s="296"/>
      <c r="V241" s="297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9"/>
      <c r="P242" s="295" t="s">
        <v>40</v>
      </c>
      <c r="Q242" s="296"/>
      <c r="R242" s="296"/>
      <c r="S242" s="296"/>
      <c r="T242" s="296"/>
      <c r="U242" s="296"/>
      <c r="V242" s="297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14.25" customHeight="1" x14ac:dyDescent="0.25">
      <c r="A243" s="309" t="s">
        <v>155</v>
      </c>
      <c r="B243" s="309"/>
      <c r="C243" s="309"/>
      <c r="D243" s="309"/>
      <c r="E243" s="309"/>
      <c r="F243" s="309"/>
      <c r="G243" s="309"/>
      <c r="H243" s="309"/>
      <c r="I243" s="309"/>
      <c r="J243" s="309"/>
      <c r="K243" s="309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66"/>
      <c r="AB243" s="66"/>
      <c r="AC243" s="83"/>
    </row>
    <row r="244" spans="1:68" ht="37.5" customHeight="1" x14ac:dyDescent="0.25">
      <c r="A244" s="63" t="s">
        <v>342</v>
      </c>
      <c r="B244" s="63" t="s">
        <v>343</v>
      </c>
      <c r="C244" s="36">
        <v>4301135400</v>
      </c>
      <c r="D244" s="291">
        <v>4607111039361</v>
      </c>
      <c r="E244" s="291"/>
      <c r="F244" s="62">
        <v>0.25</v>
      </c>
      <c r="G244" s="37">
        <v>12</v>
      </c>
      <c r="H244" s="62">
        <v>3</v>
      </c>
      <c r="I244" s="62">
        <v>3.7035999999999998</v>
      </c>
      <c r="J244" s="37">
        <v>70</v>
      </c>
      <c r="K244" s="37" t="s">
        <v>116</v>
      </c>
      <c r="L244" s="37" t="s">
        <v>86</v>
      </c>
      <c r="M244" s="38" t="s">
        <v>84</v>
      </c>
      <c r="N244" s="38"/>
      <c r="O244" s="37">
        <v>180</v>
      </c>
      <c r="P244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93"/>
      <c r="R244" s="293"/>
      <c r="S244" s="293"/>
      <c r="T244" s="294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1" t="s">
        <v>341</v>
      </c>
      <c r="AG244" s="81"/>
      <c r="AJ244" s="87" t="s">
        <v>87</v>
      </c>
      <c r="AK244" s="87">
        <v>1</v>
      </c>
      <c r="BB244" s="252" t="s">
        <v>115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9"/>
      <c r="P245" s="295" t="s">
        <v>40</v>
      </c>
      <c r="Q245" s="296"/>
      <c r="R245" s="296"/>
      <c r="S245" s="296"/>
      <c r="T245" s="296"/>
      <c r="U245" s="296"/>
      <c r="V245" s="29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9"/>
      <c r="P246" s="295" t="s">
        <v>40</v>
      </c>
      <c r="Q246" s="296"/>
      <c r="R246" s="296"/>
      <c r="S246" s="296"/>
      <c r="T246" s="296"/>
      <c r="U246" s="296"/>
      <c r="V246" s="29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27.75" customHeight="1" x14ac:dyDescent="0.2">
      <c r="A247" s="318" t="s">
        <v>344</v>
      </c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54"/>
      <c r="AB247" s="54"/>
      <c r="AC247" s="54"/>
    </row>
    <row r="248" spans="1:68" ht="16.5" customHeight="1" x14ac:dyDescent="0.25">
      <c r="A248" s="319" t="s">
        <v>344</v>
      </c>
      <c r="B248" s="319"/>
      <c r="C248" s="319"/>
      <c r="D248" s="319"/>
      <c r="E248" s="319"/>
      <c r="F248" s="319"/>
      <c r="G248" s="319"/>
      <c r="H248" s="319"/>
      <c r="I248" s="319"/>
      <c r="J248" s="319"/>
      <c r="K248" s="319"/>
      <c r="L248" s="319"/>
      <c r="M248" s="319"/>
      <c r="N248" s="319"/>
      <c r="O248" s="319"/>
      <c r="P248" s="319"/>
      <c r="Q248" s="319"/>
      <c r="R248" s="319"/>
      <c r="S248" s="319"/>
      <c r="T248" s="319"/>
      <c r="U248" s="319"/>
      <c r="V248" s="319"/>
      <c r="W248" s="319"/>
      <c r="X248" s="319"/>
      <c r="Y248" s="319"/>
      <c r="Z248" s="319"/>
      <c r="AA248" s="65"/>
      <c r="AB248" s="65"/>
      <c r="AC248" s="82"/>
    </row>
    <row r="249" spans="1:68" ht="14.25" customHeight="1" x14ac:dyDescent="0.25">
      <c r="A249" s="309" t="s">
        <v>149</v>
      </c>
      <c r="B249" s="309"/>
      <c r="C249" s="309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  <c r="AA249" s="66"/>
      <c r="AB249" s="66"/>
      <c r="AC249" s="83"/>
    </row>
    <row r="250" spans="1:68" ht="27" customHeight="1" x14ac:dyDescent="0.25">
      <c r="A250" s="63" t="s">
        <v>345</v>
      </c>
      <c r="B250" s="63" t="s">
        <v>346</v>
      </c>
      <c r="C250" s="36">
        <v>4301136098</v>
      </c>
      <c r="D250" s="291">
        <v>4640242181943</v>
      </c>
      <c r="E250" s="291"/>
      <c r="F250" s="62">
        <v>0.09</v>
      </c>
      <c r="G250" s="37">
        <v>24</v>
      </c>
      <c r="H250" s="62">
        <v>2.16</v>
      </c>
      <c r="I250" s="62">
        <v>2.34</v>
      </c>
      <c r="J250" s="37">
        <v>126</v>
      </c>
      <c r="K250" s="37" t="s">
        <v>116</v>
      </c>
      <c r="L250" s="37" t="s">
        <v>86</v>
      </c>
      <c r="M250" s="38" t="s">
        <v>84</v>
      </c>
      <c r="N250" s="38"/>
      <c r="O250" s="37">
        <v>180</v>
      </c>
      <c r="P250" s="32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93"/>
      <c r="R250" s="293"/>
      <c r="S250" s="293"/>
      <c r="T250" s="294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347</v>
      </c>
      <c r="AG250" s="81"/>
      <c r="AJ250" s="87" t="s">
        <v>87</v>
      </c>
      <c r="AK250" s="87">
        <v>1</v>
      </c>
      <c r="BB250" s="254" t="s">
        <v>115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298"/>
      <c r="O251" s="299"/>
      <c r="P251" s="295" t="s">
        <v>40</v>
      </c>
      <c r="Q251" s="296"/>
      <c r="R251" s="296"/>
      <c r="S251" s="296"/>
      <c r="T251" s="296"/>
      <c r="U251" s="296"/>
      <c r="V251" s="297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9"/>
      <c r="P252" s="295" t="s">
        <v>40</v>
      </c>
      <c r="Q252" s="296"/>
      <c r="R252" s="296"/>
      <c r="S252" s="296"/>
      <c r="T252" s="296"/>
      <c r="U252" s="296"/>
      <c r="V252" s="297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customHeight="1" x14ac:dyDescent="0.2">
      <c r="A253" s="318" t="s">
        <v>348</v>
      </c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  <c r="AA253" s="54"/>
      <c r="AB253" s="54"/>
      <c r="AC253" s="54"/>
    </row>
    <row r="254" spans="1:68" ht="16.5" customHeight="1" x14ac:dyDescent="0.25">
      <c r="A254" s="319" t="s">
        <v>348</v>
      </c>
      <c r="B254" s="319"/>
      <c r="C254" s="319"/>
      <c r="D254" s="319"/>
      <c r="E254" s="319"/>
      <c r="F254" s="319"/>
      <c r="G254" s="319"/>
      <c r="H254" s="319"/>
      <c r="I254" s="319"/>
      <c r="J254" s="319"/>
      <c r="K254" s="319"/>
      <c r="L254" s="319"/>
      <c r="M254" s="319"/>
      <c r="N254" s="319"/>
      <c r="O254" s="319"/>
      <c r="P254" s="319"/>
      <c r="Q254" s="319"/>
      <c r="R254" s="319"/>
      <c r="S254" s="319"/>
      <c r="T254" s="319"/>
      <c r="U254" s="319"/>
      <c r="V254" s="319"/>
      <c r="W254" s="319"/>
      <c r="X254" s="319"/>
      <c r="Y254" s="319"/>
      <c r="Z254" s="319"/>
      <c r="AA254" s="65"/>
      <c r="AB254" s="65"/>
      <c r="AC254" s="82"/>
    </row>
    <row r="255" spans="1:68" ht="14.25" customHeight="1" x14ac:dyDescent="0.25">
      <c r="A255" s="309" t="s">
        <v>80</v>
      </c>
      <c r="B255" s="309"/>
      <c r="C255" s="309"/>
      <c r="D255" s="309"/>
      <c r="E255" s="309"/>
      <c r="F255" s="309"/>
      <c r="G255" s="309"/>
      <c r="H255" s="309"/>
      <c r="I255" s="309"/>
      <c r="J255" s="309"/>
      <c r="K255" s="309"/>
      <c r="L255" s="309"/>
      <c r="M255" s="309"/>
      <c r="N255" s="309"/>
      <c r="O255" s="309"/>
      <c r="P255" s="309"/>
      <c r="Q255" s="309"/>
      <c r="R255" s="309"/>
      <c r="S255" s="309"/>
      <c r="T255" s="309"/>
      <c r="U255" s="309"/>
      <c r="V255" s="309"/>
      <c r="W255" s="309"/>
      <c r="X255" s="309"/>
      <c r="Y255" s="309"/>
      <c r="Z255" s="309"/>
      <c r="AA255" s="66"/>
      <c r="AB255" s="66"/>
      <c r="AC255" s="83"/>
    </row>
    <row r="256" spans="1:68" ht="27" customHeight="1" x14ac:dyDescent="0.25">
      <c r="A256" s="63" t="s">
        <v>349</v>
      </c>
      <c r="B256" s="63" t="s">
        <v>350</v>
      </c>
      <c r="C256" s="36">
        <v>4301071014</v>
      </c>
      <c r="D256" s="291">
        <v>4640242181264</v>
      </c>
      <c r="E256" s="291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85</v>
      </c>
      <c r="L256" s="37" t="s">
        <v>86</v>
      </c>
      <c r="M256" s="38" t="s">
        <v>84</v>
      </c>
      <c r="N256" s="38"/>
      <c r="O256" s="37">
        <v>180</v>
      </c>
      <c r="P256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93"/>
      <c r="R256" s="293"/>
      <c r="S256" s="293"/>
      <c r="T256" s="294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5" t="s">
        <v>351</v>
      </c>
      <c r="AG256" s="81"/>
      <c r="AJ256" s="87" t="s">
        <v>87</v>
      </c>
      <c r="AK256" s="87">
        <v>1</v>
      </c>
      <c r="BB256" s="256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352</v>
      </c>
      <c r="B257" s="63" t="s">
        <v>353</v>
      </c>
      <c r="C257" s="36">
        <v>4301071021</v>
      </c>
      <c r="D257" s="291">
        <v>4640242181325</v>
      </c>
      <c r="E257" s="291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32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93"/>
      <c r="R257" s="293"/>
      <c r="S257" s="293"/>
      <c r="T257" s="294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351</v>
      </c>
      <c r="AG257" s="81"/>
      <c r="AJ257" s="87" t="s">
        <v>118</v>
      </c>
      <c r="AK257" s="87">
        <v>12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9"/>
      <c r="P258" s="295" t="s">
        <v>40</v>
      </c>
      <c r="Q258" s="296"/>
      <c r="R258" s="296"/>
      <c r="S258" s="296"/>
      <c r="T258" s="296"/>
      <c r="U258" s="296"/>
      <c r="V258" s="297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9"/>
      <c r="P259" s="295" t="s">
        <v>40</v>
      </c>
      <c r="Q259" s="296"/>
      <c r="R259" s="296"/>
      <c r="S259" s="296"/>
      <c r="T259" s="296"/>
      <c r="U259" s="296"/>
      <c r="V259" s="297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customHeight="1" x14ac:dyDescent="0.25">
      <c r="A260" s="309" t="s">
        <v>111</v>
      </c>
      <c r="B260" s="309"/>
      <c r="C260" s="309"/>
      <c r="D260" s="309"/>
      <c r="E260" s="309"/>
      <c r="F260" s="309"/>
      <c r="G260" s="309"/>
      <c r="H260" s="309"/>
      <c r="I260" s="309"/>
      <c r="J260" s="309"/>
      <c r="K260" s="309"/>
      <c r="L260" s="309"/>
      <c r="M260" s="309"/>
      <c r="N260" s="309"/>
      <c r="O260" s="309"/>
      <c r="P260" s="309"/>
      <c r="Q260" s="309"/>
      <c r="R260" s="309"/>
      <c r="S260" s="309"/>
      <c r="T260" s="309"/>
      <c r="U260" s="309"/>
      <c r="V260" s="309"/>
      <c r="W260" s="309"/>
      <c r="X260" s="309"/>
      <c r="Y260" s="309"/>
      <c r="Z260" s="309"/>
      <c r="AA260" s="66"/>
      <c r="AB260" s="66"/>
      <c r="AC260" s="83"/>
    </row>
    <row r="261" spans="1:68" ht="27" customHeight="1" x14ac:dyDescent="0.25">
      <c r="A261" s="63" t="s">
        <v>354</v>
      </c>
      <c r="B261" s="63" t="s">
        <v>355</v>
      </c>
      <c r="C261" s="36">
        <v>4301132080</v>
      </c>
      <c r="D261" s="291">
        <v>4640242180397</v>
      </c>
      <c r="E261" s="291"/>
      <c r="F261" s="62">
        <v>1</v>
      </c>
      <c r="G261" s="37">
        <v>6</v>
      </c>
      <c r="H261" s="62">
        <v>6</v>
      </c>
      <c r="I261" s="62">
        <v>6.26</v>
      </c>
      <c r="J261" s="37">
        <v>84</v>
      </c>
      <c r="K261" s="37" t="s">
        <v>85</v>
      </c>
      <c r="L261" s="37" t="s">
        <v>117</v>
      </c>
      <c r="M261" s="38" t="s">
        <v>84</v>
      </c>
      <c r="N261" s="38"/>
      <c r="O261" s="37">
        <v>180</v>
      </c>
      <c r="P261" s="31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93"/>
      <c r="R261" s="293"/>
      <c r="S261" s="293"/>
      <c r="T261" s="294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59" t="s">
        <v>356</v>
      </c>
      <c r="AG261" s="81"/>
      <c r="AJ261" s="87" t="s">
        <v>118</v>
      </c>
      <c r="AK261" s="87">
        <v>12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x14ac:dyDescent="0.2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9"/>
      <c r="P262" s="295" t="s">
        <v>40</v>
      </c>
      <c r="Q262" s="296"/>
      <c r="R262" s="296"/>
      <c r="S262" s="296"/>
      <c r="T262" s="296"/>
      <c r="U262" s="296"/>
      <c r="V262" s="297"/>
      <c r="W262" s="42" t="s">
        <v>39</v>
      </c>
      <c r="X262" s="43">
        <f>IFERROR(SUM(X261:X261),"0")</f>
        <v>0</v>
      </c>
      <c r="Y262" s="43">
        <f>IFERROR(SUM(Y261:Y261),"0")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9"/>
      <c r="P263" s="295" t="s">
        <v>40</v>
      </c>
      <c r="Q263" s="296"/>
      <c r="R263" s="296"/>
      <c r="S263" s="296"/>
      <c r="T263" s="296"/>
      <c r="U263" s="296"/>
      <c r="V263" s="297"/>
      <c r="W263" s="42" t="s">
        <v>0</v>
      </c>
      <c r="X263" s="43">
        <f>IFERROR(SUMPRODUCT(X261:X261*H261:H261),"0")</f>
        <v>0</v>
      </c>
      <c r="Y263" s="43">
        <f>IFERROR(SUMPRODUCT(Y261:Y261*H261:H261),"0")</f>
        <v>0</v>
      </c>
      <c r="Z263" s="42"/>
      <c r="AA263" s="67"/>
      <c r="AB263" s="67"/>
      <c r="AC263" s="67"/>
    </row>
    <row r="264" spans="1:68" ht="14.25" customHeight="1" x14ac:dyDescent="0.25">
      <c r="A264" s="309" t="s">
        <v>149</v>
      </c>
      <c r="B264" s="309"/>
      <c r="C264" s="309"/>
      <c r="D264" s="309"/>
      <c r="E264" s="309"/>
      <c r="F264" s="309"/>
      <c r="G264" s="309"/>
      <c r="H264" s="309"/>
      <c r="I264" s="309"/>
      <c r="J264" s="309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09"/>
      <c r="Y264" s="309"/>
      <c r="Z264" s="309"/>
      <c r="AA264" s="66"/>
      <c r="AB264" s="66"/>
      <c r="AC264" s="83"/>
    </row>
    <row r="265" spans="1:68" ht="27" customHeight="1" x14ac:dyDescent="0.25">
      <c r="A265" s="63" t="s">
        <v>357</v>
      </c>
      <c r="B265" s="63" t="s">
        <v>358</v>
      </c>
      <c r="C265" s="36">
        <v>4301136051</v>
      </c>
      <c r="D265" s="291">
        <v>4640242180304</v>
      </c>
      <c r="E265" s="291"/>
      <c r="F265" s="62">
        <v>2.7</v>
      </c>
      <c r="G265" s="37">
        <v>1</v>
      </c>
      <c r="H265" s="62">
        <v>2.7</v>
      </c>
      <c r="I265" s="62">
        <v>2.8906000000000001</v>
      </c>
      <c r="J265" s="37">
        <v>126</v>
      </c>
      <c r="K265" s="37" t="s">
        <v>116</v>
      </c>
      <c r="L265" s="37" t="s">
        <v>117</v>
      </c>
      <c r="M265" s="38" t="s">
        <v>84</v>
      </c>
      <c r="N265" s="38"/>
      <c r="O265" s="37">
        <v>180</v>
      </c>
      <c r="P265" s="3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93"/>
      <c r="R265" s="293"/>
      <c r="S265" s="293"/>
      <c r="T265" s="294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1" t="s">
        <v>359</v>
      </c>
      <c r="AG265" s="81"/>
      <c r="AJ265" s="87" t="s">
        <v>118</v>
      </c>
      <c r="AK265" s="87">
        <v>14</v>
      </c>
      <c r="BB265" s="262" t="s">
        <v>115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customHeight="1" x14ac:dyDescent="0.25">
      <c r="A266" s="63" t="s">
        <v>360</v>
      </c>
      <c r="B266" s="63" t="s">
        <v>361</v>
      </c>
      <c r="C266" s="36">
        <v>4301136053</v>
      </c>
      <c r="D266" s="291">
        <v>4640242180236</v>
      </c>
      <c r="E266" s="291"/>
      <c r="F266" s="62">
        <v>5</v>
      </c>
      <c r="G266" s="37">
        <v>1</v>
      </c>
      <c r="H266" s="62">
        <v>5</v>
      </c>
      <c r="I266" s="62">
        <v>5.2350000000000003</v>
      </c>
      <c r="J266" s="37">
        <v>84</v>
      </c>
      <c r="K266" s="37" t="s">
        <v>85</v>
      </c>
      <c r="L266" s="37" t="s">
        <v>117</v>
      </c>
      <c r="M266" s="38" t="s">
        <v>84</v>
      </c>
      <c r="N266" s="38"/>
      <c r="O266" s="37">
        <v>180</v>
      </c>
      <c r="P266" s="3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93"/>
      <c r="R266" s="293"/>
      <c r="S266" s="293"/>
      <c r="T266" s="294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IFERROR(IF(X266="","",X266*0.0155),"")</f>
        <v>0</v>
      </c>
      <c r="AA266" s="68" t="s">
        <v>46</v>
      </c>
      <c r="AB266" s="69" t="s">
        <v>46</v>
      </c>
      <c r="AC266" s="263" t="s">
        <v>359</v>
      </c>
      <c r="AG266" s="81"/>
      <c r="AJ266" s="87" t="s">
        <v>118</v>
      </c>
      <c r="AK266" s="87">
        <v>12</v>
      </c>
      <c r="BB266" s="264" t="s">
        <v>115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t="27" customHeight="1" x14ac:dyDescent="0.25">
      <c r="A267" s="63" t="s">
        <v>362</v>
      </c>
      <c r="B267" s="63" t="s">
        <v>363</v>
      </c>
      <c r="C267" s="36">
        <v>4301136052</v>
      </c>
      <c r="D267" s="291">
        <v>4640242180410</v>
      </c>
      <c r="E267" s="291"/>
      <c r="F267" s="62">
        <v>2.2400000000000002</v>
      </c>
      <c r="G267" s="37">
        <v>1</v>
      </c>
      <c r="H267" s="62">
        <v>2.2400000000000002</v>
      </c>
      <c r="I267" s="62">
        <v>2.4319999999999999</v>
      </c>
      <c r="J267" s="37">
        <v>126</v>
      </c>
      <c r="K267" s="37" t="s">
        <v>116</v>
      </c>
      <c r="L267" s="37" t="s">
        <v>86</v>
      </c>
      <c r="M267" s="38" t="s">
        <v>84</v>
      </c>
      <c r="N267" s="38"/>
      <c r="O267" s="37">
        <v>180</v>
      </c>
      <c r="P267" s="31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93"/>
      <c r="R267" s="293"/>
      <c r="S267" s="293"/>
      <c r="T267" s="294"/>
      <c r="U267" s="39" t="s">
        <v>46</v>
      </c>
      <c r="V267" s="39" t="s">
        <v>46</v>
      </c>
      <c r="W267" s="40" t="s">
        <v>39</v>
      </c>
      <c r="X267" s="58">
        <v>0</v>
      </c>
      <c r="Y267" s="55">
        <f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359</v>
      </c>
      <c r="AG267" s="81"/>
      <c r="AJ267" s="87" t="s">
        <v>87</v>
      </c>
      <c r="AK267" s="87">
        <v>1</v>
      </c>
      <c r="BB267" s="266" t="s">
        <v>115</v>
      </c>
      <c r="BM267" s="81">
        <f>IFERROR(X267*I267,"0")</f>
        <v>0</v>
      </c>
      <c r="BN267" s="81">
        <f>IFERROR(Y267*I267,"0")</f>
        <v>0</v>
      </c>
      <c r="BO267" s="81">
        <f>IFERROR(X267/J267,"0")</f>
        <v>0</v>
      </c>
      <c r="BP267" s="81">
        <f>IFERROR(Y267/J267,"0")</f>
        <v>0</v>
      </c>
    </row>
    <row r="268" spans="1:68" x14ac:dyDescent="0.2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9"/>
      <c r="P268" s="295" t="s">
        <v>40</v>
      </c>
      <c r="Q268" s="296"/>
      <c r="R268" s="296"/>
      <c r="S268" s="296"/>
      <c r="T268" s="296"/>
      <c r="U268" s="296"/>
      <c r="V268" s="297"/>
      <c r="W268" s="42" t="s">
        <v>39</v>
      </c>
      <c r="X268" s="43">
        <f>IFERROR(SUM(X265:X267),"0")</f>
        <v>0</v>
      </c>
      <c r="Y268" s="43">
        <f>IFERROR(SUM(Y265:Y267),"0")</f>
        <v>0</v>
      </c>
      <c r="Z268" s="43">
        <f>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9"/>
      <c r="P269" s="295" t="s">
        <v>40</v>
      </c>
      <c r="Q269" s="296"/>
      <c r="R269" s="296"/>
      <c r="S269" s="296"/>
      <c r="T269" s="296"/>
      <c r="U269" s="296"/>
      <c r="V269" s="297"/>
      <c r="W269" s="42" t="s">
        <v>0</v>
      </c>
      <c r="X269" s="43">
        <f>IFERROR(SUMPRODUCT(X265:X267*H265:H267),"0")</f>
        <v>0</v>
      </c>
      <c r="Y269" s="43">
        <f>IFERROR(SUMPRODUCT(Y265:Y267*H265:H267),"0")</f>
        <v>0</v>
      </c>
      <c r="Z269" s="42"/>
      <c r="AA269" s="67"/>
      <c r="AB269" s="67"/>
      <c r="AC269" s="67"/>
    </row>
    <row r="270" spans="1:68" ht="14.25" customHeight="1" x14ac:dyDescent="0.25">
      <c r="A270" s="309" t="s">
        <v>155</v>
      </c>
      <c r="B270" s="309"/>
      <c r="C270" s="309"/>
      <c r="D270" s="309"/>
      <c r="E270" s="309"/>
      <c r="F270" s="309"/>
      <c r="G270" s="309"/>
      <c r="H270" s="309"/>
      <c r="I270" s="309"/>
      <c r="J270" s="309"/>
      <c r="K270" s="309"/>
      <c r="L270" s="309"/>
      <c r="M270" s="309"/>
      <c r="N270" s="309"/>
      <c r="O270" s="309"/>
      <c r="P270" s="309"/>
      <c r="Q270" s="309"/>
      <c r="R270" s="309"/>
      <c r="S270" s="309"/>
      <c r="T270" s="309"/>
      <c r="U270" s="309"/>
      <c r="V270" s="309"/>
      <c r="W270" s="309"/>
      <c r="X270" s="309"/>
      <c r="Y270" s="309"/>
      <c r="Z270" s="309"/>
      <c r="AA270" s="66"/>
      <c r="AB270" s="66"/>
      <c r="AC270" s="83"/>
    </row>
    <row r="271" spans="1:68" ht="37.5" customHeight="1" x14ac:dyDescent="0.25">
      <c r="A271" s="63" t="s">
        <v>364</v>
      </c>
      <c r="B271" s="63" t="s">
        <v>365</v>
      </c>
      <c r="C271" s="36">
        <v>4301135504</v>
      </c>
      <c r="D271" s="291">
        <v>4640242181554</v>
      </c>
      <c r="E271" s="291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1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93"/>
      <c r="R271" s="293"/>
      <c r="S271" s="293"/>
      <c r="T271" s="29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ref="Y271:Y280" si="18">IFERROR(IF(X271="","",X271),"")</f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67" t="s">
        <v>366</v>
      </c>
      <c r="AG271" s="81"/>
      <c r="AJ271" s="87" t="s">
        <v>118</v>
      </c>
      <c r="AK271" s="87">
        <v>14</v>
      </c>
      <c r="BB271" s="268" t="s">
        <v>115</v>
      </c>
      <c r="BM271" s="81">
        <f t="shared" ref="BM271:BM280" si="19">IFERROR(X271*I271,"0")</f>
        <v>0</v>
      </c>
      <c r="BN271" s="81">
        <f t="shared" ref="BN271:BN280" si="20">IFERROR(Y271*I271,"0")</f>
        <v>0</v>
      </c>
      <c r="BO271" s="81">
        <f t="shared" ref="BO271:BO280" si="21">IFERROR(X271/J271,"0")</f>
        <v>0</v>
      </c>
      <c r="BP271" s="81">
        <f t="shared" ref="BP271:BP280" si="22">IFERROR(Y271/J271,"0")</f>
        <v>0</v>
      </c>
    </row>
    <row r="272" spans="1:68" ht="27" customHeight="1" x14ac:dyDescent="0.25">
      <c r="A272" s="63" t="s">
        <v>367</v>
      </c>
      <c r="B272" s="63" t="s">
        <v>368</v>
      </c>
      <c r="C272" s="36">
        <v>4301135873</v>
      </c>
      <c r="D272" s="291">
        <v>4640242182087</v>
      </c>
      <c r="E272" s="291"/>
      <c r="F272" s="62">
        <v>5</v>
      </c>
      <c r="G272" s="37">
        <v>1</v>
      </c>
      <c r="H272" s="62">
        <v>5</v>
      </c>
      <c r="I272" s="62">
        <v>5.23</v>
      </c>
      <c r="J272" s="37">
        <v>84</v>
      </c>
      <c r="K272" s="37" t="s">
        <v>85</v>
      </c>
      <c r="L272" s="37" t="s">
        <v>86</v>
      </c>
      <c r="M272" s="38" t="s">
        <v>84</v>
      </c>
      <c r="N272" s="38"/>
      <c r="O272" s="37">
        <v>180</v>
      </c>
      <c r="P272" s="31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93"/>
      <c r="R272" s="293"/>
      <c r="S272" s="293"/>
      <c r="T272" s="294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69" t="s">
        <v>369</v>
      </c>
      <c r="AG272" s="81"/>
      <c r="AJ272" s="87" t="s">
        <v>87</v>
      </c>
      <c r="AK272" s="87">
        <v>1</v>
      </c>
      <c r="BB272" s="270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370</v>
      </c>
      <c r="B273" s="63" t="s">
        <v>371</v>
      </c>
      <c r="C273" s="36">
        <v>4301135374</v>
      </c>
      <c r="D273" s="291">
        <v>4640242181424</v>
      </c>
      <c r="E273" s="291"/>
      <c r="F273" s="62">
        <v>5.5</v>
      </c>
      <c r="G273" s="37">
        <v>1</v>
      </c>
      <c r="H273" s="62">
        <v>5.5</v>
      </c>
      <c r="I273" s="62">
        <v>5.7350000000000003</v>
      </c>
      <c r="J273" s="37">
        <v>84</v>
      </c>
      <c r="K273" s="37" t="s">
        <v>85</v>
      </c>
      <c r="L273" s="37" t="s">
        <v>117</v>
      </c>
      <c r="M273" s="38" t="s">
        <v>84</v>
      </c>
      <c r="N273" s="38"/>
      <c r="O273" s="37">
        <v>180</v>
      </c>
      <c r="P273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93"/>
      <c r="R273" s="293"/>
      <c r="S273" s="293"/>
      <c r="T273" s="294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IFERROR(IF(X273="","",X273*0.0155),"")</f>
        <v>0</v>
      </c>
      <c r="AA273" s="68" t="s">
        <v>46</v>
      </c>
      <c r="AB273" s="69" t="s">
        <v>46</v>
      </c>
      <c r="AC273" s="271" t="s">
        <v>366</v>
      </c>
      <c r="AG273" s="81"/>
      <c r="AJ273" s="87" t="s">
        <v>118</v>
      </c>
      <c r="AK273" s="87">
        <v>12</v>
      </c>
      <c r="BB273" s="272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372</v>
      </c>
      <c r="B274" s="63" t="s">
        <v>373</v>
      </c>
      <c r="C274" s="36">
        <v>4301135405</v>
      </c>
      <c r="D274" s="291">
        <v>4640242181523</v>
      </c>
      <c r="E274" s="291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93"/>
      <c r="R274" s="293"/>
      <c r="S274" s="293"/>
      <c r="T274" s="294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ref="Z274:Z279" si="23">IFERROR(IF(X274="","",X274*0.00936),"")</f>
        <v>0</v>
      </c>
      <c r="AA274" s="68" t="s">
        <v>46</v>
      </c>
      <c r="AB274" s="69" t="s">
        <v>46</v>
      </c>
      <c r="AC274" s="273" t="s">
        <v>369</v>
      </c>
      <c r="AG274" s="81"/>
      <c r="AJ274" s="87" t="s">
        <v>118</v>
      </c>
      <c r="AK274" s="87">
        <v>14</v>
      </c>
      <c r="BB274" s="274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374</v>
      </c>
      <c r="B275" s="63" t="s">
        <v>375</v>
      </c>
      <c r="C275" s="36">
        <v>4301135375</v>
      </c>
      <c r="D275" s="291">
        <v>4640242181486</v>
      </c>
      <c r="E275" s="291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3"/>
      <c r="R275" s="293"/>
      <c r="S275" s="293"/>
      <c r="T275" s="294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75" t="s">
        <v>366</v>
      </c>
      <c r="AG275" s="81"/>
      <c r="AJ275" s="87" t="s">
        <v>118</v>
      </c>
      <c r="AK275" s="87">
        <v>14</v>
      </c>
      <c r="BB275" s="276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customHeight="1" x14ac:dyDescent="0.25">
      <c r="A276" s="63" t="s">
        <v>376</v>
      </c>
      <c r="B276" s="63" t="s">
        <v>377</v>
      </c>
      <c r="C276" s="36">
        <v>4301135402</v>
      </c>
      <c r="D276" s="291">
        <v>4640242181493</v>
      </c>
      <c r="E276" s="291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93"/>
      <c r="R276" s="293"/>
      <c r="S276" s="293"/>
      <c r="T276" s="294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77" t="s">
        <v>366</v>
      </c>
      <c r="AG276" s="81"/>
      <c r="AJ276" s="87" t="s">
        <v>118</v>
      </c>
      <c r="AK276" s="87">
        <v>14</v>
      </c>
      <c r="BB276" s="278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37.5" customHeight="1" x14ac:dyDescent="0.25">
      <c r="A277" s="63" t="s">
        <v>378</v>
      </c>
      <c r="B277" s="63" t="s">
        <v>379</v>
      </c>
      <c r="C277" s="36">
        <v>4301135403</v>
      </c>
      <c r="D277" s="291">
        <v>4640242181509</v>
      </c>
      <c r="E277" s="291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116</v>
      </c>
      <c r="L277" s="37" t="s">
        <v>86</v>
      </c>
      <c r="M277" s="38" t="s">
        <v>84</v>
      </c>
      <c r="N277" s="38"/>
      <c r="O277" s="37">
        <v>180</v>
      </c>
      <c r="P277" s="30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93"/>
      <c r="R277" s="293"/>
      <c r="S277" s="293"/>
      <c r="T277" s="294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79" t="s">
        <v>366</v>
      </c>
      <c r="AG277" s="81"/>
      <c r="AJ277" s="87" t="s">
        <v>87</v>
      </c>
      <c r="AK277" s="87">
        <v>1</v>
      </c>
      <c r="BB277" s="280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380</v>
      </c>
      <c r="B278" s="63" t="s">
        <v>381</v>
      </c>
      <c r="C278" s="36">
        <v>4301135304</v>
      </c>
      <c r="D278" s="291">
        <v>4640242181240</v>
      </c>
      <c r="E278" s="291"/>
      <c r="F278" s="62">
        <v>0.3</v>
      </c>
      <c r="G278" s="37">
        <v>9</v>
      </c>
      <c r="H278" s="62">
        <v>2.7</v>
      </c>
      <c r="I278" s="62">
        <v>2.88</v>
      </c>
      <c r="J278" s="37">
        <v>126</v>
      </c>
      <c r="K278" s="37" t="s">
        <v>116</v>
      </c>
      <c r="L278" s="37" t="s">
        <v>117</v>
      </c>
      <c r="M278" s="38" t="s">
        <v>84</v>
      </c>
      <c r="N278" s="38"/>
      <c r="O278" s="37">
        <v>180</v>
      </c>
      <c r="P278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3"/>
      <c r="R278" s="293"/>
      <c r="S278" s="293"/>
      <c r="T278" s="294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1" t="s">
        <v>366</v>
      </c>
      <c r="AG278" s="81"/>
      <c r="AJ278" s="87" t="s">
        <v>118</v>
      </c>
      <c r="AK278" s="87">
        <v>14</v>
      </c>
      <c r="BB278" s="282" t="s">
        <v>115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382</v>
      </c>
      <c r="B279" s="63" t="s">
        <v>383</v>
      </c>
      <c r="C279" s="36">
        <v>4301135610</v>
      </c>
      <c r="D279" s="291">
        <v>4640242181318</v>
      </c>
      <c r="E279" s="291"/>
      <c r="F279" s="62">
        <v>0.3</v>
      </c>
      <c r="G279" s="37">
        <v>9</v>
      </c>
      <c r="H279" s="62">
        <v>2.7</v>
      </c>
      <c r="I279" s="62">
        <v>2.988</v>
      </c>
      <c r="J279" s="37">
        <v>126</v>
      </c>
      <c r="K279" s="37" t="s">
        <v>116</v>
      </c>
      <c r="L279" s="37" t="s">
        <v>117</v>
      </c>
      <c r="M279" s="38" t="s">
        <v>84</v>
      </c>
      <c r="N279" s="38"/>
      <c r="O279" s="37">
        <v>180</v>
      </c>
      <c r="P279" s="3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3"/>
      <c r="R279" s="293"/>
      <c r="S279" s="293"/>
      <c r="T279" s="294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3" t="s">
        <v>369</v>
      </c>
      <c r="AG279" s="81"/>
      <c r="AJ279" s="87" t="s">
        <v>118</v>
      </c>
      <c r="AK279" s="87">
        <v>14</v>
      </c>
      <c r="BB279" s="284" t="s">
        <v>115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customHeight="1" x14ac:dyDescent="0.25">
      <c r="A280" s="63" t="s">
        <v>384</v>
      </c>
      <c r="B280" s="63" t="s">
        <v>385</v>
      </c>
      <c r="C280" s="36">
        <v>4301135306</v>
      </c>
      <c r="D280" s="291">
        <v>4640242181387</v>
      </c>
      <c r="E280" s="291"/>
      <c r="F280" s="62">
        <v>0.3</v>
      </c>
      <c r="G280" s="37">
        <v>9</v>
      </c>
      <c r="H280" s="62">
        <v>2.7</v>
      </c>
      <c r="I280" s="62">
        <v>2.8450000000000002</v>
      </c>
      <c r="J280" s="37">
        <v>234</v>
      </c>
      <c r="K280" s="37" t="s">
        <v>167</v>
      </c>
      <c r="L280" s="37" t="s">
        <v>117</v>
      </c>
      <c r="M280" s="38" t="s">
        <v>84</v>
      </c>
      <c r="N280" s="38"/>
      <c r="O280" s="37">
        <v>180</v>
      </c>
      <c r="P280" s="29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93"/>
      <c r="R280" s="293"/>
      <c r="S280" s="293"/>
      <c r="T280" s="294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>IFERROR(IF(X280="","",X280*0.00502),"")</f>
        <v>0</v>
      </c>
      <c r="AA280" s="68" t="s">
        <v>46</v>
      </c>
      <c r="AB280" s="69" t="s">
        <v>46</v>
      </c>
      <c r="AC280" s="285" t="s">
        <v>366</v>
      </c>
      <c r="AG280" s="81"/>
      <c r="AJ280" s="87" t="s">
        <v>118</v>
      </c>
      <c r="AK280" s="87">
        <v>18</v>
      </c>
      <c r="BB280" s="286" t="s">
        <v>115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x14ac:dyDescent="0.2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9"/>
      <c r="P281" s="295" t="s">
        <v>40</v>
      </c>
      <c r="Q281" s="296"/>
      <c r="R281" s="296"/>
      <c r="S281" s="296"/>
      <c r="T281" s="296"/>
      <c r="U281" s="296"/>
      <c r="V281" s="297"/>
      <c r="W281" s="42" t="s">
        <v>39</v>
      </c>
      <c r="X281" s="43">
        <f>IFERROR(SUM(X271:X280),"0")</f>
        <v>0</v>
      </c>
      <c r="Y281" s="43">
        <f>IFERROR(SUM(Y271:Y280),"0")</f>
        <v>0</v>
      </c>
      <c r="Z281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299"/>
      <c r="P282" s="295" t="s">
        <v>40</v>
      </c>
      <c r="Q282" s="296"/>
      <c r="R282" s="296"/>
      <c r="S282" s="296"/>
      <c r="T282" s="296"/>
      <c r="U282" s="296"/>
      <c r="V282" s="297"/>
      <c r="W282" s="42" t="s">
        <v>0</v>
      </c>
      <c r="X282" s="43">
        <f>IFERROR(SUMPRODUCT(X271:X280*H271:H280),"0")</f>
        <v>0</v>
      </c>
      <c r="Y282" s="43">
        <f>IFERROR(SUMPRODUCT(Y271:Y280*H271:H280),"0")</f>
        <v>0</v>
      </c>
      <c r="Z282" s="42"/>
      <c r="AA282" s="67"/>
      <c r="AB282" s="67"/>
      <c r="AC282" s="67"/>
    </row>
    <row r="283" spans="1:68" ht="15" customHeight="1" x14ac:dyDescent="0.2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303"/>
      <c r="P283" s="300" t="s">
        <v>33</v>
      </c>
      <c r="Q283" s="301"/>
      <c r="R283" s="301"/>
      <c r="S283" s="301"/>
      <c r="T283" s="301"/>
      <c r="U283" s="301"/>
      <c r="V283" s="302"/>
      <c r="W283" s="42" t="s">
        <v>0</v>
      </c>
      <c r="X283" s="43">
        <f>IFERROR(X31+X37+X44+X51+X59+X64+X68+X73+X79+X85+X90+X96+X106+X112+X123+X127+X131+X138+X144+X150+X156+X162+X167+X172+X177+X184+X188+X193+X202+X208+X214+X220+X225+X230+X236+X242+X246+X252+X259+X263+X269+X282,"0")</f>
        <v>0</v>
      </c>
      <c r="Y283" s="43">
        <f>IFERROR(Y31+Y37+Y44+Y51+Y59+Y64+Y68+Y73+Y79+Y85+Y90+Y96+Y106+Y112+Y123+Y127+Y131+Y138+Y144+Y150+Y156+Y162+Y167+Y172+Y177+Y184+Y188+Y193+Y202+Y208+Y214+Y220+Y225+Y230+Y236+Y242+Y246+Y252+Y259+Y263+Y269+Y282,"0")</f>
        <v>0</v>
      </c>
      <c r="Z283" s="42"/>
      <c r="AA283" s="67"/>
      <c r="AB283" s="67"/>
      <c r="AC283" s="67"/>
    </row>
    <row r="284" spans="1:68" x14ac:dyDescent="0.2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303"/>
      <c r="P284" s="300" t="s">
        <v>34</v>
      </c>
      <c r="Q284" s="301"/>
      <c r="R284" s="301"/>
      <c r="S284" s="301"/>
      <c r="T284" s="301"/>
      <c r="U284" s="301"/>
      <c r="V284" s="302"/>
      <c r="W284" s="42" t="s">
        <v>0</v>
      </c>
      <c r="X284" s="43">
        <f>IFERROR(SUM(BM22:BM280),"0")</f>
        <v>0</v>
      </c>
      <c r="Y284" s="43">
        <f>IFERROR(SUM(BN22:BN280),"0")</f>
        <v>0</v>
      </c>
      <c r="Z284" s="42"/>
      <c r="AA284" s="67"/>
      <c r="AB284" s="67"/>
      <c r="AC284" s="67"/>
    </row>
    <row r="285" spans="1:68" x14ac:dyDescent="0.2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303"/>
      <c r="P285" s="300" t="s">
        <v>35</v>
      </c>
      <c r="Q285" s="301"/>
      <c r="R285" s="301"/>
      <c r="S285" s="301"/>
      <c r="T285" s="301"/>
      <c r="U285" s="301"/>
      <c r="V285" s="302"/>
      <c r="W285" s="42" t="s">
        <v>20</v>
      </c>
      <c r="X285" s="44">
        <f>ROUNDUP(SUM(BO22:BO280),0)</f>
        <v>0</v>
      </c>
      <c r="Y285" s="44">
        <f>ROUNDUP(SUM(BP22:BP280),0)</f>
        <v>0</v>
      </c>
      <c r="Z285" s="42"/>
      <c r="AA285" s="67"/>
      <c r="AB285" s="67"/>
      <c r="AC285" s="67"/>
    </row>
    <row r="286" spans="1:68" x14ac:dyDescent="0.2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303"/>
      <c r="P286" s="300" t="s">
        <v>36</v>
      </c>
      <c r="Q286" s="301"/>
      <c r="R286" s="301"/>
      <c r="S286" s="301"/>
      <c r="T286" s="301"/>
      <c r="U286" s="301"/>
      <c r="V286" s="302"/>
      <c r="W286" s="42" t="s">
        <v>0</v>
      </c>
      <c r="X286" s="43">
        <f>GrossWeightTotal+PalletQtyTotal*25</f>
        <v>0</v>
      </c>
      <c r="Y286" s="43">
        <f>GrossWeightTotalR+PalletQtyTotalR*25</f>
        <v>0</v>
      </c>
      <c r="Z286" s="42"/>
      <c r="AA286" s="67"/>
      <c r="AB286" s="67"/>
      <c r="AC286" s="67"/>
    </row>
    <row r="287" spans="1:68" x14ac:dyDescent="0.2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303"/>
      <c r="P287" s="300" t="s">
        <v>37</v>
      </c>
      <c r="Q287" s="301"/>
      <c r="R287" s="301"/>
      <c r="S287" s="301"/>
      <c r="T287" s="301"/>
      <c r="U287" s="301"/>
      <c r="V287" s="302"/>
      <c r="W287" s="42" t="s">
        <v>20</v>
      </c>
      <c r="X287" s="43">
        <f>IFERROR(X30+X36+X43+X50+X58+X63+X67+X72+X78+X84+X89+X95+X105+X111+X122+X126+X130+X137+X143+X149+X155+X161+X166+X171+X176+X183+X187+X192+X201+X207+X213+X219+X224+X229+X235+X241+X245+X251+X258+X262+X268+X281,"0")</f>
        <v>0</v>
      </c>
      <c r="Y287" s="43">
        <f>IFERROR(Y30+Y36+Y43+Y50+Y58+Y63+Y67+Y72+Y78+Y84+Y89+Y95+Y105+Y111+Y122+Y126+Y130+Y137+Y143+Y149+Y155+Y161+Y166+Y171+Y176+Y183+Y187+Y192+Y201+Y207+Y213+Y219+Y224+Y229+Y235+Y241+Y245+Y251+Y258+Y262+Y268+Y281,"0")</f>
        <v>0</v>
      </c>
      <c r="Z287" s="42"/>
      <c r="AA287" s="67"/>
      <c r="AB287" s="67"/>
      <c r="AC287" s="67"/>
    </row>
    <row r="288" spans="1:68" ht="14.25" x14ac:dyDescent="0.2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303"/>
      <c r="P288" s="300" t="s">
        <v>38</v>
      </c>
      <c r="Q288" s="301"/>
      <c r="R288" s="301"/>
      <c r="S288" s="301"/>
      <c r="T288" s="301"/>
      <c r="U288" s="301"/>
      <c r="V288" s="302"/>
      <c r="W288" s="45" t="s">
        <v>52</v>
      </c>
      <c r="X288" s="42"/>
      <c r="Y288" s="42"/>
      <c r="Z288" s="42">
        <f>IFERROR(Z30+Z36+Z43+Z50+Z58+Z63+Z67+Z72+Z78+Z84+Z89+Z95+Z105+Z111+Z122+Z126+Z130+Z137+Z143+Z149+Z155+Z161+Z166+Z171+Z176+Z183+Z187+Z192+Z201+Z207+Z213+Z219+Z224+Z229+Z235+Z241+Z245+Z251+Z258+Z262+Z268+Z281,"0")</f>
        <v>0</v>
      </c>
      <c r="AA288" s="67"/>
      <c r="AB288" s="67"/>
      <c r="AC288" s="67"/>
    </row>
    <row r="289" spans="1:32" ht="13.5" thickBot="1" x14ac:dyDescent="0.25"/>
    <row r="290" spans="1:32" ht="27" thickTop="1" thickBot="1" x14ac:dyDescent="0.25">
      <c r="A290" s="46" t="s">
        <v>9</v>
      </c>
      <c r="B290" s="287" t="s">
        <v>79</v>
      </c>
      <c r="C290" s="287" t="s">
        <v>79</v>
      </c>
      <c r="D290" s="287" t="s">
        <v>45</v>
      </c>
      <c r="E290" s="287" t="s">
        <v>45</v>
      </c>
      <c r="F290" s="287" t="s">
        <v>45</v>
      </c>
      <c r="G290" s="287" t="s">
        <v>45</v>
      </c>
      <c r="H290" s="287" t="s">
        <v>45</v>
      </c>
      <c r="I290" s="287" t="s">
        <v>45</v>
      </c>
      <c r="J290" s="287" t="s">
        <v>45</v>
      </c>
      <c r="K290" s="287" t="s">
        <v>45</v>
      </c>
      <c r="L290" s="287" t="s">
        <v>45</v>
      </c>
      <c r="M290" s="287" t="s">
        <v>45</v>
      </c>
      <c r="N290" s="288"/>
      <c r="O290" s="287" t="s">
        <v>45</v>
      </c>
      <c r="P290" s="287" t="s">
        <v>45</v>
      </c>
      <c r="Q290" s="287" t="s">
        <v>45</v>
      </c>
      <c r="R290" s="287" t="s">
        <v>45</v>
      </c>
      <c r="S290" s="287" t="s">
        <v>45</v>
      </c>
      <c r="T290" s="287" t="s">
        <v>45</v>
      </c>
      <c r="U290" s="287" t="s">
        <v>45</v>
      </c>
      <c r="V290" s="287" t="s">
        <v>273</v>
      </c>
      <c r="W290" s="287" t="s">
        <v>273</v>
      </c>
      <c r="X290" s="88" t="s">
        <v>288</v>
      </c>
      <c r="Y290" s="287" t="s">
        <v>302</v>
      </c>
      <c r="Z290" s="287" t="s">
        <v>302</v>
      </c>
      <c r="AA290" s="287" t="s">
        <v>302</v>
      </c>
      <c r="AB290" s="287" t="s">
        <v>302</v>
      </c>
      <c r="AC290" s="88" t="s">
        <v>331</v>
      </c>
      <c r="AD290" s="88" t="s">
        <v>336</v>
      </c>
      <c r="AE290" s="88" t="s">
        <v>344</v>
      </c>
      <c r="AF290" s="88" t="s">
        <v>348</v>
      </c>
    </row>
    <row r="291" spans="1:32" ht="14.25" customHeight="1" thickTop="1" x14ac:dyDescent="0.2">
      <c r="A291" s="289" t="s">
        <v>10</v>
      </c>
      <c r="B291" s="287" t="s">
        <v>79</v>
      </c>
      <c r="C291" s="287" t="s">
        <v>104</v>
      </c>
      <c r="D291" s="287" t="s">
        <v>110</v>
      </c>
      <c r="E291" s="287" t="s">
        <v>121</v>
      </c>
      <c r="F291" s="287" t="s">
        <v>131</v>
      </c>
      <c r="G291" s="287" t="s">
        <v>142</v>
      </c>
      <c r="H291" s="287" t="s">
        <v>163</v>
      </c>
      <c r="I291" s="287" t="s">
        <v>170</v>
      </c>
      <c r="J291" s="287" t="s">
        <v>174</v>
      </c>
      <c r="K291" s="287" t="s">
        <v>182</v>
      </c>
      <c r="L291" s="287" t="s">
        <v>197</v>
      </c>
      <c r="M291" s="287" t="s">
        <v>203</v>
      </c>
      <c r="N291" s="1"/>
      <c r="O291" s="287" t="s">
        <v>228</v>
      </c>
      <c r="P291" s="287" t="s">
        <v>244</v>
      </c>
      <c r="Q291" s="287" t="s">
        <v>250</v>
      </c>
      <c r="R291" s="287" t="s">
        <v>257</v>
      </c>
      <c r="S291" s="287" t="s">
        <v>262</v>
      </c>
      <c r="T291" s="287" t="s">
        <v>266</v>
      </c>
      <c r="U291" s="287" t="s">
        <v>269</v>
      </c>
      <c r="V291" s="287" t="s">
        <v>274</v>
      </c>
      <c r="W291" s="287" t="s">
        <v>285</v>
      </c>
      <c r="X291" s="287" t="s">
        <v>289</v>
      </c>
      <c r="Y291" s="287" t="s">
        <v>303</v>
      </c>
      <c r="Z291" s="287" t="s">
        <v>316</v>
      </c>
      <c r="AA291" s="287" t="s">
        <v>323</v>
      </c>
      <c r="AB291" s="287" t="s">
        <v>327</v>
      </c>
      <c r="AC291" s="287" t="s">
        <v>332</v>
      </c>
      <c r="AD291" s="287" t="s">
        <v>337</v>
      </c>
      <c r="AE291" s="287" t="s">
        <v>344</v>
      </c>
      <c r="AF291" s="287" t="s">
        <v>348</v>
      </c>
    </row>
    <row r="292" spans="1:32" ht="13.5" thickBot="1" x14ac:dyDescent="0.25">
      <c r="A292" s="290"/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1"/>
      <c r="O292" s="287"/>
      <c r="P292" s="287"/>
      <c r="Q292" s="287"/>
      <c r="R292" s="287"/>
      <c r="S292" s="287"/>
      <c r="T292" s="287"/>
      <c r="U292" s="287"/>
      <c r="V292" s="287"/>
      <c r="W292" s="287"/>
      <c r="X292" s="287"/>
      <c r="Y292" s="287"/>
      <c r="Z292" s="287"/>
      <c r="AA292" s="287"/>
      <c r="AB292" s="287"/>
      <c r="AC292" s="287"/>
      <c r="AD292" s="287"/>
      <c r="AE292" s="287"/>
      <c r="AF292" s="287"/>
    </row>
    <row r="293" spans="1:32" ht="18" thickTop="1" thickBot="1" x14ac:dyDescent="0.25">
      <c r="A293" s="46" t="s">
        <v>13</v>
      </c>
      <c r="B293" s="52">
        <f>IFERROR(X22*H22,"0")+IFERROR(X23*H23,"0")+IFERROR(X24*H24,"0")+IFERROR(X25*H25,"0")+IFERROR(X26*H26,"0")+IFERROR(X27*H27,"0")+IFERROR(X28*H28,"0")+IFERROR(X29*H29,"0")</f>
        <v>0</v>
      </c>
      <c r="C293" s="52">
        <f>IFERROR(X34*H34,"0")+IFERROR(X35*H35,"0")</f>
        <v>0</v>
      </c>
      <c r="D293" s="52">
        <f>IFERROR(X41*H41,"0")+IFERROR(X42*H42,"0")</f>
        <v>0</v>
      </c>
      <c r="E293" s="52">
        <f>IFERROR(X47*H47,"0")+IFERROR(X48*H48,"0")+IFERROR(X49*H49,"0")</f>
        <v>0</v>
      </c>
      <c r="F293" s="52">
        <f>IFERROR(X54*H54,"0")+IFERROR(X55*H55,"0")+IFERROR(X56*H56,"0")+IFERROR(X57*H57,"0")</f>
        <v>0</v>
      </c>
      <c r="G293" s="52">
        <f>IFERROR(X62*H62,"0")+IFERROR(X66*H66,"0")+IFERROR(X70*H70,"0")+IFERROR(X71*H71,"0")+IFERROR(X75*H75,"0")+IFERROR(X76*H76,"0")+IFERROR(X77*H77,"0")</f>
        <v>0</v>
      </c>
      <c r="H293" s="52">
        <f>IFERROR(X82*H82,"0")+IFERROR(X83*H83,"0")</f>
        <v>0</v>
      </c>
      <c r="I293" s="52">
        <f>IFERROR(X88*H88,"0")</f>
        <v>0</v>
      </c>
      <c r="J293" s="52">
        <f>IFERROR(X93*H93,"0")+IFERROR(X94*H94,"0")</f>
        <v>0</v>
      </c>
      <c r="K293" s="52">
        <f>IFERROR(X99*H99,"0")+IFERROR(X100*H100,"0")+IFERROR(X101*H101,"0")+IFERROR(X102*H102,"0")+IFERROR(X103*H103,"0")+IFERROR(X104*H104,"0")</f>
        <v>0</v>
      </c>
      <c r="L293" s="52">
        <f>IFERROR(X109*H109,"0")+IFERROR(X110*H110,"0")</f>
        <v>0</v>
      </c>
      <c r="M293" s="52">
        <f>IFERROR(X115*H115,"0")+IFERROR(X116*H116,"0")+IFERROR(X117*H117,"0")+IFERROR(X118*H118,"0")+IFERROR(X119*H119,"0")+IFERROR(X120*H120,"0")+IFERROR(X121*H121,"0")+IFERROR(X125*H125,"0")+IFERROR(X129*H129,"0")</f>
        <v>0</v>
      </c>
      <c r="N293" s="1"/>
      <c r="O293" s="52">
        <f>IFERROR(X134*H134,"0")+IFERROR(X135*H135,"0")+IFERROR(X136*H136,"0")+IFERROR(X140*H140,"0")+IFERROR(X141*H141,"0")+IFERROR(X142*H142,"0")</f>
        <v>0</v>
      </c>
      <c r="P293" s="52">
        <f>IFERROR(X147*H147,"0")+IFERROR(X148*H148,"0")</f>
        <v>0</v>
      </c>
      <c r="Q293" s="52">
        <f>IFERROR(X153*H153,"0")+IFERROR(X154*H154,"0")</f>
        <v>0</v>
      </c>
      <c r="R293" s="52">
        <f>IFERROR(X159*H159,"0")+IFERROR(X160*H160,"0")</f>
        <v>0</v>
      </c>
      <c r="S293" s="52">
        <f>IFERROR(X165*H165,"0")</f>
        <v>0</v>
      </c>
      <c r="T293" s="52">
        <f>IFERROR(X170*H170,"0")</f>
        <v>0</v>
      </c>
      <c r="U293" s="52">
        <f>IFERROR(X175*H175,"0")</f>
        <v>0</v>
      </c>
      <c r="V293" s="52">
        <f>IFERROR(X181*H181,"0")+IFERROR(X182*H182,"0")+IFERROR(X186*H186,"0")</f>
        <v>0</v>
      </c>
      <c r="W293" s="52">
        <f>IFERROR(X191*H191,"0")</f>
        <v>0</v>
      </c>
      <c r="X293" s="52">
        <f>IFERROR(X197*H197,"0")+IFERROR(X198*H198,"0")+IFERROR(X199*H199,"0")+IFERROR(X200*H200,"0")</f>
        <v>0</v>
      </c>
      <c r="Y293" s="52">
        <f>IFERROR(X206*H206,"0")+IFERROR(X210*H210,"0")+IFERROR(X211*H211,"0")+IFERROR(X212*H212,"0")</f>
        <v>0</v>
      </c>
      <c r="Z293" s="52">
        <f>IFERROR(X217*H217,"0")+IFERROR(X218*H218,"0")</f>
        <v>0</v>
      </c>
      <c r="AA293" s="52">
        <f>IFERROR(X223*H223,"0")</f>
        <v>0</v>
      </c>
      <c r="AB293" s="52">
        <f>IFERROR(X228*H228,"0")</f>
        <v>0</v>
      </c>
      <c r="AC293" s="52">
        <f>IFERROR(X234*H234,"0")</f>
        <v>0</v>
      </c>
      <c r="AD293" s="52">
        <f>IFERROR(X240*H240,"0")+IFERROR(X244*H244,"0")</f>
        <v>0</v>
      </c>
      <c r="AE293" s="52">
        <f>IFERROR(X250*H250,"0")</f>
        <v>0</v>
      </c>
      <c r="AF293" s="52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0</v>
      </c>
    </row>
    <row r="294" spans="1:32" ht="13.5" thickTop="1" x14ac:dyDescent="0.2">
      <c r="C294" s="1"/>
    </row>
    <row r="295" spans="1:32" ht="19.5" customHeight="1" x14ac:dyDescent="0.2">
      <c r="A295" s="70" t="s">
        <v>62</v>
      </c>
      <c r="B295" s="70" t="s">
        <v>63</v>
      </c>
      <c r="C295" s="70" t="s">
        <v>65</v>
      </c>
    </row>
    <row r="296" spans="1:32" x14ac:dyDescent="0.2">
      <c r="A296" s="71">
        <f>SUMPRODUCT(--(BB:BB="ЗПФ"),--(W:W="кор"),H:H,Y:Y)+SUMPRODUCT(--(BB:BB="ЗПФ"),--(W:W="кг"),Y:Y)</f>
        <v>0</v>
      </c>
      <c r="B296" s="72">
        <f>SUMPRODUCT(--(BB:BB="ПГП"),--(W:W="кор"),H:H,Y:Y)+SUMPRODUCT(--(BB:BB="ПГП"),--(W:W="кг"),Y:Y)</f>
        <v>0</v>
      </c>
      <c r="C296" s="72">
        <f>SUMPRODUCT(--(BB:BB="КИЗ"),--(W:W="кор"),H:H,Y:Y)+SUMPRODUCT(--(BB:BB="КИЗ"),--(W:W="кг"),Y:Y)</f>
        <v>0</v>
      </c>
    </row>
  </sheetData>
  <sheetProtection algorithmName="SHA-512" hashValue="zEfifCgH5FN2s9yBIahDuTDEWeLk9ZOWXdziHYwWy0bdSy73zH7J+FReykYAjmp0gEQFwPZt+1Cm8HaxDy8Dyw==" saltValue="QKYFEoyJhMss2J/wmdV+D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74:Z174"/>
    <mergeCell ref="D175:E175"/>
    <mergeCell ref="P175:T175"/>
    <mergeCell ref="P176:V176"/>
    <mergeCell ref="A176:O177"/>
    <mergeCell ref="P177:V177"/>
    <mergeCell ref="A178:Z178"/>
    <mergeCell ref="A179:Z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18:E218"/>
    <mergeCell ref="P218:T218"/>
    <mergeCell ref="P219:V219"/>
    <mergeCell ref="A219:O220"/>
    <mergeCell ref="P220:V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A238:Z238"/>
    <mergeCell ref="A239:Z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P283:V283"/>
    <mergeCell ref="A283:O288"/>
    <mergeCell ref="P284:V284"/>
    <mergeCell ref="P285:V285"/>
    <mergeCell ref="P286:V286"/>
    <mergeCell ref="P287:V287"/>
    <mergeCell ref="P288:V288"/>
    <mergeCell ref="B290:C290"/>
    <mergeCell ref="D290:U290"/>
    <mergeCell ref="V290:W290"/>
    <mergeCell ref="Y290:AB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O291:O292"/>
    <mergeCell ref="P291:P292"/>
    <mergeCell ref="Q291:Q292"/>
    <mergeCell ref="R291:R292"/>
    <mergeCell ref="S291:S292"/>
    <mergeCell ref="T291:T292"/>
    <mergeCell ref="U291:U292"/>
    <mergeCell ref="AE291:AE292"/>
    <mergeCell ref="AF291:AF292"/>
    <mergeCell ref="V291:V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 X272 X267 X256 X250 X244 X240 X234 X228 X217:X218 X210:X211 X200 X191 X186 X181 X159 X153 X140:X142 X134:X136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80 X273:X276 X271 X265:X266 X261 X257 X223 X212 X206 X197:X199 X182 X175 X170 X165 X160 X154 X147:X148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v7KX4dzDv+h6oHLoG/x0Fpm8RGxZeoPq/jP1D0rV0XS44daFTtfhGPvvImcv7dxtTXcFyehF5YEXA+kYsUCftg==" saltValue="m0eHe+9gvmAsXeBRcViiP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2026-07-15T06:21:09Z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