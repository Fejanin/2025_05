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2DC30870-84AA-45B7-B5BF-662B5E7238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Z266" i="2" s="1"/>
  <c r="Y263" i="2"/>
  <c r="BN263" i="2" s="1"/>
  <c r="P263" i="2"/>
  <c r="X261" i="2"/>
  <c r="X260" i="2"/>
  <c r="BO259" i="2"/>
  <c r="BM259" i="2"/>
  <c r="Z259" i="2"/>
  <c r="Z260" i="2" s="1"/>
  <c r="Y259" i="2"/>
  <c r="Y260" i="2" s="1"/>
  <c r="P259" i="2"/>
  <c r="X257" i="2"/>
  <c r="X256" i="2"/>
  <c r="BP255" i="2"/>
  <c r="BO255" i="2"/>
  <c r="BN255" i="2"/>
  <c r="BM255" i="2"/>
  <c r="Z255" i="2"/>
  <c r="Y255" i="2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Y257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Z244" i="2"/>
  <c r="X244" i="2"/>
  <c r="BO243" i="2"/>
  <c r="BM243" i="2"/>
  <c r="Z243" i="2"/>
  <c r="Y243" i="2"/>
  <c r="Y244" i="2" s="1"/>
  <c r="P243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Z228" i="2"/>
  <c r="Y228" i="2"/>
  <c r="X228" i="2"/>
  <c r="BO227" i="2"/>
  <c r="BN227" i="2"/>
  <c r="BM227" i="2"/>
  <c r="Z227" i="2"/>
  <c r="Y227" i="2"/>
  <c r="Y229" i="2" s="1"/>
  <c r="P227" i="2"/>
  <c r="X223" i="2"/>
  <c r="X222" i="2"/>
  <c r="BO221" i="2"/>
  <c r="BM221" i="2"/>
  <c r="Z221" i="2"/>
  <c r="Z222" i="2" s="1"/>
  <c r="Y221" i="2"/>
  <c r="BP221" i="2" s="1"/>
  <c r="P221" i="2"/>
  <c r="Y218" i="2"/>
  <c r="X218" i="2"/>
  <c r="X217" i="2"/>
  <c r="BO216" i="2"/>
  <c r="BM216" i="2"/>
  <c r="Z216" i="2"/>
  <c r="Z217" i="2" s="1"/>
  <c r="Y216" i="2"/>
  <c r="Y217" i="2" s="1"/>
  <c r="P216" i="2"/>
  <c r="X213" i="2"/>
  <c r="X212" i="2"/>
  <c r="BP211" i="2"/>
  <c r="BO211" i="2"/>
  <c r="BM211" i="2"/>
  <c r="Z211" i="2"/>
  <c r="Y211" i="2"/>
  <c r="BN211" i="2" s="1"/>
  <c r="P211" i="2"/>
  <c r="BO210" i="2"/>
  <c r="BM210" i="2"/>
  <c r="Z210" i="2"/>
  <c r="Z212" i="2" s="1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X201" i="2"/>
  <c r="X200" i="2"/>
  <c r="BO199" i="2"/>
  <c r="BM199" i="2"/>
  <c r="Z199" i="2"/>
  <c r="Z200" i="2" s="1"/>
  <c r="Y199" i="2"/>
  <c r="Y201" i="2" s="1"/>
  <c r="P199" i="2"/>
  <c r="X195" i="2"/>
  <c r="Y194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P191" i="2"/>
  <c r="BO191" i="2"/>
  <c r="BM191" i="2"/>
  <c r="Z191" i="2"/>
  <c r="Z194" i="2" s="1"/>
  <c r="Y191" i="2"/>
  <c r="Y195" i="2" s="1"/>
  <c r="P191" i="2"/>
  <c r="BO190" i="2"/>
  <c r="BM190" i="2"/>
  <c r="Z190" i="2"/>
  <c r="Y190" i="2"/>
  <c r="BP190" i="2" s="1"/>
  <c r="P190" i="2"/>
  <c r="Y186" i="2"/>
  <c r="X186" i="2"/>
  <c r="Y185" i="2"/>
  <c r="X185" i="2"/>
  <c r="BP184" i="2"/>
  <c r="BO184" i="2"/>
  <c r="BN184" i="2"/>
  <c r="BM184" i="2"/>
  <c r="Z184" i="2"/>
  <c r="Z185" i="2" s="1"/>
  <c r="Y184" i="2"/>
  <c r="P184" i="2"/>
  <c r="X181" i="2"/>
  <c r="X180" i="2"/>
  <c r="BO179" i="2"/>
  <c r="BM179" i="2"/>
  <c r="Z179" i="2"/>
  <c r="Z180" i="2" s="1"/>
  <c r="Y179" i="2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Y158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Y152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N145" i="2" s="1"/>
  <c r="P145" i="2"/>
  <c r="BO144" i="2"/>
  <c r="BM144" i="2"/>
  <c r="Z144" i="2"/>
  <c r="Y144" i="2"/>
  <c r="BP144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Y138" i="2"/>
  <c r="BP138" i="2" s="1"/>
  <c r="P138" i="2"/>
  <c r="BO137" i="2"/>
  <c r="BM137" i="2"/>
  <c r="Z137" i="2"/>
  <c r="Z140" i="2" s="1"/>
  <c r="Y137" i="2"/>
  <c r="Y141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Y134" i="2" s="1"/>
  <c r="P130" i="2"/>
  <c r="X127" i="2"/>
  <c r="Z126" i="2"/>
  <c r="Y126" i="2"/>
  <c r="X126" i="2"/>
  <c r="BO125" i="2"/>
  <c r="BM125" i="2"/>
  <c r="Z125" i="2"/>
  <c r="Y125" i="2"/>
  <c r="BP125" i="2" s="1"/>
  <c r="P125" i="2"/>
  <c r="Y123" i="2"/>
  <c r="X123" i="2"/>
  <c r="X122" i="2"/>
  <c r="BP121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N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N111" i="2"/>
  <c r="BM111" i="2"/>
  <c r="Z111" i="2"/>
  <c r="Y111" i="2"/>
  <c r="BP111" i="2" s="1"/>
  <c r="P111" i="2"/>
  <c r="BO110" i="2"/>
  <c r="BM110" i="2"/>
  <c r="Z110" i="2"/>
  <c r="Y110" i="2"/>
  <c r="Y119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Z106" i="2" s="1"/>
  <c r="Y104" i="2"/>
  <c r="BP104" i="2" s="1"/>
  <c r="P104" i="2"/>
  <c r="X101" i="2"/>
  <c r="X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O97" i="2"/>
  <c r="BM97" i="2"/>
  <c r="Z97" i="2"/>
  <c r="Z100" i="2" s="1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P94" i="2"/>
  <c r="BO94" i="2"/>
  <c r="BN94" i="2"/>
  <c r="BM94" i="2"/>
  <c r="Z94" i="2"/>
  <c r="Y94" i="2"/>
  <c r="P94" i="2"/>
  <c r="X91" i="2"/>
  <c r="X90" i="2"/>
  <c r="BO89" i="2"/>
  <c r="BM89" i="2"/>
  <c r="Z89" i="2"/>
  <c r="Z90" i="2" s="1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Z79" i="2" s="1"/>
  <c r="Y77" i="2"/>
  <c r="Y79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BN66" i="2" s="1"/>
  <c r="P66" i="2"/>
  <c r="BO65" i="2"/>
  <c r="BM65" i="2"/>
  <c r="Z65" i="2"/>
  <c r="Y65" i="2"/>
  <c r="BP65" i="2" s="1"/>
  <c r="P65" i="2"/>
  <c r="Y63" i="2"/>
  <c r="X63" i="2"/>
  <c r="Y62" i="2"/>
  <c r="X62" i="2"/>
  <c r="BP61" i="2"/>
  <c r="BO61" i="2"/>
  <c r="BN61" i="2"/>
  <c r="BM61" i="2"/>
  <c r="Z61" i="2"/>
  <c r="Z62" i="2" s="1"/>
  <c r="Y61" i="2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Y58" i="2" s="1"/>
  <c r="P53" i="2"/>
  <c r="X50" i="2"/>
  <c r="X49" i="2"/>
  <c r="BO48" i="2"/>
  <c r="BM48" i="2"/>
  <c r="Z48" i="2"/>
  <c r="Z49" i="2" s="1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Y37" i="2"/>
  <c r="X37" i="2"/>
  <c r="X36" i="2"/>
  <c r="BO35" i="2"/>
  <c r="BM35" i="2"/>
  <c r="Z35" i="2"/>
  <c r="Y35" i="2"/>
  <c r="BN35" i="2" s="1"/>
  <c r="P35" i="2"/>
  <c r="BP34" i="2"/>
  <c r="BO34" i="2"/>
  <c r="BM34" i="2"/>
  <c r="Z34" i="2"/>
  <c r="Z36" i="2" s="1"/>
  <c r="Y34" i="2"/>
  <c r="Y36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N24" i="2" s="1"/>
  <c r="P24" i="2"/>
  <c r="BP23" i="2"/>
  <c r="BO23" i="2"/>
  <c r="BN23" i="2"/>
  <c r="BM23" i="2"/>
  <c r="Z23" i="2"/>
  <c r="Y23" i="2"/>
  <c r="P23" i="2"/>
  <c r="BO22" i="2"/>
  <c r="X283" i="2" s="1"/>
  <c r="BM22" i="2"/>
  <c r="Z22" i="2"/>
  <c r="Y22" i="2"/>
  <c r="P22" i="2"/>
  <c r="H10" i="2"/>
  <c r="A9" i="2"/>
  <c r="J9" i="2" s="1"/>
  <c r="D7" i="2"/>
  <c r="Q6" i="2"/>
  <c r="P2" i="2"/>
  <c r="Y31" i="2" l="1"/>
  <c r="X281" i="2"/>
  <c r="Z57" i="2"/>
  <c r="Y73" i="2"/>
  <c r="BP70" i="2"/>
  <c r="BP88" i="2"/>
  <c r="BP105" i="2"/>
  <c r="BP113" i="2"/>
  <c r="Z134" i="2"/>
  <c r="BP131" i="2"/>
  <c r="Z146" i="2"/>
  <c r="BP145" i="2"/>
  <c r="Y147" i="2"/>
  <c r="Z152" i="2"/>
  <c r="Y164" i="2"/>
  <c r="BP178" i="2"/>
  <c r="Z206" i="2"/>
  <c r="BP203" i="2"/>
  <c r="BP243" i="2"/>
  <c r="BP269" i="2"/>
  <c r="BP272" i="2"/>
  <c r="Y207" i="2"/>
  <c r="BN34" i="2"/>
  <c r="Y44" i="2"/>
  <c r="Y49" i="2"/>
  <c r="Y50" i="2"/>
  <c r="Z73" i="2"/>
  <c r="Y74" i="2"/>
  <c r="BP96" i="2"/>
  <c r="Y107" i="2"/>
  <c r="Z118" i="2"/>
  <c r="BN121" i="2"/>
  <c r="Y127" i="2"/>
  <c r="Y135" i="2"/>
  <c r="Z158" i="2"/>
  <c r="Y163" i="2"/>
  <c r="BN191" i="2"/>
  <c r="Y206" i="2"/>
  <c r="Y212" i="2"/>
  <c r="BP227" i="2"/>
  <c r="Y245" i="2"/>
  <c r="Y249" i="2"/>
  <c r="Y261" i="2"/>
  <c r="BP277" i="2"/>
  <c r="X285" i="2"/>
  <c r="BP162" i="2"/>
  <c r="BP205" i="2"/>
  <c r="X282" i="2"/>
  <c r="Z30" i="2"/>
  <c r="Z43" i="2"/>
  <c r="Y80" i="2"/>
  <c r="Y91" i="2"/>
  <c r="Y106" i="2"/>
  <c r="Y146" i="2"/>
  <c r="BP156" i="2"/>
  <c r="Y180" i="2"/>
  <c r="Y235" i="2"/>
  <c r="BN243" i="2"/>
  <c r="Z279" i="2"/>
  <c r="BN276" i="2"/>
  <c r="Z286" i="2"/>
  <c r="X284" i="2"/>
  <c r="Y213" i="2"/>
  <c r="BN273" i="2"/>
  <c r="F9" i="2"/>
  <c r="H9" i="2"/>
  <c r="BN47" i="2"/>
  <c r="Y100" i="2"/>
  <c r="BN132" i="2"/>
  <c r="BN26" i="2"/>
  <c r="BP66" i="2"/>
  <c r="BN114" i="2"/>
  <c r="Y140" i="2"/>
  <c r="BP151" i="2"/>
  <c r="BN253" i="2"/>
  <c r="Y256" i="2"/>
  <c r="BP265" i="2"/>
  <c r="BP270" i="2"/>
  <c r="BN278" i="2"/>
  <c r="A10" i="2"/>
  <c r="F10" i="2"/>
  <c r="BP53" i="2"/>
  <c r="Y67" i="2"/>
  <c r="BP77" i="2"/>
  <c r="BP237" i="2"/>
  <c r="BP253" i="2"/>
  <c r="BN29" i="2"/>
  <c r="BN130" i="2"/>
  <c r="Y222" i="2"/>
  <c r="Y238" i="2"/>
  <c r="Y279" i="2"/>
  <c r="Y68" i="2"/>
  <c r="BP117" i="2"/>
  <c r="BP130" i="2"/>
  <c r="Y153" i="2"/>
  <c r="BP199" i="2"/>
  <c r="BN210" i="2"/>
  <c r="Y267" i="2"/>
  <c r="BN271" i="2"/>
  <c r="BP24" i="2"/>
  <c r="BP35" i="2"/>
  <c r="BN48" i="2"/>
  <c r="BN72" i="2"/>
  <c r="Y90" i="2"/>
  <c r="BN98" i="2"/>
  <c r="BP112" i="2"/>
  <c r="BN133" i="2"/>
  <c r="Y159" i="2"/>
  <c r="Y174" i="2"/>
  <c r="BN190" i="2"/>
  <c r="BP204" i="2"/>
  <c r="BN216" i="2"/>
  <c r="BN233" i="2"/>
  <c r="BN247" i="2"/>
  <c r="BN28" i="2"/>
  <c r="BN55" i="2"/>
  <c r="BN151" i="2"/>
  <c r="BN97" i="2"/>
  <c r="BN157" i="2"/>
  <c r="BN172" i="2"/>
  <c r="BP41" i="2"/>
  <c r="BN77" i="2"/>
  <c r="BN221" i="2"/>
  <c r="BP157" i="2"/>
  <c r="BN89" i="2"/>
  <c r="BP137" i="2"/>
  <c r="BN192" i="2"/>
  <c r="Y266" i="2"/>
  <c r="BP83" i="2"/>
  <c r="BN199" i="2"/>
  <c r="Y84" i="2"/>
  <c r="BP95" i="2"/>
  <c r="BN27" i="2"/>
  <c r="Y30" i="2"/>
  <c r="BP42" i="2"/>
  <c r="BN54" i="2"/>
  <c r="Y57" i="2"/>
  <c r="BN78" i="2"/>
  <c r="BN104" i="2"/>
  <c r="BN115" i="2"/>
  <c r="Y118" i="2"/>
  <c r="BN138" i="2"/>
  <c r="BP167" i="2"/>
  <c r="Y181" i="2"/>
  <c r="Y200" i="2"/>
  <c r="Y223" i="2"/>
  <c r="Y239" i="2"/>
  <c r="BN254" i="2"/>
  <c r="Y280" i="2"/>
  <c r="BP216" i="2"/>
  <c r="BP233" i="2"/>
  <c r="BP247" i="2"/>
  <c r="BN259" i="2"/>
  <c r="BN274" i="2"/>
  <c r="BN41" i="2"/>
  <c r="BN71" i="2"/>
  <c r="BN53" i="2"/>
  <c r="BN137" i="2"/>
  <c r="BN179" i="2"/>
  <c r="BP47" i="2"/>
  <c r="Y101" i="2"/>
  <c r="BP89" i="2"/>
  <c r="BP263" i="2"/>
  <c r="BN167" i="2"/>
  <c r="BN22" i="2"/>
  <c r="Y282" i="2" s="1"/>
  <c r="BN144" i="2"/>
  <c r="Y43" i="2"/>
  <c r="BN65" i="2"/>
  <c r="BN125" i="2"/>
  <c r="BN150" i="2"/>
  <c r="Y168" i="2"/>
  <c r="BN193" i="2"/>
  <c r="BN264" i="2"/>
  <c r="BN83" i="2"/>
  <c r="BP172" i="2"/>
  <c r="BP179" i="2"/>
  <c r="BN56" i="2"/>
  <c r="BN110" i="2"/>
  <c r="BP22" i="2"/>
  <c r="BN70" i="2"/>
  <c r="BP110" i="2"/>
  <c r="BP259" i="2"/>
  <c r="Y281" i="2" l="1"/>
  <c r="Y283" i="2"/>
  <c r="Y284" i="2"/>
  <c r="C294" i="2"/>
  <c r="B294" i="2"/>
  <c r="A294" i="2"/>
  <c r="Y285" i="2"/>
</calcChain>
</file>

<file path=xl/sharedStrings.xml><?xml version="1.0" encoding="utf-8"?>
<sst xmlns="http://schemas.openxmlformats.org/spreadsheetml/2006/main" count="1763" uniqueCount="414">
  <si>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</si>
  <si>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</si>
  <si>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</si>
  <si>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</si>
  <si>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</si>
  <si>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</si>
  <si>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</si>
  <si>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</si>
  <si>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</si>
  <si>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</si>
  <si>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</si>
  <si>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</si>
  <si>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</si>
  <si>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</si>
  <si>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</si>
  <si>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</si>
  <si>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</si>
  <si>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</si>
  <si>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</si>
  <si>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</si>
  <si>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</si>
  <si>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</si>
  <si>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</si>
  <si>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</si>
  <si>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</si>
  <si>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</si>
  <si>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</si>
  <si>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</si>
  <si>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</si>
  <si>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</si>
  <si>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</si>
  <si>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</si>
  <si>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</si>
  <si>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</si>
  <si>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</si>
  <si>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</si>
  <si>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</si>
  <si>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</si>
  <si>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</si>
  <si>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</si>
  <si>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</si>
  <si>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</si>
  <si>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</si>
  <si>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</si>
  <si>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</si>
  <si>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</si>
  <si>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</si>
  <si>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</si>
  <si>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</si>
  <si>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</si>
  <si>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</si>
  <si>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</si>
  <si>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</si>
  <si>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</si>
  <si>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</si>
  <si>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</si>
  <si>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</si>
  <si>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</si>
  <si>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</si>
  <si>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</si>
  <si>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</si>
  <si>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</si>
  <si>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</si>
  <si>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</si>
  <si>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</si>
  <si>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</si>
  <si>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</si>
  <si>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</si>
  <si>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</si>
  <si>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</si>
  <si>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</si>
  <si>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</si>
  <si>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</si>
  <si>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</si>
  <si>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</si>
  <si>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</si>
  <si>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</si>
  <si>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</si>
  <si>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</si>
  <si>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</si>
  <si>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</si>
  <si>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</si>
  <si>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</si>
  <si>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</si>
  <si>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</si>
  <si>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</si>
  <si>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</si>
  <si>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</si>
  <si>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</si>
  <si>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</si>
  <si>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</si>
  <si>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</si>
  <si>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</si>
  <si>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</si>
  <si>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</si>
  <si>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</si>
  <si>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</si>
  <si>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</si>
  <si>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</si>
  <si>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</si>
  <si>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</si>
  <si>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</si>
  <si>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</si>
  <si>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</si>
  <si>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</si>
  <si>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</si>
  <si>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</si>
  <si>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</si>
  <si>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</si>
  <si>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</si>
  <si>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</si>
  <si>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</si>
  <si>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</si>
  <si>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</si>
  <si>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</si>
  <si>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</si>
  <si>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</si>
  <si>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</si>
  <si>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</si>
  <si>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</si>
  <si>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</si>
  <si>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</si>
  <si>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</si>
  <si>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</si>
  <si>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</si>
  <si>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</si>
  <si>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</si>
  <si>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</si>
  <si>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</si>
  <si>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</si>
  <si>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</si>
  <si>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</si>
  <si>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</si>
  <si>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</si>
  <si>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</si>
  <si>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</si>
  <si>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</si>
  <si>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</si>
  <si>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</si>
  <si>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</si>
  <si>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</si>
  <si>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</si>
  <si>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</si>
  <si>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</si>
  <si>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</si>
  <si>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</si>
  <si>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</si>
  <si>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</si>
  <si>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</si>
  <si>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</si>
  <si>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</si>
  <si>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</si>
  <si>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</si>
  <si>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</si>
  <si>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</si>
  <si>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</si>
  <si>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</si>
  <si>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</si>
  <si>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</si>
  <si>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</si>
  <si>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</si>
  <si>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</si>
  <si>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</si>
  <si>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</si>
  <si>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</si>
  <si>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</si>
  <si>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</si>
  <si>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</si>
  <si>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</si>
  <si>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</si>
  <si>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</si>
  <si>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</si>
  <si>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</si>
  <si>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</si>
  <si>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</si>
  <si>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</si>
  <si>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</si>
  <si>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</si>
  <si>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</si>
  <si>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</si>
  <si>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</si>
  <si>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</si>
  <si>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</si>
  <si>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</si>
  <si>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</si>
  <si>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</si>
  <si>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</si>
  <si>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</si>
  <si>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</si>
  <si>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</si>
  <si>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</si>
  <si>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</si>
  <si>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</si>
  <si>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</si>
  <si>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</si>
  <si>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</si>
  <si>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</si>
  <si>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</si>
  <si>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</si>
  <si>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</si>
  <si>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</si>
  <si>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</si>
  <si>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</si>
  <si>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</si>
  <si>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</si>
  <si>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</si>
  <si>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</si>
  <si>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</si>
  <si>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</si>
  <si>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</si>
  <si>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</si>
  <si>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</si>
  <si>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</si>
  <si>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</si>
  <si>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</si>
  <si>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</si>
  <si>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</si>
  <si>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</si>
  <si>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</si>
  <si>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</si>
  <si>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</si>
  <si>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</si>
  <si>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</si>
  <si>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</si>
  <si>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</si>
  <si>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</si>
  <si>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</si>
  <si>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</si>
  <si>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</si>
  <si>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</si>
  <si>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</si>
  <si>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</si>
  <si>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</si>
  <si>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</si>
  <si>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</si>
  <si>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</si>
  <si>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</si>
  <si>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</si>
  <si>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</si>
  <si>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</si>
  <si>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</si>
  <si>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</si>
  <si>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</si>
  <si>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</si>
  <si>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</si>
  <si>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</si>
  <si>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</si>
  <si>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</si>
  <si>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</si>
  <si>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</si>
  <si>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</si>
  <si>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</si>
  <si>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</si>
  <si>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</si>
  <si>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</si>
  <si>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</si>
  <si>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</si>
  <si>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</si>
  <si>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</si>
  <si>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</si>
  <si>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</si>
  <si>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</si>
  <si>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</si>
  <si>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</si>
  <si>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</si>
  <si>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</si>
  <si>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</si>
  <si>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</si>
  <si>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</si>
  <si>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</si>
  <si>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</si>
  <si>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</si>
  <si>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</si>
  <si>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</si>
  <si>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</si>
  <si>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</si>
  <si>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</si>
  <si>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</si>
  <si>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</si>
  <si>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</si>
  <si>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</si>
  <si>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</si>
  <si>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</si>
  <si>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</si>
  <si>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</si>
  <si>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</si>
  <si>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</si>
  <si>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</si>
  <si>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</si>
  <si>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</si>
  <si>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</si>
  <si>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</si>
  <si>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</si>
  <si>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</si>
  <si>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</si>
  <si>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</si>
  <si>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</si>
  <si>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</si>
  <si>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</si>
  <si>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</si>
  <si>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</si>
  <si>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</si>
  <si>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</si>
  <si>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</si>
  <si>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</si>
  <si>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</si>
  <si>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</si>
  <si>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</si>
  <si>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</si>
  <si>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</si>
  <si>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</si>
  <si>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</si>
  <si>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</si>
  <si>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</si>
  <si>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</si>
  <si>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</si>
  <si>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</si>
  <si>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</si>
  <si>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</si>
  <si>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</si>
  <si>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</si>
  <si>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</si>
  <si>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</si>
  <si>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</si>
  <si>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</si>
  <si>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</si>
  <si>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</si>
  <si>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</si>
  <si>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</si>
  <si>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</si>
  <si>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</si>
  <si>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</si>
  <si>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</si>
  <si>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</si>
  <si>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</si>
  <si>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</si>
  <si>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</si>
  <si>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</si>
  <si>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</si>
  <si>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</si>
  <si>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</si>
  <si>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</si>
  <si>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</si>
  <si>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</si>
  <si>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</si>
  <si>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</si>
  <si>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</si>
  <si>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</si>
  <si>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</si>
  <si>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</si>
  <si>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</si>
  <si>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</si>
  <si>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</si>
  <si>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</si>
  <si>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</si>
  <si>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</si>
  <si>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</si>
  <si>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</si>
  <si>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</si>
  <si>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</si>
  <si>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</si>
  <si>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</si>
  <si>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</si>
  <si>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</si>
  <si>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</si>
  <si>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</si>
  <si>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</si>
  <si>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</si>
  <si>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</si>
  <si>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</si>
  <si>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</si>
  <si>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</si>
  <si>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</si>
  <si>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</si>
  <si>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</si>
  <si>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</si>
  <si>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</si>
  <si>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</si>
  <si>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</si>
  <si>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</si>
  <si>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</si>
  <si>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</si>
  <si>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</si>
  <si>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</si>
  <si>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</si>
  <si>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</si>
  <si>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</si>
  <si>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</si>
  <si>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</si>
  <si>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</si>
  <si>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</si>
  <si>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</si>
  <si>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</si>
  <si>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</si>
  <si>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</si>
  <si>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</si>
  <si>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</si>
  <si>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Запорожская обл, Мелитополь г, Семёновка с., Северный переезд ул, стр 3,</t>
  </si>
  <si>
    <t>596383_10</t>
  </si>
  <si>
    <t>3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</si>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</sst>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9" t="s">
        <v>26</v>
      </c>
      <c r="E1" s="289"/>
      <c r="F1" s="289"/>
      <c r="G1" s="14" t="s">
        <v>70</v>
      </c>
      <c r="H1" s="289" t="s">
        <v>47</v>
      </c>
      <c r="I1" s="289"/>
      <c r="J1" s="289"/>
      <c r="K1" s="289"/>
      <c r="L1" s="289"/>
      <c r="M1" s="289"/>
      <c r="N1" s="289"/>
      <c r="O1" s="289"/>
      <c r="P1" s="289"/>
      <c r="Q1" s="289"/>
      <c r="R1" s="290" t="s">
        <v>71</v>
      </c>
      <c r="S1" s="291"/>
      <c r="T1" s="29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2"/>
      <c r="Q3" s="292"/>
      <c r="R3" s="292"/>
      <c r="S3" s="292"/>
      <c r="T3" s="292"/>
      <c r="U3" s="292"/>
      <c r="V3" s="292"/>
      <c r="W3" s="29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3" t="s">
        <v>8</v>
      </c>
      <c r="B5" s="293"/>
      <c r="C5" s="293"/>
      <c r="D5" s="294"/>
      <c r="E5" s="294"/>
      <c r="F5" s="295" t="s">
        <v>14</v>
      </c>
      <c r="G5" s="295"/>
      <c r="H5" s="294"/>
      <c r="I5" s="294"/>
      <c r="J5" s="294"/>
      <c r="K5" s="294"/>
      <c r="L5" s="294"/>
      <c r="M5" s="294"/>
      <c r="N5" s="75"/>
      <c r="P5" s="27" t="s">
        <v>4</v>
      </c>
      <c r="Q5" s="296">
        <v>46272</v>
      </c>
      <c r="R5" s="296"/>
      <c r="T5" s="297" t="s">
        <v>3</v>
      </c>
      <c r="U5" s="298"/>
      <c r="V5" s="299" t="s">
        <v>390</v>
      </c>
      <c r="W5" s="300"/>
      <c r="AB5" s="59"/>
      <c r="AC5" s="59"/>
      <c r="AD5" s="59"/>
      <c r="AE5" s="59"/>
    </row>
    <row r="6" spans="1:32" s="17" customFormat="1" ht="24" customHeight="1" x14ac:dyDescent="0.2">
      <c r="A6" s="293" t="s">
        <v>1</v>
      </c>
      <c r="B6" s="293"/>
      <c r="C6" s="293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76"/>
      <c r="P6" s="27" t="s">
        <v>27</v>
      </c>
      <c r="Q6" s="302" t="str">
        <f>IF(Q5=0," ",CHOOSE(WEEKDAY(Q5,2),"Понедельник","Вторник","Среда","Четверг","Пятница","Суббота","Воскресенье"))</f>
        <v>Понедельник</v>
      </c>
      <c r="R6" s="302"/>
      <c r="T6" s="303" t="s">
        <v>5</v>
      </c>
      <c r="U6" s="304"/>
      <c r="V6" s="305" t="s">
        <v>73</v>
      </c>
      <c r="W6" s="30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1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77"/>
      <c r="P7" s="29"/>
      <c r="Q7" s="48"/>
      <c r="R7" s="48"/>
      <c r="T7" s="303"/>
      <c r="U7" s="304"/>
      <c r="V7" s="307"/>
      <c r="W7" s="308"/>
      <c r="AB7" s="59"/>
      <c r="AC7" s="59"/>
      <c r="AD7" s="59"/>
      <c r="AE7" s="59"/>
    </row>
    <row r="8" spans="1:32" s="17" customFormat="1" ht="25.5" customHeight="1" x14ac:dyDescent="0.2">
      <c r="A8" s="314" t="s">
        <v>58</v>
      </c>
      <c r="B8" s="314"/>
      <c r="C8" s="314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78"/>
      <c r="P8" s="27" t="s">
        <v>11</v>
      </c>
      <c r="Q8" s="316">
        <v>0.41666666666666669</v>
      </c>
      <c r="R8" s="316"/>
      <c r="T8" s="303"/>
      <c r="U8" s="304"/>
      <c r="V8" s="307"/>
      <c r="W8" s="308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3"/>
      <c r="U9" s="304"/>
      <c r="V9" s="309"/>
      <c r="W9" s="31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6"/>
      <c r="R12" s="316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4"/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5"/>
      <c r="P49" s="371" t="s">
        <v>40</v>
      </c>
      <c r="Q49" s="372"/>
      <c r="R49" s="372"/>
      <c r="S49" s="372"/>
      <c r="T49" s="372"/>
      <c r="U49" s="372"/>
      <c r="V49" s="373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8" t="s">
        <v>128</v>
      </c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65"/>
      <c r="AB51" s="65"/>
      <c r="AC51" s="82"/>
    </row>
    <row r="52" spans="1:68" ht="14.25" customHeight="1" x14ac:dyDescent="0.25">
      <c r="A52" s="359" t="s">
        <v>80</v>
      </c>
      <c r="B52" s="359"/>
      <c r="C52" s="359"/>
      <c r="D52" s="359"/>
      <c r="E52" s="359"/>
      <c r="F52" s="359"/>
      <c r="G52" s="359"/>
      <c r="H52" s="359"/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359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60">
        <v>4607111039385</v>
      </c>
      <c r="E53" s="36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2"/>
      <c r="R53" s="362"/>
      <c r="S53" s="362"/>
      <c r="T53" s="36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60">
        <v>4607111038982</v>
      </c>
      <c r="E54" s="36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60">
        <v>4607111039354</v>
      </c>
      <c r="E55" s="36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60">
        <v>4607111039330</v>
      </c>
      <c r="E56" s="36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4"/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5"/>
      <c r="P57" s="371" t="s">
        <v>40</v>
      </c>
      <c r="Q57" s="372"/>
      <c r="R57" s="372"/>
      <c r="S57" s="372"/>
      <c r="T57" s="372"/>
      <c r="U57" s="372"/>
      <c r="V57" s="373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8" t="s">
        <v>139</v>
      </c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65"/>
      <c r="AB59" s="65"/>
      <c r="AC59" s="82"/>
    </row>
    <row r="60" spans="1:68" ht="14.25" customHeight="1" x14ac:dyDescent="0.25">
      <c r="A60" s="359" t="s">
        <v>111</v>
      </c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60">
        <v>4607111039712</v>
      </c>
      <c r="E61" s="36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2"/>
      <c r="R61" s="362"/>
      <c r="S61" s="362"/>
      <c r="T61" s="36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4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5"/>
      <c r="P62" s="371" t="s">
        <v>40</v>
      </c>
      <c r="Q62" s="372"/>
      <c r="R62" s="372"/>
      <c r="S62" s="372"/>
      <c r="T62" s="372"/>
      <c r="U62" s="372"/>
      <c r="V62" s="373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9" t="s">
        <v>143</v>
      </c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359"/>
      <c r="O64" s="359"/>
      <c r="P64" s="359"/>
      <c r="Q64" s="359"/>
      <c r="R64" s="359"/>
      <c r="S64" s="359"/>
      <c r="T64" s="359"/>
      <c r="U64" s="359"/>
      <c r="V64" s="359"/>
      <c r="W64" s="359"/>
      <c r="X64" s="359"/>
      <c r="Y64" s="359"/>
      <c r="Z64" s="359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360">
        <v>4607111037008</v>
      </c>
      <c r="E65" s="360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2"/>
      <c r="R65" s="362"/>
      <c r="S65" s="362"/>
      <c r="T65" s="36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360">
        <v>4607111037398</v>
      </c>
      <c r="E66" s="360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59" t="s">
        <v>149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360">
        <v>4607111039705</v>
      </c>
      <c r="E70" s="36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360">
        <v>4607111039729</v>
      </c>
      <c r="E71" s="36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360">
        <v>4620207490228</v>
      </c>
      <c r="E72" s="360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2"/>
      <c r="R72" s="362"/>
      <c r="S72" s="362"/>
      <c r="T72" s="363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4"/>
      <c r="B74" s="374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5"/>
      <c r="P74" s="371" t="s">
        <v>40</v>
      </c>
      <c r="Q74" s="372"/>
      <c r="R74" s="372"/>
      <c r="S74" s="372"/>
      <c r="T74" s="372"/>
      <c r="U74" s="372"/>
      <c r="V74" s="373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58" t="s">
        <v>157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65"/>
      <c r="AB75" s="65"/>
      <c r="AC75" s="82"/>
    </row>
    <row r="76" spans="1:68" ht="14.25" customHeight="1" x14ac:dyDescent="0.25">
      <c r="A76" s="359" t="s">
        <v>80</v>
      </c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/>
      <c r="V76" s="359"/>
      <c r="W76" s="359"/>
      <c r="X76" s="359"/>
      <c r="Y76" s="359"/>
      <c r="Z76" s="359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360">
        <v>4607111037411</v>
      </c>
      <c r="E77" s="360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9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360">
        <v>4607111036728</v>
      </c>
      <c r="E78" s="360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2"/>
      <c r="R78" s="362"/>
      <c r="S78" s="362"/>
      <c r="T78" s="363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4"/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5"/>
      <c r="P80" s="371" t="s">
        <v>40</v>
      </c>
      <c r="Q80" s="372"/>
      <c r="R80" s="372"/>
      <c r="S80" s="372"/>
      <c r="T80" s="372"/>
      <c r="U80" s="372"/>
      <c r="V80" s="373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58" t="s">
        <v>164</v>
      </c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65"/>
      <c r="AB81" s="65"/>
      <c r="AC81" s="82"/>
    </row>
    <row r="82" spans="1:68" ht="14.25" customHeight="1" x14ac:dyDescent="0.25">
      <c r="A82" s="359" t="s">
        <v>149</v>
      </c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60">
        <v>4607111033659</v>
      </c>
      <c r="E83" s="360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58" t="s">
        <v>168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customHeight="1" x14ac:dyDescent="0.25">
      <c r="A87" s="359" t="s">
        <v>169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60">
        <v>4607111034120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60">
        <v>4607111034137</v>
      </c>
      <c r="E89" s="360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2"/>
      <c r="R89" s="362"/>
      <c r="S89" s="362"/>
      <c r="T89" s="363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74"/>
      <c r="B91" s="374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5"/>
      <c r="P91" s="371" t="s">
        <v>40</v>
      </c>
      <c r="Q91" s="372"/>
      <c r="R91" s="372"/>
      <c r="S91" s="372"/>
      <c r="T91" s="372"/>
      <c r="U91" s="372"/>
      <c r="V91" s="373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58" t="s">
        <v>176</v>
      </c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65"/>
      <c r="AB92" s="65"/>
      <c r="AC92" s="82"/>
    </row>
    <row r="93" spans="1:68" ht="14.25" customHeight="1" x14ac:dyDescent="0.25">
      <c r="A93" s="359" t="s">
        <v>149</v>
      </c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60">
        <v>4620207491027</v>
      </c>
      <c r="E94" s="36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179</v>
      </c>
      <c r="B95" s="63" t="s">
        <v>180</v>
      </c>
      <c r="C95" s="36">
        <v>4301135914</v>
      </c>
      <c r="D95" s="360">
        <v>4620207491621</v>
      </c>
      <c r="E95" s="36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2"/>
      <c r="R95" s="362"/>
      <c r="S95" s="362"/>
      <c r="T95" s="36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181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4301135990</v>
      </c>
      <c r="D96" s="360">
        <v>4620207491881</v>
      </c>
      <c r="E96" s="36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2"/>
      <c r="R96" s="362"/>
      <c r="S96" s="362"/>
      <c r="T96" s="36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181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60">
        <v>4620207491010</v>
      </c>
      <c r="E97" s="36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40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2"/>
      <c r="R97" s="362"/>
      <c r="S97" s="362"/>
      <c r="T97" s="36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4301135984</v>
      </c>
      <c r="D98" s="360">
        <v>4620207491874</v>
      </c>
      <c r="E98" s="360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40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2"/>
      <c r="R98" s="362"/>
      <c r="S98" s="362"/>
      <c r="T98" s="36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181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360">
        <v>4607111036407</v>
      </c>
      <c r="E99" s="360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40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4"/>
      <c r="B100" s="374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5"/>
      <c r="P100" s="371" t="s">
        <v>40</v>
      </c>
      <c r="Q100" s="372"/>
      <c r="R100" s="372"/>
      <c r="S100" s="372"/>
      <c r="T100" s="372"/>
      <c r="U100" s="372"/>
      <c r="V100" s="373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74"/>
      <c r="B101" s="374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5"/>
      <c r="P101" s="371" t="s">
        <v>40</v>
      </c>
      <c r="Q101" s="372"/>
      <c r="R101" s="372"/>
      <c r="S101" s="372"/>
      <c r="T101" s="372"/>
      <c r="U101" s="372"/>
      <c r="V101" s="373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58" t="s">
        <v>191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65"/>
      <c r="AB102" s="65"/>
      <c r="AC102" s="82"/>
    </row>
    <row r="103" spans="1:68" ht="14.25" customHeight="1" x14ac:dyDescent="0.25">
      <c r="A103" s="359" t="s">
        <v>143</v>
      </c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59"/>
      <c r="P103" s="359"/>
      <c r="Q103" s="359"/>
      <c r="R103" s="359"/>
      <c r="S103" s="359"/>
      <c r="T103" s="359"/>
      <c r="U103" s="359"/>
      <c r="V103" s="359"/>
      <c r="W103" s="359"/>
      <c r="X103" s="359"/>
      <c r="Y103" s="359"/>
      <c r="Z103" s="359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4301136070</v>
      </c>
      <c r="D104" s="360">
        <v>4607025784012</v>
      </c>
      <c r="E104" s="360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4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4301136103</v>
      </c>
      <c r="D105" s="360">
        <v>4620207491645</v>
      </c>
      <c r="E105" s="360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86</v>
      </c>
      <c r="M105" s="38" t="s">
        <v>84</v>
      </c>
      <c r="N105" s="38"/>
      <c r="O105" s="37">
        <v>180</v>
      </c>
      <c r="P105" s="40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2"/>
      <c r="R105" s="362"/>
      <c r="S105" s="362"/>
      <c r="T105" s="363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197</v>
      </c>
      <c r="AG105" s="81"/>
      <c r="AJ105" s="87" t="s">
        <v>87</v>
      </c>
      <c r="AK105" s="87">
        <v>1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4"/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5"/>
      <c r="P107" s="371" t="s">
        <v>40</v>
      </c>
      <c r="Q107" s="372"/>
      <c r="R107" s="372"/>
      <c r="S107" s="372"/>
      <c r="T107" s="372"/>
      <c r="U107" s="372"/>
      <c r="V107" s="373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58" t="s">
        <v>198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65"/>
      <c r="AB108" s="65"/>
      <c r="AC108" s="82"/>
    </row>
    <row r="109" spans="1:68" ht="14.25" customHeight="1" x14ac:dyDescent="0.25">
      <c r="A109" s="359" t="s">
        <v>80</v>
      </c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59"/>
      <c r="P109" s="359"/>
      <c r="Q109" s="359"/>
      <c r="R109" s="359"/>
      <c r="S109" s="359"/>
      <c r="T109" s="359"/>
      <c r="U109" s="359"/>
      <c r="V109" s="359"/>
      <c r="W109" s="359"/>
      <c r="X109" s="359"/>
      <c r="Y109" s="359"/>
      <c r="Z109" s="359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360">
        <v>4620207491157</v>
      </c>
      <c r="E110" s="360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360">
        <v>4620207491393</v>
      </c>
      <c r="E111" s="360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2"/>
      <c r="R111" s="362"/>
      <c r="S111" s="362"/>
      <c r="T111" s="36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4301071136</v>
      </c>
      <c r="D112" s="360">
        <v>4620207491829</v>
      </c>
      <c r="E112" s="360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7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2"/>
      <c r="R112" s="362"/>
      <c r="S112" s="362"/>
      <c r="T112" s="363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204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4301071051</v>
      </c>
      <c r="D113" s="360">
        <v>4607111039262</v>
      </c>
      <c r="E113" s="360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2"/>
      <c r="R113" s="362"/>
      <c r="S113" s="362"/>
      <c r="T113" s="36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4301071038</v>
      </c>
      <c r="D114" s="360">
        <v>4607111039248</v>
      </c>
      <c r="E114" s="360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2"/>
      <c r="R114" s="362"/>
      <c r="S114" s="362"/>
      <c r="T114" s="36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4301070979</v>
      </c>
      <c r="D115" s="360">
        <v>4607111037145</v>
      </c>
      <c r="E115" s="360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1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213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214</v>
      </c>
      <c r="B116" s="63" t="s">
        <v>215</v>
      </c>
      <c r="C116" s="36">
        <v>4301071049</v>
      </c>
      <c r="D116" s="360">
        <v>4607111039293</v>
      </c>
      <c r="E116" s="36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216</v>
      </c>
      <c r="B117" s="63" t="s">
        <v>217</v>
      </c>
      <c r="C117" s="36">
        <v>4301071039</v>
      </c>
      <c r="D117" s="360">
        <v>4607111039279</v>
      </c>
      <c r="E117" s="36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1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74"/>
      <c r="B118" s="374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5"/>
      <c r="P118" s="371" t="s">
        <v>40</v>
      </c>
      <c r="Q118" s="372"/>
      <c r="R118" s="372"/>
      <c r="S118" s="372"/>
      <c r="T118" s="372"/>
      <c r="U118" s="372"/>
      <c r="V118" s="373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74"/>
      <c r="B119" s="374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5"/>
      <c r="P119" s="371" t="s">
        <v>40</v>
      </c>
      <c r="Q119" s="372"/>
      <c r="R119" s="372"/>
      <c r="S119" s="372"/>
      <c r="T119" s="372"/>
      <c r="U119" s="372"/>
      <c r="V119" s="373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59" t="s">
        <v>149</v>
      </c>
      <c r="B120" s="359"/>
      <c r="C120" s="359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  <c r="AA120" s="66"/>
      <c r="AB120" s="66"/>
      <c r="AC120" s="83"/>
    </row>
    <row r="121" spans="1:68" ht="27" customHeight="1" x14ac:dyDescent="0.25">
      <c r="A121" s="63" t="s">
        <v>218</v>
      </c>
      <c r="B121" s="63" t="s">
        <v>219</v>
      </c>
      <c r="C121" s="36">
        <v>4301135826</v>
      </c>
      <c r="D121" s="360">
        <v>4620207490983</v>
      </c>
      <c r="E121" s="360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1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220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5"/>
      <c r="P122" s="371" t="s">
        <v>40</v>
      </c>
      <c r="Q122" s="372"/>
      <c r="R122" s="372"/>
      <c r="S122" s="372"/>
      <c r="T122" s="372"/>
      <c r="U122" s="372"/>
      <c r="V122" s="373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59" t="s">
        <v>221</v>
      </c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4301071094</v>
      </c>
      <c r="D125" s="360">
        <v>4620207491140</v>
      </c>
      <c r="E125" s="360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2"/>
      <c r="R125" s="362"/>
      <c r="S125" s="362"/>
      <c r="T125" s="36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5"/>
      <c r="P126" s="371" t="s">
        <v>40</v>
      </c>
      <c r="Q126" s="372"/>
      <c r="R126" s="372"/>
      <c r="S126" s="372"/>
      <c r="T126" s="372"/>
      <c r="U126" s="372"/>
      <c r="V126" s="37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58" t="s">
        <v>225</v>
      </c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65"/>
      <c r="AB128" s="65"/>
      <c r="AC128" s="82"/>
    </row>
    <row r="129" spans="1:68" ht="14.25" customHeight="1" x14ac:dyDescent="0.25">
      <c r="A129" s="359" t="s">
        <v>149</v>
      </c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66"/>
      <c r="AB129" s="66"/>
      <c r="AC129" s="83"/>
    </row>
    <row r="130" spans="1:68" ht="27" customHeight="1" x14ac:dyDescent="0.25">
      <c r="A130" s="63" t="s">
        <v>226</v>
      </c>
      <c r="B130" s="63" t="s">
        <v>227</v>
      </c>
      <c r="C130" s="36">
        <v>4301135848</v>
      </c>
      <c r="D130" s="360">
        <v>4620207491799</v>
      </c>
      <c r="E130" s="360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2"/>
      <c r="R130" s="362"/>
      <c r="S130" s="362"/>
      <c r="T130" s="36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228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229</v>
      </c>
      <c r="B131" s="63" t="s">
        <v>230</v>
      </c>
      <c r="C131" s="36">
        <v>4301135850</v>
      </c>
      <c r="D131" s="360">
        <v>4620207491492</v>
      </c>
      <c r="E131" s="360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2"/>
      <c r="R131" s="362"/>
      <c r="S131" s="362"/>
      <c r="T131" s="363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228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231</v>
      </c>
      <c r="B132" s="63" t="s">
        <v>232</v>
      </c>
      <c r="C132" s="36">
        <v>4301190118</v>
      </c>
      <c r="D132" s="360">
        <v>4620207491461</v>
      </c>
      <c r="E132" s="360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2"/>
      <c r="R132" s="362"/>
      <c r="S132" s="362"/>
      <c r="T132" s="363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228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233</v>
      </c>
      <c r="B133" s="63" t="s">
        <v>234</v>
      </c>
      <c r="C133" s="36">
        <v>4301135865</v>
      </c>
      <c r="D133" s="360">
        <v>4620207491485</v>
      </c>
      <c r="E133" s="36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2"/>
      <c r="R133" s="362"/>
      <c r="S133" s="362"/>
      <c r="T133" s="363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228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4"/>
      <c r="B134" s="374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5"/>
      <c r="P134" s="371" t="s">
        <v>40</v>
      </c>
      <c r="Q134" s="372"/>
      <c r="R134" s="372"/>
      <c r="S134" s="372"/>
      <c r="T134" s="372"/>
      <c r="U134" s="372"/>
      <c r="V134" s="373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374"/>
      <c r="B135" s="374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5"/>
      <c r="P135" s="371" t="s">
        <v>40</v>
      </c>
      <c r="Q135" s="372"/>
      <c r="R135" s="372"/>
      <c r="S135" s="372"/>
      <c r="T135" s="372"/>
      <c r="U135" s="372"/>
      <c r="V135" s="373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59" t="s">
        <v>235</v>
      </c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  <c r="W136" s="359"/>
      <c r="X136" s="359"/>
      <c r="Y136" s="359"/>
      <c r="Z136" s="359"/>
      <c r="AA136" s="66"/>
      <c r="AB136" s="66"/>
      <c r="AC136" s="83"/>
    </row>
    <row r="137" spans="1:68" ht="27" customHeight="1" x14ac:dyDescent="0.25">
      <c r="A137" s="63" t="s">
        <v>236</v>
      </c>
      <c r="B137" s="63" t="s">
        <v>237</v>
      </c>
      <c r="C137" s="36">
        <v>4301190117</v>
      </c>
      <c r="D137" s="360">
        <v>4620207491386</v>
      </c>
      <c r="E137" s="360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239</v>
      </c>
      <c r="B138" s="63" t="s">
        <v>240</v>
      </c>
      <c r="C138" s="36">
        <v>4301190115</v>
      </c>
      <c r="D138" s="360">
        <v>4620207491362</v>
      </c>
      <c r="E138" s="360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2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2"/>
      <c r="R138" s="362"/>
      <c r="S138" s="362"/>
      <c r="T138" s="363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238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241</v>
      </c>
      <c r="B139" s="63" t="s">
        <v>242</v>
      </c>
      <c r="C139" s="36">
        <v>4301190116</v>
      </c>
      <c r="D139" s="360">
        <v>4620207491379</v>
      </c>
      <c r="E139" s="360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2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2"/>
      <c r="R139" s="362"/>
      <c r="S139" s="362"/>
      <c r="T139" s="36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238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5"/>
      <c r="P140" s="371" t="s">
        <v>40</v>
      </c>
      <c r="Q140" s="372"/>
      <c r="R140" s="372"/>
      <c r="S140" s="372"/>
      <c r="T140" s="372"/>
      <c r="U140" s="372"/>
      <c r="V140" s="373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4"/>
      <c r="B141" s="3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5"/>
      <c r="P141" s="371" t="s">
        <v>40</v>
      </c>
      <c r="Q141" s="372"/>
      <c r="R141" s="372"/>
      <c r="S141" s="372"/>
      <c r="T141" s="372"/>
      <c r="U141" s="372"/>
      <c r="V141" s="373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8" t="s">
        <v>243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65"/>
      <c r="AB142" s="65"/>
      <c r="AC142" s="82"/>
    </row>
    <row r="143" spans="1:68" ht="14.25" customHeight="1" x14ac:dyDescent="0.25">
      <c r="A143" s="359" t="s">
        <v>149</v>
      </c>
      <c r="B143" s="359"/>
      <c r="C143" s="359"/>
      <c r="D143" s="359"/>
      <c r="E143" s="359"/>
      <c r="F143" s="359"/>
      <c r="G143" s="359"/>
      <c r="H143" s="359"/>
      <c r="I143" s="359"/>
      <c r="J143" s="359"/>
      <c r="K143" s="359"/>
      <c r="L143" s="359"/>
      <c r="M143" s="359"/>
      <c r="N143" s="359"/>
      <c r="O143" s="359"/>
      <c r="P143" s="359"/>
      <c r="Q143" s="359"/>
      <c r="R143" s="359"/>
      <c r="S143" s="359"/>
      <c r="T143" s="359"/>
      <c r="U143" s="359"/>
      <c r="V143" s="359"/>
      <c r="W143" s="359"/>
      <c r="X143" s="359"/>
      <c r="Y143" s="359"/>
      <c r="Z143" s="359"/>
      <c r="AA143" s="66"/>
      <c r="AB143" s="66"/>
      <c r="AC143" s="83"/>
    </row>
    <row r="144" spans="1:68" ht="27" customHeight="1" x14ac:dyDescent="0.25">
      <c r="A144" s="63" t="s">
        <v>244</v>
      </c>
      <c r="B144" s="63" t="s">
        <v>245</v>
      </c>
      <c r="C144" s="36">
        <v>4301135555</v>
      </c>
      <c r="D144" s="360">
        <v>4607111034014</v>
      </c>
      <c r="E144" s="360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2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2"/>
      <c r="R144" s="362"/>
      <c r="S144" s="362"/>
      <c r="T144" s="363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246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247</v>
      </c>
      <c r="B145" s="63" t="s">
        <v>248</v>
      </c>
      <c r="C145" s="36">
        <v>4301135532</v>
      </c>
      <c r="D145" s="360">
        <v>4607111033994</v>
      </c>
      <c r="E145" s="360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2"/>
      <c r="R145" s="362"/>
      <c r="S145" s="362"/>
      <c r="T145" s="363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5"/>
      <c r="P146" s="371" t="s">
        <v>40</v>
      </c>
      <c r="Q146" s="372"/>
      <c r="R146" s="372"/>
      <c r="S146" s="372"/>
      <c r="T146" s="372"/>
      <c r="U146" s="372"/>
      <c r="V146" s="373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74"/>
      <c r="B147" s="374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5"/>
      <c r="P147" s="371" t="s">
        <v>40</v>
      </c>
      <c r="Q147" s="372"/>
      <c r="R147" s="372"/>
      <c r="S147" s="372"/>
      <c r="T147" s="372"/>
      <c r="U147" s="372"/>
      <c r="V147" s="373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58" t="s">
        <v>249</v>
      </c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65"/>
      <c r="AB148" s="65"/>
      <c r="AC148" s="82"/>
    </row>
    <row r="149" spans="1:68" ht="14.25" customHeight="1" x14ac:dyDescent="0.25">
      <c r="A149" s="359" t="s">
        <v>149</v>
      </c>
      <c r="B149" s="359"/>
      <c r="C149" s="359"/>
      <c r="D149" s="359"/>
      <c r="E149" s="359"/>
      <c r="F149" s="359"/>
      <c r="G149" s="359"/>
      <c r="H149" s="359"/>
      <c r="I149" s="359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59"/>
      <c r="V149" s="359"/>
      <c r="W149" s="359"/>
      <c r="X149" s="359"/>
      <c r="Y149" s="359"/>
      <c r="Z149" s="359"/>
      <c r="AA149" s="66"/>
      <c r="AB149" s="66"/>
      <c r="AC149" s="83"/>
    </row>
    <row r="150" spans="1:68" ht="27" customHeight="1" x14ac:dyDescent="0.25">
      <c r="A150" s="63" t="s">
        <v>250</v>
      </c>
      <c r="B150" s="63" t="s">
        <v>251</v>
      </c>
      <c r="C150" s="36">
        <v>4301135824</v>
      </c>
      <c r="D150" s="360">
        <v>4607111039095</v>
      </c>
      <c r="E150" s="360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2"/>
      <c r="R150" s="362"/>
      <c r="S150" s="362"/>
      <c r="T150" s="363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252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253</v>
      </c>
      <c r="B151" s="63" t="s">
        <v>254</v>
      </c>
      <c r="C151" s="36">
        <v>4301135946</v>
      </c>
      <c r="D151" s="360">
        <v>4620207491553</v>
      </c>
      <c r="E151" s="360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62"/>
      <c r="R151" s="362"/>
      <c r="S151" s="362"/>
      <c r="T151" s="363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255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5"/>
      <c r="P152" s="371" t="s">
        <v>40</v>
      </c>
      <c r="Q152" s="372"/>
      <c r="R152" s="372"/>
      <c r="S152" s="372"/>
      <c r="T152" s="372"/>
      <c r="U152" s="372"/>
      <c r="V152" s="373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374"/>
      <c r="B153" s="374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5"/>
      <c r="P153" s="371" t="s">
        <v>40</v>
      </c>
      <c r="Q153" s="372"/>
      <c r="R153" s="372"/>
      <c r="S153" s="372"/>
      <c r="T153" s="372"/>
      <c r="U153" s="372"/>
      <c r="V153" s="373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58" t="s">
        <v>256</v>
      </c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65"/>
      <c r="AB154" s="65"/>
      <c r="AC154" s="82"/>
    </row>
    <row r="155" spans="1:68" ht="14.25" customHeight="1" x14ac:dyDescent="0.25">
      <c r="A155" s="359" t="s">
        <v>149</v>
      </c>
      <c r="B155" s="359"/>
      <c r="C155" s="359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  <c r="R155" s="359"/>
      <c r="S155" s="359"/>
      <c r="T155" s="359"/>
      <c r="U155" s="359"/>
      <c r="V155" s="359"/>
      <c r="W155" s="359"/>
      <c r="X155" s="359"/>
      <c r="Y155" s="359"/>
      <c r="Z155" s="359"/>
      <c r="AA155" s="66"/>
      <c r="AB155" s="66"/>
      <c r="AC155" s="83"/>
    </row>
    <row r="156" spans="1:68" ht="27" customHeight="1" x14ac:dyDescent="0.25">
      <c r="A156" s="63" t="s">
        <v>257</v>
      </c>
      <c r="B156" s="63" t="s">
        <v>258</v>
      </c>
      <c r="C156" s="36">
        <v>4301135753</v>
      </c>
      <c r="D156" s="360">
        <v>4620207490914</v>
      </c>
      <c r="E156" s="360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2"/>
      <c r="R156" s="362"/>
      <c r="S156" s="362"/>
      <c r="T156" s="363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246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259</v>
      </c>
      <c r="B157" s="63" t="s">
        <v>260</v>
      </c>
      <c r="C157" s="36">
        <v>4301135778</v>
      </c>
      <c r="D157" s="360">
        <v>4620207490853</v>
      </c>
      <c r="E157" s="360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2"/>
      <c r="R157" s="362"/>
      <c r="S157" s="362"/>
      <c r="T157" s="363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246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5"/>
      <c r="P158" s="371" t="s">
        <v>40</v>
      </c>
      <c r="Q158" s="372"/>
      <c r="R158" s="372"/>
      <c r="S158" s="372"/>
      <c r="T158" s="372"/>
      <c r="U158" s="372"/>
      <c r="V158" s="373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4"/>
      <c r="B159" s="374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5"/>
      <c r="P159" s="371" t="s">
        <v>40</v>
      </c>
      <c r="Q159" s="372"/>
      <c r="R159" s="372"/>
      <c r="S159" s="372"/>
      <c r="T159" s="372"/>
      <c r="U159" s="372"/>
      <c r="V159" s="373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8" t="s">
        <v>261</v>
      </c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65"/>
      <c r="AB160" s="65"/>
      <c r="AC160" s="82"/>
    </row>
    <row r="161" spans="1:68" ht="14.25" customHeight="1" x14ac:dyDescent="0.25">
      <c r="A161" s="359" t="s">
        <v>149</v>
      </c>
      <c r="B161" s="359"/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59"/>
      <c r="V161" s="359"/>
      <c r="W161" s="359"/>
      <c r="X161" s="359"/>
      <c r="Y161" s="359"/>
      <c r="Z161" s="359"/>
      <c r="AA161" s="66"/>
      <c r="AB161" s="66"/>
      <c r="AC161" s="83"/>
    </row>
    <row r="162" spans="1:68" ht="27" customHeight="1" x14ac:dyDescent="0.25">
      <c r="A162" s="63" t="s">
        <v>262</v>
      </c>
      <c r="B162" s="63" t="s">
        <v>263</v>
      </c>
      <c r="C162" s="36">
        <v>4301135940</v>
      </c>
      <c r="D162" s="360">
        <v>4620207491614</v>
      </c>
      <c r="E162" s="360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86</v>
      </c>
      <c r="M162" s="38" t="s">
        <v>84</v>
      </c>
      <c r="N162" s="38"/>
      <c r="O162" s="37">
        <v>180</v>
      </c>
      <c r="P162" s="42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2"/>
      <c r="R162" s="362"/>
      <c r="S162" s="362"/>
      <c r="T162" s="36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264</v>
      </c>
      <c r="AG162" s="81"/>
      <c r="AJ162" s="87" t="s">
        <v>87</v>
      </c>
      <c r="AK162" s="87">
        <v>1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5"/>
      <c r="P164" s="371" t="s">
        <v>40</v>
      </c>
      <c r="Q164" s="372"/>
      <c r="R164" s="372"/>
      <c r="S164" s="372"/>
      <c r="T164" s="372"/>
      <c r="U164" s="372"/>
      <c r="V164" s="373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8" t="s">
        <v>265</v>
      </c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65"/>
      <c r="AB165" s="65"/>
      <c r="AC165" s="82"/>
    </row>
    <row r="166" spans="1:68" ht="14.25" customHeight="1" x14ac:dyDescent="0.25">
      <c r="A166" s="359" t="s">
        <v>149</v>
      </c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66"/>
      <c r="AB166" s="66"/>
      <c r="AC166" s="83"/>
    </row>
    <row r="167" spans="1:68" ht="16.5" customHeight="1" x14ac:dyDescent="0.25">
      <c r="A167" s="63" t="s">
        <v>266</v>
      </c>
      <c r="B167" s="63" t="s">
        <v>267</v>
      </c>
      <c r="C167" s="36">
        <v>4301135607</v>
      </c>
      <c r="D167" s="360">
        <v>4607111039613</v>
      </c>
      <c r="E167" s="360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2"/>
      <c r="R167" s="362"/>
      <c r="S167" s="362"/>
      <c r="T167" s="36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252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5"/>
      <c r="P169" s="371" t="s">
        <v>40</v>
      </c>
      <c r="Q169" s="372"/>
      <c r="R169" s="372"/>
      <c r="S169" s="372"/>
      <c r="T169" s="372"/>
      <c r="U169" s="372"/>
      <c r="V169" s="373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8" t="s">
        <v>268</v>
      </c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65"/>
      <c r="AB170" s="65"/>
      <c r="AC170" s="82"/>
    </row>
    <row r="171" spans="1:68" ht="14.25" customHeight="1" x14ac:dyDescent="0.25">
      <c r="A171" s="359" t="s">
        <v>149</v>
      </c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  <c r="AA171" s="66"/>
      <c r="AB171" s="66"/>
      <c r="AC171" s="83"/>
    </row>
    <row r="172" spans="1:68" ht="27" customHeight="1" x14ac:dyDescent="0.25">
      <c r="A172" s="63" t="s">
        <v>269</v>
      </c>
      <c r="B172" s="63" t="s">
        <v>270</v>
      </c>
      <c r="C172" s="36">
        <v>4301135591</v>
      </c>
      <c r="D172" s="360">
        <v>4607111036568</v>
      </c>
      <c r="E172" s="360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117</v>
      </c>
      <c r="M172" s="38" t="s">
        <v>84</v>
      </c>
      <c r="N172" s="38"/>
      <c r="O172" s="37">
        <v>180</v>
      </c>
      <c r="P172" s="43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2"/>
      <c r="R172" s="362"/>
      <c r="S172" s="362"/>
      <c r="T172" s="363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271</v>
      </c>
      <c r="AG172" s="81"/>
      <c r="AJ172" s="87" t="s">
        <v>118</v>
      </c>
      <c r="AK172" s="87">
        <v>14</v>
      </c>
      <c r="BB172" s="214" t="s">
        <v>115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5"/>
      <c r="P174" s="371" t="s">
        <v>40</v>
      </c>
      <c r="Q174" s="372"/>
      <c r="R174" s="372"/>
      <c r="S174" s="372"/>
      <c r="T174" s="372"/>
      <c r="U174" s="372"/>
      <c r="V174" s="373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7" t="s">
        <v>272</v>
      </c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54"/>
      <c r="AB175" s="54"/>
      <c r="AC175" s="54"/>
    </row>
    <row r="176" spans="1:68" ht="16.5" customHeight="1" x14ac:dyDescent="0.25">
      <c r="A176" s="358" t="s">
        <v>273</v>
      </c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65"/>
      <c r="AB176" s="65"/>
      <c r="AC176" s="82"/>
    </row>
    <row r="177" spans="1:68" ht="14.25" customHeight="1" x14ac:dyDescent="0.25">
      <c r="A177" s="359" t="s">
        <v>80</v>
      </c>
      <c r="B177" s="359"/>
      <c r="C177" s="359"/>
      <c r="D177" s="359"/>
      <c r="E177" s="359"/>
      <c r="F177" s="359"/>
      <c r="G177" s="359"/>
      <c r="H177" s="359"/>
      <c r="I177" s="359"/>
      <c r="J177" s="359"/>
      <c r="K177" s="359"/>
      <c r="L177" s="359"/>
      <c r="M177" s="359"/>
      <c r="N177" s="359"/>
      <c r="O177" s="359"/>
      <c r="P177" s="359"/>
      <c r="Q177" s="359"/>
      <c r="R177" s="359"/>
      <c r="S177" s="359"/>
      <c r="T177" s="359"/>
      <c r="U177" s="359"/>
      <c r="V177" s="359"/>
      <c r="W177" s="359"/>
      <c r="X177" s="359"/>
      <c r="Y177" s="359"/>
      <c r="Z177" s="359"/>
      <c r="AA177" s="66"/>
      <c r="AB177" s="66"/>
      <c r="AC177" s="83"/>
    </row>
    <row r="178" spans="1:68" ht="16.5" customHeight="1" x14ac:dyDescent="0.25">
      <c r="A178" s="63" t="s">
        <v>274</v>
      </c>
      <c r="B178" s="63" t="s">
        <v>275</v>
      </c>
      <c r="C178" s="36">
        <v>4301071062</v>
      </c>
      <c r="D178" s="360">
        <v>4607111036384</v>
      </c>
      <c r="E178" s="360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2"/>
      <c r="R178" s="362"/>
      <c r="S178" s="362"/>
      <c r="T178" s="363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276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277</v>
      </c>
      <c r="B179" s="63" t="s">
        <v>278</v>
      </c>
      <c r="C179" s="36">
        <v>4301071050</v>
      </c>
      <c r="D179" s="360">
        <v>4607111036216</v>
      </c>
      <c r="E179" s="360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2"/>
      <c r="R179" s="362"/>
      <c r="S179" s="362"/>
      <c r="T179" s="363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279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74"/>
      <c r="B180" s="374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5"/>
      <c r="P180" s="371" t="s">
        <v>40</v>
      </c>
      <c r="Q180" s="372"/>
      <c r="R180" s="372"/>
      <c r="S180" s="372"/>
      <c r="T180" s="372"/>
      <c r="U180" s="372"/>
      <c r="V180" s="373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5"/>
      <c r="P181" s="371" t="s">
        <v>40</v>
      </c>
      <c r="Q181" s="372"/>
      <c r="R181" s="372"/>
      <c r="S181" s="372"/>
      <c r="T181" s="372"/>
      <c r="U181" s="372"/>
      <c r="V181" s="373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58" t="s">
        <v>280</v>
      </c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65"/>
      <c r="AB182" s="65"/>
      <c r="AC182" s="82"/>
    </row>
    <row r="183" spans="1:68" ht="14.25" customHeight="1" x14ac:dyDescent="0.25">
      <c r="A183" s="359" t="s">
        <v>80</v>
      </c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  <c r="R183" s="359"/>
      <c r="S183" s="359"/>
      <c r="T183" s="359"/>
      <c r="U183" s="359"/>
      <c r="V183" s="359"/>
      <c r="W183" s="359"/>
      <c r="X183" s="359"/>
      <c r="Y183" s="359"/>
      <c r="Z183" s="359"/>
      <c r="AA183" s="66"/>
      <c r="AB183" s="66"/>
      <c r="AC183" s="83"/>
    </row>
    <row r="184" spans="1:68" ht="27" customHeight="1" x14ac:dyDescent="0.25">
      <c r="A184" s="63" t="s">
        <v>281</v>
      </c>
      <c r="B184" s="63" t="s">
        <v>282</v>
      </c>
      <c r="C184" s="36">
        <v>4301071117</v>
      </c>
      <c r="D184" s="360">
        <v>4620207491737</v>
      </c>
      <c r="E184" s="360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2"/>
      <c r="R184" s="362"/>
      <c r="S184" s="362"/>
      <c r="T184" s="36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279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5"/>
      <c r="P186" s="371" t="s">
        <v>40</v>
      </c>
      <c r="Q186" s="372"/>
      <c r="R186" s="372"/>
      <c r="S186" s="372"/>
      <c r="T186" s="372"/>
      <c r="U186" s="372"/>
      <c r="V186" s="373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57" t="s">
        <v>283</v>
      </c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54"/>
      <c r="AB187" s="54"/>
      <c r="AC187" s="54"/>
    </row>
    <row r="188" spans="1:68" ht="16.5" customHeight="1" x14ac:dyDescent="0.25">
      <c r="A188" s="358" t="s">
        <v>284</v>
      </c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65"/>
      <c r="AB188" s="65"/>
      <c r="AC188" s="82"/>
    </row>
    <row r="189" spans="1:68" ht="14.25" customHeight="1" x14ac:dyDescent="0.25">
      <c r="A189" s="359" t="s">
        <v>111</v>
      </c>
      <c r="B189" s="359"/>
      <c r="C189" s="359"/>
      <c r="D189" s="359"/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359"/>
      <c r="P189" s="359"/>
      <c r="Q189" s="359"/>
      <c r="R189" s="359"/>
      <c r="S189" s="359"/>
      <c r="T189" s="359"/>
      <c r="U189" s="359"/>
      <c r="V189" s="359"/>
      <c r="W189" s="359"/>
      <c r="X189" s="359"/>
      <c r="Y189" s="359"/>
      <c r="Z189" s="359"/>
      <c r="AA189" s="66"/>
      <c r="AB189" s="66"/>
      <c r="AC189" s="83"/>
    </row>
    <row r="190" spans="1:68" ht="16.5" customHeight="1" x14ac:dyDescent="0.25">
      <c r="A190" s="63" t="s">
        <v>285</v>
      </c>
      <c r="B190" s="63" t="s">
        <v>286</v>
      </c>
      <c r="C190" s="36">
        <v>4301132179</v>
      </c>
      <c r="D190" s="360">
        <v>4607111035691</v>
      </c>
      <c r="E190" s="360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2"/>
      <c r="R190" s="362"/>
      <c r="S190" s="362"/>
      <c r="T190" s="363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287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288</v>
      </c>
      <c r="B191" s="63" t="s">
        <v>289</v>
      </c>
      <c r="C191" s="36">
        <v>4301132182</v>
      </c>
      <c r="D191" s="360">
        <v>4607111035721</v>
      </c>
      <c r="E191" s="360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2"/>
      <c r="R191" s="362"/>
      <c r="S191" s="362"/>
      <c r="T191" s="363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290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4301132170</v>
      </c>
      <c r="D192" s="360">
        <v>4607111038487</v>
      </c>
      <c r="E192" s="360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2"/>
      <c r="R192" s="362"/>
      <c r="S192" s="362"/>
      <c r="T192" s="36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293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294</v>
      </c>
      <c r="B193" s="63" t="s">
        <v>295</v>
      </c>
      <c r="C193" s="36">
        <v>4301132243</v>
      </c>
      <c r="D193" s="360">
        <v>4620207491195</v>
      </c>
      <c r="E193" s="360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2"/>
      <c r="R193" s="362"/>
      <c r="S193" s="362"/>
      <c r="T193" s="363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296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4"/>
      <c r="B194" s="374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5"/>
      <c r="P194" s="371" t="s">
        <v>40</v>
      </c>
      <c r="Q194" s="372"/>
      <c r="R194" s="372"/>
      <c r="S194" s="372"/>
      <c r="T194" s="372"/>
      <c r="U194" s="372"/>
      <c r="V194" s="373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374"/>
      <c r="B195" s="374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5"/>
      <c r="P195" s="371" t="s">
        <v>40</v>
      </c>
      <c r="Q195" s="372"/>
      <c r="R195" s="372"/>
      <c r="S195" s="372"/>
      <c r="T195" s="372"/>
      <c r="U195" s="372"/>
      <c r="V195" s="373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57" t="s">
        <v>297</v>
      </c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54"/>
      <c r="AB196" s="54"/>
      <c r="AC196" s="54"/>
    </row>
    <row r="197" spans="1:68" ht="16.5" customHeight="1" x14ac:dyDescent="0.25">
      <c r="A197" s="358" t="s">
        <v>298</v>
      </c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65"/>
      <c r="AB197" s="65"/>
      <c r="AC197" s="82"/>
    </row>
    <row r="198" spans="1:68" ht="14.25" customHeight="1" x14ac:dyDescent="0.25">
      <c r="A198" s="359" t="s">
        <v>111</v>
      </c>
      <c r="B198" s="359"/>
      <c r="C198" s="359"/>
      <c r="D198" s="359"/>
      <c r="E198" s="359"/>
      <c r="F198" s="359"/>
      <c r="G198" s="359"/>
      <c r="H198" s="359"/>
      <c r="I198" s="359"/>
      <c r="J198" s="359"/>
      <c r="K198" s="359"/>
      <c r="L198" s="359"/>
      <c r="M198" s="359"/>
      <c r="N198" s="359"/>
      <c r="O198" s="359"/>
      <c r="P198" s="359"/>
      <c r="Q198" s="359"/>
      <c r="R198" s="359"/>
      <c r="S198" s="359"/>
      <c r="T198" s="359"/>
      <c r="U198" s="359"/>
      <c r="V198" s="359"/>
      <c r="W198" s="359"/>
      <c r="X198" s="359"/>
      <c r="Y198" s="359"/>
      <c r="Z198" s="359"/>
      <c r="AA198" s="66"/>
      <c r="AB198" s="66"/>
      <c r="AC198" s="83"/>
    </row>
    <row r="199" spans="1:68" ht="27" customHeight="1" x14ac:dyDescent="0.25">
      <c r="A199" s="63" t="s">
        <v>299</v>
      </c>
      <c r="B199" s="63" t="s">
        <v>300</v>
      </c>
      <c r="C199" s="36">
        <v>4301132227</v>
      </c>
      <c r="D199" s="360">
        <v>4620207491133</v>
      </c>
      <c r="E199" s="360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2"/>
      <c r="R199" s="362"/>
      <c r="S199" s="362"/>
      <c r="T199" s="36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301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5"/>
      <c r="P200" s="371" t="s">
        <v>40</v>
      </c>
      <c r="Q200" s="372"/>
      <c r="R200" s="372"/>
      <c r="S200" s="372"/>
      <c r="T200" s="372"/>
      <c r="U200" s="372"/>
      <c r="V200" s="373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4"/>
      <c r="B201" s="374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5"/>
      <c r="P201" s="371" t="s">
        <v>40</v>
      </c>
      <c r="Q201" s="372"/>
      <c r="R201" s="372"/>
      <c r="S201" s="372"/>
      <c r="T201" s="372"/>
      <c r="U201" s="372"/>
      <c r="V201" s="373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9" t="s">
        <v>149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4301135834</v>
      </c>
      <c r="D203" s="360">
        <v>4620207491188</v>
      </c>
      <c r="E203" s="360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305</v>
      </c>
      <c r="B204" s="63" t="s">
        <v>306</v>
      </c>
      <c r="C204" s="36">
        <v>4301135696</v>
      </c>
      <c r="D204" s="360">
        <v>4620207490235</v>
      </c>
      <c r="E204" s="360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4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2"/>
      <c r="R204" s="362"/>
      <c r="S204" s="362"/>
      <c r="T204" s="36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307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308</v>
      </c>
      <c r="B205" s="63" t="s">
        <v>309</v>
      </c>
      <c r="C205" s="36">
        <v>4301135697</v>
      </c>
      <c r="D205" s="360">
        <v>4620207490259</v>
      </c>
      <c r="E205" s="360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2"/>
      <c r="R205" s="362"/>
      <c r="S205" s="362"/>
      <c r="T205" s="36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310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5"/>
      <c r="P206" s="371" t="s">
        <v>40</v>
      </c>
      <c r="Q206" s="372"/>
      <c r="R206" s="372"/>
      <c r="S206" s="372"/>
      <c r="T206" s="372"/>
      <c r="U206" s="372"/>
      <c r="V206" s="373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74"/>
      <c r="B207" s="374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5"/>
      <c r="P207" s="371" t="s">
        <v>40</v>
      </c>
      <c r="Q207" s="372"/>
      <c r="R207" s="372"/>
      <c r="S207" s="372"/>
      <c r="T207" s="372"/>
      <c r="U207" s="372"/>
      <c r="V207" s="373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58" t="s">
        <v>311</v>
      </c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65"/>
      <c r="AB208" s="65"/>
      <c r="AC208" s="82"/>
    </row>
    <row r="209" spans="1:68" ht="14.25" customHeight="1" x14ac:dyDescent="0.25">
      <c r="A209" s="359" t="s">
        <v>149</v>
      </c>
      <c r="B209" s="359"/>
      <c r="C209" s="359"/>
      <c r="D209" s="359"/>
      <c r="E209" s="359"/>
      <c r="F209" s="359"/>
      <c r="G209" s="359"/>
      <c r="H209" s="359"/>
      <c r="I209" s="359"/>
      <c r="J209" s="359"/>
      <c r="K209" s="359"/>
      <c r="L209" s="359"/>
      <c r="M209" s="359"/>
      <c r="N209" s="359"/>
      <c r="O209" s="359"/>
      <c r="P209" s="359"/>
      <c r="Q209" s="359"/>
      <c r="R209" s="359"/>
      <c r="S209" s="359"/>
      <c r="T209" s="359"/>
      <c r="U209" s="359"/>
      <c r="V209" s="359"/>
      <c r="W209" s="359"/>
      <c r="X209" s="359"/>
      <c r="Y209" s="359"/>
      <c r="Z209" s="359"/>
      <c r="AA209" s="66"/>
      <c r="AB209" s="66"/>
      <c r="AC209" s="83"/>
    </row>
    <row r="210" spans="1:68" ht="27" customHeight="1" x14ac:dyDescent="0.25">
      <c r="A210" s="63" t="s">
        <v>312</v>
      </c>
      <c r="B210" s="63" t="s">
        <v>313</v>
      </c>
      <c r="C210" s="36">
        <v>4301135854</v>
      </c>
      <c r="D210" s="360">
        <v>4620207491706</v>
      </c>
      <c r="E210" s="360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4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2"/>
      <c r="R210" s="362"/>
      <c r="S210" s="362"/>
      <c r="T210" s="36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314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315</v>
      </c>
      <c r="B211" s="63" t="s">
        <v>316</v>
      </c>
      <c r="C211" s="36">
        <v>4301135895</v>
      </c>
      <c r="D211" s="360">
        <v>4620207491522</v>
      </c>
      <c r="E211" s="360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4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2"/>
      <c r="R211" s="362"/>
      <c r="S211" s="362"/>
      <c r="T211" s="363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317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5"/>
      <c r="P212" s="371" t="s">
        <v>40</v>
      </c>
      <c r="Q212" s="372"/>
      <c r="R212" s="372"/>
      <c r="S212" s="372"/>
      <c r="T212" s="372"/>
      <c r="U212" s="372"/>
      <c r="V212" s="373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74"/>
      <c r="B213" s="374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5"/>
      <c r="P213" s="371" t="s">
        <v>40</v>
      </c>
      <c r="Q213" s="372"/>
      <c r="R213" s="372"/>
      <c r="S213" s="372"/>
      <c r="T213" s="372"/>
      <c r="U213" s="372"/>
      <c r="V213" s="373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58" t="s">
        <v>318</v>
      </c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65"/>
      <c r="AB214" s="65"/>
      <c r="AC214" s="82"/>
    </row>
    <row r="215" spans="1:68" ht="14.25" customHeight="1" x14ac:dyDescent="0.25">
      <c r="A215" s="359" t="s">
        <v>80</v>
      </c>
      <c r="B215" s="359"/>
      <c r="C215" s="359"/>
      <c r="D215" s="359"/>
      <c r="E215" s="359"/>
      <c r="F215" s="359"/>
      <c r="G215" s="359"/>
      <c r="H215" s="359"/>
      <c r="I215" s="359"/>
      <c r="J215" s="359"/>
      <c r="K215" s="359"/>
      <c r="L215" s="359"/>
      <c r="M215" s="359"/>
      <c r="N215" s="359"/>
      <c r="O215" s="359"/>
      <c r="P215" s="359"/>
      <c r="Q215" s="359"/>
      <c r="R215" s="359"/>
      <c r="S215" s="359"/>
      <c r="T215" s="359"/>
      <c r="U215" s="359"/>
      <c r="V215" s="359"/>
      <c r="W215" s="359"/>
      <c r="X215" s="359"/>
      <c r="Y215" s="359"/>
      <c r="Z215" s="359"/>
      <c r="AA215" s="66"/>
      <c r="AB215" s="66"/>
      <c r="AC215" s="83"/>
    </row>
    <row r="216" spans="1:68" ht="27" customHeight="1" x14ac:dyDescent="0.25">
      <c r="A216" s="63" t="s">
        <v>319</v>
      </c>
      <c r="B216" s="63" t="s">
        <v>320</v>
      </c>
      <c r="C216" s="36">
        <v>4301071097</v>
      </c>
      <c r="D216" s="360">
        <v>4620207491096</v>
      </c>
      <c r="E216" s="360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2"/>
      <c r="R216" s="362"/>
      <c r="S216" s="362"/>
      <c r="T216" s="36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321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5"/>
      <c r="P218" s="371" t="s">
        <v>40</v>
      </c>
      <c r="Q218" s="372"/>
      <c r="R218" s="372"/>
      <c r="S218" s="372"/>
      <c r="T218" s="372"/>
      <c r="U218" s="372"/>
      <c r="V218" s="373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58" t="s">
        <v>322</v>
      </c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65"/>
      <c r="AB219" s="65"/>
      <c r="AC219" s="82"/>
    </row>
    <row r="220" spans="1:68" ht="14.25" customHeight="1" x14ac:dyDescent="0.25">
      <c r="A220" s="359" t="s">
        <v>149</v>
      </c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66"/>
      <c r="AB220" s="66"/>
      <c r="AC220" s="83"/>
    </row>
    <row r="221" spans="1:68" ht="27" customHeight="1" x14ac:dyDescent="0.25">
      <c r="A221" s="63" t="s">
        <v>323</v>
      </c>
      <c r="B221" s="63" t="s">
        <v>324</v>
      </c>
      <c r="C221" s="36">
        <v>4301135694</v>
      </c>
      <c r="D221" s="360">
        <v>4620207490501</v>
      </c>
      <c r="E221" s="360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2"/>
      <c r="R221" s="362"/>
      <c r="S221" s="362"/>
      <c r="T221" s="36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325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5"/>
      <c r="P223" s="371" t="s">
        <v>40</v>
      </c>
      <c r="Q223" s="372"/>
      <c r="R223" s="372"/>
      <c r="S223" s="372"/>
      <c r="T223" s="372"/>
      <c r="U223" s="372"/>
      <c r="V223" s="373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57" t="s">
        <v>326</v>
      </c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  <c r="AA224" s="54"/>
      <c r="AB224" s="54"/>
      <c r="AC224" s="54"/>
    </row>
    <row r="225" spans="1:68" ht="16.5" customHeight="1" x14ac:dyDescent="0.25">
      <c r="A225" s="358" t="s">
        <v>327</v>
      </c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65"/>
      <c r="AB225" s="65"/>
      <c r="AC225" s="82"/>
    </row>
    <row r="226" spans="1:68" ht="14.25" customHeight="1" x14ac:dyDescent="0.25">
      <c r="A226" s="359" t="s">
        <v>80</v>
      </c>
      <c r="B226" s="359"/>
      <c r="C226" s="359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59"/>
      <c r="V226" s="359"/>
      <c r="W226" s="359"/>
      <c r="X226" s="359"/>
      <c r="Y226" s="359"/>
      <c r="Z226" s="359"/>
      <c r="AA226" s="66"/>
      <c r="AB226" s="66"/>
      <c r="AC226" s="83"/>
    </row>
    <row r="227" spans="1:68" ht="27" customHeight="1" x14ac:dyDescent="0.25">
      <c r="A227" s="63" t="s">
        <v>328</v>
      </c>
      <c r="B227" s="63" t="s">
        <v>329</v>
      </c>
      <c r="C227" s="36">
        <v>4301071036</v>
      </c>
      <c r="D227" s="360">
        <v>4607111036162</v>
      </c>
      <c r="E227" s="360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2"/>
      <c r="R227" s="362"/>
      <c r="S227" s="362"/>
      <c r="T227" s="36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330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5"/>
      <c r="P228" s="371" t="s">
        <v>40</v>
      </c>
      <c r="Q228" s="372"/>
      <c r="R228" s="372"/>
      <c r="S228" s="372"/>
      <c r="T228" s="372"/>
      <c r="U228" s="372"/>
      <c r="V228" s="373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4"/>
      <c r="B229" s="374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5"/>
      <c r="P229" s="371" t="s">
        <v>40</v>
      </c>
      <c r="Q229" s="372"/>
      <c r="R229" s="372"/>
      <c r="S229" s="372"/>
      <c r="T229" s="372"/>
      <c r="U229" s="372"/>
      <c r="V229" s="373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7" t="s">
        <v>331</v>
      </c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54"/>
      <c r="AB230" s="54"/>
      <c r="AC230" s="54"/>
    </row>
    <row r="231" spans="1:68" ht="16.5" customHeight="1" x14ac:dyDescent="0.25">
      <c r="A231" s="358" t="s">
        <v>332</v>
      </c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65"/>
      <c r="AB231" s="65"/>
      <c r="AC231" s="82"/>
    </row>
    <row r="232" spans="1:68" ht="14.25" customHeight="1" x14ac:dyDescent="0.25">
      <c r="A232" s="359" t="s">
        <v>333</v>
      </c>
      <c r="B232" s="359"/>
      <c r="C232" s="359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59"/>
      <c r="V232" s="359"/>
      <c r="W232" s="359"/>
      <c r="X232" s="359"/>
      <c r="Y232" s="359"/>
      <c r="Z232" s="359"/>
      <c r="AA232" s="66"/>
      <c r="AB232" s="66"/>
      <c r="AC232" s="83"/>
    </row>
    <row r="233" spans="1:68" ht="27" customHeight="1" x14ac:dyDescent="0.25">
      <c r="A233" s="63" t="s">
        <v>334</v>
      </c>
      <c r="B233" s="63" t="s">
        <v>335</v>
      </c>
      <c r="C233" s="36">
        <v>4301133004</v>
      </c>
      <c r="D233" s="360">
        <v>4607111039774</v>
      </c>
      <c r="E233" s="360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2"/>
      <c r="R233" s="362"/>
      <c r="S233" s="362"/>
      <c r="T233" s="36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336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5"/>
      <c r="P234" s="371" t="s">
        <v>40</v>
      </c>
      <c r="Q234" s="372"/>
      <c r="R234" s="372"/>
      <c r="S234" s="372"/>
      <c r="T234" s="372"/>
      <c r="U234" s="372"/>
      <c r="V234" s="373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4"/>
      <c r="B235" s="374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5"/>
      <c r="P235" s="371" t="s">
        <v>40</v>
      </c>
      <c r="Q235" s="372"/>
      <c r="R235" s="372"/>
      <c r="S235" s="372"/>
      <c r="T235" s="372"/>
      <c r="U235" s="372"/>
      <c r="V235" s="373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9" t="s">
        <v>149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37.5" customHeight="1" x14ac:dyDescent="0.25">
      <c r="A237" s="63" t="s">
        <v>337</v>
      </c>
      <c r="B237" s="63" t="s">
        <v>338</v>
      </c>
      <c r="C237" s="36">
        <v>4301135400</v>
      </c>
      <c r="D237" s="360">
        <v>4607111039361</v>
      </c>
      <c r="E237" s="360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336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7" t="s">
        <v>339</v>
      </c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  <c r="AA240" s="54"/>
      <c r="AB240" s="54"/>
      <c r="AC240" s="54"/>
    </row>
    <row r="241" spans="1:68" ht="16.5" customHeight="1" x14ac:dyDescent="0.25">
      <c r="A241" s="358" t="s">
        <v>339</v>
      </c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65"/>
      <c r="AB241" s="65"/>
      <c r="AC241" s="82"/>
    </row>
    <row r="242" spans="1:68" ht="14.25" customHeight="1" x14ac:dyDescent="0.25">
      <c r="A242" s="359" t="s">
        <v>111</v>
      </c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59"/>
      <c r="V242" s="359"/>
      <c r="W242" s="359"/>
      <c r="X242" s="359"/>
      <c r="Y242" s="359"/>
      <c r="Z242" s="359"/>
      <c r="AA242" s="66"/>
      <c r="AB242" s="66"/>
      <c r="AC242" s="83"/>
    </row>
    <row r="243" spans="1:68" ht="27" customHeight="1" x14ac:dyDescent="0.25">
      <c r="A243" s="63" t="s">
        <v>340</v>
      </c>
      <c r="B243" s="63" t="s">
        <v>341</v>
      </c>
      <c r="C243" s="36">
        <v>4301132228</v>
      </c>
      <c r="D243" s="360">
        <v>4640242181950</v>
      </c>
      <c r="E243" s="360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2"/>
      <c r="R243" s="362"/>
      <c r="S243" s="362"/>
      <c r="T243" s="36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342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4"/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5"/>
      <c r="P245" s="371" t="s">
        <v>40</v>
      </c>
      <c r="Q245" s="372"/>
      <c r="R245" s="372"/>
      <c r="S245" s="372"/>
      <c r="T245" s="372"/>
      <c r="U245" s="372"/>
      <c r="V245" s="37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59" t="s">
        <v>143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360">
        <v>4640242181943</v>
      </c>
      <c r="E247" s="360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7" t="s">
        <v>346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customHeight="1" x14ac:dyDescent="0.25">
      <c r="A251" s="358" t="s">
        <v>346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customHeight="1" x14ac:dyDescent="0.25">
      <c r="A252" s="359" t="s">
        <v>80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360">
        <v>4640242181264</v>
      </c>
      <c r="E253" s="360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360">
        <v>4640242181325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350</v>
      </c>
      <c r="B255" s="63" t="s">
        <v>352</v>
      </c>
      <c r="C255" s="36">
        <v>4301071141</v>
      </c>
      <c r="D255" s="360">
        <v>4620207491980</v>
      </c>
      <c r="E255" s="360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85</v>
      </c>
      <c r="L255" s="37" t="s">
        <v>86</v>
      </c>
      <c r="M255" s="38" t="s">
        <v>84</v>
      </c>
      <c r="N255" s="38"/>
      <c r="O255" s="37">
        <v>180</v>
      </c>
      <c r="P255" s="45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5" s="362"/>
      <c r="R255" s="362"/>
      <c r="S255" s="362"/>
      <c r="T255" s="36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353</v>
      </c>
      <c r="AG255" s="81"/>
      <c r="AJ255" s="87" t="s">
        <v>87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5"/>
      <c r="P257" s="371" t="s">
        <v>40</v>
      </c>
      <c r="Q257" s="372"/>
      <c r="R257" s="372"/>
      <c r="S257" s="372"/>
      <c r="T257" s="372"/>
      <c r="U257" s="372"/>
      <c r="V257" s="373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9" t="s">
        <v>111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customHeight="1" x14ac:dyDescent="0.25">
      <c r="A259" s="63" t="s">
        <v>354</v>
      </c>
      <c r="B259" s="63" t="s">
        <v>355</v>
      </c>
      <c r="C259" s="36">
        <v>4301132080</v>
      </c>
      <c r="D259" s="360">
        <v>4640242180397</v>
      </c>
      <c r="E259" s="360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356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customHeight="1" x14ac:dyDescent="0.25">
      <c r="A262" s="359" t="s">
        <v>143</v>
      </c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66"/>
      <c r="AB262" s="66"/>
      <c r="AC262" s="83"/>
    </row>
    <row r="263" spans="1:68" ht="27" customHeight="1" x14ac:dyDescent="0.25">
      <c r="A263" s="63" t="s">
        <v>357</v>
      </c>
      <c r="B263" s="63" t="s">
        <v>358</v>
      </c>
      <c r="C263" s="36">
        <v>4301136051</v>
      </c>
      <c r="D263" s="360">
        <v>4640242180304</v>
      </c>
      <c r="E263" s="360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116</v>
      </c>
      <c r="L263" s="37" t="s">
        <v>117</v>
      </c>
      <c r="M263" s="38" t="s">
        <v>84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359</v>
      </c>
      <c r="AG263" s="81"/>
      <c r="AJ263" s="87" t="s">
        <v>118</v>
      </c>
      <c r="AK263" s="87">
        <v>14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4301136053</v>
      </c>
      <c r="D264" s="360">
        <v>4640242180236</v>
      </c>
      <c r="E264" s="360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85</v>
      </c>
      <c r="L264" s="37" t="s">
        <v>117</v>
      </c>
      <c r="M264" s="38" t="s">
        <v>84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359</v>
      </c>
      <c r="AG264" s="81"/>
      <c r="AJ264" s="87" t="s">
        <v>118</v>
      </c>
      <c r="AK264" s="87">
        <v>12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362</v>
      </c>
      <c r="B265" s="63" t="s">
        <v>363</v>
      </c>
      <c r="C265" s="36">
        <v>4301136052</v>
      </c>
      <c r="D265" s="360">
        <v>4640242180410</v>
      </c>
      <c r="E265" s="360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62"/>
      <c r="R265" s="362"/>
      <c r="S265" s="362"/>
      <c r="T265" s="36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359</v>
      </c>
      <c r="AG265" s="81"/>
      <c r="AJ265" s="87" t="s">
        <v>87</v>
      </c>
      <c r="AK265" s="87">
        <v>1</v>
      </c>
      <c r="BB265" s="268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39</v>
      </c>
      <c r="X266" s="43">
        <f>IFERROR(SUM(X263:X265),"0")</f>
        <v>0</v>
      </c>
      <c r="Y266" s="43">
        <f>IFERROR(SUM(Y263:Y265),"0")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5"/>
      <c r="P267" s="371" t="s">
        <v>40</v>
      </c>
      <c r="Q267" s="372"/>
      <c r="R267" s="372"/>
      <c r="S267" s="372"/>
      <c r="T267" s="372"/>
      <c r="U267" s="372"/>
      <c r="V267" s="373"/>
      <c r="W267" s="42" t="s">
        <v>0</v>
      </c>
      <c r="X267" s="43">
        <f>IFERROR(SUMPRODUCT(X263:X265*H263:H265),"0")</f>
        <v>0</v>
      </c>
      <c r="Y267" s="43">
        <f>IFERROR(SUMPRODUCT(Y263:Y265*H263:H265),"0")</f>
        <v>0</v>
      </c>
      <c r="Z267" s="42"/>
      <c r="AA267" s="67"/>
      <c r="AB267" s="67"/>
      <c r="AC267" s="67"/>
    </row>
    <row r="268" spans="1:68" ht="14.25" customHeight="1" x14ac:dyDescent="0.25">
      <c r="A268" s="359" t="s">
        <v>149</v>
      </c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  <c r="AA268" s="66"/>
      <c r="AB268" s="66"/>
      <c r="AC268" s="83"/>
    </row>
    <row r="269" spans="1:68" ht="37.5" customHeight="1" x14ac:dyDescent="0.25">
      <c r="A269" s="63" t="s">
        <v>364</v>
      </c>
      <c r="B269" s="63" t="s">
        <v>365</v>
      </c>
      <c r="C269" s="36">
        <v>4301135504</v>
      </c>
      <c r="D269" s="360">
        <v>4640242181554</v>
      </c>
      <c r="E269" s="360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366</v>
      </c>
      <c r="AG269" s="81"/>
      <c r="AJ269" s="87" t="s">
        <v>118</v>
      </c>
      <c r="AK269" s="87">
        <v>14</v>
      </c>
      <c r="BB269" s="270" t="s">
        <v>115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367</v>
      </c>
      <c r="B270" s="63" t="s">
        <v>368</v>
      </c>
      <c r="C270" s="36">
        <v>4301137046</v>
      </c>
      <c r="D270" s="360">
        <v>4620207492093</v>
      </c>
      <c r="E270" s="360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9" t="s">
        <v>369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370</v>
      </c>
      <c r="AG270" s="81"/>
      <c r="AJ270" s="87" t="s">
        <v>87</v>
      </c>
      <c r="AK270" s="87">
        <v>1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4301135374</v>
      </c>
      <c r="D271" s="360">
        <v>4640242181424</v>
      </c>
      <c r="E271" s="360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85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366</v>
      </c>
      <c r="AG271" s="81"/>
      <c r="AJ271" s="87" t="s">
        <v>118</v>
      </c>
      <c r="AK271" s="87">
        <v>12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373</v>
      </c>
      <c r="B272" s="63" t="s">
        <v>374</v>
      </c>
      <c r="C272" s="36">
        <v>4301135405</v>
      </c>
      <c r="D272" s="360">
        <v>4640242181523</v>
      </c>
      <c r="E272" s="360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375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376</v>
      </c>
      <c r="B273" s="63" t="s">
        <v>377</v>
      </c>
      <c r="C273" s="36">
        <v>4301135375</v>
      </c>
      <c r="D273" s="360">
        <v>4640242181486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366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378</v>
      </c>
      <c r="B274" s="63" t="s">
        <v>379</v>
      </c>
      <c r="C274" s="36">
        <v>4301135402</v>
      </c>
      <c r="D274" s="360">
        <v>4640242181493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366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380</v>
      </c>
      <c r="B275" s="63" t="s">
        <v>381</v>
      </c>
      <c r="C275" s="36">
        <v>4301135403</v>
      </c>
      <c r="D275" s="360">
        <v>4640242181509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86</v>
      </c>
      <c r="M275" s="38" t="s">
        <v>84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366</v>
      </c>
      <c r="AG275" s="81"/>
      <c r="AJ275" s="87" t="s">
        <v>87</v>
      </c>
      <c r="AK275" s="87">
        <v>1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382</v>
      </c>
      <c r="B276" s="63" t="s">
        <v>383</v>
      </c>
      <c r="C276" s="36">
        <v>4301135304</v>
      </c>
      <c r="D276" s="360">
        <v>4640242181240</v>
      </c>
      <c r="E276" s="360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366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384</v>
      </c>
      <c r="B277" s="63" t="s">
        <v>385</v>
      </c>
      <c r="C277" s="36">
        <v>4301135610</v>
      </c>
      <c r="D277" s="360">
        <v>4640242181318</v>
      </c>
      <c r="E277" s="360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116</v>
      </c>
      <c r="L277" s="37" t="s">
        <v>117</v>
      </c>
      <c r="M277" s="38" t="s">
        <v>84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375</v>
      </c>
      <c r="AG277" s="81"/>
      <c r="AJ277" s="87" t="s">
        <v>118</v>
      </c>
      <c r="AK277" s="87">
        <v>14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386</v>
      </c>
      <c r="B278" s="63" t="s">
        <v>387</v>
      </c>
      <c r="C278" s="36">
        <v>4301135306</v>
      </c>
      <c r="D278" s="360">
        <v>4640242181387</v>
      </c>
      <c r="E278" s="360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161</v>
      </c>
      <c r="L278" s="37" t="s">
        <v>117</v>
      </c>
      <c r="M278" s="38" t="s">
        <v>84</v>
      </c>
      <c r="N278" s="38"/>
      <c r="O278" s="37">
        <v>180</v>
      </c>
      <c r="P278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366</v>
      </c>
      <c r="AG278" s="81"/>
      <c r="AJ278" s="87" t="s">
        <v>118</v>
      </c>
      <c r="AK278" s="87">
        <v>18</v>
      </c>
      <c r="BB278" s="288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39</v>
      </c>
      <c r="X279" s="43">
        <f>IFERROR(SUM(X269:X278),"0")</f>
        <v>0</v>
      </c>
      <c r="Y279" s="43">
        <f>IFERROR(SUM(Y269:Y278),"0")</f>
        <v>0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5"/>
      <c r="P280" s="371" t="s">
        <v>40</v>
      </c>
      <c r="Q280" s="372"/>
      <c r="R280" s="372"/>
      <c r="S280" s="372"/>
      <c r="T280" s="372"/>
      <c r="U280" s="372"/>
      <c r="V280" s="373"/>
      <c r="W280" s="42" t="s">
        <v>0</v>
      </c>
      <c r="X280" s="43">
        <f>IFERROR(SUMPRODUCT(X269:X278*H269:H278),"0")</f>
        <v>0</v>
      </c>
      <c r="Y280" s="43">
        <f>IFERROR(SUMPRODUCT(Y269:Y278*H269:H278),"0")</f>
        <v>0</v>
      </c>
      <c r="Z280" s="42"/>
      <c r="AA280" s="67"/>
      <c r="AB280" s="67"/>
      <c r="AC280" s="67"/>
    </row>
    <row r="281" spans="1:68" ht="15" customHeight="1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1"/>
      <c r="P281" s="468" t="s">
        <v>33</v>
      </c>
      <c r="Q281" s="469"/>
      <c r="R281" s="469"/>
      <c r="S281" s="469"/>
      <c r="T281" s="469"/>
      <c r="U281" s="469"/>
      <c r="V281" s="470"/>
      <c r="W281" s="42" t="s">
        <v>0</v>
      </c>
      <c r="X281" s="43">
        <f>IFERROR(X31+X37+X44+X50+X58+X63+X68+X74+X80+X85+X91+X101+X107+X119+X123+X127+X135+X141+X147+X153+X159+X164+X169+X174+X181+X186+X195+X201+X207+X213+X218+X223+X229+X235+X239+X245+X249+X257+X261+X267+X280,"0")</f>
        <v>0</v>
      </c>
      <c r="Y281" s="43">
        <f>IFERROR(Y31+Y37+Y44+Y50+Y58+Y63+Y68+Y74+Y80+Y85+Y91+Y101+Y107+Y119+Y123+Y127+Y135+Y141+Y147+Y153+Y159+Y164+Y169+Y174+Y181+Y186+Y195+Y201+Y207+Y213+Y218+Y223+Y229+Y235+Y239+Y245+Y249+Y257+Y261+Y267+Y280,"0")</f>
        <v>0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1"/>
      <c r="P282" s="468" t="s">
        <v>34</v>
      </c>
      <c r="Q282" s="469"/>
      <c r="R282" s="469"/>
      <c r="S282" s="469"/>
      <c r="T282" s="469"/>
      <c r="U282" s="469"/>
      <c r="V282" s="470"/>
      <c r="W282" s="42" t="s">
        <v>0</v>
      </c>
      <c r="X282" s="43">
        <f>IFERROR(SUM(BM22:BM278),"0")</f>
        <v>0</v>
      </c>
      <c r="Y282" s="43">
        <f>IFERROR(SUM(BN22:BN278),"0")</f>
        <v>0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1"/>
      <c r="P283" s="468" t="s">
        <v>35</v>
      </c>
      <c r="Q283" s="469"/>
      <c r="R283" s="469"/>
      <c r="S283" s="469"/>
      <c r="T283" s="469"/>
      <c r="U283" s="469"/>
      <c r="V283" s="470"/>
      <c r="W283" s="42" t="s">
        <v>20</v>
      </c>
      <c r="X283" s="44">
        <f>ROUNDUP(SUM(BO22:BO278),0)</f>
        <v>0</v>
      </c>
      <c r="Y283" s="44">
        <f>ROUNDUP(SUM(BP22:BP278),0)</f>
        <v>0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1"/>
      <c r="P284" s="468" t="s">
        <v>36</v>
      </c>
      <c r="Q284" s="469"/>
      <c r="R284" s="469"/>
      <c r="S284" s="469"/>
      <c r="T284" s="469"/>
      <c r="U284" s="469"/>
      <c r="V284" s="470"/>
      <c r="W284" s="42" t="s">
        <v>0</v>
      </c>
      <c r="X284" s="43">
        <f>GrossWeightTotal+PalletQtyTotal*25</f>
        <v>0</v>
      </c>
      <c r="Y284" s="43">
        <f>GrossWeightTotalR+PalletQtyTotalR*25</f>
        <v>0</v>
      </c>
      <c r="Z284" s="42"/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1"/>
      <c r="P285" s="468" t="s">
        <v>37</v>
      </c>
      <c r="Q285" s="469"/>
      <c r="R285" s="469"/>
      <c r="S285" s="469"/>
      <c r="T285" s="469"/>
      <c r="U285" s="469"/>
      <c r="V285" s="470"/>
      <c r="W285" s="42" t="s">
        <v>20</v>
      </c>
      <c r="X285" s="43">
        <f>IFERROR(X30+X36+X43+X49+X57+X62+X67+X73+X79+X84+X90+X100+X106+X118+X122+X126+X134+X140+X146+X152+X158+X163+X168+X173+X180+X185+X194+X200+X206+X212+X217+X222+X228+X234+X238+X244+X248+X256+X260+X266+X279,"0")</f>
        <v>0</v>
      </c>
      <c r="Y285" s="43">
        <f>IFERROR(Y30+Y36+Y43+Y49+Y57+Y62+Y67+Y73+Y79+Y84+Y90+Y100+Y106+Y118+Y122+Y126+Y134+Y140+Y146+Y152+Y158+Y163+Y168+Y173+Y180+Y185+Y194+Y200+Y206+Y212+Y217+Y222+Y228+Y234+Y238+Y244+Y248+Y256+Y260+Y266+Y279,"0")</f>
        <v>0</v>
      </c>
      <c r="Z285" s="42"/>
      <c r="AA285" s="67"/>
      <c r="AB285" s="67"/>
      <c r="AC285" s="67"/>
    </row>
    <row r="286" spans="1:68" ht="14.25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1"/>
      <c r="P286" s="468" t="s">
        <v>38</v>
      </c>
      <c r="Q286" s="469"/>
      <c r="R286" s="469"/>
      <c r="S286" s="469"/>
      <c r="T286" s="469"/>
      <c r="U286" s="469"/>
      <c r="V286" s="470"/>
      <c r="W286" s="45" t="s">
        <v>52</v>
      </c>
      <c r="X286" s="42"/>
      <c r="Y286" s="42"/>
      <c r="Z286" s="42">
        <f>IFERROR(Z30+Z36+Z43+Z49+Z57+Z62+Z67+Z73+Z79+Z84+Z90+Z100+Z106+Z118+Z122+Z126+Z134+Z140+Z146+Z152+Z158+Z163+Z168+Z173+Z180+Z185+Z194+Z200+Z206+Z212+Z217+Z222+Z228+Z234+Z238+Z244+Z248+Z256+Z260+Z266+Z279,"0")</f>
        <v>0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472" t="s">
        <v>79</v>
      </c>
      <c r="C288" s="472" t="s">
        <v>79</v>
      </c>
      <c r="D288" s="472" t="s">
        <v>45</v>
      </c>
      <c r="E288" s="472" t="s">
        <v>45</v>
      </c>
      <c r="F288" s="472" t="s">
        <v>45</v>
      </c>
      <c r="G288" s="472" t="s">
        <v>45</v>
      </c>
      <c r="H288" s="472" t="s">
        <v>45</v>
      </c>
      <c r="I288" s="472" t="s">
        <v>45</v>
      </c>
      <c r="J288" s="472" t="s">
        <v>45</v>
      </c>
      <c r="K288" s="472" t="s">
        <v>45</v>
      </c>
      <c r="L288" s="472" t="s">
        <v>45</v>
      </c>
      <c r="M288" s="472" t="s">
        <v>45</v>
      </c>
      <c r="N288" s="473"/>
      <c r="O288" s="472" t="s">
        <v>45</v>
      </c>
      <c r="P288" s="472" t="s">
        <v>45</v>
      </c>
      <c r="Q288" s="472" t="s">
        <v>45</v>
      </c>
      <c r="R288" s="472" t="s">
        <v>45</v>
      </c>
      <c r="S288" s="472" t="s">
        <v>45</v>
      </c>
      <c r="T288" s="472" t="s">
        <v>45</v>
      </c>
      <c r="U288" s="472" t="s">
        <v>45</v>
      </c>
      <c r="V288" s="472" t="s">
        <v>272</v>
      </c>
      <c r="W288" s="472" t="s">
        <v>272</v>
      </c>
      <c r="X288" s="88" t="s">
        <v>283</v>
      </c>
      <c r="Y288" s="472" t="s">
        <v>297</v>
      </c>
      <c r="Z288" s="472" t="s">
        <v>297</v>
      </c>
      <c r="AA288" s="472" t="s">
        <v>297</v>
      </c>
      <c r="AB288" s="472" t="s">
        <v>297</v>
      </c>
      <c r="AC288" s="88" t="s">
        <v>326</v>
      </c>
      <c r="AD288" s="88" t="s">
        <v>331</v>
      </c>
      <c r="AE288" s="88" t="s">
        <v>339</v>
      </c>
      <c r="AF288" s="88" t="s">
        <v>346</v>
      </c>
    </row>
    <row r="289" spans="1:32" ht="14.25" customHeight="1" thickTop="1" x14ac:dyDescent="0.2">
      <c r="A289" s="474" t="s">
        <v>10</v>
      </c>
      <c r="B289" s="472" t="s">
        <v>79</v>
      </c>
      <c r="C289" s="472" t="s">
        <v>104</v>
      </c>
      <c r="D289" s="472" t="s">
        <v>110</v>
      </c>
      <c r="E289" s="472" t="s">
        <v>121</v>
      </c>
      <c r="F289" s="472" t="s">
        <v>128</v>
      </c>
      <c r="G289" s="472" t="s">
        <v>139</v>
      </c>
      <c r="H289" s="472" t="s">
        <v>157</v>
      </c>
      <c r="I289" s="472" t="s">
        <v>164</v>
      </c>
      <c r="J289" s="472" t="s">
        <v>168</v>
      </c>
      <c r="K289" s="472" t="s">
        <v>176</v>
      </c>
      <c r="L289" s="472" t="s">
        <v>191</v>
      </c>
      <c r="M289" s="472" t="s">
        <v>198</v>
      </c>
      <c r="N289" s="1"/>
      <c r="O289" s="472" t="s">
        <v>225</v>
      </c>
      <c r="P289" s="472" t="s">
        <v>243</v>
      </c>
      <c r="Q289" s="472" t="s">
        <v>249</v>
      </c>
      <c r="R289" s="472" t="s">
        <v>256</v>
      </c>
      <c r="S289" s="472" t="s">
        <v>261</v>
      </c>
      <c r="T289" s="472" t="s">
        <v>265</v>
      </c>
      <c r="U289" s="472" t="s">
        <v>268</v>
      </c>
      <c r="V289" s="472" t="s">
        <v>273</v>
      </c>
      <c r="W289" s="472" t="s">
        <v>280</v>
      </c>
      <c r="X289" s="472" t="s">
        <v>284</v>
      </c>
      <c r="Y289" s="472" t="s">
        <v>298</v>
      </c>
      <c r="Z289" s="472" t="s">
        <v>311</v>
      </c>
      <c r="AA289" s="472" t="s">
        <v>318</v>
      </c>
      <c r="AB289" s="472" t="s">
        <v>322</v>
      </c>
      <c r="AC289" s="472" t="s">
        <v>327</v>
      </c>
      <c r="AD289" s="472" t="s">
        <v>332</v>
      </c>
      <c r="AE289" s="472" t="s">
        <v>339</v>
      </c>
      <c r="AF289" s="472" t="s">
        <v>346</v>
      </c>
    </row>
    <row r="290" spans="1:32" ht="13.5" thickBot="1" x14ac:dyDescent="0.25">
      <c r="A290" s="475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1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0</v>
      </c>
      <c r="C291" s="52">
        <f>IFERROR(X34*H34,"0")+IFERROR(X35*H35,"0")</f>
        <v>0</v>
      </c>
      <c r="D291" s="52">
        <f>IFERROR(X41*H41,"0")+IFERROR(X42*H42,"0")</f>
        <v>0</v>
      </c>
      <c r="E291" s="52">
        <f>IFERROR(X47*H47,"0")+IFERROR(X48*H48,"0")</f>
        <v>0</v>
      </c>
      <c r="F291" s="52">
        <f>IFERROR(X53*H53,"0")+IFERROR(X54*H54,"0")+IFERROR(X55*H55,"0")+IFERROR(X56*H56,"0")</f>
        <v>0</v>
      </c>
      <c r="G291" s="52">
        <f>IFERROR(X61*H61,"0")+IFERROR(X65*H65,"0")+IFERROR(X66*H66,"0")+IFERROR(X70*H70,"0")+IFERROR(X71*H71,"0")+IFERROR(X72*H72,"0")</f>
        <v>0</v>
      </c>
      <c r="H291" s="52">
        <f>IFERROR(X77*H77,"0")+IFERROR(X78*H78,"0")</f>
        <v>0</v>
      </c>
      <c r="I291" s="52">
        <f>IFERROR(X83*H83,"0")</f>
        <v>0</v>
      </c>
      <c r="J291" s="52">
        <f>IFERROR(X88*H88,"0")+IFERROR(X89*H89,"0")</f>
        <v>0</v>
      </c>
      <c r="K291" s="52">
        <f>IFERROR(X94*H94,"0")+IFERROR(X95*H95,"0")+IFERROR(X96*H96,"0")+IFERROR(X97*H97,"0")+IFERROR(X98*H98,"0")+IFERROR(X99*H99,"0")</f>
        <v>0</v>
      </c>
      <c r="L291" s="52">
        <f>IFERROR(X104*H104,"0")+IFERROR(X105*H105,"0")</f>
        <v>0</v>
      </c>
      <c r="M291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1" s="1"/>
      <c r="O291" s="52">
        <f>IFERROR(X130*H130,"0")+IFERROR(X131*H131,"0")+IFERROR(X132*H132,"0")+IFERROR(X133*H133,"0")+IFERROR(X137*H137,"0")+IFERROR(X138*H138,"0")+IFERROR(X139*H139,"0")</f>
        <v>0</v>
      </c>
      <c r="P291" s="52">
        <f>IFERROR(X144*H144,"0")+IFERROR(X145*H145,"0")</f>
        <v>0</v>
      </c>
      <c r="Q291" s="52">
        <f>IFERROR(X150*H150,"0")+IFERROR(X151*H151,"0")</f>
        <v>0</v>
      </c>
      <c r="R291" s="52">
        <f>IFERROR(X156*H156,"0")+IFERROR(X157*H157,"0")</f>
        <v>0</v>
      </c>
      <c r="S291" s="52">
        <f>IFERROR(X162*H162,"0")</f>
        <v>0</v>
      </c>
      <c r="T291" s="52">
        <f>IFERROR(X167*H167,"0")</f>
        <v>0</v>
      </c>
      <c r="U291" s="52">
        <f>IFERROR(X172*H172,"0")</f>
        <v>0</v>
      </c>
      <c r="V291" s="52">
        <f>IFERROR(X178*H178,"0")+IFERROR(X179*H179,"0")</f>
        <v>0</v>
      </c>
      <c r="W291" s="52">
        <f>IFERROR(X184*H184,"0")</f>
        <v>0</v>
      </c>
      <c r="X291" s="52">
        <f>IFERROR(X190*H190,"0")+IFERROR(X191*H191,"0")+IFERROR(X192*H192,"0")+IFERROR(X193*H193,"0")</f>
        <v>0</v>
      </c>
      <c r="Y291" s="52">
        <f>IFERROR(X199*H199,"0")+IFERROR(X203*H203,"0")+IFERROR(X204*H204,"0")+IFERROR(X205*H205,"0")</f>
        <v>0</v>
      </c>
      <c r="Z291" s="52">
        <f>IFERROR(X210*H210,"0")+IFERROR(X211*H211,"0")</f>
        <v>0</v>
      </c>
      <c r="AA291" s="52">
        <f>IFERROR(X216*H216,"0")</f>
        <v>0</v>
      </c>
      <c r="AB291" s="52">
        <f>IFERROR(X221*H221,"0")</f>
        <v>0</v>
      </c>
      <c r="AC291" s="52">
        <f>IFERROR(X227*H227,"0")</f>
        <v>0</v>
      </c>
      <c r="AD291" s="52">
        <f>IFERROR(X233*H233,"0")+IFERROR(X237*H237,"0")</f>
        <v>0</v>
      </c>
      <c r="AE291" s="52">
        <f>IFERROR(X243*H243,"0")+IFERROR(X247*H247,"0")</f>
        <v>0</v>
      </c>
      <c r="AF291" s="52">
        <f>IFERROR(X253*H253,"0")+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0</v>
      </c>
      <c r="B294" s="72">
        <f>SUMPRODUCT(--(BB:BB="ПГП"),--(W:W="кор"),H:H,Y:Y)+SUMPRODUCT(--(BB:BB="ПГП"),--(W:W="кг"),Y:Y)</f>
        <v>0</v>
      </c>
      <c r="C294" s="72">
        <f>SUMPRODUCT(--(BB:BB="КИЗ"),--(W:W="кор"),H:H,Y:Y)+SUMPRODUCT(--(BB:BB="КИЗ"),--(W:W="кг"),Y:Y)</f>
        <v>0</v>
      </c>
    </row>
  </sheetData>
  <sheetProtection algorithmName="SHA-512" hashValue="GohO4+K54MnQC8ZEA1hPUhQivYYelwaBQ3M/CsfNscAcDXgTOhFoXOh+TZEYRoVbnBh1VvD8N6kp8cauBBpwDA==" saltValue="BzO5RnT3QKlCUydGpIoR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50:Z250"/>
    <mergeCell ref="A251:Z251"/>
    <mergeCell ref="A252:Z252"/>
    <mergeCell ref="D253:E253"/>
    <mergeCell ref="P253:T253"/>
    <mergeCell ref="D254:E254"/>
    <mergeCell ref="P254:T254"/>
    <mergeCell ref="D255:E255"/>
    <mergeCell ref="P255:T255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 X270 X265 X255 X253 X247 X243 X237 X233 X227 X221 X210:X211 X203 X193 X184 X178 X162 X156 X150:X151 X137:X139 X130:X133 X125 X121 X115 X111:X112 X105 X98:X99 X95:X96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6:X278 X271:X274 X269 X263:X264 X259 X254 X216 X204:X205 X199 X190:X192 X179 X172 X167 X157 X144:X145 X116:X117 X113:X114 X110 X104 X97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388</v>
      </c>
      <c r="H1" s="9"/>
    </row>
    <row r="3" spans="2:8" x14ac:dyDescent="0.2">
      <c r="B3" s="53" t="s">
        <v>389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391</v>
      </c>
      <c r="C6" s="53" t="s">
        <v>392</v>
      </c>
      <c r="D6" s="53" t="s">
        <v>393</v>
      </c>
      <c r="E6" s="53" t="s">
        <v>46</v>
      </c>
    </row>
    <row r="7" spans="2:8" x14ac:dyDescent="0.2">
      <c r="B7" s="53" t="s">
        <v>394</v>
      </c>
      <c r="C7" s="53" t="s">
        <v>395</v>
      </c>
      <c r="D7" s="53" t="s">
        <v>396</v>
      </c>
      <c r="E7" s="53" t="s">
        <v>46</v>
      </c>
    </row>
    <row r="8" spans="2:8" x14ac:dyDescent="0.2">
      <c r="B8" s="53" t="s">
        <v>397</v>
      </c>
      <c r="C8" s="53" t="s">
        <v>398</v>
      </c>
      <c r="D8" s="53" t="s">
        <v>399</v>
      </c>
      <c r="E8" s="53" t="s">
        <v>46</v>
      </c>
    </row>
    <row r="10" spans="2:8" x14ac:dyDescent="0.2">
      <c r="B10" s="53" t="s">
        <v>400</v>
      </c>
      <c r="C10" s="53" t="s">
        <v>392</v>
      </c>
      <c r="D10" s="53" t="s">
        <v>46</v>
      </c>
      <c r="E10" s="53" t="s">
        <v>46</v>
      </c>
    </row>
    <row r="12" spans="2:8" x14ac:dyDescent="0.2">
      <c r="B12" s="53" t="s">
        <v>401</v>
      </c>
      <c r="C12" s="53" t="s">
        <v>395</v>
      </c>
      <c r="D12" s="53" t="s">
        <v>46</v>
      </c>
      <c r="E12" s="53" t="s">
        <v>46</v>
      </c>
    </row>
    <row r="14" spans="2:8" x14ac:dyDescent="0.2">
      <c r="B14" s="53" t="s">
        <v>402</v>
      </c>
      <c r="C14" s="53" t="s">
        <v>398</v>
      </c>
      <c r="D14" s="53" t="s">
        <v>46</v>
      </c>
      <c r="E14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408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</sheetData>
  <sheetProtection algorithmName="SHA-512" hashValue="CNFNMdgx2LrNof9FYtSyZvNsy3DkH8tD9O6J1Yn7pn7/BN3f5apvsBN4JntXEwj4dgvGg0kx8jGuWwwZ7XwDHw==" saltValue="rnZ1bse0wS8IbRduOhxL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