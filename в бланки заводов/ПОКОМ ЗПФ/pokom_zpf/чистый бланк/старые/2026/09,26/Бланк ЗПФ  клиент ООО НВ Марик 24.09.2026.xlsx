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F175E92-4ACF-4E0B-B958-F261FFA4992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заказа'!$B$180:$B$180</definedName>
    <definedName name="ProductId64">'Бланк заказа'!$B$185:$B$185</definedName>
    <definedName name="ProductId65">'Бланк заказа'!$B$186:$B$186</definedName>
    <definedName name="ProductId66">'Бланк заказа'!$B$191:$B$191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заказа'!$B$206:$B$206</definedName>
    <definedName name="ProductId72">'Бланк заказа'!$B$210:$B$210</definedName>
    <definedName name="ProductId73">'Бланк заказа'!$B$211:$B$211</definedName>
    <definedName name="ProductId74">'Бланк заказа'!$B$212:$B$212</definedName>
    <definedName name="ProductId75">'Бланк заказа'!$B$217:$B$217</definedName>
    <definedName name="ProductId76">'Бланк заказа'!$B$218:$B$218</definedName>
    <definedName name="ProductId77">'Бланк заказа'!$B$223:$B$223</definedName>
    <definedName name="ProductId78">'Бланк заказа'!$B$229:$B$229</definedName>
    <definedName name="ProductId79">'Бланк заказа'!$B$235:$B$235</definedName>
    <definedName name="ProductId8">'Бланк заказа'!$B$29:$B$29</definedName>
    <definedName name="ProductId80">'Бланк заказа'!$B$239:$B$239</definedName>
    <definedName name="ProductId81">'Бланк заказа'!$B$245:$B$245</definedName>
    <definedName name="ProductId82">'Бланк заказа'!$B$249:$B$249</definedName>
    <definedName name="ProductId83">'Бланк заказа'!$B$255:$B$255</definedName>
    <definedName name="ProductId84">'Бланк заказа'!$B$256:$B$256</definedName>
    <definedName name="ProductId85">'Бланк заказа'!$B$260:$B$260</definedName>
    <definedName name="ProductId86">'Бланк заказа'!$B$261:$B$261</definedName>
    <definedName name="ProductId87">'Бланк заказа'!$B$262:$B$262</definedName>
    <definedName name="ProductId88">'Бланк заказа'!$B$266:$B$266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заказа'!$X$180:$X$180</definedName>
    <definedName name="SalesQty64">'Бланк заказа'!$X$185:$X$185</definedName>
    <definedName name="SalesQty65">'Бланк заказа'!$X$186:$X$186</definedName>
    <definedName name="SalesQty66">'Бланк заказа'!$X$191:$X$191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заказа'!$X$206:$X$206</definedName>
    <definedName name="SalesQty72">'Бланк заказа'!$X$210:$X$210</definedName>
    <definedName name="SalesQty73">'Бланк заказа'!$X$211:$X$211</definedName>
    <definedName name="SalesQty74">'Бланк заказа'!$X$212:$X$212</definedName>
    <definedName name="SalesQty75">'Бланк заказа'!$X$217:$X$217</definedName>
    <definedName name="SalesQty76">'Бланк заказа'!$X$218:$X$218</definedName>
    <definedName name="SalesQty77">'Бланк заказа'!$X$223:$X$223</definedName>
    <definedName name="SalesQty78">'Бланк заказа'!$X$229:$X$229</definedName>
    <definedName name="SalesQty79">'Бланк заказа'!$X$235:$X$235</definedName>
    <definedName name="SalesQty8">'Бланк заказа'!$X$29:$X$29</definedName>
    <definedName name="SalesQty80">'Бланк заказа'!$X$239:$X$239</definedName>
    <definedName name="SalesQty81">'Бланк заказа'!$X$245:$X$245</definedName>
    <definedName name="SalesQty82">'Бланк заказа'!$X$249:$X$249</definedName>
    <definedName name="SalesQty83">'Бланк заказа'!$X$255:$X$255</definedName>
    <definedName name="SalesQty84">'Бланк заказа'!$X$256:$X$256</definedName>
    <definedName name="SalesQty85">'Бланк заказа'!$X$260:$X$260</definedName>
    <definedName name="SalesQty86">'Бланк заказа'!$X$261:$X$261</definedName>
    <definedName name="SalesQty87">'Бланк заказа'!$X$262:$X$262</definedName>
    <definedName name="SalesQty88">'Бланк заказа'!$X$266:$X$266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заказа'!$Y$180:$Y$180</definedName>
    <definedName name="SalesRoundBox64">'Бланк заказа'!$Y$185:$Y$185</definedName>
    <definedName name="SalesRoundBox65">'Бланк заказа'!$Y$186:$Y$186</definedName>
    <definedName name="SalesRoundBox66">'Бланк заказа'!$Y$191:$Y$191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заказа'!$Y$206:$Y$206</definedName>
    <definedName name="SalesRoundBox72">'Бланк заказа'!$Y$210:$Y$210</definedName>
    <definedName name="SalesRoundBox73">'Бланк заказа'!$Y$211:$Y$211</definedName>
    <definedName name="SalesRoundBox74">'Бланк заказа'!$Y$212:$Y$212</definedName>
    <definedName name="SalesRoundBox75">'Бланк заказа'!$Y$217:$Y$217</definedName>
    <definedName name="SalesRoundBox76">'Бланк заказа'!$Y$218:$Y$218</definedName>
    <definedName name="SalesRoundBox77">'Бланк заказа'!$Y$223:$Y$223</definedName>
    <definedName name="SalesRoundBox78">'Бланк заказа'!$Y$229:$Y$229</definedName>
    <definedName name="SalesRoundBox79">'Бланк заказа'!$Y$235:$Y$235</definedName>
    <definedName name="SalesRoundBox8">'Бланк заказа'!$Y$29:$Y$29</definedName>
    <definedName name="SalesRoundBox80">'Бланк заказа'!$Y$239:$Y$239</definedName>
    <definedName name="SalesRoundBox81">'Бланк заказа'!$Y$245:$Y$245</definedName>
    <definedName name="SalesRoundBox82">'Бланк заказа'!$Y$249:$Y$249</definedName>
    <definedName name="SalesRoundBox83">'Бланк заказа'!$Y$255:$Y$255</definedName>
    <definedName name="SalesRoundBox84">'Бланк заказа'!$Y$256:$Y$256</definedName>
    <definedName name="SalesRoundBox85">'Бланк заказа'!$Y$260:$Y$260</definedName>
    <definedName name="SalesRoundBox86">'Бланк заказа'!$Y$261:$Y$261</definedName>
    <definedName name="SalesRoundBox87">'Бланк заказа'!$Y$262:$Y$262</definedName>
    <definedName name="SalesRoundBox88">'Бланк заказа'!$Y$266:$Y$266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заказа'!$W$180:$W$180</definedName>
    <definedName name="UnitOfMeasure64">'Бланк заказа'!$W$185:$W$185</definedName>
    <definedName name="UnitOfMeasure65">'Бланк заказа'!$W$186:$W$186</definedName>
    <definedName name="UnitOfMeasure66">'Бланк заказа'!$W$191:$W$191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заказа'!$W$206:$W$206</definedName>
    <definedName name="UnitOfMeasure72">'Бланк заказа'!$W$210:$W$210</definedName>
    <definedName name="UnitOfMeasure73">'Бланк заказа'!$W$211:$W$211</definedName>
    <definedName name="UnitOfMeasure74">'Бланк заказа'!$W$212:$W$212</definedName>
    <definedName name="UnitOfMeasure75">'Бланк заказа'!$W$217:$W$217</definedName>
    <definedName name="UnitOfMeasure76">'Бланк заказа'!$W$218:$W$218</definedName>
    <definedName name="UnitOfMeasure77">'Бланк заказа'!$W$223:$W$223</definedName>
    <definedName name="UnitOfMeasure78">'Бланк заказа'!$W$229:$W$229</definedName>
    <definedName name="UnitOfMeasure79">'Бланк заказа'!$W$235:$W$235</definedName>
    <definedName name="UnitOfMeasure8">'Бланк заказа'!$W$29:$W$29</definedName>
    <definedName name="UnitOfMeasure80">'Бланк заказа'!$W$239:$W$239</definedName>
    <definedName name="UnitOfMeasure81">'Бланк заказа'!$W$245:$W$245</definedName>
    <definedName name="UnitOfMeasure82">'Бланк заказа'!$W$249:$W$249</definedName>
    <definedName name="UnitOfMeasure83">'Бланк заказа'!$W$255:$W$255</definedName>
    <definedName name="UnitOfMeasure84">'Бланк заказа'!$W$256:$W$256</definedName>
    <definedName name="UnitOfMeasure85">'Бланк заказа'!$W$260:$W$260</definedName>
    <definedName name="UnitOfMeasure86">'Бланк заказа'!$W$261:$W$261</definedName>
    <definedName name="UnitOfMeasure87">'Бланк заказа'!$W$262:$W$262</definedName>
    <definedName name="UnitOfMeasure88">'Бланк заказа'!$W$266:$W$266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P274" i="2" s="1"/>
  <c r="P274" i="2"/>
  <c r="BO273" i="2"/>
  <c r="BN273" i="2"/>
  <c r="BM273" i="2"/>
  <c r="Z273" i="2"/>
  <c r="Y273" i="2"/>
  <c r="BP273" i="2" s="1"/>
  <c r="P273" i="2"/>
  <c r="BP272" i="2"/>
  <c r="BO272" i="2"/>
  <c r="BN272" i="2"/>
  <c r="BM272" i="2"/>
  <c r="Z272" i="2"/>
  <c r="Y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N269" i="2"/>
  <c r="BM269" i="2"/>
  <c r="Z269" i="2"/>
  <c r="Y269" i="2"/>
  <c r="BP269" i="2" s="1"/>
  <c r="BO268" i="2"/>
  <c r="BN268" i="2"/>
  <c r="BM268" i="2"/>
  <c r="Z268" i="2"/>
  <c r="Y268" i="2"/>
  <c r="BP268" i="2" s="1"/>
  <c r="BO267" i="2"/>
  <c r="BM267" i="2"/>
  <c r="Z267" i="2"/>
  <c r="Y267" i="2"/>
  <c r="BN267" i="2" s="1"/>
  <c r="BO266" i="2"/>
  <c r="BN266" i="2"/>
  <c r="BM266" i="2"/>
  <c r="Z266" i="2"/>
  <c r="Z277" i="2" s="1"/>
  <c r="Y266" i="2"/>
  <c r="BP266" i="2" s="1"/>
  <c r="X264" i="2"/>
  <c r="X263" i="2"/>
  <c r="BO262" i="2"/>
  <c r="BN262" i="2"/>
  <c r="BM262" i="2"/>
  <c r="Z262" i="2"/>
  <c r="Y262" i="2"/>
  <c r="BP262" i="2" s="1"/>
  <c r="BO261" i="2"/>
  <c r="BM261" i="2"/>
  <c r="Z261" i="2"/>
  <c r="Y261" i="2"/>
  <c r="BN261" i="2" s="1"/>
  <c r="BO260" i="2"/>
  <c r="BN260" i="2"/>
  <c r="BM260" i="2"/>
  <c r="Z260" i="2"/>
  <c r="Z263" i="2" s="1"/>
  <c r="Y260" i="2"/>
  <c r="BP260" i="2" s="1"/>
  <c r="X258" i="2"/>
  <c r="Z257" i="2"/>
  <c r="X257" i="2"/>
  <c r="BO256" i="2"/>
  <c r="BM256" i="2"/>
  <c r="Z256" i="2"/>
  <c r="Y256" i="2"/>
  <c r="BN256" i="2" s="1"/>
  <c r="P256" i="2"/>
  <c r="BO255" i="2"/>
  <c r="BM255" i="2"/>
  <c r="Z255" i="2"/>
  <c r="Y255" i="2"/>
  <c r="Y257" i="2" s="1"/>
  <c r="P255" i="2"/>
  <c r="X251" i="2"/>
  <c r="Z250" i="2"/>
  <c r="X250" i="2"/>
  <c r="BO249" i="2"/>
  <c r="BM249" i="2"/>
  <c r="Z249" i="2"/>
  <c r="Y249" i="2"/>
  <c r="Y250" i="2" s="1"/>
  <c r="P249" i="2"/>
  <c r="X247" i="2"/>
  <c r="Z246" i="2"/>
  <c r="X246" i="2"/>
  <c r="BO245" i="2"/>
  <c r="BN245" i="2"/>
  <c r="BM245" i="2"/>
  <c r="Z245" i="2"/>
  <c r="Y245" i="2"/>
  <c r="Y246" i="2" s="1"/>
  <c r="P245" i="2"/>
  <c r="X241" i="2"/>
  <c r="X240" i="2"/>
  <c r="BO239" i="2"/>
  <c r="BM239" i="2"/>
  <c r="Z239" i="2"/>
  <c r="Z240" i="2" s="1"/>
  <c r="Y239" i="2"/>
  <c r="Y241" i="2" s="1"/>
  <c r="P239" i="2"/>
  <c r="X237" i="2"/>
  <c r="Z236" i="2"/>
  <c r="X236" i="2"/>
  <c r="BO235" i="2"/>
  <c r="BM235" i="2"/>
  <c r="Z235" i="2"/>
  <c r="Y235" i="2"/>
  <c r="Y236" i="2" s="1"/>
  <c r="P235" i="2"/>
  <c r="X231" i="2"/>
  <c r="Z230" i="2"/>
  <c r="X230" i="2"/>
  <c r="BO229" i="2"/>
  <c r="BN229" i="2"/>
  <c r="BM229" i="2"/>
  <c r="Z229" i="2"/>
  <c r="Y229" i="2"/>
  <c r="Y230" i="2" s="1"/>
  <c r="P229" i="2"/>
  <c r="X225" i="2"/>
  <c r="X224" i="2"/>
  <c r="BO223" i="2"/>
  <c r="BM223" i="2"/>
  <c r="Z223" i="2"/>
  <c r="Z224" i="2" s="1"/>
  <c r="Y223" i="2"/>
  <c r="Y225" i="2" s="1"/>
  <c r="P223" i="2"/>
  <c r="X220" i="2"/>
  <c r="X219" i="2"/>
  <c r="BO218" i="2"/>
  <c r="BN218" i="2"/>
  <c r="BM218" i="2"/>
  <c r="Z218" i="2"/>
  <c r="Y218" i="2"/>
  <c r="BP218" i="2" s="1"/>
  <c r="P218" i="2"/>
  <c r="BO217" i="2"/>
  <c r="BM217" i="2"/>
  <c r="Z217" i="2"/>
  <c r="Z219" i="2" s="1"/>
  <c r="Y217" i="2"/>
  <c r="Y219" i="2" s="1"/>
  <c r="P217" i="2"/>
  <c r="X214" i="2"/>
  <c r="X213" i="2"/>
  <c r="BO212" i="2"/>
  <c r="BN212" i="2"/>
  <c r="BM212" i="2"/>
  <c r="Z212" i="2"/>
  <c r="Y212" i="2"/>
  <c r="BP212" i="2" s="1"/>
  <c r="P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X208" i="2"/>
  <c r="X207" i="2"/>
  <c r="BO206" i="2"/>
  <c r="BM206" i="2"/>
  <c r="Z206" i="2"/>
  <c r="Z207" i="2" s="1"/>
  <c r="Y206" i="2"/>
  <c r="BP206" i="2" s="1"/>
  <c r="P206" i="2"/>
  <c r="X202" i="2"/>
  <c r="X201" i="2"/>
  <c r="BO200" i="2"/>
  <c r="BM200" i="2"/>
  <c r="Z200" i="2"/>
  <c r="Y200" i="2"/>
  <c r="BP200" i="2" s="1"/>
  <c r="P200" i="2"/>
  <c r="BO199" i="2"/>
  <c r="BN199" i="2"/>
  <c r="BM199" i="2"/>
  <c r="Z199" i="2"/>
  <c r="Y199" i="2"/>
  <c r="BP199" i="2" s="1"/>
  <c r="P199" i="2"/>
  <c r="BO198" i="2"/>
  <c r="BM198" i="2"/>
  <c r="Z198" i="2"/>
  <c r="Z201" i="2" s="1"/>
  <c r="Y198" i="2"/>
  <c r="BN198" i="2" s="1"/>
  <c r="P198" i="2"/>
  <c r="BO197" i="2"/>
  <c r="BN197" i="2"/>
  <c r="BM197" i="2"/>
  <c r="Z197" i="2"/>
  <c r="Y197" i="2"/>
  <c r="Y202" i="2" s="1"/>
  <c r="P197" i="2"/>
  <c r="X193" i="2"/>
  <c r="Z192" i="2"/>
  <c r="Y192" i="2"/>
  <c r="X192" i="2"/>
  <c r="BO191" i="2"/>
  <c r="BN191" i="2"/>
  <c r="BM191" i="2"/>
  <c r="Z191" i="2"/>
  <c r="Y191" i="2"/>
  <c r="BP191" i="2" s="1"/>
  <c r="P191" i="2"/>
  <c r="Y188" i="2"/>
  <c r="X188" i="2"/>
  <c r="X187" i="2"/>
  <c r="BP186" i="2"/>
  <c r="BO186" i="2"/>
  <c r="BN186" i="2"/>
  <c r="BM186" i="2"/>
  <c r="Z186" i="2"/>
  <c r="Y186" i="2"/>
  <c r="P186" i="2"/>
  <c r="BO185" i="2"/>
  <c r="BN185" i="2"/>
  <c r="BM185" i="2"/>
  <c r="Z185" i="2"/>
  <c r="Z187" i="2" s="1"/>
  <c r="Y185" i="2"/>
  <c r="BP185" i="2" s="1"/>
  <c r="P185" i="2"/>
  <c r="X182" i="2"/>
  <c r="Y181" i="2"/>
  <c r="X181" i="2"/>
  <c r="BO180" i="2"/>
  <c r="BN180" i="2"/>
  <c r="BM180" i="2"/>
  <c r="Z180" i="2"/>
  <c r="Z181" i="2" s="1"/>
  <c r="Y180" i="2"/>
  <c r="Y182" i="2" s="1"/>
  <c r="P180" i="2"/>
  <c r="X178" i="2"/>
  <c r="X177" i="2"/>
  <c r="BO176" i="2"/>
  <c r="BN176" i="2"/>
  <c r="BM176" i="2"/>
  <c r="Z176" i="2"/>
  <c r="Z177" i="2" s="1"/>
  <c r="Y176" i="2"/>
  <c r="Y178" i="2" s="1"/>
  <c r="P176" i="2"/>
  <c r="Y172" i="2"/>
  <c r="X172" i="2"/>
  <c r="Y171" i="2"/>
  <c r="X171" i="2"/>
  <c r="BO170" i="2"/>
  <c r="BN170" i="2"/>
  <c r="BM170" i="2"/>
  <c r="Z170" i="2"/>
  <c r="Z171" i="2" s="1"/>
  <c r="Y170" i="2"/>
  <c r="BP170" i="2" s="1"/>
  <c r="P170" i="2"/>
  <c r="X167" i="2"/>
  <c r="X166" i="2"/>
  <c r="BO165" i="2"/>
  <c r="BM165" i="2"/>
  <c r="Z165" i="2"/>
  <c r="Z166" i="2" s="1"/>
  <c r="Y165" i="2"/>
  <c r="Y166" i="2" s="1"/>
  <c r="P165" i="2"/>
  <c r="X162" i="2"/>
  <c r="X161" i="2"/>
  <c r="BO160" i="2"/>
  <c r="BM160" i="2"/>
  <c r="Z160" i="2"/>
  <c r="Z161" i="2" s="1"/>
  <c r="Y160" i="2"/>
  <c r="Y162" i="2" s="1"/>
  <c r="P160" i="2"/>
  <c r="X157" i="2"/>
  <c r="X156" i="2"/>
  <c r="BO155" i="2"/>
  <c r="BN155" i="2"/>
  <c r="BM155" i="2"/>
  <c r="Z155" i="2"/>
  <c r="Y155" i="2"/>
  <c r="BP155" i="2" s="1"/>
  <c r="P155" i="2"/>
  <c r="BO154" i="2"/>
  <c r="BM154" i="2"/>
  <c r="Z154" i="2"/>
  <c r="Y154" i="2"/>
  <c r="Y156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Y151" i="2" s="1"/>
  <c r="P148" i="2"/>
  <c r="X145" i="2"/>
  <c r="X144" i="2"/>
  <c r="BO143" i="2"/>
  <c r="BM143" i="2"/>
  <c r="Z143" i="2"/>
  <c r="Y143" i="2"/>
  <c r="BP143" i="2" s="1"/>
  <c r="P143" i="2"/>
  <c r="BO142" i="2"/>
  <c r="BN142" i="2"/>
  <c r="BM142" i="2"/>
  <c r="Z142" i="2"/>
  <c r="Y142" i="2"/>
  <c r="Y145" i="2" s="1"/>
  <c r="P142" i="2"/>
  <c r="X139" i="2"/>
  <c r="X138" i="2"/>
  <c r="BO137" i="2"/>
  <c r="BM137" i="2"/>
  <c r="Z137" i="2"/>
  <c r="Y137" i="2"/>
  <c r="P137" i="2"/>
  <c r="BO136" i="2"/>
  <c r="BM136" i="2"/>
  <c r="Z136" i="2"/>
  <c r="Z138" i="2" s="1"/>
  <c r="Y136" i="2"/>
  <c r="Y139" i="2" s="1"/>
  <c r="P136" i="2"/>
  <c r="BO135" i="2"/>
  <c r="BN135" i="2"/>
  <c r="BM135" i="2"/>
  <c r="Z135" i="2"/>
  <c r="Y135" i="2"/>
  <c r="BP135" i="2" s="1"/>
  <c r="P135" i="2"/>
  <c r="X133" i="2"/>
  <c r="X132" i="2"/>
  <c r="BP131" i="2"/>
  <c r="BO131" i="2"/>
  <c r="BN131" i="2"/>
  <c r="BM131" i="2"/>
  <c r="Z131" i="2"/>
  <c r="Y131" i="2"/>
  <c r="P131" i="2"/>
  <c r="BO130" i="2"/>
  <c r="BN130" i="2"/>
  <c r="BM130" i="2"/>
  <c r="Z130" i="2"/>
  <c r="Y130" i="2"/>
  <c r="BP130" i="2" s="1"/>
  <c r="P130" i="2"/>
  <c r="BO129" i="2"/>
  <c r="BM129" i="2"/>
  <c r="Z129" i="2"/>
  <c r="Z132" i="2" s="1"/>
  <c r="Y129" i="2"/>
  <c r="BP129" i="2" s="1"/>
  <c r="P129" i="2"/>
  <c r="BO128" i="2"/>
  <c r="BM128" i="2"/>
  <c r="Z128" i="2"/>
  <c r="Y128" i="2"/>
  <c r="BN128" i="2" s="1"/>
  <c r="P128" i="2"/>
  <c r="X125" i="2"/>
  <c r="X124" i="2"/>
  <c r="BO123" i="2"/>
  <c r="BM123" i="2"/>
  <c r="Z123" i="2"/>
  <c r="Z124" i="2" s="1"/>
  <c r="Y123" i="2"/>
  <c r="BP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N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Z109" i="2"/>
  <c r="Z116" i="2" s="1"/>
  <c r="Y109" i="2"/>
  <c r="BP109" i="2" s="1"/>
  <c r="P109" i="2"/>
  <c r="X106" i="2"/>
  <c r="Z105" i="2"/>
  <c r="X105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N96" i="2"/>
  <c r="BM96" i="2"/>
  <c r="Z96" i="2"/>
  <c r="Y96" i="2"/>
  <c r="BP96" i="2" s="1"/>
  <c r="P96" i="2"/>
  <c r="BO95" i="2"/>
  <c r="BN95" i="2"/>
  <c r="BM95" i="2"/>
  <c r="Z95" i="2"/>
  <c r="Y95" i="2"/>
  <c r="BP95" i="2" s="1"/>
  <c r="P95" i="2"/>
  <c r="BO94" i="2"/>
  <c r="BM94" i="2"/>
  <c r="Z94" i="2"/>
  <c r="Y94" i="2"/>
  <c r="BP94" i="2" s="1"/>
  <c r="P94" i="2"/>
  <c r="BO93" i="2"/>
  <c r="BM93" i="2"/>
  <c r="Z93" i="2"/>
  <c r="Z99" i="2" s="1"/>
  <c r="Y93" i="2"/>
  <c r="BN93" i="2" s="1"/>
  <c r="P93" i="2"/>
  <c r="X90" i="2"/>
  <c r="X89" i="2"/>
  <c r="BO88" i="2"/>
  <c r="BM88" i="2"/>
  <c r="Z88" i="2"/>
  <c r="Y88" i="2"/>
  <c r="P88" i="2"/>
  <c r="BO87" i="2"/>
  <c r="BM87" i="2"/>
  <c r="Z87" i="2"/>
  <c r="Z89" i="2" s="1"/>
  <c r="Y87" i="2"/>
  <c r="BP87" i="2" s="1"/>
  <c r="P87" i="2"/>
  <c r="X84" i="2"/>
  <c r="Y83" i="2"/>
  <c r="X83" i="2"/>
  <c r="BO82" i="2"/>
  <c r="BN82" i="2"/>
  <c r="BM82" i="2"/>
  <c r="Z82" i="2"/>
  <c r="Z83" i="2" s="1"/>
  <c r="Y82" i="2"/>
  <c r="Y84" i="2" s="1"/>
  <c r="P82" i="2"/>
  <c r="X79" i="2"/>
  <c r="X78" i="2"/>
  <c r="BO77" i="2"/>
  <c r="BM77" i="2"/>
  <c r="Z77" i="2"/>
  <c r="Y77" i="2"/>
  <c r="Y78" i="2" s="1"/>
  <c r="P77" i="2"/>
  <c r="BO76" i="2"/>
  <c r="BN76" i="2"/>
  <c r="BM76" i="2"/>
  <c r="Z76" i="2"/>
  <c r="Y76" i="2"/>
  <c r="P76" i="2"/>
  <c r="X73" i="2"/>
  <c r="X72" i="2"/>
  <c r="BP71" i="2"/>
  <c r="BO71" i="2"/>
  <c r="BN71" i="2"/>
  <c r="BM71" i="2"/>
  <c r="Z71" i="2"/>
  <c r="Z72" i="2" s="1"/>
  <c r="Y71" i="2"/>
  <c r="P71" i="2"/>
  <c r="BO70" i="2"/>
  <c r="BM70" i="2"/>
  <c r="Z70" i="2"/>
  <c r="Y70" i="2"/>
  <c r="BN70" i="2" s="1"/>
  <c r="P70" i="2"/>
  <c r="BO69" i="2"/>
  <c r="BN69" i="2"/>
  <c r="BM69" i="2"/>
  <c r="Z69" i="2"/>
  <c r="Y69" i="2"/>
  <c r="BP69" i="2" s="1"/>
  <c r="P69" i="2"/>
  <c r="Y67" i="2"/>
  <c r="X67" i="2"/>
  <c r="X66" i="2"/>
  <c r="BO65" i="2"/>
  <c r="BM65" i="2"/>
  <c r="Z65" i="2"/>
  <c r="Z66" i="2" s="1"/>
  <c r="Y65" i="2"/>
  <c r="BN65" i="2" s="1"/>
  <c r="P65" i="2"/>
  <c r="X63" i="2"/>
  <c r="X62" i="2"/>
  <c r="BO61" i="2"/>
  <c r="BM61" i="2"/>
  <c r="Z61" i="2"/>
  <c r="Z62" i="2" s="1"/>
  <c r="Y61" i="2"/>
  <c r="BP61" i="2" s="1"/>
  <c r="P61" i="2"/>
  <c r="Y58" i="2"/>
  <c r="X58" i="2"/>
  <c r="X57" i="2"/>
  <c r="BO56" i="2"/>
  <c r="BN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N54" i="2" s="1"/>
  <c r="P54" i="2"/>
  <c r="BO53" i="2"/>
  <c r="BM53" i="2"/>
  <c r="Z53" i="2"/>
  <c r="Y53" i="2"/>
  <c r="P53" i="2"/>
  <c r="X50" i="2"/>
  <c r="X49" i="2"/>
  <c r="BO48" i="2"/>
  <c r="BM48" i="2"/>
  <c r="Z48" i="2"/>
  <c r="Y48" i="2"/>
  <c r="BP48" i="2" s="1"/>
  <c r="P48" i="2"/>
  <c r="BO47" i="2"/>
  <c r="BN47" i="2"/>
  <c r="BM47" i="2"/>
  <c r="Z47" i="2"/>
  <c r="Z49" i="2" s="1"/>
  <c r="Y47" i="2"/>
  <c r="BP47" i="2" s="1"/>
  <c r="P47" i="2"/>
  <c r="X44" i="2"/>
  <c r="Z43" i="2"/>
  <c r="Y43" i="2"/>
  <c r="X43" i="2"/>
  <c r="BO42" i="2"/>
  <c r="BN42" i="2"/>
  <c r="BM42" i="2"/>
  <c r="Z42" i="2"/>
  <c r="Y42" i="2"/>
  <c r="BP42" i="2" s="1"/>
  <c r="P42" i="2"/>
  <c r="BO41" i="2"/>
  <c r="BN41" i="2"/>
  <c r="BM41" i="2"/>
  <c r="Z41" i="2"/>
  <c r="Y41" i="2"/>
  <c r="Y44" i="2" s="1"/>
  <c r="P41" i="2"/>
  <c r="Y37" i="2"/>
  <c r="X37" i="2"/>
  <c r="X36" i="2"/>
  <c r="BP35" i="2"/>
  <c r="BO35" i="2"/>
  <c r="BN35" i="2"/>
  <c r="BM35" i="2"/>
  <c r="Z35" i="2"/>
  <c r="Z36" i="2" s="1"/>
  <c r="Y35" i="2"/>
  <c r="P35" i="2"/>
  <c r="BO34" i="2"/>
  <c r="BM34" i="2"/>
  <c r="Z34" i="2"/>
  <c r="Y34" i="2"/>
  <c r="Y36" i="2" s="1"/>
  <c r="P34" i="2"/>
  <c r="X31" i="2"/>
  <c r="X30" i="2"/>
  <c r="BO29" i="2"/>
  <c r="BN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P23" i="2"/>
  <c r="BO22" i="2"/>
  <c r="X281" i="2" s="1"/>
  <c r="BM22" i="2"/>
  <c r="Z22" i="2"/>
  <c r="Y22" i="2"/>
  <c r="BN22" i="2" s="1"/>
  <c r="P22" i="2"/>
  <c r="H10" i="2"/>
  <c r="A9" i="2"/>
  <c r="H9" i="2" s="1"/>
  <c r="D7" i="2"/>
  <c r="Q6" i="2"/>
  <c r="P2" i="2"/>
  <c r="Y73" i="2" l="1"/>
  <c r="BP93" i="2"/>
  <c r="Z30" i="2"/>
  <c r="BP22" i="2"/>
  <c r="BP24" i="2"/>
  <c r="Y49" i="2"/>
  <c r="Y57" i="2"/>
  <c r="BP65" i="2"/>
  <c r="BP70" i="2"/>
  <c r="Y89" i="2"/>
  <c r="BP97" i="2"/>
  <c r="BP104" i="2"/>
  <c r="BP110" i="2"/>
  <c r="BP112" i="2"/>
  <c r="BP165" i="2"/>
  <c r="Y167" i="2"/>
  <c r="BP235" i="2"/>
  <c r="BP249" i="2"/>
  <c r="BP261" i="2"/>
  <c r="BP270" i="2"/>
  <c r="BP275" i="2"/>
  <c r="Y99" i="2"/>
  <c r="X280" i="2"/>
  <c r="BN25" i="2"/>
  <c r="BP27" i="2"/>
  <c r="X283" i="2"/>
  <c r="Z57" i="2"/>
  <c r="BP54" i="2"/>
  <c r="Y72" i="2"/>
  <c r="Y79" i="2"/>
  <c r="BP115" i="2"/>
  <c r="BP128" i="2"/>
  <c r="Y138" i="2"/>
  <c r="Z144" i="2"/>
  <c r="Y157" i="2"/>
  <c r="Y214" i="2"/>
  <c r="Y220" i="2"/>
  <c r="BP229" i="2"/>
  <c r="Y231" i="2"/>
  <c r="Y237" i="2"/>
  <c r="BP245" i="2"/>
  <c r="Y247" i="2"/>
  <c r="Y251" i="2"/>
  <c r="BP256" i="2"/>
  <c r="Y258" i="2"/>
  <c r="BN276" i="2"/>
  <c r="Y31" i="2"/>
  <c r="Y116" i="2"/>
  <c r="BP267" i="2"/>
  <c r="Y30" i="2"/>
  <c r="X279" i="2"/>
  <c r="BP41" i="2"/>
  <c r="Z78" i="2"/>
  <c r="Y105" i="2"/>
  <c r="BN136" i="2"/>
  <c r="Z150" i="2"/>
  <c r="Z156" i="2"/>
  <c r="BN160" i="2"/>
  <c r="BN165" i="2"/>
  <c r="BP180" i="2"/>
  <c r="Y193" i="2"/>
  <c r="BP198" i="2"/>
  <c r="Z213" i="2"/>
  <c r="BN217" i="2"/>
  <c r="BN223" i="2"/>
  <c r="BN235" i="2"/>
  <c r="BN239" i="2"/>
  <c r="BN249" i="2"/>
  <c r="BN255" i="2"/>
  <c r="X282" i="2"/>
  <c r="Z284" i="2"/>
  <c r="Y50" i="2"/>
  <c r="Y66" i="2"/>
  <c r="BP76" i="2"/>
  <c r="BN88" i="2"/>
  <c r="Y100" i="2"/>
  <c r="BN123" i="2"/>
  <c r="BP136" i="2"/>
  <c r="BN148" i="2"/>
  <c r="BN206" i="2"/>
  <c r="BN28" i="2"/>
  <c r="BN55" i="2"/>
  <c r="BP82" i="2"/>
  <c r="BN94" i="2"/>
  <c r="Y106" i="2"/>
  <c r="Y117" i="2"/>
  <c r="BN129" i="2"/>
  <c r="Y132" i="2"/>
  <c r="BP142" i="2"/>
  <c r="BN154" i="2"/>
  <c r="Y187" i="2"/>
  <c r="BN211" i="2"/>
  <c r="Y263" i="2"/>
  <c r="BN61" i="2"/>
  <c r="BP88" i="2"/>
  <c r="Y133" i="2"/>
  <c r="Y264" i="2"/>
  <c r="BN271" i="2"/>
  <c r="Y124" i="2"/>
  <c r="BN103" i="2"/>
  <c r="BN114" i="2"/>
  <c r="BN137" i="2"/>
  <c r="BP197" i="2"/>
  <c r="BP223" i="2"/>
  <c r="BP239" i="2"/>
  <c r="BP255" i="2"/>
  <c r="BN143" i="2"/>
  <c r="Y161" i="2"/>
  <c r="Y177" i="2"/>
  <c r="BN200" i="2"/>
  <c r="BN274" i="2"/>
  <c r="Y277" i="2"/>
  <c r="F9" i="2"/>
  <c r="BP154" i="2"/>
  <c r="BP160" i="2"/>
  <c r="BP176" i="2"/>
  <c r="Y207" i="2"/>
  <c r="BP217" i="2"/>
  <c r="J9" i="2"/>
  <c r="BN26" i="2"/>
  <c r="BN53" i="2"/>
  <c r="BN77" i="2"/>
  <c r="A10" i="2"/>
  <c r="Y62" i="2"/>
  <c r="BN109" i="2"/>
  <c r="BN119" i="2"/>
  <c r="F10" i="2"/>
  <c r="BP53" i="2"/>
  <c r="BP77" i="2"/>
  <c r="Y90" i="2"/>
  <c r="Y125" i="2"/>
  <c r="BP137" i="2"/>
  <c r="BN149" i="2"/>
  <c r="Y208" i="2"/>
  <c r="Y224" i="2"/>
  <c r="Y240" i="2"/>
  <c r="BN23" i="2"/>
  <c r="BN111" i="2"/>
  <c r="Y63" i="2"/>
  <c r="Y278" i="2"/>
  <c r="Y120" i="2"/>
  <c r="Y144" i="2"/>
  <c r="Y201" i="2"/>
  <c r="BN34" i="2"/>
  <c r="BP148" i="2"/>
  <c r="BP34" i="2"/>
  <c r="Y150" i="2"/>
  <c r="BP23" i="2"/>
  <c r="BP119" i="2"/>
  <c r="BN87" i="2"/>
  <c r="BN210" i="2"/>
  <c r="Y213" i="2"/>
  <c r="BN48" i="2"/>
  <c r="BN98" i="2"/>
  <c r="Y281" i="2" l="1"/>
  <c r="Y283" i="2"/>
  <c r="Y279" i="2"/>
  <c r="Y280" i="2"/>
  <c r="C292" i="2"/>
  <c r="B292" i="2"/>
  <c r="A292" i="2"/>
  <c r="Y282" i="2"/>
</calcChain>
</file>

<file path=xl/sharedStrings.xml><?xml version="1.0" encoding="utf-8"?>
<sst xmlns="http://schemas.openxmlformats.org/spreadsheetml/2006/main" count="1730" uniqueCount="407">
  <si>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</si>
  <si>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</si>
  <si>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</si>
  <si>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</si>
  <si>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</si>
  <si>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</si>
  <si>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</si>
  <si>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</si>
  <si>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</si>
  <si>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</si>
  <si>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</si>
  <si>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</si>
  <si>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</si>
  <si>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</si>
  <si>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</si>
  <si>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</si>
  <si>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</si>
  <si>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</si>
  <si>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</si>
  <si>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</si>
  <si>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</si>
  <si>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</si>
  <si>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</si>
  <si>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</si>
  <si>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</si>
  <si>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</si>
  <si>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</si>
  <si>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</si>
  <si>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</si>
  <si>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</si>
  <si>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</si>
  <si>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</si>
  <si>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</si>
  <si>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</si>
  <si>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</si>
  <si>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</si>
  <si>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</si>
  <si>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</si>
  <si>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</si>
  <si>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</si>
  <si>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</si>
  <si>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</si>
  <si>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</si>
  <si>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</si>
  <si>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</si>
  <si>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</si>
  <si>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</si>
  <si>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</si>
  <si>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</si>
  <si>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</si>
  <si>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</si>
  <si>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</si>
  <si>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</si>
  <si>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</si>
  <si>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</si>
  <si>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</si>
  <si>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</si>
  <si>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</si>
  <si>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</si>
  <si>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</si>
  <si>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</si>
  <si>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</si>
  <si>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</si>
  <si>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</si>
  <si>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</si>
  <si>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</si>
  <si>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</si>
  <si>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</si>
  <si>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</si>
  <si>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</si>
  <si>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</si>
  <si>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</si>
  <si>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</si>
  <si>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</si>
  <si>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</si>
  <si>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</si>
  <si>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</si>
  <si>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</si>
  <si>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Мариуполь г, Куприна ул, д. 10,</t>
  </si>
  <si>
    <t>287537Российская Федерация, Донецкая Народная Респ, Мариуполь г, Куприна ул, д. 10,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</si>
  <si>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</si>
  <si>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</si>
  <si>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</si>
  <si>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</si>
  <si>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</si>
  <si>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</si>
  <si>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</si>
  <si>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</si>
  <si>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</si>
  <si>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</si>
  <si>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</si>
  <si>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</si>
  <si>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</si>
  <si>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</si>
  <si>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</si>
  <si>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</si>
  <si>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</si>
  <si>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</si>
  <si>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</si>
  <si>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</si>
  <si>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</si>
  <si>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</si>
  <si>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</si>
  <si>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</si>
  <si>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</si>
  <si>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</si>
  <si>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</si>
  <si>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</si>
  <si>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</si>
  <si>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</si>
  <si>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</si>
  <si>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</si>
  <si>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</si>
  <si>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</si>
  <si>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</si>
  <si>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</si>
  <si>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</si>
  <si>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</si>
  <si>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</si>
  <si>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</si>
  <si>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</si>
  <si>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</si>
  <si>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</si>
  <si>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</si>
  <si>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</si>
  <si>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</si>
  <si>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</si>
  <si>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</si>
  <si>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</si>
  <si>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</si>
  <si>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</si>
  <si>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</si>
  <si>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</si>
  <si>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</si>
  <si>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</si>
  <si>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</si>
  <si>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</si>
  <si>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</si>
  <si>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</si>
  <si>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</si>
  <si>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</si>
  <si>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</si>
  <si>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</si>
  <si>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</si>
  <si>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</si>
  <si>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</si>
  <si>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</si>
  <si>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</si>
  <si>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</si>
  <si>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</si>
  <si>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</si>
  <si>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</si>
  <si>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</si>
  <si>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</si>
  <si>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</si>
  <si>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</si>
  <si>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</si>
  <si>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</si>
  <si>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</si>
  <si>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</si>
  <si>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</si>
  <si>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</si>
  <si>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</si>
  <si>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</si>
  <si>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</si>
  <si>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</si>
  <si>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</si>
  <si>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</si>
  <si>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</si>
  <si>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</si>
  <si>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</si>
  <si>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</si>
  <si>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</si>
  <si>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</si>
  <si>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</si>
  <si>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</si>
  <si>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</si>
  <si>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</si>
  <si>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</si>
  <si>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</si>
  <si>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</si>
  <si>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</si>
  <si>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</si>
  <si>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</si>
  <si>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</si>
  <si>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</si>
  <si>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</si>
  <si>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</si>
  <si>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</si>
  <si>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</si>
  <si>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</si>
  <si>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</si>
  <si>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</si>
  <si>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</si>
  <si>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</si>
  <si>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</si>
  <si>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</si>
  <si>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</si>
  <si>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</si>
  <si>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</si>
  <si>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</si>
  <si>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</si>
  <si>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</si>
  <si>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</si>
  <si>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</si>
  <si>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</si>
  <si>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</si>
  <si>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</si>
  <si>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</si>
  <si>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</si>
  <si>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</si>
  <si>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</si>
  <si>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</si>
  <si>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</si>
  <si>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</si>
  <si>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</si>
  <si>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</si>
  <si>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</si>
  <si>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</si>
  <si>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</si>
  <si>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</si>
  <si>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</si>
  <si>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</si>
  <si>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</si>
  <si>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</si>
  <si>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</si>
  <si>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</si>
  <si>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</si>
  <si>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</si>
  <si>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</si>
  <si>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</si>
  <si>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</si>
  <si>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</si>
  <si>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</si>
  <si>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</si>
  <si>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</si>
  <si>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</si>
  <si>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</si>
  <si>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</si>
  <si>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</si>
  <si>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</si>
  <si>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</si>
  <si>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</si>
  <si>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</si>
  <si>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</si>
  <si>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</si>
  <si>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</si>
  <si>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</si>
  <si>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</si>
  <si>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</si>
  <si>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</si>
  <si>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</si>
  <si>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</si>
  <si>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</si>
  <si>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</si>
  <si>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</si>
  <si>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</si>
  <si>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</si>
  <si>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</si>
  <si>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</si>
  <si>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</si>
  <si>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</si>
  <si>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</si>
  <si>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</si>
  <si>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</si>
  <si>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</si>
  <si>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</si>
  <si>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</si>
  <si>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</si>
  <si>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</si>
  <si>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</si>
  <si>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</si>
  <si>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</si>
  <si>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</si>
  <si>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</si>
  <si>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</si>
  <si>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</si>
  <si>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</si>
  <si>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</si>
  <si>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</si>
  <si>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</si>
  <si>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</si>
  <si>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</si>
  <si>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</si>
  <si>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</si>
  <si>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</si>
  <si>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</si>
  <si>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</si>
  <si>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</si>
  <si>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</si>
  <si>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</si>
  <si>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</si>
  <si>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</si>
  <si>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</si>
  <si>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</si>
  <si>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</si>
  <si>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</si>
  <si>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</si>
  <si>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</si>
  <si>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</si>
  <si>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</si>
  <si>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</si>
  <si>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</si>
  <si>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</si>
  <si>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</si>
  <si>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</si>
  <si>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</si>
  <si>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</si>
  <si>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</si>
  <si>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</si>
  <si>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</si>
  <si>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</si>
  <si>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</si>
  <si>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</si>
  <si>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</si>
  <si>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</si>
  <si>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</si>
  <si>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</si>
  <si>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</si>
  <si>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</si>
  <si>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</si>
  <si>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</si>
  <si>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</si>
  <si>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</si>
  <si>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</si>
  <si>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</si>
  <si>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</si>
  <si>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</si>
  <si>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</si>
  <si>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</si>
  <si>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</si>
  <si>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</si>
  <si>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</si>
  <si>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</si>
  <si>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</si>
  <si>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</si>
  <si>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</si>
  <si>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</si>
  <si>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</si>
  <si>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</si>
  <si>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</si>
  <si>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</si>
  <si>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</si>
  <si>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</si>
  <si>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</si>
  <si>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</si>
  <si>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</si>
  <si>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</si>
  <si>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</si>
  <si>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</si>
  <si>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</si>
  <si>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</si>
  <si>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</si>
  <si>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</si>
  <si>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</si>
  <si>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</si>
  <si>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</si>
  <si>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</si>
  <si>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</si>
  <si>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</si>
  <si>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</si>
  <si>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</si>
  <si>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</si>
  <si>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</si>
  <si>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</si>
  <si>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</si>
  <si>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</si>
  <si>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</si>
  <si>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</si>
  <si>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</si>
  <si>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</si>
  <si>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</si>
  <si>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</si>
  <si>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</si>
  <si>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</si>
  <si>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</si>
  <si>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</si>
  <si>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</si>
  <si>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</si>
  <si>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P004391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</si>
  <si>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</si>
  <si>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</si>
  <si>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</si>
  <si>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P004392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</si>
  <si>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</si>
  <si>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</si>
  <si>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</si>
  <si>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</si>
  <si>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</si>
  <si>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</si>
  <si>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</si>
  <si>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MSDAX_ЗПФ</t>
  </si>
  <si>
    <t>Доставка</t>
  </si>
  <si>
    <t>Самовывоз</t>
  </si>
  <si>
    <t>596383_11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</si>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</sst>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>
        <v>46293</v>
      </c>
      <c r="R5" s="292"/>
      <c r="T5" s="293" t="s">
        <v>3</v>
      </c>
      <c r="U5" s="294"/>
      <c r="V5" s="295" t="s">
        <v>393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 t="s">
        <v>78</v>
      </c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98"/>
      <c r="T6" s="299" t="s">
        <v>5</v>
      </c>
      <c r="U6" s="300"/>
      <c r="V6" s="301" t="s">
        <v>72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 t="s">
        <v>79</v>
      </c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0.41666666666666669</v>
      </c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73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74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75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76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77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customHeight="1" x14ac:dyDescent="0.2">
      <c r="A19" s="353" t="s">
        <v>80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customHeight="1" x14ac:dyDescent="0.25">
      <c r="A20" s="354" t="s">
        <v>80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customHeight="1" x14ac:dyDescent="0.25">
      <c r="A21" s="355" t="s">
        <v>81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4" t="s">
        <v>105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65"/>
      <c r="AB32" s="65"/>
      <c r="AC32" s="82"/>
    </row>
    <row r="33" spans="1:68" ht="14.25" customHeight="1" x14ac:dyDescent="0.25">
      <c r="A33" s="355" t="s">
        <v>81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356">
        <v>4607111039019</v>
      </c>
      <c r="E34" s="35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7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356">
        <v>4607111038708</v>
      </c>
      <c r="E35" s="35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7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8"/>
      <c r="R35" s="358"/>
      <c r="S35" s="358"/>
      <c r="T35" s="35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67" t="s">
        <v>40</v>
      </c>
      <c r="Q36" s="368"/>
      <c r="R36" s="368"/>
      <c r="S36" s="368"/>
      <c r="T36" s="368"/>
      <c r="U36" s="368"/>
      <c r="V36" s="36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1"/>
      <c r="P37" s="367" t="s">
        <v>40</v>
      </c>
      <c r="Q37" s="368"/>
      <c r="R37" s="368"/>
      <c r="S37" s="368"/>
      <c r="T37" s="368"/>
      <c r="U37" s="368"/>
      <c r="V37" s="36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3" t="s">
        <v>45</v>
      </c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54"/>
      <c r="AB38" s="54"/>
      <c r="AC38" s="54"/>
    </row>
    <row r="39" spans="1:68" ht="16.5" customHeight="1" x14ac:dyDescent="0.25">
      <c r="A39" s="354" t="s">
        <v>111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65"/>
      <c r="AB39" s="65"/>
      <c r="AC39" s="82"/>
    </row>
    <row r="40" spans="1:68" ht="14.25" customHeight="1" x14ac:dyDescent="0.25">
      <c r="A40" s="355" t="s">
        <v>112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6">
        <v>4607111036537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6">
        <v>4607111036605</v>
      </c>
      <c r="E42" s="35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85</v>
      </c>
      <c r="N42" s="38"/>
      <c r="O42" s="37">
        <v>365</v>
      </c>
      <c r="P42" s="37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8"/>
      <c r="R42" s="358"/>
      <c r="S42" s="358"/>
      <c r="T42" s="359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1"/>
      <c r="P43" s="367" t="s">
        <v>40</v>
      </c>
      <c r="Q43" s="368"/>
      <c r="R43" s="368"/>
      <c r="S43" s="368"/>
      <c r="T43" s="368"/>
      <c r="U43" s="368"/>
      <c r="V43" s="369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1"/>
      <c r="P44" s="367" t="s">
        <v>40</v>
      </c>
      <c r="Q44" s="368"/>
      <c r="R44" s="368"/>
      <c r="S44" s="368"/>
      <c r="T44" s="368"/>
      <c r="U44" s="368"/>
      <c r="V44" s="369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54" t="s">
        <v>122</v>
      </c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65"/>
      <c r="AB45" s="65"/>
      <c r="AC45" s="82"/>
    </row>
    <row r="46" spans="1:68" ht="14.25" customHeight="1" x14ac:dyDescent="0.25">
      <c r="A46" s="355" t="s">
        <v>81</v>
      </c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356">
        <v>4620207490075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118</v>
      </c>
      <c r="M47" s="38" t="s">
        <v>85</v>
      </c>
      <c r="N47" s="38"/>
      <c r="O47" s="37">
        <v>180</v>
      </c>
      <c r="P47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56">
        <v>4620207490174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118</v>
      </c>
      <c r="M48" s="38" t="s">
        <v>85</v>
      </c>
      <c r="N48" s="38"/>
      <c r="O48" s="37">
        <v>180</v>
      </c>
      <c r="P48" s="37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1"/>
      <c r="P49" s="367" t="s">
        <v>40</v>
      </c>
      <c r="Q49" s="368"/>
      <c r="R49" s="368"/>
      <c r="S49" s="368"/>
      <c r="T49" s="368"/>
      <c r="U49" s="368"/>
      <c r="V49" s="369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1"/>
      <c r="P50" s="367" t="s">
        <v>40</v>
      </c>
      <c r="Q50" s="368"/>
      <c r="R50" s="368"/>
      <c r="S50" s="368"/>
      <c r="T50" s="368"/>
      <c r="U50" s="368"/>
      <c r="V50" s="369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54" t="s">
        <v>129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customHeight="1" x14ac:dyDescent="0.25">
      <c r="A52" s="355" t="s">
        <v>81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1"/>
      <c r="P57" s="367" t="s">
        <v>40</v>
      </c>
      <c r="Q57" s="368"/>
      <c r="R57" s="368"/>
      <c r="S57" s="368"/>
      <c r="T57" s="368"/>
      <c r="U57" s="368"/>
      <c r="V57" s="369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1"/>
      <c r="P58" s="367" t="s">
        <v>40</v>
      </c>
      <c r="Q58" s="368"/>
      <c r="R58" s="368"/>
      <c r="S58" s="368"/>
      <c r="T58" s="368"/>
      <c r="U58" s="368"/>
      <c r="V58" s="369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54" t="s">
        <v>140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customHeight="1" x14ac:dyDescent="0.25">
      <c r="A60" s="355" t="s">
        <v>112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27" customHeight="1" x14ac:dyDescent="0.25">
      <c r="A61" s="63" t="s">
        <v>141</v>
      </c>
      <c r="B61" s="63" t="s">
        <v>142</v>
      </c>
      <c r="C61" s="36">
        <v>4301132194</v>
      </c>
      <c r="D61" s="356">
        <v>4607111039712</v>
      </c>
      <c r="E61" s="35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1"/>
      <c r="P62" s="367" t="s">
        <v>40</v>
      </c>
      <c r="Q62" s="368"/>
      <c r="R62" s="368"/>
      <c r="S62" s="368"/>
      <c r="T62" s="368"/>
      <c r="U62" s="368"/>
      <c r="V62" s="36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/>
      <c r="P63" s="367" t="s">
        <v>40</v>
      </c>
      <c r="Q63" s="368"/>
      <c r="R63" s="368"/>
      <c r="S63" s="368"/>
      <c r="T63" s="368"/>
      <c r="U63" s="368"/>
      <c r="V63" s="36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55" t="s">
        <v>144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16.5" customHeight="1" x14ac:dyDescent="0.25">
      <c r="A65" s="63" t="s">
        <v>145</v>
      </c>
      <c r="B65" s="63" t="s">
        <v>146</v>
      </c>
      <c r="C65" s="36">
        <v>4301136015</v>
      </c>
      <c r="D65" s="356">
        <v>4607111037398</v>
      </c>
      <c r="E65" s="356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">
      <c r="A66" s="370"/>
      <c r="B66" s="370"/>
      <c r="C66" s="370"/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1"/>
      <c r="P66" s="367" t="s">
        <v>40</v>
      </c>
      <c r="Q66" s="368"/>
      <c r="R66" s="368"/>
      <c r="S66" s="368"/>
      <c r="T66" s="368"/>
      <c r="U66" s="368"/>
      <c r="V66" s="369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x14ac:dyDescent="0.2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1"/>
      <c r="P67" s="367" t="s">
        <v>40</v>
      </c>
      <c r="Q67" s="368"/>
      <c r="R67" s="368"/>
      <c r="S67" s="368"/>
      <c r="T67" s="368"/>
      <c r="U67" s="368"/>
      <c r="V67" s="369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customHeight="1" x14ac:dyDescent="0.25">
      <c r="A68" s="355" t="s">
        <v>148</v>
      </c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66"/>
      <c r="AB68" s="66"/>
      <c r="AC68" s="83"/>
    </row>
    <row r="69" spans="1:68" ht="27" customHeight="1" x14ac:dyDescent="0.25">
      <c r="A69" s="63" t="s">
        <v>149</v>
      </c>
      <c r="B69" s="63" t="s">
        <v>150</v>
      </c>
      <c r="C69" s="36">
        <v>4301135664</v>
      </c>
      <c r="D69" s="356">
        <v>4607111039705</v>
      </c>
      <c r="E69" s="356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117</v>
      </c>
      <c r="L69" s="37" t="s">
        <v>87</v>
      </c>
      <c r="M69" s="38" t="s">
        <v>85</v>
      </c>
      <c r="N69" s="38"/>
      <c r="O69" s="37">
        <v>365</v>
      </c>
      <c r="P69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58"/>
      <c r="R69" s="358"/>
      <c r="S69" s="358"/>
      <c r="T69" s="35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147</v>
      </c>
      <c r="AG69" s="81"/>
      <c r="AJ69" s="87" t="s">
        <v>88</v>
      </c>
      <c r="AK69" s="87">
        <v>1</v>
      </c>
      <c r="BB69" s="130" t="s">
        <v>116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151</v>
      </c>
      <c r="B70" s="63" t="s">
        <v>152</v>
      </c>
      <c r="C70" s="36">
        <v>4301135665</v>
      </c>
      <c r="D70" s="356">
        <v>4607111039729</v>
      </c>
      <c r="E70" s="35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4301135702</v>
      </c>
      <c r="D71" s="356">
        <v>4620207490228</v>
      </c>
      <c r="E71" s="35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87</v>
      </c>
      <c r="M71" s="38" t="s">
        <v>85</v>
      </c>
      <c r="N71" s="38"/>
      <c r="O71" s="37">
        <v>365</v>
      </c>
      <c r="P71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58"/>
      <c r="R71" s="358"/>
      <c r="S71" s="358"/>
      <c r="T71" s="35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88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0"/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1"/>
      <c r="P72" s="367" t="s">
        <v>40</v>
      </c>
      <c r="Q72" s="368"/>
      <c r="R72" s="368"/>
      <c r="S72" s="368"/>
      <c r="T72" s="368"/>
      <c r="U72" s="368"/>
      <c r="V72" s="369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1"/>
      <c r="P73" s="367" t="s">
        <v>40</v>
      </c>
      <c r="Q73" s="368"/>
      <c r="R73" s="368"/>
      <c r="S73" s="368"/>
      <c r="T73" s="368"/>
      <c r="U73" s="368"/>
      <c r="V73" s="369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customHeight="1" x14ac:dyDescent="0.25">
      <c r="A74" s="354" t="s">
        <v>156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65"/>
      <c r="AB74" s="65"/>
      <c r="AC74" s="82"/>
    </row>
    <row r="75" spans="1:68" ht="14.25" customHeight="1" x14ac:dyDescent="0.25">
      <c r="A75" s="355" t="s">
        <v>81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355"/>
      <c r="Z75" s="355"/>
      <c r="AA75" s="66"/>
      <c r="AB75" s="66"/>
      <c r="AC75" s="83"/>
    </row>
    <row r="76" spans="1:68" ht="27" customHeight="1" x14ac:dyDescent="0.25">
      <c r="A76" s="63" t="s">
        <v>157</v>
      </c>
      <c r="B76" s="63" t="s">
        <v>158</v>
      </c>
      <c r="C76" s="36">
        <v>4301070977</v>
      </c>
      <c r="D76" s="356">
        <v>4607111037411</v>
      </c>
      <c r="E76" s="356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160</v>
      </c>
      <c r="L76" s="37" t="s">
        <v>87</v>
      </c>
      <c r="M76" s="38" t="s">
        <v>85</v>
      </c>
      <c r="N76" s="38"/>
      <c r="O76" s="37">
        <v>180</v>
      </c>
      <c r="P76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58"/>
      <c r="R76" s="358"/>
      <c r="S76" s="358"/>
      <c r="T76" s="359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159</v>
      </c>
      <c r="AG76" s="81"/>
      <c r="AJ76" s="87" t="s">
        <v>88</v>
      </c>
      <c r="AK76" s="87">
        <v>1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161</v>
      </c>
      <c r="B77" s="63" t="s">
        <v>162</v>
      </c>
      <c r="C77" s="36">
        <v>4301070981</v>
      </c>
      <c r="D77" s="356">
        <v>4607111036728</v>
      </c>
      <c r="E77" s="356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86</v>
      </c>
      <c r="L77" s="37" t="s">
        <v>118</v>
      </c>
      <c r="M77" s="38" t="s">
        <v>85</v>
      </c>
      <c r="N77" s="38"/>
      <c r="O77" s="37">
        <v>180</v>
      </c>
      <c r="P77" s="38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58"/>
      <c r="R77" s="358"/>
      <c r="S77" s="358"/>
      <c r="T77" s="35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159</v>
      </c>
      <c r="AG77" s="81"/>
      <c r="AJ77" s="87" t="s">
        <v>119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0"/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1"/>
      <c r="P78" s="367" t="s">
        <v>40</v>
      </c>
      <c r="Q78" s="368"/>
      <c r="R78" s="368"/>
      <c r="S78" s="368"/>
      <c r="T78" s="368"/>
      <c r="U78" s="368"/>
      <c r="V78" s="369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1"/>
      <c r="P79" s="367" t="s">
        <v>40</v>
      </c>
      <c r="Q79" s="368"/>
      <c r="R79" s="368"/>
      <c r="S79" s="368"/>
      <c r="T79" s="368"/>
      <c r="U79" s="368"/>
      <c r="V79" s="369"/>
      <c r="W79" s="42" t="s">
        <v>0</v>
      </c>
      <c r="X79" s="43">
        <f>IFERROR(SUMPRODUCT(X76:X77*H76:H77),"0")</f>
        <v>0</v>
      </c>
      <c r="Y79" s="43">
        <f>IFERROR(SUMPRODUCT(Y76:Y77*H76:H77),"0")</f>
        <v>0</v>
      </c>
      <c r="Z79" s="42"/>
      <c r="AA79" s="67"/>
      <c r="AB79" s="67"/>
      <c r="AC79" s="67"/>
    </row>
    <row r="80" spans="1:68" ht="16.5" customHeight="1" x14ac:dyDescent="0.25">
      <c r="A80" s="354" t="s">
        <v>163</v>
      </c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65"/>
      <c r="AB80" s="65"/>
      <c r="AC80" s="82"/>
    </row>
    <row r="81" spans="1:68" ht="14.25" customHeight="1" x14ac:dyDescent="0.25">
      <c r="A81" s="355" t="s">
        <v>148</v>
      </c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  <c r="Z81" s="355"/>
      <c r="AA81" s="66"/>
      <c r="AB81" s="66"/>
      <c r="AC81" s="83"/>
    </row>
    <row r="82" spans="1:68" ht="27" customHeight="1" x14ac:dyDescent="0.25">
      <c r="A82" s="63" t="s">
        <v>164</v>
      </c>
      <c r="B82" s="63" t="s">
        <v>165</v>
      </c>
      <c r="C82" s="36">
        <v>4301135910</v>
      </c>
      <c r="D82" s="356">
        <v>4620207491638</v>
      </c>
      <c r="E82" s="356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117</v>
      </c>
      <c r="L82" s="37" t="s">
        <v>87</v>
      </c>
      <c r="M82" s="38" t="s">
        <v>85</v>
      </c>
      <c r="N82" s="38"/>
      <c r="O82" s="37">
        <v>180</v>
      </c>
      <c r="P82" s="389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58"/>
      <c r="R82" s="358"/>
      <c r="S82" s="358"/>
      <c r="T82" s="359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IFERROR(IF(X82="","",X82*0.01788),"")</f>
        <v>0</v>
      </c>
      <c r="AA82" s="68" t="s">
        <v>46</v>
      </c>
      <c r="AB82" s="69" t="s">
        <v>46</v>
      </c>
      <c r="AC82" s="139" t="s">
        <v>166</v>
      </c>
      <c r="AG82" s="81"/>
      <c r="AJ82" s="87" t="s">
        <v>88</v>
      </c>
      <c r="AK82" s="87">
        <v>1</v>
      </c>
      <c r="BB82" s="140" t="s">
        <v>116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">
      <c r="A83" s="370"/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1"/>
      <c r="P83" s="367" t="s">
        <v>40</v>
      </c>
      <c r="Q83" s="368"/>
      <c r="R83" s="368"/>
      <c r="S83" s="368"/>
      <c r="T83" s="368"/>
      <c r="U83" s="368"/>
      <c r="V83" s="369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x14ac:dyDescent="0.2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1"/>
      <c r="P84" s="367" t="s">
        <v>40</v>
      </c>
      <c r="Q84" s="368"/>
      <c r="R84" s="368"/>
      <c r="S84" s="368"/>
      <c r="T84" s="368"/>
      <c r="U84" s="368"/>
      <c r="V84" s="369"/>
      <c r="W84" s="42" t="s">
        <v>0</v>
      </c>
      <c r="X84" s="43">
        <f>IFERROR(SUMPRODUCT(X82:X82*H82:H82),"0")</f>
        <v>0</v>
      </c>
      <c r="Y84" s="43">
        <f>IFERROR(SUMPRODUCT(Y82:Y82*H82:H82),"0")</f>
        <v>0</v>
      </c>
      <c r="Z84" s="42"/>
      <c r="AA84" s="67"/>
      <c r="AB84" s="67"/>
      <c r="AC84" s="67"/>
    </row>
    <row r="85" spans="1:68" ht="16.5" customHeight="1" x14ac:dyDescent="0.25">
      <c r="A85" s="354" t="s">
        <v>167</v>
      </c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65"/>
      <c r="AB85" s="65"/>
      <c r="AC85" s="82"/>
    </row>
    <row r="86" spans="1:68" ht="14.25" customHeight="1" x14ac:dyDescent="0.25">
      <c r="A86" s="355" t="s">
        <v>168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6"/>
      <c r="AB86" s="66"/>
      <c r="AC86" s="83"/>
    </row>
    <row r="87" spans="1:68" ht="27" customHeight="1" x14ac:dyDescent="0.25">
      <c r="A87" s="63" t="s">
        <v>169</v>
      </c>
      <c r="B87" s="63" t="s">
        <v>170</v>
      </c>
      <c r="C87" s="36">
        <v>4301131047</v>
      </c>
      <c r="D87" s="356">
        <v>4607111034120</v>
      </c>
      <c r="E87" s="356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117</v>
      </c>
      <c r="L87" s="37" t="s">
        <v>118</v>
      </c>
      <c r="M87" s="38" t="s">
        <v>85</v>
      </c>
      <c r="N87" s="38"/>
      <c r="O87" s="37">
        <v>180</v>
      </c>
      <c r="P87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58"/>
      <c r="R87" s="358"/>
      <c r="S87" s="358"/>
      <c r="T87" s="359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1" t="s">
        <v>171</v>
      </c>
      <c r="AG87" s="81"/>
      <c r="AJ87" s="87" t="s">
        <v>119</v>
      </c>
      <c r="AK87" s="87">
        <v>14</v>
      </c>
      <c r="BB87" s="142" t="s">
        <v>116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ht="27" customHeight="1" x14ac:dyDescent="0.25">
      <c r="A88" s="63" t="s">
        <v>172</v>
      </c>
      <c r="B88" s="63" t="s">
        <v>173</v>
      </c>
      <c r="C88" s="36">
        <v>4301131046</v>
      </c>
      <c r="D88" s="356">
        <v>4607111034137</v>
      </c>
      <c r="E88" s="35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58"/>
      <c r="R88" s="358"/>
      <c r="S88" s="358"/>
      <c r="T88" s="359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174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370"/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1"/>
      <c r="P89" s="367" t="s">
        <v>40</v>
      </c>
      <c r="Q89" s="368"/>
      <c r="R89" s="368"/>
      <c r="S89" s="368"/>
      <c r="T89" s="368"/>
      <c r="U89" s="368"/>
      <c r="V89" s="369"/>
      <c r="W89" s="42" t="s">
        <v>39</v>
      </c>
      <c r="X89" s="43">
        <f>IFERROR(SUM(X87:X88),"0")</f>
        <v>0</v>
      </c>
      <c r="Y89" s="43">
        <f>IFERROR(SUM(Y87:Y88),"0")</f>
        <v>0</v>
      </c>
      <c r="Z89" s="43">
        <f>IFERROR(IF(Z87="",0,Z87),"0")+IFERROR(IF(Z88="",0,Z88),"0")</f>
        <v>0</v>
      </c>
      <c r="AA89" s="67"/>
      <c r="AB89" s="67"/>
      <c r="AC89" s="67"/>
    </row>
    <row r="90" spans="1:68" x14ac:dyDescent="0.2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1"/>
      <c r="P90" s="367" t="s">
        <v>40</v>
      </c>
      <c r="Q90" s="368"/>
      <c r="R90" s="368"/>
      <c r="S90" s="368"/>
      <c r="T90" s="368"/>
      <c r="U90" s="368"/>
      <c r="V90" s="369"/>
      <c r="W90" s="42" t="s">
        <v>0</v>
      </c>
      <c r="X90" s="43">
        <f>IFERROR(SUMPRODUCT(X87:X88*H87:H88),"0")</f>
        <v>0</v>
      </c>
      <c r="Y90" s="43">
        <f>IFERROR(SUMPRODUCT(Y87:Y88*H87:H88),"0")</f>
        <v>0</v>
      </c>
      <c r="Z90" s="42"/>
      <c r="AA90" s="67"/>
      <c r="AB90" s="67"/>
      <c r="AC90" s="67"/>
    </row>
    <row r="91" spans="1:68" ht="16.5" customHeight="1" x14ac:dyDescent="0.25">
      <c r="A91" s="354" t="s">
        <v>175</v>
      </c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65"/>
      <c r="AB91" s="65"/>
      <c r="AC91" s="82"/>
    </row>
    <row r="92" spans="1:68" ht="14.25" customHeight="1" x14ac:dyDescent="0.25">
      <c r="A92" s="355" t="s">
        <v>148</v>
      </c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4301135763</v>
      </c>
      <c r="D93" s="356">
        <v>4620207491027</v>
      </c>
      <c r="E93" s="356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117</v>
      </c>
      <c r="L93" s="37" t="s">
        <v>118</v>
      </c>
      <c r="M93" s="38" t="s">
        <v>85</v>
      </c>
      <c r="N93" s="38"/>
      <c r="O93" s="37">
        <v>180</v>
      </c>
      <c r="P93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58"/>
      <c r="R93" s="358"/>
      <c r="S93" s="358"/>
      <c r="T93" s="359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ref="Y93:Y98" si="6">IFERROR(IF(X93="","",X93),"")</f>
        <v>0</v>
      </c>
      <c r="Z93" s="41">
        <f t="shared" ref="Z93:Z98" si="7">IFERROR(IF(X93="","",X93*0.01788),"")</f>
        <v>0</v>
      </c>
      <c r="AA93" s="68" t="s">
        <v>46</v>
      </c>
      <c r="AB93" s="69" t="s">
        <v>46</v>
      </c>
      <c r="AC93" s="145" t="s">
        <v>178</v>
      </c>
      <c r="AG93" s="81"/>
      <c r="AJ93" s="87" t="s">
        <v>119</v>
      </c>
      <c r="AK93" s="87">
        <v>14</v>
      </c>
      <c r="BB93" s="146" t="s">
        <v>116</v>
      </c>
      <c r="BM93" s="81">
        <f t="shared" ref="BM93:BM98" si="8">IFERROR(X93*I93,"0")</f>
        <v>0</v>
      </c>
      <c r="BN93" s="81">
        <f t="shared" ref="BN93:BN98" si="9">IFERROR(Y93*I93,"0")</f>
        <v>0</v>
      </c>
      <c r="BO93" s="81">
        <f t="shared" ref="BO93:BO98" si="10">IFERROR(X93/J93,"0")</f>
        <v>0</v>
      </c>
      <c r="BP93" s="81">
        <f t="shared" ref="BP93:BP98" si="11">IFERROR(Y93/J93,"0")</f>
        <v>0</v>
      </c>
    </row>
    <row r="94" spans="1:68" ht="27" customHeight="1" x14ac:dyDescent="0.25">
      <c r="A94" s="63" t="s">
        <v>179</v>
      </c>
      <c r="B94" s="63" t="s">
        <v>180</v>
      </c>
      <c r="C94" s="36">
        <v>4301135914</v>
      </c>
      <c r="D94" s="356">
        <v>4620207491621</v>
      </c>
      <c r="E94" s="35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87</v>
      </c>
      <c r="M94" s="38" t="s">
        <v>85</v>
      </c>
      <c r="N94" s="38"/>
      <c r="O94" s="37">
        <v>180</v>
      </c>
      <c r="P94" s="39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47" t="s">
        <v>181</v>
      </c>
      <c r="AG94" s="81"/>
      <c r="AJ94" s="87" t="s">
        <v>88</v>
      </c>
      <c r="AK94" s="87">
        <v>1</v>
      </c>
      <c r="BB94" s="148" t="s">
        <v>116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182</v>
      </c>
      <c r="B95" s="63" t="s">
        <v>183</v>
      </c>
      <c r="C95" s="36">
        <v>4301135990</v>
      </c>
      <c r="D95" s="356">
        <v>4620207491881</v>
      </c>
      <c r="E95" s="35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87</v>
      </c>
      <c r="M95" s="38" t="s">
        <v>85</v>
      </c>
      <c r="N95" s="38"/>
      <c r="O95" s="37">
        <v>180</v>
      </c>
      <c r="P95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58"/>
      <c r="R95" s="358"/>
      <c r="S95" s="358"/>
      <c r="T95" s="359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181</v>
      </c>
      <c r="AG95" s="81"/>
      <c r="AJ95" s="87" t="s">
        <v>88</v>
      </c>
      <c r="AK95" s="87">
        <v>1</v>
      </c>
      <c r="BB95" s="150" t="s">
        <v>116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184</v>
      </c>
      <c r="B96" s="63" t="s">
        <v>185</v>
      </c>
      <c r="C96" s="36">
        <v>4301135920</v>
      </c>
      <c r="D96" s="356">
        <v>4620207491577</v>
      </c>
      <c r="E96" s="35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58"/>
      <c r="R96" s="358"/>
      <c r="S96" s="358"/>
      <c r="T96" s="359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181</v>
      </c>
      <c r="AG96" s="81"/>
      <c r="AJ96" s="87" t="s">
        <v>88</v>
      </c>
      <c r="AK96" s="87">
        <v>1</v>
      </c>
      <c r="BB96" s="152" t="s">
        <v>116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4301135984</v>
      </c>
      <c r="D97" s="356">
        <v>4620207491874</v>
      </c>
      <c r="E97" s="356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117</v>
      </c>
      <c r="L97" s="37" t="s">
        <v>87</v>
      </c>
      <c r="M97" s="38" t="s">
        <v>85</v>
      </c>
      <c r="N97" s="38"/>
      <c r="O97" s="37">
        <v>180</v>
      </c>
      <c r="P97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181</v>
      </c>
      <c r="AG97" s="81"/>
      <c r="AJ97" s="87" t="s">
        <v>88</v>
      </c>
      <c r="AK97" s="87">
        <v>1</v>
      </c>
      <c r="BB97" s="154" t="s">
        <v>116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188</v>
      </c>
      <c r="B98" s="63" t="s">
        <v>189</v>
      </c>
      <c r="C98" s="36">
        <v>4301135285</v>
      </c>
      <c r="D98" s="356">
        <v>4607111036407</v>
      </c>
      <c r="E98" s="356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117</v>
      </c>
      <c r="L98" s="37" t="s">
        <v>87</v>
      </c>
      <c r="M98" s="38" t="s">
        <v>85</v>
      </c>
      <c r="N98" s="38"/>
      <c r="O98" s="37">
        <v>180</v>
      </c>
      <c r="P98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190</v>
      </c>
      <c r="AG98" s="81"/>
      <c r="AJ98" s="87" t="s">
        <v>88</v>
      </c>
      <c r="AK98" s="87">
        <v>1</v>
      </c>
      <c r="BB98" s="156" t="s">
        <v>116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x14ac:dyDescent="0.2">
      <c r="A99" s="370"/>
      <c r="B99" s="370"/>
      <c r="C99" s="370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1"/>
      <c r="P99" s="367" t="s">
        <v>40</v>
      </c>
      <c r="Q99" s="368"/>
      <c r="R99" s="368"/>
      <c r="S99" s="368"/>
      <c r="T99" s="368"/>
      <c r="U99" s="368"/>
      <c r="V99" s="369"/>
      <c r="W99" s="42" t="s">
        <v>39</v>
      </c>
      <c r="X99" s="43">
        <f>IFERROR(SUM(X93:X98),"0")</f>
        <v>0</v>
      </c>
      <c r="Y99" s="43">
        <f>IFERROR(SUM(Y93:Y98),"0")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1"/>
      <c r="P100" s="367" t="s">
        <v>40</v>
      </c>
      <c r="Q100" s="368"/>
      <c r="R100" s="368"/>
      <c r="S100" s="368"/>
      <c r="T100" s="368"/>
      <c r="U100" s="368"/>
      <c r="V100" s="369"/>
      <c r="W100" s="42" t="s">
        <v>0</v>
      </c>
      <c r="X100" s="43">
        <f>IFERROR(SUMPRODUCT(X93:X98*H93:H98),"0")</f>
        <v>0</v>
      </c>
      <c r="Y100" s="43">
        <f>IFERROR(SUMPRODUCT(Y93:Y98*H93:H98),"0")</f>
        <v>0</v>
      </c>
      <c r="Z100" s="42"/>
      <c r="AA100" s="67"/>
      <c r="AB100" s="67"/>
      <c r="AC100" s="67"/>
    </row>
    <row r="101" spans="1:68" ht="16.5" customHeight="1" x14ac:dyDescent="0.25">
      <c r="A101" s="354" t="s">
        <v>191</v>
      </c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  <c r="AA101" s="65"/>
      <c r="AB101" s="65"/>
      <c r="AC101" s="82"/>
    </row>
    <row r="102" spans="1:68" ht="14.25" customHeight="1" x14ac:dyDescent="0.25">
      <c r="A102" s="355" t="s">
        <v>144</v>
      </c>
      <c r="B102" s="355"/>
      <c r="C102" s="355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355"/>
      <c r="Z102" s="355"/>
      <c r="AA102" s="66"/>
      <c r="AB102" s="66"/>
      <c r="AC102" s="83"/>
    </row>
    <row r="103" spans="1:68" ht="27" customHeight="1" x14ac:dyDescent="0.25">
      <c r="A103" s="63" t="s">
        <v>192</v>
      </c>
      <c r="B103" s="63" t="s">
        <v>193</v>
      </c>
      <c r="C103" s="36">
        <v>4301136101</v>
      </c>
      <c r="D103" s="356">
        <v>4620207491652</v>
      </c>
      <c r="E103" s="356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117</v>
      </c>
      <c r="L103" s="37" t="s">
        <v>87</v>
      </c>
      <c r="M103" s="38" t="s">
        <v>85</v>
      </c>
      <c r="N103" s="38"/>
      <c r="O103" s="37">
        <v>180</v>
      </c>
      <c r="P103" s="39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58"/>
      <c r="R103" s="358"/>
      <c r="S103" s="358"/>
      <c r="T103" s="359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194</v>
      </c>
      <c r="AG103" s="81"/>
      <c r="AJ103" s="87" t="s">
        <v>88</v>
      </c>
      <c r="AK103" s="87">
        <v>1</v>
      </c>
      <c r="BB103" s="158" t="s">
        <v>116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customHeight="1" x14ac:dyDescent="0.25">
      <c r="A104" s="63" t="s">
        <v>195</v>
      </c>
      <c r="B104" s="63" t="s">
        <v>196</v>
      </c>
      <c r="C104" s="36">
        <v>4301136103</v>
      </c>
      <c r="D104" s="356">
        <v>4620207491645</v>
      </c>
      <c r="E104" s="356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117</v>
      </c>
      <c r="L104" s="37" t="s">
        <v>87</v>
      </c>
      <c r="M104" s="38" t="s">
        <v>85</v>
      </c>
      <c r="N104" s="38"/>
      <c r="O104" s="37">
        <v>180</v>
      </c>
      <c r="P104" s="39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88</v>
      </c>
      <c r="AK104" s="87">
        <v>1</v>
      </c>
      <c r="BB104" s="160" t="s">
        <v>116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x14ac:dyDescent="0.2">
      <c r="A105" s="370"/>
      <c r="B105" s="370"/>
      <c r="C105" s="370"/>
      <c r="D105" s="370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1"/>
      <c r="P105" s="367" t="s">
        <v>40</v>
      </c>
      <c r="Q105" s="368"/>
      <c r="R105" s="368"/>
      <c r="S105" s="368"/>
      <c r="T105" s="368"/>
      <c r="U105" s="368"/>
      <c r="V105" s="369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x14ac:dyDescent="0.2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1"/>
      <c r="P106" s="367" t="s">
        <v>40</v>
      </c>
      <c r="Q106" s="368"/>
      <c r="R106" s="368"/>
      <c r="S106" s="368"/>
      <c r="T106" s="368"/>
      <c r="U106" s="368"/>
      <c r="V106" s="369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customHeight="1" x14ac:dyDescent="0.25">
      <c r="A107" s="354" t="s">
        <v>197</v>
      </c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65"/>
      <c r="AB107" s="65"/>
      <c r="AC107" s="82"/>
    </row>
    <row r="108" spans="1:68" ht="14.25" customHeight="1" x14ac:dyDescent="0.25">
      <c r="A108" s="355" t="s">
        <v>81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4301071074</v>
      </c>
      <c r="D109" s="356">
        <v>4620207491157</v>
      </c>
      <c r="E109" s="356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86</v>
      </c>
      <c r="L109" s="37" t="s">
        <v>118</v>
      </c>
      <c r="M109" s="38" t="s">
        <v>85</v>
      </c>
      <c r="N109" s="38"/>
      <c r="O109" s="37">
        <v>180</v>
      </c>
      <c r="P109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58"/>
      <c r="R109" s="358"/>
      <c r="S109" s="358"/>
      <c r="T109" s="359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5" si="12">IFERROR(IF(X109="","",X109),"")</f>
        <v>0</v>
      </c>
      <c r="Z109" s="41">
        <f t="shared" ref="Z109:Z115" si="13">IFERROR(IF(X109="","",X109*0.0155),"")</f>
        <v>0</v>
      </c>
      <c r="AA109" s="68" t="s">
        <v>46</v>
      </c>
      <c r="AB109" s="69" t="s">
        <v>46</v>
      </c>
      <c r="AC109" s="161" t="s">
        <v>200</v>
      </c>
      <c r="AG109" s="81"/>
      <c r="AJ109" s="87" t="s">
        <v>119</v>
      </c>
      <c r="AK109" s="87">
        <v>12</v>
      </c>
      <c r="BB109" s="162" t="s">
        <v>70</v>
      </c>
      <c r="BM109" s="81">
        <f t="shared" ref="BM109:BM115" si="14">IFERROR(X109*I109,"0")</f>
        <v>0</v>
      </c>
      <c r="BN109" s="81">
        <f t="shared" ref="BN109:BN115" si="15">IFERROR(Y109*I109,"0")</f>
        <v>0</v>
      </c>
      <c r="BO109" s="81">
        <f t="shared" ref="BO109:BO115" si="16">IFERROR(X109/J109,"0")</f>
        <v>0</v>
      </c>
      <c r="BP109" s="81">
        <f t="shared" ref="BP109:BP115" si="17"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4301071121</v>
      </c>
      <c r="D110" s="356">
        <v>4620207491393</v>
      </c>
      <c r="E110" s="356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86</v>
      </c>
      <c r="L110" s="37" t="s">
        <v>87</v>
      </c>
      <c r="M110" s="38" t="s">
        <v>85</v>
      </c>
      <c r="N110" s="38"/>
      <c r="O110" s="37">
        <v>180</v>
      </c>
      <c r="P110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88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204</v>
      </c>
      <c r="B111" s="63" t="s">
        <v>205</v>
      </c>
      <c r="C111" s="36">
        <v>4301071051</v>
      </c>
      <c r="D111" s="356">
        <v>4607111039262</v>
      </c>
      <c r="E111" s="356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86</v>
      </c>
      <c r="L111" s="37" t="s">
        <v>118</v>
      </c>
      <c r="M111" s="38" t="s">
        <v>85</v>
      </c>
      <c r="N111" s="38"/>
      <c r="O111" s="37">
        <v>180</v>
      </c>
      <c r="P111" s="40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58"/>
      <c r="R111" s="358"/>
      <c r="S111" s="358"/>
      <c r="T111" s="35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159</v>
      </c>
      <c r="AG111" s="81"/>
      <c r="AJ111" s="87" t="s">
        <v>119</v>
      </c>
      <c r="AK111" s="87">
        <v>12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206</v>
      </c>
      <c r="B112" s="63" t="s">
        <v>207</v>
      </c>
      <c r="C112" s="36">
        <v>4301071038</v>
      </c>
      <c r="D112" s="356">
        <v>4607111039248</v>
      </c>
      <c r="E112" s="356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86</v>
      </c>
      <c r="L112" s="37" t="s">
        <v>118</v>
      </c>
      <c r="M112" s="38" t="s">
        <v>85</v>
      </c>
      <c r="N112" s="38"/>
      <c r="O112" s="37">
        <v>180</v>
      </c>
      <c r="P112" s="40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58"/>
      <c r="R112" s="358"/>
      <c r="S112" s="358"/>
      <c r="T112" s="35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159</v>
      </c>
      <c r="AG112" s="81"/>
      <c r="AJ112" s="87" t="s">
        <v>119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208</v>
      </c>
      <c r="B113" s="63" t="s">
        <v>209</v>
      </c>
      <c r="C113" s="36">
        <v>4301070979</v>
      </c>
      <c r="D113" s="356">
        <v>4607111037145</v>
      </c>
      <c r="E113" s="356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86</v>
      </c>
      <c r="L113" s="37" t="s">
        <v>87</v>
      </c>
      <c r="M113" s="38" t="s">
        <v>85</v>
      </c>
      <c r="N113" s="38"/>
      <c r="O113" s="37">
        <v>180</v>
      </c>
      <c r="P113" s="40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210</v>
      </c>
      <c r="AG113" s="81"/>
      <c r="AJ113" s="87" t="s">
        <v>88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211</v>
      </c>
      <c r="B114" s="63" t="s">
        <v>212</v>
      </c>
      <c r="C114" s="36">
        <v>4301071049</v>
      </c>
      <c r="D114" s="356">
        <v>4607111039293</v>
      </c>
      <c r="E114" s="356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86</v>
      </c>
      <c r="L114" s="37" t="s">
        <v>118</v>
      </c>
      <c r="M114" s="38" t="s">
        <v>85</v>
      </c>
      <c r="N114" s="38"/>
      <c r="O114" s="37">
        <v>180</v>
      </c>
      <c r="P114" s="40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58"/>
      <c r="R114" s="358"/>
      <c r="S114" s="358"/>
      <c r="T114" s="35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159</v>
      </c>
      <c r="AG114" s="81"/>
      <c r="AJ114" s="87" t="s">
        <v>119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213</v>
      </c>
      <c r="B115" s="63" t="s">
        <v>214</v>
      </c>
      <c r="C115" s="36">
        <v>4301071039</v>
      </c>
      <c r="D115" s="356">
        <v>4607111039279</v>
      </c>
      <c r="E115" s="356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86</v>
      </c>
      <c r="L115" s="37" t="s">
        <v>118</v>
      </c>
      <c r="M115" s="38" t="s">
        <v>85</v>
      </c>
      <c r="N115" s="38"/>
      <c r="O115" s="37">
        <v>180</v>
      </c>
      <c r="P115" s="40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159</v>
      </c>
      <c r="AG115" s="81"/>
      <c r="AJ115" s="87" t="s">
        <v>119</v>
      </c>
      <c r="AK115" s="87">
        <v>12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x14ac:dyDescent="0.2">
      <c r="A116" s="370"/>
      <c r="B116" s="370"/>
      <c r="C116" s="370"/>
      <c r="D116" s="370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1"/>
      <c r="P116" s="367" t="s">
        <v>40</v>
      </c>
      <c r="Q116" s="368"/>
      <c r="R116" s="368"/>
      <c r="S116" s="368"/>
      <c r="T116" s="368"/>
      <c r="U116" s="368"/>
      <c r="V116" s="369"/>
      <c r="W116" s="42" t="s">
        <v>39</v>
      </c>
      <c r="X116" s="43">
        <f>IFERROR(SUM(X109:X115),"0")</f>
        <v>0</v>
      </c>
      <c r="Y116" s="43">
        <f>IFERROR(SUM(Y109:Y115),"0")</f>
        <v>0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370"/>
      <c r="B117" s="370"/>
      <c r="C117" s="370"/>
      <c r="D117" s="370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1"/>
      <c r="P117" s="367" t="s">
        <v>40</v>
      </c>
      <c r="Q117" s="368"/>
      <c r="R117" s="368"/>
      <c r="S117" s="368"/>
      <c r="T117" s="368"/>
      <c r="U117" s="368"/>
      <c r="V117" s="369"/>
      <c r="W117" s="42" t="s">
        <v>0</v>
      </c>
      <c r="X117" s="43">
        <f>IFERROR(SUMPRODUCT(X109:X115*H109:H115),"0")</f>
        <v>0</v>
      </c>
      <c r="Y117" s="43">
        <f>IFERROR(SUMPRODUCT(Y109:Y115*H109:H115),"0")</f>
        <v>0</v>
      </c>
      <c r="Z117" s="42"/>
      <c r="AA117" s="67"/>
      <c r="AB117" s="67"/>
      <c r="AC117" s="67"/>
    </row>
    <row r="118" spans="1:68" ht="14.25" customHeight="1" x14ac:dyDescent="0.25">
      <c r="A118" s="355" t="s">
        <v>148</v>
      </c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5"/>
      <c r="P118" s="355"/>
      <c r="Q118" s="355"/>
      <c r="R118" s="355"/>
      <c r="S118" s="355"/>
      <c r="T118" s="355"/>
      <c r="U118" s="355"/>
      <c r="V118" s="355"/>
      <c r="W118" s="355"/>
      <c r="X118" s="355"/>
      <c r="Y118" s="355"/>
      <c r="Z118" s="355"/>
      <c r="AA118" s="66"/>
      <c r="AB118" s="66"/>
      <c r="AC118" s="83"/>
    </row>
    <row r="119" spans="1:68" ht="27" customHeight="1" x14ac:dyDescent="0.25">
      <c r="A119" s="63" t="s">
        <v>215</v>
      </c>
      <c r="B119" s="63" t="s">
        <v>216</v>
      </c>
      <c r="C119" s="36">
        <v>4301135826</v>
      </c>
      <c r="D119" s="356">
        <v>4620207490983</v>
      </c>
      <c r="E119" s="356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117</v>
      </c>
      <c r="L119" s="37" t="s">
        <v>87</v>
      </c>
      <c r="M119" s="38" t="s">
        <v>85</v>
      </c>
      <c r="N119" s="38"/>
      <c r="O119" s="37">
        <v>180</v>
      </c>
      <c r="P119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58"/>
      <c r="R119" s="358"/>
      <c r="S119" s="358"/>
      <c r="T119" s="359"/>
      <c r="U119" s="39" t="s">
        <v>46</v>
      </c>
      <c r="V119" s="39" t="s">
        <v>46</v>
      </c>
      <c r="W119" s="40" t="s">
        <v>39</v>
      </c>
      <c r="X119" s="58">
        <v>0</v>
      </c>
      <c r="Y119" s="55">
        <f>IFERROR(IF(X119="","",X119),"")</f>
        <v>0</v>
      </c>
      <c r="Z119" s="41">
        <f>IFERROR(IF(X119="","",X119*0.01788),"")</f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88</v>
      </c>
      <c r="AK119" s="87">
        <v>1</v>
      </c>
      <c r="BB119" s="176" t="s">
        <v>116</v>
      </c>
      <c r="BM119" s="81">
        <f>IFERROR(X119*I119,"0")</f>
        <v>0</v>
      </c>
      <c r="BN119" s="81">
        <f>IFERROR(Y119*I119,"0")</f>
        <v>0</v>
      </c>
      <c r="BO119" s="81">
        <f>IFERROR(X119/J119,"0")</f>
        <v>0</v>
      </c>
      <c r="BP119" s="81">
        <f>IFERROR(Y119/J119,"0")</f>
        <v>0</v>
      </c>
    </row>
    <row r="120" spans="1:68" x14ac:dyDescent="0.2">
      <c r="A120" s="370"/>
      <c r="B120" s="370"/>
      <c r="C120" s="370"/>
      <c r="D120" s="370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1"/>
      <c r="P120" s="367" t="s">
        <v>40</v>
      </c>
      <c r="Q120" s="368"/>
      <c r="R120" s="368"/>
      <c r="S120" s="368"/>
      <c r="T120" s="368"/>
      <c r="U120" s="368"/>
      <c r="V120" s="369"/>
      <c r="W120" s="42" t="s">
        <v>39</v>
      </c>
      <c r="X120" s="43">
        <f>IFERROR(SUM(X119:X119),"0")</f>
        <v>0</v>
      </c>
      <c r="Y120" s="43">
        <f>IFERROR(SUM(Y119:Y119),"0")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370"/>
      <c r="B121" s="370"/>
      <c r="C121" s="370"/>
      <c r="D121" s="370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1"/>
      <c r="P121" s="367" t="s">
        <v>40</v>
      </c>
      <c r="Q121" s="368"/>
      <c r="R121" s="368"/>
      <c r="S121" s="368"/>
      <c r="T121" s="368"/>
      <c r="U121" s="368"/>
      <c r="V121" s="369"/>
      <c r="W121" s="42" t="s">
        <v>0</v>
      </c>
      <c r="X121" s="43">
        <f>IFERROR(SUMPRODUCT(X119:X119*H119:H119),"0")</f>
        <v>0</v>
      </c>
      <c r="Y121" s="43">
        <f>IFERROR(SUMPRODUCT(Y119:Y119*H119:H119),"0")</f>
        <v>0</v>
      </c>
      <c r="Z121" s="42"/>
      <c r="AA121" s="67"/>
      <c r="AB121" s="67"/>
      <c r="AC121" s="67"/>
    </row>
    <row r="122" spans="1:68" ht="14.25" customHeight="1" x14ac:dyDescent="0.25">
      <c r="A122" s="355" t="s">
        <v>218</v>
      </c>
      <c r="B122" s="355"/>
      <c r="C122" s="355"/>
      <c r="D122" s="355"/>
      <c r="E122" s="355"/>
      <c r="F122" s="355"/>
      <c r="G122" s="355"/>
      <c r="H122" s="355"/>
      <c r="I122" s="355"/>
      <c r="J122" s="355"/>
      <c r="K122" s="355"/>
      <c r="L122" s="355"/>
      <c r="M122" s="355"/>
      <c r="N122" s="355"/>
      <c r="O122" s="355"/>
      <c r="P122" s="355"/>
      <c r="Q122" s="355"/>
      <c r="R122" s="355"/>
      <c r="S122" s="355"/>
      <c r="T122" s="355"/>
      <c r="U122" s="355"/>
      <c r="V122" s="355"/>
      <c r="W122" s="355"/>
      <c r="X122" s="355"/>
      <c r="Y122" s="355"/>
      <c r="Z122" s="355"/>
      <c r="AA122" s="66"/>
      <c r="AB122" s="66"/>
      <c r="AC122" s="83"/>
    </row>
    <row r="123" spans="1:68" ht="27" customHeight="1" x14ac:dyDescent="0.25">
      <c r="A123" s="63" t="s">
        <v>219</v>
      </c>
      <c r="B123" s="63" t="s">
        <v>220</v>
      </c>
      <c r="C123" s="36">
        <v>4301071094</v>
      </c>
      <c r="D123" s="356">
        <v>4620207491140</v>
      </c>
      <c r="E123" s="356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86</v>
      </c>
      <c r="L123" s="37" t="s">
        <v>87</v>
      </c>
      <c r="M123" s="38" t="s">
        <v>85</v>
      </c>
      <c r="N123" s="38"/>
      <c r="O123" s="37">
        <v>180</v>
      </c>
      <c r="P123" s="40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58"/>
      <c r="R123" s="358"/>
      <c r="S123" s="358"/>
      <c r="T123" s="35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221</v>
      </c>
      <c r="AG123" s="81"/>
      <c r="AJ123" s="87" t="s">
        <v>88</v>
      </c>
      <c r="AK123" s="87">
        <v>1</v>
      </c>
      <c r="BB123" s="178" t="s">
        <v>116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70"/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1"/>
      <c r="P124" s="367" t="s">
        <v>40</v>
      </c>
      <c r="Q124" s="368"/>
      <c r="R124" s="368"/>
      <c r="S124" s="368"/>
      <c r="T124" s="368"/>
      <c r="U124" s="368"/>
      <c r="V124" s="369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70"/>
      <c r="B125" s="370"/>
      <c r="C125" s="370"/>
      <c r="D125" s="370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1"/>
      <c r="P125" s="367" t="s">
        <v>40</v>
      </c>
      <c r="Q125" s="368"/>
      <c r="R125" s="368"/>
      <c r="S125" s="368"/>
      <c r="T125" s="368"/>
      <c r="U125" s="368"/>
      <c r="V125" s="369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customHeight="1" x14ac:dyDescent="0.25">
      <c r="A126" s="354" t="s">
        <v>222</v>
      </c>
      <c r="B126" s="354"/>
      <c r="C126" s="354"/>
      <c r="D126" s="354"/>
      <c r="E126" s="354"/>
      <c r="F126" s="354"/>
      <c r="G126" s="354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  <c r="AA126" s="65"/>
      <c r="AB126" s="65"/>
      <c r="AC126" s="82"/>
    </row>
    <row r="127" spans="1:68" ht="14.25" customHeight="1" x14ac:dyDescent="0.25">
      <c r="A127" s="355" t="s">
        <v>148</v>
      </c>
      <c r="B127" s="355"/>
      <c r="C127" s="355"/>
      <c r="D127" s="355"/>
      <c r="E127" s="355"/>
      <c r="F127" s="355"/>
      <c r="G127" s="355"/>
      <c r="H127" s="355"/>
      <c r="I127" s="355"/>
      <c r="J127" s="355"/>
      <c r="K127" s="355"/>
      <c r="L127" s="355"/>
      <c r="M127" s="355"/>
      <c r="N127" s="355"/>
      <c r="O127" s="355"/>
      <c r="P127" s="355"/>
      <c r="Q127" s="355"/>
      <c r="R127" s="355"/>
      <c r="S127" s="355"/>
      <c r="T127" s="355"/>
      <c r="U127" s="355"/>
      <c r="V127" s="355"/>
      <c r="W127" s="355"/>
      <c r="X127" s="355"/>
      <c r="Y127" s="355"/>
      <c r="Z127" s="355"/>
      <c r="AA127" s="66"/>
      <c r="AB127" s="66"/>
      <c r="AC127" s="83"/>
    </row>
    <row r="128" spans="1:68" ht="27" customHeight="1" x14ac:dyDescent="0.25">
      <c r="A128" s="63" t="s">
        <v>223</v>
      </c>
      <c r="B128" s="63" t="s">
        <v>224</v>
      </c>
      <c r="C128" s="36">
        <v>4301135848</v>
      </c>
      <c r="D128" s="356">
        <v>4620207491799</v>
      </c>
      <c r="E128" s="356"/>
      <c r="F128" s="62">
        <v>0.23</v>
      </c>
      <c r="G128" s="37">
        <v>6</v>
      </c>
      <c r="H128" s="62">
        <v>1.38</v>
      </c>
      <c r="I128" s="62">
        <v>1.8</v>
      </c>
      <c r="J128" s="37">
        <v>140</v>
      </c>
      <c r="K128" s="37" t="s">
        <v>117</v>
      </c>
      <c r="L128" s="37" t="s">
        <v>87</v>
      </c>
      <c r="M128" s="38" t="s">
        <v>85</v>
      </c>
      <c r="N128" s="38"/>
      <c r="O128" s="37">
        <v>180</v>
      </c>
      <c r="P128" s="40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358"/>
      <c r="R128" s="358"/>
      <c r="S128" s="358"/>
      <c r="T128" s="359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IFERROR(IF(X128="","",X128*0.00941),"")</f>
        <v>0</v>
      </c>
      <c r="AA128" s="68" t="s">
        <v>46</v>
      </c>
      <c r="AB128" s="69" t="s">
        <v>46</v>
      </c>
      <c r="AC128" s="179" t="s">
        <v>225</v>
      </c>
      <c r="AG128" s="81"/>
      <c r="AJ128" s="87" t="s">
        <v>88</v>
      </c>
      <c r="AK128" s="87">
        <v>1</v>
      </c>
      <c r="BB128" s="180" t="s">
        <v>116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27" customHeight="1" x14ac:dyDescent="0.25">
      <c r="A129" s="63" t="s">
        <v>226</v>
      </c>
      <c r="B129" s="63" t="s">
        <v>227</v>
      </c>
      <c r="C129" s="36">
        <v>4301135850</v>
      </c>
      <c r="D129" s="356">
        <v>4620207491492</v>
      </c>
      <c r="E129" s="356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117</v>
      </c>
      <c r="L129" s="37" t="s">
        <v>87</v>
      </c>
      <c r="M129" s="38" t="s">
        <v>85</v>
      </c>
      <c r="N129" s="38"/>
      <c r="O129" s="37">
        <v>180</v>
      </c>
      <c r="P129" s="41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358"/>
      <c r="R129" s="358"/>
      <c r="S129" s="358"/>
      <c r="T129" s="359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IFERROR(IF(X129="","",X129*0.00941),"")</f>
        <v>0</v>
      </c>
      <c r="AA129" s="68" t="s">
        <v>46</v>
      </c>
      <c r="AB129" s="69" t="s">
        <v>46</v>
      </c>
      <c r="AC129" s="181" t="s">
        <v>225</v>
      </c>
      <c r="AG129" s="81"/>
      <c r="AJ129" s="87" t="s">
        <v>88</v>
      </c>
      <c r="AK129" s="87">
        <v>1</v>
      </c>
      <c r="BB129" s="182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27" customHeight="1" x14ac:dyDescent="0.25">
      <c r="A130" s="63" t="s">
        <v>228</v>
      </c>
      <c r="B130" s="63" t="s">
        <v>229</v>
      </c>
      <c r="C130" s="36">
        <v>4301190118</v>
      </c>
      <c r="D130" s="356">
        <v>4620207491461</v>
      </c>
      <c r="E130" s="356"/>
      <c r="F130" s="62">
        <v>0.22</v>
      </c>
      <c r="G130" s="37">
        <v>6</v>
      </c>
      <c r="H130" s="62">
        <v>1.32</v>
      </c>
      <c r="I130" s="62">
        <v>1.74</v>
      </c>
      <c r="J130" s="37">
        <v>140</v>
      </c>
      <c r="K130" s="37" t="s">
        <v>117</v>
      </c>
      <c r="L130" s="37" t="s">
        <v>87</v>
      </c>
      <c r="M130" s="38" t="s">
        <v>85</v>
      </c>
      <c r="N130" s="38"/>
      <c r="O130" s="37">
        <v>180</v>
      </c>
      <c r="P130" s="41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358"/>
      <c r="R130" s="358"/>
      <c r="S130" s="358"/>
      <c r="T130" s="35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225</v>
      </c>
      <c r="AG130" s="81"/>
      <c r="AJ130" s="87" t="s">
        <v>88</v>
      </c>
      <c r="AK130" s="87">
        <v>1</v>
      </c>
      <c r="BB130" s="184" t="s">
        <v>116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230</v>
      </c>
      <c r="B131" s="63" t="s">
        <v>231</v>
      </c>
      <c r="C131" s="36">
        <v>4301135865</v>
      </c>
      <c r="D131" s="356">
        <v>4620207491485</v>
      </c>
      <c r="E131" s="35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41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358"/>
      <c r="R131" s="358"/>
      <c r="S131" s="358"/>
      <c r="T131" s="359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225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x14ac:dyDescent="0.2">
      <c r="A132" s="370"/>
      <c r="B132" s="370"/>
      <c r="C132" s="370"/>
      <c r="D132" s="370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1"/>
      <c r="P132" s="367" t="s">
        <v>40</v>
      </c>
      <c r="Q132" s="368"/>
      <c r="R132" s="368"/>
      <c r="S132" s="368"/>
      <c r="T132" s="368"/>
      <c r="U132" s="368"/>
      <c r="V132" s="369"/>
      <c r="W132" s="42" t="s">
        <v>39</v>
      </c>
      <c r="X132" s="43">
        <f>IFERROR(SUM(X128:X131),"0")</f>
        <v>0</v>
      </c>
      <c r="Y132" s="43">
        <f>IFERROR(SUM(Y128:Y131),"0")</f>
        <v>0</v>
      </c>
      <c r="Z132" s="43">
        <f>IFERROR(IF(Z128="",0,Z128),"0")+IFERROR(IF(Z129="",0,Z129),"0")+IFERROR(IF(Z130="",0,Z130),"0")+IFERROR(IF(Z131="",0,Z131),"0")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370"/>
      <c r="B133" s="370"/>
      <c r="C133" s="370"/>
      <c r="D133" s="370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1"/>
      <c r="P133" s="367" t="s">
        <v>40</v>
      </c>
      <c r="Q133" s="368"/>
      <c r="R133" s="368"/>
      <c r="S133" s="368"/>
      <c r="T133" s="368"/>
      <c r="U133" s="368"/>
      <c r="V133" s="369"/>
      <c r="W133" s="42" t="s">
        <v>0</v>
      </c>
      <c r="X133" s="43">
        <f>IFERROR(SUMPRODUCT(X128:X131*H128:H131),"0")</f>
        <v>0</v>
      </c>
      <c r="Y133" s="43">
        <f>IFERROR(SUMPRODUCT(Y128:Y131*H128:H131),"0")</f>
        <v>0</v>
      </c>
      <c r="Z133" s="42"/>
      <c r="AA133" s="67"/>
      <c r="AB133" s="67"/>
      <c r="AC133" s="67"/>
    </row>
    <row r="134" spans="1:68" ht="14.25" customHeight="1" x14ac:dyDescent="0.25">
      <c r="A134" s="355" t="s">
        <v>232</v>
      </c>
      <c r="B134" s="355"/>
      <c r="C134" s="355"/>
      <c r="D134" s="355"/>
      <c r="E134" s="355"/>
      <c r="F134" s="355"/>
      <c r="G134" s="355"/>
      <c r="H134" s="355"/>
      <c r="I134" s="355"/>
      <c r="J134" s="355"/>
      <c r="K134" s="355"/>
      <c r="L134" s="355"/>
      <c r="M134" s="355"/>
      <c r="N134" s="355"/>
      <c r="O134" s="355"/>
      <c r="P134" s="355"/>
      <c r="Q134" s="355"/>
      <c r="R134" s="355"/>
      <c r="S134" s="355"/>
      <c r="T134" s="355"/>
      <c r="U134" s="355"/>
      <c r="V134" s="355"/>
      <c r="W134" s="355"/>
      <c r="X134" s="355"/>
      <c r="Y134" s="355"/>
      <c r="Z134" s="355"/>
      <c r="AA134" s="66"/>
      <c r="AB134" s="66"/>
      <c r="AC134" s="83"/>
    </row>
    <row r="135" spans="1:68" ht="27" customHeight="1" x14ac:dyDescent="0.25">
      <c r="A135" s="63" t="s">
        <v>233</v>
      </c>
      <c r="B135" s="63" t="s">
        <v>234</v>
      </c>
      <c r="C135" s="36">
        <v>4301190117</v>
      </c>
      <c r="D135" s="356">
        <v>4620207491386</v>
      </c>
      <c r="E135" s="356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117</v>
      </c>
      <c r="L135" s="37" t="s">
        <v>87</v>
      </c>
      <c r="M135" s="38" t="s">
        <v>85</v>
      </c>
      <c r="N135" s="38"/>
      <c r="O135" s="37">
        <v>180</v>
      </c>
      <c r="P135" s="41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358"/>
      <c r="R135" s="358"/>
      <c r="S135" s="358"/>
      <c r="T135" s="359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235</v>
      </c>
      <c r="AG135" s="81"/>
      <c r="AJ135" s="87" t="s">
        <v>88</v>
      </c>
      <c r="AK135" s="87">
        <v>1</v>
      </c>
      <c r="BB135" s="188" t="s">
        <v>116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236</v>
      </c>
      <c r="B136" s="63" t="s">
        <v>237</v>
      </c>
      <c r="C136" s="36">
        <v>4301190115</v>
      </c>
      <c r="D136" s="356">
        <v>4620207491362</v>
      </c>
      <c r="E136" s="356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117</v>
      </c>
      <c r="L136" s="37" t="s">
        <v>87</v>
      </c>
      <c r="M136" s="38" t="s">
        <v>85</v>
      </c>
      <c r="N136" s="38"/>
      <c r="O136" s="37">
        <v>180</v>
      </c>
      <c r="P136" s="41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358"/>
      <c r="R136" s="358"/>
      <c r="S136" s="358"/>
      <c r="T136" s="359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235</v>
      </c>
      <c r="AG136" s="81"/>
      <c r="AJ136" s="87" t="s">
        <v>88</v>
      </c>
      <c r="AK136" s="87">
        <v>1</v>
      </c>
      <c r="BB136" s="190" t="s">
        <v>116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238</v>
      </c>
      <c r="B137" s="63" t="s">
        <v>239</v>
      </c>
      <c r="C137" s="36">
        <v>4301190116</v>
      </c>
      <c r="D137" s="356">
        <v>4620207491379</v>
      </c>
      <c r="E137" s="35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117</v>
      </c>
      <c r="L137" s="37" t="s">
        <v>87</v>
      </c>
      <c r="M137" s="38" t="s">
        <v>85</v>
      </c>
      <c r="N137" s="38"/>
      <c r="O137" s="37">
        <v>180</v>
      </c>
      <c r="P137" s="41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358"/>
      <c r="R137" s="358"/>
      <c r="S137" s="358"/>
      <c r="T137" s="35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235</v>
      </c>
      <c r="AG137" s="81"/>
      <c r="AJ137" s="87" t="s">
        <v>88</v>
      </c>
      <c r="AK137" s="87">
        <v>1</v>
      </c>
      <c r="BB137" s="192" t="s">
        <v>116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370"/>
      <c r="B138" s="370"/>
      <c r="C138" s="370"/>
      <c r="D138" s="370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1"/>
      <c r="P138" s="367" t="s">
        <v>40</v>
      </c>
      <c r="Q138" s="368"/>
      <c r="R138" s="368"/>
      <c r="S138" s="368"/>
      <c r="T138" s="368"/>
      <c r="U138" s="368"/>
      <c r="V138" s="369"/>
      <c r="W138" s="42" t="s">
        <v>39</v>
      </c>
      <c r="X138" s="43">
        <f>IFERROR(SUM(X135:X137),"0")</f>
        <v>0</v>
      </c>
      <c r="Y138" s="43">
        <f>IFERROR(SUM(Y135:Y137),"0")</f>
        <v>0</v>
      </c>
      <c r="Z138" s="43">
        <f>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370"/>
      <c r="B139" s="370"/>
      <c r="C139" s="370"/>
      <c r="D139" s="370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1"/>
      <c r="P139" s="367" t="s">
        <v>40</v>
      </c>
      <c r="Q139" s="368"/>
      <c r="R139" s="368"/>
      <c r="S139" s="368"/>
      <c r="T139" s="368"/>
      <c r="U139" s="368"/>
      <c r="V139" s="369"/>
      <c r="W139" s="42" t="s">
        <v>0</v>
      </c>
      <c r="X139" s="43">
        <f>IFERROR(SUMPRODUCT(X135:X137*H135:H137),"0")</f>
        <v>0</v>
      </c>
      <c r="Y139" s="43">
        <f>IFERROR(SUMPRODUCT(Y135:Y137*H135:H137),"0")</f>
        <v>0</v>
      </c>
      <c r="Z139" s="42"/>
      <c r="AA139" s="67"/>
      <c r="AB139" s="67"/>
      <c r="AC139" s="67"/>
    </row>
    <row r="140" spans="1:68" ht="16.5" customHeight="1" x14ac:dyDescent="0.25">
      <c r="A140" s="354" t="s">
        <v>240</v>
      </c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  <c r="AA140" s="65"/>
      <c r="AB140" s="65"/>
      <c r="AC140" s="82"/>
    </row>
    <row r="141" spans="1:68" ht="14.25" customHeight="1" x14ac:dyDescent="0.25">
      <c r="A141" s="355" t="s">
        <v>148</v>
      </c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5"/>
      <c r="V141" s="355"/>
      <c r="W141" s="355"/>
      <c r="X141" s="355"/>
      <c r="Y141" s="355"/>
      <c r="Z141" s="355"/>
      <c r="AA141" s="66"/>
      <c r="AB141" s="66"/>
      <c r="AC141" s="83"/>
    </row>
    <row r="142" spans="1:68" ht="27" customHeight="1" x14ac:dyDescent="0.25">
      <c r="A142" s="63" t="s">
        <v>241</v>
      </c>
      <c r="B142" s="63" t="s">
        <v>242</v>
      </c>
      <c r="C142" s="36">
        <v>4301135555</v>
      </c>
      <c r="D142" s="356">
        <v>4607111034014</v>
      </c>
      <c r="E142" s="356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117</v>
      </c>
      <c r="L142" s="37" t="s">
        <v>118</v>
      </c>
      <c r="M142" s="38" t="s">
        <v>85</v>
      </c>
      <c r="N142" s="38"/>
      <c r="O142" s="37">
        <v>180</v>
      </c>
      <c r="P142" s="4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8"/>
      <c r="R142" s="358"/>
      <c r="S142" s="358"/>
      <c r="T142" s="359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IFERROR(IF(X142="","",X142*0.01788),"")</f>
        <v>0</v>
      </c>
      <c r="AA142" s="68" t="s">
        <v>46</v>
      </c>
      <c r="AB142" s="69" t="s">
        <v>46</v>
      </c>
      <c r="AC142" s="193" t="s">
        <v>243</v>
      </c>
      <c r="AG142" s="81"/>
      <c r="AJ142" s="87" t="s">
        <v>119</v>
      </c>
      <c r="AK142" s="87">
        <v>14</v>
      </c>
      <c r="BB142" s="194" t="s">
        <v>116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244</v>
      </c>
      <c r="B143" s="63" t="s">
        <v>245</v>
      </c>
      <c r="C143" s="36">
        <v>4301135532</v>
      </c>
      <c r="D143" s="356">
        <v>4607111033994</v>
      </c>
      <c r="E143" s="356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117</v>
      </c>
      <c r="L143" s="37" t="s">
        <v>118</v>
      </c>
      <c r="M143" s="38" t="s">
        <v>85</v>
      </c>
      <c r="N143" s="38"/>
      <c r="O143" s="37">
        <v>180</v>
      </c>
      <c r="P143" s="41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8"/>
      <c r="R143" s="358"/>
      <c r="S143" s="358"/>
      <c r="T143" s="359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IFERROR(IF(X143="","",X143*0.01788),"")</f>
        <v>0</v>
      </c>
      <c r="AA143" s="68" t="s">
        <v>46</v>
      </c>
      <c r="AB143" s="69" t="s">
        <v>46</v>
      </c>
      <c r="AC143" s="195" t="s">
        <v>178</v>
      </c>
      <c r="AG143" s="81"/>
      <c r="AJ143" s="87" t="s">
        <v>119</v>
      </c>
      <c r="AK143" s="87">
        <v>14</v>
      </c>
      <c r="BB143" s="196" t="s">
        <v>116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370"/>
      <c r="B144" s="370"/>
      <c r="C144" s="370"/>
      <c r="D144" s="370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1"/>
      <c r="P144" s="367" t="s">
        <v>40</v>
      </c>
      <c r="Q144" s="368"/>
      <c r="R144" s="368"/>
      <c r="S144" s="368"/>
      <c r="T144" s="368"/>
      <c r="U144" s="368"/>
      <c r="V144" s="369"/>
      <c r="W144" s="42" t="s">
        <v>39</v>
      </c>
      <c r="X144" s="43">
        <f>IFERROR(SUM(X142:X143),"0")</f>
        <v>0</v>
      </c>
      <c r="Y144" s="43">
        <f>IFERROR(SUM(Y142:Y143),"0")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370"/>
      <c r="B145" s="370"/>
      <c r="C145" s="370"/>
      <c r="D145" s="370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1"/>
      <c r="P145" s="367" t="s">
        <v>40</v>
      </c>
      <c r="Q145" s="368"/>
      <c r="R145" s="368"/>
      <c r="S145" s="368"/>
      <c r="T145" s="368"/>
      <c r="U145" s="368"/>
      <c r="V145" s="369"/>
      <c r="W145" s="42" t="s">
        <v>0</v>
      </c>
      <c r="X145" s="43">
        <f>IFERROR(SUMPRODUCT(X142:X143*H142:H143),"0")</f>
        <v>0</v>
      </c>
      <c r="Y145" s="43">
        <f>IFERROR(SUMPRODUCT(Y142:Y143*H142:H143),"0")</f>
        <v>0</v>
      </c>
      <c r="Z145" s="42"/>
      <c r="AA145" s="67"/>
      <c r="AB145" s="67"/>
      <c r="AC145" s="67"/>
    </row>
    <row r="146" spans="1:68" ht="16.5" customHeight="1" x14ac:dyDescent="0.25">
      <c r="A146" s="354" t="s">
        <v>246</v>
      </c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65"/>
      <c r="AB146" s="65"/>
      <c r="AC146" s="82"/>
    </row>
    <row r="147" spans="1:68" ht="14.25" customHeight="1" x14ac:dyDescent="0.25">
      <c r="A147" s="355" t="s">
        <v>148</v>
      </c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  <c r="T147" s="355"/>
      <c r="U147" s="355"/>
      <c r="V147" s="355"/>
      <c r="W147" s="355"/>
      <c r="X147" s="355"/>
      <c r="Y147" s="355"/>
      <c r="Z147" s="355"/>
      <c r="AA147" s="66"/>
      <c r="AB147" s="66"/>
      <c r="AC147" s="83"/>
    </row>
    <row r="148" spans="1:68" ht="27" customHeight="1" x14ac:dyDescent="0.25">
      <c r="A148" s="63" t="s">
        <v>247</v>
      </c>
      <c r="B148" s="63" t="s">
        <v>248</v>
      </c>
      <c r="C148" s="36">
        <v>4301135954</v>
      </c>
      <c r="D148" s="356">
        <v>4620207491768</v>
      </c>
      <c r="E148" s="356"/>
      <c r="F148" s="62">
        <v>0.25</v>
      </c>
      <c r="G148" s="37">
        <v>12</v>
      </c>
      <c r="H148" s="62">
        <v>3</v>
      </c>
      <c r="I148" s="62">
        <v>3.7480000000000002</v>
      </c>
      <c r="J148" s="37">
        <v>70</v>
      </c>
      <c r="K148" s="37" t="s">
        <v>117</v>
      </c>
      <c r="L148" s="37" t="s">
        <v>87</v>
      </c>
      <c r="M148" s="38" t="s">
        <v>85</v>
      </c>
      <c r="N148" s="38"/>
      <c r="O148" s="37">
        <v>180</v>
      </c>
      <c r="P148" s="418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8" s="358"/>
      <c r="R148" s="358"/>
      <c r="S148" s="358"/>
      <c r="T148" s="359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7" t="s">
        <v>249</v>
      </c>
      <c r="AG148" s="81"/>
      <c r="AJ148" s="87" t="s">
        <v>88</v>
      </c>
      <c r="AK148" s="87">
        <v>1</v>
      </c>
      <c r="BB148" s="198" t="s">
        <v>116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16.5" customHeight="1" x14ac:dyDescent="0.25">
      <c r="A149" s="63" t="s">
        <v>250</v>
      </c>
      <c r="B149" s="63" t="s">
        <v>251</v>
      </c>
      <c r="C149" s="36">
        <v>4301135946</v>
      </c>
      <c r="D149" s="356">
        <v>4620207491553</v>
      </c>
      <c r="E149" s="356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117</v>
      </c>
      <c r="L149" s="37" t="s">
        <v>87</v>
      </c>
      <c r="M149" s="38" t="s">
        <v>85</v>
      </c>
      <c r="N149" s="38"/>
      <c r="O149" s="37">
        <v>180</v>
      </c>
      <c r="P149" s="419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9" s="358"/>
      <c r="R149" s="358"/>
      <c r="S149" s="358"/>
      <c r="T149" s="359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249</v>
      </c>
      <c r="AG149" s="81"/>
      <c r="AJ149" s="87" t="s">
        <v>88</v>
      </c>
      <c r="AK149" s="87">
        <v>1</v>
      </c>
      <c r="BB149" s="200" t="s">
        <v>116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70"/>
      <c r="B150" s="370"/>
      <c r="C150" s="370"/>
      <c r="D150" s="370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1"/>
      <c r="P150" s="367" t="s">
        <v>40</v>
      </c>
      <c r="Q150" s="368"/>
      <c r="R150" s="368"/>
      <c r="S150" s="368"/>
      <c r="T150" s="368"/>
      <c r="U150" s="368"/>
      <c r="V150" s="369"/>
      <c r="W150" s="42" t="s">
        <v>39</v>
      </c>
      <c r="X150" s="43">
        <f>IFERROR(SUM(X148:X149),"0")</f>
        <v>0</v>
      </c>
      <c r="Y150" s="43">
        <f>IFERROR(SUM(Y148:Y149),"0")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370"/>
      <c r="B151" s="370"/>
      <c r="C151" s="370"/>
      <c r="D151" s="370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1"/>
      <c r="P151" s="367" t="s">
        <v>40</v>
      </c>
      <c r="Q151" s="368"/>
      <c r="R151" s="368"/>
      <c r="S151" s="368"/>
      <c r="T151" s="368"/>
      <c r="U151" s="368"/>
      <c r="V151" s="369"/>
      <c r="W151" s="42" t="s">
        <v>0</v>
      </c>
      <c r="X151" s="43">
        <f>IFERROR(SUMPRODUCT(X148:X149*H148:H149),"0")</f>
        <v>0</v>
      </c>
      <c r="Y151" s="43">
        <f>IFERROR(SUMPRODUCT(Y148:Y149*H148:H149),"0")</f>
        <v>0</v>
      </c>
      <c r="Z151" s="42"/>
      <c r="AA151" s="67"/>
      <c r="AB151" s="67"/>
      <c r="AC151" s="67"/>
    </row>
    <row r="152" spans="1:68" ht="16.5" customHeight="1" x14ac:dyDescent="0.25">
      <c r="A152" s="354" t="s">
        <v>252</v>
      </c>
      <c r="B152" s="354"/>
      <c r="C152" s="354"/>
      <c r="D152" s="354"/>
      <c r="E152" s="354"/>
      <c r="F152" s="354"/>
      <c r="G152" s="354"/>
      <c r="H152" s="354"/>
      <c r="I152" s="354"/>
      <c r="J152" s="354"/>
      <c r="K152" s="354"/>
      <c r="L152" s="354"/>
      <c r="M152" s="354"/>
      <c r="N152" s="354"/>
      <c r="O152" s="354"/>
      <c r="P152" s="354"/>
      <c r="Q152" s="354"/>
      <c r="R152" s="354"/>
      <c r="S152" s="354"/>
      <c r="T152" s="354"/>
      <c r="U152" s="354"/>
      <c r="V152" s="354"/>
      <c r="W152" s="354"/>
      <c r="X152" s="354"/>
      <c r="Y152" s="354"/>
      <c r="Z152" s="354"/>
      <c r="AA152" s="65"/>
      <c r="AB152" s="65"/>
      <c r="AC152" s="82"/>
    </row>
    <row r="153" spans="1:68" ht="14.25" customHeight="1" x14ac:dyDescent="0.25">
      <c r="A153" s="355" t="s">
        <v>148</v>
      </c>
      <c r="B153" s="355"/>
      <c r="C153" s="355"/>
      <c r="D153" s="355"/>
      <c r="E153" s="355"/>
      <c r="F153" s="355"/>
      <c r="G153" s="355"/>
      <c r="H153" s="355"/>
      <c r="I153" s="355"/>
      <c r="J153" s="355"/>
      <c r="K153" s="355"/>
      <c r="L153" s="355"/>
      <c r="M153" s="355"/>
      <c r="N153" s="355"/>
      <c r="O153" s="355"/>
      <c r="P153" s="355"/>
      <c r="Q153" s="355"/>
      <c r="R153" s="355"/>
      <c r="S153" s="355"/>
      <c r="T153" s="355"/>
      <c r="U153" s="355"/>
      <c r="V153" s="355"/>
      <c r="W153" s="355"/>
      <c r="X153" s="355"/>
      <c r="Y153" s="355"/>
      <c r="Z153" s="355"/>
      <c r="AA153" s="66"/>
      <c r="AB153" s="66"/>
      <c r="AC153" s="83"/>
    </row>
    <row r="154" spans="1:68" ht="27" customHeight="1" x14ac:dyDescent="0.25">
      <c r="A154" s="63" t="s">
        <v>253</v>
      </c>
      <c r="B154" s="63" t="s">
        <v>254</v>
      </c>
      <c r="C154" s="36">
        <v>4301135753</v>
      </c>
      <c r="D154" s="356">
        <v>4620207490914</v>
      </c>
      <c r="E154" s="356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87</v>
      </c>
      <c r="M154" s="38" t="s">
        <v>85</v>
      </c>
      <c r="N154" s="38"/>
      <c r="O154" s="37">
        <v>180</v>
      </c>
      <c r="P154" s="42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358"/>
      <c r="R154" s="358"/>
      <c r="S154" s="358"/>
      <c r="T154" s="359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1" t="s">
        <v>243</v>
      </c>
      <c r="AG154" s="81"/>
      <c r="AJ154" s="87" t="s">
        <v>88</v>
      </c>
      <c r="AK154" s="87">
        <v>1</v>
      </c>
      <c r="BB154" s="202" t="s">
        <v>116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27" customHeight="1" x14ac:dyDescent="0.25">
      <c r="A155" s="63" t="s">
        <v>255</v>
      </c>
      <c r="B155" s="63" t="s">
        <v>256</v>
      </c>
      <c r="C155" s="36">
        <v>4301135932</v>
      </c>
      <c r="D155" s="356">
        <v>4620207491676</v>
      </c>
      <c r="E155" s="356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117</v>
      </c>
      <c r="L155" s="37" t="s">
        <v>87</v>
      </c>
      <c r="M155" s="38" t="s">
        <v>85</v>
      </c>
      <c r="N155" s="38"/>
      <c r="O155" s="37">
        <v>180</v>
      </c>
      <c r="P155" s="42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5" s="358"/>
      <c r="R155" s="358"/>
      <c r="S155" s="358"/>
      <c r="T155" s="359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3" t="s">
        <v>257</v>
      </c>
      <c r="AG155" s="81"/>
      <c r="AJ155" s="87" t="s">
        <v>88</v>
      </c>
      <c r="AK155" s="87">
        <v>1</v>
      </c>
      <c r="BB155" s="204" t="s">
        <v>116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70"/>
      <c r="B156" s="370"/>
      <c r="C156" s="370"/>
      <c r="D156" s="370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1"/>
      <c r="P156" s="367" t="s">
        <v>40</v>
      </c>
      <c r="Q156" s="368"/>
      <c r="R156" s="368"/>
      <c r="S156" s="368"/>
      <c r="T156" s="368"/>
      <c r="U156" s="368"/>
      <c r="V156" s="369"/>
      <c r="W156" s="42" t="s">
        <v>39</v>
      </c>
      <c r="X156" s="43">
        <f>IFERROR(SUM(X154:X155),"0")</f>
        <v>0</v>
      </c>
      <c r="Y156" s="43">
        <f>IFERROR(SUM(Y154:Y155),"0")</f>
        <v>0</v>
      </c>
      <c r="Z156" s="43">
        <f>IFERROR(IF(Z154="",0,Z154),"0")+IFERROR(IF(Z155="",0,Z155),"0")</f>
        <v>0</v>
      </c>
      <c r="AA156" s="67"/>
      <c r="AB156" s="67"/>
      <c r="AC156" s="67"/>
    </row>
    <row r="157" spans="1:68" x14ac:dyDescent="0.2">
      <c r="A157" s="370"/>
      <c r="B157" s="370"/>
      <c r="C157" s="370"/>
      <c r="D157" s="370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1"/>
      <c r="P157" s="367" t="s">
        <v>40</v>
      </c>
      <c r="Q157" s="368"/>
      <c r="R157" s="368"/>
      <c r="S157" s="368"/>
      <c r="T157" s="368"/>
      <c r="U157" s="368"/>
      <c r="V157" s="369"/>
      <c r="W157" s="42" t="s">
        <v>0</v>
      </c>
      <c r="X157" s="43">
        <f>IFERROR(SUMPRODUCT(X154:X155*H154:H155),"0")</f>
        <v>0</v>
      </c>
      <c r="Y157" s="43">
        <f>IFERROR(SUMPRODUCT(Y154:Y155*H154:H155),"0")</f>
        <v>0</v>
      </c>
      <c r="Z157" s="42"/>
      <c r="AA157" s="67"/>
      <c r="AB157" s="67"/>
      <c r="AC157" s="67"/>
    </row>
    <row r="158" spans="1:68" ht="16.5" customHeight="1" x14ac:dyDescent="0.25">
      <c r="A158" s="354" t="s">
        <v>258</v>
      </c>
      <c r="B158" s="354"/>
      <c r="C158" s="354"/>
      <c r="D158" s="354"/>
      <c r="E158" s="354"/>
      <c r="F158" s="354"/>
      <c r="G158" s="354"/>
      <c r="H158" s="354"/>
      <c r="I158" s="354"/>
      <c r="J158" s="354"/>
      <c r="K158" s="354"/>
      <c r="L158" s="354"/>
      <c r="M158" s="354"/>
      <c r="N158" s="354"/>
      <c r="O158" s="354"/>
      <c r="P158" s="354"/>
      <c r="Q158" s="354"/>
      <c r="R158" s="354"/>
      <c r="S158" s="354"/>
      <c r="T158" s="354"/>
      <c r="U158" s="354"/>
      <c r="V158" s="354"/>
      <c r="W158" s="354"/>
      <c r="X158" s="354"/>
      <c r="Y158" s="354"/>
      <c r="Z158" s="354"/>
      <c r="AA158" s="65"/>
      <c r="AB158" s="65"/>
      <c r="AC158" s="82"/>
    </row>
    <row r="159" spans="1:68" ht="14.25" customHeight="1" x14ac:dyDescent="0.25">
      <c r="A159" s="355" t="s">
        <v>148</v>
      </c>
      <c r="B159" s="355"/>
      <c r="C159" s="355"/>
      <c r="D159" s="355"/>
      <c r="E159" s="355"/>
      <c r="F159" s="355"/>
      <c r="G159" s="355"/>
      <c r="H159" s="355"/>
      <c r="I159" s="355"/>
      <c r="J159" s="355"/>
      <c r="K159" s="355"/>
      <c r="L159" s="355"/>
      <c r="M159" s="355"/>
      <c r="N159" s="355"/>
      <c r="O159" s="355"/>
      <c r="P159" s="355"/>
      <c r="Q159" s="355"/>
      <c r="R159" s="355"/>
      <c r="S159" s="355"/>
      <c r="T159" s="355"/>
      <c r="U159" s="355"/>
      <c r="V159" s="355"/>
      <c r="W159" s="355"/>
      <c r="X159" s="355"/>
      <c r="Y159" s="355"/>
      <c r="Z159" s="355"/>
      <c r="AA159" s="66"/>
      <c r="AB159" s="66"/>
      <c r="AC159" s="83"/>
    </row>
    <row r="160" spans="1:68" ht="27" customHeight="1" x14ac:dyDescent="0.25">
      <c r="A160" s="63" t="s">
        <v>259</v>
      </c>
      <c r="B160" s="63" t="s">
        <v>260</v>
      </c>
      <c r="C160" s="36">
        <v>4301135940</v>
      </c>
      <c r="D160" s="356">
        <v>4620207491614</v>
      </c>
      <c r="E160" s="356"/>
      <c r="F160" s="62">
        <v>0.25</v>
      </c>
      <c r="G160" s="37">
        <v>12</v>
      </c>
      <c r="H160" s="62">
        <v>3</v>
      </c>
      <c r="I160" s="62">
        <v>3.7035999999999998</v>
      </c>
      <c r="J160" s="37">
        <v>70</v>
      </c>
      <c r="K160" s="37" t="s">
        <v>117</v>
      </c>
      <c r="L160" s="37" t="s">
        <v>87</v>
      </c>
      <c r="M160" s="38" t="s">
        <v>85</v>
      </c>
      <c r="N160" s="38"/>
      <c r="O160" s="37">
        <v>180</v>
      </c>
      <c r="P160" s="42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0" s="358"/>
      <c r="R160" s="358"/>
      <c r="S160" s="358"/>
      <c r="T160" s="359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05" t="s">
        <v>166</v>
      </c>
      <c r="AG160" s="81"/>
      <c r="AJ160" s="87" t="s">
        <v>88</v>
      </c>
      <c r="AK160" s="87">
        <v>1</v>
      </c>
      <c r="BB160" s="206" t="s">
        <v>116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70"/>
      <c r="B161" s="370"/>
      <c r="C161" s="370"/>
      <c r="D161" s="370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1"/>
      <c r="P161" s="367" t="s">
        <v>40</v>
      </c>
      <c r="Q161" s="368"/>
      <c r="R161" s="368"/>
      <c r="S161" s="368"/>
      <c r="T161" s="368"/>
      <c r="U161" s="368"/>
      <c r="V161" s="369"/>
      <c r="W161" s="42" t="s">
        <v>39</v>
      </c>
      <c r="X161" s="43">
        <f>IFERROR(SUM(X160:X160),"0")</f>
        <v>0</v>
      </c>
      <c r="Y161" s="43">
        <f>IFERROR(SUM(Y160:Y160),"0")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370"/>
      <c r="B162" s="370"/>
      <c r="C162" s="370"/>
      <c r="D162" s="370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1"/>
      <c r="P162" s="367" t="s">
        <v>40</v>
      </c>
      <c r="Q162" s="368"/>
      <c r="R162" s="368"/>
      <c r="S162" s="368"/>
      <c r="T162" s="368"/>
      <c r="U162" s="368"/>
      <c r="V162" s="369"/>
      <c r="W162" s="42" t="s">
        <v>0</v>
      </c>
      <c r="X162" s="43">
        <f>IFERROR(SUMPRODUCT(X160:X160*H160:H160),"0")</f>
        <v>0</v>
      </c>
      <c r="Y162" s="43">
        <f>IFERROR(SUMPRODUCT(Y160:Y160*H160:H160),"0")</f>
        <v>0</v>
      </c>
      <c r="Z162" s="42"/>
      <c r="AA162" s="67"/>
      <c r="AB162" s="67"/>
      <c r="AC162" s="67"/>
    </row>
    <row r="163" spans="1:68" ht="16.5" customHeight="1" x14ac:dyDescent="0.25">
      <c r="A163" s="354" t="s">
        <v>261</v>
      </c>
      <c r="B163" s="354"/>
      <c r="C163" s="354"/>
      <c r="D163" s="354"/>
      <c r="E163" s="354"/>
      <c r="F163" s="354"/>
      <c r="G163" s="354"/>
      <c r="H163" s="354"/>
      <c r="I163" s="354"/>
      <c r="J163" s="354"/>
      <c r="K163" s="354"/>
      <c r="L163" s="354"/>
      <c r="M163" s="354"/>
      <c r="N163" s="354"/>
      <c r="O163" s="354"/>
      <c r="P163" s="354"/>
      <c r="Q163" s="354"/>
      <c r="R163" s="354"/>
      <c r="S163" s="354"/>
      <c r="T163" s="354"/>
      <c r="U163" s="354"/>
      <c r="V163" s="354"/>
      <c r="W163" s="354"/>
      <c r="X163" s="354"/>
      <c r="Y163" s="354"/>
      <c r="Z163" s="354"/>
      <c r="AA163" s="65"/>
      <c r="AB163" s="65"/>
      <c r="AC163" s="82"/>
    </row>
    <row r="164" spans="1:68" ht="14.25" customHeight="1" x14ac:dyDescent="0.25">
      <c r="A164" s="355" t="s">
        <v>148</v>
      </c>
      <c r="B164" s="355"/>
      <c r="C164" s="355"/>
      <c r="D164" s="355"/>
      <c r="E164" s="355"/>
      <c r="F164" s="355"/>
      <c r="G164" s="355"/>
      <c r="H164" s="355"/>
      <c r="I164" s="355"/>
      <c r="J164" s="355"/>
      <c r="K164" s="355"/>
      <c r="L164" s="355"/>
      <c r="M164" s="355"/>
      <c r="N164" s="355"/>
      <c r="O164" s="355"/>
      <c r="P164" s="355"/>
      <c r="Q164" s="355"/>
      <c r="R164" s="355"/>
      <c r="S164" s="355"/>
      <c r="T164" s="355"/>
      <c r="U164" s="355"/>
      <c r="V164" s="355"/>
      <c r="W164" s="355"/>
      <c r="X164" s="355"/>
      <c r="Y164" s="355"/>
      <c r="Z164" s="355"/>
      <c r="AA164" s="66"/>
      <c r="AB164" s="66"/>
      <c r="AC164" s="83"/>
    </row>
    <row r="165" spans="1:68" ht="16.5" customHeight="1" x14ac:dyDescent="0.25">
      <c r="A165" s="63" t="s">
        <v>262</v>
      </c>
      <c r="B165" s="63" t="s">
        <v>263</v>
      </c>
      <c r="C165" s="36">
        <v>4301135607</v>
      </c>
      <c r="D165" s="356">
        <v>4607111039613</v>
      </c>
      <c r="E165" s="356"/>
      <c r="F165" s="62">
        <v>0.09</v>
      </c>
      <c r="G165" s="37">
        <v>30</v>
      </c>
      <c r="H165" s="62">
        <v>2.7</v>
      </c>
      <c r="I165" s="62">
        <v>3.09</v>
      </c>
      <c r="J165" s="37">
        <v>126</v>
      </c>
      <c r="K165" s="37" t="s">
        <v>117</v>
      </c>
      <c r="L165" s="37" t="s">
        <v>118</v>
      </c>
      <c r="M165" s="38" t="s">
        <v>85</v>
      </c>
      <c r="N165" s="38"/>
      <c r="O165" s="37">
        <v>180</v>
      </c>
      <c r="P165" s="42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358"/>
      <c r="R165" s="358"/>
      <c r="S165" s="358"/>
      <c r="T165" s="359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IFERROR(IF(X165="","",X165*0.00936),"")</f>
        <v>0</v>
      </c>
      <c r="AA165" s="68" t="s">
        <v>46</v>
      </c>
      <c r="AB165" s="69" t="s">
        <v>46</v>
      </c>
      <c r="AC165" s="207" t="s">
        <v>264</v>
      </c>
      <c r="AG165" s="81"/>
      <c r="AJ165" s="87" t="s">
        <v>119</v>
      </c>
      <c r="AK165" s="87">
        <v>14</v>
      </c>
      <c r="BB165" s="208" t="s">
        <v>116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70"/>
      <c r="B166" s="370"/>
      <c r="C166" s="370"/>
      <c r="D166" s="370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1"/>
      <c r="P166" s="367" t="s">
        <v>40</v>
      </c>
      <c r="Q166" s="368"/>
      <c r="R166" s="368"/>
      <c r="S166" s="368"/>
      <c r="T166" s="368"/>
      <c r="U166" s="368"/>
      <c r="V166" s="369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70"/>
      <c r="B167" s="370"/>
      <c r="C167" s="370"/>
      <c r="D167" s="370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1"/>
      <c r="P167" s="367" t="s">
        <v>40</v>
      </c>
      <c r="Q167" s="368"/>
      <c r="R167" s="368"/>
      <c r="S167" s="368"/>
      <c r="T167" s="368"/>
      <c r="U167" s="368"/>
      <c r="V167" s="369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16.5" customHeight="1" x14ac:dyDescent="0.25">
      <c r="A168" s="354" t="s">
        <v>265</v>
      </c>
      <c r="B168" s="354"/>
      <c r="C168" s="354"/>
      <c r="D168" s="354"/>
      <c r="E168" s="354"/>
      <c r="F168" s="354"/>
      <c r="G168" s="354"/>
      <c r="H168" s="354"/>
      <c r="I168" s="354"/>
      <c r="J168" s="354"/>
      <c r="K168" s="354"/>
      <c r="L168" s="354"/>
      <c r="M168" s="354"/>
      <c r="N168" s="354"/>
      <c r="O168" s="354"/>
      <c r="P168" s="354"/>
      <c r="Q168" s="354"/>
      <c r="R168" s="354"/>
      <c r="S168" s="354"/>
      <c r="T168" s="354"/>
      <c r="U168" s="354"/>
      <c r="V168" s="354"/>
      <c r="W168" s="354"/>
      <c r="X168" s="354"/>
      <c r="Y168" s="354"/>
      <c r="Z168" s="354"/>
      <c r="AA168" s="65"/>
      <c r="AB168" s="65"/>
      <c r="AC168" s="82"/>
    </row>
    <row r="169" spans="1:68" ht="14.25" customHeight="1" x14ac:dyDescent="0.25">
      <c r="A169" s="355" t="s">
        <v>148</v>
      </c>
      <c r="B169" s="355"/>
      <c r="C169" s="355"/>
      <c r="D169" s="355"/>
      <c r="E169" s="355"/>
      <c r="F169" s="355"/>
      <c r="G169" s="355"/>
      <c r="H169" s="355"/>
      <c r="I169" s="355"/>
      <c r="J169" s="355"/>
      <c r="K169" s="355"/>
      <c r="L169" s="355"/>
      <c r="M169" s="355"/>
      <c r="N169" s="355"/>
      <c r="O169" s="355"/>
      <c r="P169" s="355"/>
      <c r="Q169" s="355"/>
      <c r="R169" s="355"/>
      <c r="S169" s="355"/>
      <c r="T169" s="355"/>
      <c r="U169" s="355"/>
      <c r="V169" s="355"/>
      <c r="W169" s="355"/>
      <c r="X169" s="355"/>
      <c r="Y169" s="355"/>
      <c r="Z169" s="355"/>
      <c r="AA169" s="66"/>
      <c r="AB169" s="66"/>
      <c r="AC169" s="83"/>
    </row>
    <row r="170" spans="1:68" ht="27" customHeight="1" x14ac:dyDescent="0.25">
      <c r="A170" s="63" t="s">
        <v>266</v>
      </c>
      <c r="B170" s="63" t="s">
        <v>267</v>
      </c>
      <c r="C170" s="36">
        <v>4301135912</v>
      </c>
      <c r="D170" s="356">
        <v>4620207491751</v>
      </c>
      <c r="E170" s="356"/>
      <c r="F170" s="62">
        <v>0.28000000000000003</v>
      </c>
      <c r="G170" s="37">
        <v>6</v>
      </c>
      <c r="H170" s="62">
        <v>1.68</v>
      </c>
      <c r="I170" s="62">
        <v>2.1017999999999999</v>
      </c>
      <c r="J170" s="37">
        <v>140</v>
      </c>
      <c r="K170" s="37" t="s">
        <v>117</v>
      </c>
      <c r="L170" s="37" t="s">
        <v>87</v>
      </c>
      <c r="M170" s="38" t="s">
        <v>85</v>
      </c>
      <c r="N170" s="38"/>
      <c r="O170" s="37">
        <v>180</v>
      </c>
      <c r="P170" s="424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0" s="358"/>
      <c r="R170" s="358"/>
      <c r="S170" s="358"/>
      <c r="T170" s="359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IFERROR(IF(X170="","",X170*0.00941),"")</f>
        <v>0</v>
      </c>
      <c r="AA170" s="68" t="s">
        <v>46</v>
      </c>
      <c r="AB170" s="69" t="s">
        <v>46</v>
      </c>
      <c r="AC170" s="209" t="s">
        <v>166</v>
      </c>
      <c r="AG170" s="81"/>
      <c r="AJ170" s="87" t="s">
        <v>88</v>
      </c>
      <c r="AK170" s="87">
        <v>1</v>
      </c>
      <c r="BB170" s="210" t="s">
        <v>116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370"/>
      <c r="B171" s="370"/>
      <c r="C171" s="370"/>
      <c r="D171" s="370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1"/>
      <c r="P171" s="367" t="s">
        <v>40</v>
      </c>
      <c r="Q171" s="368"/>
      <c r="R171" s="368"/>
      <c r="S171" s="368"/>
      <c r="T171" s="368"/>
      <c r="U171" s="368"/>
      <c r="V171" s="369"/>
      <c r="W171" s="42" t="s">
        <v>39</v>
      </c>
      <c r="X171" s="43">
        <f>IFERROR(SUM(X170:X170),"0")</f>
        <v>0</v>
      </c>
      <c r="Y171" s="43">
        <f>IFERROR(SUM(Y170:Y170),"0")</f>
        <v>0</v>
      </c>
      <c r="Z171" s="43">
        <f>IFERROR(IF(Z170="",0,Z170),"0")</f>
        <v>0</v>
      </c>
      <c r="AA171" s="67"/>
      <c r="AB171" s="67"/>
      <c r="AC171" s="67"/>
    </row>
    <row r="172" spans="1:68" x14ac:dyDescent="0.2">
      <c r="A172" s="370"/>
      <c r="B172" s="370"/>
      <c r="C172" s="370"/>
      <c r="D172" s="370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1"/>
      <c r="P172" s="367" t="s">
        <v>40</v>
      </c>
      <c r="Q172" s="368"/>
      <c r="R172" s="368"/>
      <c r="S172" s="368"/>
      <c r="T172" s="368"/>
      <c r="U172" s="368"/>
      <c r="V172" s="369"/>
      <c r="W172" s="42" t="s">
        <v>0</v>
      </c>
      <c r="X172" s="43">
        <f>IFERROR(SUMPRODUCT(X170:X170*H170:H170),"0")</f>
        <v>0</v>
      </c>
      <c r="Y172" s="43">
        <f>IFERROR(SUMPRODUCT(Y170:Y170*H170:H170),"0")</f>
        <v>0</v>
      </c>
      <c r="Z172" s="42"/>
      <c r="AA172" s="67"/>
      <c r="AB172" s="67"/>
      <c r="AC172" s="67"/>
    </row>
    <row r="173" spans="1:68" ht="27.75" customHeight="1" x14ac:dyDescent="0.2">
      <c r="A173" s="353" t="s">
        <v>268</v>
      </c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  <c r="AA173" s="54"/>
      <c r="AB173" s="54"/>
      <c r="AC173" s="54"/>
    </row>
    <row r="174" spans="1:68" ht="16.5" customHeight="1" x14ac:dyDescent="0.25">
      <c r="A174" s="354" t="s">
        <v>269</v>
      </c>
      <c r="B174" s="354"/>
      <c r="C174" s="354"/>
      <c r="D174" s="354"/>
      <c r="E174" s="354"/>
      <c r="F174" s="354"/>
      <c r="G174" s="354"/>
      <c r="H174" s="354"/>
      <c r="I174" s="354"/>
      <c r="J174" s="354"/>
      <c r="K174" s="354"/>
      <c r="L174" s="354"/>
      <c r="M174" s="354"/>
      <c r="N174" s="354"/>
      <c r="O174" s="354"/>
      <c r="P174" s="354"/>
      <c r="Q174" s="354"/>
      <c r="R174" s="354"/>
      <c r="S174" s="354"/>
      <c r="T174" s="354"/>
      <c r="U174" s="354"/>
      <c r="V174" s="354"/>
      <c r="W174" s="354"/>
      <c r="X174" s="354"/>
      <c r="Y174" s="354"/>
      <c r="Z174" s="354"/>
      <c r="AA174" s="65"/>
      <c r="AB174" s="65"/>
      <c r="AC174" s="82"/>
    </row>
    <row r="175" spans="1:68" ht="14.25" customHeight="1" x14ac:dyDescent="0.25">
      <c r="A175" s="355" t="s">
        <v>112</v>
      </c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5"/>
      <c r="P175" s="355"/>
      <c r="Q175" s="355"/>
      <c r="R175" s="355"/>
      <c r="S175" s="355"/>
      <c r="T175" s="355"/>
      <c r="U175" s="355"/>
      <c r="V175" s="355"/>
      <c r="W175" s="355"/>
      <c r="X175" s="355"/>
      <c r="Y175" s="355"/>
      <c r="Z175" s="355"/>
      <c r="AA175" s="66"/>
      <c r="AB175" s="66"/>
      <c r="AC175" s="83"/>
    </row>
    <row r="176" spans="1:68" ht="27" customHeight="1" x14ac:dyDescent="0.25">
      <c r="A176" s="63" t="s">
        <v>270</v>
      </c>
      <c r="B176" s="63" t="s">
        <v>271</v>
      </c>
      <c r="C176" s="36">
        <v>4301132226</v>
      </c>
      <c r="D176" s="356">
        <v>4620207490631</v>
      </c>
      <c r="E176" s="356"/>
      <c r="F176" s="62">
        <v>6</v>
      </c>
      <c r="G176" s="37">
        <v>1</v>
      </c>
      <c r="H176" s="62">
        <v>6</v>
      </c>
      <c r="I176" s="62">
        <v>6.2350000000000003</v>
      </c>
      <c r="J176" s="37">
        <v>84</v>
      </c>
      <c r="K176" s="37" t="s">
        <v>86</v>
      </c>
      <c r="L176" s="37" t="s">
        <v>87</v>
      </c>
      <c r="M176" s="38" t="s">
        <v>85</v>
      </c>
      <c r="N176" s="38"/>
      <c r="O176" s="37">
        <v>180</v>
      </c>
      <c r="P176" s="425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6" s="358"/>
      <c r="R176" s="358"/>
      <c r="S176" s="358"/>
      <c r="T176" s="359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IFERROR(IF(X176="","",X176*0.0155),"")</f>
        <v>0</v>
      </c>
      <c r="AA176" s="68" t="s">
        <v>46</v>
      </c>
      <c r="AB176" s="69" t="s">
        <v>46</v>
      </c>
      <c r="AC176" s="211" t="s">
        <v>272</v>
      </c>
      <c r="AG176" s="81"/>
      <c r="AJ176" s="87" t="s">
        <v>88</v>
      </c>
      <c r="AK176" s="87">
        <v>1</v>
      </c>
      <c r="BB176" s="212" t="s">
        <v>116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x14ac:dyDescent="0.2">
      <c r="A177" s="370"/>
      <c r="B177" s="370"/>
      <c r="C177" s="370"/>
      <c r="D177" s="370"/>
      <c r="E177" s="370"/>
      <c r="F177" s="370"/>
      <c r="G177" s="370"/>
      <c r="H177" s="370"/>
      <c r="I177" s="370"/>
      <c r="J177" s="370"/>
      <c r="K177" s="370"/>
      <c r="L177" s="370"/>
      <c r="M177" s="370"/>
      <c r="N177" s="370"/>
      <c r="O177" s="371"/>
      <c r="P177" s="367" t="s">
        <v>40</v>
      </c>
      <c r="Q177" s="368"/>
      <c r="R177" s="368"/>
      <c r="S177" s="368"/>
      <c r="T177" s="368"/>
      <c r="U177" s="368"/>
      <c r="V177" s="369"/>
      <c r="W177" s="42" t="s">
        <v>39</v>
      </c>
      <c r="X177" s="43">
        <f>IFERROR(SUM(X176:X176),"0")</f>
        <v>0</v>
      </c>
      <c r="Y177" s="43">
        <f>IFERROR(SUM(Y176:Y176),"0")</f>
        <v>0</v>
      </c>
      <c r="Z177" s="43">
        <f>IFERROR(IF(Z176="",0,Z176),"0")</f>
        <v>0</v>
      </c>
      <c r="AA177" s="67"/>
      <c r="AB177" s="67"/>
      <c r="AC177" s="67"/>
    </row>
    <row r="178" spans="1:68" x14ac:dyDescent="0.2">
      <c r="A178" s="370"/>
      <c r="B178" s="370"/>
      <c r="C178" s="370"/>
      <c r="D178" s="370"/>
      <c r="E178" s="370"/>
      <c r="F178" s="370"/>
      <c r="G178" s="370"/>
      <c r="H178" s="370"/>
      <c r="I178" s="370"/>
      <c r="J178" s="370"/>
      <c r="K178" s="370"/>
      <c r="L178" s="370"/>
      <c r="M178" s="370"/>
      <c r="N178" s="370"/>
      <c r="O178" s="371"/>
      <c r="P178" s="367" t="s">
        <v>40</v>
      </c>
      <c r="Q178" s="368"/>
      <c r="R178" s="368"/>
      <c r="S178" s="368"/>
      <c r="T178" s="368"/>
      <c r="U178" s="368"/>
      <c r="V178" s="369"/>
      <c r="W178" s="42" t="s">
        <v>0</v>
      </c>
      <c r="X178" s="43">
        <f>IFERROR(SUMPRODUCT(X176:X176*H176:H176),"0")</f>
        <v>0</v>
      </c>
      <c r="Y178" s="43">
        <f>IFERROR(SUMPRODUCT(Y176:Y176*H176:H176),"0")</f>
        <v>0</v>
      </c>
      <c r="Z178" s="42"/>
      <c r="AA178" s="67"/>
      <c r="AB178" s="67"/>
      <c r="AC178" s="67"/>
    </row>
    <row r="179" spans="1:68" ht="14.25" customHeight="1" x14ac:dyDescent="0.25">
      <c r="A179" s="355" t="s">
        <v>148</v>
      </c>
      <c r="B179" s="355"/>
      <c r="C179" s="355"/>
      <c r="D179" s="355"/>
      <c r="E179" s="355"/>
      <c r="F179" s="355"/>
      <c r="G179" s="355"/>
      <c r="H179" s="355"/>
      <c r="I179" s="355"/>
      <c r="J179" s="355"/>
      <c r="K179" s="355"/>
      <c r="L179" s="355"/>
      <c r="M179" s="355"/>
      <c r="N179" s="355"/>
      <c r="O179" s="355"/>
      <c r="P179" s="355"/>
      <c r="Q179" s="355"/>
      <c r="R179" s="355"/>
      <c r="S179" s="355"/>
      <c r="T179" s="355"/>
      <c r="U179" s="355"/>
      <c r="V179" s="355"/>
      <c r="W179" s="355"/>
      <c r="X179" s="355"/>
      <c r="Y179" s="355"/>
      <c r="Z179" s="355"/>
      <c r="AA179" s="66"/>
      <c r="AB179" s="66"/>
      <c r="AC179" s="83"/>
    </row>
    <row r="180" spans="1:68" ht="27" customHeight="1" x14ac:dyDescent="0.25">
      <c r="A180" s="63" t="s">
        <v>273</v>
      </c>
      <c r="B180" s="63" t="s">
        <v>274</v>
      </c>
      <c r="C180" s="36">
        <v>4301135392</v>
      </c>
      <c r="D180" s="356">
        <v>4607111039132</v>
      </c>
      <c r="E180" s="356"/>
      <c r="F180" s="62">
        <v>3.7</v>
      </c>
      <c r="G180" s="37">
        <v>1</v>
      </c>
      <c r="H180" s="62">
        <v>3.7</v>
      </c>
      <c r="I180" s="62">
        <v>3.8919999999999999</v>
      </c>
      <c r="J180" s="37">
        <v>126</v>
      </c>
      <c r="K180" s="37" t="s">
        <v>117</v>
      </c>
      <c r="L180" s="37" t="s">
        <v>87</v>
      </c>
      <c r="M180" s="38" t="s">
        <v>85</v>
      </c>
      <c r="N180" s="38"/>
      <c r="O180" s="37">
        <v>180</v>
      </c>
      <c r="P180" s="426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0" s="358"/>
      <c r="R180" s="358"/>
      <c r="S180" s="358"/>
      <c r="T180" s="359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IFERROR(IF(X180="","",X180*0.00936),"")</f>
        <v>0</v>
      </c>
      <c r="AA180" s="68" t="s">
        <v>46</v>
      </c>
      <c r="AB180" s="69" t="s">
        <v>46</v>
      </c>
      <c r="AC180" s="213" t="s">
        <v>275</v>
      </c>
      <c r="AG180" s="81"/>
      <c r="AJ180" s="87" t="s">
        <v>88</v>
      </c>
      <c r="AK180" s="87">
        <v>1</v>
      </c>
      <c r="BB180" s="214" t="s">
        <v>116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70"/>
      <c r="B181" s="370"/>
      <c r="C181" s="370"/>
      <c r="D181" s="370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1"/>
      <c r="P181" s="367" t="s">
        <v>40</v>
      </c>
      <c r="Q181" s="368"/>
      <c r="R181" s="368"/>
      <c r="S181" s="368"/>
      <c r="T181" s="368"/>
      <c r="U181" s="368"/>
      <c r="V181" s="369"/>
      <c r="W181" s="42" t="s">
        <v>39</v>
      </c>
      <c r="X181" s="43">
        <f>IFERROR(SUM(X180:X180),"0")</f>
        <v>0</v>
      </c>
      <c r="Y181" s="43">
        <f>IFERROR(SUM(Y180:Y180),"0")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370"/>
      <c r="B182" s="370"/>
      <c r="C182" s="370"/>
      <c r="D182" s="370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1"/>
      <c r="P182" s="367" t="s">
        <v>40</v>
      </c>
      <c r="Q182" s="368"/>
      <c r="R182" s="368"/>
      <c r="S182" s="368"/>
      <c r="T182" s="368"/>
      <c r="U182" s="368"/>
      <c r="V182" s="369"/>
      <c r="W182" s="42" t="s">
        <v>0</v>
      </c>
      <c r="X182" s="43">
        <f>IFERROR(SUMPRODUCT(X180:X180*H180:H180),"0")</f>
        <v>0</v>
      </c>
      <c r="Y182" s="43">
        <f>IFERROR(SUMPRODUCT(Y180:Y180*H180:H180),"0")</f>
        <v>0</v>
      </c>
      <c r="Z182" s="42"/>
      <c r="AA182" s="67"/>
      <c r="AB182" s="67"/>
      <c r="AC182" s="67"/>
    </row>
    <row r="183" spans="1:68" ht="16.5" customHeight="1" x14ac:dyDescent="0.25">
      <c r="A183" s="354" t="s">
        <v>276</v>
      </c>
      <c r="B183" s="354"/>
      <c r="C183" s="354"/>
      <c r="D183" s="354"/>
      <c r="E183" s="354"/>
      <c r="F183" s="354"/>
      <c r="G183" s="354"/>
      <c r="H183" s="354"/>
      <c r="I183" s="354"/>
      <c r="J183" s="354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  <c r="Z183" s="354"/>
      <c r="AA183" s="65"/>
      <c r="AB183" s="65"/>
      <c r="AC183" s="82"/>
    </row>
    <row r="184" spans="1:68" ht="14.25" customHeight="1" x14ac:dyDescent="0.25">
      <c r="A184" s="355" t="s">
        <v>81</v>
      </c>
      <c r="B184" s="355"/>
      <c r="C184" s="355"/>
      <c r="D184" s="355"/>
      <c r="E184" s="355"/>
      <c r="F184" s="355"/>
      <c r="G184" s="355"/>
      <c r="H184" s="355"/>
      <c r="I184" s="355"/>
      <c r="J184" s="355"/>
      <c r="K184" s="355"/>
      <c r="L184" s="355"/>
      <c r="M184" s="355"/>
      <c r="N184" s="355"/>
      <c r="O184" s="355"/>
      <c r="P184" s="355"/>
      <c r="Q184" s="355"/>
      <c r="R184" s="355"/>
      <c r="S184" s="355"/>
      <c r="T184" s="355"/>
      <c r="U184" s="355"/>
      <c r="V184" s="355"/>
      <c r="W184" s="355"/>
      <c r="X184" s="355"/>
      <c r="Y184" s="355"/>
      <c r="Z184" s="355"/>
      <c r="AA184" s="66"/>
      <c r="AB184" s="66"/>
      <c r="AC184" s="83"/>
    </row>
    <row r="185" spans="1:68" ht="16.5" customHeight="1" x14ac:dyDescent="0.25">
      <c r="A185" s="63" t="s">
        <v>277</v>
      </c>
      <c r="B185" s="63" t="s">
        <v>278</v>
      </c>
      <c r="C185" s="36">
        <v>4301071062</v>
      </c>
      <c r="D185" s="356">
        <v>4607111036384</v>
      </c>
      <c r="E185" s="356"/>
      <c r="F185" s="62">
        <v>5</v>
      </c>
      <c r="G185" s="37">
        <v>1</v>
      </c>
      <c r="H185" s="62">
        <v>5</v>
      </c>
      <c r="I185" s="62">
        <v>5.2106000000000003</v>
      </c>
      <c r="J185" s="37">
        <v>144</v>
      </c>
      <c r="K185" s="37" t="s">
        <v>86</v>
      </c>
      <c r="L185" s="37" t="s">
        <v>87</v>
      </c>
      <c r="M185" s="38" t="s">
        <v>85</v>
      </c>
      <c r="N185" s="38"/>
      <c r="O185" s="37">
        <v>180</v>
      </c>
      <c r="P185" s="4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5" s="358"/>
      <c r="R185" s="358"/>
      <c r="S185" s="358"/>
      <c r="T185" s="359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279</v>
      </c>
      <c r="AG185" s="81"/>
      <c r="AJ185" s="87" t="s">
        <v>88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280</v>
      </c>
      <c r="B186" s="63" t="s">
        <v>281</v>
      </c>
      <c r="C186" s="36">
        <v>4301071050</v>
      </c>
      <c r="D186" s="356">
        <v>4607111036216</v>
      </c>
      <c r="E186" s="356"/>
      <c r="F186" s="62">
        <v>5</v>
      </c>
      <c r="G186" s="37">
        <v>1</v>
      </c>
      <c r="H186" s="62">
        <v>5</v>
      </c>
      <c r="I186" s="62">
        <v>5.2131999999999996</v>
      </c>
      <c r="J186" s="37">
        <v>144</v>
      </c>
      <c r="K186" s="37" t="s">
        <v>86</v>
      </c>
      <c r="L186" s="37" t="s">
        <v>118</v>
      </c>
      <c r="M186" s="38" t="s">
        <v>85</v>
      </c>
      <c r="N186" s="38"/>
      <c r="O186" s="37">
        <v>180</v>
      </c>
      <c r="P186" s="42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6" s="358"/>
      <c r="R186" s="358"/>
      <c r="S186" s="358"/>
      <c r="T186" s="359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282</v>
      </c>
      <c r="AG186" s="81"/>
      <c r="AJ186" s="87" t="s">
        <v>119</v>
      </c>
      <c r="AK186" s="87">
        <v>12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70"/>
      <c r="B187" s="370"/>
      <c r="C187" s="370"/>
      <c r="D187" s="370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1"/>
      <c r="P187" s="367" t="s">
        <v>40</v>
      </c>
      <c r="Q187" s="368"/>
      <c r="R187" s="368"/>
      <c r="S187" s="368"/>
      <c r="T187" s="368"/>
      <c r="U187" s="368"/>
      <c r="V187" s="369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370"/>
      <c r="B188" s="370"/>
      <c r="C188" s="370"/>
      <c r="D188" s="370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1"/>
      <c r="P188" s="367" t="s">
        <v>40</v>
      </c>
      <c r="Q188" s="368"/>
      <c r="R188" s="368"/>
      <c r="S188" s="368"/>
      <c r="T188" s="368"/>
      <c r="U188" s="368"/>
      <c r="V188" s="369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16.5" customHeight="1" x14ac:dyDescent="0.25">
      <c r="A189" s="354" t="s">
        <v>283</v>
      </c>
      <c r="B189" s="354"/>
      <c r="C189" s="354"/>
      <c r="D189" s="354"/>
      <c r="E189" s="354"/>
      <c r="F189" s="354"/>
      <c r="G189" s="354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  <c r="AA189" s="65"/>
      <c r="AB189" s="65"/>
      <c r="AC189" s="82"/>
    </row>
    <row r="190" spans="1:68" ht="14.25" customHeight="1" x14ac:dyDescent="0.25">
      <c r="A190" s="355" t="s">
        <v>81</v>
      </c>
      <c r="B190" s="355"/>
      <c r="C190" s="355"/>
      <c r="D190" s="355"/>
      <c r="E190" s="355"/>
      <c r="F190" s="355"/>
      <c r="G190" s="355"/>
      <c r="H190" s="355"/>
      <c r="I190" s="355"/>
      <c r="J190" s="355"/>
      <c r="K190" s="355"/>
      <c r="L190" s="355"/>
      <c r="M190" s="355"/>
      <c r="N190" s="355"/>
      <c r="O190" s="355"/>
      <c r="P190" s="355"/>
      <c r="Q190" s="355"/>
      <c r="R190" s="355"/>
      <c r="S190" s="355"/>
      <c r="T190" s="355"/>
      <c r="U190" s="355"/>
      <c r="V190" s="355"/>
      <c r="W190" s="355"/>
      <c r="X190" s="355"/>
      <c r="Y190" s="355"/>
      <c r="Z190" s="355"/>
      <c r="AA190" s="66"/>
      <c r="AB190" s="66"/>
      <c r="AC190" s="83"/>
    </row>
    <row r="191" spans="1:68" ht="27" customHeight="1" x14ac:dyDescent="0.25">
      <c r="A191" s="63" t="s">
        <v>284</v>
      </c>
      <c r="B191" s="63" t="s">
        <v>285</v>
      </c>
      <c r="C191" s="36">
        <v>4301071117</v>
      </c>
      <c r="D191" s="356">
        <v>4620207491737</v>
      </c>
      <c r="E191" s="356"/>
      <c r="F191" s="62">
        <v>1</v>
      </c>
      <c r="G191" s="37">
        <v>5</v>
      </c>
      <c r="H191" s="62">
        <v>5</v>
      </c>
      <c r="I191" s="62">
        <v>5.2619999999999996</v>
      </c>
      <c r="J191" s="37">
        <v>84</v>
      </c>
      <c r="K191" s="37" t="s">
        <v>86</v>
      </c>
      <c r="L191" s="37" t="s">
        <v>87</v>
      </c>
      <c r="M191" s="38" t="s">
        <v>85</v>
      </c>
      <c r="N191" s="38"/>
      <c r="O191" s="37">
        <v>180</v>
      </c>
      <c r="P191" s="42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IFERROR(IF(X191="","",X191*0.0155),"")</f>
        <v>0</v>
      </c>
      <c r="AA191" s="68" t="s">
        <v>46</v>
      </c>
      <c r="AB191" s="69" t="s">
        <v>46</v>
      </c>
      <c r="AC191" s="219" t="s">
        <v>282</v>
      </c>
      <c r="AG191" s="81"/>
      <c r="AJ191" s="87" t="s">
        <v>88</v>
      </c>
      <c r="AK191" s="87">
        <v>1</v>
      </c>
      <c r="BB191" s="220" t="s">
        <v>70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70"/>
      <c r="B192" s="370"/>
      <c r="C192" s="370"/>
      <c r="D192" s="370"/>
      <c r="E192" s="370"/>
      <c r="F192" s="370"/>
      <c r="G192" s="370"/>
      <c r="H192" s="370"/>
      <c r="I192" s="370"/>
      <c r="J192" s="370"/>
      <c r="K192" s="370"/>
      <c r="L192" s="370"/>
      <c r="M192" s="370"/>
      <c r="N192" s="370"/>
      <c r="O192" s="371"/>
      <c r="P192" s="367" t="s">
        <v>40</v>
      </c>
      <c r="Q192" s="368"/>
      <c r="R192" s="368"/>
      <c r="S192" s="368"/>
      <c r="T192" s="368"/>
      <c r="U192" s="368"/>
      <c r="V192" s="369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70"/>
      <c r="B193" s="370"/>
      <c r="C193" s="370"/>
      <c r="D193" s="370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1"/>
      <c r="P193" s="367" t="s">
        <v>40</v>
      </c>
      <c r="Q193" s="368"/>
      <c r="R193" s="368"/>
      <c r="S193" s="368"/>
      <c r="T193" s="368"/>
      <c r="U193" s="368"/>
      <c r="V193" s="369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27.75" customHeight="1" x14ac:dyDescent="0.2">
      <c r="A194" s="353" t="s">
        <v>286</v>
      </c>
      <c r="B194" s="353"/>
      <c r="C194" s="353"/>
      <c r="D194" s="353"/>
      <c r="E194" s="353"/>
      <c r="F194" s="353"/>
      <c r="G194" s="353"/>
      <c r="H194" s="353"/>
      <c r="I194" s="353"/>
      <c r="J194" s="353"/>
      <c r="K194" s="353"/>
      <c r="L194" s="353"/>
      <c r="M194" s="353"/>
      <c r="N194" s="353"/>
      <c r="O194" s="353"/>
      <c r="P194" s="353"/>
      <c r="Q194" s="353"/>
      <c r="R194" s="353"/>
      <c r="S194" s="353"/>
      <c r="T194" s="353"/>
      <c r="U194" s="353"/>
      <c r="V194" s="353"/>
      <c r="W194" s="353"/>
      <c r="X194" s="353"/>
      <c r="Y194" s="353"/>
      <c r="Z194" s="353"/>
      <c r="AA194" s="54"/>
      <c r="AB194" s="54"/>
      <c r="AC194" s="54"/>
    </row>
    <row r="195" spans="1:68" ht="16.5" customHeight="1" x14ac:dyDescent="0.25">
      <c r="A195" s="354" t="s">
        <v>287</v>
      </c>
      <c r="B195" s="354"/>
      <c r="C195" s="354"/>
      <c r="D195" s="354"/>
      <c r="E195" s="354"/>
      <c r="F195" s="354"/>
      <c r="G195" s="354"/>
      <c r="H195" s="354"/>
      <c r="I195" s="354"/>
      <c r="J195" s="354"/>
      <c r="K195" s="354"/>
      <c r="L195" s="354"/>
      <c r="M195" s="354"/>
      <c r="N195" s="354"/>
      <c r="O195" s="354"/>
      <c r="P195" s="354"/>
      <c r="Q195" s="354"/>
      <c r="R195" s="354"/>
      <c r="S195" s="354"/>
      <c r="T195" s="354"/>
      <c r="U195" s="354"/>
      <c r="V195" s="354"/>
      <c r="W195" s="354"/>
      <c r="X195" s="354"/>
      <c r="Y195" s="354"/>
      <c r="Z195" s="354"/>
      <c r="AA195" s="65"/>
      <c r="AB195" s="65"/>
      <c r="AC195" s="82"/>
    </row>
    <row r="196" spans="1:68" ht="14.25" customHeight="1" x14ac:dyDescent="0.25">
      <c r="A196" s="355" t="s">
        <v>112</v>
      </c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5"/>
      <c r="P196" s="355"/>
      <c r="Q196" s="355"/>
      <c r="R196" s="355"/>
      <c r="S196" s="355"/>
      <c r="T196" s="355"/>
      <c r="U196" s="355"/>
      <c r="V196" s="355"/>
      <c r="W196" s="355"/>
      <c r="X196" s="355"/>
      <c r="Y196" s="355"/>
      <c r="Z196" s="355"/>
      <c r="AA196" s="66"/>
      <c r="AB196" s="66"/>
      <c r="AC196" s="83"/>
    </row>
    <row r="197" spans="1:68" ht="16.5" customHeight="1" x14ac:dyDescent="0.25">
      <c r="A197" s="63" t="s">
        <v>288</v>
      </c>
      <c r="B197" s="63" t="s">
        <v>289</v>
      </c>
      <c r="C197" s="36">
        <v>4301132179</v>
      </c>
      <c r="D197" s="356">
        <v>4607111035691</v>
      </c>
      <c r="E197" s="356"/>
      <c r="F197" s="62">
        <v>0.25</v>
      </c>
      <c r="G197" s="37">
        <v>12</v>
      </c>
      <c r="H197" s="62">
        <v>3</v>
      </c>
      <c r="I197" s="62">
        <v>3.3879999999999999</v>
      </c>
      <c r="J197" s="37">
        <v>70</v>
      </c>
      <c r="K197" s="37" t="s">
        <v>117</v>
      </c>
      <c r="L197" s="37" t="s">
        <v>118</v>
      </c>
      <c r="M197" s="38" t="s">
        <v>85</v>
      </c>
      <c r="N197" s="38"/>
      <c r="O197" s="37">
        <v>365</v>
      </c>
      <c r="P197" s="4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8"/>
      <c r="R197" s="358"/>
      <c r="S197" s="358"/>
      <c r="T197" s="359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290</v>
      </c>
      <c r="AG197" s="81"/>
      <c r="AJ197" s="87" t="s">
        <v>119</v>
      </c>
      <c r="AK197" s="87">
        <v>14</v>
      </c>
      <c r="BB197" s="222" t="s">
        <v>116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291</v>
      </c>
      <c r="B198" s="63" t="s">
        <v>292</v>
      </c>
      <c r="C198" s="36">
        <v>4301132182</v>
      </c>
      <c r="D198" s="356">
        <v>4607111035721</v>
      </c>
      <c r="E198" s="356"/>
      <c r="F198" s="62">
        <v>0.25</v>
      </c>
      <c r="G198" s="37">
        <v>12</v>
      </c>
      <c r="H198" s="62">
        <v>3</v>
      </c>
      <c r="I198" s="62">
        <v>3.3879999999999999</v>
      </c>
      <c r="J198" s="37">
        <v>70</v>
      </c>
      <c r="K198" s="37" t="s">
        <v>117</v>
      </c>
      <c r="L198" s="37" t="s">
        <v>118</v>
      </c>
      <c r="M198" s="38" t="s">
        <v>85</v>
      </c>
      <c r="N198" s="38"/>
      <c r="O198" s="37">
        <v>365</v>
      </c>
      <c r="P198" s="4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8" s="358"/>
      <c r="R198" s="358"/>
      <c r="S198" s="358"/>
      <c r="T198" s="35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293</v>
      </c>
      <c r="AG198" s="81"/>
      <c r="AJ198" s="87" t="s">
        <v>119</v>
      </c>
      <c r="AK198" s="87">
        <v>14</v>
      </c>
      <c r="BB198" s="224" t="s">
        <v>116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294</v>
      </c>
      <c r="B199" s="63" t="s">
        <v>295</v>
      </c>
      <c r="C199" s="36">
        <v>4301132170</v>
      </c>
      <c r="D199" s="356">
        <v>4607111038487</v>
      </c>
      <c r="E199" s="356"/>
      <c r="F199" s="62">
        <v>0.25</v>
      </c>
      <c r="G199" s="37">
        <v>12</v>
      </c>
      <c r="H199" s="62">
        <v>3</v>
      </c>
      <c r="I199" s="62">
        <v>3.7360000000000002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180</v>
      </c>
      <c r="P199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9" s="358"/>
      <c r="R199" s="358"/>
      <c r="S199" s="358"/>
      <c r="T199" s="35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296</v>
      </c>
      <c r="AG199" s="81"/>
      <c r="AJ199" s="87" t="s">
        <v>119</v>
      </c>
      <c r="AK199" s="87">
        <v>14</v>
      </c>
      <c r="BB199" s="226" t="s">
        <v>116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297</v>
      </c>
      <c r="B200" s="63" t="s">
        <v>298</v>
      </c>
      <c r="C200" s="36">
        <v>4301132243</v>
      </c>
      <c r="D200" s="356">
        <v>4620207491195</v>
      </c>
      <c r="E200" s="356"/>
      <c r="F200" s="62">
        <v>0.23</v>
      </c>
      <c r="G200" s="37">
        <v>12</v>
      </c>
      <c r="H200" s="62">
        <v>2.76</v>
      </c>
      <c r="I200" s="62">
        <v>3.1480000000000001</v>
      </c>
      <c r="J200" s="37">
        <v>70</v>
      </c>
      <c r="K200" s="37" t="s">
        <v>117</v>
      </c>
      <c r="L200" s="37" t="s">
        <v>87</v>
      </c>
      <c r="M200" s="38" t="s">
        <v>85</v>
      </c>
      <c r="N200" s="38"/>
      <c r="O200" s="37">
        <v>180</v>
      </c>
      <c r="P200" s="4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0" s="358"/>
      <c r="R200" s="358"/>
      <c r="S200" s="358"/>
      <c r="T200" s="359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299</v>
      </c>
      <c r="AG200" s="81"/>
      <c r="AJ200" s="87" t="s">
        <v>88</v>
      </c>
      <c r="AK200" s="87">
        <v>1</v>
      </c>
      <c r="BB200" s="228" t="s">
        <v>116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70"/>
      <c r="B201" s="370"/>
      <c r="C201" s="370"/>
      <c r="D201" s="370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1"/>
      <c r="P201" s="367" t="s">
        <v>40</v>
      </c>
      <c r="Q201" s="368"/>
      <c r="R201" s="368"/>
      <c r="S201" s="368"/>
      <c r="T201" s="368"/>
      <c r="U201" s="368"/>
      <c r="V201" s="369"/>
      <c r="W201" s="42" t="s">
        <v>39</v>
      </c>
      <c r="X201" s="43">
        <f>IFERROR(SUM(X197:X200),"0")</f>
        <v>0</v>
      </c>
      <c r="Y201" s="43">
        <f>IFERROR(SUM(Y197:Y200),"0")</f>
        <v>0</v>
      </c>
      <c r="Z201" s="43">
        <f>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70"/>
      <c r="B202" s="370"/>
      <c r="C202" s="370"/>
      <c r="D202" s="370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1"/>
      <c r="P202" s="367" t="s">
        <v>40</v>
      </c>
      <c r="Q202" s="368"/>
      <c r="R202" s="368"/>
      <c r="S202" s="368"/>
      <c r="T202" s="368"/>
      <c r="U202" s="368"/>
      <c r="V202" s="369"/>
      <c r="W202" s="42" t="s">
        <v>0</v>
      </c>
      <c r="X202" s="43">
        <f>IFERROR(SUMPRODUCT(X197:X200*H197:H200),"0")</f>
        <v>0</v>
      </c>
      <c r="Y202" s="43">
        <f>IFERROR(SUMPRODUCT(Y197:Y200*H197:H200),"0")</f>
        <v>0</v>
      </c>
      <c r="Z202" s="42"/>
      <c r="AA202" s="67"/>
      <c r="AB202" s="67"/>
      <c r="AC202" s="67"/>
    </row>
    <row r="203" spans="1:68" ht="27.75" customHeight="1" x14ac:dyDescent="0.2">
      <c r="A203" s="353" t="s">
        <v>300</v>
      </c>
      <c r="B203" s="353"/>
      <c r="C203" s="353"/>
      <c r="D203" s="353"/>
      <c r="E203" s="353"/>
      <c r="F203" s="353"/>
      <c r="G203" s="353"/>
      <c r="H203" s="353"/>
      <c r="I203" s="353"/>
      <c r="J203" s="353"/>
      <c r="K203" s="353"/>
      <c r="L203" s="353"/>
      <c r="M203" s="353"/>
      <c r="N203" s="353"/>
      <c r="O203" s="353"/>
      <c r="P203" s="353"/>
      <c r="Q203" s="353"/>
      <c r="R203" s="353"/>
      <c r="S203" s="353"/>
      <c r="T203" s="353"/>
      <c r="U203" s="353"/>
      <c r="V203" s="353"/>
      <c r="W203" s="353"/>
      <c r="X203" s="353"/>
      <c r="Y203" s="353"/>
      <c r="Z203" s="353"/>
      <c r="AA203" s="54"/>
      <c r="AB203" s="54"/>
      <c r="AC203" s="54"/>
    </row>
    <row r="204" spans="1:68" ht="16.5" customHeight="1" x14ac:dyDescent="0.25">
      <c r="A204" s="354" t="s">
        <v>301</v>
      </c>
      <c r="B204" s="354"/>
      <c r="C204" s="354"/>
      <c r="D204" s="354"/>
      <c r="E204" s="354"/>
      <c r="F204" s="354"/>
      <c r="G204" s="354"/>
      <c r="H204" s="354"/>
      <c r="I204" s="354"/>
      <c r="J204" s="354"/>
      <c r="K204" s="354"/>
      <c r="L204" s="354"/>
      <c r="M204" s="354"/>
      <c r="N204" s="354"/>
      <c r="O204" s="354"/>
      <c r="P204" s="354"/>
      <c r="Q204" s="354"/>
      <c r="R204" s="354"/>
      <c r="S204" s="354"/>
      <c r="T204" s="354"/>
      <c r="U204" s="354"/>
      <c r="V204" s="354"/>
      <c r="W204" s="354"/>
      <c r="X204" s="354"/>
      <c r="Y204" s="354"/>
      <c r="Z204" s="354"/>
      <c r="AA204" s="65"/>
      <c r="AB204" s="65"/>
      <c r="AC204" s="82"/>
    </row>
    <row r="205" spans="1:68" ht="14.25" customHeight="1" x14ac:dyDescent="0.25">
      <c r="A205" s="355" t="s">
        <v>112</v>
      </c>
      <c r="B205" s="355"/>
      <c r="C205" s="355"/>
      <c r="D205" s="355"/>
      <c r="E205" s="355"/>
      <c r="F205" s="355"/>
      <c r="G205" s="355"/>
      <c r="H205" s="355"/>
      <c r="I205" s="355"/>
      <c r="J205" s="355"/>
      <c r="K205" s="355"/>
      <c r="L205" s="355"/>
      <c r="M205" s="355"/>
      <c r="N205" s="355"/>
      <c r="O205" s="355"/>
      <c r="P205" s="355"/>
      <c r="Q205" s="355"/>
      <c r="R205" s="355"/>
      <c r="S205" s="355"/>
      <c r="T205" s="355"/>
      <c r="U205" s="355"/>
      <c r="V205" s="355"/>
      <c r="W205" s="355"/>
      <c r="X205" s="355"/>
      <c r="Y205" s="355"/>
      <c r="Z205" s="355"/>
      <c r="AA205" s="66"/>
      <c r="AB205" s="66"/>
      <c r="AC205" s="83"/>
    </row>
    <row r="206" spans="1:68" ht="27" customHeight="1" x14ac:dyDescent="0.25">
      <c r="A206" s="63" t="s">
        <v>302</v>
      </c>
      <c r="B206" s="63" t="s">
        <v>303</v>
      </c>
      <c r="C206" s="36">
        <v>4301132227</v>
      </c>
      <c r="D206" s="356">
        <v>4620207491133</v>
      </c>
      <c r="E206" s="356"/>
      <c r="F206" s="62">
        <v>0.23</v>
      </c>
      <c r="G206" s="37">
        <v>12</v>
      </c>
      <c r="H206" s="62">
        <v>2.76</v>
      </c>
      <c r="I206" s="62">
        <v>2.98</v>
      </c>
      <c r="J206" s="37">
        <v>70</v>
      </c>
      <c r="K206" s="37" t="s">
        <v>117</v>
      </c>
      <c r="L206" s="37" t="s">
        <v>118</v>
      </c>
      <c r="M206" s="38" t="s">
        <v>85</v>
      </c>
      <c r="N206" s="38"/>
      <c r="O206" s="37">
        <v>180</v>
      </c>
      <c r="P206" s="4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6" s="358"/>
      <c r="R206" s="358"/>
      <c r="S206" s="358"/>
      <c r="T206" s="359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29" t="s">
        <v>304</v>
      </c>
      <c r="AG206" s="81"/>
      <c r="AJ206" s="87" t="s">
        <v>119</v>
      </c>
      <c r="AK206" s="87">
        <v>14</v>
      </c>
      <c r="BB206" s="230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70"/>
      <c r="B207" s="370"/>
      <c r="C207" s="370"/>
      <c r="D207" s="370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1"/>
      <c r="P207" s="367" t="s">
        <v>40</v>
      </c>
      <c r="Q207" s="368"/>
      <c r="R207" s="368"/>
      <c r="S207" s="368"/>
      <c r="T207" s="368"/>
      <c r="U207" s="368"/>
      <c r="V207" s="369"/>
      <c r="W207" s="42" t="s">
        <v>39</v>
      </c>
      <c r="X207" s="43">
        <f>IFERROR(SUM(X206:X206),"0")</f>
        <v>0</v>
      </c>
      <c r="Y207" s="43">
        <f>IFERROR(SUM(Y206:Y206),"0")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">
      <c r="A208" s="370"/>
      <c r="B208" s="370"/>
      <c r="C208" s="370"/>
      <c r="D208" s="370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1"/>
      <c r="P208" s="367" t="s">
        <v>40</v>
      </c>
      <c r="Q208" s="368"/>
      <c r="R208" s="368"/>
      <c r="S208" s="368"/>
      <c r="T208" s="368"/>
      <c r="U208" s="368"/>
      <c r="V208" s="369"/>
      <c r="W208" s="42" t="s">
        <v>0</v>
      </c>
      <c r="X208" s="43">
        <f>IFERROR(SUMPRODUCT(X206:X206*H206:H206),"0")</f>
        <v>0</v>
      </c>
      <c r="Y208" s="43">
        <f>IFERROR(SUMPRODUCT(Y206:Y206*H206:H206),"0")</f>
        <v>0</v>
      </c>
      <c r="Z208" s="42"/>
      <c r="AA208" s="67"/>
      <c r="AB208" s="67"/>
      <c r="AC208" s="67"/>
    </row>
    <row r="209" spans="1:68" ht="14.25" customHeight="1" x14ac:dyDescent="0.25">
      <c r="A209" s="355" t="s">
        <v>148</v>
      </c>
      <c r="B209" s="355"/>
      <c r="C209" s="355"/>
      <c r="D209" s="355"/>
      <c r="E209" s="355"/>
      <c r="F209" s="355"/>
      <c r="G209" s="355"/>
      <c r="H209" s="355"/>
      <c r="I209" s="355"/>
      <c r="J209" s="355"/>
      <c r="K209" s="355"/>
      <c r="L209" s="355"/>
      <c r="M209" s="355"/>
      <c r="N209" s="355"/>
      <c r="O209" s="355"/>
      <c r="P209" s="355"/>
      <c r="Q209" s="355"/>
      <c r="R209" s="355"/>
      <c r="S209" s="355"/>
      <c r="T209" s="355"/>
      <c r="U209" s="355"/>
      <c r="V209" s="355"/>
      <c r="W209" s="355"/>
      <c r="X209" s="355"/>
      <c r="Y209" s="355"/>
      <c r="Z209" s="355"/>
      <c r="AA209" s="66"/>
      <c r="AB209" s="66"/>
      <c r="AC209" s="83"/>
    </row>
    <row r="210" spans="1:68" ht="27" customHeight="1" x14ac:dyDescent="0.25">
      <c r="A210" s="63" t="s">
        <v>305</v>
      </c>
      <c r="B210" s="63" t="s">
        <v>306</v>
      </c>
      <c r="C210" s="36">
        <v>4301135834</v>
      </c>
      <c r="D210" s="356">
        <v>4620207491188</v>
      </c>
      <c r="E210" s="35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117</v>
      </c>
      <c r="L210" s="37" t="s">
        <v>87</v>
      </c>
      <c r="M210" s="38" t="s">
        <v>85</v>
      </c>
      <c r="N210" s="38"/>
      <c r="O210" s="37">
        <v>180</v>
      </c>
      <c r="P210" s="43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1" t="s">
        <v>307</v>
      </c>
      <c r="AG210" s="81"/>
      <c r="AJ210" s="87" t="s">
        <v>88</v>
      </c>
      <c r="AK210" s="87">
        <v>1</v>
      </c>
      <c r="BB210" s="232" t="s">
        <v>116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308</v>
      </c>
      <c r="B211" s="63" t="s">
        <v>309</v>
      </c>
      <c r="C211" s="36">
        <v>4301135696</v>
      </c>
      <c r="D211" s="356">
        <v>4620207490235</v>
      </c>
      <c r="E211" s="356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117</v>
      </c>
      <c r="L211" s="37" t="s">
        <v>118</v>
      </c>
      <c r="M211" s="38" t="s">
        <v>85</v>
      </c>
      <c r="N211" s="38"/>
      <c r="O211" s="37">
        <v>180</v>
      </c>
      <c r="P211" s="43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1" s="358"/>
      <c r="R211" s="358"/>
      <c r="S211" s="358"/>
      <c r="T211" s="35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3" t="s">
        <v>310</v>
      </c>
      <c r="AG211" s="81"/>
      <c r="AJ211" s="87" t="s">
        <v>119</v>
      </c>
      <c r="AK211" s="87">
        <v>14</v>
      </c>
      <c r="BB211" s="234" t="s">
        <v>116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311</v>
      </c>
      <c r="B212" s="63" t="s">
        <v>312</v>
      </c>
      <c r="C212" s="36">
        <v>4301135697</v>
      </c>
      <c r="D212" s="356">
        <v>4620207490259</v>
      </c>
      <c r="E212" s="356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117</v>
      </c>
      <c r="L212" s="37" t="s">
        <v>118</v>
      </c>
      <c r="M212" s="38" t="s">
        <v>85</v>
      </c>
      <c r="N212" s="38"/>
      <c r="O212" s="37">
        <v>180</v>
      </c>
      <c r="P212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2" s="358"/>
      <c r="R212" s="358"/>
      <c r="S212" s="358"/>
      <c r="T212" s="359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5" t="s">
        <v>313</v>
      </c>
      <c r="AG212" s="81"/>
      <c r="AJ212" s="87" t="s">
        <v>119</v>
      </c>
      <c r="AK212" s="87">
        <v>14</v>
      </c>
      <c r="BB212" s="236" t="s">
        <v>116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70"/>
      <c r="B213" s="370"/>
      <c r="C213" s="370"/>
      <c r="D213" s="370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1"/>
      <c r="P213" s="367" t="s">
        <v>40</v>
      </c>
      <c r="Q213" s="368"/>
      <c r="R213" s="368"/>
      <c r="S213" s="368"/>
      <c r="T213" s="368"/>
      <c r="U213" s="368"/>
      <c r="V213" s="369"/>
      <c r="W213" s="42" t="s">
        <v>39</v>
      </c>
      <c r="X213" s="43">
        <f>IFERROR(SUM(X210:X212),"0")</f>
        <v>0</v>
      </c>
      <c r="Y213" s="43">
        <f>IFERROR(SUM(Y210:Y212),"0")</f>
        <v>0</v>
      </c>
      <c r="Z213" s="43">
        <f>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370"/>
      <c r="B214" s="370"/>
      <c r="C214" s="370"/>
      <c r="D214" s="370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1"/>
      <c r="P214" s="367" t="s">
        <v>40</v>
      </c>
      <c r="Q214" s="368"/>
      <c r="R214" s="368"/>
      <c r="S214" s="368"/>
      <c r="T214" s="368"/>
      <c r="U214" s="368"/>
      <c r="V214" s="369"/>
      <c r="W214" s="42" t="s">
        <v>0</v>
      </c>
      <c r="X214" s="43">
        <f>IFERROR(SUMPRODUCT(X210:X212*H210:H212),"0")</f>
        <v>0</v>
      </c>
      <c r="Y214" s="43">
        <f>IFERROR(SUMPRODUCT(Y210:Y212*H210:H212),"0")</f>
        <v>0</v>
      </c>
      <c r="Z214" s="42"/>
      <c r="AA214" s="67"/>
      <c r="AB214" s="67"/>
      <c r="AC214" s="67"/>
    </row>
    <row r="215" spans="1:68" ht="16.5" customHeight="1" x14ac:dyDescent="0.25">
      <c r="A215" s="354" t="s">
        <v>314</v>
      </c>
      <c r="B215" s="354"/>
      <c r="C215" s="354"/>
      <c r="D215" s="354"/>
      <c r="E215" s="354"/>
      <c r="F215" s="354"/>
      <c r="G215" s="354"/>
      <c r="H215" s="354"/>
      <c r="I215" s="354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  <c r="AA215" s="65"/>
      <c r="AB215" s="65"/>
      <c r="AC215" s="82"/>
    </row>
    <row r="216" spans="1:68" ht="14.25" customHeight="1" x14ac:dyDescent="0.25">
      <c r="A216" s="355" t="s">
        <v>148</v>
      </c>
      <c r="B216" s="355"/>
      <c r="C216" s="355"/>
      <c r="D216" s="355"/>
      <c r="E216" s="355"/>
      <c r="F216" s="355"/>
      <c r="G216" s="355"/>
      <c r="H216" s="355"/>
      <c r="I216" s="355"/>
      <c r="J216" s="355"/>
      <c r="K216" s="355"/>
      <c r="L216" s="355"/>
      <c r="M216" s="355"/>
      <c r="N216" s="355"/>
      <c r="O216" s="355"/>
      <c r="P216" s="355"/>
      <c r="Q216" s="355"/>
      <c r="R216" s="355"/>
      <c r="S216" s="355"/>
      <c r="T216" s="355"/>
      <c r="U216" s="355"/>
      <c r="V216" s="355"/>
      <c r="W216" s="355"/>
      <c r="X216" s="355"/>
      <c r="Y216" s="355"/>
      <c r="Z216" s="355"/>
      <c r="AA216" s="66"/>
      <c r="AB216" s="66"/>
      <c r="AC216" s="83"/>
    </row>
    <row r="217" spans="1:68" ht="27" customHeight="1" x14ac:dyDescent="0.25">
      <c r="A217" s="63" t="s">
        <v>315</v>
      </c>
      <c r="B217" s="63" t="s">
        <v>316</v>
      </c>
      <c r="C217" s="36">
        <v>4301135854</v>
      </c>
      <c r="D217" s="356">
        <v>4620207491706</v>
      </c>
      <c r="E217" s="356"/>
      <c r="F217" s="62">
        <v>0.2</v>
      </c>
      <c r="G217" s="37">
        <v>12</v>
      </c>
      <c r="H217" s="62">
        <v>2.4</v>
      </c>
      <c r="I217" s="62">
        <v>3.1036000000000001</v>
      </c>
      <c r="J217" s="37">
        <v>70</v>
      </c>
      <c r="K217" s="37" t="s">
        <v>117</v>
      </c>
      <c r="L217" s="37" t="s">
        <v>87</v>
      </c>
      <c r="M217" s="38" t="s">
        <v>85</v>
      </c>
      <c r="N217" s="38"/>
      <c r="O217" s="37">
        <v>180</v>
      </c>
      <c r="P217" s="43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7" s="358"/>
      <c r="R217" s="358"/>
      <c r="S217" s="358"/>
      <c r="T217" s="359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IFERROR(IF(X217="","",X217*0.01788),"")</f>
        <v>0</v>
      </c>
      <c r="AA217" s="68" t="s">
        <v>46</v>
      </c>
      <c r="AB217" s="69" t="s">
        <v>46</v>
      </c>
      <c r="AC217" s="237" t="s">
        <v>317</v>
      </c>
      <c r="AG217" s="81"/>
      <c r="AJ217" s="87" t="s">
        <v>88</v>
      </c>
      <c r="AK217" s="87">
        <v>1</v>
      </c>
      <c r="BB217" s="238" t="s">
        <v>116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t="27" customHeight="1" x14ac:dyDescent="0.25">
      <c r="A218" s="63" t="s">
        <v>318</v>
      </c>
      <c r="B218" s="63" t="s">
        <v>319</v>
      </c>
      <c r="C218" s="36">
        <v>4301135895</v>
      </c>
      <c r="D218" s="356">
        <v>4620207491522</v>
      </c>
      <c r="E218" s="356"/>
      <c r="F218" s="62">
        <v>0.28000000000000003</v>
      </c>
      <c r="G218" s="37">
        <v>12</v>
      </c>
      <c r="H218" s="62">
        <v>3.36</v>
      </c>
      <c r="I218" s="62">
        <v>4.0636000000000001</v>
      </c>
      <c r="J218" s="37">
        <v>70</v>
      </c>
      <c r="K218" s="37" t="s">
        <v>117</v>
      </c>
      <c r="L218" s="37" t="s">
        <v>87</v>
      </c>
      <c r="M218" s="38" t="s">
        <v>85</v>
      </c>
      <c r="N218" s="38"/>
      <c r="O218" s="37">
        <v>180</v>
      </c>
      <c r="P218" s="43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8" s="358"/>
      <c r="R218" s="358"/>
      <c r="S218" s="358"/>
      <c r="T218" s="359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320</v>
      </c>
      <c r="AG218" s="81"/>
      <c r="AJ218" s="87" t="s">
        <v>88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x14ac:dyDescent="0.2">
      <c r="A219" s="370"/>
      <c r="B219" s="370"/>
      <c r="C219" s="370"/>
      <c r="D219" s="370"/>
      <c r="E219" s="370"/>
      <c r="F219" s="370"/>
      <c r="G219" s="370"/>
      <c r="H219" s="370"/>
      <c r="I219" s="370"/>
      <c r="J219" s="370"/>
      <c r="K219" s="370"/>
      <c r="L219" s="370"/>
      <c r="M219" s="370"/>
      <c r="N219" s="370"/>
      <c r="O219" s="371"/>
      <c r="P219" s="367" t="s">
        <v>40</v>
      </c>
      <c r="Q219" s="368"/>
      <c r="R219" s="368"/>
      <c r="S219" s="368"/>
      <c r="T219" s="368"/>
      <c r="U219" s="368"/>
      <c r="V219" s="369"/>
      <c r="W219" s="42" t="s">
        <v>39</v>
      </c>
      <c r="X219" s="43">
        <f>IFERROR(SUM(X217:X218),"0")</f>
        <v>0</v>
      </c>
      <c r="Y219" s="43">
        <f>IFERROR(SUM(Y217:Y218),"0")</f>
        <v>0</v>
      </c>
      <c r="Z219" s="43">
        <f>IFERROR(IF(Z217="",0,Z217),"0")+IFERROR(IF(Z218="",0,Z218),"0")</f>
        <v>0</v>
      </c>
      <c r="AA219" s="67"/>
      <c r="AB219" s="67"/>
      <c r="AC219" s="67"/>
    </row>
    <row r="220" spans="1:68" x14ac:dyDescent="0.2">
      <c r="A220" s="370"/>
      <c r="B220" s="370"/>
      <c r="C220" s="370"/>
      <c r="D220" s="370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1"/>
      <c r="P220" s="367" t="s">
        <v>40</v>
      </c>
      <c r="Q220" s="368"/>
      <c r="R220" s="368"/>
      <c r="S220" s="368"/>
      <c r="T220" s="368"/>
      <c r="U220" s="368"/>
      <c r="V220" s="369"/>
      <c r="W220" s="42" t="s">
        <v>0</v>
      </c>
      <c r="X220" s="43">
        <f>IFERROR(SUMPRODUCT(X217:X218*H217:H218),"0")</f>
        <v>0</v>
      </c>
      <c r="Y220" s="43">
        <f>IFERROR(SUMPRODUCT(Y217:Y218*H217:H218),"0")</f>
        <v>0</v>
      </c>
      <c r="Z220" s="42"/>
      <c r="AA220" s="67"/>
      <c r="AB220" s="67"/>
      <c r="AC220" s="67"/>
    </row>
    <row r="221" spans="1:68" ht="16.5" customHeight="1" x14ac:dyDescent="0.25">
      <c r="A221" s="354" t="s">
        <v>321</v>
      </c>
      <c r="B221" s="354"/>
      <c r="C221" s="354"/>
      <c r="D221" s="354"/>
      <c r="E221" s="354"/>
      <c r="F221" s="354"/>
      <c r="G221" s="354"/>
      <c r="H221" s="354"/>
      <c r="I221" s="354"/>
      <c r="J221" s="354"/>
      <c r="K221" s="354"/>
      <c r="L221" s="354"/>
      <c r="M221" s="354"/>
      <c r="N221" s="354"/>
      <c r="O221" s="354"/>
      <c r="P221" s="354"/>
      <c r="Q221" s="354"/>
      <c r="R221" s="354"/>
      <c r="S221" s="354"/>
      <c r="T221" s="354"/>
      <c r="U221" s="354"/>
      <c r="V221" s="354"/>
      <c r="W221" s="354"/>
      <c r="X221" s="354"/>
      <c r="Y221" s="354"/>
      <c r="Z221" s="354"/>
      <c r="AA221" s="65"/>
      <c r="AB221" s="65"/>
      <c r="AC221" s="82"/>
    </row>
    <row r="222" spans="1:68" ht="14.25" customHeight="1" x14ac:dyDescent="0.25">
      <c r="A222" s="355" t="s">
        <v>81</v>
      </c>
      <c r="B222" s="355"/>
      <c r="C222" s="355"/>
      <c r="D222" s="355"/>
      <c r="E222" s="355"/>
      <c r="F222" s="355"/>
      <c r="G222" s="355"/>
      <c r="H222" s="355"/>
      <c r="I222" s="355"/>
      <c r="J222" s="355"/>
      <c r="K222" s="355"/>
      <c r="L222" s="355"/>
      <c r="M222" s="355"/>
      <c r="N222" s="355"/>
      <c r="O222" s="355"/>
      <c r="P222" s="355"/>
      <c r="Q222" s="355"/>
      <c r="R222" s="355"/>
      <c r="S222" s="355"/>
      <c r="T222" s="355"/>
      <c r="U222" s="355"/>
      <c r="V222" s="355"/>
      <c r="W222" s="355"/>
      <c r="X222" s="355"/>
      <c r="Y222" s="355"/>
      <c r="Z222" s="355"/>
      <c r="AA222" s="66"/>
      <c r="AB222" s="66"/>
      <c r="AC222" s="83"/>
    </row>
    <row r="223" spans="1:68" ht="27" customHeight="1" x14ac:dyDescent="0.25">
      <c r="A223" s="63" t="s">
        <v>322</v>
      </c>
      <c r="B223" s="63" t="s">
        <v>323</v>
      </c>
      <c r="C223" s="36">
        <v>4301071097</v>
      </c>
      <c r="D223" s="356">
        <v>4620207491096</v>
      </c>
      <c r="E223" s="356"/>
      <c r="F223" s="62">
        <v>1</v>
      </c>
      <c r="G223" s="37">
        <v>5</v>
      </c>
      <c r="H223" s="62">
        <v>5</v>
      </c>
      <c r="I223" s="62">
        <v>5.23</v>
      </c>
      <c r="J223" s="37">
        <v>84</v>
      </c>
      <c r="K223" s="37" t="s">
        <v>86</v>
      </c>
      <c r="L223" s="37" t="s">
        <v>118</v>
      </c>
      <c r="M223" s="38" t="s">
        <v>85</v>
      </c>
      <c r="N223" s="38"/>
      <c r="O223" s="37">
        <v>180</v>
      </c>
      <c r="P223" s="44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3" s="358"/>
      <c r="R223" s="358"/>
      <c r="S223" s="358"/>
      <c r="T223" s="359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41" t="s">
        <v>324</v>
      </c>
      <c r="AG223" s="81"/>
      <c r="AJ223" s="87" t="s">
        <v>119</v>
      </c>
      <c r="AK223" s="87">
        <v>12</v>
      </c>
      <c r="BB223" s="242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70"/>
      <c r="B224" s="370"/>
      <c r="C224" s="370"/>
      <c r="D224" s="370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1"/>
      <c r="P224" s="367" t="s">
        <v>40</v>
      </c>
      <c r="Q224" s="368"/>
      <c r="R224" s="368"/>
      <c r="S224" s="368"/>
      <c r="T224" s="368"/>
      <c r="U224" s="368"/>
      <c r="V224" s="369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70"/>
      <c r="B225" s="370"/>
      <c r="C225" s="370"/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1"/>
      <c r="P225" s="367" t="s">
        <v>40</v>
      </c>
      <c r="Q225" s="368"/>
      <c r="R225" s="368"/>
      <c r="S225" s="368"/>
      <c r="T225" s="368"/>
      <c r="U225" s="368"/>
      <c r="V225" s="369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53" t="s">
        <v>325</v>
      </c>
      <c r="B226" s="353"/>
      <c r="C226" s="353"/>
      <c r="D226" s="353"/>
      <c r="E226" s="353"/>
      <c r="F226" s="353"/>
      <c r="G226" s="353"/>
      <c r="H226" s="353"/>
      <c r="I226" s="353"/>
      <c r="J226" s="353"/>
      <c r="K226" s="353"/>
      <c r="L226" s="353"/>
      <c r="M226" s="353"/>
      <c r="N226" s="353"/>
      <c r="O226" s="353"/>
      <c r="P226" s="353"/>
      <c r="Q226" s="353"/>
      <c r="R226" s="353"/>
      <c r="S226" s="353"/>
      <c r="T226" s="353"/>
      <c r="U226" s="353"/>
      <c r="V226" s="353"/>
      <c r="W226" s="353"/>
      <c r="X226" s="353"/>
      <c r="Y226" s="353"/>
      <c r="Z226" s="353"/>
      <c r="AA226" s="54"/>
      <c r="AB226" s="54"/>
      <c r="AC226" s="54"/>
    </row>
    <row r="227" spans="1:68" ht="16.5" customHeight="1" x14ac:dyDescent="0.25">
      <c r="A227" s="354" t="s">
        <v>326</v>
      </c>
      <c r="B227" s="354"/>
      <c r="C227" s="354"/>
      <c r="D227" s="354"/>
      <c r="E227" s="354"/>
      <c r="F227" s="354"/>
      <c r="G227" s="354"/>
      <c r="H227" s="354"/>
      <c r="I227" s="354"/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  <c r="Z227" s="354"/>
      <c r="AA227" s="65"/>
      <c r="AB227" s="65"/>
      <c r="AC227" s="82"/>
    </row>
    <row r="228" spans="1:68" ht="14.25" customHeight="1" x14ac:dyDescent="0.25">
      <c r="A228" s="355" t="s">
        <v>81</v>
      </c>
      <c r="B228" s="355"/>
      <c r="C228" s="355"/>
      <c r="D228" s="355"/>
      <c r="E228" s="355"/>
      <c r="F228" s="355"/>
      <c r="G228" s="355"/>
      <c r="H228" s="355"/>
      <c r="I228" s="355"/>
      <c r="J228" s="355"/>
      <c r="K228" s="355"/>
      <c r="L228" s="355"/>
      <c r="M228" s="355"/>
      <c r="N228" s="355"/>
      <c r="O228" s="355"/>
      <c r="P228" s="355"/>
      <c r="Q228" s="355"/>
      <c r="R228" s="355"/>
      <c r="S228" s="355"/>
      <c r="T228" s="355"/>
      <c r="U228" s="355"/>
      <c r="V228" s="355"/>
      <c r="W228" s="355"/>
      <c r="X228" s="355"/>
      <c r="Y228" s="355"/>
      <c r="Z228" s="355"/>
      <c r="AA228" s="66"/>
      <c r="AB228" s="66"/>
      <c r="AC228" s="83"/>
    </row>
    <row r="229" spans="1:68" ht="27" customHeight="1" x14ac:dyDescent="0.25">
      <c r="A229" s="63" t="s">
        <v>327</v>
      </c>
      <c r="B229" s="63" t="s">
        <v>328</v>
      </c>
      <c r="C229" s="36">
        <v>4301071036</v>
      </c>
      <c r="D229" s="356">
        <v>4607111036162</v>
      </c>
      <c r="E229" s="356"/>
      <c r="F229" s="62">
        <v>0.8</v>
      </c>
      <c r="G229" s="37">
        <v>8</v>
      </c>
      <c r="H229" s="62">
        <v>6.4</v>
      </c>
      <c r="I229" s="62">
        <v>6.6811999999999996</v>
      </c>
      <c r="J229" s="37">
        <v>84</v>
      </c>
      <c r="K229" s="37" t="s">
        <v>86</v>
      </c>
      <c r="L229" s="37" t="s">
        <v>87</v>
      </c>
      <c r="M229" s="38" t="s">
        <v>85</v>
      </c>
      <c r="N229" s="38"/>
      <c r="O229" s="37">
        <v>90</v>
      </c>
      <c r="P229" s="4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9" s="358"/>
      <c r="R229" s="358"/>
      <c r="S229" s="358"/>
      <c r="T229" s="359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43" t="s">
        <v>329</v>
      </c>
      <c r="AG229" s="81"/>
      <c r="AJ229" s="87" t="s">
        <v>88</v>
      </c>
      <c r="AK229" s="87">
        <v>1</v>
      </c>
      <c r="BB229" s="244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70"/>
      <c r="B230" s="370"/>
      <c r="C230" s="370"/>
      <c r="D230" s="370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1"/>
      <c r="P230" s="367" t="s">
        <v>40</v>
      </c>
      <c r="Q230" s="368"/>
      <c r="R230" s="368"/>
      <c r="S230" s="368"/>
      <c r="T230" s="368"/>
      <c r="U230" s="368"/>
      <c r="V230" s="369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70"/>
      <c r="B231" s="370"/>
      <c r="C231" s="370"/>
      <c r="D231" s="370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1"/>
      <c r="P231" s="367" t="s">
        <v>40</v>
      </c>
      <c r="Q231" s="368"/>
      <c r="R231" s="368"/>
      <c r="S231" s="368"/>
      <c r="T231" s="368"/>
      <c r="U231" s="368"/>
      <c r="V231" s="369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53" t="s">
        <v>330</v>
      </c>
      <c r="B232" s="353"/>
      <c r="C232" s="353"/>
      <c r="D232" s="353"/>
      <c r="E232" s="353"/>
      <c r="F232" s="353"/>
      <c r="G232" s="353"/>
      <c r="H232" s="353"/>
      <c r="I232" s="353"/>
      <c r="J232" s="353"/>
      <c r="K232" s="353"/>
      <c r="L232" s="353"/>
      <c r="M232" s="353"/>
      <c r="N232" s="353"/>
      <c r="O232" s="353"/>
      <c r="P232" s="353"/>
      <c r="Q232" s="353"/>
      <c r="R232" s="353"/>
      <c r="S232" s="353"/>
      <c r="T232" s="353"/>
      <c r="U232" s="353"/>
      <c r="V232" s="353"/>
      <c r="W232" s="353"/>
      <c r="X232" s="353"/>
      <c r="Y232" s="353"/>
      <c r="Z232" s="353"/>
      <c r="AA232" s="54"/>
      <c r="AB232" s="54"/>
      <c r="AC232" s="54"/>
    </row>
    <row r="233" spans="1:68" ht="16.5" customHeight="1" x14ac:dyDescent="0.25">
      <c r="A233" s="354" t="s">
        <v>331</v>
      </c>
      <c r="B233" s="354"/>
      <c r="C233" s="354"/>
      <c r="D233" s="354"/>
      <c r="E233" s="354"/>
      <c r="F233" s="354"/>
      <c r="G233" s="354"/>
      <c r="H233" s="354"/>
      <c r="I233" s="354"/>
      <c r="J233" s="354"/>
      <c r="K233" s="354"/>
      <c r="L233" s="354"/>
      <c r="M233" s="354"/>
      <c r="N233" s="354"/>
      <c r="O233" s="354"/>
      <c r="P233" s="354"/>
      <c r="Q233" s="354"/>
      <c r="R233" s="354"/>
      <c r="S233" s="354"/>
      <c r="T233" s="354"/>
      <c r="U233" s="354"/>
      <c r="V233" s="354"/>
      <c r="W233" s="354"/>
      <c r="X233" s="354"/>
      <c r="Y233" s="354"/>
      <c r="Z233" s="354"/>
      <c r="AA233" s="65"/>
      <c r="AB233" s="65"/>
      <c r="AC233" s="82"/>
    </row>
    <row r="234" spans="1:68" ht="14.25" customHeight="1" x14ac:dyDescent="0.25">
      <c r="A234" s="355" t="s">
        <v>332</v>
      </c>
      <c r="B234" s="355"/>
      <c r="C234" s="355"/>
      <c r="D234" s="355"/>
      <c r="E234" s="355"/>
      <c r="F234" s="355"/>
      <c r="G234" s="355"/>
      <c r="H234" s="355"/>
      <c r="I234" s="355"/>
      <c r="J234" s="355"/>
      <c r="K234" s="355"/>
      <c r="L234" s="355"/>
      <c r="M234" s="355"/>
      <c r="N234" s="355"/>
      <c r="O234" s="355"/>
      <c r="P234" s="355"/>
      <c r="Q234" s="355"/>
      <c r="R234" s="355"/>
      <c r="S234" s="355"/>
      <c r="T234" s="355"/>
      <c r="U234" s="355"/>
      <c r="V234" s="355"/>
      <c r="W234" s="355"/>
      <c r="X234" s="355"/>
      <c r="Y234" s="355"/>
      <c r="Z234" s="355"/>
      <c r="AA234" s="66"/>
      <c r="AB234" s="66"/>
      <c r="AC234" s="83"/>
    </row>
    <row r="235" spans="1:68" ht="27" customHeight="1" x14ac:dyDescent="0.25">
      <c r="A235" s="63" t="s">
        <v>333</v>
      </c>
      <c r="B235" s="63" t="s">
        <v>334</v>
      </c>
      <c r="C235" s="36">
        <v>4301133004</v>
      </c>
      <c r="D235" s="356">
        <v>4607111039774</v>
      </c>
      <c r="E235" s="356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117</v>
      </c>
      <c r="L235" s="37" t="s">
        <v>87</v>
      </c>
      <c r="M235" s="38" t="s">
        <v>85</v>
      </c>
      <c r="N235" s="38"/>
      <c r="O235" s="37">
        <v>180</v>
      </c>
      <c r="P235" s="44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358"/>
      <c r="R235" s="358"/>
      <c r="S235" s="358"/>
      <c r="T235" s="359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45" t="s">
        <v>335</v>
      </c>
      <c r="AG235" s="81"/>
      <c r="AJ235" s="87" t="s">
        <v>88</v>
      </c>
      <c r="AK235" s="87">
        <v>1</v>
      </c>
      <c r="BB235" s="246" t="s">
        <v>116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70"/>
      <c r="B236" s="370"/>
      <c r="C236" s="370"/>
      <c r="D236" s="370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1"/>
      <c r="P236" s="367" t="s">
        <v>40</v>
      </c>
      <c r="Q236" s="368"/>
      <c r="R236" s="368"/>
      <c r="S236" s="368"/>
      <c r="T236" s="368"/>
      <c r="U236" s="368"/>
      <c r="V236" s="369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70"/>
      <c r="B237" s="370"/>
      <c r="C237" s="370"/>
      <c r="D237" s="370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1"/>
      <c r="P237" s="367" t="s">
        <v>40</v>
      </c>
      <c r="Q237" s="368"/>
      <c r="R237" s="368"/>
      <c r="S237" s="368"/>
      <c r="T237" s="368"/>
      <c r="U237" s="368"/>
      <c r="V237" s="369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55" t="s">
        <v>148</v>
      </c>
      <c r="B238" s="355"/>
      <c r="C238" s="355"/>
      <c r="D238" s="355"/>
      <c r="E238" s="355"/>
      <c r="F238" s="355"/>
      <c r="G238" s="355"/>
      <c r="H238" s="355"/>
      <c r="I238" s="355"/>
      <c r="J238" s="355"/>
      <c r="K238" s="355"/>
      <c r="L238" s="355"/>
      <c r="M238" s="355"/>
      <c r="N238" s="355"/>
      <c r="O238" s="355"/>
      <c r="P238" s="355"/>
      <c r="Q238" s="355"/>
      <c r="R238" s="355"/>
      <c r="S238" s="355"/>
      <c r="T238" s="355"/>
      <c r="U238" s="355"/>
      <c r="V238" s="355"/>
      <c r="W238" s="355"/>
      <c r="X238" s="355"/>
      <c r="Y238" s="355"/>
      <c r="Z238" s="355"/>
      <c r="AA238" s="66"/>
      <c r="AB238" s="66"/>
      <c r="AC238" s="83"/>
    </row>
    <row r="239" spans="1:68" ht="37.5" customHeight="1" x14ac:dyDescent="0.25">
      <c r="A239" s="63" t="s">
        <v>336</v>
      </c>
      <c r="B239" s="63" t="s">
        <v>337</v>
      </c>
      <c r="C239" s="36">
        <v>4301135400</v>
      </c>
      <c r="D239" s="356">
        <v>4607111039361</v>
      </c>
      <c r="E239" s="356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117</v>
      </c>
      <c r="L239" s="37" t="s">
        <v>87</v>
      </c>
      <c r="M239" s="38" t="s">
        <v>85</v>
      </c>
      <c r="N239" s="38"/>
      <c r="O239" s="37">
        <v>180</v>
      </c>
      <c r="P239" s="44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358"/>
      <c r="R239" s="358"/>
      <c r="S239" s="358"/>
      <c r="T239" s="359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47" t="s">
        <v>335</v>
      </c>
      <c r="AG239" s="81"/>
      <c r="AJ239" s="87" t="s">
        <v>88</v>
      </c>
      <c r="AK239" s="87">
        <v>1</v>
      </c>
      <c r="BB239" s="248" t="s">
        <v>116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370"/>
      <c r="B240" s="370"/>
      <c r="C240" s="370"/>
      <c r="D240" s="370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1"/>
      <c r="P240" s="367" t="s">
        <v>40</v>
      </c>
      <c r="Q240" s="368"/>
      <c r="R240" s="368"/>
      <c r="S240" s="368"/>
      <c r="T240" s="368"/>
      <c r="U240" s="368"/>
      <c r="V240" s="369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370"/>
      <c r="B241" s="370"/>
      <c r="C241" s="370"/>
      <c r="D241" s="370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1"/>
      <c r="P241" s="367" t="s">
        <v>40</v>
      </c>
      <c r="Q241" s="368"/>
      <c r="R241" s="368"/>
      <c r="S241" s="368"/>
      <c r="T241" s="368"/>
      <c r="U241" s="368"/>
      <c r="V241" s="369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53" t="s">
        <v>338</v>
      </c>
      <c r="B242" s="353"/>
      <c r="C242" s="353"/>
      <c r="D242" s="353"/>
      <c r="E242" s="353"/>
      <c r="F242" s="353"/>
      <c r="G242" s="353"/>
      <c r="H242" s="353"/>
      <c r="I242" s="353"/>
      <c r="J242" s="353"/>
      <c r="K242" s="353"/>
      <c r="L242" s="353"/>
      <c r="M242" s="353"/>
      <c r="N242" s="353"/>
      <c r="O242" s="353"/>
      <c r="P242" s="353"/>
      <c r="Q242" s="353"/>
      <c r="R242" s="353"/>
      <c r="S242" s="353"/>
      <c r="T242" s="353"/>
      <c r="U242" s="353"/>
      <c r="V242" s="353"/>
      <c r="W242" s="353"/>
      <c r="X242" s="353"/>
      <c r="Y242" s="353"/>
      <c r="Z242" s="353"/>
      <c r="AA242" s="54"/>
      <c r="AB242" s="54"/>
      <c r="AC242" s="54"/>
    </row>
    <row r="243" spans="1:68" ht="16.5" customHeight="1" x14ac:dyDescent="0.25">
      <c r="A243" s="354" t="s">
        <v>338</v>
      </c>
      <c r="B243" s="354"/>
      <c r="C243" s="354"/>
      <c r="D243" s="354"/>
      <c r="E243" s="354"/>
      <c r="F243" s="354"/>
      <c r="G243" s="354"/>
      <c r="H243" s="354"/>
      <c r="I243" s="354"/>
      <c r="J243" s="354"/>
      <c r="K243" s="354"/>
      <c r="L243" s="354"/>
      <c r="M243" s="354"/>
      <c r="N243" s="354"/>
      <c r="O243" s="354"/>
      <c r="P243" s="354"/>
      <c r="Q243" s="354"/>
      <c r="R243" s="354"/>
      <c r="S243" s="354"/>
      <c r="T243" s="354"/>
      <c r="U243" s="354"/>
      <c r="V243" s="354"/>
      <c r="W243" s="354"/>
      <c r="X243" s="354"/>
      <c r="Y243" s="354"/>
      <c r="Z243" s="354"/>
      <c r="AA243" s="65"/>
      <c r="AB243" s="65"/>
      <c r="AC243" s="82"/>
    </row>
    <row r="244" spans="1:68" ht="14.25" customHeight="1" x14ac:dyDescent="0.25">
      <c r="A244" s="355" t="s">
        <v>112</v>
      </c>
      <c r="B244" s="355"/>
      <c r="C244" s="355"/>
      <c r="D244" s="355"/>
      <c r="E244" s="355"/>
      <c r="F244" s="355"/>
      <c r="G244" s="355"/>
      <c r="H244" s="355"/>
      <c r="I244" s="355"/>
      <c r="J244" s="355"/>
      <c r="K244" s="355"/>
      <c r="L244" s="355"/>
      <c r="M244" s="355"/>
      <c r="N244" s="355"/>
      <c r="O244" s="355"/>
      <c r="P244" s="355"/>
      <c r="Q244" s="355"/>
      <c r="R244" s="355"/>
      <c r="S244" s="355"/>
      <c r="T244" s="355"/>
      <c r="U244" s="355"/>
      <c r="V244" s="355"/>
      <c r="W244" s="355"/>
      <c r="X244" s="355"/>
      <c r="Y244" s="355"/>
      <c r="Z244" s="355"/>
      <c r="AA244" s="66"/>
      <c r="AB244" s="66"/>
      <c r="AC244" s="83"/>
    </row>
    <row r="245" spans="1:68" ht="27" customHeight="1" x14ac:dyDescent="0.25">
      <c r="A245" s="63" t="s">
        <v>339</v>
      </c>
      <c r="B245" s="63" t="s">
        <v>340</v>
      </c>
      <c r="C245" s="36">
        <v>4301132228</v>
      </c>
      <c r="D245" s="356">
        <v>4640242181950</v>
      </c>
      <c r="E245" s="356"/>
      <c r="F245" s="62">
        <v>0.23</v>
      </c>
      <c r="G245" s="37">
        <v>12</v>
      </c>
      <c r="H245" s="62">
        <v>2.76</v>
      </c>
      <c r="I245" s="62">
        <v>3.22</v>
      </c>
      <c r="J245" s="37">
        <v>70</v>
      </c>
      <c r="K245" s="37" t="s">
        <v>117</v>
      </c>
      <c r="L245" s="37" t="s">
        <v>87</v>
      </c>
      <c r="M245" s="38" t="s">
        <v>85</v>
      </c>
      <c r="N245" s="38"/>
      <c r="O245" s="37">
        <v>365</v>
      </c>
      <c r="P245" s="44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5" s="358"/>
      <c r="R245" s="358"/>
      <c r="S245" s="358"/>
      <c r="T245" s="359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IFERROR(IF(X245="","",X245*0.01788),"")</f>
        <v>0</v>
      </c>
      <c r="AA245" s="68" t="s">
        <v>46</v>
      </c>
      <c r="AB245" s="69" t="s">
        <v>46</v>
      </c>
      <c r="AC245" s="249" t="s">
        <v>341</v>
      </c>
      <c r="AG245" s="81"/>
      <c r="AJ245" s="87" t="s">
        <v>88</v>
      </c>
      <c r="AK245" s="87">
        <v>1</v>
      </c>
      <c r="BB245" s="250" t="s">
        <v>116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">
      <c r="A246" s="370"/>
      <c r="B246" s="370"/>
      <c r="C246" s="370"/>
      <c r="D246" s="370"/>
      <c r="E246" s="370"/>
      <c r="F246" s="370"/>
      <c r="G246" s="370"/>
      <c r="H246" s="370"/>
      <c r="I246" s="370"/>
      <c r="J246" s="370"/>
      <c r="K246" s="370"/>
      <c r="L246" s="370"/>
      <c r="M246" s="370"/>
      <c r="N246" s="370"/>
      <c r="O246" s="371"/>
      <c r="P246" s="367" t="s">
        <v>40</v>
      </c>
      <c r="Q246" s="368"/>
      <c r="R246" s="368"/>
      <c r="S246" s="368"/>
      <c r="T246" s="368"/>
      <c r="U246" s="368"/>
      <c r="V246" s="369"/>
      <c r="W246" s="42" t="s">
        <v>39</v>
      </c>
      <c r="X246" s="43">
        <f>IFERROR(SUM(X245:X245),"0")</f>
        <v>0</v>
      </c>
      <c r="Y246" s="43">
        <f>IFERROR(SUM(Y245:Y245),"0")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370"/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1"/>
      <c r="P247" s="367" t="s">
        <v>40</v>
      </c>
      <c r="Q247" s="368"/>
      <c r="R247" s="368"/>
      <c r="S247" s="368"/>
      <c r="T247" s="368"/>
      <c r="U247" s="368"/>
      <c r="V247" s="369"/>
      <c r="W247" s="42" t="s">
        <v>0</v>
      </c>
      <c r="X247" s="43">
        <f>IFERROR(SUMPRODUCT(X245:X245*H245:H245),"0")</f>
        <v>0</v>
      </c>
      <c r="Y247" s="43">
        <f>IFERROR(SUMPRODUCT(Y245:Y245*H245:H245),"0")</f>
        <v>0</v>
      </c>
      <c r="Z247" s="42"/>
      <c r="AA247" s="67"/>
      <c r="AB247" s="67"/>
      <c r="AC247" s="67"/>
    </row>
    <row r="248" spans="1:68" ht="14.25" customHeight="1" x14ac:dyDescent="0.25">
      <c r="A248" s="355" t="s">
        <v>144</v>
      </c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5"/>
      <c r="P248" s="355"/>
      <c r="Q248" s="355"/>
      <c r="R248" s="355"/>
      <c r="S248" s="355"/>
      <c r="T248" s="355"/>
      <c r="U248" s="355"/>
      <c r="V248" s="355"/>
      <c r="W248" s="355"/>
      <c r="X248" s="355"/>
      <c r="Y248" s="355"/>
      <c r="Z248" s="355"/>
      <c r="AA248" s="66"/>
      <c r="AB248" s="66"/>
      <c r="AC248" s="83"/>
    </row>
    <row r="249" spans="1:68" ht="27" customHeight="1" x14ac:dyDescent="0.25">
      <c r="A249" s="63" t="s">
        <v>342</v>
      </c>
      <c r="B249" s="63" t="s">
        <v>343</v>
      </c>
      <c r="C249" s="36">
        <v>4301136098</v>
      </c>
      <c r="D249" s="356">
        <v>4640242181943</v>
      </c>
      <c r="E249" s="356"/>
      <c r="F249" s="62">
        <v>0.09</v>
      </c>
      <c r="G249" s="37">
        <v>24</v>
      </c>
      <c r="H249" s="62">
        <v>2.16</v>
      </c>
      <c r="I249" s="62">
        <v>2.34</v>
      </c>
      <c r="J249" s="37">
        <v>126</v>
      </c>
      <c r="K249" s="37" t="s">
        <v>117</v>
      </c>
      <c r="L249" s="37" t="s">
        <v>87</v>
      </c>
      <c r="M249" s="38" t="s">
        <v>85</v>
      </c>
      <c r="N249" s="38"/>
      <c r="O249" s="37">
        <v>180</v>
      </c>
      <c r="P249" s="44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9" s="358"/>
      <c r="R249" s="358"/>
      <c r="S249" s="358"/>
      <c r="T249" s="359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IFERROR(IF(X249="","",X249*0.00936),"")</f>
        <v>0</v>
      </c>
      <c r="AA249" s="68" t="s">
        <v>46</v>
      </c>
      <c r="AB249" s="69" t="s">
        <v>46</v>
      </c>
      <c r="AC249" s="251" t="s">
        <v>344</v>
      </c>
      <c r="AG249" s="81"/>
      <c r="AJ249" s="87" t="s">
        <v>88</v>
      </c>
      <c r="AK249" s="87">
        <v>1</v>
      </c>
      <c r="BB249" s="252" t="s">
        <v>116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70"/>
      <c r="B250" s="370"/>
      <c r="C250" s="370"/>
      <c r="D250" s="370"/>
      <c r="E250" s="370"/>
      <c r="F250" s="370"/>
      <c r="G250" s="370"/>
      <c r="H250" s="370"/>
      <c r="I250" s="370"/>
      <c r="J250" s="370"/>
      <c r="K250" s="370"/>
      <c r="L250" s="370"/>
      <c r="M250" s="370"/>
      <c r="N250" s="370"/>
      <c r="O250" s="371"/>
      <c r="P250" s="367" t="s">
        <v>40</v>
      </c>
      <c r="Q250" s="368"/>
      <c r="R250" s="368"/>
      <c r="S250" s="368"/>
      <c r="T250" s="368"/>
      <c r="U250" s="368"/>
      <c r="V250" s="369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370"/>
      <c r="B251" s="370"/>
      <c r="C251" s="370"/>
      <c r="D251" s="370"/>
      <c r="E251" s="370"/>
      <c r="F251" s="370"/>
      <c r="G251" s="370"/>
      <c r="H251" s="370"/>
      <c r="I251" s="370"/>
      <c r="J251" s="370"/>
      <c r="K251" s="370"/>
      <c r="L251" s="370"/>
      <c r="M251" s="370"/>
      <c r="N251" s="370"/>
      <c r="O251" s="371"/>
      <c r="P251" s="367" t="s">
        <v>40</v>
      </c>
      <c r="Q251" s="368"/>
      <c r="R251" s="368"/>
      <c r="S251" s="368"/>
      <c r="T251" s="368"/>
      <c r="U251" s="368"/>
      <c r="V251" s="369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27.75" customHeight="1" x14ac:dyDescent="0.2">
      <c r="A252" s="353" t="s">
        <v>269</v>
      </c>
      <c r="B252" s="353"/>
      <c r="C252" s="353"/>
      <c r="D252" s="353"/>
      <c r="E252" s="353"/>
      <c r="F252" s="353"/>
      <c r="G252" s="353"/>
      <c r="H252" s="353"/>
      <c r="I252" s="353"/>
      <c r="J252" s="353"/>
      <c r="K252" s="353"/>
      <c r="L252" s="353"/>
      <c r="M252" s="353"/>
      <c r="N252" s="353"/>
      <c r="O252" s="353"/>
      <c r="P252" s="353"/>
      <c r="Q252" s="353"/>
      <c r="R252" s="353"/>
      <c r="S252" s="353"/>
      <c r="T252" s="353"/>
      <c r="U252" s="353"/>
      <c r="V252" s="353"/>
      <c r="W252" s="353"/>
      <c r="X252" s="353"/>
      <c r="Y252" s="353"/>
      <c r="Z252" s="353"/>
      <c r="AA252" s="54"/>
      <c r="AB252" s="54"/>
      <c r="AC252" s="54"/>
    </row>
    <row r="253" spans="1:68" ht="16.5" customHeight="1" x14ac:dyDescent="0.25">
      <c r="A253" s="354" t="s">
        <v>269</v>
      </c>
      <c r="B253" s="354"/>
      <c r="C253" s="354"/>
      <c r="D253" s="354"/>
      <c r="E253" s="354"/>
      <c r="F253" s="354"/>
      <c r="G253" s="354"/>
      <c r="H253" s="354"/>
      <c r="I253" s="354"/>
      <c r="J253" s="354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  <c r="Z253" s="354"/>
      <c r="AA253" s="65"/>
      <c r="AB253" s="65"/>
      <c r="AC253" s="82"/>
    </row>
    <row r="254" spans="1:68" ht="14.25" customHeight="1" x14ac:dyDescent="0.25">
      <c r="A254" s="355" t="s">
        <v>81</v>
      </c>
      <c r="B254" s="355"/>
      <c r="C254" s="355"/>
      <c r="D254" s="355"/>
      <c r="E254" s="355"/>
      <c r="F254" s="355"/>
      <c r="G254" s="355"/>
      <c r="H254" s="355"/>
      <c r="I254" s="355"/>
      <c r="J254" s="355"/>
      <c r="K254" s="355"/>
      <c r="L254" s="355"/>
      <c r="M254" s="355"/>
      <c r="N254" s="355"/>
      <c r="O254" s="355"/>
      <c r="P254" s="355"/>
      <c r="Q254" s="355"/>
      <c r="R254" s="355"/>
      <c r="S254" s="355"/>
      <c r="T254" s="355"/>
      <c r="U254" s="355"/>
      <c r="V254" s="355"/>
      <c r="W254" s="355"/>
      <c r="X254" s="355"/>
      <c r="Y254" s="355"/>
      <c r="Z254" s="355"/>
      <c r="AA254" s="66"/>
      <c r="AB254" s="66"/>
      <c r="AC254" s="83"/>
    </row>
    <row r="255" spans="1:68" ht="27" customHeight="1" x14ac:dyDescent="0.25">
      <c r="A255" s="63" t="s">
        <v>345</v>
      </c>
      <c r="B255" s="63" t="s">
        <v>346</v>
      </c>
      <c r="C255" s="36">
        <v>4301071014</v>
      </c>
      <c r="D255" s="356">
        <v>4640242181264</v>
      </c>
      <c r="E255" s="356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86</v>
      </c>
      <c r="L255" s="37" t="s">
        <v>87</v>
      </c>
      <c r="M255" s="38" t="s">
        <v>85</v>
      </c>
      <c r="N255" s="38"/>
      <c r="O255" s="37">
        <v>180</v>
      </c>
      <c r="P255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5" s="358"/>
      <c r="R255" s="358"/>
      <c r="S255" s="358"/>
      <c r="T255" s="359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3" t="s">
        <v>347</v>
      </c>
      <c r="AG255" s="81"/>
      <c r="AJ255" s="87" t="s">
        <v>88</v>
      </c>
      <c r="AK255" s="87">
        <v>1</v>
      </c>
      <c r="BB255" s="254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customHeight="1" x14ac:dyDescent="0.25">
      <c r="A256" s="63" t="s">
        <v>348</v>
      </c>
      <c r="B256" s="63" t="s">
        <v>349</v>
      </c>
      <c r="C256" s="36">
        <v>4301071141</v>
      </c>
      <c r="D256" s="356">
        <v>4620207491980</v>
      </c>
      <c r="E256" s="356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86</v>
      </c>
      <c r="L256" s="37" t="s">
        <v>87</v>
      </c>
      <c r="M256" s="38" t="s">
        <v>85</v>
      </c>
      <c r="N256" s="38"/>
      <c r="O256" s="37">
        <v>180</v>
      </c>
      <c r="P256" s="4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58"/>
      <c r="R256" s="358"/>
      <c r="S256" s="358"/>
      <c r="T256" s="359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5" t="s">
        <v>350</v>
      </c>
      <c r="AG256" s="81"/>
      <c r="AJ256" s="87" t="s">
        <v>88</v>
      </c>
      <c r="AK256" s="87">
        <v>1</v>
      </c>
      <c r="BB256" s="256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x14ac:dyDescent="0.2">
      <c r="A257" s="370"/>
      <c r="B257" s="370"/>
      <c r="C257" s="370"/>
      <c r="D257" s="370"/>
      <c r="E257" s="370"/>
      <c r="F257" s="370"/>
      <c r="G257" s="370"/>
      <c r="H257" s="370"/>
      <c r="I257" s="370"/>
      <c r="J257" s="370"/>
      <c r="K257" s="370"/>
      <c r="L257" s="370"/>
      <c r="M257" s="370"/>
      <c r="N257" s="370"/>
      <c r="O257" s="371"/>
      <c r="P257" s="367" t="s">
        <v>40</v>
      </c>
      <c r="Q257" s="368"/>
      <c r="R257" s="368"/>
      <c r="S257" s="368"/>
      <c r="T257" s="368"/>
      <c r="U257" s="368"/>
      <c r="V257" s="369"/>
      <c r="W257" s="42" t="s">
        <v>39</v>
      </c>
      <c r="X257" s="43">
        <f>IFERROR(SUM(X255:X256),"0")</f>
        <v>0</v>
      </c>
      <c r="Y257" s="43">
        <f>IFERROR(SUM(Y255:Y256),"0")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370"/>
      <c r="B258" s="370"/>
      <c r="C258" s="370"/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1"/>
      <c r="P258" s="367" t="s">
        <v>40</v>
      </c>
      <c r="Q258" s="368"/>
      <c r="R258" s="368"/>
      <c r="S258" s="368"/>
      <c r="T258" s="368"/>
      <c r="U258" s="368"/>
      <c r="V258" s="369"/>
      <c r="W258" s="42" t="s">
        <v>0</v>
      </c>
      <c r="X258" s="43">
        <f>IFERROR(SUMPRODUCT(X255:X256*H255:H256),"0")</f>
        <v>0</v>
      </c>
      <c r="Y258" s="43">
        <f>IFERROR(SUMPRODUCT(Y255:Y256*H255:H256),"0")</f>
        <v>0</v>
      </c>
      <c r="Z258" s="42"/>
      <c r="AA258" s="67"/>
      <c r="AB258" s="67"/>
      <c r="AC258" s="67"/>
    </row>
    <row r="259" spans="1:68" ht="14.25" customHeight="1" x14ac:dyDescent="0.25">
      <c r="A259" s="355" t="s">
        <v>144</v>
      </c>
      <c r="B259" s="355"/>
      <c r="C259" s="355"/>
      <c r="D259" s="355"/>
      <c r="E259" s="355"/>
      <c r="F259" s="355"/>
      <c r="G259" s="355"/>
      <c r="H259" s="355"/>
      <c r="I259" s="355"/>
      <c r="J259" s="355"/>
      <c r="K259" s="355"/>
      <c r="L259" s="355"/>
      <c r="M259" s="355"/>
      <c r="N259" s="355"/>
      <c r="O259" s="355"/>
      <c r="P259" s="355"/>
      <c r="Q259" s="355"/>
      <c r="R259" s="355"/>
      <c r="S259" s="355"/>
      <c r="T259" s="355"/>
      <c r="U259" s="355"/>
      <c r="V259" s="355"/>
      <c r="W259" s="355"/>
      <c r="X259" s="355"/>
      <c r="Y259" s="355"/>
      <c r="Z259" s="355"/>
      <c r="AA259" s="66"/>
      <c r="AB259" s="66"/>
      <c r="AC259" s="83"/>
    </row>
    <row r="260" spans="1:68" ht="27" customHeight="1" x14ac:dyDescent="0.25">
      <c r="A260" s="63" t="s">
        <v>351</v>
      </c>
      <c r="B260" s="63" t="s">
        <v>352</v>
      </c>
      <c r="C260" s="36">
        <v>4301136116</v>
      </c>
      <c r="D260" s="356">
        <v>4620207492147</v>
      </c>
      <c r="E260" s="356"/>
      <c r="F260" s="62">
        <v>2.7</v>
      </c>
      <c r="G260" s="37">
        <v>1</v>
      </c>
      <c r="H260" s="62">
        <v>2.7</v>
      </c>
      <c r="I260" s="62">
        <v>2.8906000000000001</v>
      </c>
      <c r="J260" s="37">
        <v>126</v>
      </c>
      <c r="K260" s="37" t="s">
        <v>117</v>
      </c>
      <c r="L260" s="37" t="s">
        <v>87</v>
      </c>
      <c r="M260" s="38" t="s">
        <v>85</v>
      </c>
      <c r="N260" s="38"/>
      <c r="O260" s="37">
        <v>180</v>
      </c>
      <c r="P260" s="448" t="s">
        <v>353</v>
      </c>
      <c r="Q260" s="358"/>
      <c r="R260" s="358"/>
      <c r="S260" s="358"/>
      <c r="T260" s="359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57" t="s">
        <v>194</v>
      </c>
      <c r="AG260" s="81"/>
      <c r="AJ260" s="87" t="s">
        <v>88</v>
      </c>
      <c r="AK260" s="87">
        <v>1</v>
      </c>
      <c r="BB260" s="258" t="s">
        <v>116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t="27" customHeight="1" x14ac:dyDescent="0.25">
      <c r="A261" s="63" t="s">
        <v>354</v>
      </c>
      <c r="B261" s="63" t="s">
        <v>355</v>
      </c>
      <c r="C261" s="36">
        <v>4301136112</v>
      </c>
      <c r="D261" s="356">
        <v>4620207492154</v>
      </c>
      <c r="E261" s="356"/>
      <c r="F261" s="62">
        <v>5</v>
      </c>
      <c r="G261" s="37">
        <v>1</v>
      </c>
      <c r="H261" s="62">
        <v>5</v>
      </c>
      <c r="I261" s="62">
        <v>5.2350000000000003</v>
      </c>
      <c r="J261" s="37">
        <v>84</v>
      </c>
      <c r="K261" s="37" t="s">
        <v>86</v>
      </c>
      <c r="L261" s="37" t="s">
        <v>87</v>
      </c>
      <c r="M261" s="38" t="s">
        <v>85</v>
      </c>
      <c r="N261" s="38"/>
      <c r="O261" s="37">
        <v>180</v>
      </c>
      <c r="P261" s="449" t="s">
        <v>356</v>
      </c>
      <c r="Q261" s="358"/>
      <c r="R261" s="358"/>
      <c r="S261" s="358"/>
      <c r="T261" s="359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59" t="s">
        <v>194</v>
      </c>
      <c r="AG261" s="81"/>
      <c r="AJ261" s="87" t="s">
        <v>88</v>
      </c>
      <c r="AK261" s="87">
        <v>1</v>
      </c>
      <c r="BB261" s="260" t="s">
        <v>116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customHeight="1" x14ac:dyDescent="0.25">
      <c r="A262" s="63" t="s">
        <v>357</v>
      </c>
      <c r="B262" s="63" t="s">
        <v>358</v>
      </c>
      <c r="C262" s="36">
        <v>4301136114</v>
      </c>
      <c r="D262" s="356">
        <v>4620207492086</v>
      </c>
      <c r="E262" s="356"/>
      <c r="F262" s="62">
        <v>2.2400000000000002</v>
      </c>
      <c r="G262" s="37">
        <v>1</v>
      </c>
      <c r="H262" s="62">
        <v>2.2400000000000002</v>
      </c>
      <c r="I262" s="62">
        <v>2.4319999999999999</v>
      </c>
      <c r="J262" s="37">
        <v>126</v>
      </c>
      <c r="K262" s="37" t="s">
        <v>117</v>
      </c>
      <c r="L262" s="37" t="s">
        <v>87</v>
      </c>
      <c r="M262" s="38" t="s">
        <v>85</v>
      </c>
      <c r="N262" s="38"/>
      <c r="O262" s="37">
        <v>180</v>
      </c>
      <c r="P262" s="450" t="s">
        <v>359</v>
      </c>
      <c r="Q262" s="358"/>
      <c r="R262" s="358"/>
      <c r="S262" s="358"/>
      <c r="T262" s="35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194</v>
      </c>
      <c r="AG262" s="81"/>
      <c r="AJ262" s="87" t="s">
        <v>88</v>
      </c>
      <c r="AK262" s="87">
        <v>1</v>
      </c>
      <c r="BB262" s="262" t="s">
        <v>116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x14ac:dyDescent="0.2">
      <c r="A263" s="370"/>
      <c r="B263" s="370"/>
      <c r="C263" s="370"/>
      <c r="D263" s="370"/>
      <c r="E263" s="370"/>
      <c r="F263" s="370"/>
      <c r="G263" s="370"/>
      <c r="H263" s="370"/>
      <c r="I263" s="370"/>
      <c r="J263" s="370"/>
      <c r="K263" s="370"/>
      <c r="L263" s="370"/>
      <c r="M263" s="370"/>
      <c r="N263" s="370"/>
      <c r="O263" s="371"/>
      <c r="P263" s="367" t="s">
        <v>40</v>
      </c>
      <c r="Q263" s="368"/>
      <c r="R263" s="368"/>
      <c r="S263" s="368"/>
      <c r="T263" s="368"/>
      <c r="U263" s="368"/>
      <c r="V263" s="369"/>
      <c r="W263" s="42" t="s">
        <v>39</v>
      </c>
      <c r="X263" s="43">
        <f>IFERROR(SUM(X260:X262),"0")</f>
        <v>0</v>
      </c>
      <c r="Y263" s="43">
        <f>IFERROR(SUM(Y260:Y262),"0")</f>
        <v>0</v>
      </c>
      <c r="Z263" s="43">
        <f>IFERROR(IF(Z260="",0,Z260),"0")+IFERROR(IF(Z261="",0,Z261),"0")+IFERROR(IF(Z262="",0,Z262),"0")</f>
        <v>0</v>
      </c>
      <c r="AA263" s="67"/>
      <c r="AB263" s="67"/>
      <c r="AC263" s="67"/>
    </row>
    <row r="264" spans="1:68" x14ac:dyDescent="0.2">
      <c r="A264" s="370"/>
      <c r="B264" s="370"/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1"/>
      <c r="P264" s="367" t="s">
        <v>40</v>
      </c>
      <c r="Q264" s="368"/>
      <c r="R264" s="368"/>
      <c r="S264" s="368"/>
      <c r="T264" s="368"/>
      <c r="U264" s="368"/>
      <c r="V264" s="369"/>
      <c r="W264" s="42" t="s">
        <v>0</v>
      </c>
      <c r="X264" s="43">
        <f>IFERROR(SUMPRODUCT(X260:X262*H260:H262),"0")</f>
        <v>0</v>
      </c>
      <c r="Y264" s="43">
        <f>IFERROR(SUMPRODUCT(Y260:Y262*H260:H262),"0")</f>
        <v>0</v>
      </c>
      <c r="Z264" s="42"/>
      <c r="AA264" s="67"/>
      <c r="AB264" s="67"/>
      <c r="AC264" s="67"/>
    </row>
    <row r="265" spans="1:68" ht="14.25" customHeight="1" x14ac:dyDescent="0.25">
      <c r="A265" s="355" t="s">
        <v>148</v>
      </c>
      <c r="B265" s="355"/>
      <c r="C265" s="355"/>
      <c r="D265" s="355"/>
      <c r="E265" s="355"/>
      <c r="F265" s="355"/>
      <c r="G265" s="355"/>
      <c r="H265" s="355"/>
      <c r="I265" s="355"/>
      <c r="J265" s="355"/>
      <c r="K265" s="355"/>
      <c r="L265" s="355"/>
      <c r="M265" s="355"/>
      <c r="N265" s="355"/>
      <c r="O265" s="355"/>
      <c r="P265" s="355"/>
      <c r="Q265" s="355"/>
      <c r="R265" s="355"/>
      <c r="S265" s="355"/>
      <c r="T265" s="355"/>
      <c r="U265" s="355"/>
      <c r="V265" s="355"/>
      <c r="W265" s="355"/>
      <c r="X265" s="355"/>
      <c r="Y265" s="355"/>
      <c r="Z265" s="355"/>
      <c r="AA265" s="66"/>
      <c r="AB265" s="66"/>
      <c r="AC265" s="83"/>
    </row>
    <row r="266" spans="1:68" ht="37.5" customHeight="1" x14ac:dyDescent="0.25">
      <c r="A266" s="63" t="s">
        <v>360</v>
      </c>
      <c r="B266" s="63" t="s">
        <v>361</v>
      </c>
      <c r="C266" s="36">
        <v>4301137068</v>
      </c>
      <c r="D266" s="356">
        <v>4620207492161</v>
      </c>
      <c r="E266" s="356"/>
      <c r="F266" s="62">
        <v>3</v>
      </c>
      <c r="G266" s="37">
        <v>1</v>
      </c>
      <c r="H266" s="62">
        <v>3</v>
      </c>
      <c r="I266" s="62">
        <v>3.1920000000000002</v>
      </c>
      <c r="J266" s="37">
        <v>126</v>
      </c>
      <c r="K266" s="37" t="s">
        <v>117</v>
      </c>
      <c r="L266" s="37" t="s">
        <v>87</v>
      </c>
      <c r="M266" s="38" t="s">
        <v>85</v>
      </c>
      <c r="N266" s="38"/>
      <c r="O266" s="37">
        <v>180</v>
      </c>
      <c r="P266" s="451" t="s">
        <v>362</v>
      </c>
      <c r="Q266" s="358"/>
      <c r="R266" s="358"/>
      <c r="S266" s="358"/>
      <c r="T266" s="359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ref="Y266:Y276" si="18"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3" t="s">
        <v>363</v>
      </c>
      <c r="AG266" s="81"/>
      <c r="AJ266" s="87" t="s">
        <v>88</v>
      </c>
      <c r="AK266" s="87">
        <v>1</v>
      </c>
      <c r="BB266" s="264" t="s">
        <v>116</v>
      </c>
      <c r="BM266" s="81">
        <f t="shared" ref="BM266:BM276" si="19">IFERROR(X266*I266,"0")</f>
        <v>0</v>
      </c>
      <c r="BN266" s="81">
        <f t="shared" ref="BN266:BN276" si="20">IFERROR(Y266*I266,"0")</f>
        <v>0</v>
      </c>
      <c r="BO266" s="81">
        <f t="shared" ref="BO266:BO276" si="21">IFERROR(X266/J266,"0")</f>
        <v>0</v>
      </c>
      <c r="BP266" s="81">
        <f t="shared" ref="BP266:BP276" si="22">IFERROR(Y266/J266,"0")</f>
        <v>0</v>
      </c>
    </row>
    <row r="267" spans="1:68" ht="27" customHeight="1" x14ac:dyDescent="0.25">
      <c r="A267" s="63" t="s">
        <v>364</v>
      </c>
      <c r="B267" s="63" t="s">
        <v>365</v>
      </c>
      <c r="C267" s="36">
        <v>4301137046</v>
      </c>
      <c r="D267" s="356">
        <v>4620207492093</v>
      </c>
      <c r="E267" s="356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87</v>
      </c>
      <c r="M267" s="38" t="s">
        <v>85</v>
      </c>
      <c r="N267" s="38"/>
      <c r="O267" s="37">
        <v>180</v>
      </c>
      <c r="P267" s="452" t="s">
        <v>366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367</v>
      </c>
      <c r="AG267" s="81"/>
      <c r="AJ267" s="87" t="s">
        <v>88</v>
      </c>
      <c r="AK267" s="87">
        <v>1</v>
      </c>
      <c r="BB267" s="266" t="s">
        <v>116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368</v>
      </c>
      <c r="B268" s="63" t="s">
        <v>369</v>
      </c>
      <c r="C268" s="36">
        <v>4301137066</v>
      </c>
      <c r="D268" s="356">
        <v>4620207492109</v>
      </c>
      <c r="E268" s="356"/>
      <c r="F268" s="62">
        <v>5.5</v>
      </c>
      <c r="G268" s="37">
        <v>1</v>
      </c>
      <c r="H268" s="62">
        <v>5.5</v>
      </c>
      <c r="I268" s="62">
        <v>5.7350000000000003</v>
      </c>
      <c r="J268" s="37">
        <v>84</v>
      </c>
      <c r="K268" s="37" t="s">
        <v>86</v>
      </c>
      <c r="L268" s="37" t="s">
        <v>87</v>
      </c>
      <c r="M268" s="38" t="s">
        <v>85</v>
      </c>
      <c r="N268" s="38"/>
      <c r="O268" s="37">
        <v>180</v>
      </c>
      <c r="P268" s="453" t="s">
        <v>370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67" t="s">
        <v>371</v>
      </c>
      <c r="AG268" s="81"/>
      <c r="AJ268" s="87" t="s">
        <v>88</v>
      </c>
      <c r="AK268" s="87">
        <v>1</v>
      </c>
      <c r="BB268" s="268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372</v>
      </c>
      <c r="B269" s="63" t="s">
        <v>373</v>
      </c>
      <c r="C269" s="36">
        <v>4301137074</v>
      </c>
      <c r="D269" s="356">
        <v>4620207492116</v>
      </c>
      <c r="E269" s="356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117</v>
      </c>
      <c r="L269" s="37" t="s">
        <v>87</v>
      </c>
      <c r="M269" s="38" t="s">
        <v>85</v>
      </c>
      <c r="N269" s="38"/>
      <c r="O269" s="37">
        <v>180</v>
      </c>
      <c r="P269" s="454" t="s">
        <v>374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ref="Z269:Z276" si="23">IFERROR(IF(X269="","",X269*0.00936),"")</f>
        <v>0</v>
      </c>
      <c r="AA269" s="68" t="s">
        <v>46</v>
      </c>
      <c r="AB269" s="69" t="s">
        <v>46</v>
      </c>
      <c r="AC269" s="269" t="s">
        <v>371</v>
      </c>
      <c r="AG269" s="81"/>
      <c r="AJ269" s="87" t="s">
        <v>88</v>
      </c>
      <c r="AK269" s="87">
        <v>1</v>
      </c>
      <c r="BB269" s="270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375</v>
      </c>
      <c r="B270" s="63" t="s">
        <v>376</v>
      </c>
      <c r="C270" s="36">
        <v>4301135375</v>
      </c>
      <c r="D270" s="356">
        <v>4640242181486</v>
      </c>
      <c r="E270" s="356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117</v>
      </c>
      <c r="L270" s="37" t="s">
        <v>118</v>
      </c>
      <c r="M270" s="38" t="s">
        <v>85</v>
      </c>
      <c r="N270" s="38"/>
      <c r="O270" s="37">
        <v>180</v>
      </c>
      <c r="P270" s="45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1" t="s">
        <v>377</v>
      </c>
      <c r="AG270" s="81"/>
      <c r="AJ270" s="87" t="s">
        <v>119</v>
      </c>
      <c r="AK270" s="87">
        <v>14</v>
      </c>
      <c r="BB270" s="272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37.5" customHeight="1" x14ac:dyDescent="0.25">
      <c r="A271" s="63" t="s">
        <v>378</v>
      </c>
      <c r="B271" s="63" t="s">
        <v>379</v>
      </c>
      <c r="C271" s="36">
        <v>4301135402</v>
      </c>
      <c r="D271" s="356">
        <v>4640242181493</v>
      </c>
      <c r="E271" s="356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117</v>
      </c>
      <c r="L271" s="37" t="s">
        <v>118</v>
      </c>
      <c r="M271" s="38" t="s">
        <v>85</v>
      </c>
      <c r="N271" s="38"/>
      <c r="O271" s="37">
        <v>180</v>
      </c>
      <c r="P271" s="45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3" t="s">
        <v>377</v>
      </c>
      <c r="AG271" s="81"/>
      <c r="AJ271" s="87" t="s">
        <v>119</v>
      </c>
      <c r="AK271" s="87">
        <v>14</v>
      </c>
      <c r="BB271" s="274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customHeight="1" x14ac:dyDescent="0.25">
      <c r="A272" s="63" t="s">
        <v>378</v>
      </c>
      <c r="B272" s="63" t="s">
        <v>380</v>
      </c>
      <c r="C272" s="36">
        <v>4301137070</v>
      </c>
      <c r="D272" s="356">
        <v>4620207492123</v>
      </c>
      <c r="E272" s="35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117</v>
      </c>
      <c r="L272" s="37" t="s">
        <v>87</v>
      </c>
      <c r="M272" s="38" t="s">
        <v>85</v>
      </c>
      <c r="N272" s="38"/>
      <c r="O272" s="37">
        <v>180</v>
      </c>
      <c r="P272" s="457" t="s">
        <v>381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363</v>
      </c>
      <c r="AG272" s="81"/>
      <c r="AJ272" s="87" t="s">
        <v>88</v>
      </c>
      <c r="AK272" s="87">
        <v>1</v>
      </c>
      <c r="BB272" s="276" t="s">
        <v>116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382</v>
      </c>
      <c r="B273" s="63" t="s">
        <v>383</v>
      </c>
      <c r="C273" s="36">
        <v>4301135403</v>
      </c>
      <c r="D273" s="356">
        <v>4640242181509</v>
      </c>
      <c r="E273" s="35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117</v>
      </c>
      <c r="L273" s="37" t="s">
        <v>87</v>
      </c>
      <c r="M273" s="38" t="s">
        <v>85</v>
      </c>
      <c r="N273" s="38"/>
      <c r="O273" s="37">
        <v>180</v>
      </c>
      <c r="P273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377</v>
      </c>
      <c r="AG273" s="81"/>
      <c r="AJ273" s="87" t="s">
        <v>88</v>
      </c>
      <c r="AK273" s="87">
        <v>1</v>
      </c>
      <c r="BB273" s="278" t="s">
        <v>116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384</v>
      </c>
      <c r="B274" s="63" t="s">
        <v>385</v>
      </c>
      <c r="C274" s="36">
        <v>4301135304</v>
      </c>
      <c r="D274" s="356">
        <v>4640242181240</v>
      </c>
      <c r="E274" s="356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117</v>
      </c>
      <c r="L274" s="37" t="s">
        <v>118</v>
      </c>
      <c r="M274" s="38" t="s">
        <v>85</v>
      </c>
      <c r="N274" s="38"/>
      <c r="O274" s="37">
        <v>180</v>
      </c>
      <c r="P274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358"/>
      <c r="R274" s="358"/>
      <c r="S274" s="358"/>
      <c r="T274" s="35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377</v>
      </c>
      <c r="AG274" s="81"/>
      <c r="AJ274" s="87" t="s">
        <v>119</v>
      </c>
      <c r="AK274" s="87">
        <v>14</v>
      </c>
      <c r="BB274" s="280" t="s">
        <v>116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386</v>
      </c>
      <c r="B275" s="63" t="s">
        <v>387</v>
      </c>
      <c r="C275" s="36">
        <v>4301135610</v>
      </c>
      <c r="D275" s="356">
        <v>4640242181318</v>
      </c>
      <c r="E275" s="356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117</v>
      </c>
      <c r="L275" s="37" t="s">
        <v>118</v>
      </c>
      <c r="M275" s="38" t="s">
        <v>85</v>
      </c>
      <c r="N275" s="38"/>
      <c r="O275" s="37">
        <v>180</v>
      </c>
      <c r="P275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358"/>
      <c r="R275" s="358"/>
      <c r="S275" s="358"/>
      <c r="T275" s="35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388</v>
      </c>
      <c r="AG275" s="81"/>
      <c r="AJ275" s="87" t="s">
        <v>119</v>
      </c>
      <c r="AK275" s="87">
        <v>14</v>
      </c>
      <c r="BB275" s="282" t="s">
        <v>116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389</v>
      </c>
      <c r="B276" s="63" t="s">
        <v>390</v>
      </c>
      <c r="C276" s="36">
        <v>4301137012</v>
      </c>
      <c r="D276" s="356">
        <v>4620207491935</v>
      </c>
      <c r="E276" s="356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117</v>
      </c>
      <c r="L276" s="37" t="s">
        <v>87</v>
      </c>
      <c r="M276" s="38" t="s">
        <v>85</v>
      </c>
      <c r="N276" s="38"/>
      <c r="O276" s="37">
        <v>180</v>
      </c>
      <c r="P276" s="46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8"/>
      <c r="R276" s="358"/>
      <c r="S276" s="358"/>
      <c r="T276" s="35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371</v>
      </c>
      <c r="AG276" s="81"/>
      <c r="AJ276" s="87" t="s">
        <v>88</v>
      </c>
      <c r="AK276" s="87">
        <v>1</v>
      </c>
      <c r="BB276" s="284" t="s">
        <v>116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371"/>
      <c r="P277" s="367" t="s">
        <v>40</v>
      </c>
      <c r="Q277" s="368"/>
      <c r="R277" s="368"/>
      <c r="S277" s="368"/>
      <c r="T277" s="368"/>
      <c r="U277" s="368"/>
      <c r="V277" s="369"/>
      <c r="W277" s="42" t="s">
        <v>39</v>
      </c>
      <c r="X277" s="43">
        <f>IFERROR(SUM(X266:X276),"0")</f>
        <v>0</v>
      </c>
      <c r="Y277" s="43">
        <f>IFERROR(SUM(Y266:Y276),"0")</f>
        <v>0</v>
      </c>
      <c r="Z277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1"/>
      <c r="P278" s="367" t="s">
        <v>40</v>
      </c>
      <c r="Q278" s="368"/>
      <c r="R278" s="368"/>
      <c r="S278" s="368"/>
      <c r="T278" s="368"/>
      <c r="U278" s="368"/>
      <c r="V278" s="369"/>
      <c r="W278" s="42" t="s">
        <v>0</v>
      </c>
      <c r="X278" s="43">
        <f>IFERROR(SUMPRODUCT(X266:X276*H266:H276),"0")</f>
        <v>0</v>
      </c>
      <c r="Y278" s="43">
        <f>IFERROR(SUMPRODUCT(Y266:Y276*H266:H276),"0")</f>
        <v>0</v>
      </c>
      <c r="Z278" s="42"/>
      <c r="AA278" s="67"/>
      <c r="AB278" s="67"/>
      <c r="AC278" s="67"/>
    </row>
    <row r="279" spans="1:68" ht="15" customHeight="1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5"/>
      <c r="P279" s="462" t="s">
        <v>33</v>
      </c>
      <c r="Q279" s="463"/>
      <c r="R279" s="463"/>
      <c r="S279" s="463"/>
      <c r="T279" s="463"/>
      <c r="U279" s="463"/>
      <c r="V279" s="464"/>
      <c r="W279" s="42" t="s">
        <v>0</v>
      </c>
      <c r="X279" s="43">
        <f>IFERROR(X31+X37+X44+X50+X58+X63+X67+X73+X79+X84+X90+X100+X106+X117+X121+X125+X133+X139+X145+X151+X157+X162+X167+X172+X178+X182+X188+X193+X202+X208+X214+X220+X225+X231+X237+X241+X247+X251+X258+X264+X278,"0")</f>
        <v>0</v>
      </c>
      <c r="Y279" s="43">
        <f>IFERROR(Y31+Y37+Y44+Y50+Y58+Y63+Y67+Y73+Y79+Y84+Y90+Y100+Y106+Y117+Y121+Y125+Y133+Y139+Y145+Y151+Y157+Y162+Y167+Y172+Y178+Y182+Y188+Y193+Y202+Y208+Y214+Y220+Y225+Y231+Y237+Y241+Y247+Y251+Y258+Y264+Y278,"0")</f>
        <v>0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5"/>
      <c r="P280" s="462" t="s">
        <v>34</v>
      </c>
      <c r="Q280" s="463"/>
      <c r="R280" s="463"/>
      <c r="S280" s="463"/>
      <c r="T280" s="463"/>
      <c r="U280" s="463"/>
      <c r="V280" s="464"/>
      <c r="W280" s="42" t="s">
        <v>0</v>
      </c>
      <c r="X280" s="43">
        <f>IFERROR(SUM(BM22:BM276),"0")</f>
        <v>0</v>
      </c>
      <c r="Y280" s="43">
        <f>IFERROR(SUM(BN22:BN276),"0")</f>
        <v>0</v>
      </c>
      <c r="Z280" s="42"/>
      <c r="AA280" s="67"/>
      <c r="AB280" s="67"/>
      <c r="AC280" s="67"/>
    </row>
    <row r="281" spans="1:68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5"/>
      <c r="P281" s="462" t="s">
        <v>35</v>
      </c>
      <c r="Q281" s="463"/>
      <c r="R281" s="463"/>
      <c r="S281" s="463"/>
      <c r="T281" s="463"/>
      <c r="U281" s="463"/>
      <c r="V281" s="464"/>
      <c r="W281" s="42" t="s">
        <v>20</v>
      </c>
      <c r="X281" s="44">
        <f>ROUNDUP(SUM(BO22:BO276),0)</f>
        <v>0</v>
      </c>
      <c r="Y281" s="44">
        <f>ROUNDUP(SUM(BP22:BP276),0)</f>
        <v>0</v>
      </c>
      <c r="Z281" s="42"/>
      <c r="AA281" s="67"/>
      <c r="AB281" s="67"/>
      <c r="AC281" s="67"/>
    </row>
    <row r="282" spans="1:68" x14ac:dyDescent="0.2">
      <c r="A282" s="370"/>
      <c r="B282" s="370"/>
      <c r="C282" s="370"/>
      <c r="D282" s="370"/>
      <c r="E282" s="370"/>
      <c r="F282" s="370"/>
      <c r="G282" s="370"/>
      <c r="H282" s="370"/>
      <c r="I282" s="370"/>
      <c r="J282" s="370"/>
      <c r="K282" s="370"/>
      <c r="L282" s="370"/>
      <c r="M282" s="370"/>
      <c r="N282" s="370"/>
      <c r="O282" s="465"/>
      <c r="P282" s="462" t="s">
        <v>36</v>
      </c>
      <c r="Q282" s="463"/>
      <c r="R282" s="463"/>
      <c r="S282" s="463"/>
      <c r="T282" s="463"/>
      <c r="U282" s="463"/>
      <c r="V282" s="464"/>
      <c r="W282" s="42" t="s">
        <v>0</v>
      </c>
      <c r="X282" s="43">
        <f>GrossWeightTotal+PalletQtyTotal*25</f>
        <v>0</v>
      </c>
      <c r="Y282" s="43">
        <f>GrossWeightTotalR+PalletQtyTotalR*25</f>
        <v>0</v>
      </c>
      <c r="Z282" s="42"/>
      <c r="AA282" s="67"/>
      <c r="AB282" s="67"/>
      <c r="AC282" s="67"/>
    </row>
    <row r="283" spans="1:68" x14ac:dyDescent="0.2">
      <c r="A283" s="370"/>
      <c r="B283" s="370"/>
      <c r="C283" s="370"/>
      <c r="D283" s="370"/>
      <c r="E283" s="370"/>
      <c r="F283" s="370"/>
      <c r="G283" s="370"/>
      <c r="H283" s="370"/>
      <c r="I283" s="370"/>
      <c r="J283" s="370"/>
      <c r="K283" s="370"/>
      <c r="L283" s="370"/>
      <c r="M283" s="370"/>
      <c r="N283" s="370"/>
      <c r="O283" s="465"/>
      <c r="P283" s="462" t="s">
        <v>37</v>
      </c>
      <c r="Q283" s="463"/>
      <c r="R283" s="463"/>
      <c r="S283" s="463"/>
      <c r="T283" s="463"/>
      <c r="U283" s="463"/>
      <c r="V283" s="464"/>
      <c r="W283" s="42" t="s">
        <v>20</v>
      </c>
      <c r="X283" s="43">
        <f>IFERROR(X30+X36+X43+X49+X57+X62+X66+X72+X78+X83+X89+X99+X105+X116+X120+X124+X132+X138+X144+X150+X156+X161+X166+X171+X177+X181+X187+X192+X201+X207+X213+X219+X224+X230+X236+X240+X246+X250+X257+X263+X277,"0")</f>
        <v>0</v>
      </c>
      <c r="Y283" s="43">
        <f>IFERROR(Y30+Y36+Y43+Y49+Y57+Y62+Y66+Y72+Y78+Y83+Y89+Y99+Y105+Y116+Y120+Y124+Y132+Y138+Y144+Y150+Y156+Y161+Y166+Y171+Y177+Y181+Y187+Y192+Y201+Y207+Y213+Y219+Y224+Y230+Y236+Y240+Y246+Y250+Y257+Y263+Y277,"0")</f>
        <v>0</v>
      </c>
      <c r="Z283" s="42"/>
      <c r="AA283" s="67"/>
      <c r="AB283" s="67"/>
      <c r="AC283" s="67"/>
    </row>
    <row r="284" spans="1:68" ht="14.25" x14ac:dyDescent="0.2">
      <c r="A284" s="370"/>
      <c r="B284" s="370"/>
      <c r="C284" s="370"/>
      <c r="D284" s="370"/>
      <c r="E284" s="370"/>
      <c r="F284" s="370"/>
      <c r="G284" s="370"/>
      <c r="H284" s="370"/>
      <c r="I284" s="370"/>
      <c r="J284" s="370"/>
      <c r="K284" s="370"/>
      <c r="L284" s="370"/>
      <c r="M284" s="370"/>
      <c r="N284" s="370"/>
      <c r="O284" s="465"/>
      <c r="P284" s="462" t="s">
        <v>38</v>
      </c>
      <c r="Q284" s="463"/>
      <c r="R284" s="463"/>
      <c r="S284" s="463"/>
      <c r="T284" s="463"/>
      <c r="U284" s="463"/>
      <c r="V284" s="464"/>
      <c r="W284" s="45" t="s">
        <v>52</v>
      </c>
      <c r="X284" s="42"/>
      <c r="Y284" s="42"/>
      <c r="Z284" s="42">
        <f>IFERROR(Z30+Z36+Z43+Z49+Z57+Z62+Z66+Z72+Z78+Z83+Z89+Z99+Z105+Z116+Z120+Z124+Z132+Z138+Z144+Z150+Z156+Z161+Z166+Z171+Z177+Z181+Z187+Z192+Z201+Z207+Z213+Z219+Z224+Z230+Z236+Z240+Z246+Z250+Z257+Z263+Z277,"0")</f>
        <v>0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466" t="s">
        <v>80</v>
      </c>
      <c r="C286" s="466" t="s">
        <v>80</v>
      </c>
      <c r="D286" s="466" t="s">
        <v>45</v>
      </c>
      <c r="E286" s="466" t="s">
        <v>45</v>
      </c>
      <c r="F286" s="466" t="s">
        <v>45</v>
      </c>
      <c r="G286" s="466" t="s">
        <v>45</v>
      </c>
      <c r="H286" s="466" t="s">
        <v>45</v>
      </c>
      <c r="I286" s="466" t="s">
        <v>45</v>
      </c>
      <c r="J286" s="466" t="s">
        <v>45</v>
      </c>
      <c r="K286" s="466" t="s">
        <v>45</v>
      </c>
      <c r="L286" s="466" t="s">
        <v>45</v>
      </c>
      <c r="M286" s="466" t="s">
        <v>45</v>
      </c>
      <c r="N286" s="467"/>
      <c r="O286" s="466" t="s">
        <v>45</v>
      </c>
      <c r="P286" s="466" t="s">
        <v>45</v>
      </c>
      <c r="Q286" s="466" t="s">
        <v>45</v>
      </c>
      <c r="R286" s="466" t="s">
        <v>45</v>
      </c>
      <c r="S286" s="466" t="s">
        <v>45</v>
      </c>
      <c r="T286" s="466" t="s">
        <v>45</v>
      </c>
      <c r="U286" s="466" t="s">
        <v>45</v>
      </c>
      <c r="V286" s="466" t="s">
        <v>268</v>
      </c>
      <c r="W286" s="466" t="s">
        <v>268</v>
      </c>
      <c r="X286" s="466" t="s">
        <v>268</v>
      </c>
      <c r="Y286" s="88" t="s">
        <v>286</v>
      </c>
      <c r="Z286" s="466" t="s">
        <v>300</v>
      </c>
      <c r="AA286" s="466" t="s">
        <v>300</v>
      </c>
      <c r="AB286" s="466" t="s">
        <v>300</v>
      </c>
      <c r="AC286" s="88" t="s">
        <v>325</v>
      </c>
      <c r="AD286" s="88" t="s">
        <v>330</v>
      </c>
      <c r="AE286" s="88" t="s">
        <v>338</v>
      </c>
      <c r="AF286" s="88" t="s">
        <v>269</v>
      </c>
    </row>
    <row r="287" spans="1:68" ht="14.25" customHeight="1" thickTop="1" x14ac:dyDescent="0.2">
      <c r="A287" s="468" t="s">
        <v>10</v>
      </c>
      <c r="B287" s="466" t="s">
        <v>80</v>
      </c>
      <c r="C287" s="466" t="s">
        <v>105</v>
      </c>
      <c r="D287" s="466" t="s">
        <v>111</v>
      </c>
      <c r="E287" s="466" t="s">
        <v>122</v>
      </c>
      <c r="F287" s="466" t="s">
        <v>129</v>
      </c>
      <c r="G287" s="466" t="s">
        <v>140</v>
      </c>
      <c r="H287" s="466" t="s">
        <v>156</v>
      </c>
      <c r="I287" s="466" t="s">
        <v>163</v>
      </c>
      <c r="J287" s="466" t="s">
        <v>167</v>
      </c>
      <c r="K287" s="466" t="s">
        <v>175</v>
      </c>
      <c r="L287" s="466" t="s">
        <v>191</v>
      </c>
      <c r="M287" s="466" t="s">
        <v>197</v>
      </c>
      <c r="N287" s="1"/>
      <c r="O287" s="466" t="s">
        <v>222</v>
      </c>
      <c r="P287" s="466" t="s">
        <v>240</v>
      </c>
      <c r="Q287" s="466" t="s">
        <v>246</v>
      </c>
      <c r="R287" s="466" t="s">
        <v>252</v>
      </c>
      <c r="S287" s="466" t="s">
        <v>258</v>
      </c>
      <c r="T287" s="466" t="s">
        <v>261</v>
      </c>
      <c r="U287" s="466" t="s">
        <v>265</v>
      </c>
      <c r="V287" s="466" t="s">
        <v>269</v>
      </c>
      <c r="W287" s="466" t="s">
        <v>276</v>
      </c>
      <c r="X287" s="466" t="s">
        <v>283</v>
      </c>
      <c r="Y287" s="466" t="s">
        <v>287</v>
      </c>
      <c r="Z287" s="466" t="s">
        <v>301</v>
      </c>
      <c r="AA287" s="466" t="s">
        <v>314</v>
      </c>
      <c r="AB287" s="466" t="s">
        <v>321</v>
      </c>
      <c r="AC287" s="466" t="s">
        <v>326</v>
      </c>
      <c r="AD287" s="466" t="s">
        <v>331</v>
      </c>
      <c r="AE287" s="466" t="s">
        <v>338</v>
      </c>
      <c r="AF287" s="466" t="s">
        <v>269</v>
      </c>
    </row>
    <row r="288" spans="1:68" ht="13.5" thickBot="1" x14ac:dyDescent="0.25">
      <c r="A288" s="469"/>
      <c r="B288" s="466"/>
      <c r="C288" s="466"/>
      <c r="D288" s="466"/>
      <c r="E288" s="466"/>
      <c r="F288" s="466"/>
      <c r="G288" s="466"/>
      <c r="H288" s="466"/>
      <c r="I288" s="466"/>
      <c r="J288" s="466"/>
      <c r="K288" s="466"/>
      <c r="L288" s="466"/>
      <c r="M288" s="466"/>
      <c r="N288" s="1"/>
      <c r="O288" s="466"/>
      <c r="P288" s="466"/>
      <c r="Q288" s="466"/>
      <c r="R288" s="466"/>
      <c r="S288" s="466"/>
      <c r="T288" s="466"/>
      <c r="U288" s="466"/>
      <c r="V288" s="466"/>
      <c r="W288" s="466"/>
      <c r="X288" s="466"/>
      <c r="Y288" s="466"/>
      <c r="Z288" s="466"/>
      <c r="AA288" s="466"/>
      <c r="AB288" s="466"/>
      <c r="AC288" s="466"/>
      <c r="AD288" s="466"/>
      <c r="AE288" s="466"/>
      <c r="AF288" s="466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0</v>
      </c>
      <c r="C289" s="52">
        <f>IFERROR(X34*H34,"0")+IFERROR(X35*H35,"0")</f>
        <v>0</v>
      </c>
      <c r="D289" s="52">
        <f>IFERROR(X41*H41,"0")+IFERROR(X42*H42,"0")</f>
        <v>0</v>
      </c>
      <c r="E289" s="52">
        <f>IFERROR(X47*H47,"0")+IFERROR(X48*H48,"0")</f>
        <v>0</v>
      </c>
      <c r="F289" s="52">
        <f>IFERROR(X53*H53,"0")+IFERROR(X54*H54,"0")+IFERROR(X55*H55,"0")+IFERROR(X56*H56,"0")</f>
        <v>0</v>
      </c>
      <c r="G289" s="52">
        <f>IFERROR(X61*H61,"0")+IFERROR(X65*H65,"0")+IFERROR(X69*H69,"0")+IFERROR(X70*H70,"0")+IFERROR(X71*H71,"0")</f>
        <v>0</v>
      </c>
      <c r="H289" s="52">
        <f>IFERROR(X76*H76,"0")+IFERROR(X77*H77,"0")</f>
        <v>0</v>
      </c>
      <c r="I289" s="52">
        <f>IFERROR(X82*H82,"0")</f>
        <v>0</v>
      </c>
      <c r="J289" s="52">
        <f>IFERROR(X87*H87,"0")+IFERROR(X88*H88,"0")</f>
        <v>0</v>
      </c>
      <c r="K289" s="52">
        <f>IFERROR(X93*H93,"0")+IFERROR(X94*H94,"0")+IFERROR(X95*H95,"0")+IFERROR(X96*H96,"0")+IFERROR(X97*H97,"0")+IFERROR(X98*H98,"0")</f>
        <v>0</v>
      </c>
      <c r="L289" s="52">
        <f>IFERROR(X103*H103,"0")+IFERROR(X104*H104,"0")</f>
        <v>0</v>
      </c>
      <c r="M289" s="52">
        <f>IFERROR(X109*H109,"0")+IFERROR(X110*H110,"0")+IFERROR(X111*H111,"0")+IFERROR(X112*H112,"0")+IFERROR(X113*H113,"0")+IFERROR(X114*H114,"0")+IFERROR(X115*H115,"0")+IFERROR(X119*H119,"0")+IFERROR(X123*H123,"0")</f>
        <v>0</v>
      </c>
      <c r="N289" s="1"/>
      <c r="O289" s="52">
        <f>IFERROR(X128*H128,"0")+IFERROR(X129*H129,"0")+IFERROR(X130*H130,"0")+IFERROR(X131*H131,"0")+IFERROR(X135*H135,"0")+IFERROR(X136*H136,"0")+IFERROR(X137*H137,"0")</f>
        <v>0</v>
      </c>
      <c r="P289" s="52">
        <f>IFERROR(X142*H142,"0")+IFERROR(X143*H143,"0")</f>
        <v>0</v>
      </c>
      <c r="Q289" s="52">
        <f>IFERROR(X148*H148,"0")+IFERROR(X149*H149,"0")</f>
        <v>0</v>
      </c>
      <c r="R289" s="52">
        <f>IFERROR(X154*H154,"0")+IFERROR(X155*H155,"0")</f>
        <v>0</v>
      </c>
      <c r="S289" s="52">
        <f>IFERROR(X160*H160,"0")</f>
        <v>0</v>
      </c>
      <c r="T289" s="52">
        <f>IFERROR(X165*H165,"0")</f>
        <v>0</v>
      </c>
      <c r="U289" s="52">
        <f>IFERROR(X170*H170,"0")</f>
        <v>0</v>
      </c>
      <c r="V289" s="52">
        <f>IFERROR(X176*H176,"0")+IFERROR(X180*H180,"0")</f>
        <v>0</v>
      </c>
      <c r="W289" s="52">
        <f>IFERROR(X185*H185,"0")+IFERROR(X186*H186,"0")</f>
        <v>0</v>
      </c>
      <c r="X289" s="52">
        <f>IFERROR(X191*H191,"0")</f>
        <v>0</v>
      </c>
      <c r="Y289" s="52">
        <f>IFERROR(X197*H197,"0")+IFERROR(X198*H198,"0")+IFERROR(X199*H199,"0")+IFERROR(X200*H200,"0")</f>
        <v>0</v>
      </c>
      <c r="Z289" s="52">
        <f>IFERROR(X206*H206,"0")+IFERROR(X210*H210,"0")+IFERROR(X211*H211,"0")+IFERROR(X212*H212,"0")</f>
        <v>0</v>
      </c>
      <c r="AA289" s="52">
        <f>IFERROR(X217*H217,"0")+IFERROR(X218*H218,"0")</f>
        <v>0</v>
      </c>
      <c r="AB289" s="52">
        <f>IFERROR(X223*H223,"0")</f>
        <v>0</v>
      </c>
      <c r="AC289" s="52">
        <f>IFERROR(X229*H229,"0")</f>
        <v>0</v>
      </c>
      <c r="AD289" s="52">
        <f>IFERROR(X235*H235,"0")+IFERROR(X239*H239,"0")</f>
        <v>0</v>
      </c>
      <c r="AE289" s="52">
        <f>IFERROR(X245*H245,"0")+IFERROR(X249*H249,"0")</f>
        <v>0</v>
      </c>
      <c r="AF289" s="52">
        <f>IFERROR(X255*H255,"0")+IFERROR(X256*H256,"0")+IFERROR(X260*H260,"0")+IFERROR(X261*H261,"0")+IFERROR(X262*H262,"0")+IFERROR(X266*H266,"0")+IFERROR(X267*H267,"0")+IFERROR(X268*H268,"0")+IFERROR(X269*H269,"0")+IFERROR(X270*H270,"0")+IFERROR(X271*H271,"0")+IFERROR(X272*H272,"0")+IFERROR(X273*H273,"0")+IFERROR(X274*H274,"0")+IFERROR(X275*H275,"0")+IFERROR(X276*H276,"0")</f>
        <v>0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0</v>
      </c>
      <c r="B292" s="72">
        <f>SUMPRODUCT(--(BB:BB="ПГП"),--(W:W="кор"),H:H,Y:Y)+SUMPRODUCT(--(BB:BB="ПГП"),--(W:W="кг"),Y:Y)</f>
        <v>0</v>
      </c>
      <c r="C292" s="72">
        <f>SUMPRODUCT(--(BB:BB="КИЗ"),--(W:W="кор"),H:H,Y:Y)+SUMPRODUCT(--(BB:BB="КИЗ"),--(W:W="кг"),Y:Y)</f>
        <v>0</v>
      </c>
    </row>
  </sheetData>
  <sheetProtection algorithmName="SHA-512" hashValue="H8/ZjNM3w/u9gQuZdHPQDCYSUkC5rH4SbiKBeyqqpk2ZEF5E3skEX7o5krAdvV2r/TsaFRvPZyGRhFpF4TS0Ew==" saltValue="hT/4nSWawysw3/+ujUcd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7"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B286:C286"/>
    <mergeCell ref="D286:U286"/>
    <mergeCell ref="V286:X286"/>
    <mergeCell ref="Z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A259:Z25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A252:Z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A244:Z244"/>
    <mergeCell ref="P230:V230"/>
    <mergeCell ref="A230:O231"/>
    <mergeCell ref="P231:V231"/>
    <mergeCell ref="A232:Z232"/>
    <mergeCell ref="A233:Z233"/>
    <mergeCell ref="A234:Z234"/>
    <mergeCell ref="D235:E235"/>
    <mergeCell ref="P235:T235"/>
    <mergeCell ref="P236:V236"/>
    <mergeCell ref="A236:O237"/>
    <mergeCell ref="P237:V237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29:E229"/>
    <mergeCell ref="P229:T229"/>
    <mergeCell ref="D217:E217"/>
    <mergeCell ref="P217:T217"/>
    <mergeCell ref="D218:E218"/>
    <mergeCell ref="P218:T218"/>
    <mergeCell ref="P219:V219"/>
    <mergeCell ref="A219:O220"/>
    <mergeCell ref="P220:V220"/>
    <mergeCell ref="A221:Z221"/>
    <mergeCell ref="A222:Z222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D198:E198"/>
    <mergeCell ref="P198:T198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A179:Z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P177:V177"/>
    <mergeCell ref="A177:O178"/>
    <mergeCell ref="P178:V178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2:X273 X266:X269 X260:X262 X255:X256 X249 X245 X239 X235 X229 X217:X218 X210 X200 X191 X185 X180 X176 X170 X160 X154:X155 X148:X149 X135:X137 X128:X131 X123 X119 X113 X110 X103:X104 X94:X98 X82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70:X271 X223 X211:X212 X206 X197:X199 X186 X165 X142:X143 X114:X115 X111:X112 X109 X93 X87:X88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79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x6V//kUQs3ajDrcUxw8NpZUvVUssRS2mtgn0RdX/u7L6lJZsCsaWIM1C4uDNt+7cYGORu0X1lGl2mTBJtapB1w==" saltValue="blFgMbnRPcz7JnQJhz7b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434</vt:i4>
      </vt:variant>
    </vt:vector>
  </HeadingPairs>
  <TitlesOfParts>
    <vt:vector size="43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2026-09-24T11:09:22Z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