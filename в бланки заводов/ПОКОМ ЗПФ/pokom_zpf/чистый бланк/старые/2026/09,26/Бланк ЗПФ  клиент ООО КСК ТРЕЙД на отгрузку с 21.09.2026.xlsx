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чистый бланк\"/>
    </mc:Choice>
  </mc:AlternateContent>
  <xr:revisionPtr revIDLastSave="0" documentId="13_ncr:1_{4C53B614-1168-448F-BCA5-B18B7387E7B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заказа'!$X$287:$X$287</definedName>
    <definedName name="GrossWeightTotalR">'Бланк заказа'!$Y$287:$Y$287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заказа'!$X$288:$X$288</definedName>
    <definedName name="PalletQtyTotalR">'Бланк заказа'!$Y$288:$Y$288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заказа'!$B$281:$B$281</definedName>
    <definedName name="ProductId101">'Бланк заказа'!$B$282:$B$282</definedName>
    <definedName name="ProductId102">'Бланк заказа'!$B$283:$B$283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заказа'!$B$120:$B$120</definedName>
    <definedName name="ProductId46">'Бланк заказа'!$B$124:$B$124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заказа'!$B$186:$B$186</definedName>
    <definedName name="ProductId67">'Бланк заказа'!$B$187:$B$187</definedName>
    <definedName name="ProductId68">'Бланк заказа'!$B$188:$B$188</definedName>
    <definedName name="ProductId69">'Бланк заказа'!$B$193:$B$193</definedName>
    <definedName name="ProductId7">'Бланк заказа'!$B$28:$B$28</definedName>
    <definedName name="ProductId70">'Бланк заказа'!$B$194:$B$194</definedName>
    <definedName name="ProductId71">'Бланк заказа'!$B$199:$B$199</definedName>
    <definedName name="ProductId72">'Бланк заказа'!$B$205:$B$205</definedName>
    <definedName name="ProductId73">'Бланк заказа'!$B$206:$B$206</definedName>
    <definedName name="ProductId74">'Бланк заказа'!$B$207:$B$207</definedName>
    <definedName name="ProductId75">'Бланк заказа'!$B$208:$B$208</definedName>
    <definedName name="ProductId76">'Бланк заказа'!$B$214:$B$214</definedName>
    <definedName name="ProductId77">'Бланк заказа'!$B$218:$B$218</definedName>
    <definedName name="ProductId78">'Бланк заказа'!$B$219:$B$219</definedName>
    <definedName name="ProductId79">'Бланк заказа'!$B$220:$B$220</definedName>
    <definedName name="ProductId8">'Бланк заказа'!$B$29:$B$29</definedName>
    <definedName name="ProductId80">'Бланк заказа'!$B$225:$B$225</definedName>
    <definedName name="ProductId81">'Бланк заказа'!$B$226:$B$226</definedName>
    <definedName name="ProductId82">'Бланк заказа'!$B$231:$B$231</definedName>
    <definedName name="ProductId83">'Бланк заказа'!$B$237:$B$237</definedName>
    <definedName name="ProductId84">'Бланк заказа'!$B$243:$B$243</definedName>
    <definedName name="ProductId85">'Бланк заказа'!$B$247:$B$247</definedName>
    <definedName name="ProductId86">'Бланк заказа'!$B$253:$B$253</definedName>
    <definedName name="ProductId87">'Бланк заказа'!$B$257:$B$257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заказа'!$X$281:$X$281</definedName>
    <definedName name="SalesQty101">'Бланк заказа'!$X$282:$X$282</definedName>
    <definedName name="SalesQty102">'Бланк заказа'!$X$283:$X$283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заказа'!$X$120:$X$120</definedName>
    <definedName name="SalesQty46">'Бланк заказа'!$X$124:$X$124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заказа'!$X$186:$X$186</definedName>
    <definedName name="SalesQty67">'Бланк заказа'!$X$187:$X$187</definedName>
    <definedName name="SalesQty68">'Бланк заказа'!$X$188:$X$188</definedName>
    <definedName name="SalesQty69">'Бланк заказа'!$X$193:$X$193</definedName>
    <definedName name="SalesQty7">'Бланк заказа'!$X$28:$X$28</definedName>
    <definedName name="SalesQty70">'Бланк заказа'!$X$194:$X$194</definedName>
    <definedName name="SalesQty71">'Бланк заказа'!$X$199:$X$199</definedName>
    <definedName name="SalesQty72">'Бланк заказа'!$X$205:$X$205</definedName>
    <definedName name="SalesQty73">'Бланк заказа'!$X$206:$X$206</definedName>
    <definedName name="SalesQty74">'Бланк заказа'!$X$207:$X$207</definedName>
    <definedName name="SalesQty75">'Бланк заказа'!$X$208:$X$208</definedName>
    <definedName name="SalesQty76">'Бланк заказа'!$X$214:$X$214</definedName>
    <definedName name="SalesQty77">'Бланк заказа'!$X$218:$X$218</definedName>
    <definedName name="SalesQty78">'Бланк заказа'!$X$219:$X$219</definedName>
    <definedName name="SalesQty79">'Бланк заказа'!$X$220:$X$220</definedName>
    <definedName name="SalesQty8">'Бланк заказа'!$X$29:$X$29</definedName>
    <definedName name="SalesQty80">'Бланк заказа'!$X$225:$X$225</definedName>
    <definedName name="SalesQty81">'Бланк заказа'!$X$226:$X$226</definedName>
    <definedName name="SalesQty82">'Бланк заказа'!$X$231:$X$231</definedName>
    <definedName name="SalesQty83">'Бланк заказа'!$X$237:$X$237</definedName>
    <definedName name="SalesQty84">'Бланк заказа'!$X$243:$X$243</definedName>
    <definedName name="SalesQty85">'Бланк заказа'!$X$247:$X$247</definedName>
    <definedName name="SalesQty86">'Бланк заказа'!$X$253:$X$253</definedName>
    <definedName name="SalesQty87">'Бланк заказа'!$X$257:$X$257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заказа'!$Y$281:$Y$281</definedName>
    <definedName name="SalesRoundBox101">'Бланк заказа'!$Y$282:$Y$282</definedName>
    <definedName name="SalesRoundBox102">'Бланк заказа'!$Y$283:$Y$283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заказа'!$Y$120:$Y$120</definedName>
    <definedName name="SalesRoundBox46">'Бланк заказа'!$Y$124:$Y$124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заказа'!$Y$186:$Y$186</definedName>
    <definedName name="SalesRoundBox67">'Бланк заказа'!$Y$187:$Y$187</definedName>
    <definedName name="SalesRoundBox68">'Бланк заказа'!$Y$188:$Y$188</definedName>
    <definedName name="SalesRoundBox69">'Бланк заказа'!$Y$193:$Y$193</definedName>
    <definedName name="SalesRoundBox7">'Бланк заказа'!$Y$28:$Y$28</definedName>
    <definedName name="SalesRoundBox70">'Бланк заказа'!$Y$194:$Y$194</definedName>
    <definedName name="SalesRoundBox71">'Бланк заказа'!$Y$199:$Y$199</definedName>
    <definedName name="SalesRoundBox72">'Бланк заказа'!$Y$205:$Y$205</definedName>
    <definedName name="SalesRoundBox73">'Бланк заказа'!$Y$206:$Y$206</definedName>
    <definedName name="SalesRoundBox74">'Бланк заказа'!$Y$207:$Y$207</definedName>
    <definedName name="SalesRoundBox75">'Бланк заказа'!$Y$208:$Y$208</definedName>
    <definedName name="SalesRoundBox76">'Бланк заказа'!$Y$214:$Y$214</definedName>
    <definedName name="SalesRoundBox77">'Бланк заказа'!$Y$218:$Y$218</definedName>
    <definedName name="SalesRoundBox78">'Бланк заказа'!$Y$219:$Y$219</definedName>
    <definedName name="SalesRoundBox79">'Бланк заказа'!$Y$220:$Y$220</definedName>
    <definedName name="SalesRoundBox8">'Бланк заказа'!$Y$29:$Y$29</definedName>
    <definedName name="SalesRoundBox80">'Бланк заказа'!$Y$225:$Y$225</definedName>
    <definedName name="SalesRoundBox81">'Бланк заказа'!$Y$226:$Y$226</definedName>
    <definedName name="SalesRoundBox82">'Бланк заказа'!$Y$231:$Y$231</definedName>
    <definedName name="SalesRoundBox83">'Бланк заказа'!$Y$237:$Y$237</definedName>
    <definedName name="SalesRoundBox84">'Бланк заказа'!$Y$243:$Y$243</definedName>
    <definedName name="SalesRoundBox85">'Бланк заказа'!$Y$247:$Y$247</definedName>
    <definedName name="SalesRoundBox86">'Бланк заказа'!$Y$253:$Y$253</definedName>
    <definedName name="SalesRoundBox87">'Бланк заказа'!$Y$257:$Y$257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заказа'!$W$281:$W$281</definedName>
    <definedName name="UnitOfMeasure101">'Бланк заказа'!$W$282:$W$282</definedName>
    <definedName name="UnitOfMeasure102">'Бланк заказа'!$W$283:$W$283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заказа'!$W$120:$W$120</definedName>
    <definedName name="UnitOfMeasure46">'Бланк заказа'!$W$124:$W$124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заказа'!$W$186:$W$186</definedName>
    <definedName name="UnitOfMeasure67">'Бланк заказа'!$W$187:$W$187</definedName>
    <definedName name="UnitOfMeasure68">'Бланк заказа'!$W$188:$W$188</definedName>
    <definedName name="UnitOfMeasure69">'Бланк заказа'!$W$193:$W$193</definedName>
    <definedName name="UnitOfMeasure7">'Бланк заказа'!$W$28:$W$28</definedName>
    <definedName name="UnitOfMeasure70">'Бланк заказа'!$W$194:$W$194</definedName>
    <definedName name="UnitOfMeasure71">'Бланк заказа'!$W$199:$W$199</definedName>
    <definedName name="UnitOfMeasure72">'Бланк заказа'!$W$205:$W$205</definedName>
    <definedName name="UnitOfMeasure73">'Бланк заказа'!$W$206:$W$206</definedName>
    <definedName name="UnitOfMeasure74">'Бланк заказа'!$W$207:$W$207</definedName>
    <definedName name="UnitOfMeasure75">'Бланк заказа'!$W$208:$W$208</definedName>
    <definedName name="UnitOfMeasure76">'Бланк заказа'!$W$214:$W$214</definedName>
    <definedName name="UnitOfMeasure77">'Бланк заказа'!$W$218:$W$218</definedName>
    <definedName name="UnitOfMeasure78">'Бланк заказа'!$W$219:$W$219</definedName>
    <definedName name="UnitOfMeasure79">'Бланк заказа'!$W$220:$W$220</definedName>
    <definedName name="UnitOfMeasure8">'Бланк заказа'!$W$29:$W$29</definedName>
    <definedName name="UnitOfMeasure80">'Бланк заказа'!$W$225:$W$225</definedName>
    <definedName name="UnitOfMeasure81">'Бланк заказа'!$W$226:$W$226</definedName>
    <definedName name="UnitOfMeasure82">'Бланк заказа'!$W$231:$W$231</definedName>
    <definedName name="UnitOfMeasure83">'Бланк заказа'!$W$237:$W$237</definedName>
    <definedName name="UnitOfMeasure84">'Бланк заказа'!$W$243:$W$243</definedName>
    <definedName name="UnitOfMeasure85">'Бланк заказа'!$W$247:$W$247</definedName>
    <definedName name="UnitOfMeasure86">'Бланк заказа'!$W$253:$W$253</definedName>
    <definedName name="UnitOfMeasure87">'Бланк заказа'!$W$257:$W$257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6" i="2" l="1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X285" i="2"/>
  <c r="X284" i="2"/>
  <c r="BO283" i="2"/>
  <c r="BM283" i="2"/>
  <c r="Z283" i="2"/>
  <c r="Y283" i="2"/>
  <c r="BP283" i="2" s="1"/>
  <c r="P283" i="2"/>
  <c r="BO282" i="2"/>
  <c r="BM282" i="2"/>
  <c r="Z282" i="2"/>
  <c r="Y282" i="2"/>
  <c r="BN282" i="2" s="1"/>
  <c r="P282" i="2"/>
  <c r="BO281" i="2"/>
  <c r="BM281" i="2"/>
  <c r="Z281" i="2"/>
  <c r="Y281" i="2"/>
  <c r="BP281" i="2" s="1"/>
  <c r="P281" i="2"/>
  <c r="BO280" i="2"/>
  <c r="BN280" i="2"/>
  <c r="BM280" i="2"/>
  <c r="Z280" i="2"/>
  <c r="Y280" i="2"/>
  <c r="BP280" i="2" s="1"/>
  <c r="P280" i="2"/>
  <c r="BO279" i="2"/>
  <c r="BM279" i="2"/>
  <c r="Z279" i="2"/>
  <c r="Y279" i="2"/>
  <c r="BP279" i="2" s="1"/>
  <c r="P279" i="2"/>
  <c r="BO278" i="2"/>
  <c r="BM278" i="2"/>
  <c r="Z278" i="2"/>
  <c r="Y278" i="2"/>
  <c r="BP278" i="2" s="1"/>
  <c r="P278" i="2"/>
  <c r="BP277" i="2"/>
  <c r="BO277" i="2"/>
  <c r="BN277" i="2"/>
  <c r="BM277" i="2"/>
  <c r="Z277" i="2"/>
  <c r="Y277" i="2"/>
  <c r="BO276" i="2"/>
  <c r="BM276" i="2"/>
  <c r="Z276" i="2"/>
  <c r="Y276" i="2"/>
  <c r="BP276" i="2" s="1"/>
  <c r="BO275" i="2"/>
  <c r="BM275" i="2"/>
  <c r="Z275" i="2"/>
  <c r="Y275" i="2"/>
  <c r="BP275" i="2" s="1"/>
  <c r="BP274" i="2"/>
  <c r="BO274" i="2"/>
  <c r="BN274" i="2"/>
  <c r="BM274" i="2"/>
  <c r="Z274" i="2"/>
  <c r="Z284" i="2" s="1"/>
  <c r="Y274" i="2"/>
  <c r="X272" i="2"/>
  <c r="X271" i="2"/>
  <c r="BP270" i="2"/>
  <c r="BO270" i="2"/>
  <c r="BN270" i="2"/>
  <c r="BM270" i="2"/>
  <c r="Z270" i="2"/>
  <c r="Y270" i="2"/>
  <c r="BP269" i="2"/>
  <c r="BO269" i="2"/>
  <c r="BN269" i="2"/>
  <c r="BM269" i="2"/>
  <c r="Z269" i="2"/>
  <c r="Y269" i="2"/>
  <c r="BO268" i="2"/>
  <c r="BM268" i="2"/>
  <c r="Z268" i="2"/>
  <c r="Z271" i="2" s="1"/>
  <c r="Y268" i="2"/>
  <c r="BP268" i="2" s="1"/>
  <c r="X266" i="2"/>
  <c r="X265" i="2"/>
  <c r="BO264" i="2"/>
  <c r="BN264" i="2"/>
  <c r="BM264" i="2"/>
  <c r="Z264" i="2"/>
  <c r="Y264" i="2"/>
  <c r="BP264" i="2" s="1"/>
  <c r="P264" i="2"/>
  <c r="BO263" i="2"/>
  <c r="BM263" i="2"/>
  <c r="Z263" i="2"/>
  <c r="Z265" i="2" s="1"/>
  <c r="Y263" i="2"/>
  <c r="BP263" i="2" s="1"/>
  <c r="P263" i="2"/>
  <c r="X259" i="2"/>
  <c r="X258" i="2"/>
  <c r="BO257" i="2"/>
  <c r="BM257" i="2"/>
  <c r="Z257" i="2"/>
  <c r="Z258" i="2" s="1"/>
  <c r="Y257" i="2"/>
  <c r="Y259" i="2" s="1"/>
  <c r="P257" i="2"/>
  <c r="Y255" i="2"/>
  <c r="X255" i="2"/>
  <c r="Y254" i="2"/>
  <c r="X254" i="2"/>
  <c r="BP253" i="2"/>
  <c r="BO253" i="2"/>
  <c r="BN253" i="2"/>
  <c r="BM253" i="2"/>
  <c r="Z253" i="2"/>
  <c r="Z254" i="2" s="1"/>
  <c r="Y253" i="2"/>
  <c r="P253" i="2"/>
  <c r="X249" i="2"/>
  <c r="X248" i="2"/>
  <c r="BO247" i="2"/>
  <c r="BM247" i="2"/>
  <c r="Z247" i="2"/>
  <c r="Z248" i="2" s="1"/>
  <c r="Y247" i="2"/>
  <c r="Y248" i="2" s="1"/>
  <c r="P247" i="2"/>
  <c r="X245" i="2"/>
  <c r="X244" i="2"/>
  <c r="BP243" i="2"/>
  <c r="BO243" i="2"/>
  <c r="BN243" i="2"/>
  <c r="BM243" i="2"/>
  <c r="Z243" i="2"/>
  <c r="Z244" i="2" s="1"/>
  <c r="Y243" i="2"/>
  <c r="Y245" i="2" s="1"/>
  <c r="P243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Y232" i="2" s="1"/>
  <c r="P231" i="2"/>
  <c r="X228" i="2"/>
  <c r="X227" i="2"/>
  <c r="BP226" i="2"/>
  <c r="BO226" i="2"/>
  <c r="BN226" i="2"/>
  <c r="BM226" i="2"/>
  <c r="Z226" i="2"/>
  <c r="Y226" i="2"/>
  <c r="P226" i="2"/>
  <c r="BO225" i="2"/>
  <c r="BM225" i="2"/>
  <c r="Z225" i="2"/>
  <c r="Y225" i="2"/>
  <c r="BP225" i="2" s="1"/>
  <c r="P225" i="2"/>
  <c r="X222" i="2"/>
  <c r="X221" i="2"/>
  <c r="BO220" i="2"/>
  <c r="BM220" i="2"/>
  <c r="Z220" i="2"/>
  <c r="Y220" i="2"/>
  <c r="BN220" i="2" s="1"/>
  <c r="P220" i="2"/>
  <c r="BO219" i="2"/>
  <c r="BM219" i="2"/>
  <c r="Z219" i="2"/>
  <c r="Y219" i="2"/>
  <c r="BP219" i="2" s="1"/>
  <c r="P219" i="2"/>
  <c r="BO218" i="2"/>
  <c r="BM218" i="2"/>
  <c r="Z218" i="2"/>
  <c r="Y218" i="2"/>
  <c r="Y222" i="2" s="1"/>
  <c r="P218" i="2"/>
  <c r="X216" i="2"/>
  <c r="X215" i="2"/>
  <c r="BO214" i="2"/>
  <c r="BM214" i="2"/>
  <c r="Z214" i="2"/>
  <c r="Z215" i="2" s="1"/>
  <c r="Y214" i="2"/>
  <c r="Y216" i="2" s="1"/>
  <c r="P214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N206" i="2"/>
  <c r="BM206" i="2"/>
  <c r="Z206" i="2"/>
  <c r="Y206" i="2"/>
  <c r="BP206" i="2" s="1"/>
  <c r="P206" i="2"/>
  <c r="BO205" i="2"/>
  <c r="BM205" i="2"/>
  <c r="Z205" i="2"/>
  <c r="Z209" i="2" s="1"/>
  <c r="Y205" i="2"/>
  <c r="BP205" i="2" s="1"/>
  <c r="P205" i="2"/>
  <c r="Y201" i="2"/>
  <c r="X201" i="2"/>
  <c r="X200" i="2"/>
  <c r="BP199" i="2"/>
  <c r="BO199" i="2"/>
  <c r="BN199" i="2"/>
  <c r="BM199" i="2"/>
  <c r="Z199" i="2"/>
  <c r="Z200" i="2" s="1"/>
  <c r="Y199" i="2"/>
  <c r="Y200" i="2" s="1"/>
  <c r="P199" i="2"/>
  <c r="X196" i="2"/>
  <c r="X195" i="2"/>
  <c r="BO194" i="2"/>
  <c r="BM194" i="2"/>
  <c r="Z194" i="2"/>
  <c r="Y194" i="2"/>
  <c r="BP194" i="2" s="1"/>
  <c r="P194" i="2"/>
  <c r="BO193" i="2"/>
  <c r="BM193" i="2"/>
  <c r="Z193" i="2"/>
  <c r="Z195" i="2" s="1"/>
  <c r="Y193" i="2"/>
  <c r="BN193" i="2" s="1"/>
  <c r="P193" i="2"/>
  <c r="X190" i="2"/>
  <c r="X189" i="2"/>
  <c r="BO188" i="2"/>
  <c r="BM188" i="2"/>
  <c r="Z188" i="2"/>
  <c r="Y188" i="2"/>
  <c r="Y189" i="2" s="1"/>
  <c r="P188" i="2"/>
  <c r="BP187" i="2"/>
  <c r="BO187" i="2"/>
  <c r="BN187" i="2"/>
  <c r="BM187" i="2"/>
  <c r="Z187" i="2"/>
  <c r="Y187" i="2"/>
  <c r="P187" i="2"/>
  <c r="BO186" i="2"/>
  <c r="BN186" i="2"/>
  <c r="BM186" i="2"/>
  <c r="Z186" i="2"/>
  <c r="Z189" i="2" s="1"/>
  <c r="Y186" i="2"/>
  <c r="P186" i="2"/>
  <c r="X184" i="2"/>
  <c r="X183" i="2"/>
  <c r="BO182" i="2"/>
  <c r="BM182" i="2"/>
  <c r="Z182" i="2"/>
  <c r="Z183" i="2" s="1"/>
  <c r="Y182" i="2"/>
  <c r="P182" i="2"/>
  <c r="X180" i="2"/>
  <c r="X179" i="2"/>
  <c r="BO178" i="2"/>
  <c r="BM178" i="2"/>
  <c r="Z178" i="2"/>
  <c r="Z179" i="2" s="1"/>
  <c r="Y178" i="2"/>
  <c r="Y179" i="2" s="1"/>
  <c r="P178" i="2"/>
  <c r="X174" i="2"/>
  <c r="X173" i="2"/>
  <c r="BO172" i="2"/>
  <c r="BN172" i="2"/>
  <c r="BM172" i="2"/>
  <c r="Z172" i="2"/>
  <c r="Z173" i="2" s="1"/>
  <c r="Y172" i="2"/>
  <c r="Y174" i="2" s="1"/>
  <c r="P172" i="2"/>
  <c r="X169" i="2"/>
  <c r="Y168" i="2"/>
  <c r="X168" i="2"/>
  <c r="BO167" i="2"/>
  <c r="BM167" i="2"/>
  <c r="Z167" i="2"/>
  <c r="Z168" i="2" s="1"/>
  <c r="Y167" i="2"/>
  <c r="P167" i="2"/>
  <c r="X164" i="2"/>
  <c r="X163" i="2"/>
  <c r="BO162" i="2"/>
  <c r="BM162" i="2"/>
  <c r="Z162" i="2"/>
  <c r="Z163" i="2" s="1"/>
  <c r="Y162" i="2"/>
  <c r="Y163" i="2" s="1"/>
  <c r="P162" i="2"/>
  <c r="X159" i="2"/>
  <c r="X158" i="2"/>
  <c r="BO157" i="2"/>
  <c r="BN157" i="2"/>
  <c r="BM157" i="2"/>
  <c r="Z157" i="2"/>
  <c r="Y157" i="2"/>
  <c r="BP157" i="2" s="1"/>
  <c r="P157" i="2"/>
  <c r="BO156" i="2"/>
  <c r="BM156" i="2"/>
  <c r="Z156" i="2"/>
  <c r="Y156" i="2"/>
  <c r="P156" i="2"/>
  <c r="BO155" i="2"/>
  <c r="BM155" i="2"/>
  <c r="Z155" i="2"/>
  <c r="Y155" i="2"/>
  <c r="P155" i="2"/>
  <c r="X152" i="2"/>
  <c r="X151" i="2"/>
  <c r="BO150" i="2"/>
  <c r="BM150" i="2"/>
  <c r="Z150" i="2"/>
  <c r="Z151" i="2" s="1"/>
  <c r="Y150" i="2"/>
  <c r="BN150" i="2" s="1"/>
  <c r="P150" i="2"/>
  <c r="BO149" i="2"/>
  <c r="BM149" i="2"/>
  <c r="Z149" i="2"/>
  <c r="Y149" i="2"/>
  <c r="BP149" i="2" s="1"/>
  <c r="P149" i="2"/>
  <c r="X146" i="2"/>
  <c r="X145" i="2"/>
  <c r="BO144" i="2"/>
  <c r="BM144" i="2"/>
  <c r="Z144" i="2"/>
  <c r="Y144" i="2"/>
  <c r="P144" i="2"/>
  <c r="BO143" i="2"/>
  <c r="BM143" i="2"/>
  <c r="Z143" i="2"/>
  <c r="Z145" i="2" s="1"/>
  <c r="Y143" i="2"/>
  <c r="BP143" i="2" s="1"/>
  <c r="P143" i="2"/>
  <c r="X140" i="2"/>
  <c r="X139" i="2"/>
  <c r="BO138" i="2"/>
  <c r="BM138" i="2"/>
  <c r="Z138" i="2"/>
  <c r="Y138" i="2"/>
  <c r="BN138" i="2" s="1"/>
  <c r="P138" i="2"/>
  <c r="BO137" i="2"/>
  <c r="BM137" i="2"/>
  <c r="Z137" i="2"/>
  <c r="Y137" i="2"/>
  <c r="BP137" i="2" s="1"/>
  <c r="P137" i="2"/>
  <c r="BO136" i="2"/>
  <c r="BM136" i="2"/>
  <c r="Z136" i="2"/>
  <c r="Z139" i="2" s="1"/>
  <c r="Y136" i="2"/>
  <c r="P136" i="2"/>
  <c r="X134" i="2"/>
  <c r="X133" i="2"/>
  <c r="BO132" i="2"/>
  <c r="BM132" i="2"/>
  <c r="Z132" i="2"/>
  <c r="Y132" i="2"/>
  <c r="P132" i="2"/>
  <c r="BP131" i="2"/>
  <c r="BO131" i="2"/>
  <c r="BN131" i="2"/>
  <c r="BM131" i="2"/>
  <c r="Z131" i="2"/>
  <c r="Z133" i="2" s="1"/>
  <c r="Y131" i="2"/>
  <c r="P131" i="2"/>
  <c r="BO130" i="2"/>
  <c r="BM130" i="2"/>
  <c r="Z130" i="2"/>
  <c r="Y130" i="2"/>
  <c r="BN130" i="2" s="1"/>
  <c r="P130" i="2"/>
  <c r="BO129" i="2"/>
  <c r="BM129" i="2"/>
  <c r="Z129" i="2"/>
  <c r="Y129" i="2"/>
  <c r="P129" i="2"/>
  <c r="Y126" i="2"/>
  <c r="X126" i="2"/>
  <c r="Y125" i="2"/>
  <c r="X125" i="2"/>
  <c r="BO124" i="2"/>
  <c r="BM124" i="2"/>
  <c r="Z124" i="2"/>
  <c r="Z125" i="2" s="1"/>
  <c r="Y124" i="2"/>
  <c r="BP124" i="2" s="1"/>
  <c r="P124" i="2"/>
  <c r="X122" i="2"/>
  <c r="X121" i="2"/>
  <c r="BP120" i="2"/>
  <c r="BO120" i="2"/>
  <c r="BN120" i="2"/>
  <c r="BM120" i="2"/>
  <c r="Z120" i="2"/>
  <c r="Z121" i="2" s="1"/>
  <c r="Y120" i="2"/>
  <c r="Y121" i="2" s="1"/>
  <c r="P120" i="2"/>
  <c r="X118" i="2"/>
  <c r="X117" i="2"/>
  <c r="BO116" i="2"/>
  <c r="BM116" i="2"/>
  <c r="Z116" i="2"/>
  <c r="Y116" i="2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P112" i="2"/>
  <c r="BO112" i="2"/>
  <c r="BN112" i="2"/>
  <c r="BM112" i="2"/>
  <c r="Z112" i="2"/>
  <c r="Y112" i="2"/>
  <c r="P112" i="2"/>
  <c r="BO111" i="2"/>
  <c r="BM111" i="2"/>
  <c r="Z111" i="2"/>
  <c r="Y111" i="2"/>
  <c r="P111" i="2"/>
  <c r="BP110" i="2"/>
  <c r="BO110" i="2"/>
  <c r="BN110" i="2"/>
  <c r="BM110" i="2"/>
  <c r="Z110" i="2"/>
  <c r="Y110" i="2"/>
  <c r="P110" i="2"/>
  <c r="BO109" i="2"/>
  <c r="BM109" i="2"/>
  <c r="Z109" i="2"/>
  <c r="Y109" i="2"/>
  <c r="Y118" i="2" s="1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Z105" i="2" s="1"/>
  <c r="Y103" i="2"/>
  <c r="BN103" i="2" s="1"/>
  <c r="P103" i="2"/>
  <c r="X100" i="2"/>
  <c r="X99" i="2"/>
  <c r="BP98" i="2"/>
  <c r="BO98" i="2"/>
  <c r="BN98" i="2"/>
  <c r="BM98" i="2"/>
  <c r="Z98" i="2"/>
  <c r="Y98" i="2"/>
  <c r="P98" i="2"/>
  <c r="BO97" i="2"/>
  <c r="BN97" i="2"/>
  <c r="BM97" i="2"/>
  <c r="Z97" i="2"/>
  <c r="Y97" i="2"/>
  <c r="BP97" i="2" s="1"/>
  <c r="P97" i="2"/>
  <c r="BO96" i="2"/>
  <c r="BM96" i="2"/>
  <c r="Z96" i="2"/>
  <c r="Y96" i="2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BO93" i="2"/>
  <c r="BM93" i="2"/>
  <c r="Z93" i="2"/>
  <c r="Y93" i="2"/>
  <c r="BN93" i="2" s="1"/>
  <c r="P93" i="2"/>
  <c r="X90" i="2"/>
  <c r="X89" i="2"/>
  <c r="BO88" i="2"/>
  <c r="BM88" i="2"/>
  <c r="Z88" i="2"/>
  <c r="Y88" i="2"/>
  <c r="BN88" i="2" s="1"/>
  <c r="P88" i="2"/>
  <c r="BP87" i="2"/>
  <c r="BO87" i="2"/>
  <c r="BN87" i="2"/>
  <c r="BM87" i="2"/>
  <c r="Z87" i="2"/>
  <c r="Y87" i="2"/>
  <c r="P87" i="2"/>
  <c r="X84" i="2"/>
  <c r="Z83" i="2"/>
  <c r="X83" i="2"/>
  <c r="BO82" i="2"/>
  <c r="BM82" i="2"/>
  <c r="Z82" i="2"/>
  <c r="Y82" i="2"/>
  <c r="P82" i="2"/>
  <c r="X79" i="2"/>
  <c r="X78" i="2"/>
  <c r="BO77" i="2"/>
  <c r="BM77" i="2"/>
  <c r="Z77" i="2"/>
  <c r="Y77" i="2"/>
  <c r="BP77" i="2" s="1"/>
  <c r="P77" i="2"/>
  <c r="BO76" i="2"/>
  <c r="BM76" i="2"/>
  <c r="Z76" i="2"/>
  <c r="Y76" i="2"/>
  <c r="Y79" i="2" s="1"/>
  <c r="P76" i="2"/>
  <c r="X73" i="2"/>
  <c r="X72" i="2"/>
  <c r="BO71" i="2"/>
  <c r="BN71" i="2"/>
  <c r="BM71" i="2"/>
  <c r="Z71" i="2"/>
  <c r="Y71" i="2"/>
  <c r="BP71" i="2" s="1"/>
  <c r="P71" i="2"/>
  <c r="BO70" i="2"/>
  <c r="BM70" i="2"/>
  <c r="Z70" i="2"/>
  <c r="Y70" i="2"/>
  <c r="P70" i="2"/>
  <c r="BO69" i="2"/>
  <c r="BM69" i="2"/>
  <c r="Z69" i="2"/>
  <c r="Y69" i="2"/>
  <c r="BP69" i="2" s="1"/>
  <c r="P69" i="2"/>
  <c r="X67" i="2"/>
  <c r="X66" i="2"/>
  <c r="BO65" i="2"/>
  <c r="BM65" i="2"/>
  <c r="Z65" i="2"/>
  <c r="Z66" i="2" s="1"/>
  <c r="Y65" i="2"/>
  <c r="Y67" i="2" s="1"/>
  <c r="P65" i="2"/>
  <c r="X63" i="2"/>
  <c r="X62" i="2"/>
  <c r="BO61" i="2"/>
  <c r="BM61" i="2"/>
  <c r="Z61" i="2"/>
  <c r="Z62" i="2" s="1"/>
  <c r="Y61" i="2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Z53" i="2"/>
  <c r="Z57" i="2" s="1"/>
  <c r="Y53" i="2"/>
  <c r="P53" i="2"/>
  <c r="X50" i="2"/>
  <c r="Y49" i="2"/>
  <c r="X49" i="2"/>
  <c r="BP48" i="2"/>
  <c r="BO48" i="2"/>
  <c r="BN48" i="2"/>
  <c r="BM48" i="2"/>
  <c r="Z48" i="2"/>
  <c r="Y48" i="2"/>
  <c r="P48" i="2"/>
  <c r="BO47" i="2"/>
  <c r="BN47" i="2"/>
  <c r="BM47" i="2"/>
  <c r="Z47" i="2"/>
  <c r="Z49" i="2" s="1"/>
  <c r="Y47" i="2"/>
  <c r="BP47" i="2" s="1"/>
  <c r="P47" i="2"/>
  <c r="X44" i="2"/>
  <c r="Z43" i="2"/>
  <c r="X43" i="2"/>
  <c r="BO42" i="2"/>
  <c r="BM42" i="2"/>
  <c r="Z42" i="2"/>
  <c r="Y42" i="2"/>
  <c r="BP42" i="2" s="1"/>
  <c r="P42" i="2"/>
  <c r="BP41" i="2"/>
  <c r="BO41" i="2"/>
  <c r="BN41" i="2"/>
  <c r="BM41" i="2"/>
  <c r="Z41" i="2"/>
  <c r="Y41" i="2"/>
  <c r="P41" i="2"/>
  <c r="X37" i="2"/>
  <c r="X36" i="2"/>
  <c r="BP35" i="2"/>
  <c r="BO35" i="2"/>
  <c r="BN35" i="2"/>
  <c r="BM35" i="2"/>
  <c r="Z35" i="2"/>
  <c r="Y35" i="2"/>
  <c r="P35" i="2"/>
  <c r="BO34" i="2"/>
  <c r="BM34" i="2"/>
  <c r="Z34" i="2"/>
  <c r="Z36" i="2" s="1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P24" i="2"/>
  <c r="BP23" i="2"/>
  <c r="BO23" i="2"/>
  <c r="BN23" i="2"/>
  <c r="BM23" i="2"/>
  <c r="Z23" i="2"/>
  <c r="Y23" i="2"/>
  <c r="P23" i="2"/>
  <c r="BO22" i="2"/>
  <c r="X288" i="2" s="1"/>
  <c r="BM22" i="2"/>
  <c r="Z22" i="2"/>
  <c r="Y22" i="2"/>
  <c r="P22" i="2"/>
  <c r="H10" i="2"/>
  <c r="A9" i="2"/>
  <c r="F10" i="2" s="1"/>
  <c r="D7" i="2"/>
  <c r="Q6" i="2"/>
  <c r="P2" i="2"/>
  <c r="BP54" i="2" l="1"/>
  <c r="BP55" i="2"/>
  <c r="BP88" i="2"/>
  <c r="Y89" i="2"/>
  <c r="BP96" i="2"/>
  <c r="BN96" i="2"/>
  <c r="Y99" i="2"/>
  <c r="BP104" i="2"/>
  <c r="BP111" i="2"/>
  <c r="BN111" i="2"/>
  <c r="BP115" i="2"/>
  <c r="BP116" i="2"/>
  <c r="BN116" i="2"/>
  <c r="BP132" i="2"/>
  <c r="BN132" i="2"/>
  <c r="BP182" i="2"/>
  <c r="Y184" i="2"/>
  <c r="BN182" i="2"/>
  <c r="Y183" i="2"/>
  <c r="Y30" i="2"/>
  <c r="BP22" i="2"/>
  <c r="BN22" i="2"/>
  <c r="X287" i="2"/>
  <c r="X289" i="2" s="1"/>
  <c r="BP24" i="2"/>
  <c r="BN24" i="2"/>
  <c r="X286" i="2"/>
  <c r="Y37" i="2"/>
  <c r="BP34" i="2"/>
  <c r="BN34" i="2"/>
  <c r="Y36" i="2"/>
  <c r="Y62" i="2"/>
  <c r="Y63" i="2"/>
  <c r="BP61" i="2"/>
  <c r="BN61" i="2"/>
  <c r="BP70" i="2"/>
  <c r="BN70" i="2"/>
  <c r="Y73" i="2"/>
  <c r="Y84" i="2"/>
  <c r="Y83" i="2"/>
  <c r="Y133" i="2"/>
  <c r="Y134" i="2"/>
  <c r="BP129" i="2"/>
  <c r="BN129" i="2"/>
  <c r="BP144" i="2"/>
  <c r="BN144" i="2"/>
  <c r="Y146" i="2"/>
  <c r="BP156" i="2"/>
  <c r="BN156" i="2"/>
  <c r="BP167" i="2"/>
  <c r="Y169" i="2"/>
  <c r="BN167" i="2"/>
  <c r="BP188" i="2"/>
  <c r="BP193" i="2"/>
  <c r="Y209" i="2"/>
  <c r="BP220" i="2"/>
  <c r="Y233" i="2"/>
  <c r="BP282" i="2"/>
  <c r="Z30" i="2"/>
  <c r="BP27" i="2"/>
  <c r="BP28" i="2"/>
  <c r="X290" i="2"/>
  <c r="Y44" i="2"/>
  <c r="Y43" i="2"/>
  <c r="Y57" i="2"/>
  <c r="Z72" i="2"/>
  <c r="Z78" i="2"/>
  <c r="Y90" i="2"/>
  <c r="Z89" i="2"/>
  <c r="BP93" i="2"/>
  <c r="BP94" i="2"/>
  <c r="Z99" i="2"/>
  <c r="Z117" i="2"/>
  <c r="Y122" i="2"/>
  <c r="BP130" i="2"/>
  <c r="Y140" i="2"/>
  <c r="BP138" i="2"/>
  <c r="Y159" i="2"/>
  <c r="Z158" i="2"/>
  <c r="Y190" i="2"/>
  <c r="BN194" i="2"/>
  <c r="BN208" i="2"/>
  <c r="BN214" i="2"/>
  <c r="Z221" i="2"/>
  <c r="Z227" i="2"/>
  <c r="BN237" i="2"/>
  <c r="BP237" i="2"/>
  <c r="Y238" i="2"/>
  <c r="Y249" i="2"/>
  <c r="BN257" i="2"/>
  <c r="BP257" i="2"/>
  <c r="Y285" i="2"/>
  <c r="BN278" i="2"/>
  <c r="Z291" i="2"/>
  <c r="BN113" i="2"/>
  <c r="BN136" i="2"/>
  <c r="Y139" i="2"/>
  <c r="BP150" i="2"/>
  <c r="BN162" i="2"/>
  <c r="BN178" i="2"/>
  <c r="BN218" i="2"/>
  <c r="Y221" i="2"/>
  <c r="Y31" i="2"/>
  <c r="Y58" i="2"/>
  <c r="BN82" i="2"/>
  <c r="Y145" i="2"/>
  <c r="Y210" i="2"/>
  <c r="Y227" i="2"/>
  <c r="Y244" i="2"/>
  <c r="Y258" i="2"/>
  <c r="BN25" i="2"/>
  <c r="BP65" i="2"/>
  <c r="BN76" i="2"/>
  <c r="Y105" i="2"/>
  <c r="Y50" i="2"/>
  <c r="Y66" i="2"/>
  <c r="BP76" i="2"/>
  <c r="Y100" i="2"/>
  <c r="BP136" i="2"/>
  <c r="Y151" i="2"/>
  <c r="BP162" i="2"/>
  <c r="BP178" i="2"/>
  <c r="BN188" i="2"/>
  <c r="BP218" i="2"/>
  <c r="Y265" i="2"/>
  <c r="BN275" i="2"/>
  <c r="BN283" i="2"/>
  <c r="BN65" i="2"/>
  <c r="BP82" i="2"/>
  <c r="Y106" i="2"/>
  <c r="Y228" i="2"/>
  <c r="Y152" i="2"/>
  <c r="BN207" i="2"/>
  <c r="Y266" i="2"/>
  <c r="BN281" i="2"/>
  <c r="Y284" i="2"/>
  <c r="BN114" i="2"/>
  <c r="Y117" i="2"/>
  <c r="BN137" i="2"/>
  <c r="Y164" i="2"/>
  <c r="Y180" i="2"/>
  <c r="Y195" i="2"/>
  <c r="BN219" i="2"/>
  <c r="Y271" i="2"/>
  <c r="A10" i="2"/>
  <c r="BN109" i="2"/>
  <c r="BN143" i="2"/>
  <c r="BP172" i="2"/>
  <c r="BP186" i="2"/>
  <c r="BP214" i="2"/>
  <c r="BN225" i="2"/>
  <c r="BN276" i="2"/>
  <c r="BP103" i="2"/>
  <c r="BN124" i="2"/>
  <c r="BN149" i="2"/>
  <c r="BN205" i="2"/>
  <c r="BN231" i="2"/>
  <c r="BN247" i="2"/>
  <c r="BN263" i="2"/>
  <c r="BN268" i="2"/>
  <c r="F9" i="2"/>
  <c r="H9" i="2"/>
  <c r="BN29" i="2"/>
  <c r="BN56" i="2"/>
  <c r="BN69" i="2"/>
  <c r="Y72" i="2"/>
  <c r="BN95" i="2"/>
  <c r="BP109" i="2"/>
  <c r="BN155" i="2"/>
  <c r="Y158" i="2"/>
  <c r="Y173" i="2"/>
  <c r="Y196" i="2"/>
  <c r="Y215" i="2"/>
  <c r="Y272" i="2"/>
  <c r="BN279" i="2"/>
  <c r="BP231" i="2"/>
  <c r="BP247" i="2"/>
  <c r="J9" i="2"/>
  <c r="BN26" i="2"/>
  <c r="BN53" i="2"/>
  <c r="BN77" i="2"/>
  <c r="BP53" i="2"/>
  <c r="Y78" i="2"/>
  <c r="BN42" i="2"/>
  <c r="BP155" i="2"/>
  <c r="Y287" i="2" l="1"/>
  <c r="Y289" i="2" s="1"/>
  <c r="Y288" i="2"/>
  <c r="Y290" i="2"/>
  <c r="Y286" i="2"/>
  <c r="B299" i="2" l="1"/>
  <c r="A299" i="2"/>
  <c r="C299" i="2"/>
</calcChain>
</file>

<file path=xl/sharedStrings.xml><?xml version="1.0" encoding="utf-8"?>
<sst xmlns="http://schemas.openxmlformats.org/spreadsheetml/2006/main" count="1786" uniqueCount="419">
  <si>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</si>
  <si>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</si>
  <si>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</si>
  <si>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</si>
  <si>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</si>
  <si>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</si>
  <si>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</si>
  <si>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</si>
  <si>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</si>
  <si>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</si>
  <si>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</si>
  <si>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</si>
  <si>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</si>
  <si>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</si>
  <si>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</si>
  <si>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</si>
  <si>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</si>
  <si>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</si>
  <si>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</si>
  <si>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</si>
  <si>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</si>
  <si>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</si>
  <si>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</si>
  <si>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</si>
  <si>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</si>
  <si>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</si>
  <si>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</si>
  <si>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</si>
  <si>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</si>
  <si>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</si>
  <si>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</si>
  <si>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</si>
  <si>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</si>
  <si>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</si>
  <si>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</si>
  <si>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</si>
  <si>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</si>
  <si>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</si>
  <si>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</si>
  <si>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</si>
  <si>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</si>
  <si>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</si>
  <si>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</si>
  <si>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</si>
  <si>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</si>
  <si>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</si>
  <si>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</si>
  <si>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</si>
  <si>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</si>
  <si>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</si>
  <si>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</si>
  <si>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</si>
  <si>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</si>
  <si>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</si>
  <si>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</si>
  <si>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</si>
  <si>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</si>
  <si>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</si>
  <si>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</si>
  <si>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</si>
  <si>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</si>
  <si>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</si>
  <si>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</si>
  <si>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</si>
  <si>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</si>
  <si>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</si>
  <si>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</si>
  <si>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</si>
  <si>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</si>
  <si>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</si>
  <si>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</si>
  <si>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21.09.2026</t>
  </si>
  <si>
    <t>19.09.2026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</si>
  <si>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</si>
  <si>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</si>
  <si>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</si>
  <si>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</si>
  <si>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</si>
  <si>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</si>
  <si>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</si>
  <si>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</si>
  <si>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</si>
  <si>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</si>
  <si>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</si>
  <si>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</si>
  <si>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</si>
  <si>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</si>
  <si>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</si>
  <si>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</si>
  <si>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</si>
  <si>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</si>
  <si>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</si>
  <si>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</si>
  <si>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</si>
  <si>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</si>
  <si>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</si>
  <si>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</si>
  <si>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</si>
  <si>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</si>
  <si>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</si>
  <si>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</si>
  <si>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</si>
  <si>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</si>
  <si>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</si>
  <si>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</si>
  <si>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</si>
  <si>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</si>
  <si>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</si>
  <si>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</si>
  <si>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</si>
  <si>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</si>
  <si>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</si>
  <si>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</si>
  <si>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</si>
  <si>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</si>
  <si>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</si>
  <si>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</si>
  <si>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</si>
  <si>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</si>
  <si>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</si>
  <si>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</si>
  <si>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</si>
  <si>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</si>
  <si>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</si>
  <si>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</si>
  <si>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</si>
  <si>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</si>
  <si>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</si>
  <si>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</si>
  <si>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</si>
  <si>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</si>
  <si>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</si>
  <si>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</si>
  <si>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</si>
  <si>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</si>
  <si>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</si>
  <si>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</si>
  <si>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</si>
  <si>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</si>
  <si>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</si>
  <si>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</si>
  <si>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</si>
  <si>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</si>
  <si>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</si>
  <si>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</si>
  <si>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</si>
  <si>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</si>
  <si>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</si>
  <si>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</si>
  <si>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</si>
  <si>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</si>
  <si>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</si>
  <si>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</si>
  <si>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</si>
  <si>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</si>
  <si>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</si>
  <si>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</si>
  <si>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</si>
  <si>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</si>
  <si>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</si>
  <si>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</si>
  <si>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</si>
  <si>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</si>
  <si>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</si>
  <si>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</si>
  <si>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</si>
  <si>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</si>
  <si>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</si>
  <si>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</si>
  <si>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</si>
  <si>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</si>
  <si>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</si>
  <si>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</si>
  <si>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</si>
  <si>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</si>
  <si>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</si>
  <si>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</si>
  <si>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</si>
  <si>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</si>
  <si>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</si>
  <si>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</si>
  <si>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</si>
  <si>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</si>
  <si>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</si>
  <si>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</si>
  <si>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</si>
  <si>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</si>
  <si>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</si>
  <si>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</si>
  <si>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</si>
  <si>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</si>
  <si>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</si>
  <si>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</si>
  <si>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</si>
  <si>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</si>
  <si>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</si>
  <si>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</si>
  <si>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</si>
  <si>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</si>
  <si>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</si>
  <si>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</si>
  <si>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</si>
  <si>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</si>
  <si>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</si>
  <si>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</si>
  <si>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</si>
  <si>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</si>
  <si>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</si>
  <si>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</si>
  <si>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</si>
  <si>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</si>
  <si>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</si>
  <si>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</si>
  <si>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</si>
  <si>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</si>
  <si>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</si>
  <si>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</si>
  <si>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</si>
  <si>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</si>
  <si>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</si>
  <si>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</si>
  <si>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</si>
  <si>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</si>
  <si>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</si>
  <si>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</si>
  <si>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</si>
  <si>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</si>
  <si>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</si>
  <si>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</si>
  <si>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</si>
  <si>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</si>
  <si>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</si>
  <si>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</si>
  <si>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</si>
  <si>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</si>
  <si>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</si>
  <si>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</si>
  <si>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</si>
  <si>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</si>
  <si>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</si>
  <si>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</si>
  <si>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</si>
  <si>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</si>
  <si>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</si>
  <si>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</si>
  <si>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</si>
  <si>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</si>
  <si>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</si>
  <si>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SU004234</t>
  </si>
  <si>
    <t>P005500</t>
  </si>
  <si>
    <t>ЕАЭС N RU Д-RU.РА03.В.76687/26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</si>
  <si>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</si>
  <si>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</si>
  <si>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</si>
  <si>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</si>
  <si>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</si>
  <si>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</si>
  <si>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</si>
  <si>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SU003873</t>
  </si>
  <si>
    <t>P004954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</si>
  <si>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</si>
  <si>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</si>
  <si>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</si>
  <si>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</si>
  <si>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</si>
  <si>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</si>
  <si>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</si>
  <si>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</si>
  <si>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</si>
  <si>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</si>
  <si>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</si>
  <si>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</si>
  <si>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</si>
  <si>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</si>
  <si>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</si>
  <si>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</si>
  <si>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</si>
  <si>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</si>
  <si>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</si>
  <si>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</si>
  <si>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SU002045</t>
  </si>
  <si>
    <t>P002166</t>
  </si>
  <si>
    <t>ЕАЭС N RU Д-RU.РА01.В.28494/20, ЕАЭС N RU Д-RU.РА09.В.52744/22</t>
  </si>
  <si>
    <t>SU004372</t>
  </si>
  <si>
    <t>P005749</t>
  </si>
  <si>
    <t>ЕАЭС N RU Д-RU.РА04.В.70329/26</t>
  </si>
  <si>
    <t>SU003191</t>
  </si>
  <si>
    <t>P003804</t>
  </si>
  <si>
    <t>ЕАЭС N RU Д-RU.РА08.В.03895/23, ЕАЭС N RU Д-RU.РА08.В.0395/23</t>
  </si>
  <si>
    <t>SU004301</t>
  </si>
  <si>
    <t>P005602</t>
  </si>
  <si>
    <t>ЕАЭС N RU Д-RU.РА04.В.53375/26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</si>
  <si>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</si>
  <si>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</si>
  <si>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</si>
  <si>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</si>
  <si>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</si>
  <si>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</si>
  <si>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</si>
  <si>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</si>
  <si>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</si>
  <si>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</si>
  <si>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</si>
  <si>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</si>
  <si>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</si>
  <si>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</si>
  <si>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</si>
  <si>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</si>
  <si>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</si>
  <si>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</si>
  <si>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</si>
  <si>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</si>
  <si>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</si>
  <si>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</si>
  <si>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</si>
  <si>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</si>
  <si>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</si>
  <si>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</si>
  <si>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</si>
  <si>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</si>
  <si>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</si>
  <si>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</si>
  <si>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</si>
  <si>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</si>
  <si>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</si>
  <si>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</si>
  <si>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</si>
  <si>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</si>
  <si>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</si>
  <si>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</si>
  <si>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</si>
  <si>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</si>
  <si>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</si>
  <si>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</si>
  <si>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</si>
  <si>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</si>
  <si>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</si>
  <si>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</si>
  <si>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</si>
  <si>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</si>
  <si>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</si>
  <si>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</si>
  <si>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</si>
  <si>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</si>
  <si>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</si>
  <si>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</si>
  <si>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</si>
  <si>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</si>
  <si>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</si>
  <si>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</si>
  <si>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</si>
  <si>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</si>
  <si>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</si>
  <si>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</si>
  <si>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</si>
  <si>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</si>
  <si>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</si>
  <si>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</si>
  <si>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</si>
  <si>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</si>
  <si>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</si>
  <si>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</si>
  <si>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</si>
  <si>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</si>
  <si>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</si>
  <si>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</si>
  <si>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</si>
  <si>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</si>
  <si>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</si>
  <si>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</si>
  <si>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</si>
  <si>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</si>
  <si>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</si>
  <si>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</si>
  <si>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</si>
  <si>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</si>
  <si>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</si>
  <si>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</si>
  <si>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</si>
  <si>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</si>
  <si>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</si>
  <si>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</si>
  <si>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</si>
  <si>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SU003434</t>
  </si>
  <si>
    <t>P005736</t>
  </si>
  <si>
    <t>Снеки «Мини-чебуречки с мясом» Весовой ТМ «Зареченские продукты» 5,5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</si>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</sst>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8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7" fillId="0" borderId="11" xfId="0" applyFont="1" applyFill="1" applyBorder="1" applyAlignment="1" applyProtection="1">
      <alignment wrapText="1"/>
      <protection hidden="1"/>
    </xf>
    <xf numFmtId="0" fontId="36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366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9"/>
  <sheetViews>
    <sheetView showGridLines="0" tabSelected="1" zoomScaleNormal="100" zoomScaleSheetLayoutView="100" workbookViewId="0">
      <selection activeCell="V22" sqref="V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93" t="s">
        <v>26</v>
      </c>
      <c r="E1" s="293"/>
      <c r="F1" s="293"/>
      <c r="G1" s="14" t="s">
        <v>70</v>
      </c>
      <c r="H1" s="293" t="s">
        <v>47</v>
      </c>
      <c r="I1" s="293"/>
      <c r="J1" s="293"/>
      <c r="K1" s="293"/>
      <c r="L1" s="293"/>
      <c r="M1" s="293"/>
      <c r="N1" s="293"/>
      <c r="O1" s="293"/>
      <c r="P1" s="293"/>
      <c r="Q1" s="293"/>
      <c r="R1" s="294" t="s">
        <v>71</v>
      </c>
      <c r="S1" s="295"/>
      <c r="T1" s="2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6"/>
      <c r="R2" s="296"/>
      <c r="S2" s="296"/>
      <c r="T2" s="296"/>
      <c r="U2" s="296"/>
      <c r="V2" s="296"/>
      <c r="W2" s="2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6"/>
      <c r="Q3" s="296"/>
      <c r="R3" s="296"/>
      <c r="S3" s="296"/>
      <c r="T3" s="296"/>
      <c r="U3" s="296"/>
      <c r="V3" s="296"/>
      <c r="W3" s="2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7" t="s">
        <v>8</v>
      </c>
      <c r="B5" s="297"/>
      <c r="C5" s="297"/>
      <c r="D5" s="298"/>
      <c r="E5" s="298"/>
      <c r="F5" s="299" t="s">
        <v>14</v>
      </c>
      <c r="G5" s="299"/>
      <c r="H5" s="298"/>
      <c r="I5" s="298"/>
      <c r="J5" s="298"/>
      <c r="K5" s="298"/>
      <c r="L5" s="298"/>
      <c r="M5" s="298"/>
      <c r="N5" s="75"/>
      <c r="P5" s="27" t="s">
        <v>4</v>
      </c>
      <c r="Q5" s="300">
        <v>46290</v>
      </c>
      <c r="R5" s="300"/>
      <c r="T5" s="301" t="s">
        <v>3</v>
      </c>
      <c r="U5" s="302"/>
      <c r="V5" s="303" t="s">
        <v>405</v>
      </c>
      <c r="W5" s="304"/>
      <c r="AB5" s="59"/>
      <c r="AC5" s="59"/>
      <c r="AD5" s="59"/>
      <c r="AE5" s="59"/>
    </row>
    <row r="6" spans="1:32" s="17" customFormat="1" ht="24" customHeight="1" x14ac:dyDescent="0.2">
      <c r="A6" s="297" t="s">
        <v>1</v>
      </c>
      <c r="B6" s="297"/>
      <c r="C6" s="297"/>
      <c r="D6" s="305" t="s">
        <v>79</v>
      </c>
      <c r="E6" s="305"/>
      <c r="F6" s="305"/>
      <c r="G6" s="305"/>
      <c r="H6" s="305"/>
      <c r="I6" s="305"/>
      <c r="J6" s="305"/>
      <c r="K6" s="305"/>
      <c r="L6" s="305"/>
      <c r="M6" s="305"/>
      <c r="N6" s="76"/>
      <c r="P6" s="27" t="s">
        <v>27</v>
      </c>
      <c r="Q6" s="306" t="str">
        <f>IF(Q5=0," ",CHOOSE(WEEKDAY(Q5,2),"Понедельник","Вторник","Среда","Четверг","Пятница","Суббота","Воскресенье"))</f>
        <v>Пятница</v>
      </c>
      <c r="R6" s="306"/>
      <c r="T6" s="307" t="s">
        <v>5</v>
      </c>
      <c r="U6" s="308"/>
      <c r="V6" s="309" t="s">
        <v>73</v>
      </c>
      <c r="W6" s="31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5" t="str">
        <f>IFERROR(VLOOKUP(DeliveryAddress,Table,3,0),1)</f>
        <v>1</v>
      </c>
      <c r="E7" s="316"/>
      <c r="F7" s="316"/>
      <c r="G7" s="316"/>
      <c r="H7" s="316"/>
      <c r="I7" s="316"/>
      <c r="J7" s="316"/>
      <c r="K7" s="316"/>
      <c r="L7" s="316"/>
      <c r="M7" s="317"/>
      <c r="N7" s="77"/>
      <c r="P7" s="29"/>
      <c r="Q7" s="48"/>
      <c r="R7" s="48"/>
      <c r="T7" s="307"/>
      <c r="U7" s="308"/>
      <c r="V7" s="311"/>
      <c r="W7" s="312"/>
      <c r="AB7" s="59"/>
      <c r="AC7" s="59"/>
      <c r="AD7" s="59"/>
      <c r="AE7" s="59"/>
    </row>
    <row r="8" spans="1:32" s="17" customFormat="1" ht="25.5" customHeight="1" x14ac:dyDescent="0.2">
      <c r="A8" s="318" t="s">
        <v>58</v>
      </c>
      <c r="B8" s="318"/>
      <c r="C8" s="318"/>
      <c r="D8" s="319" t="s">
        <v>80</v>
      </c>
      <c r="E8" s="319"/>
      <c r="F8" s="319"/>
      <c r="G8" s="319"/>
      <c r="H8" s="319"/>
      <c r="I8" s="319"/>
      <c r="J8" s="319"/>
      <c r="K8" s="319"/>
      <c r="L8" s="319"/>
      <c r="M8" s="319"/>
      <c r="N8" s="78"/>
      <c r="P8" s="27" t="s">
        <v>11</v>
      </c>
      <c r="Q8" s="320">
        <v>4.1666666666666664E-2</v>
      </c>
      <c r="R8" s="320"/>
      <c r="T8" s="307"/>
      <c r="U8" s="308"/>
      <c r="V8" s="311"/>
      <c r="W8" s="312"/>
      <c r="AB8" s="59"/>
      <c r="AC8" s="59"/>
      <c r="AD8" s="59"/>
      <c r="AE8" s="59"/>
    </row>
    <row r="9" spans="1:32" s="17" customFormat="1" ht="39.950000000000003" customHeight="1" x14ac:dyDescent="0.2">
      <c r="A9" s="32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21"/>
      <c r="C9" s="321"/>
      <c r="D9" s="322" t="s">
        <v>46</v>
      </c>
      <c r="E9" s="323"/>
      <c r="F9" s="32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21"/>
      <c r="H9" s="324" t="str">
        <f>IF(AND($A$9="Тип доверенности/получателя при получении в адресе перегруза:",$D$9="Разовая доверенность"),"Введите ФИО","")</f>
        <v/>
      </c>
      <c r="I9" s="324"/>
      <c r="J9" s="3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4"/>
      <c r="L9" s="324"/>
      <c r="M9" s="324"/>
      <c r="N9" s="73"/>
      <c r="P9" s="31" t="s">
        <v>15</v>
      </c>
      <c r="Q9" s="325"/>
      <c r="R9" s="325"/>
      <c r="T9" s="307"/>
      <c r="U9" s="308"/>
      <c r="V9" s="313"/>
      <c r="W9" s="31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2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21"/>
      <c r="C10" s="321"/>
      <c r="D10" s="322"/>
      <c r="E10" s="323"/>
      <c r="F10" s="32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21"/>
      <c r="H10" s="326" t="str">
        <f>IFERROR(VLOOKUP($D$10,Proxy,2,FALSE),"")</f>
        <v/>
      </c>
      <c r="I10" s="326"/>
      <c r="J10" s="326"/>
      <c r="K10" s="326"/>
      <c r="L10" s="326"/>
      <c r="M10" s="326"/>
      <c r="N10" s="74"/>
      <c r="P10" s="31" t="s">
        <v>32</v>
      </c>
      <c r="Q10" s="327"/>
      <c r="R10" s="327"/>
      <c r="U10" s="29" t="s">
        <v>12</v>
      </c>
      <c r="V10" s="328" t="s">
        <v>74</v>
      </c>
      <c r="W10" s="32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30"/>
      <c r="R11" s="330"/>
      <c r="U11" s="29" t="s">
        <v>28</v>
      </c>
      <c r="V11" s="331" t="s">
        <v>55</v>
      </c>
      <c r="W11" s="33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32" t="s">
        <v>75</v>
      </c>
      <c r="B12" s="332"/>
      <c r="C12" s="332"/>
      <c r="D12" s="332"/>
      <c r="E12" s="332"/>
      <c r="F12" s="332"/>
      <c r="G12" s="332"/>
      <c r="H12" s="332"/>
      <c r="I12" s="332"/>
      <c r="J12" s="332"/>
      <c r="K12" s="332"/>
      <c r="L12" s="332"/>
      <c r="M12" s="332"/>
      <c r="N12" s="79"/>
      <c r="P12" s="27" t="s">
        <v>30</v>
      </c>
      <c r="Q12" s="320"/>
      <c r="R12" s="320"/>
      <c r="S12" s="28"/>
      <c r="T12"/>
      <c r="U12" s="29" t="s">
        <v>46</v>
      </c>
      <c r="V12" s="333"/>
      <c r="W12" s="333"/>
      <c r="X12"/>
      <c r="AB12" s="59"/>
      <c r="AC12" s="59"/>
      <c r="AD12" s="59"/>
      <c r="AE12" s="59"/>
    </row>
    <row r="13" spans="1:32" s="17" customFormat="1" ht="23.25" customHeight="1" x14ac:dyDescent="0.2">
      <c r="A13" s="332" t="s">
        <v>76</v>
      </c>
      <c r="B13" s="332"/>
      <c r="C13" s="332"/>
      <c r="D13" s="332"/>
      <c r="E13" s="332"/>
      <c r="F13" s="332"/>
      <c r="G13" s="332"/>
      <c r="H13" s="332"/>
      <c r="I13" s="332"/>
      <c r="J13" s="332"/>
      <c r="K13" s="332"/>
      <c r="L13" s="332"/>
      <c r="M13" s="332"/>
      <c r="N13" s="79"/>
      <c r="O13" s="31"/>
      <c r="P13" s="31" t="s">
        <v>31</v>
      </c>
      <c r="Q13" s="331"/>
      <c r="R13" s="33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32" t="s">
        <v>77</v>
      </c>
      <c r="B14" s="332"/>
      <c r="C14" s="332"/>
      <c r="D14" s="332"/>
      <c r="E14" s="332"/>
      <c r="F14" s="332"/>
      <c r="G14" s="332"/>
      <c r="H14" s="332"/>
      <c r="I14" s="332"/>
      <c r="J14" s="332"/>
      <c r="K14" s="332"/>
      <c r="L14" s="332"/>
      <c r="M14" s="33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4" t="s">
        <v>78</v>
      </c>
      <c r="B15" s="334"/>
      <c r="C15" s="334"/>
      <c r="D15" s="334"/>
      <c r="E15" s="334"/>
      <c r="F15" s="334"/>
      <c r="G15" s="334"/>
      <c r="H15" s="334"/>
      <c r="I15" s="334"/>
      <c r="J15" s="334"/>
      <c r="K15" s="334"/>
      <c r="L15" s="334"/>
      <c r="M15" s="334"/>
      <c r="N15" s="80"/>
      <c r="O15"/>
      <c r="P15" s="335" t="s">
        <v>61</v>
      </c>
      <c r="Q15" s="335"/>
      <c r="R15" s="335"/>
      <c r="S15" s="335"/>
      <c r="T15" s="33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6"/>
      <c r="Q16" s="336"/>
      <c r="R16" s="336"/>
      <c r="S16" s="336"/>
      <c r="T16" s="33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9" t="s">
        <v>59</v>
      </c>
      <c r="B17" s="339" t="s">
        <v>49</v>
      </c>
      <c r="C17" s="341" t="s">
        <v>48</v>
      </c>
      <c r="D17" s="343" t="s">
        <v>50</v>
      </c>
      <c r="E17" s="344"/>
      <c r="F17" s="339" t="s">
        <v>21</v>
      </c>
      <c r="G17" s="339" t="s">
        <v>24</v>
      </c>
      <c r="H17" s="339" t="s">
        <v>22</v>
      </c>
      <c r="I17" s="339" t="s">
        <v>23</v>
      </c>
      <c r="J17" s="339" t="s">
        <v>16</v>
      </c>
      <c r="K17" s="339" t="s">
        <v>69</v>
      </c>
      <c r="L17" s="339" t="s">
        <v>67</v>
      </c>
      <c r="M17" s="339" t="s">
        <v>2</v>
      </c>
      <c r="N17" s="339" t="s">
        <v>66</v>
      </c>
      <c r="O17" s="339" t="s">
        <v>25</v>
      </c>
      <c r="P17" s="343" t="s">
        <v>17</v>
      </c>
      <c r="Q17" s="347"/>
      <c r="R17" s="347"/>
      <c r="S17" s="347"/>
      <c r="T17" s="344"/>
      <c r="U17" s="337" t="s">
        <v>56</v>
      </c>
      <c r="V17" s="338"/>
      <c r="W17" s="339" t="s">
        <v>6</v>
      </c>
      <c r="X17" s="339" t="s">
        <v>41</v>
      </c>
      <c r="Y17" s="349" t="s">
        <v>54</v>
      </c>
      <c r="Z17" s="351" t="s">
        <v>18</v>
      </c>
      <c r="AA17" s="353" t="s">
        <v>60</v>
      </c>
      <c r="AB17" s="353" t="s">
        <v>19</v>
      </c>
      <c r="AC17" s="353" t="s">
        <v>68</v>
      </c>
      <c r="AD17" s="355" t="s">
        <v>57</v>
      </c>
      <c r="AE17" s="356"/>
      <c r="AF17" s="357"/>
      <c r="AG17" s="85"/>
      <c r="BD17" s="84" t="s">
        <v>64</v>
      </c>
    </row>
    <row r="18" spans="1:68" ht="14.25" customHeight="1" x14ac:dyDescent="0.2">
      <c r="A18" s="340"/>
      <c r="B18" s="340"/>
      <c r="C18" s="342"/>
      <c r="D18" s="345"/>
      <c r="E18" s="346"/>
      <c r="F18" s="340"/>
      <c r="G18" s="340"/>
      <c r="H18" s="340"/>
      <c r="I18" s="340"/>
      <c r="J18" s="340"/>
      <c r="K18" s="340"/>
      <c r="L18" s="340"/>
      <c r="M18" s="340"/>
      <c r="N18" s="340"/>
      <c r="O18" s="340"/>
      <c r="P18" s="345"/>
      <c r="Q18" s="348"/>
      <c r="R18" s="348"/>
      <c r="S18" s="348"/>
      <c r="T18" s="346"/>
      <c r="U18" s="86" t="s">
        <v>44</v>
      </c>
      <c r="V18" s="86" t="s">
        <v>43</v>
      </c>
      <c r="W18" s="340"/>
      <c r="X18" s="340"/>
      <c r="Y18" s="350"/>
      <c r="Z18" s="352"/>
      <c r="AA18" s="354"/>
      <c r="AB18" s="354"/>
      <c r="AC18" s="354"/>
      <c r="AD18" s="358"/>
      <c r="AE18" s="359"/>
      <c r="AF18" s="360"/>
      <c r="AG18" s="85"/>
      <c r="BD18" s="84"/>
    </row>
    <row r="19" spans="1:68" ht="27.75" customHeight="1" x14ac:dyDescent="0.2">
      <c r="A19" s="361" t="s">
        <v>81</v>
      </c>
      <c r="B19" s="361"/>
      <c r="C19" s="361"/>
      <c r="D19" s="361"/>
      <c r="E19" s="361"/>
      <c r="F19" s="361"/>
      <c r="G19" s="361"/>
      <c r="H19" s="361"/>
      <c r="I19" s="361"/>
      <c r="J19" s="361"/>
      <c r="K19" s="361"/>
      <c r="L19" s="361"/>
      <c r="M19" s="361"/>
      <c r="N19" s="361"/>
      <c r="O19" s="361"/>
      <c r="P19" s="361"/>
      <c r="Q19" s="361"/>
      <c r="R19" s="361"/>
      <c r="S19" s="361"/>
      <c r="T19" s="361"/>
      <c r="U19" s="361"/>
      <c r="V19" s="361"/>
      <c r="W19" s="361"/>
      <c r="X19" s="361"/>
      <c r="Y19" s="361"/>
      <c r="Z19" s="361"/>
      <c r="AA19" s="54"/>
      <c r="AB19" s="54"/>
      <c r="AC19" s="54"/>
    </row>
    <row r="20" spans="1:68" ht="16.5" customHeight="1" x14ac:dyDescent="0.25">
      <c r="A20" s="362" t="s">
        <v>81</v>
      </c>
      <c r="B20" s="362"/>
      <c r="C20" s="362"/>
      <c r="D20" s="362"/>
      <c r="E20" s="362"/>
      <c r="F20" s="362"/>
      <c r="G20" s="362"/>
      <c r="H20" s="362"/>
      <c r="I20" s="362"/>
      <c r="J20" s="362"/>
      <c r="K20" s="362"/>
      <c r="L20" s="362"/>
      <c r="M20" s="362"/>
      <c r="N20" s="362"/>
      <c r="O20" s="362"/>
      <c r="P20" s="362"/>
      <c r="Q20" s="362"/>
      <c r="R20" s="362"/>
      <c r="S20" s="362"/>
      <c r="T20" s="362"/>
      <c r="U20" s="362"/>
      <c r="V20" s="362"/>
      <c r="W20" s="362"/>
      <c r="X20" s="362"/>
      <c r="Y20" s="362"/>
      <c r="Z20" s="362"/>
      <c r="AA20" s="65"/>
      <c r="AB20" s="65"/>
      <c r="AC20" s="82"/>
    </row>
    <row r="21" spans="1:68" ht="14.25" customHeight="1" x14ac:dyDescent="0.25">
      <c r="A21" s="363" t="s">
        <v>82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4301071113</v>
      </c>
      <c r="D22" s="364">
        <v>4620207491508</v>
      </c>
      <c r="E22" s="364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65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6"/>
      <c r="R22" s="366"/>
      <c r="S22" s="366"/>
      <c r="T22" s="367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64">
        <v>4620207491256</v>
      </c>
      <c r="E23" s="364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6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6"/>
      <c r="R23" s="366"/>
      <c r="S23" s="366"/>
      <c r="T23" s="367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4301071135</v>
      </c>
      <c r="D24" s="364">
        <v>4620207491713</v>
      </c>
      <c r="E24" s="364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6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6"/>
      <c r="R24" s="366"/>
      <c r="S24" s="366"/>
      <c r="T24" s="367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95</v>
      </c>
      <c r="B25" s="63" t="s">
        <v>96</v>
      </c>
      <c r="C25" s="36">
        <v>4301071134</v>
      </c>
      <c r="D25" s="364">
        <v>4620207491720</v>
      </c>
      <c r="E25" s="364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70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6"/>
      <c r="R25" s="366"/>
      <c r="S25" s="366"/>
      <c r="T25" s="367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4301071108</v>
      </c>
      <c r="D26" s="364">
        <v>4607111035912</v>
      </c>
      <c r="E26" s="364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7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6"/>
      <c r="R26" s="366"/>
      <c r="S26" s="366"/>
      <c r="T26" s="367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64">
        <v>4607111035929</v>
      </c>
      <c r="E27" s="364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7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6"/>
      <c r="R27" s="366"/>
      <c r="S27" s="366"/>
      <c r="T27" s="367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102</v>
      </c>
      <c r="B28" s="63" t="s">
        <v>103</v>
      </c>
      <c r="C28" s="36">
        <v>4301071106</v>
      </c>
      <c r="D28" s="364">
        <v>4607111035882</v>
      </c>
      <c r="E28" s="364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7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6"/>
      <c r="R28" s="366"/>
      <c r="S28" s="366"/>
      <c r="T28" s="367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104</v>
      </c>
      <c r="B29" s="63" t="s">
        <v>105</v>
      </c>
      <c r="C29" s="36">
        <v>4301071107</v>
      </c>
      <c r="D29" s="364">
        <v>4607111035905</v>
      </c>
      <c r="E29" s="364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7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6"/>
      <c r="R29" s="366"/>
      <c r="S29" s="366"/>
      <c r="T29" s="367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8"/>
      <c r="B30" s="378"/>
      <c r="C30" s="378"/>
      <c r="D30" s="378"/>
      <c r="E30" s="378"/>
      <c r="F30" s="378"/>
      <c r="G30" s="378"/>
      <c r="H30" s="378"/>
      <c r="I30" s="378"/>
      <c r="J30" s="378"/>
      <c r="K30" s="378"/>
      <c r="L30" s="378"/>
      <c r="M30" s="378"/>
      <c r="N30" s="378"/>
      <c r="O30" s="379"/>
      <c r="P30" s="375" t="s">
        <v>40</v>
      </c>
      <c r="Q30" s="376"/>
      <c r="R30" s="376"/>
      <c r="S30" s="376"/>
      <c r="T30" s="376"/>
      <c r="U30" s="376"/>
      <c r="V30" s="377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78"/>
      <c r="B31" s="378"/>
      <c r="C31" s="378"/>
      <c r="D31" s="378"/>
      <c r="E31" s="378"/>
      <c r="F31" s="378"/>
      <c r="G31" s="378"/>
      <c r="H31" s="378"/>
      <c r="I31" s="378"/>
      <c r="J31" s="378"/>
      <c r="K31" s="378"/>
      <c r="L31" s="378"/>
      <c r="M31" s="378"/>
      <c r="N31" s="378"/>
      <c r="O31" s="379"/>
      <c r="P31" s="375" t="s">
        <v>40</v>
      </c>
      <c r="Q31" s="376"/>
      <c r="R31" s="376"/>
      <c r="S31" s="376"/>
      <c r="T31" s="376"/>
      <c r="U31" s="376"/>
      <c r="V31" s="377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62" t="s">
        <v>106</v>
      </c>
      <c r="B32" s="362"/>
      <c r="C32" s="362"/>
      <c r="D32" s="362"/>
      <c r="E32" s="362"/>
      <c r="F32" s="362"/>
      <c r="G32" s="362"/>
      <c r="H32" s="362"/>
      <c r="I32" s="362"/>
      <c r="J32" s="362"/>
      <c r="K32" s="362"/>
      <c r="L32" s="362"/>
      <c r="M32" s="362"/>
      <c r="N32" s="362"/>
      <c r="O32" s="362"/>
      <c r="P32" s="362"/>
      <c r="Q32" s="362"/>
      <c r="R32" s="362"/>
      <c r="S32" s="362"/>
      <c r="T32" s="362"/>
      <c r="U32" s="362"/>
      <c r="V32" s="362"/>
      <c r="W32" s="362"/>
      <c r="X32" s="362"/>
      <c r="Y32" s="362"/>
      <c r="Z32" s="362"/>
      <c r="AA32" s="65"/>
      <c r="AB32" s="65"/>
      <c r="AC32" s="82"/>
    </row>
    <row r="33" spans="1:68" ht="14.25" customHeight="1" x14ac:dyDescent="0.25">
      <c r="A33" s="363" t="s">
        <v>82</v>
      </c>
      <c r="B33" s="363"/>
      <c r="C33" s="363"/>
      <c r="D33" s="363"/>
      <c r="E33" s="363"/>
      <c r="F33" s="363"/>
      <c r="G33" s="363"/>
      <c r="H33" s="363"/>
      <c r="I33" s="363"/>
      <c r="J33" s="363"/>
      <c r="K33" s="363"/>
      <c r="L33" s="363"/>
      <c r="M33" s="363"/>
      <c r="N33" s="363"/>
      <c r="O33" s="363"/>
      <c r="P33" s="363"/>
      <c r="Q33" s="363"/>
      <c r="R33" s="363"/>
      <c r="S33" s="363"/>
      <c r="T33" s="363"/>
      <c r="U33" s="363"/>
      <c r="V33" s="363"/>
      <c r="W33" s="363"/>
      <c r="X33" s="363"/>
      <c r="Y33" s="363"/>
      <c r="Z33" s="363"/>
      <c r="AA33" s="66"/>
      <c r="AB33" s="66"/>
      <c r="AC33" s="83"/>
    </row>
    <row r="34" spans="1:68" ht="16.5" customHeight="1" x14ac:dyDescent="0.25">
      <c r="A34" s="63" t="s">
        <v>107</v>
      </c>
      <c r="B34" s="63" t="s">
        <v>108</v>
      </c>
      <c r="C34" s="36">
        <v>4301071099</v>
      </c>
      <c r="D34" s="364">
        <v>4607111039019</v>
      </c>
      <c r="E34" s="364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8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6"/>
      <c r="R34" s="366"/>
      <c r="S34" s="366"/>
      <c r="T34" s="367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364">
        <v>4607111038708</v>
      </c>
      <c r="E35" s="364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81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6"/>
      <c r="R35" s="366"/>
      <c r="S35" s="366"/>
      <c r="T35" s="367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78"/>
      <c r="B36" s="378"/>
      <c r="C36" s="378"/>
      <c r="D36" s="378"/>
      <c r="E36" s="378"/>
      <c r="F36" s="378"/>
      <c r="G36" s="378"/>
      <c r="H36" s="378"/>
      <c r="I36" s="378"/>
      <c r="J36" s="378"/>
      <c r="K36" s="378"/>
      <c r="L36" s="378"/>
      <c r="M36" s="378"/>
      <c r="N36" s="378"/>
      <c r="O36" s="379"/>
      <c r="P36" s="375" t="s">
        <v>40</v>
      </c>
      <c r="Q36" s="376"/>
      <c r="R36" s="376"/>
      <c r="S36" s="376"/>
      <c r="T36" s="376"/>
      <c r="U36" s="376"/>
      <c r="V36" s="377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78"/>
      <c r="B37" s="378"/>
      <c r="C37" s="378"/>
      <c r="D37" s="378"/>
      <c r="E37" s="378"/>
      <c r="F37" s="378"/>
      <c r="G37" s="378"/>
      <c r="H37" s="378"/>
      <c r="I37" s="378"/>
      <c r="J37" s="378"/>
      <c r="K37" s="378"/>
      <c r="L37" s="378"/>
      <c r="M37" s="378"/>
      <c r="N37" s="378"/>
      <c r="O37" s="379"/>
      <c r="P37" s="375" t="s">
        <v>40</v>
      </c>
      <c r="Q37" s="376"/>
      <c r="R37" s="376"/>
      <c r="S37" s="376"/>
      <c r="T37" s="376"/>
      <c r="U37" s="376"/>
      <c r="V37" s="377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61" t="s">
        <v>45</v>
      </c>
      <c r="B38" s="361"/>
      <c r="C38" s="361"/>
      <c r="D38" s="361"/>
      <c r="E38" s="361"/>
      <c r="F38" s="361"/>
      <c r="G38" s="361"/>
      <c r="H38" s="361"/>
      <c r="I38" s="361"/>
      <c r="J38" s="361"/>
      <c r="K38" s="361"/>
      <c r="L38" s="361"/>
      <c r="M38" s="361"/>
      <c r="N38" s="361"/>
      <c r="O38" s="361"/>
      <c r="P38" s="361"/>
      <c r="Q38" s="361"/>
      <c r="R38" s="361"/>
      <c r="S38" s="361"/>
      <c r="T38" s="361"/>
      <c r="U38" s="361"/>
      <c r="V38" s="361"/>
      <c r="W38" s="361"/>
      <c r="X38" s="361"/>
      <c r="Y38" s="361"/>
      <c r="Z38" s="361"/>
      <c r="AA38" s="54"/>
      <c r="AB38" s="54"/>
      <c r="AC38" s="54"/>
    </row>
    <row r="39" spans="1:68" ht="16.5" customHeight="1" x14ac:dyDescent="0.25">
      <c r="A39" s="362" t="s">
        <v>112</v>
      </c>
      <c r="B39" s="362"/>
      <c r="C39" s="362"/>
      <c r="D39" s="362"/>
      <c r="E39" s="362"/>
      <c r="F39" s="362"/>
      <c r="G39" s="362"/>
      <c r="H39" s="362"/>
      <c r="I39" s="362"/>
      <c r="J39" s="362"/>
      <c r="K39" s="362"/>
      <c r="L39" s="362"/>
      <c r="M39" s="362"/>
      <c r="N39" s="362"/>
      <c r="O39" s="362"/>
      <c r="P39" s="362"/>
      <c r="Q39" s="362"/>
      <c r="R39" s="362"/>
      <c r="S39" s="362"/>
      <c r="T39" s="362"/>
      <c r="U39" s="362"/>
      <c r="V39" s="362"/>
      <c r="W39" s="362"/>
      <c r="X39" s="362"/>
      <c r="Y39" s="362"/>
      <c r="Z39" s="362"/>
      <c r="AA39" s="65"/>
      <c r="AB39" s="65"/>
      <c r="AC39" s="82"/>
    </row>
    <row r="40" spans="1:68" ht="14.25" customHeight="1" x14ac:dyDescent="0.25">
      <c r="A40" s="363" t="s">
        <v>113</v>
      </c>
      <c r="B40" s="363"/>
      <c r="C40" s="363"/>
      <c r="D40" s="363"/>
      <c r="E40" s="363"/>
      <c r="F40" s="363"/>
      <c r="G40" s="363"/>
      <c r="H40" s="363"/>
      <c r="I40" s="363"/>
      <c r="J40" s="363"/>
      <c r="K40" s="363"/>
      <c r="L40" s="363"/>
      <c r="M40" s="363"/>
      <c r="N40" s="363"/>
      <c r="O40" s="363"/>
      <c r="P40" s="363"/>
      <c r="Q40" s="363"/>
      <c r="R40" s="363"/>
      <c r="S40" s="363"/>
      <c r="T40" s="363"/>
      <c r="U40" s="363"/>
      <c r="V40" s="363"/>
      <c r="W40" s="363"/>
      <c r="X40" s="363"/>
      <c r="Y40" s="363"/>
      <c r="Z40" s="363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364">
        <v>4607111036537</v>
      </c>
      <c r="E41" s="364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8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6"/>
      <c r="R41" s="366"/>
      <c r="S41" s="366"/>
      <c r="T41" s="367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364">
        <v>4607111036605</v>
      </c>
      <c r="E42" s="364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38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6"/>
      <c r="R42" s="366"/>
      <c r="S42" s="366"/>
      <c r="T42" s="367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78"/>
      <c r="B43" s="378"/>
      <c r="C43" s="378"/>
      <c r="D43" s="378"/>
      <c r="E43" s="378"/>
      <c r="F43" s="378"/>
      <c r="G43" s="378"/>
      <c r="H43" s="378"/>
      <c r="I43" s="378"/>
      <c r="J43" s="378"/>
      <c r="K43" s="378"/>
      <c r="L43" s="378"/>
      <c r="M43" s="378"/>
      <c r="N43" s="378"/>
      <c r="O43" s="379"/>
      <c r="P43" s="375" t="s">
        <v>40</v>
      </c>
      <c r="Q43" s="376"/>
      <c r="R43" s="376"/>
      <c r="S43" s="376"/>
      <c r="T43" s="376"/>
      <c r="U43" s="376"/>
      <c r="V43" s="377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378"/>
      <c r="B44" s="378"/>
      <c r="C44" s="378"/>
      <c r="D44" s="378"/>
      <c r="E44" s="378"/>
      <c r="F44" s="378"/>
      <c r="G44" s="378"/>
      <c r="H44" s="378"/>
      <c r="I44" s="378"/>
      <c r="J44" s="378"/>
      <c r="K44" s="378"/>
      <c r="L44" s="378"/>
      <c r="M44" s="378"/>
      <c r="N44" s="378"/>
      <c r="O44" s="379"/>
      <c r="P44" s="375" t="s">
        <v>40</v>
      </c>
      <c r="Q44" s="376"/>
      <c r="R44" s="376"/>
      <c r="S44" s="376"/>
      <c r="T44" s="376"/>
      <c r="U44" s="376"/>
      <c r="V44" s="377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62" t="s">
        <v>123</v>
      </c>
      <c r="B45" s="362"/>
      <c r="C45" s="362"/>
      <c r="D45" s="362"/>
      <c r="E45" s="362"/>
      <c r="F45" s="362"/>
      <c r="G45" s="362"/>
      <c r="H45" s="362"/>
      <c r="I45" s="362"/>
      <c r="J45" s="362"/>
      <c r="K45" s="362"/>
      <c r="L45" s="362"/>
      <c r="M45" s="362"/>
      <c r="N45" s="362"/>
      <c r="O45" s="362"/>
      <c r="P45" s="362"/>
      <c r="Q45" s="362"/>
      <c r="R45" s="362"/>
      <c r="S45" s="362"/>
      <c r="T45" s="362"/>
      <c r="U45" s="362"/>
      <c r="V45" s="362"/>
      <c r="W45" s="362"/>
      <c r="X45" s="362"/>
      <c r="Y45" s="362"/>
      <c r="Z45" s="362"/>
      <c r="AA45" s="65"/>
      <c r="AB45" s="65"/>
      <c r="AC45" s="82"/>
    </row>
    <row r="46" spans="1:68" ht="14.25" customHeight="1" x14ac:dyDescent="0.25">
      <c r="A46" s="363" t="s">
        <v>82</v>
      </c>
      <c r="B46" s="363"/>
      <c r="C46" s="363"/>
      <c r="D46" s="363"/>
      <c r="E46" s="363"/>
      <c r="F46" s="363"/>
      <c r="G46" s="363"/>
      <c r="H46" s="363"/>
      <c r="I46" s="363"/>
      <c r="J46" s="363"/>
      <c r="K46" s="363"/>
      <c r="L46" s="363"/>
      <c r="M46" s="363"/>
      <c r="N46" s="363"/>
      <c r="O46" s="363"/>
      <c r="P46" s="363"/>
      <c r="Q46" s="363"/>
      <c r="R46" s="363"/>
      <c r="S46" s="363"/>
      <c r="T46" s="363"/>
      <c r="U46" s="363"/>
      <c r="V46" s="363"/>
      <c r="W46" s="363"/>
      <c r="X46" s="363"/>
      <c r="Y46" s="363"/>
      <c r="Z46" s="363"/>
      <c r="AA46" s="66"/>
      <c r="AB46" s="66"/>
      <c r="AC46" s="83"/>
    </row>
    <row r="47" spans="1:68" ht="27" customHeight="1" x14ac:dyDescent="0.25">
      <c r="A47" s="63" t="s">
        <v>124</v>
      </c>
      <c r="B47" s="63" t="s">
        <v>125</v>
      </c>
      <c r="C47" s="36">
        <v>4301071090</v>
      </c>
      <c r="D47" s="364">
        <v>4620207490075</v>
      </c>
      <c r="E47" s="364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8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6"/>
      <c r="R47" s="366"/>
      <c r="S47" s="366"/>
      <c r="T47" s="367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364">
        <v>4620207490174</v>
      </c>
      <c r="E48" s="364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8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6"/>
      <c r="R48" s="366"/>
      <c r="S48" s="366"/>
      <c r="T48" s="367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378"/>
      <c r="B49" s="378"/>
      <c r="C49" s="378"/>
      <c r="D49" s="378"/>
      <c r="E49" s="378"/>
      <c r="F49" s="378"/>
      <c r="G49" s="378"/>
      <c r="H49" s="378"/>
      <c r="I49" s="378"/>
      <c r="J49" s="378"/>
      <c r="K49" s="378"/>
      <c r="L49" s="378"/>
      <c r="M49" s="378"/>
      <c r="N49" s="378"/>
      <c r="O49" s="379"/>
      <c r="P49" s="375" t="s">
        <v>40</v>
      </c>
      <c r="Q49" s="376"/>
      <c r="R49" s="376"/>
      <c r="S49" s="376"/>
      <c r="T49" s="376"/>
      <c r="U49" s="376"/>
      <c r="V49" s="377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">
      <c r="A50" s="378"/>
      <c r="B50" s="378"/>
      <c r="C50" s="378"/>
      <c r="D50" s="378"/>
      <c r="E50" s="378"/>
      <c r="F50" s="378"/>
      <c r="G50" s="378"/>
      <c r="H50" s="378"/>
      <c r="I50" s="378"/>
      <c r="J50" s="378"/>
      <c r="K50" s="378"/>
      <c r="L50" s="378"/>
      <c r="M50" s="378"/>
      <c r="N50" s="378"/>
      <c r="O50" s="379"/>
      <c r="P50" s="375" t="s">
        <v>40</v>
      </c>
      <c r="Q50" s="376"/>
      <c r="R50" s="376"/>
      <c r="S50" s="376"/>
      <c r="T50" s="376"/>
      <c r="U50" s="376"/>
      <c r="V50" s="377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62" t="s">
        <v>130</v>
      </c>
      <c r="B51" s="362"/>
      <c r="C51" s="362"/>
      <c r="D51" s="362"/>
      <c r="E51" s="362"/>
      <c r="F51" s="362"/>
      <c r="G51" s="362"/>
      <c r="H51" s="362"/>
      <c r="I51" s="362"/>
      <c r="J51" s="362"/>
      <c r="K51" s="362"/>
      <c r="L51" s="362"/>
      <c r="M51" s="362"/>
      <c r="N51" s="362"/>
      <c r="O51" s="362"/>
      <c r="P51" s="362"/>
      <c r="Q51" s="362"/>
      <c r="R51" s="362"/>
      <c r="S51" s="362"/>
      <c r="T51" s="362"/>
      <c r="U51" s="362"/>
      <c r="V51" s="362"/>
      <c r="W51" s="362"/>
      <c r="X51" s="362"/>
      <c r="Y51" s="362"/>
      <c r="Z51" s="362"/>
      <c r="AA51" s="65"/>
      <c r="AB51" s="65"/>
      <c r="AC51" s="82"/>
    </row>
    <row r="52" spans="1:68" ht="14.25" customHeight="1" x14ac:dyDescent="0.25">
      <c r="A52" s="363" t="s">
        <v>82</v>
      </c>
      <c r="B52" s="363"/>
      <c r="C52" s="363"/>
      <c r="D52" s="363"/>
      <c r="E52" s="363"/>
      <c r="F52" s="363"/>
      <c r="G52" s="363"/>
      <c r="H52" s="363"/>
      <c r="I52" s="363"/>
      <c r="J52" s="363"/>
      <c r="K52" s="363"/>
      <c r="L52" s="363"/>
      <c r="M52" s="363"/>
      <c r="N52" s="363"/>
      <c r="O52" s="363"/>
      <c r="P52" s="363"/>
      <c r="Q52" s="363"/>
      <c r="R52" s="363"/>
      <c r="S52" s="363"/>
      <c r="T52" s="363"/>
      <c r="U52" s="363"/>
      <c r="V52" s="363"/>
      <c r="W52" s="363"/>
      <c r="X52" s="363"/>
      <c r="Y52" s="363"/>
      <c r="Z52" s="363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364">
        <v>4607111039385</v>
      </c>
      <c r="E53" s="364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8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6"/>
      <c r="R53" s="366"/>
      <c r="S53" s="366"/>
      <c r="T53" s="367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364">
        <v>4607111038982</v>
      </c>
      <c r="E54" s="364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6"/>
      <c r="R54" s="366"/>
      <c r="S54" s="366"/>
      <c r="T54" s="367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137</v>
      </c>
      <c r="B55" s="63" t="s">
        <v>138</v>
      </c>
      <c r="C55" s="36">
        <v>4301071046</v>
      </c>
      <c r="D55" s="364">
        <v>4607111039354</v>
      </c>
      <c r="E55" s="364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6"/>
      <c r="R55" s="366"/>
      <c r="S55" s="366"/>
      <c r="T55" s="367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4301071047</v>
      </c>
      <c r="D56" s="364">
        <v>4607111039330</v>
      </c>
      <c r="E56" s="364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8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6"/>
      <c r="R56" s="366"/>
      <c r="S56" s="366"/>
      <c r="T56" s="367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378"/>
      <c r="B57" s="378"/>
      <c r="C57" s="378"/>
      <c r="D57" s="378"/>
      <c r="E57" s="378"/>
      <c r="F57" s="378"/>
      <c r="G57" s="378"/>
      <c r="H57" s="378"/>
      <c r="I57" s="378"/>
      <c r="J57" s="378"/>
      <c r="K57" s="378"/>
      <c r="L57" s="378"/>
      <c r="M57" s="378"/>
      <c r="N57" s="378"/>
      <c r="O57" s="379"/>
      <c r="P57" s="375" t="s">
        <v>40</v>
      </c>
      <c r="Q57" s="376"/>
      <c r="R57" s="376"/>
      <c r="S57" s="376"/>
      <c r="T57" s="376"/>
      <c r="U57" s="376"/>
      <c r="V57" s="377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378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9"/>
      <c r="P58" s="375" t="s">
        <v>40</v>
      </c>
      <c r="Q58" s="376"/>
      <c r="R58" s="376"/>
      <c r="S58" s="376"/>
      <c r="T58" s="376"/>
      <c r="U58" s="376"/>
      <c r="V58" s="377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62" t="s">
        <v>141</v>
      </c>
      <c r="B59" s="362"/>
      <c r="C59" s="362"/>
      <c r="D59" s="362"/>
      <c r="E59" s="362"/>
      <c r="F59" s="362"/>
      <c r="G59" s="362"/>
      <c r="H59" s="362"/>
      <c r="I59" s="362"/>
      <c r="J59" s="362"/>
      <c r="K59" s="362"/>
      <c r="L59" s="362"/>
      <c r="M59" s="362"/>
      <c r="N59" s="362"/>
      <c r="O59" s="362"/>
      <c r="P59" s="362"/>
      <c r="Q59" s="362"/>
      <c r="R59" s="362"/>
      <c r="S59" s="362"/>
      <c r="T59" s="362"/>
      <c r="U59" s="362"/>
      <c r="V59" s="362"/>
      <c r="W59" s="362"/>
      <c r="X59" s="362"/>
      <c r="Y59" s="362"/>
      <c r="Z59" s="362"/>
      <c r="AA59" s="65"/>
      <c r="AB59" s="65"/>
      <c r="AC59" s="82"/>
    </row>
    <row r="60" spans="1:68" ht="14.25" customHeight="1" x14ac:dyDescent="0.25">
      <c r="A60" s="363" t="s">
        <v>113</v>
      </c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63"/>
      <c r="P60" s="363"/>
      <c r="Q60" s="363"/>
      <c r="R60" s="363"/>
      <c r="S60" s="363"/>
      <c r="T60" s="363"/>
      <c r="U60" s="363"/>
      <c r="V60" s="363"/>
      <c r="W60" s="363"/>
      <c r="X60" s="363"/>
      <c r="Y60" s="363"/>
      <c r="Z60" s="363"/>
      <c r="AA60" s="66"/>
      <c r="AB60" s="66"/>
      <c r="AC60" s="83"/>
    </row>
    <row r="61" spans="1:68" ht="27" customHeight="1" x14ac:dyDescent="0.25">
      <c r="A61" s="63" t="s">
        <v>142</v>
      </c>
      <c r="B61" s="63" t="s">
        <v>143</v>
      </c>
      <c r="C61" s="36">
        <v>4301132194</v>
      </c>
      <c r="D61" s="364">
        <v>4607111039712</v>
      </c>
      <c r="E61" s="364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9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6"/>
      <c r="R61" s="366"/>
      <c r="S61" s="366"/>
      <c r="T61" s="367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378"/>
      <c r="B62" s="378"/>
      <c r="C62" s="378"/>
      <c r="D62" s="378"/>
      <c r="E62" s="378"/>
      <c r="F62" s="378"/>
      <c r="G62" s="378"/>
      <c r="H62" s="378"/>
      <c r="I62" s="378"/>
      <c r="J62" s="378"/>
      <c r="K62" s="378"/>
      <c r="L62" s="378"/>
      <c r="M62" s="378"/>
      <c r="N62" s="378"/>
      <c r="O62" s="379"/>
      <c r="P62" s="375" t="s">
        <v>40</v>
      </c>
      <c r="Q62" s="376"/>
      <c r="R62" s="376"/>
      <c r="S62" s="376"/>
      <c r="T62" s="376"/>
      <c r="U62" s="376"/>
      <c r="V62" s="377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378"/>
      <c r="B63" s="378"/>
      <c r="C63" s="378"/>
      <c r="D63" s="378"/>
      <c r="E63" s="378"/>
      <c r="F63" s="378"/>
      <c r="G63" s="378"/>
      <c r="H63" s="378"/>
      <c r="I63" s="378"/>
      <c r="J63" s="378"/>
      <c r="K63" s="378"/>
      <c r="L63" s="378"/>
      <c r="M63" s="378"/>
      <c r="N63" s="378"/>
      <c r="O63" s="379"/>
      <c r="P63" s="375" t="s">
        <v>40</v>
      </c>
      <c r="Q63" s="376"/>
      <c r="R63" s="376"/>
      <c r="S63" s="376"/>
      <c r="T63" s="376"/>
      <c r="U63" s="376"/>
      <c r="V63" s="377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63" t="s">
        <v>145</v>
      </c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63"/>
      <c r="P64" s="363"/>
      <c r="Q64" s="363"/>
      <c r="R64" s="363"/>
      <c r="S64" s="363"/>
      <c r="T64" s="363"/>
      <c r="U64" s="363"/>
      <c r="V64" s="363"/>
      <c r="W64" s="363"/>
      <c r="X64" s="363"/>
      <c r="Y64" s="363"/>
      <c r="Z64" s="363"/>
      <c r="AA64" s="66"/>
      <c r="AB64" s="66"/>
      <c r="AC64" s="83"/>
    </row>
    <row r="65" spans="1:68" ht="16.5" customHeight="1" x14ac:dyDescent="0.25">
      <c r="A65" s="63" t="s">
        <v>146</v>
      </c>
      <c r="B65" s="63" t="s">
        <v>147</v>
      </c>
      <c r="C65" s="36">
        <v>4301136015</v>
      </c>
      <c r="D65" s="364">
        <v>4607111037398</v>
      </c>
      <c r="E65" s="364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9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66"/>
      <c r="R65" s="366"/>
      <c r="S65" s="366"/>
      <c r="T65" s="367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x14ac:dyDescent="0.2">
      <c r="A66" s="378"/>
      <c r="B66" s="378"/>
      <c r="C66" s="378"/>
      <c r="D66" s="378"/>
      <c r="E66" s="378"/>
      <c r="F66" s="378"/>
      <c r="G66" s="378"/>
      <c r="H66" s="378"/>
      <c r="I66" s="378"/>
      <c r="J66" s="378"/>
      <c r="K66" s="378"/>
      <c r="L66" s="378"/>
      <c r="M66" s="378"/>
      <c r="N66" s="378"/>
      <c r="O66" s="379"/>
      <c r="P66" s="375" t="s">
        <v>40</v>
      </c>
      <c r="Q66" s="376"/>
      <c r="R66" s="376"/>
      <c r="S66" s="376"/>
      <c r="T66" s="376"/>
      <c r="U66" s="376"/>
      <c r="V66" s="377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x14ac:dyDescent="0.2">
      <c r="A67" s="378"/>
      <c r="B67" s="378"/>
      <c r="C67" s="378"/>
      <c r="D67" s="378"/>
      <c r="E67" s="378"/>
      <c r="F67" s="378"/>
      <c r="G67" s="378"/>
      <c r="H67" s="378"/>
      <c r="I67" s="378"/>
      <c r="J67" s="378"/>
      <c r="K67" s="378"/>
      <c r="L67" s="378"/>
      <c r="M67" s="378"/>
      <c r="N67" s="378"/>
      <c r="O67" s="379"/>
      <c r="P67" s="375" t="s">
        <v>40</v>
      </c>
      <c r="Q67" s="376"/>
      <c r="R67" s="376"/>
      <c r="S67" s="376"/>
      <c r="T67" s="376"/>
      <c r="U67" s="376"/>
      <c r="V67" s="377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customHeight="1" x14ac:dyDescent="0.25">
      <c r="A68" s="363" t="s">
        <v>149</v>
      </c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63"/>
      <c r="P68" s="363"/>
      <c r="Q68" s="363"/>
      <c r="R68" s="363"/>
      <c r="S68" s="363"/>
      <c r="T68" s="363"/>
      <c r="U68" s="363"/>
      <c r="V68" s="363"/>
      <c r="W68" s="363"/>
      <c r="X68" s="363"/>
      <c r="Y68" s="363"/>
      <c r="Z68" s="363"/>
      <c r="AA68" s="66"/>
      <c r="AB68" s="66"/>
      <c r="AC68" s="83"/>
    </row>
    <row r="69" spans="1:68" ht="27" customHeight="1" x14ac:dyDescent="0.25">
      <c r="A69" s="63" t="s">
        <v>150</v>
      </c>
      <c r="B69" s="63" t="s">
        <v>151</v>
      </c>
      <c r="C69" s="36">
        <v>4301135664</v>
      </c>
      <c r="D69" s="364">
        <v>4607111039705</v>
      </c>
      <c r="E69" s="364"/>
      <c r="F69" s="62">
        <v>0.2</v>
      </c>
      <c r="G69" s="37">
        <v>6</v>
      </c>
      <c r="H69" s="62">
        <v>1.2</v>
      </c>
      <c r="I69" s="62">
        <v>1.56</v>
      </c>
      <c r="J69" s="37">
        <v>140</v>
      </c>
      <c r="K69" s="37" t="s">
        <v>118</v>
      </c>
      <c r="L69" s="37" t="s">
        <v>88</v>
      </c>
      <c r="M69" s="38" t="s">
        <v>86</v>
      </c>
      <c r="N69" s="38"/>
      <c r="O69" s="37">
        <v>365</v>
      </c>
      <c r="P69" s="39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66"/>
      <c r="R69" s="366"/>
      <c r="S69" s="366"/>
      <c r="T69" s="367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117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152</v>
      </c>
      <c r="B70" s="63" t="s">
        <v>153</v>
      </c>
      <c r="C70" s="36">
        <v>4301135665</v>
      </c>
      <c r="D70" s="364">
        <v>4607111039729</v>
      </c>
      <c r="E70" s="364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119</v>
      </c>
      <c r="M70" s="38" t="s">
        <v>86</v>
      </c>
      <c r="N70" s="38"/>
      <c r="O70" s="37">
        <v>365</v>
      </c>
      <c r="P70" s="39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66"/>
      <c r="R70" s="366"/>
      <c r="S70" s="366"/>
      <c r="T70" s="367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154</v>
      </c>
      <c r="AG70" s="81"/>
      <c r="AJ70" s="87" t="s">
        <v>120</v>
      </c>
      <c r="AK70" s="87">
        <v>14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155</v>
      </c>
      <c r="B71" s="63" t="s">
        <v>156</v>
      </c>
      <c r="C71" s="36">
        <v>4301135702</v>
      </c>
      <c r="D71" s="364">
        <v>4620207490228</v>
      </c>
      <c r="E71" s="364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119</v>
      </c>
      <c r="M71" s="38" t="s">
        <v>86</v>
      </c>
      <c r="N71" s="38"/>
      <c r="O71" s="37">
        <v>365</v>
      </c>
      <c r="P71" s="39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66"/>
      <c r="R71" s="366"/>
      <c r="S71" s="366"/>
      <c r="T71" s="367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120</v>
      </c>
      <c r="AK71" s="87">
        <v>14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x14ac:dyDescent="0.2">
      <c r="A72" s="378"/>
      <c r="B72" s="378"/>
      <c r="C72" s="378"/>
      <c r="D72" s="378"/>
      <c r="E72" s="378"/>
      <c r="F72" s="378"/>
      <c r="G72" s="378"/>
      <c r="H72" s="378"/>
      <c r="I72" s="378"/>
      <c r="J72" s="378"/>
      <c r="K72" s="378"/>
      <c r="L72" s="378"/>
      <c r="M72" s="378"/>
      <c r="N72" s="378"/>
      <c r="O72" s="379"/>
      <c r="P72" s="375" t="s">
        <v>40</v>
      </c>
      <c r="Q72" s="376"/>
      <c r="R72" s="376"/>
      <c r="S72" s="376"/>
      <c r="T72" s="376"/>
      <c r="U72" s="376"/>
      <c r="V72" s="377"/>
      <c r="W72" s="42" t="s">
        <v>39</v>
      </c>
      <c r="X72" s="43">
        <f>IFERROR(SUM(X69:X71),"0")</f>
        <v>0</v>
      </c>
      <c r="Y72" s="43">
        <f>IFERROR(SUM(Y69:Y71),"0")</f>
        <v>0</v>
      </c>
      <c r="Z72" s="43">
        <f>IFERROR(IF(Z69="",0,Z69),"0")+IFERROR(IF(Z70="",0,Z70),"0")+IFERROR(IF(Z71="",0,Z71),"0")</f>
        <v>0</v>
      </c>
      <c r="AA72" s="67"/>
      <c r="AB72" s="67"/>
      <c r="AC72" s="67"/>
    </row>
    <row r="73" spans="1:68" x14ac:dyDescent="0.2">
      <c r="A73" s="378"/>
      <c r="B73" s="378"/>
      <c r="C73" s="378"/>
      <c r="D73" s="378"/>
      <c r="E73" s="378"/>
      <c r="F73" s="378"/>
      <c r="G73" s="378"/>
      <c r="H73" s="378"/>
      <c r="I73" s="378"/>
      <c r="J73" s="378"/>
      <c r="K73" s="378"/>
      <c r="L73" s="378"/>
      <c r="M73" s="378"/>
      <c r="N73" s="378"/>
      <c r="O73" s="379"/>
      <c r="P73" s="375" t="s">
        <v>40</v>
      </c>
      <c r="Q73" s="376"/>
      <c r="R73" s="376"/>
      <c r="S73" s="376"/>
      <c r="T73" s="376"/>
      <c r="U73" s="376"/>
      <c r="V73" s="377"/>
      <c r="W73" s="42" t="s">
        <v>0</v>
      </c>
      <c r="X73" s="43">
        <f>IFERROR(SUMPRODUCT(X69:X71*H69:H71),"0")</f>
        <v>0</v>
      </c>
      <c r="Y73" s="43">
        <f>IFERROR(SUMPRODUCT(Y69:Y71*H69:H71),"0")</f>
        <v>0</v>
      </c>
      <c r="Z73" s="42"/>
      <c r="AA73" s="67"/>
      <c r="AB73" s="67"/>
      <c r="AC73" s="67"/>
    </row>
    <row r="74" spans="1:68" ht="16.5" customHeight="1" x14ac:dyDescent="0.25">
      <c r="A74" s="362" t="s">
        <v>157</v>
      </c>
      <c r="B74" s="362"/>
      <c r="C74" s="362"/>
      <c r="D74" s="362"/>
      <c r="E74" s="362"/>
      <c r="F74" s="362"/>
      <c r="G74" s="362"/>
      <c r="H74" s="362"/>
      <c r="I74" s="362"/>
      <c r="J74" s="362"/>
      <c r="K74" s="362"/>
      <c r="L74" s="362"/>
      <c r="M74" s="362"/>
      <c r="N74" s="362"/>
      <c r="O74" s="362"/>
      <c r="P74" s="362"/>
      <c r="Q74" s="362"/>
      <c r="R74" s="362"/>
      <c r="S74" s="362"/>
      <c r="T74" s="362"/>
      <c r="U74" s="362"/>
      <c r="V74" s="362"/>
      <c r="W74" s="362"/>
      <c r="X74" s="362"/>
      <c r="Y74" s="362"/>
      <c r="Z74" s="362"/>
      <c r="AA74" s="65"/>
      <c r="AB74" s="65"/>
      <c r="AC74" s="82"/>
    </row>
    <row r="75" spans="1:68" ht="14.25" customHeight="1" x14ac:dyDescent="0.25">
      <c r="A75" s="363" t="s">
        <v>82</v>
      </c>
      <c r="B75" s="363"/>
      <c r="C75" s="363"/>
      <c r="D75" s="363"/>
      <c r="E75" s="363"/>
      <c r="F75" s="363"/>
      <c r="G75" s="363"/>
      <c r="H75" s="363"/>
      <c r="I75" s="363"/>
      <c r="J75" s="363"/>
      <c r="K75" s="363"/>
      <c r="L75" s="363"/>
      <c r="M75" s="363"/>
      <c r="N75" s="363"/>
      <c r="O75" s="363"/>
      <c r="P75" s="363"/>
      <c r="Q75" s="363"/>
      <c r="R75" s="363"/>
      <c r="S75" s="363"/>
      <c r="T75" s="363"/>
      <c r="U75" s="363"/>
      <c r="V75" s="363"/>
      <c r="W75" s="363"/>
      <c r="X75" s="363"/>
      <c r="Y75" s="363"/>
      <c r="Z75" s="363"/>
      <c r="AA75" s="66"/>
      <c r="AB75" s="66"/>
      <c r="AC75" s="83"/>
    </row>
    <row r="76" spans="1:68" ht="27" customHeight="1" x14ac:dyDescent="0.25">
      <c r="A76" s="63" t="s">
        <v>158</v>
      </c>
      <c r="B76" s="63" t="s">
        <v>159</v>
      </c>
      <c r="C76" s="36">
        <v>4301070977</v>
      </c>
      <c r="D76" s="364">
        <v>4607111037411</v>
      </c>
      <c r="E76" s="364"/>
      <c r="F76" s="62">
        <v>2.7</v>
      </c>
      <c r="G76" s="37">
        <v>1</v>
      </c>
      <c r="H76" s="62">
        <v>2.7</v>
      </c>
      <c r="I76" s="62">
        <v>2.8132000000000001</v>
      </c>
      <c r="J76" s="37">
        <v>234</v>
      </c>
      <c r="K76" s="37" t="s">
        <v>161</v>
      </c>
      <c r="L76" s="37" t="s">
        <v>119</v>
      </c>
      <c r="M76" s="38" t="s">
        <v>86</v>
      </c>
      <c r="N76" s="38"/>
      <c r="O76" s="37">
        <v>180</v>
      </c>
      <c r="P76" s="39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66"/>
      <c r="R76" s="366"/>
      <c r="S76" s="366"/>
      <c r="T76" s="367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IFERROR(IF(X76="","",X76*0.00502),"")</f>
        <v>0</v>
      </c>
      <c r="AA76" s="68" t="s">
        <v>46</v>
      </c>
      <c r="AB76" s="69" t="s">
        <v>46</v>
      </c>
      <c r="AC76" s="135" t="s">
        <v>160</v>
      </c>
      <c r="AG76" s="81"/>
      <c r="AJ76" s="87" t="s">
        <v>120</v>
      </c>
      <c r="AK76" s="87">
        <v>18</v>
      </c>
      <c r="BB76" s="136" t="s">
        <v>70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162</v>
      </c>
      <c r="B77" s="63" t="s">
        <v>163</v>
      </c>
      <c r="C77" s="36">
        <v>4301070981</v>
      </c>
      <c r="D77" s="364">
        <v>4607111036728</v>
      </c>
      <c r="E77" s="364"/>
      <c r="F77" s="62">
        <v>5</v>
      </c>
      <c r="G77" s="37">
        <v>1</v>
      </c>
      <c r="H77" s="62">
        <v>5</v>
      </c>
      <c r="I77" s="62">
        <v>5.2131999999999996</v>
      </c>
      <c r="J77" s="37">
        <v>144</v>
      </c>
      <c r="K77" s="37" t="s">
        <v>87</v>
      </c>
      <c r="L77" s="37" t="s">
        <v>119</v>
      </c>
      <c r="M77" s="38" t="s">
        <v>86</v>
      </c>
      <c r="N77" s="38"/>
      <c r="O77" s="37">
        <v>180</v>
      </c>
      <c r="P77" s="39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66"/>
      <c r="R77" s="366"/>
      <c r="S77" s="366"/>
      <c r="T77" s="367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IFERROR(IF(X77="","",X77*0.00866),"")</f>
        <v>0</v>
      </c>
      <c r="AA77" s="68" t="s">
        <v>46</v>
      </c>
      <c r="AB77" s="69" t="s">
        <v>46</v>
      </c>
      <c r="AC77" s="137" t="s">
        <v>160</v>
      </c>
      <c r="AG77" s="81"/>
      <c r="AJ77" s="87" t="s">
        <v>120</v>
      </c>
      <c r="AK77" s="87">
        <v>12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">
      <c r="A78" s="378"/>
      <c r="B78" s="378"/>
      <c r="C78" s="378"/>
      <c r="D78" s="378"/>
      <c r="E78" s="378"/>
      <c r="F78" s="378"/>
      <c r="G78" s="378"/>
      <c r="H78" s="378"/>
      <c r="I78" s="378"/>
      <c r="J78" s="378"/>
      <c r="K78" s="378"/>
      <c r="L78" s="378"/>
      <c r="M78" s="378"/>
      <c r="N78" s="378"/>
      <c r="O78" s="379"/>
      <c r="P78" s="375" t="s">
        <v>40</v>
      </c>
      <c r="Q78" s="376"/>
      <c r="R78" s="376"/>
      <c r="S78" s="376"/>
      <c r="T78" s="376"/>
      <c r="U78" s="376"/>
      <c r="V78" s="377"/>
      <c r="W78" s="42" t="s">
        <v>39</v>
      </c>
      <c r="X78" s="43">
        <f>IFERROR(SUM(X76:X77),"0")</f>
        <v>0</v>
      </c>
      <c r="Y78" s="43">
        <f>IFERROR(SUM(Y76:Y77),"0")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x14ac:dyDescent="0.2">
      <c r="A79" s="378"/>
      <c r="B79" s="378"/>
      <c r="C79" s="378"/>
      <c r="D79" s="378"/>
      <c r="E79" s="378"/>
      <c r="F79" s="378"/>
      <c r="G79" s="378"/>
      <c r="H79" s="378"/>
      <c r="I79" s="378"/>
      <c r="J79" s="378"/>
      <c r="K79" s="378"/>
      <c r="L79" s="378"/>
      <c r="M79" s="378"/>
      <c r="N79" s="378"/>
      <c r="O79" s="379"/>
      <c r="P79" s="375" t="s">
        <v>40</v>
      </c>
      <c r="Q79" s="376"/>
      <c r="R79" s="376"/>
      <c r="S79" s="376"/>
      <c r="T79" s="376"/>
      <c r="U79" s="376"/>
      <c r="V79" s="377"/>
      <c r="W79" s="42" t="s">
        <v>0</v>
      </c>
      <c r="X79" s="43">
        <f>IFERROR(SUMPRODUCT(X76:X77*H76:H77),"0")</f>
        <v>0</v>
      </c>
      <c r="Y79" s="43">
        <f>IFERROR(SUMPRODUCT(Y76:Y77*H76:H77),"0")</f>
        <v>0</v>
      </c>
      <c r="Z79" s="42"/>
      <c r="AA79" s="67"/>
      <c r="AB79" s="67"/>
      <c r="AC79" s="67"/>
    </row>
    <row r="80" spans="1:68" ht="16.5" customHeight="1" x14ac:dyDescent="0.25">
      <c r="A80" s="362" t="s">
        <v>164</v>
      </c>
      <c r="B80" s="362"/>
      <c r="C80" s="362"/>
      <c r="D80" s="362"/>
      <c r="E80" s="362"/>
      <c r="F80" s="362"/>
      <c r="G80" s="362"/>
      <c r="H80" s="362"/>
      <c r="I80" s="362"/>
      <c r="J80" s="362"/>
      <c r="K80" s="362"/>
      <c r="L80" s="362"/>
      <c r="M80" s="362"/>
      <c r="N80" s="362"/>
      <c r="O80" s="362"/>
      <c r="P80" s="362"/>
      <c r="Q80" s="362"/>
      <c r="R80" s="362"/>
      <c r="S80" s="362"/>
      <c r="T80" s="362"/>
      <c r="U80" s="362"/>
      <c r="V80" s="362"/>
      <c r="W80" s="362"/>
      <c r="X80" s="362"/>
      <c r="Y80" s="362"/>
      <c r="Z80" s="362"/>
      <c r="AA80" s="65"/>
      <c r="AB80" s="65"/>
      <c r="AC80" s="82"/>
    </row>
    <row r="81" spans="1:68" ht="14.25" customHeight="1" x14ac:dyDescent="0.25">
      <c r="A81" s="363" t="s">
        <v>149</v>
      </c>
      <c r="B81" s="363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66"/>
      <c r="AB81" s="66"/>
      <c r="AC81" s="83"/>
    </row>
    <row r="82" spans="1:68" ht="27" customHeight="1" x14ac:dyDescent="0.25">
      <c r="A82" s="63" t="s">
        <v>165</v>
      </c>
      <c r="B82" s="63" t="s">
        <v>166</v>
      </c>
      <c r="C82" s="36">
        <v>4301135910</v>
      </c>
      <c r="D82" s="364">
        <v>4620207491638</v>
      </c>
      <c r="E82" s="364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118</v>
      </c>
      <c r="L82" s="37" t="s">
        <v>88</v>
      </c>
      <c r="M82" s="38" t="s">
        <v>86</v>
      </c>
      <c r="N82" s="38"/>
      <c r="O82" s="37">
        <v>180</v>
      </c>
      <c r="P82" s="397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366"/>
      <c r="R82" s="366"/>
      <c r="S82" s="366"/>
      <c r="T82" s="367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IFERROR(IF(X82="","",X82*0.01788),"")</f>
        <v>0</v>
      </c>
      <c r="AA82" s="68" t="s">
        <v>46</v>
      </c>
      <c r="AB82" s="69" t="s">
        <v>46</v>
      </c>
      <c r="AC82" s="139" t="s">
        <v>167</v>
      </c>
      <c r="AG82" s="81"/>
      <c r="AJ82" s="87" t="s">
        <v>89</v>
      </c>
      <c r="AK82" s="87">
        <v>1</v>
      </c>
      <c r="BB82" s="140" t="s">
        <v>117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x14ac:dyDescent="0.2">
      <c r="A83" s="378"/>
      <c r="B83" s="378"/>
      <c r="C83" s="378"/>
      <c r="D83" s="378"/>
      <c r="E83" s="378"/>
      <c r="F83" s="378"/>
      <c r="G83" s="378"/>
      <c r="H83" s="378"/>
      <c r="I83" s="378"/>
      <c r="J83" s="378"/>
      <c r="K83" s="378"/>
      <c r="L83" s="378"/>
      <c r="M83" s="378"/>
      <c r="N83" s="378"/>
      <c r="O83" s="379"/>
      <c r="P83" s="375" t="s">
        <v>40</v>
      </c>
      <c r="Q83" s="376"/>
      <c r="R83" s="376"/>
      <c r="S83" s="376"/>
      <c r="T83" s="376"/>
      <c r="U83" s="376"/>
      <c r="V83" s="377"/>
      <c r="W83" s="42" t="s">
        <v>39</v>
      </c>
      <c r="X83" s="43">
        <f>IFERROR(SUM(X82:X82),"0")</f>
        <v>0</v>
      </c>
      <c r="Y83" s="43">
        <f>IFERROR(SUM(Y82:Y82),"0")</f>
        <v>0</v>
      </c>
      <c r="Z83" s="43">
        <f>IFERROR(IF(Z82="",0,Z82),"0")</f>
        <v>0</v>
      </c>
      <c r="AA83" s="67"/>
      <c r="AB83" s="67"/>
      <c r="AC83" s="67"/>
    </row>
    <row r="84" spans="1:68" x14ac:dyDescent="0.2">
      <c r="A84" s="378"/>
      <c r="B84" s="378"/>
      <c r="C84" s="378"/>
      <c r="D84" s="378"/>
      <c r="E84" s="378"/>
      <c r="F84" s="378"/>
      <c r="G84" s="378"/>
      <c r="H84" s="378"/>
      <c r="I84" s="378"/>
      <c r="J84" s="378"/>
      <c r="K84" s="378"/>
      <c r="L84" s="378"/>
      <c r="M84" s="378"/>
      <c r="N84" s="378"/>
      <c r="O84" s="379"/>
      <c r="P84" s="375" t="s">
        <v>40</v>
      </c>
      <c r="Q84" s="376"/>
      <c r="R84" s="376"/>
      <c r="S84" s="376"/>
      <c r="T84" s="376"/>
      <c r="U84" s="376"/>
      <c r="V84" s="377"/>
      <c r="W84" s="42" t="s">
        <v>0</v>
      </c>
      <c r="X84" s="43">
        <f>IFERROR(SUMPRODUCT(X82:X82*H82:H82),"0")</f>
        <v>0</v>
      </c>
      <c r="Y84" s="43">
        <f>IFERROR(SUMPRODUCT(Y82:Y82*H82:H82),"0")</f>
        <v>0</v>
      </c>
      <c r="Z84" s="42"/>
      <c r="AA84" s="67"/>
      <c r="AB84" s="67"/>
      <c r="AC84" s="67"/>
    </row>
    <row r="85" spans="1:68" ht="16.5" customHeight="1" x14ac:dyDescent="0.25">
      <c r="A85" s="362" t="s">
        <v>168</v>
      </c>
      <c r="B85" s="362"/>
      <c r="C85" s="362"/>
      <c r="D85" s="362"/>
      <c r="E85" s="362"/>
      <c r="F85" s="362"/>
      <c r="G85" s="362"/>
      <c r="H85" s="362"/>
      <c r="I85" s="362"/>
      <c r="J85" s="362"/>
      <c r="K85" s="362"/>
      <c r="L85" s="362"/>
      <c r="M85" s="362"/>
      <c r="N85" s="362"/>
      <c r="O85" s="362"/>
      <c r="P85" s="362"/>
      <c r="Q85" s="362"/>
      <c r="R85" s="362"/>
      <c r="S85" s="362"/>
      <c r="T85" s="362"/>
      <c r="U85" s="362"/>
      <c r="V85" s="362"/>
      <c r="W85" s="362"/>
      <c r="X85" s="362"/>
      <c r="Y85" s="362"/>
      <c r="Z85" s="362"/>
      <c r="AA85" s="65"/>
      <c r="AB85" s="65"/>
      <c r="AC85" s="82"/>
    </row>
    <row r="86" spans="1:68" ht="14.25" customHeight="1" x14ac:dyDescent="0.25">
      <c r="A86" s="363" t="s">
        <v>169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66"/>
      <c r="AB86" s="66"/>
      <c r="AC86" s="83"/>
    </row>
    <row r="87" spans="1:68" ht="27" customHeight="1" x14ac:dyDescent="0.25">
      <c r="A87" s="63" t="s">
        <v>170</v>
      </c>
      <c r="B87" s="63" t="s">
        <v>171</v>
      </c>
      <c r="C87" s="36">
        <v>4301131047</v>
      </c>
      <c r="D87" s="364">
        <v>4607111034120</v>
      </c>
      <c r="E87" s="364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118</v>
      </c>
      <c r="L87" s="37" t="s">
        <v>119</v>
      </c>
      <c r="M87" s="38" t="s">
        <v>86</v>
      </c>
      <c r="N87" s="38"/>
      <c r="O87" s="37">
        <v>180</v>
      </c>
      <c r="P87" s="39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66"/>
      <c r="R87" s="366"/>
      <c r="S87" s="366"/>
      <c r="T87" s="367"/>
      <c r="U87" s="39" t="s">
        <v>46</v>
      </c>
      <c r="V87" s="39" t="s">
        <v>46</v>
      </c>
      <c r="W87" s="40" t="s">
        <v>39</v>
      </c>
      <c r="X87" s="58">
        <v>0</v>
      </c>
      <c r="Y87" s="55">
        <f>IFERROR(IF(X87="","",X87),"")</f>
        <v>0</v>
      </c>
      <c r="Z87" s="41">
        <f>IFERROR(IF(X87="","",X87*0.01788),"")</f>
        <v>0</v>
      </c>
      <c r="AA87" s="68" t="s">
        <v>46</v>
      </c>
      <c r="AB87" s="69" t="s">
        <v>46</v>
      </c>
      <c r="AC87" s="141" t="s">
        <v>172</v>
      </c>
      <c r="AG87" s="81"/>
      <c r="AJ87" s="87" t="s">
        <v>120</v>
      </c>
      <c r="AK87" s="87">
        <v>14</v>
      </c>
      <c r="BB87" s="142" t="s">
        <v>117</v>
      </c>
      <c r="BM87" s="81">
        <f>IFERROR(X87*I87,"0")</f>
        <v>0</v>
      </c>
      <c r="BN87" s="81">
        <f>IFERROR(Y87*I87,"0")</f>
        <v>0</v>
      </c>
      <c r="BO87" s="81">
        <f>IFERROR(X87/J87,"0")</f>
        <v>0</v>
      </c>
      <c r="BP87" s="81">
        <f>IFERROR(Y87/J87,"0")</f>
        <v>0</v>
      </c>
    </row>
    <row r="88" spans="1:68" ht="27" customHeight="1" x14ac:dyDescent="0.25">
      <c r="A88" s="63" t="s">
        <v>173</v>
      </c>
      <c r="B88" s="63" t="s">
        <v>174</v>
      </c>
      <c r="C88" s="36">
        <v>4301131046</v>
      </c>
      <c r="D88" s="364">
        <v>4607111034137</v>
      </c>
      <c r="E88" s="364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66"/>
      <c r="R88" s="366"/>
      <c r="S88" s="366"/>
      <c r="T88" s="367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3" t="s">
        <v>175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x14ac:dyDescent="0.2">
      <c r="A89" s="378"/>
      <c r="B89" s="378"/>
      <c r="C89" s="378"/>
      <c r="D89" s="378"/>
      <c r="E89" s="378"/>
      <c r="F89" s="378"/>
      <c r="G89" s="378"/>
      <c r="H89" s="378"/>
      <c r="I89" s="378"/>
      <c r="J89" s="378"/>
      <c r="K89" s="378"/>
      <c r="L89" s="378"/>
      <c r="M89" s="378"/>
      <c r="N89" s="378"/>
      <c r="O89" s="379"/>
      <c r="P89" s="375" t="s">
        <v>40</v>
      </c>
      <c r="Q89" s="376"/>
      <c r="R89" s="376"/>
      <c r="S89" s="376"/>
      <c r="T89" s="376"/>
      <c r="U89" s="376"/>
      <c r="V89" s="377"/>
      <c r="W89" s="42" t="s">
        <v>39</v>
      </c>
      <c r="X89" s="43">
        <f>IFERROR(SUM(X87:X88),"0")</f>
        <v>0</v>
      </c>
      <c r="Y89" s="43">
        <f>IFERROR(SUM(Y87:Y88),"0")</f>
        <v>0</v>
      </c>
      <c r="Z89" s="43">
        <f>IFERROR(IF(Z87="",0,Z87),"0")+IFERROR(IF(Z88="",0,Z88),"0")</f>
        <v>0</v>
      </c>
      <c r="AA89" s="67"/>
      <c r="AB89" s="67"/>
      <c r="AC89" s="67"/>
    </row>
    <row r="90" spans="1:68" x14ac:dyDescent="0.2">
      <c r="A90" s="378"/>
      <c r="B90" s="378"/>
      <c r="C90" s="378"/>
      <c r="D90" s="378"/>
      <c r="E90" s="378"/>
      <c r="F90" s="378"/>
      <c r="G90" s="378"/>
      <c r="H90" s="378"/>
      <c r="I90" s="378"/>
      <c r="J90" s="378"/>
      <c r="K90" s="378"/>
      <c r="L90" s="378"/>
      <c r="M90" s="378"/>
      <c r="N90" s="378"/>
      <c r="O90" s="379"/>
      <c r="P90" s="375" t="s">
        <v>40</v>
      </c>
      <c r="Q90" s="376"/>
      <c r="R90" s="376"/>
      <c r="S90" s="376"/>
      <c r="T90" s="376"/>
      <c r="U90" s="376"/>
      <c r="V90" s="377"/>
      <c r="W90" s="42" t="s">
        <v>0</v>
      </c>
      <c r="X90" s="43">
        <f>IFERROR(SUMPRODUCT(X87:X88*H87:H88),"0")</f>
        <v>0</v>
      </c>
      <c r="Y90" s="43">
        <f>IFERROR(SUMPRODUCT(Y87:Y88*H87:H88),"0")</f>
        <v>0</v>
      </c>
      <c r="Z90" s="42"/>
      <c r="AA90" s="67"/>
      <c r="AB90" s="67"/>
      <c r="AC90" s="67"/>
    </row>
    <row r="91" spans="1:68" ht="16.5" customHeight="1" x14ac:dyDescent="0.25">
      <c r="A91" s="362" t="s">
        <v>176</v>
      </c>
      <c r="B91" s="362"/>
      <c r="C91" s="362"/>
      <c r="D91" s="362"/>
      <c r="E91" s="362"/>
      <c r="F91" s="362"/>
      <c r="G91" s="362"/>
      <c r="H91" s="362"/>
      <c r="I91" s="362"/>
      <c r="J91" s="362"/>
      <c r="K91" s="362"/>
      <c r="L91" s="362"/>
      <c r="M91" s="362"/>
      <c r="N91" s="362"/>
      <c r="O91" s="362"/>
      <c r="P91" s="362"/>
      <c r="Q91" s="362"/>
      <c r="R91" s="362"/>
      <c r="S91" s="362"/>
      <c r="T91" s="362"/>
      <c r="U91" s="362"/>
      <c r="V91" s="362"/>
      <c r="W91" s="362"/>
      <c r="X91" s="362"/>
      <c r="Y91" s="362"/>
      <c r="Z91" s="362"/>
      <c r="AA91" s="65"/>
      <c r="AB91" s="65"/>
      <c r="AC91" s="82"/>
    </row>
    <row r="92" spans="1:68" ht="14.25" customHeight="1" x14ac:dyDescent="0.25">
      <c r="A92" s="363" t="s">
        <v>149</v>
      </c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4301135763</v>
      </c>
      <c r="D93" s="364">
        <v>4620207491027</v>
      </c>
      <c r="E93" s="364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118</v>
      </c>
      <c r="L93" s="37" t="s">
        <v>119</v>
      </c>
      <c r="M93" s="38" t="s">
        <v>86</v>
      </c>
      <c r="N93" s="38"/>
      <c r="O93" s="37">
        <v>180</v>
      </c>
      <c r="P93" s="40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66"/>
      <c r="R93" s="366"/>
      <c r="S93" s="366"/>
      <c r="T93" s="367"/>
      <c r="U93" s="39" t="s">
        <v>46</v>
      </c>
      <c r="V93" s="39" t="s">
        <v>46</v>
      </c>
      <c r="W93" s="40" t="s">
        <v>39</v>
      </c>
      <c r="X93" s="58">
        <v>0</v>
      </c>
      <c r="Y93" s="55">
        <f t="shared" ref="Y93:Y98" si="6">IFERROR(IF(X93="","",X93),"")</f>
        <v>0</v>
      </c>
      <c r="Z93" s="41">
        <f t="shared" ref="Z93:Z98" si="7">IFERROR(IF(X93="","",X93*0.01788),"")</f>
        <v>0</v>
      </c>
      <c r="AA93" s="68" t="s">
        <v>46</v>
      </c>
      <c r="AB93" s="69" t="s">
        <v>46</v>
      </c>
      <c r="AC93" s="145" t="s">
        <v>179</v>
      </c>
      <c r="AG93" s="81"/>
      <c r="AJ93" s="87" t="s">
        <v>120</v>
      </c>
      <c r="AK93" s="87">
        <v>14</v>
      </c>
      <c r="BB93" s="146" t="s">
        <v>117</v>
      </c>
      <c r="BM93" s="81">
        <f t="shared" ref="BM93:BM98" si="8">IFERROR(X93*I93,"0")</f>
        <v>0</v>
      </c>
      <c r="BN93" s="81">
        <f t="shared" ref="BN93:BN98" si="9">IFERROR(Y93*I93,"0")</f>
        <v>0</v>
      </c>
      <c r="BO93" s="81">
        <f t="shared" ref="BO93:BO98" si="10">IFERROR(X93/J93,"0")</f>
        <v>0</v>
      </c>
      <c r="BP93" s="81">
        <f t="shared" ref="BP93:BP98" si="11">IFERROR(Y93/J93,"0")</f>
        <v>0</v>
      </c>
    </row>
    <row r="94" spans="1:68" ht="27" customHeight="1" x14ac:dyDescent="0.25">
      <c r="A94" s="63" t="s">
        <v>180</v>
      </c>
      <c r="B94" s="63" t="s">
        <v>181</v>
      </c>
      <c r="C94" s="36">
        <v>4301135914</v>
      </c>
      <c r="D94" s="364">
        <v>4620207491621</v>
      </c>
      <c r="E94" s="364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401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66"/>
      <c r="R94" s="366"/>
      <c r="S94" s="366"/>
      <c r="T94" s="367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si="6"/>
        <v>0</v>
      </c>
      <c r="Z94" s="41">
        <f t="shared" si="7"/>
        <v>0</v>
      </c>
      <c r="AA94" s="68" t="s">
        <v>46</v>
      </c>
      <c r="AB94" s="69" t="s">
        <v>46</v>
      </c>
      <c r="AC94" s="147" t="s">
        <v>182</v>
      </c>
      <c r="AG94" s="81"/>
      <c r="AJ94" s="87" t="s">
        <v>89</v>
      </c>
      <c r="AK94" s="87">
        <v>1</v>
      </c>
      <c r="BB94" s="148" t="s">
        <v>117</v>
      </c>
      <c r="BM94" s="81">
        <f t="shared" si="8"/>
        <v>0</v>
      </c>
      <c r="BN94" s="81">
        <f t="shared" si="9"/>
        <v>0</v>
      </c>
      <c r="BO94" s="81">
        <f t="shared" si="10"/>
        <v>0</v>
      </c>
      <c r="BP94" s="81">
        <f t="shared" si="11"/>
        <v>0</v>
      </c>
    </row>
    <row r="95" spans="1:68" ht="27" customHeight="1" x14ac:dyDescent="0.25">
      <c r="A95" s="63" t="s">
        <v>183</v>
      </c>
      <c r="B95" s="63" t="s">
        <v>184</v>
      </c>
      <c r="C95" s="36">
        <v>4301135990</v>
      </c>
      <c r="D95" s="364">
        <v>4620207491881</v>
      </c>
      <c r="E95" s="364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88</v>
      </c>
      <c r="M95" s="38" t="s">
        <v>86</v>
      </c>
      <c r="N95" s="38"/>
      <c r="O95" s="37">
        <v>180</v>
      </c>
      <c r="P95" s="402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66"/>
      <c r="R95" s="366"/>
      <c r="S95" s="366"/>
      <c r="T95" s="367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182</v>
      </c>
      <c r="AG95" s="81"/>
      <c r="AJ95" s="87" t="s">
        <v>89</v>
      </c>
      <c r="AK95" s="87">
        <v>1</v>
      </c>
      <c r="BB95" s="150" t="s">
        <v>117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185</v>
      </c>
      <c r="B96" s="63" t="s">
        <v>186</v>
      </c>
      <c r="C96" s="36">
        <v>4301135920</v>
      </c>
      <c r="D96" s="364">
        <v>4620207491577</v>
      </c>
      <c r="E96" s="364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403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66"/>
      <c r="R96" s="366"/>
      <c r="S96" s="366"/>
      <c r="T96" s="367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182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187</v>
      </c>
      <c r="B97" s="63" t="s">
        <v>188</v>
      </c>
      <c r="C97" s="36">
        <v>4301135984</v>
      </c>
      <c r="D97" s="364">
        <v>4620207491874</v>
      </c>
      <c r="E97" s="364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118</v>
      </c>
      <c r="L97" s="37" t="s">
        <v>88</v>
      </c>
      <c r="M97" s="38" t="s">
        <v>86</v>
      </c>
      <c r="N97" s="38"/>
      <c r="O97" s="37">
        <v>180</v>
      </c>
      <c r="P97" s="404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66"/>
      <c r="R97" s="366"/>
      <c r="S97" s="366"/>
      <c r="T97" s="367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182</v>
      </c>
      <c r="AG97" s="81"/>
      <c r="AJ97" s="87" t="s">
        <v>89</v>
      </c>
      <c r="AK97" s="87">
        <v>1</v>
      </c>
      <c r="BB97" s="154" t="s">
        <v>117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189</v>
      </c>
      <c r="B98" s="63" t="s">
        <v>190</v>
      </c>
      <c r="C98" s="36">
        <v>4301135285</v>
      </c>
      <c r="D98" s="364">
        <v>4607111036407</v>
      </c>
      <c r="E98" s="364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118</v>
      </c>
      <c r="L98" s="37" t="s">
        <v>119</v>
      </c>
      <c r="M98" s="38" t="s">
        <v>86</v>
      </c>
      <c r="N98" s="38"/>
      <c r="O98" s="37">
        <v>180</v>
      </c>
      <c r="P98" s="40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366"/>
      <c r="R98" s="366"/>
      <c r="S98" s="366"/>
      <c r="T98" s="367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191</v>
      </c>
      <c r="AG98" s="81"/>
      <c r="AJ98" s="87" t="s">
        <v>120</v>
      </c>
      <c r="AK98" s="87">
        <v>14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x14ac:dyDescent="0.2">
      <c r="A99" s="378"/>
      <c r="B99" s="378"/>
      <c r="C99" s="378"/>
      <c r="D99" s="378"/>
      <c r="E99" s="378"/>
      <c r="F99" s="378"/>
      <c r="G99" s="378"/>
      <c r="H99" s="378"/>
      <c r="I99" s="378"/>
      <c r="J99" s="378"/>
      <c r="K99" s="378"/>
      <c r="L99" s="378"/>
      <c r="M99" s="378"/>
      <c r="N99" s="378"/>
      <c r="O99" s="379"/>
      <c r="P99" s="375" t="s">
        <v>40</v>
      </c>
      <c r="Q99" s="376"/>
      <c r="R99" s="376"/>
      <c r="S99" s="376"/>
      <c r="T99" s="376"/>
      <c r="U99" s="376"/>
      <c r="V99" s="377"/>
      <c r="W99" s="42" t="s">
        <v>39</v>
      </c>
      <c r="X99" s="43">
        <f>IFERROR(SUM(X93:X98),"0")</f>
        <v>0</v>
      </c>
      <c r="Y99" s="43">
        <f>IFERROR(SUM(Y93:Y98),"0")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378"/>
      <c r="B100" s="378"/>
      <c r="C100" s="378"/>
      <c r="D100" s="378"/>
      <c r="E100" s="378"/>
      <c r="F100" s="378"/>
      <c r="G100" s="378"/>
      <c r="H100" s="378"/>
      <c r="I100" s="378"/>
      <c r="J100" s="378"/>
      <c r="K100" s="378"/>
      <c r="L100" s="378"/>
      <c r="M100" s="378"/>
      <c r="N100" s="378"/>
      <c r="O100" s="379"/>
      <c r="P100" s="375" t="s">
        <v>40</v>
      </c>
      <c r="Q100" s="376"/>
      <c r="R100" s="376"/>
      <c r="S100" s="376"/>
      <c r="T100" s="376"/>
      <c r="U100" s="376"/>
      <c r="V100" s="377"/>
      <c r="W100" s="42" t="s">
        <v>0</v>
      </c>
      <c r="X100" s="43">
        <f>IFERROR(SUMPRODUCT(X93:X98*H93:H98),"0")</f>
        <v>0</v>
      </c>
      <c r="Y100" s="43">
        <f>IFERROR(SUMPRODUCT(Y93:Y98*H93:H98),"0")</f>
        <v>0</v>
      </c>
      <c r="Z100" s="42"/>
      <c r="AA100" s="67"/>
      <c r="AB100" s="67"/>
      <c r="AC100" s="67"/>
    </row>
    <row r="101" spans="1:68" ht="16.5" customHeight="1" x14ac:dyDescent="0.25">
      <c r="A101" s="362" t="s">
        <v>192</v>
      </c>
      <c r="B101" s="362"/>
      <c r="C101" s="362"/>
      <c r="D101" s="362"/>
      <c r="E101" s="362"/>
      <c r="F101" s="362"/>
      <c r="G101" s="362"/>
      <c r="H101" s="362"/>
      <c r="I101" s="362"/>
      <c r="J101" s="362"/>
      <c r="K101" s="362"/>
      <c r="L101" s="362"/>
      <c r="M101" s="362"/>
      <c r="N101" s="362"/>
      <c r="O101" s="362"/>
      <c r="P101" s="362"/>
      <c r="Q101" s="362"/>
      <c r="R101" s="362"/>
      <c r="S101" s="362"/>
      <c r="T101" s="362"/>
      <c r="U101" s="362"/>
      <c r="V101" s="362"/>
      <c r="W101" s="362"/>
      <c r="X101" s="362"/>
      <c r="Y101" s="362"/>
      <c r="Z101" s="362"/>
      <c r="AA101" s="65"/>
      <c r="AB101" s="65"/>
      <c r="AC101" s="82"/>
    </row>
    <row r="102" spans="1:68" ht="14.25" customHeight="1" x14ac:dyDescent="0.25">
      <c r="A102" s="363" t="s">
        <v>145</v>
      </c>
      <c r="B102" s="363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66"/>
      <c r="AB102" s="66"/>
      <c r="AC102" s="83"/>
    </row>
    <row r="103" spans="1:68" ht="27" customHeight="1" x14ac:dyDescent="0.25">
      <c r="A103" s="63" t="s">
        <v>193</v>
      </c>
      <c r="B103" s="63" t="s">
        <v>194</v>
      </c>
      <c r="C103" s="36">
        <v>4301136101</v>
      </c>
      <c r="D103" s="364">
        <v>4620207491652</v>
      </c>
      <c r="E103" s="364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118</v>
      </c>
      <c r="L103" s="37" t="s">
        <v>88</v>
      </c>
      <c r="M103" s="38" t="s">
        <v>86</v>
      </c>
      <c r="N103" s="38"/>
      <c r="O103" s="37">
        <v>180</v>
      </c>
      <c r="P103" s="406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66"/>
      <c r="R103" s="366"/>
      <c r="S103" s="366"/>
      <c r="T103" s="367"/>
      <c r="U103" s="39" t="s">
        <v>46</v>
      </c>
      <c r="V103" s="39" t="s">
        <v>46</v>
      </c>
      <c r="W103" s="40" t="s">
        <v>39</v>
      </c>
      <c r="X103" s="58">
        <v>0</v>
      </c>
      <c r="Y103" s="55">
        <f>IFERROR(IF(X103="","",X103),"")</f>
        <v>0</v>
      </c>
      <c r="Z103" s="41">
        <f>IFERROR(IF(X103="","",X103*0.00936),"")</f>
        <v>0</v>
      </c>
      <c r="AA103" s="68" t="s">
        <v>46</v>
      </c>
      <c r="AB103" s="69" t="s">
        <v>46</v>
      </c>
      <c r="AC103" s="157" t="s">
        <v>195</v>
      </c>
      <c r="AG103" s="81"/>
      <c r="AJ103" s="87" t="s">
        <v>89</v>
      </c>
      <c r="AK103" s="87">
        <v>1</v>
      </c>
      <c r="BB103" s="158" t="s">
        <v>117</v>
      </c>
      <c r="BM103" s="81">
        <f>IFERROR(X103*I103,"0")</f>
        <v>0</v>
      </c>
      <c r="BN103" s="81">
        <f>IFERROR(Y103*I103,"0")</f>
        <v>0</v>
      </c>
      <c r="BO103" s="81">
        <f>IFERROR(X103/J103,"0")</f>
        <v>0</v>
      </c>
      <c r="BP103" s="81">
        <f>IFERROR(Y103/J103,"0")</f>
        <v>0</v>
      </c>
    </row>
    <row r="104" spans="1:68" ht="27" customHeight="1" x14ac:dyDescent="0.25">
      <c r="A104" s="63" t="s">
        <v>196</v>
      </c>
      <c r="B104" s="63" t="s">
        <v>197</v>
      </c>
      <c r="C104" s="36">
        <v>4301136103</v>
      </c>
      <c r="D104" s="364">
        <v>4620207491645</v>
      </c>
      <c r="E104" s="364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118</v>
      </c>
      <c r="L104" s="37" t="s">
        <v>88</v>
      </c>
      <c r="M104" s="38" t="s">
        <v>86</v>
      </c>
      <c r="N104" s="38"/>
      <c r="O104" s="37">
        <v>180</v>
      </c>
      <c r="P104" s="407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66"/>
      <c r="R104" s="366"/>
      <c r="S104" s="366"/>
      <c r="T104" s="367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IFERROR(IF(X104="","",X104*0.01788),"")</f>
        <v>0</v>
      </c>
      <c r="AA104" s="68" t="s">
        <v>46</v>
      </c>
      <c r="AB104" s="69" t="s">
        <v>46</v>
      </c>
      <c r="AC104" s="159" t="s">
        <v>195</v>
      </c>
      <c r="AG104" s="81"/>
      <c r="AJ104" s="87" t="s">
        <v>89</v>
      </c>
      <c r="AK104" s="87">
        <v>1</v>
      </c>
      <c r="BB104" s="160" t="s">
        <v>117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x14ac:dyDescent="0.2">
      <c r="A105" s="378"/>
      <c r="B105" s="378"/>
      <c r="C105" s="378"/>
      <c r="D105" s="378"/>
      <c r="E105" s="378"/>
      <c r="F105" s="378"/>
      <c r="G105" s="378"/>
      <c r="H105" s="378"/>
      <c r="I105" s="378"/>
      <c r="J105" s="378"/>
      <c r="K105" s="378"/>
      <c r="L105" s="378"/>
      <c r="M105" s="378"/>
      <c r="N105" s="378"/>
      <c r="O105" s="379"/>
      <c r="P105" s="375" t="s">
        <v>40</v>
      </c>
      <c r="Q105" s="376"/>
      <c r="R105" s="376"/>
      <c r="S105" s="376"/>
      <c r="T105" s="376"/>
      <c r="U105" s="376"/>
      <c r="V105" s="377"/>
      <c r="W105" s="42" t="s">
        <v>39</v>
      </c>
      <c r="X105" s="43">
        <f>IFERROR(SUM(X103:X104),"0")</f>
        <v>0</v>
      </c>
      <c r="Y105" s="43">
        <f>IFERROR(SUM(Y103:Y104),"0")</f>
        <v>0</v>
      </c>
      <c r="Z105" s="43">
        <f>IFERROR(IF(Z103="",0,Z103),"0")+IFERROR(IF(Z104="",0,Z104),"0")</f>
        <v>0</v>
      </c>
      <c r="AA105" s="67"/>
      <c r="AB105" s="67"/>
      <c r="AC105" s="67"/>
    </row>
    <row r="106" spans="1:68" x14ac:dyDescent="0.2">
      <c r="A106" s="378"/>
      <c r="B106" s="378"/>
      <c r="C106" s="378"/>
      <c r="D106" s="378"/>
      <c r="E106" s="378"/>
      <c r="F106" s="378"/>
      <c r="G106" s="378"/>
      <c r="H106" s="378"/>
      <c r="I106" s="378"/>
      <c r="J106" s="378"/>
      <c r="K106" s="378"/>
      <c r="L106" s="378"/>
      <c r="M106" s="378"/>
      <c r="N106" s="378"/>
      <c r="O106" s="379"/>
      <c r="P106" s="375" t="s">
        <v>40</v>
      </c>
      <c r="Q106" s="376"/>
      <c r="R106" s="376"/>
      <c r="S106" s="376"/>
      <c r="T106" s="376"/>
      <c r="U106" s="376"/>
      <c r="V106" s="377"/>
      <c r="W106" s="42" t="s">
        <v>0</v>
      </c>
      <c r="X106" s="43">
        <f>IFERROR(SUMPRODUCT(X103:X104*H103:H104),"0")</f>
        <v>0</v>
      </c>
      <c r="Y106" s="43">
        <f>IFERROR(SUMPRODUCT(Y103:Y104*H103:H104),"0")</f>
        <v>0</v>
      </c>
      <c r="Z106" s="42"/>
      <c r="AA106" s="67"/>
      <c r="AB106" s="67"/>
      <c r="AC106" s="67"/>
    </row>
    <row r="107" spans="1:68" ht="16.5" customHeight="1" x14ac:dyDescent="0.25">
      <c r="A107" s="362" t="s">
        <v>198</v>
      </c>
      <c r="B107" s="362"/>
      <c r="C107" s="362"/>
      <c r="D107" s="362"/>
      <c r="E107" s="362"/>
      <c r="F107" s="362"/>
      <c r="G107" s="362"/>
      <c r="H107" s="362"/>
      <c r="I107" s="362"/>
      <c r="J107" s="362"/>
      <c r="K107" s="362"/>
      <c r="L107" s="362"/>
      <c r="M107" s="362"/>
      <c r="N107" s="362"/>
      <c r="O107" s="362"/>
      <c r="P107" s="362"/>
      <c r="Q107" s="362"/>
      <c r="R107" s="362"/>
      <c r="S107" s="362"/>
      <c r="T107" s="362"/>
      <c r="U107" s="362"/>
      <c r="V107" s="362"/>
      <c r="W107" s="362"/>
      <c r="X107" s="362"/>
      <c r="Y107" s="362"/>
      <c r="Z107" s="362"/>
      <c r="AA107" s="65"/>
      <c r="AB107" s="65"/>
      <c r="AC107" s="82"/>
    </row>
    <row r="108" spans="1:68" ht="14.25" customHeight="1" x14ac:dyDescent="0.25">
      <c r="A108" s="363" t="s">
        <v>82</v>
      </c>
      <c r="B108" s="363"/>
      <c r="C108" s="363"/>
      <c r="D108" s="363"/>
      <c r="E108" s="363"/>
      <c r="F108" s="363"/>
      <c r="G108" s="363"/>
      <c r="H108" s="363"/>
      <c r="I108" s="363"/>
      <c r="J108" s="363"/>
      <c r="K108" s="363"/>
      <c r="L108" s="363"/>
      <c r="M108" s="363"/>
      <c r="N108" s="363"/>
      <c r="O108" s="363"/>
      <c r="P108" s="363"/>
      <c r="Q108" s="363"/>
      <c r="R108" s="363"/>
      <c r="S108" s="363"/>
      <c r="T108" s="363"/>
      <c r="U108" s="363"/>
      <c r="V108" s="363"/>
      <c r="W108" s="363"/>
      <c r="X108" s="363"/>
      <c r="Y108" s="363"/>
      <c r="Z108" s="363"/>
      <c r="AA108" s="66"/>
      <c r="AB108" s="66"/>
      <c r="AC108" s="83"/>
    </row>
    <row r="109" spans="1:68" ht="27" customHeight="1" x14ac:dyDescent="0.25">
      <c r="A109" s="63" t="s">
        <v>199</v>
      </c>
      <c r="B109" s="63" t="s">
        <v>200</v>
      </c>
      <c r="C109" s="36">
        <v>4301071074</v>
      </c>
      <c r="D109" s="364">
        <v>4620207491157</v>
      </c>
      <c r="E109" s="364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87</v>
      </c>
      <c r="L109" s="37" t="s">
        <v>119</v>
      </c>
      <c r="M109" s="38" t="s">
        <v>86</v>
      </c>
      <c r="N109" s="38"/>
      <c r="O109" s="37">
        <v>180</v>
      </c>
      <c r="P109" s="40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66"/>
      <c r="R109" s="366"/>
      <c r="S109" s="366"/>
      <c r="T109" s="367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ref="Y109:Y116" si="12">IFERROR(IF(X109="","",X109),"")</f>
        <v>0</v>
      </c>
      <c r="Z109" s="41">
        <f t="shared" ref="Z109:Z116" si="13">IFERROR(IF(X109="","",X109*0.0155),"")</f>
        <v>0</v>
      </c>
      <c r="AA109" s="68" t="s">
        <v>46</v>
      </c>
      <c r="AB109" s="69" t="s">
        <v>46</v>
      </c>
      <c r="AC109" s="161" t="s">
        <v>201</v>
      </c>
      <c r="AG109" s="81"/>
      <c r="AJ109" s="87" t="s">
        <v>120</v>
      </c>
      <c r="AK109" s="87">
        <v>12</v>
      </c>
      <c r="BB109" s="162" t="s">
        <v>70</v>
      </c>
      <c r="BM109" s="81">
        <f t="shared" ref="BM109:BM116" si="14">IFERROR(X109*I109,"0")</f>
        <v>0</v>
      </c>
      <c r="BN109" s="81">
        <f t="shared" ref="BN109:BN116" si="15">IFERROR(Y109*I109,"0")</f>
        <v>0</v>
      </c>
      <c r="BO109" s="81">
        <f t="shared" ref="BO109:BO116" si="16">IFERROR(X109/J109,"0")</f>
        <v>0</v>
      </c>
      <c r="BP109" s="81">
        <f t="shared" ref="BP109:BP116" si="17">IFERROR(Y109/J109,"0")</f>
        <v>0</v>
      </c>
    </row>
    <row r="110" spans="1:68" ht="27" customHeight="1" x14ac:dyDescent="0.25">
      <c r="A110" s="63" t="s">
        <v>202</v>
      </c>
      <c r="B110" s="63" t="s">
        <v>203</v>
      </c>
      <c r="C110" s="36">
        <v>4301071121</v>
      </c>
      <c r="D110" s="364">
        <v>4620207491393</v>
      </c>
      <c r="E110" s="364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87</v>
      </c>
      <c r="L110" s="37" t="s">
        <v>88</v>
      </c>
      <c r="M110" s="38" t="s">
        <v>86</v>
      </c>
      <c r="N110" s="38"/>
      <c r="O110" s="37">
        <v>180</v>
      </c>
      <c r="P110" s="40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66"/>
      <c r="R110" s="366"/>
      <c r="S110" s="366"/>
      <c r="T110" s="367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3" t="s">
        <v>204</v>
      </c>
      <c r="AG110" s="81"/>
      <c r="AJ110" s="87" t="s">
        <v>89</v>
      </c>
      <c r="AK110" s="87">
        <v>1</v>
      </c>
      <c r="BB110" s="164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customHeight="1" x14ac:dyDescent="0.25">
      <c r="A111" s="63" t="s">
        <v>205</v>
      </c>
      <c r="B111" s="63" t="s">
        <v>206</v>
      </c>
      <c r="C111" s="36">
        <v>4301071051</v>
      </c>
      <c r="D111" s="364">
        <v>4607111039262</v>
      </c>
      <c r="E111" s="364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87</v>
      </c>
      <c r="L111" s="37" t="s">
        <v>119</v>
      </c>
      <c r="M111" s="38" t="s">
        <v>86</v>
      </c>
      <c r="N111" s="38"/>
      <c r="O111" s="37">
        <v>180</v>
      </c>
      <c r="P111" s="41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66"/>
      <c r="R111" s="366"/>
      <c r="S111" s="366"/>
      <c r="T111" s="367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160</v>
      </c>
      <c r="AG111" s="81"/>
      <c r="AJ111" s="87" t="s">
        <v>120</v>
      </c>
      <c r="AK111" s="87">
        <v>12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207</v>
      </c>
      <c r="B112" s="63" t="s">
        <v>208</v>
      </c>
      <c r="C112" s="36">
        <v>4301071038</v>
      </c>
      <c r="D112" s="364">
        <v>4607111039248</v>
      </c>
      <c r="E112" s="364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87</v>
      </c>
      <c r="L112" s="37" t="s">
        <v>119</v>
      </c>
      <c r="M112" s="38" t="s">
        <v>86</v>
      </c>
      <c r="N112" s="38"/>
      <c r="O112" s="37">
        <v>180</v>
      </c>
      <c r="P112" s="4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66"/>
      <c r="R112" s="366"/>
      <c r="S112" s="366"/>
      <c r="T112" s="367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160</v>
      </c>
      <c r="AG112" s="81"/>
      <c r="AJ112" s="87" t="s">
        <v>120</v>
      </c>
      <c r="AK112" s="87">
        <v>12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209</v>
      </c>
      <c r="B113" s="63" t="s">
        <v>210</v>
      </c>
      <c r="C113" s="36">
        <v>4301070979</v>
      </c>
      <c r="D113" s="364">
        <v>4607111037145</v>
      </c>
      <c r="E113" s="364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87</v>
      </c>
      <c r="L113" s="37" t="s">
        <v>88</v>
      </c>
      <c r="M113" s="38" t="s">
        <v>86</v>
      </c>
      <c r="N113" s="38"/>
      <c r="O113" s="37">
        <v>180</v>
      </c>
      <c r="P113" s="41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66"/>
      <c r="R113" s="366"/>
      <c r="S113" s="366"/>
      <c r="T113" s="367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211</v>
      </c>
      <c r="AG113" s="81"/>
      <c r="AJ113" s="87" t="s">
        <v>89</v>
      </c>
      <c r="AK113" s="87">
        <v>1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212</v>
      </c>
      <c r="B114" s="63" t="s">
        <v>213</v>
      </c>
      <c r="C114" s="36">
        <v>4301071075</v>
      </c>
      <c r="D114" s="364">
        <v>4620207491102</v>
      </c>
      <c r="E114" s="364"/>
      <c r="F114" s="62">
        <v>0.7</v>
      </c>
      <c r="G114" s="37">
        <v>10</v>
      </c>
      <c r="H114" s="62">
        <v>7</v>
      </c>
      <c r="I114" s="62">
        <v>7.23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413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4" s="366"/>
      <c r="R114" s="366"/>
      <c r="S114" s="366"/>
      <c r="T114" s="367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214</v>
      </c>
      <c r="AG114" s="81"/>
      <c r="AJ114" s="87" t="s">
        <v>89</v>
      </c>
      <c r="AK114" s="87">
        <v>1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215</v>
      </c>
      <c r="B115" s="63" t="s">
        <v>216</v>
      </c>
      <c r="C115" s="36">
        <v>4301071049</v>
      </c>
      <c r="D115" s="364">
        <v>4607111039293</v>
      </c>
      <c r="E115" s="364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119</v>
      </c>
      <c r="M115" s="38" t="s">
        <v>86</v>
      </c>
      <c r="N115" s="38"/>
      <c r="O115" s="37">
        <v>180</v>
      </c>
      <c r="P115" s="41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66"/>
      <c r="R115" s="366"/>
      <c r="S115" s="366"/>
      <c r="T115" s="367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160</v>
      </c>
      <c r="AG115" s="81"/>
      <c r="AJ115" s="87" t="s">
        <v>120</v>
      </c>
      <c r="AK115" s="87">
        <v>12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217</v>
      </c>
      <c r="B116" s="63" t="s">
        <v>218</v>
      </c>
      <c r="C116" s="36">
        <v>4301071039</v>
      </c>
      <c r="D116" s="364">
        <v>4607111039279</v>
      </c>
      <c r="E116" s="364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119</v>
      </c>
      <c r="M116" s="38" t="s">
        <v>86</v>
      </c>
      <c r="N116" s="38"/>
      <c r="O116" s="37">
        <v>180</v>
      </c>
      <c r="P116" s="41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66"/>
      <c r="R116" s="366"/>
      <c r="S116" s="366"/>
      <c r="T116" s="367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160</v>
      </c>
      <c r="AG116" s="81"/>
      <c r="AJ116" s="87" t="s">
        <v>120</v>
      </c>
      <c r="AK116" s="87">
        <v>12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x14ac:dyDescent="0.2">
      <c r="A117" s="378"/>
      <c r="B117" s="378"/>
      <c r="C117" s="378"/>
      <c r="D117" s="378"/>
      <c r="E117" s="378"/>
      <c r="F117" s="378"/>
      <c r="G117" s="378"/>
      <c r="H117" s="378"/>
      <c r="I117" s="378"/>
      <c r="J117" s="378"/>
      <c r="K117" s="378"/>
      <c r="L117" s="378"/>
      <c r="M117" s="378"/>
      <c r="N117" s="378"/>
      <c r="O117" s="379"/>
      <c r="P117" s="375" t="s">
        <v>40</v>
      </c>
      <c r="Q117" s="376"/>
      <c r="R117" s="376"/>
      <c r="S117" s="376"/>
      <c r="T117" s="376"/>
      <c r="U117" s="376"/>
      <c r="V117" s="377"/>
      <c r="W117" s="42" t="s">
        <v>39</v>
      </c>
      <c r="X117" s="43">
        <f>IFERROR(SUM(X109:X116),"0")</f>
        <v>0</v>
      </c>
      <c r="Y117" s="43">
        <f>IFERROR(SUM(Y109:Y116),"0")</f>
        <v>0</v>
      </c>
      <c r="Z117" s="43">
        <f>IFERROR(IF(Z109="",0,Z109),"0")+IFERROR(IF(Z110="",0,Z110),"0")+IFERROR(IF(Z111="",0,Z111),"0")+IFERROR(IF(Z112="",0,Z112),"0")+IFERROR(IF(Z113="",0,Z113),"0")+IFERROR(IF(Z114="",0,Z114),"0")+IFERROR(IF(Z115="",0,Z115),"0")+IFERROR(IF(Z116="",0,Z116),"0")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378"/>
      <c r="B118" s="378"/>
      <c r="C118" s="378"/>
      <c r="D118" s="378"/>
      <c r="E118" s="378"/>
      <c r="F118" s="378"/>
      <c r="G118" s="378"/>
      <c r="H118" s="378"/>
      <c r="I118" s="378"/>
      <c r="J118" s="378"/>
      <c r="K118" s="378"/>
      <c r="L118" s="378"/>
      <c r="M118" s="378"/>
      <c r="N118" s="378"/>
      <c r="O118" s="379"/>
      <c r="P118" s="375" t="s">
        <v>40</v>
      </c>
      <c r="Q118" s="376"/>
      <c r="R118" s="376"/>
      <c r="S118" s="376"/>
      <c r="T118" s="376"/>
      <c r="U118" s="376"/>
      <c r="V118" s="377"/>
      <c r="W118" s="42" t="s">
        <v>0</v>
      </c>
      <c r="X118" s="43">
        <f>IFERROR(SUMPRODUCT(X109:X116*H109:H116),"0")</f>
        <v>0</v>
      </c>
      <c r="Y118" s="43">
        <f>IFERROR(SUMPRODUCT(Y109:Y116*H109:H116),"0")</f>
        <v>0</v>
      </c>
      <c r="Z118" s="42"/>
      <c r="AA118" s="67"/>
      <c r="AB118" s="67"/>
      <c r="AC118" s="67"/>
    </row>
    <row r="119" spans="1:68" ht="14.25" customHeight="1" x14ac:dyDescent="0.25">
      <c r="A119" s="363" t="s">
        <v>149</v>
      </c>
      <c r="B119" s="363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63"/>
      <c r="P119" s="363"/>
      <c r="Q119" s="363"/>
      <c r="R119" s="363"/>
      <c r="S119" s="363"/>
      <c r="T119" s="363"/>
      <c r="U119" s="363"/>
      <c r="V119" s="363"/>
      <c r="W119" s="363"/>
      <c r="X119" s="363"/>
      <c r="Y119" s="363"/>
      <c r="Z119" s="363"/>
      <c r="AA119" s="66"/>
      <c r="AB119" s="66"/>
      <c r="AC119" s="83"/>
    </row>
    <row r="120" spans="1:68" ht="27" customHeight="1" x14ac:dyDescent="0.25">
      <c r="A120" s="63" t="s">
        <v>219</v>
      </c>
      <c r="B120" s="63" t="s">
        <v>220</v>
      </c>
      <c r="C120" s="36">
        <v>4301135826</v>
      </c>
      <c r="D120" s="364">
        <v>4620207490983</v>
      </c>
      <c r="E120" s="364"/>
      <c r="F120" s="62">
        <v>0.22</v>
      </c>
      <c r="G120" s="37">
        <v>12</v>
      </c>
      <c r="H120" s="62">
        <v>2.64</v>
      </c>
      <c r="I120" s="62">
        <v>3.3435999999999999</v>
      </c>
      <c r="J120" s="37">
        <v>70</v>
      </c>
      <c r="K120" s="37" t="s">
        <v>118</v>
      </c>
      <c r="L120" s="37" t="s">
        <v>88</v>
      </c>
      <c r="M120" s="38" t="s">
        <v>86</v>
      </c>
      <c r="N120" s="38"/>
      <c r="O120" s="37">
        <v>180</v>
      </c>
      <c r="P120" s="41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366"/>
      <c r="R120" s="366"/>
      <c r="S120" s="366"/>
      <c r="T120" s="367"/>
      <c r="U120" s="39" t="s">
        <v>46</v>
      </c>
      <c r="V120" s="39" t="s">
        <v>46</v>
      </c>
      <c r="W120" s="40" t="s">
        <v>39</v>
      </c>
      <c r="X120" s="58">
        <v>0</v>
      </c>
      <c r="Y120" s="55">
        <f>IFERROR(IF(X120="","",X120),"")</f>
        <v>0</v>
      </c>
      <c r="Z120" s="41">
        <f>IFERROR(IF(X120="","",X120*0.01788),"")</f>
        <v>0</v>
      </c>
      <c r="AA120" s="68" t="s">
        <v>46</v>
      </c>
      <c r="AB120" s="69" t="s">
        <v>46</v>
      </c>
      <c r="AC120" s="177" t="s">
        <v>221</v>
      </c>
      <c r="AG120" s="81"/>
      <c r="AJ120" s="87" t="s">
        <v>89</v>
      </c>
      <c r="AK120" s="87">
        <v>1</v>
      </c>
      <c r="BB120" s="178" t="s">
        <v>117</v>
      </c>
      <c r="BM120" s="81">
        <f>IFERROR(X120*I120,"0")</f>
        <v>0</v>
      </c>
      <c r="BN120" s="81">
        <f>IFERROR(Y120*I120,"0")</f>
        <v>0</v>
      </c>
      <c r="BO120" s="81">
        <f>IFERROR(X120/J120,"0")</f>
        <v>0</v>
      </c>
      <c r="BP120" s="81">
        <f>IFERROR(Y120/J120,"0")</f>
        <v>0</v>
      </c>
    </row>
    <row r="121" spans="1:68" x14ac:dyDescent="0.2">
      <c r="A121" s="378"/>
      <c r="B121" s="378"/>
      <c r="C121" s="378"/>
      <c r="D121" s="378"/>
      <c r="E121" s="378"/>
      <c r="F121" s="378"/>
      <c r="G121" s="378"/>
      <c r="H121" s="378"/>
      <c r="I121" s="378"/>
      <c r="J121" s="378"/>
      <c r="K121" s="378"/>
      <c r="L121" s="378"/>
      <c r="M121" s="378"/>
      <c r="N121" s="378"/>
      <c r="O121" s="379"/>
      <c r="P121" s="375" t="s">
        <v>40</v>
      </c>
      <c r="Q121" s="376"/>
      <c r="R121" s="376"/>
      <c r="S121" s="376"/>
      <c r="T121" s="376"/>
      <c r="U121" s="376"/>
      <c r="V121" s="377"/>
      <c r="W121" s="42" t="s">
        <v>39</v>
      </c>
      <c r="X121" s="43">
        <f>IFERROR(SUM(X120:X120),"0")</f>
        <v>0</v>
      </c>
      <c r="Y121" s="43">
        <f>IFERROR(SUM(Y120:Y120),"0")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378"/>
      <c r="B122" s="378"/>
      <c r="C122" s="378"/>
      <c r="D122" s="378"/>
      <c r="E122" s="378"/>
      <c r="F122" s="378"/>
      <c r="G122" s="378"/>
      <c r="H122" s="378"/>
      <c r="I122" s="378"/>
      <c r="J122" s="378"/>
      <c r="K122" s="378"/>
      <c r="L122" s="378"/>
      <c r="M122" s="378"/>
      <c r="N122" s="378"/>
      <c r="O122" s="379"/>
      <c r="P122" s="375" t="s">
        <v>40</v>
      </c>
      <c r="Q122" s="376"/>
      <c r="R122" s="376"/>
      <c r="S122" s="376"/>
      <c r="T122" s="376"/>
      <c r="U122" s="376"/>
      <c r="V122" s="377"/>
      <c r="W122" s="42" t="s">
        <v>0</v>
      </c>
      <c r="X122" s="43">
        <f>IFERROR(SUMPRODUCT(X120:X120*H120:H120),"0")</f>
        <v>0</v>
      </c>
      <c r="Y122" s="43">
        <f>IFERROR(SUMPRODUCT(Y120:Y120*H120:H120),"0")</f>
        <v>0</v>
      </c>
      <c r="Z122" s="42"/>
      <c r="AA122" s="67"/>
      <c r="AB122" s="67"/>
      <c r="AC122" s="67"/>
    </row>
    <row r="123" spans="1:68" ht="14.25" customHeight="1" x14ac:dyDescent="0.25">
      <c r="A123" s="363" t="s">
        <v>222</v>
      </c>
      <c r="B123" s="363"/>
      <c r="C123" s="363"/>
      <c r="D123" s="363"/>
      <c r="E123" s="363"/>
      <c r="F123" s="363"/>
      <c r="G123" s="363"/>
      <c r="H123" s="363"/>
      <c r="I123" s="363"/>
      <c r="J123" s="363"/>
      <c r="K123" s="363"/>
      <c r="L123" s="363"/>
      <c r="M123" s="363"/>
      <c r="N123" s="363"/>
      <c r="O123" s="363"/>
      <c r="P123" s="363"/>
      <c r="Q123" s="363"/>
      <c r="R123" s="363"/>
      <c r="S123" s="363"/>
      <c r="T123" s="363"/>
      <c r="U123" s="363"/>
      <c r="V123" s="363"/>
      <c r="W123" s="363"/>
      <c r="X123" s="363"/>
      <c r="Y123" s="363"/>
      <c r="Z123" s="363"/>
      <c r="AA123" s="66"/>
      <c r="AB123" s="66"/>
      <c r="AC123" s="83"/>
    </row>
    <row r="124" spans="1:68" ht="27" customHeight="1" x14ac:dyDescent="0.25">
      <c r="A124" s="63" t="s">
        <v>223</v>
      </c>
      <c r="B124" s="63" t="s">
        <v>224</v>
      </c>
      <c r="C124" s="36">
        <v>4301071094</v>
      </c>
      <c r="D124" s="364">
        <v>4620207491140</v>
      </c>
      <c r="E124" s="364"/>
      <c r="F124" s="62">
        <v>0.6</v>
      </c>
      <c r="G124" s="37">
        <v>10</v>
      </c>
      <c r="H124" s="62">
        <v>6</v>
      </c>
      <c r="I124" s="62">
        <v>6.28</v>
      </c>
      <c r="J124" s="37">
        <v>84</v>
      </c>
      <c r="K124" s="37" t="s">
        <v>87</v>
      </c>
      <c r="L124" s="37" t="s">
        <v>88</v>
      </c>
      <c r="M124" s="38" t="s">
        <v>86</v>
      </c>
      <c r="N124" s="38"/>
      <c r="O124" s="37">
        <v>180</v>
      </c>
      <c r="P124" s="41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366"/>
      <c r="R124" s="366"/>
      <c r="S124" s="366"/>
      <c r="T124" s="367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IFERROR(IF(X124="","",X124*0.0155),"")</f>
        <v>0</v>
      </c>
      <c r="AA124" s="68" t="s">
        <v>46</v>
      </c>
      <c r="AB124" s="69" t="s">
        <v>46</v>
      </c>
      <c r="AC124" s="179" t="s">
        <v>225</v>
      </c>
      <c r="AG124" s="81"/>
      <c r="AJ124" s="87" t="s">
        <v>89</v>
      </c>
      <c r="AK124" s="87">
        <v>1</v>
      </c>
      <c r="BB124" s="180" t="s">
        <v>117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x14ac:dyDescent="0.2">
      <c r="A125" s="378"/>
      <c r="B125" s="378"/>
      <c r="C125" s="378"/>
      <c r="D125" s="378"/>
      <c r="E125" s="378"/>
      <c r="F125" s="378"/>
      <c r="G125" s="378"/>
      <c r="H125" s="378"/>
      <c r="I125" s="378"/>
      <c r="J125" s="378"/>
      <c r="K125" s="378"/>
      <c r="L125" s="378"/>
      <c r="M125" s="378"/>
      <c r="N125" s="378"/>
      <c r="O125" s="379"/>
      <c r="P125" s="375" t="s">
        <v>40</v>
      </c>
      <c r="Q125" s="376"/>
      <c r="R125" s="376"/>
      <c r="S125" s="376"/>
      <c r="T125" s="376"/>
      <c r="U125" s="376"/>
      <c r="V125" s="377"/>
      <c r="W125" s="42" t="s">
        <v>39</v>
      </c>
      <c r="X125" s="43">
        <f>IFERROR(SUM(X124:X124),"0")</f>
        <v>0</v>
      </c>
      <c r="Y125" s="43">
        <f>IFERROR(SUM(Y124:Y124),"0")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378"/>
      <c r="B126" s="378"/>
      <c r="C126" s="378"/>
      <c r="D126" s="378"/>
      <c r="E126" s="378"/>
      <c r="F126" s="378"/>
      <c r="G126" s="378"/>
      <c r="H126" s="378"/>
      <c r="I126" s="378"/>
      <c r="J126" s="378"/>
      <c r="K126" s="378"/>
      <c r="L126" s="378"/>
      <c r="M126" s="378"/>
      <c r="N126" s="378"/>
      <c r="O126" s="379"/>
      <c r="P126" s="375" t="s">
        <v>40</v>
      </c>
      <c r="Q126" s="376"/>
      <c r="R126" s="376"/>
      <c r="S126" s="376"/>
      <c r="T126" s="376"/>
      <c r="U126" s="376"/>
      <c r="V126" s="377"/>
      <c r="W126" s="42" t="s">
        <v>0</v>
      </c>
      <c r="X126" s="43">
        <f>IFERROR(SUMPRODUCT(X124:X124*H124:H124),"0")</f>
        <v>0</v>
      </c>
      <c r="Y126" s="43">
        <f>IFERROR(SUMPRODUCT(Y124:Y124*H124:H124),"0")</f>
        <v>0</v>
      </c>
      <c r="Z126" s="42"/>
      <c r="AA126" s="67"/>
      <c r="AB126" s="67"/>
      <c r="AC126" s="67"/>
    </row>
    <row r="127" spans="1:68" ht="16.5" customHeight="1" x14ac:dyDescent="0.25">
      <c r="A127" s="362" t="s">
        <v>226</v>
      </c>
      <c r="B127" s="362"/>
      <c r="C127" s="362"/>
      <c r="D127" s="362"/>
      <c r="E127" s="362"/>
      <c r="F127" s="362"/>
      <c r="G127" s="362"/>
      <c r="H127" s="362"/>
      <c r="I127" s="362"/>
      <c r="J127" s="362"/>
      <c r="K127" s="362"/>
      <c r="L127" s="362"/>
      <c r="M127" s="362"/>
      <c r="N127" s="362"/>
      <c r="O127" s="362"/>
      <c r="P127" s="362"/>
      <c r="Q127" s="362"/>
      <c r="R127" s="362"/>
      <c r="S127" s="362"/>
      <c r="T127" s="362"/>
      <c r="U127" s="362"/>
      <c r="V127" s="362"/>
      <c r="W127" s="362"/>
      <c r="X127" s="362"/>
      <c r="Y127" s="362"/>
      <c r="Z127" s="362"/>
      <c r="AA127" s="65"/>
      <c r="AB127" s="65"/>
      <c r="AC127" s="82"/>
    </row>
    <row r="128" spans="1:68" ht="14.25" customHeight="1" x14ac:dyDescent="0.25">
      <c r="A128" s="363" t="s">
        <v>149</v>
      </c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63"/>
      <c r="P128" s="363"/>
      <c r="Q128" s="363"/>
      <c r="R128" s="363"/>
      <c r="S128" s="363"/>
      <c r="T128" s="363"/>
      <c r="U128" s="363"/>
      <c r="V128" s="363"/>
      <c r="W128" s="363"/>
      <c r="X128" s="363"/>
      <c r="Y128" s="363"/>
      <c r="Z128" s="363"/>
      <c r="AA128" s="66"/>
      <c r="AB128" s="66"/>
      <c r="AC128" s="83"/>
    </row>
    <row r="129" spans="1:68" ht="27" customHeight="1" x14ac:dyDescent="0.25">
      <c r="A129" s="63" t="s">
        <v>227</v>
      </c>
      <c r="B129" s="63" t="s">
        <v>228</v>
      </c>
      <c r="C129" s="36">
        <v>4301135848</v>
      </c>
      <c r="D129" s="364">
        <v>4620207491799</v>
      </c>
      <c r="E129" s="364"/>
      <c r="F129" s="62">
        <v>0.23</v>
      </c>
      <c r="G129" s="37">
        <v>6</v>
      </c>
      <c r="H129" s="62">
        <v>1.38</v>
      </c>
      <c r="I129" s="62">
        <v>1.8</v>
      </c>
      <c r="J129" s="37">
        <v>140</v>
      </c>
      <c r="K129" s="37" t="s">
        <v>118</v>
      </c>
      <c r="L129" s="37" t="s">
        <v>88</v>
      </c>
      <c r="M129" s="38" t="s">
        <v>86</v>
      </c>
      <c r="N129" s="38"/>
      <c r="O129" s="37">
        <v>180</v>
      </c>
      <c r="P129" s="41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366"/>
      <c r="R129" s="366"/>
      <c r="S129" s="366"/>
      <c r="T129" s="367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IFERROR(IF(X129="","",X129*0.00941),"")</f>
        <v>0</v>
      </c>
      <c r="AA129" s="68" t="s">
        <v>46</v>
      </c>
      <c r="AB129" s="69" t="s">
        <v>46</v>
      </c>
      <c r="AC129" s="181" t="s">
        <v>229</v>
      </c>
      <c r="AG129" s="81"/>
      <c r="AJ129" s="87" t="s">
        <v>89</v>
      </c>
      <c r="AK129" s="87">
        <v>1</v>
      </c>
      <c r="BB129" s="182" t="s">
        <v>117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t="27" customHeight="1" x14ac:dyDescent="0.25">
      <c r="A130" s="63" t="s">
        <v>230</v>
      </c>
      <c r="B130" s="63" t="s">
        <v>231</v>
      </c>
      <c r="C130" s="36">
        <v>4301135850</v>
      </c>
      <c r="D130" s="364">
        <v>4620207491492</v>
      </c>
      <c r="E130" s="364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118</v>
      </c>
      <c r="L130" s="37" t="s">
        <v>88</v>
      </c>
      <c r="M130" s="38" t="s">
        <v>86</v>
      </c>
      <c r="N130" s="38"/>
      <c r="O130" s="37">
        <v>180</v>
      </c>
      <c r="P130" s="41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366"/>
      <c r="R130" s="366"/>
      <c r="S130" s="366"/>
      <c r="T130" s="367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229</v>
      </c>
      <c r="AG130" s="81"/>
      <c r="AJ130" s="87" t="s">
        <v>89</v>
      </c>
      <c r="AK130" s="87">
        <v>1</v>
      </c>
      <c r="BB130" s="184" t="s">
        <v>117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232</v>
      </c>
      <c r="B131" s="63" t="s">
        <v>233</v>
      </c>
      <c r="C131" s="36">
        <v>4301190118</v>
      </c>
      <c r="D131" s="364">
        <v>4620207491461</v>
      </c>
      <c r="E131" s="364"/>
      <c r="F131" s="62">
        <v>0.22</v>
      </c>
      <c r="G131" s="37">
        <v>6</v>
      </c>
      <c r="H131" s="62">
        <v>1.32</v>
      </c>
      <c r="I131" s="62">
        <v>1.74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42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366"/>
      <c r="R131" s="366"/>
      <c r="S131" s="366"/>
      <c r="T131" s="367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229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234</v>
      </c>
      <c r="B132" s="63" t="s">
        <v>235</v>
      </c>
      <c r="C132" s="36">
        <v>4301135865</v>
      </c>
      <c r="D132" s="364">
        <v>4620207491485</v>
      </c>
      <c r="E132" s="364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42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366"/>
      <c r="R132" s="366"/>
      <c r="S132" s="366"/>
      <c r="T132" s="367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229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x14ac:dyDescent="0.2">
      <c r="A133" s="378"/>
      <c r="B133" s="378"/>
      <c r="C133" s="378"/>
      <c r="D133" s="378"/>
      <c r="E133" s="378"/>
      <c r="F133" s="378"/>
      <c r="G133" s="378"/>
      <c r="H133" s="378"/>
      <c r="I133" s="378"/>
      <c r="J133" s="378"/>
      <c r="K133" s="378"/>
      <c r="L133" s="378"/>
      <c r="M133" s="378"/>
      <c r="N133" s="378"/>
      <c r="O133" s="379"/>
      <c r="P133" s="375" t="s">
        <v>40</v>
      </c>
      <c r="Q133" s="376"/>
      <c r="R133" s="376"/>
      <c r="S133" s="376"/>
      <c r="T133" s="376"/>
      <c r="U133" s="376"/>
      <c r="V133" s="377"/>
      <c r="W133" s="42" t="s">
        <v>39</v>
      </c>
      <c r="X133" s="43">
        <f>IFERROR(SUM(X129:X132),"0")</f>
        <v>0</v>
      </c>
      <c r="Y133" s="43">
        <f>IFERROR(SUM(Y129:Y132),"0")</f>
        <v>0</v>
      </c>
      <c r="Z133" s="43">
        <f>IFERROR(IF(Z129="",0,Z129),"0")+IFERROR(IF(Z130="",0,Z130),"0")+IFERROR(IF(Z131="",0,Z131),"0")+IFERROR(IF(Z132="",0,Z132),"0")</f>
        <v>0</v>
      </c>
      <c r="AA133" s="67"/>
      <c r="AB133" s="67"/>
      <c r="AC133" s="67"/>
    </row>
    <row r="134" spans="1:68" x14ac:dyDescent="0.2">
      <c r="A134" s="378"/>
      <c r="B134" s="378"/>
      <c r="C134" s="378"/>
      <c r="D134" s="378"/>
      <c r="E134" s="378"/>
      <c r="F134" s="378"/>
      <c r="G134" s="378"/>
      <c r="H134" s="378"/>
      <c r="I134" s="378"/>
      <c r="J134" s="378"/>
      <c r="K134" s="378"/>
      <c r="L134" s="378"/>
      <c r="M134" s="378"/>
      <c r="N134" s="378"/>
      <c r="O134" s="379"/>
      <c r="P134" s="375" t="s">
        <v>40</v>
      </c>
      <c r="Q134" s="376"/>
      <c r="R134" s="376"/>
      <c r="S134" s="376"/>
      <c r="T134" s="376"/>
      <c r="U134" s="376"/>
      <c r="V134" s="377"/>
      <c r="W134" s="42" t="s">
        <v>0</v>
      </c>
      <c r="X134" s="43">
        <f>IFERROR(SUMPRODUCT(X129:X132*H129:H132),"0")</f>
        <v>0</v>
      </c>
      <c r="Y134" s="43">
        <f>IFERROR(SUMPRODUCT(Y129:Y132*H129:H132),"0")</f>
        <v>0</v>
      </c>
      <c r="Z134" s="42"/>
      <c r="AA134" s="67"/>
      <c r="AB134" s="67"/>
      <c r="AC134" s="67"/>
    </row>
    <row r="135" spans="1:68" ht="14.25" customHeight="1" x14ac:dyDescent="0.25">
      <c r="A135" s="363" t="s">
        <v>236</v>
      </c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66"/>
      <c r="AB135" s="66"/>
      <c r="AC135" s="83"/>
    </row>
    <row r="136" spans="1:68" ht="27" customHeight="1" x14ac:dyDescent="0.25">
      <c r="A136" s="63" t="s">
        <v>237</v>
      </c>
      <c r="B136" s="63" t="s">
        <v>238</v>
      </c>
      <c r="C136" s="36">
        <v>4301190117</v>
      </c>
      <c r="D136" s="364">
        <v>4620207491386</v>
      </c>
      <c r="E136" s="364"/>
      <c r="F136" s="62">
        <v>0.18</v>
      </c>
      <c r="G136" s="37">
        <v>6</v>
      </c>
      <c r="H136" s="62">
        <v>1.08</v>
      </c>
      <c r="I136" s="62">
        <v>1.3979999999999999</v>
      </c>
      <c r="J136" s="37">
        <v>140</v>
      </c>
      <c r="K136" s="37" t="s">
        <v>118</v>
      </c>
      <c r="L136" s="37" t="s">
        <v>88</v>
      </c>
      <c r="M136" s="38" t="s">
        <v>86</v>
      </c>
      <c r="N136" s="38"/>
      <c r="O136" s="37">
        <v>180</v>
      </c>
      <c r="P136" s="42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6" s="366"/>
      <c r="R136" s="366"/>
      <c r="S136" s="366"/>
      <c r="T136" s="367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239</v>
      </c>
      <c r="AG136" s="81"/>
      <c r="AJ136" s="87" t="s">
        <v>89</v>
      </c>
      <c r="AK136" s="87">
        <v>1</v>
      </c>
      <c r="BB136" s="190" t="s">
        <v>117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customHeight="1" x14ac:dyDescent="0.25">
      <c r="A137" s="63" t="s">
        <v>240</v>
      </c>
      <c r="B137" s="63" t="s">
        <v>241</v>
      </c>
      <c r="C137" s="36">
        <v>4301190115</v>
      </c>
      <c r="D137" s="364">
        <v>4620207491362</v>
      </c>
      <c r="E137" s="364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118</v>
      </c>
      <c r="L137" s="37" t="s">
        <v>88</v>
      </c>
      <c r="M137" s="38" t="s">
        <v>86</v>
      </c>
      <c r="N137" s="38"/>
      <c r="O137" s="37">
        <v>180</v>
      </c>
      <c r="P137" s="42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7" s="366"/>
      <c r="R137" s="366"/>
      <c r="S137" s="366"/>
      <c r="T137" s="367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239</v>
      </c>
      <c r="AG137" s="81"/>
      <c r="AJ137" s="87" t="s">
        <v>89</v>
      </c>
      <c r="AK137" s="87">
        <v>1</v>
      </c>
      <c r="BB137" s="192" t="s">
        <v>117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customHeight="1" x14ac:dyDescent="0.25">
      <c r="A138" s="63" t="s">
        <v>242</v>
      </c>
      <c r="B138" s="63" t="s">
        <v>243</v>
      </c>
      <c r="C138" s="36">
        <v>4301190116</v>
      </c>
      <c r="D138" s="364">
        <v>4620207491379</v>
      </c>
      <c r="E138" s="364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42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8" s="366"/>
      <c r="R138" s="366"/>
      <c r="S138" s="366"/>
      <c r="T138" s="367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239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x14ac:dyDescent="0.2">
      <c r="A139" s="378"/>
      <c r="B139" s="378"/>
      <c r="C139" s="378"/>
      <c r="D139" s="378"/>
      <c r="E139" s="378"/>
      <c r="F139" s="378"/>
      <c r="G139" s="378"/>
      <c r="H139" s="378"/>
      <c r="I139" s="378"/>
      <c r="J139" s="378"/>
      <c r="K139" s="378"/>
      <c r="L139" s="378"/>
      <c r="M139" s="378"/>
      <c r="N139" s="378"/>
      <c r="O139" s="379"/>
      <c r="P139" s="375" t="s">
        <v>40</v>
      </c>
      <c r="Q139" s="376"/>
      <c r="R139" s="376"/>
      <c r="S139" s="376"/>
      <c r="T139" s="376"/>
      <c r="U139" s="376"/>
      <c r="V139" s="377"/>
      <c r="W139" s="42" t="s">
        <v>39</v>
      </c>
      <c r="X139" s="43">
        <f>IFERROR(SUM(X136:X138),"0")</f>
        <v>0</v>
      </c>
      <c r="Y139" s="43">
        <f>IFERROR(SUM(Y136:Y138),"0")</f>
        <v>0</v>
      </c>
      <c r="Z139" s="43">
        <f>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378"/>
      <c r="B140" s="378"/>
      <c r="C140" s="378"/>
      <c r="D140" s="378"/>
      <c r="E140" s="378"/>
      <c r="F140" s="378"/>
      <c r="G140" s="378"/>
      <c r="H140" s="378"/>
      <c r="I140" s="378"/>
      <c r="J140" s="378"/>
      <c r="K140" s="378"/>
      <c r="L140" s="378"/>
      <c r="M140" s="378"/>
      <c r="N140" s="378"/>
      <c r="O140" s="379"/>
      <c r="P140" s="375" t="s">
        <v>40</v>
      </c>
      <c r="Q140" s="376"/>
      <c r="R140" s="376"/>
      <c r="S140" s="376"/>
      <c r="T140" s="376"/>
      <c r="U140" s="376"/>
      <c r="V140" s="377"/>
      <c r="W140" s="42" t="s">
        <v>0</v>
      </c>
      <c r="X140" s="43">
        <f>IFERROR(SUMPRODUCT(X136:X138*H136:H138),"0")</f>
        <v>0</v>
      </c>
      <c r="Y140" s="43">
        <f>IFERROR(SUMPRODUCT(Y136:Y138*H136:H138),"0")</f>
        <v>0</v>
      </c>
      <c r="Z140" s="42"/>
      <c r="AA140" s="67"/>
      <c r="AB140" s="67"/>
      <c r="AC140" s="67"/>
    </row>
    <row r="141" spans="1:68" ht="16.5" customHeight="1" x14ac:dyDescent="0.25">
      <c r="A141" s="362" t="s">
        <v>244</v>
      </c>
      <c r="B141" s="362"/>
      <c r="C141" s="362"/>
      <c r="D141" s="362"/>
      <c r="E141" s="362"/>
      <c r="F141" s="362"/>
      <c r="G141" s="362"/>
      <c r="H141" s="362"/>
      <c r="I141" s="362"/>
      <c r="J141" s="362"/>
      <c r="K141" s="362"/>
      <c r="L141" s="362"/>
      <c r="M141" s="362"/>
      <c r="N141" s="362"/>
      <c r="O141" s="362"/>
      <c r="P141" s="362"/>
      <c r="Q141" s="362"/>
      <c r="R141" s="362"/>
      <c r="S141" s="362"/>
      <c r="T141" s="362"/>
      <c r="U141" s="362"/>
      <c r="V141" s="362"/>
      <c r="W141" s="362"/>
      <c r="X141" s="362"/>
      <c r="Y141" s="362"/>
      <c r="Z141" s="362"/>
      <c r="AA141" s="65"/>
      <c r="AB141" s="65"/>
      <c r="AC141" s="82"/>
    </row>
    <row r="142" spans="1:68" ht="14.25" customHeight="1" x14ac:dyDescent="0.25">
      <c r="A142" s="363" t="s">
        <v>149</v>
      </c>
      <c r="B142" s="363"/>
      <c r="C142" s="363"/>
      <c r="D142" s="363"/>
      <c r="E142" s="363"/>
      <c r="F142" s="363"/>
      <c r="G142" s="363"/>
      <c r="H142" s="363"/>
      <c r="I142" s="363"/>
      <c r="J142" s="363"/>
      <c r="K142" s="363"/>
      <c r="L142" s="363"/>
      <c r="M142" s="363"/>
      <c r="N142" s="363"/>
      <c r="O142" s="363"/>
      <c r="P142" s="363"/>
      <c r="Q142" s="363"/>
      <c r="R142" s="363"/>
      <c r="S142" s="363"/>
      <c r="T142" s="363"/>
      <c r="U142" s="363"/>
      <c r="V142" s="363"/>
      <c r="W142" s="363"/>
      <c r="X142" s="363"/>
      <c r="Y142" s="363"/>
      <c r="Z142" s="363"/>
      <c r="AA142" s="66"/>
      <c r="AB142" s="66"/>
      <c r="AC142" s="83"/>
    </row>
    <row r="143" spans="1:68" ht="27" customHeight="1" x14ac:dyDescent="0.25">
      <c r="A143" s="63" t="s">
        <v>245</v>
      </c>
      <c r="B143" s="63" t="s">
        <v>246</v>
      </c>
      <c r="C143" s="36">
        <v>4301135555</v>
      </c>
      <c r="D143" s="364">
        <v>4607111034014</v>
      </c>
      <c r="E143" s="364"/>
      <c r="F143" s="62">
        <v>0.25</v>
      </c>
      <c r="G143" s="37">
        <v>12</v>
      </c>
      <c r="H143" s="62">
        <v>3</v>
      </c>
      <c r="I143" s="62">
        <v>3.7035999999999998</v>
      </c>
      <c r="J143" s="37">
        <v>70</v>
      </c>
      <c r="K143" s="37" t="s">
        <v>118</v>
      </c>
      <c r="L143" s="37" t="s">
        <v>119</v>
      </c>
      <c r="M143" s="38" t="s">
        <v>86</v>
      </c>
      <c r="N143" s="38"/>
      <c r="O143" s="37">
        <v>180</v>
      </c>
      <c r="P143" s="42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3" s="366"/>
      <c r="R143" s="366"/>
      <c r="S143" s="366"/>
      <c r="T143" s="367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IFERROR(IF(X143="","",X143*0.01788),"")</f>
        <v>0</v>
      </c>
      <c r="AA143" s="68" t="s">
        <v>46</v>
      </c>
      <c r="AB143" s="69" t="s">
        <v>46</v>
      </c>
      <c r="AC143" s="195" t="s">
        <v>247</v>
      </c>
      <c r="AG143" s="81"/>
      <c r="AJ143" s="87" t="s">
        <v>120</v>
      </c>
      <c r="AK143" s="87">
        <v>14</v>
      </c>
      <c r="BB143" s="196" t="s">
        <v>117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ht="27" customHeight="1" x14ac:dyDescent="0.25">
      <c r="A144" s="63" t="s">
        <v>248</v>
      </c>
      <c r="B144" s="63" t="s">
        <v>249</v>
      </c>
      <c r="C144" s="36">
        <v>4301135962</v>
      </c>
      <c r="D144" s="364">
        <v>4620207491584</v>
      </c>
      <c r="E144" s="364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118</v>
      </c>
      <c r="L144" s="37" t="s">
        <v>88</v>
      </c>
      <c r="M144" s="38" t="s">
        <v>86</v>
      </c>
      <c r="N144" s="38"/>
      <c r="O144" s="37">
        <v>180</v>
      </c>
      <c r="P144" s="426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4" s="366"/>
      <c r="R144" s="366"/>
      <c r="S144" s="366"/>
      <c r="T144" s="367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97" t="s">
        <v>250</v>
      </c>
      <c r="AG144" s="81"/>
      <c r="AJ144" s="87" t="s">
        <v>89</v>
      </c>
      <c r="AK144" s="87">
        <v>1</v>
      </c>
      <c r="BB144" s="198" t="s">
        <v>117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x14ac:dyDescent="0.2">
      <c r="A145" s="378"/>
      <c r="B145" s="378"/>
      <c r="C145" s="378"/>
      <c r="D145" s="378"/>
      <c r="E145" s="378"/>
      <c r="F145" s="378"/>
      <c r="G145" s="378"/>
      <c r="H145" s="378"/>
      <c r="I145" s="378"/>
      <c r="J145" s="378"/>
      <c r="K145" s="378"/>
      <c r="L145" s="378"/>
      <c r="M145" s="378"/>
      <c r="N145" s="378"/>
      <c r="O145" s="379"/>
      <c r="P145" s="375" t="s">
        <v>40</v>
      </c>
      <c r="Q145" s="376"/>
      <c r="R145" s="376"/>
      <c r="S145" s="376"/>
      <c r="T145" s="376"/>
      <c r="U145" s="376"/>
      <c r="V145" s="377"/>
      <c r="W145" s="42" t="s">
        <v>39</v>
      </c>
      <c r="X145" s="43">
        <f>IFERROR(SUM(X143:X144),"0")</f>
        <v>0</v>
      </c>
      <c r="Y145" s="43">
        <f>IFERROR(SUM(Y143:Y144),"0")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378"/>
      <c r="B146" s="378"/>
      <c r="C146" s="378"/>
      <c r="D146" s="378"/>
      <c r="E146" s="378"/>
      <c r="F146" s="378"/>
      <c r="G146" s="378"/>
      <c r="H146" s="378"/>
      <c r="I146" s="378"/>
      <c r="J146" s="378"/>
      <c r="K146" s="378"/>
      <c r="L146" s="378"/>
      <c r="M146" s="378"/>
      <c r="N146" s="378"/>
      <c r="O146" s="379"/>
      <c r="P146" s="375" t="s">
        <v>40</v>
      </c>
      <c r="Q146" s="376"/>
      <c r="R146" s="376"/>
      <c r="S146" s="376"/>
      <c r="T146" s="376"/>
      <c r="U146" s="376"/>
      <c r="V146" s="377"/>
      <c r="W146" s="42" t="s">
        <v>0</v>
      </c>
      <c r="X146" s="43">
        <f>IFERROR(SUMPRODUCT(X143:X144*H143:H144),"0")</f>
        <v>0</v>
      </c>
      <c r="Y146" s="43">
        <f>IFERROR(SUMPRODUCT(Y143:Y144*H143:H144),"0")</f>
        <v>0</v>
      </c>
      <c r="Z146" s="42"/>
      <c r="AA146" s="67"/>
      <c r="AB146" s="67"/>
      <c r="AC146" s="67"/>
    </row>
    <row r="147" spans="1:68" ht="16.5" customHeight="1" x14ac:dyDescent="0.25">
      <c r="A147" s="362" t="s">
        <v>251</v>
      </c>
      <c r="B147" s="362"/>
      <c r="C147" s="362"/>
      <c r="D147" s="362"/>
      <c r="E147" s="362"/>
      <c r="F147" s="362"/>
      <c r="G147" s="362"/>
      <c r="H147" s="362"/>
      <c r="I147" s="362"/>
      <c r="J147" s="362"/>
      <c r="K147" s="362"/>
      <c r="L147" s="362"/>
      <c r="M147" s="362"/>
      <c r="N147" s="362"/>
      <c r="O147" s="362"/>
      <c r="P147" s="362"/>
      <c r="Q147" s="362"/>
      <c r="R147" s="362"/>
      <c r="S147" s="362"/>
      <c r="T147" s="362"/>
      <c r="U147" s="362"/>
      <c r="V147" s="362"/>
      <c r="W147" s="362"/>
      <c r="X147" s="362"/>
      <c r="Y147" s="362"/>
      <c r="Z147" s="362"/>
      <c r="AA147" s="65"/>
      <c r="AB147" s="65"/>
      <c r="AC147" s="82"/>
    </row>
    <row r="148" spans="1:68" ht="14.25" customHeight="1" x14ac:dyDescent="0.25">
      <c r="A148" s="363" t="s">
        <v>149</v>
      </c>
      <c r="B148" s="363"/>
      <c r="C148" s="363"/>
      <c r="D148" s="363"/>
      <c r="E148" s="363"/>
      <c r="F148" s="363"/>
      <c r="G148" s="363"/>
      <c r="H148" s="363"/>
      <c r="I148" s="363"/>
      <c r="J148" s="363"/>
      <c r="K148" s="363"/>
      <c r="L148" s="363"/>
      <c r="M148" s="363"/>
      <c r="N148" s="363"/>
      <c r="O148" s="363"/>
      <c r="P148" s="363"/>
      <c r="Q148" s="363"/>
      <c r="R148" s="363"/>
      <c r="S148" s="363"/>
      <c r="T148" s="363"/>
      <c r="U148" s="363"/>
      <c r="V148" s="363"/>
      <c r="W148" s="363"/>
      <c r="X148" s="363"/>
      <c r="Y148" s="363"/>
      <c r="Z148" s="363"/>
      <c r="AA148" s="66"/>
      <c r="AB148" s="66"/>
      <c r="AC148" s="83"/>
    </row>
    <row r="149" spans="1:68" ht="27" customHeight="1" x14ac:dyDescent="0.25">
      <c r="A149" s="63" t="s">
        <v>252</v>
      </c>
      <c r="B149" s="63" t="s">
        <v>253</v>
      </c>
      <c r="C149" s="36">
        <v>4301135954</v>
      </c>
      <c r="D149" s="364">
        <v>4620207491768</v>
      </c>
      <c r="E149" s="364"/>
      <c r="F149" s="62">
        <v>0.25</v>
      </c>
      <c r="G149" s="37">
        <v>12</v>
      </c>
      <c r="H149" s="62">
        <v>3</v>
      </c>
      <c r="I149" s="62">
        <v>3.7480000000000002</v>
      </c>
      <c r="J149" s="37">
        <v>70</v>
      </c>
      <c r="K149" s="37" t="s">
        <v>118</v>
      </c>
      <c r="L149" s="37" t="s">
        <v>88</v>
      </c>
      <c r="M149" s="38" t="s">
        <v>86</v>
      </c>
      <c r="N149" s="38"/>
      <c r="O149" s="37">
        <v>180</v>
      </c>
      <c r="P149" s="427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366"/>
      <c r="R149" s="366"/>
      <c r="S149" s="366"/>
      <c r="T149" s="367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199" t="s">
        <v>254</v>
      </c>
      <c r="AG149" s="81"/>
      <c r="AJ149" s="87" t="s">
        <v>89</v>
      </c>
      <c r="AK149" s="87">
        <v>1</v>
      </c>
      <c r="BB149" s="200" t="s">
        <v>117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ht="16.5" customHeight="1" x14ac:dyDescent="0.25">
      <c r="A150" s="63" t="s">
        <v>255</v>
      </c>
      <c r="B150" s="63" t="s">
        <v>256</v>
      </c>
      <c r="C150" s="36">
        <v>4301135946</v>
      </c>
      <c r="D150" s="364">
        <v>4620207491553</v>
      </c>
      <c r="E150" s="364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118</v>
      </c>
      <c r="L150" s="37" t="s">
        <v>88</v>
      </c>
      <c r="M150" s="38" t="s">
        <v>86</v>
      </c>
      <c r="N150" s="38"/>
      <c r="O150" s="37">
        <v>180</v>
      </c>
      <c r="P150" s="42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366"/>
      <c r="R150" s="366"/>
      <c r="S150" s="366"/>
      <c r="T150" s="367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254</v>
      </c>
      <c r="AG150" s="81"/>
      <c r="AJ150" s="87" t="s">
        <v>89</v>
      </c>
      <c r="AK150" s="87">
        <v>1</v>
      </c>
      <c r="BB150" s="202" t="s">
        <v>117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378"/>
      <c r="B151" s="378"/>
      <c r="C151" s="378"/>
      <c r="D151" s="378"/>
      <c r="E151" s="378"/>
      <c r="F151" s="378"/>
      <c r="G151" s="378"/>
      <c r="H151" s="378"/>
      <c r="I151" s="378"/>
      <c r="J151" s="378"/>
      <c r="K151" s="378"/>
      <c r="L151" s="378"/>
      <c r="M151" s="378"/>
      <c r="N151" s="378"/>
      <c r="O151" s="379"/>
      <c r="P151" s="375" t="s">
        <v>40</v>
      </c>
      <c r="Q151" s="376"/>
      <c r="R151" s="376"/>
      <c r="S151" s="376"/>
      <c r="T151" s="376"/>
      <c r="U151" s="376"/>
      <c r="V151" s="377"/>
      <c r="W151" s="42" t="s">
        <v>39</v>
      </c>
      <c r="X151" s="43">
        <f>IFERROR(SUM(X149:X150),"0")</f>
        <v>0</v>
      </c>
      <c r="Y151" s="43">
        <f>IFERROR(SUM(Y149:Y150),"0")</f>
        <v>0</v>
      </c>
      <c r="Z151" s="43">
        <f>IFERROR(IF(Z149="",0,Z149),"0")+IFERROR(IF(Z150="",0,Z150),"0")</f>
        <v>0</v>
      </c>
      <c r="AA151" s="67"/>
      <c r="AB151" s="67"/>
      <c r="AC151" s="67"/>
    </row>
    <row r="152" spans="1:68" x14ac:dyDescent="0.2">
      <c r="A152" s="378"/>
      <c r="B152" s="378"/>
      <c r="C152" s="378"/>
      <c r="D152" s="378"/>
      <c r="E152" s="378"/>
      <c r="F152" s="378"/>
      <c r="G152" s="378"/>
      <c r="H152" s="378"/>
      <c r="I152" s="378"/>
      <c r="J152" s="378"/>
      <c r="K152" s="378"/>
      <c r="L152" s="378"/>
      <c r="M152" s="378"/>
      <c r="N152" s="378"/>
      <c r="O152" s="379"/>
      <c r="P152" s="375" t="s">
        <v>40</v>
      </c>
      <c r="Q152" s="376"/>
      <c r="R152" s="376"/>
      <c r="S152" s="376"/>
      <c r="T152" s="376"/>
      <c r="U152" s="376"/>
      <c r="V152" s="377"/>
      <c r="W152" s="42" t="s">
        <v>0</v>
      </c>
      <c r="X152" s="43">
        <f>IFERROR(SUMPRODUCT(X149:X150*H149:H150),"0")</f>
        <v>0</v>
      </c>
      <c r="Y152" s="43">
        <f>IFERROR(SUMPRODUCT(Y149:Y150*H149:H150),"0")</f>
        <v>0</v>
      </c>
      <c r="Z152" s="42"/>
      <c r="AA152" s="67"/>
      <c r="AB152" s="67"/>
      <c r="AC152" s="67"/>
    </row>
    <row r="153" spans="1:68" ht="16.5" customHeight="1" x14ac:dyDescent="0.25">
      <c r="A153" s="362" t="s">
        <v>257</v>
      </c>
      <c r="B153" s="362"/>
      <c r="C153" s="362"/>
      <c r="D153" s="362"/>
      <c r="E153" s="362"/>
      <c r="F153" s="362"/>
      <c r="G153" s="362"/>
      <c r="H153" s="362"/>
      <c r="I153" s="362"/>
      <c r="J153" s="362"/>
      <c r="K153" s="362"/>
      <c r="L153" s="362"/>
      <c r="M153" s="362"/>
      <c r="N153" s="362"/>
      <c r="O153" s="362"/>
      <c r="P153" s="362"/>
      <c r="Q153" s="362"/>
      <c r="R153" s="362"/>
      <c r="S153" s="362"/>
      <c r="T153" s="362"/>
      <c r="U153" s="362"/>
      <c r="V153" s="362"/>
      <c r="W153" s="362"/>
      <c r="X153" s="362"/>
      <c r="Y153" s="362"/>
      <c r="Z153" s="362"/>
      <c r="AA153" s="65"/>
      <c r="AB153" s="65"/>
      <c r="AC153" s="82"/>
    </row>
    <row r="154" spans="1:68" ht="14.25" customHeight="1" x14ac:dyDescent="0.25">
      <c r="A154" s="363" t="s">
        <v>149</v>
      </c>
      <c r="B154" s="363"/>
      <c r="C154" s="363"/>
      <c r="D154" s="363"/>
      <c r="E154" s="363"/>
      <c r="F154" s="363"/>
      <c r="G154" s="363"/>
      <c r="H154" s="363"/>
      <c r="I154" s="363"/>
      <c r="J154" s="363"/>
      <c r="K154" s="363"/>
      <c r="L154" s="363"/>
      <c r="M154" s="363"/>
      <c r="N154" s="363"/>
      <c r="O154" s="363"/>
      <c r="P154" s="363"/>
      <c r="Q154" s="363"/>
      <c r="R154" s="363"/>
      <c r="S154" s="363"/>
      <c r="T154" s="363"/>
      <c r="U154" s="363"/>
      <c r="V154" s="363"/>
      <c r="W154" s="363"/>
      <c r="X154" s="363"/>
      <c r="Y154" s="363"/>
      <c r="Z154" s="363"/>
      <c r="AA154" s="66"/>
      <c r="AB154" s="66"/>
      <c r="AC154" s="83"/>
    </row>
    <row r="155" spans="1:68" ht="27" customHeight="1" x14ac:dyDescent="0.25">
      <c r="A155" s="63" t="s">
        <v>258</v>
      </c>
      <c r="B155" s="63" t="s">
        <v>259</v>
      </c>
      <c r="C155" s="36">
        <v>4301135779</v>
      </c>
      <c r="D155" s="364">
        <v>4620207490914</v>
      </c>
      <c r="E155" s="364"/>
      <c r="F155" s="62">
        <v>0.2</v>
      </c>
      <c r="G155" s="37">
        <v>6</v>
      </c>
      <c r="H155" s="62">
        <v>1.2</v>
      </c>
      <c r="I155" s="62">
        <v>1.41</v>
      </c>
      <c r="J155" s="37">
        <v>140</v>
      </c>
      <c r="K155" s="37" t="s">
        <v>118</v>
      </c>
      <c r="L155" s="37" t="s">
        <v>88</v>
      </c>
      <c r="M155" s="38" t="s">
        <v>86</v>
      </c>
      <c r="N155" s="38"/>
      <c r="O155" s="37">
        <v>180</v>
      </c>
      <c r="P155" s="429" t="str">
        <f>HYPERLINK("https://abi.ru/products/Замороженные/Горячая штучка/Круггетсы/Снеки/P004954/","Снеки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366"/>
      <c r="R155" s="366"/>
      <c r="S155" s="366"/>
      <c r="T155" s="367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IFERROR(IF(X155="","",X155*0.00941),"")</f>
        <v>0</v>
      </c>
      <c r="AA155" s="68" t="s">
        <v>46</v>
      </c>
      <c r="AB155" s="69" t="s">
        <v>46</v>
      </c>
      <c r="AC155" s="203" t="s">
        <v>247</v>
      </c>
      <c r="AG155" s="81"/>
      <c r="AJ155" s="87" t="s">
        <v>89</v>
      </c>
      <c r="AK155" s="87">
        <v>1</v>
      </c>
      <c r="BB155" s="204" t="s">
        <v>117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ht="27" customHeight="1" x14ac:dyDescent="0.25">
      <c r="A156" s="63" t="s">
        <v>260</v>
      </c>
      <c r="B156" s="63" t="s">
        <v>261</v>
      </c>
      <c r="C156" s="36">
        <v>4301135753</v>
      </c>
      <c r="D156" s="364">
        <v>4620207490914</v>
      </c>
      <c r="E156" s="364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118</v>
      </c>
      <c r="L156" s="37" t="s">
        <v>88</v>
      </c>
      <c r="M156" s="38" t="s">
        <v>86</v>
      </c>
      <c r="N156" s="38"/>
      <c r="O156" s="37">
        <v>180</v>
      </c>
      <c r="P156" s="43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366"/>
      <c r="R156" s="366"/>
      <c r="S156" s="366"/>
      <c r="T156" s="367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247</v>
      </c>
      <c r="AG156" s="81"/>
      <c r="AJ156" s="87" t="s">
        <v>89</v>
      </c>
      <c r="AK156" s="87">
        <v>1</v>
      </c>
      <c r="BB156" s="206" t="s">
        <v>117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ht="27" customHeight="1" x14ac:dyDescent="0.25">
      <c r="A157" s="63" t="s">
        <v>262</v>
      </c>
      <c r="B157" s="63" t="s">
        <v>263</v>
      </c>
      <c r="C157" s="36">
        <v>4301135932</v>
      </c>
      <c r="D157" s="364">
        <v>4620207491676</v>
      </c>
      <c r="E157" s="364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88</v>
      </c>
      <c r="M157" s="38" t="s">
        <v>86</v>
      </c>
      <c r="N157" s="38"/>
      <c r="O157" s="37">
        <v>180</v>
      </c>
      <c r="P157" s="43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366"/>
      <c r="R157" s="366"/>
      <c r="S157" s="366"/>
      <c r="T157" s="367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264</v>
      </c>
      <c r="AG157" s="81"/>
      <c r="AJ157" s="87" t="s">
        <v>89</v>
      </c>
      <c r="AK157" s="87">
        <v>1</v>
      </c>
      <c r="BB157" s="208" t="s">
        <v>117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x14ac:dyDescent="0.2">
      <c r="A158" s="378"/>
      <c r="B158" s="378"/>
      <c r="C158" s="378"/>
      <c r="D158" s="378"/>
      <c r="E158" s="378"/>
      <c r="F158" s="378"/>
      <c r="G158" s="378"/>
      <c r="H158" s="378"/>
      <c r="I158" s="378"/>
      <c r="J158" s="378"/>
      <c r="K158" s="378"/>
      <c r="L158" s="378"/>
      <c r="M158" s="378"/>
      <c r="N158" s="378"/>
      <c r="O158" s="379"/>
      <c r="P158" s="375" t="s">
        <v>40</v>
      </c>
      <c r="Q158" s="376"/>
      <c r="R158" s="376"/>
      <c r="S158" s="376"/>
      <c r="T158" s="376"/>
      <c r="U158" s="376"/>
      <c r="V158" s="377"/>
      <c r="W158" s="42" t="s">
        <v>39</v>
      </c>
      <c r="X158" s="43">
        <f>IFERROR(SUM(X155:X157),"0")</f>
        <v>0</v>
      </c>
      <c r="Y158" s="43">
        <f>IFERROR(SUM(Y155:Y157),"0")</f>
        <v>0</v>
      </c>
      <c r="Z158" s="43">
        <f>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378"/>
      <c r="B159" s="378"/>
      <c r="C159" s="378"/>
      <c r="D159" s="378"/>
      <c r="E159" s="378"/>
      <c r="F159" s="378"/>
      <c r="G159" s="378"/>
      <c r="H159" s="378"/>
      <c r="I159" s="378"/>
      <c r="J159" s="378"/>
      <c r="K159" s="378"/>
      <c r="L159" s="378"/>
      <c r="M159" s="378"/>
      <c r="N159" s="378"/>
      <c r="O159" s="379"/>
      <c r="P159" s="375" t="s">
        <v>40</v>
      </c>
      <c r="Q159" s="376"/>
      <c r="R159" s="376"/>
      <c r="S159" s="376"/>
      <c r="T159" s="376"/>
      <c r="U159" s="376"/>
      <c r="V159" s="377"/>
      <c r="W159" s="42" t="s">
        <v>0</v>
      </c>
      <c r="X159" s="43">
        <f>IFERROR(SUMPRODUCT(X155:X157*H155:H157),"0")</f>
        <v>0</v>
      </c>
      <c r="Y159" s="43">
        <f>IFERROR(SUMPRODUCT(Y155:Y157*H155:H157),"0")</f>
        <v>0</v>
      </c>
      <c r="Z159" s="42"/>
      <c r="AA159" s="67"/>
      <c r="AB159" s="67"/>
      <c r="AC159" s="67"/>
    </row>
    <row r="160" spans="1:68" ht="16.5" customHeight="1" x14ac:dyDescent="0.25">
      <c r="A160" s="362" t="s">
        <v>265</v>
      </c>
      <c r="B160" s="362"/>
      <c r="C160" s="362"/>
      <c r="D160" s="362"/>
      <c r="E160" s="362"/>
      <c r="F160" s="362"/>
      <c r="G160" s="362"/>
      <c r="H160" s="362"/>
      <c r="I160" s="362"/>
      <c r="J160" s="362"/>
      <c r="K160" s="362"/>
      <c r="L160" s="362"/>
      <c r="M160" s="362"/>
      <c r="N160" s="362"/>
      <c r="O160" s="362"/>
      <c r="P160" s="362"/>
      <c r="Q160" s="362"/>
      <c r="R160" s="362"/>
      <c r="S160" s="362"/>
      <c r="T160" s="362"/>
      <c r="U160" s="362"/>
      <c r="V160" s="362"/>
      <c r="W160" s="362"/>
      <c r="X160" s="362"/>
      <c r="Y160" s="362"/>
      <c r="Z160" s="362"/>
      <c r="AA160" s="65"/>
      <c r="AB160" s="65"/>
      <c r="AC160" s="82"/>
    </row>
    <row r="161" spans="1:68" ht="14.25" customHeight="1" x14ac:dyDescent="0.25">
      <c r="A161" s="363" t="s">
        <v>149</v>
      </c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63"/>
      <c r="P161" s="363"/>
      <c r="Q161" s="363"/>
      <c r="R161" s="363"/>
      <c r="S161" s="363"/>
      <c r="T161" s="363"/>
      <c r="U161" s="363"/>
      <c r="V161" s="363"/>
      <c r="W161" s="363"/>
      <c r="X161" s="363"/>
      <c r="Y161" s="363"/>
      <c r="Z161" s="363"/>
      <c r="AA161" s="66"/>
      <c r="AB161" s="66"/>
      <c r="AC161" s="83"/>
    </row>
    <row r="162" spans="1:68" ht="27" customHeight="1" x14ac:dyDescent="0.25">
      <c r="A162" s="63" t="s">
        <v>266</v>
      </c>
      <c r="B162" s="63" t="s">
        <v>267</v>
      </c>
      <c r="C162" s="36">
        <v>4301135940</v>
      </c>
      <c r="D162" s="364">
        <v>4620207491614</v>
      </c>
      <c r="E162" s="364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118</v>
      </c>
      <c r="L162" s="37" t="s">
        <v>88</v>
      </c>
      <c r="M162" s="38" t="s">
        <v>86</v>
      </c>
      <c r="N162" s="38"/>
      <c r="O162" s="37">
        <v>180</v>
      </c>
      <c r="P162" s="432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366"/>
      <c r="R162" s="366"/>
      <c r="S162" s="366"/>
      <c r="T162" s="367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09" t="s">
        <v>167</v>
      </c>
      <c r="AG162" s="81"/>
      <c r="AJ162" s="87" t="s">
        <v>89</v>
      </c>
      <c r="AK162" s="87">
        <v>1</v>
      </c>
      <c r="BB162" s="210" t="s">
        <v>117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378"/>
      <c r="B163" s="378"/>
      <c r="C163" s="378"/>
      <c r="D163" s="378"/>
      <c r="E163" s="378"/>
      <c r="F163" s="378"/>
      <c r="G163" s="378"/>
      <c r="H163" s="378"/>
      <c r="I163" s="378"/>
      <c r="J163" s="378"/>
      <c r="K163" s="378"/>
      <c r="L163" s="378"/>
      <c r="M163" s="378"/>
      <c r="N163" s="378"/>
      <c r="O163" s="379"/>
      <c r="P163" s="375" t="s">
        <v>40</v>
      </c>
      <c r="Q163" s="376"/>
      <c r="R163" s="376"/>
      <c r="S163" s="376"/>
      <c r="T163" s="376"/>
      <c r="U163" s="376"/>
      <c r="V163" s="377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378"/>
      <c r="B164" s="378"/>
      <c r="C164" s="378"/>
      <c r="D164" s="378"/>
      <c r="E164" s="378"/>
      <c r="F164" s="378"/>
      <c r="G164" s="378"/>
      <c r="H164" s="378"/>
      <c r="I164" s="378"/>
      <c r="J164" s="378"/>
      <c r="K164" s="378"/>
      <c r="L164" s="378"/>
      <c r="M164" s="378"/>
      <c r="N164" s="378"/>
      <c r="O164" s="379"/>
      <c r="P164" s="375" t="s">
        <v>40</v>
      </c>
      <c r="Q164" s="376"/>
      <c r="R164" s="376"/>
      <c r="S164" s="376"/>
      <c r="T164" s="376"/>
      <c r="U164" s="376"/>
      <c r="V164" s="377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62" t="s">
        <v>268</v>
      </c>
      <c r="B165" s="362"/>
      <c r="C165" s="362"/>
      <c r="D165" s="362"/>
      <c r="E165" s="362"/>
      <c r="F165" s="362"/>
      <c r="G165" s="362"/>
      <c r="H165" s="362"/>
      <c r="I165" s="362"/>
      <c r="J165" s="362"/>
      <c r="K165" s="362"/>
      <c r="L165" s="362"/>
      <c r="M165" s="362"/>
      <c r="N165" s="362"/>
      <c r="O165" s="362"/>
      <c r="P165" s="362"/>
      <c r="Q165" s="362"/>
      <c r="R165" s="362"/>
      <c r="S165" s="362"/>
      <c r="T165" s="362"/>
      <c r="U165" s="362"/>
      <c r="V165" s="362"/>
      <c r="W165" s="362"/>
      <c r="X165" s="362"/>
      <c r="Y165" s="362"/>
      <c r="Z165" s="362"/>
      <c r="AA165" s="65"/>
      <c r="AB165" s="65"/>
      <c r="AC165" s="82"/>
    </row>
    <row r="166" spans="1:68" ht="14.25" customHeight="1" x14ac:dyDescent="0.25">
      <c r="A166" s="363" t="s">
        <v>149</v>
      </c>
      <c r="B166" s="363"/>
      <c r="C166" s="363"/>
      <c r="D166" s="363"/>
      <c r="E166" s="363"/>
      <c r="F166" s="363"/>
      <c r="G166" s="363"/>
      <c r="H166" s="363"/>
      <c r="I166" s="363"/>
      <c r="J166" s="363"/>
      <c r="K166" s="363"/>
      <c r="L166" s="363"/>
      <c r="M166" s="363"/>
      <c r="N166" s="363"/>
      <c r="O166" s="363"/>
      <c r="P166" s="363"/>
      <c r="Q166" s="363"/>
      <c r="R166" s="363"/>
      <c r="S166" s="363"/>
      <c r="T166" s="363"/>
      <c r="U166" s="363"/>
      <c r="V166" s="363"/>
      <c r="W166" s="363"/>
      <c r="X166" s="363"/>
      <c r="Y166" s="363"/>
      <c r="Z166" s="363"/>
      <c r="AA166" s="66"/>
      <c r="AB166" s="66"/>
      <c r="AC166" s="83"/>
    </row>
    <row r="167" spans="1:68" ht="16.5" customHeight="1" x14ac:dyDescent="0.25">
      <c r="A167" s="63" t="s">
        <v>269</v>
      </c>
      <c r="B167" s="63" t="s">
        <v>270</v>
      </c>
      <c r="C167" s="36">
        <v>4301135607</v>
      </c>
      <c r="D167" s="364">
        <v>4607111039613</v>
      </c>
      <c r="E167" s="364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118</v>
      </c>
      <c r="L167" s="37" t="s">
        <v>119</v>
      </c>
      <c r="M167" s="38" t="s">
        <v>86</v>
      </c>
      <c r="N167" s="38"/>
      <c r="O167" s="37">
        <v>180</v>
      </c>
      <c r="P167" s="43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66"/>
      <c r="R167" s="366"/>
      <c r="S167" s="366"/>
      <c r="T167" s="367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IFERROR(IF(X167="","",X167*0.00936),"")</f>
        <v>0</v>
      </c>
      <c r="AA167" s="68" t="s">
        <v>46</v>
      </c>
      <c r="AB167" s="69" t="s">
        <v>46</v>
      </c>
      <c r="AC167" s="211" t="s">
        <v>271</v>
      </c>
      <c r="AG167" s="81"/>
      <c r="AJ167" s="87" t="s">
        <v>120</v>
      </c>
      <c r="AK167" s="87">
        <v>14</v>
      </c>
      <c r="BB167" s="212" t="s">
        <v>117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x14ac:dyDescent="0.2">
      <c r="A168" s="378"/>
      <c r="B168" s="378"/>
      <c r="C168" s="378"/>
      <c r="D168" s="378"/>
      <c r="E168" s="378"/>
      <c r="F168" s="378"/>
      <c r="G168" s="378"/>
      <c r="H168" s="378"/>
      <c r="I168" s="378"/>
      <c r="J168" s="378"/>
      <c r="K168" s="378"/>
      <c r="L168" s="378"/>
      <c r="M168" s="378"/>
      <c r="N168" s="378"/>
      <c r="O168" s="379"/>
      <c r="P168" s="375" t="s">
        <v>40</v>
      </c>
      <c r="Q168" s="376"/>
      <c r="R168" s="376"/>
      <c r="S168" s="376"/>
      <c r="T168" s="376"/>
      <c r="U168" s="376"/>
      <c r="V168" s="377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x14ac:dyDescent="0.2">
      <c r="A169" s="378"/>
      <c r="B169" s="378"/>
      <c r="C169" s="378"/>
      <c r="D169" s="378"/>
      <c r="E169" s="378"/>
      <c r="F169" s="378"/>
      <c r="G169" s="378"/>
      <c r="H169" s="378"/>
      <c r="I169" s="378"/>
      <c r="J169" s="378"/>
      <c r="K169" s="378"/>
      <c r="L169" s="378"/>
      <c r="M169" s="378"/>
      <c r="N169" s="378"/>
      <c r="O169" s="379"/>
      <c r="P169" s="375" t="s">
        <v>40</v>
      </c>
      <c r="Q169" s="376"/>
      <c r="R169" s="376"/>
      <c r="S169" s="376"/>
      <c r="T169" s="376"/>
      <c r="U169" s="376"/>
      <c r="V169" s="377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customHeight="1" x14ac:dyDescent="0.25">
      <c r="A170" s="362" t="s">
        <v>272</v>
      </c>
      <c r="B170" s="362"/>
      <c r="C170" s="362"/>
      <c r="D170" s="362"/>
      <c r="E170" s="362"/>
      <c r="F170" s="362"/>
      <c r="G170" s="362"/>
      <c r="H170" s="362"/>
      <c r="I170" s="362"/>
      <c r="J170" s="362"/>
      <c r="K170" s="362"/>
      <c r="L170" s="362"/>
      <c r="M170" s="362"/>
      <c r="N170" s="362"/>
      <c r="O170" s="362"/>
      <c r="P170" s="362"/>
      <c r="Q170" s="362"/>
      <c r="R170" s="362"/>
      <c r="S170" s="362"/>
      <c r="T170" s="362"/>
      <c r="U170" s="362"/>
      <c r="V170" s="362"/>
      <c r="W170" s="362"/>
      <c r="X170" s="362"/>
      <c r="Y170" s="362"/>
      <c r="Z170" s="362"/>
      <c r="AA170" s="65"/>
      <c r="AB170" s="65"/>
      <c r="AC170" s="82"/>
    </row>
    <row r="171" spans="1:68" ht="14.25" customHeight="1" x14ac:dyDescent="0.25">
      <c r="A171" s="363" t="s">
        <v>149</v>
      </c>
      <c r="B171" s="363"/>
      <c r="C171" s="363"/>
      <c r="D171" s="363"/>
      <c r="E171" s="363"/>
      <c r="F171" s="363"/>
      <c r="G171" s="363"/>
      <c r="H171" s="363"/>
      <c r="I171" s="363"/>
      <c r="J171" s="363"/>
      <c r="K171" s="363"/>
      <c r="L171" s="363"/>
      <c r="M171" s="363"/>
      <c r="N171" s="363"/>
      <c r="O171" s="363"/>
      <c r="P171" s="363"/>
      <c r="Q171" s="363"/>
      <c r="R171" s="363"/>
      <c r="S171" s="363"/>
      <c r="T171" s="363"/>
      <c r="U171" s="363"/>
      <c r="V171" s="363"/>
      <c r="W171" s="363"/>
      <c r="X171" s="363"/>
      <c r="Y171" s="363"/>
      <c r="Z171" s="363"/>
      <c r="AA171" s="66"/>
      <c r="AB171" s="66"/>
      <c r="AC171" s="83"/>
    </row>
    <row r="172" spans="1:68" ht="27" customHeight="1" x14ac:dyDescent="0.25">
      <c r="A172" s="63" t="s">
        <v>273</v>
      </c>
      <c r="B172" s="63" t="s">
        <v>274</v>
      </c>
      <c r="C172" s="36">
        <v>4301135912</v>
      </c>
      <c r="D172" s="364">
        <v>4620207491751</v>
      </c>
      <c r="E172" s="364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118</v>
      </c>
      <c r="L172" s="37" t="s">
        <v>88</v>
      </c>
      <c r="M172" s="38" t="s">
        <v>86</v>
      </c>
      <c r="N172" s="38"/>
      <c r="O172" s="37">
        <v>180</v>
      </c>
      <c r="P172" s="434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366"/>
      <c r="R172" s="366"/>
      <c r="S172" s="366"/>
      <c r="T172" s="367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IFERROR(IF(X172="","",X172*0.00941),"")</f>
        <v>0</v>
      </c>
      <c r="AA172" s="68" t="s">
        <v>46</v>
      </c>
      <c r="AB172" s="69" t="s">
        <v>46</v>
      </c>
      <c r="AC172" s="213" t="s">
        <v>167</v>
      </c>
      <c r="AG172" s="81"/>
      <c r="AJ172" s="87" t="s">
        <v>89</v>
      </c>
      <c r="AK172" s="87">
        <v>1</v>
      </c>
      <c r="BB172" s="214" t="s">
        <v>117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x14ac:dyDescent="0.2">
      <c r="A173" s="378"/>
      <c r="B173" s="378"/>
      <c r="C173" s="378"/>
      <c r="D173" s="378"/>
      <c r="E173" s="378"/>
      <c r="F173" s="378"/>
      <c r="G173" s="378"/>
      <c r="H173" s="378"/>
      <c r="I173" s="378"/>
      <c r="J173" s="378"/>
      <c r="K173" s="378"/>
      <c r="L173" s="378"/>
      <c r="M173" s="378"/>
      <c r="N173" s="378"/>
      <c r="O173" s="379"/>
      <c r="P173" s="375" t="s">
        <v>40</v>
      </c>
      <c r="Q173" s="376"/>
      <c r="R173" s="376"/>
      <c r="S173" s="376"/>
      <c r="T173" s="376"/>
      <c r="U173" s="376"/>
      <c r="V173" s="377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x14ac:dyDescent="0.2">
      <c r="A174" s="378"/>
      <c r="B174" s="378"/>
      <c r="C174" s="378"/>
      <c r="D174" s="378"/>
      <c r="E174" s="378"/>
      <c r="F174" s="378"/>
      <c r="G174" s="378"/>
      <c r="H174" s="378"/>
      <c r="I174" s="378"/>
      <c r="J174" s="378"/>
      <c r="K174" s="378"/>
      <c r="L174" s="378"/>
      <c r="M174" s="378"/>
      <c r="N174" s="378"/>
      <c r="O174" s="379"/>
      <c r="P174" s="375" t="s">
        <v>40</v>
      </c>
      <c r="Q174" s="376"/>
      <c r="R174" s="376"/>
      <c r="S174" s="376"/>
      <c r="T174" s="376"/>
      <c r="U174" s="376"/>
      <c r="V174" s="377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27.75" customHeight="1" x14ac:dyDescent="0.2">
      <c r="A175" s="361" t="s">
        <v>275</v>
      </c>
      <c r="B175" s="361"/>
      <c r="C175" s="361"/>
      <c r="D175" s="361"/>
      <c r="E175" s="361"/>
      <c r="F175" s="361"/>
      <c r="G175" s="361"/>
      <c r="H175" s="361"/>
      <c r="I175" s="361"/>
      <c r="J175" s="361"/>
      <c r="K175" s="361"/>
      <c r="L175" s="361"/>
      <c r="M175" s="361"/>
      <c r="N175" s="361"/>
      <c r="O175" s="361"/>
      <c r="P175" s="361"/>
      <c r="Q175" s="361"/>
      <c r="R175" s="361"/>
      <c r="S175" s="361"/>
      <c r="T175" s="361"/>
      <c r="U175" s="361"/>
      <c r="V175" s="361"/>
      <c r="W175" s="361"/>
      <c r="X175" s="361"/>
      <c r="Y175" s="361"/>
      <c r="Z175" s="361"/>
      <c r="AA175" s="54"/>
      <c r="AB175" s="54"/>
      <c r="AC175" s="54"/>
    </row>
    <row r="176" spans="1:68" ht="16.5" customHeight="1" x14ac:dyDescent="0.25">
      <c r="A176" s="362" t="s">
        <v>276</v>
      </c>
      <c r="B176" s="362"/>
      <c r="C176" s="362"/>
      <c r="D176" s="362"/>
      <c r="E176" s="362"/>
      <c r="F176" s="362"/>
      <c r="G176" s="362"/>
      <c r="H176" s="362"/>
      <c r="I176" s="362"/>
      <c r="J176" s="362"/>
      <c r="K176" s="362"/>
      <c r="L176" s="362"/>
      <c r="M176" s="362"/>
      <c r="N176" s="362"/>
      <c r="O176" s="362"/>
      <c r="P176" s="362"/>
      <c r="Q176" s="362"/>
      <c r="R176" s="362"/>
      <c r="S176" s="362"/>
      <c r="T176" s="362"/>
      <c r="U176" s="362"/>
      <c r="V176" s="362"/>
      <c r="W176" s="362"/>
      <c r="X176" s="362"/>
      <c r="Y176" s="362"/>
      <c r="Z176" s="362"/>
      <c r="AA176" s="65"/>
      <c r="AB176" s="65"/>
      <c r="AC176" s="82"/>
    </row>
    <row r="177" spans="1:68" ht="14.25" customHeight="1" x14ac:dyDescent="0.25">
      <c r="A177" s="363" t="s">
        <v>113</v>
      </c>
      <c r="B177" s="363"/>
      <c r="C177" s="363"/>
      <c r="D177" s="363"/>
      <c r="E177" s="363"/>
      <c r="F177" s="363"/>
      <c r="G177" s="363"/>
      <c r="H177" s="363"/>
      <c r="I177" s="363"/>
      <c r="J177" s="363"/>
      <c r="K177" s="363"/>
      <c r="L177" s="363"/>
      <c r="M177" s="363"/>
      <c r="N177" s="363"/>
      <c r="O177" s="363"/>
      <c r="P177" s="363"/>
      <c r="Q177" s="363"/>
      <c r="R177" s="363"/>
      <c r="S177" s="363"/>
      <c r="T177" s="363"/>
      <c r="U177" s="363"/>
      <c r="V177" s="363"/>
      <c r="W177" s="363"/>
      <c r="X177" s="363"/>
      <c r="Y177" s="363"/>
      <c r="Z177" s="363"/>
      <c r="AA177" s="66"/>
      <c r="AB177" s="66"/>
      <c r="AC177" s="83"/>
    </row>
    <row r="178" spans="1:68" ht="27" customHeight="1" x14ac:dyDescent="0.25">
      <c r="A178" s="63" t="s">
        <v>277</v>
      </c>
      <c r="B178" s="63" t="s">
        <v>278</v>
      </c>
      <c r="C178" s="36">
        <v>4301132226</v>
      </c>
      <c r="D178" s="364">
        <v>4620207490631</v>
      </c>
      <c r="E178" s="364"/>
      <c r="F178" s="62">
        <v>6</v>
      </c>
      <c r="G178" s="37">
        <v>1</v>
      </c>
      <c r="H178" s="62">
        <v>6</v>
      </c>
      <c r="I178" s="62">
        <v>6.2350000000000003</v>
      </c>
      <c r="J178" s="37">
        <v>84</v>
      </c>
      <c r="K178" s="37" t="s">
        <v>87</v>
      </c>
      <c r="L178" s="37" t="s">
        <v>88</v>
      </c>
      <c r="M178" s="38" t="s">
        <v>86</v>
      </c>
      <c r="N178" s="38"/>
      <c r="O178" s="37">
        <v>180</v>
      </c>
      <c r="P178" s="435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366"/>
      <c r="R178" s="366"/>
      <c r="S178" s="366"/>
      <c r="T178" s="367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IFERROR(IF(X178="","",X178*0.0155),"")</f>
        <v>0</v>
      </c>
      <c r="AA178" s="68" t="s">
        <v>46</v>
      </c>
      <c r="AB178" s="69" t="s">
        <v>46</v>
      </c>
      <c r="AC178" s="215" t="s">
        <v>279</v>
      </c>
      <c r="AG178" s="81"/>
      <c r="AJ178" s="87" t="s">
        <v>89</v>
      </c>
      <c r="AK178" s="87">
        <v>1</v>
      </c>
      <c r="BB178" s="216" t="s">
        <v>117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x14ac:dyDescent="0.2">
      <c r="A179" s="378"/>
      <c r="B179" s="378"/>
      <c r="C179" s="378"/>
      <c r="D179" s="378"/>
      <c r="E179" s="378"/>
      <c r="F179" s="378"/>
      <c r="G179" s="378"/>
      <c r="H179" s="378"/>
      <c r="I179" s="378"/>
      <c r="J179" s="378"/>
      <c r="K179" s="378"/>
      <c r="L179" s="378"/>
      <c r="M179" s="378"/>
      <c r="N179" s="378"/>
      <c r="O179" s="379"/>
      <c r="P179" s="375" t="s">
        <v>40</v>
      </c>
      <c r="Q179" s="376"/>
      <c r="R179" s="376"/>
      <c r="S179" s="376"/>
      <c r="T179" s="376"/>
      <c r="U179" s="376"/>
      <c r="V179" s="377"/>
      <c r="W179" s="42" t="s">
        <v>39</v>
      </c>
      <c r="X179" s="43">
        <f>IFERROR(SUM(X178:X178),"0")</f>
        <v>0</v>
      </c>
      <c r="Y179" s="43">
        <f>IFERROR(SUM(Y178:Y178),"0")</f>
        <v>0</v>
      </c>
      <c r="Z179" s="43">
        <f>IFERROR(IF(Z178="",0,Z178),"0")</f>
        <v>0</v>
      </c>
      <c r="AA179" s="67"/>
      <c r="AB179" s="67"/>
      <c r="AC179" s="67"/>
    </row>
    <row r="180" spans="1:68" x14ac:dyDescent="0.2">
      <c r="A180" s="378"/>
      <c r="B180" s="378"/>
      <c r="C180" s="378"/>
      <c r="D180" s="378"/>
      <c r="E180" s="378"/>
      <c r="F180" s="378"/>
      <c r="G180" s="378"/>
      <c r="H180" s="378"/>
      <c r="I180" s="378"/>
      <c r="J180" s="378"/>
      <c r="K180" s="378"/>
      <c r="L180" s="378"/>
      <c r="M180" s="378"/>
      <c r="N180" s="378"/>
      <c r="O180" s="379"/>
      <c r="P180" s="375" t="s">
        <v>40</v>
      </c>
      <c r="Q180" s="376"/>
      <c r="R180" s="376"/>
      <c r="S180" s="376"/>
      <c r="T180" s="376"/>
      <c r="U180" s="376"/>
      <c r="V180" s="377"/>
      <c r="W180" s="42" t="s">
        <v>0</v>
      </c>
      <c r="X180" s="43">
        <f>IFERROR(SUMPRODUCT(X178:X178*H178:H178),"0")</f>
        <v>0</v>
      </c>
      <c r="Y180" s="43">
        <f>IFERROR(SUMPRODUCT(Y178:Y178*H178:H178),"0")</f>
        <v>0</v>
      </c>
      <c r="Z180" s="42"/>
      <c r="AA180" s="67"/>
      <c r="AB180" s="67"/>
      <c r="AC180" s="67"/>
    </row>
    <row r="181" spans="1:68" ht="14.25" customHeight="1" x14ac:dyDescent="0.25">
      <c r="A181" s="363" t="s">
        <v>145</v>
      </c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66"/>
      <c r="AB181" s="66"/>
      <c r="AC181" s="83"/>
    </row>
    <row r="182" spans="1:68" ht="27" customHeight="1" x14ac:dyDescent="0.25">
      <c r="A182" s="63" t="s">
        <v>280</v>
      </c>
      <c r="B182" s="63" t="s">
        <v>281</v>
      </c>
      <c r="C182" s="36">
        <v>4301136001</v>
      </c>
      <c r="D182" s="364">
        <v>4607111035714</v>
      </c>
      <c r="E182" s="364"/>
      <c r="F182" s="62">
        <v>5</v>
      </c>
      <c r="G182" s="37">
        <v>1</v>
      </c>
      <c r="H182" s="62">
        <v>5</v>
      </c>
      <c r="I182" s="62">
        <v>5.2350000000000003</v>
      </c>
      <c r="J182" s="37">
        <v>84</v>
      </c>
      <c r="K182" s="37" t="s">
        <v>87</v>
      </c>
      <c r="L182" s="37" t="s">
        <v>88</v>
      </c>
      <c r="M182" s="38" t="s">
        <v>86</v>
      </c>
      <c r="N182" s="38"/>
      <c r="O182" s="37">
        <v>180</v>
      </c>
      <c r="P182" s="436" t="str">
        <f>HYPERLINK("https://abi.ru/products/Замороженные/No Name/Зареченские продукты/Чебуреки/P002166/","Чебуреки Чебуреки Сочные No Name Весовые No name 5 кг дистр")</f>
        <v>Чебуреки Чебуреки Сочные No Name Весовые No name 5 кг дистр</v>
      </c>
      <c r="Q182" s="366"/>
      <c r="R182" s="366"/>
      <c r="S182" s="366"/>
      <c r="T182" s="367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IFERROR(IF(X182="","",X182*0.0155),"")</f>
        <v>0</v>
      </c>
      <c r="AA182" s="68" t="s">
        <v>46</v>
      </c>
      <c r="AB182" s="69" t="s">
        <v>46</v>
      </c>
      <c r="AC182" s="217" t="s">
        <v>282</v>
      </c>
      <c r="AG182" s="81"/>
      <c r="AJ182" s="87" t="s">
        <v>89</v>
      </c>
      <c r="AK182" s="87">
        <v>1</v>
      </c>
      <c r="BB182" s="218" t="s">
        <v>117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x14ac:dyDescent="0.2">
      <c r="A183" s="378"/>
      <c r="B183" s="378"/>
      <c r="C183" s="378"/>
      <c r="D183" s="378"/>
      <c r="E183" s="378"/>
      <c r="F183" s="378"/>
      <c r="G183" s="378"/>
      <c r="H183" s="378"/>
      <c r="I183" s="378"/>
      <c r="J183" s="378"/>
      <c r="K183" s="378"/>
      <c r="L183" s="378"/>
      <c r="M183" s="378"/>
      <c r="N183" s="378"/>
      <c r="O183" s="379"/>
      <c r="P183" s="375" t="s">
        <v>40</v>
      </c>
      <c r="Q183" s="376"/>
      <c r="R183" s="376"/>
      <c r="S183" s="376"/>
      <c r="T183" s="376"/>
      <c r="U183" s="376"/>
      <c r="V183" s="377"/>
      <c r="W183" s="42" t="s">
        <v>39</v>
      </c>
      <c r="X183" s="43">
        <f>IFERROR(SUM(X182:X182),"0")</f>
        <v>0</v>
      </c>
      <c r="Y183" s="43">
        <f>IFERROR(SUM(Y182:Y182),"0")</f>
        <v>0</v>
      </c>
      <c r="Z183" s="43">
        <f>IFERROR(IF(Z182="",0,Z182),"0")</f>
        <v>0</v>
      </c>
      <c r="AA183" s="67"/>
      <c r="AB183" s="67"/>
      <c r="AC183" s="67"/>
    </row>
    <row r="184" spans="1:68" x14ac:dyDescent="0.2">
      <c r="A184" s="378"/>
      <c r="B184" s="378"/>
      <c r="C184" s="378"/>
      <c r="D184" s="378"/>
      <c r="E184" s="378"/>
      <c r="F184" s="378"/>
      <c r="G184" s="378"/>
      <c r="H184" s="378"/>
      <c r="I184" s="378"/>
      <c r="J184" s="378"/>
      <c r="K184" s="378"/>
      <c r="L184" s="378"/>
      <c r="M184" s="378"/>
      <c r="N184" s="378"/>
      <c r="O184" s="379"/>
      <c r="P184" s="375" t="s">
        <v>40</v>
      </c>
      <c r="Q184" s="376"/>
      <c r="R184" s="376"/>
      <c r="S184" s="376"/>
      <c r="T184" s="376"/>
      <c r="U184" s="376"/>
      <c r="V184" s="377"/>
      <c r="W184" s="42" t="s">
        <v>0</v>
      </c>
      <c r="X184" s="43">
        <f>IFERROR(SUMPRODUCT(X182:X182*H182:H182),"0")</f>
        <v>0</v>
      </c>
      <c r="Y184" s="43">
        <f>IFERROR(SUMPRODUCT(Y182:Y182*H182:H182),"0")</f>
        <v>0</v>
      </c>
      <c r="Z184" s="42"/>
      <c r="AA184" s="67"/>
      <c r="AB184" s="67"/>
      <c r="AC184" s="67"/>
    </row>
    <row r="185" spans="1:68" ht="14.25" customHeight="1" x14ac:dyDescent="0.25">
      <c r="A185" s="363" t="s">
        <v>149</v>
      </c>
      <c r="B185" s="363"/>
      <c r="C185" s="363"/>
      <c r="D185" s="363"/>
      <c r="E185" s="363"/>
      <c r="F185" s="363"/>
      <c r="G185" s="363"/>
      <c r="H185" s="363"/>
      <c r="I185" s="363"/>
      <c r="J185" s="363"/>
      <c r="K185" s="363"/>
      <c r="L185" s="363"/>
      <c r="M185" s="363"/>
      <c r="N185" s="363"/>
      <c r="O185" s="363"/>
      <c r="P185" s="363"/>
      <c r="Q185" s="363"/>
      <c r="R185" s="363"/>
      <c r="S185" s="363"/>
      <c r="T185" s="363"/>
      <c r="U185" s="363"/>
      <c r="V185" s="363"/>
      <c r="W185" s="363"/>
      <c r="X185" s="363"/>
      <c r="Y185" s="363"/>
      <c r="Z185" s="363"/>
      <c r="AA185" s="66"/>
      <c r="AB185" s="66"/>
      <c r="AC185" s="83"/>
    </row>
    <row r="186" spans="1:68" ht="16.5" customHeight="1" x14ac:dyDescent="0.25">
      <c r="A186" s="63" t="s">
        <v>283</v>
      </c>
      <c r="B186" s="63" t="s">
        <v>284</v>
      </c>
      <c r="C186" s="36">
        <v>4301137080</v>
      </c>
      <c r="D186" s="364">
        <v>4620207492062</v>
      </c>
      <c r="E186" s="364"/>
      <c r="F186" s="62">
        <v>5.5</v>
      </c>
      <c r="G186" s="37">
        <v>1</v>
      </c>
      <c r="H186" s="62">
        <v>5.5</v>
      </c>
      <c r="I186" s="62">
        <v>5.7350000000000003</v>
      </c>
      <c r="J186" s="37">
        <v>84</v>
      </c>
      <c r="K186" s="37" t="s">
        <v>87</v>
      </c>
      <c r="L186" s="37" t="s">
        <v>88</v>
      </c>
      <c r="M186" s="38" t="s">
        <v>86</v>
      </c>
      <c r="N186" s="38"/>
      <c r="O186" s="37">
        <v>180</v>
      </c>
      <c r="P186" s="437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86" s="366"/>
      <c r="R186" s="366"/>
      <c r="S186" s="366"/>
      <c r="T186" s="367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IFERROR(IF(X186="","",X186*0.0155),"")</f>
        <v>0</v>
      </c>
      <c r="AA186" s="68" t="s">
        <v>46</v>
      </c>
      <c r="AB186" s="69" t="s">
        <v>46</v>
      </c>
      <c r="AC186" s="219" t="s">
        <v>285</v>
      </c>
      <c r="AG186" s="81"/>
      <c r="AJ186" s="87" t="s">
        <v>89</v>
      </c>
      <c r="AK186" s="87">
        <v>1</v>
      </c>
      <c r="BB186" s="220" t="s">
        <v>117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customHeight="1" x14ac:dyDescent="0.25">
      <c r="A187" s="63" t="s">
        <v>286</v>
      </c>
      <c r="B187" s="63" t="s">
        <v>287</v>
      </c>
      <c r="C187" s="36">
        <v>4301135324</v>
      </c>
      <c r="D187" s="364">
        <v>4607111038456</v>
      </c>
      <c r="E187" s="364"/>
      <c r="F187" s="62">
        <v>3.7</v>
      </c>
      <c r="G187" s="37">
        <v>1</v>
      </c>
      <c r="H187" s="62">
        <v>3.7</v>
      </c>
      <c r="I187" s="62">
        <v>3.8919999999999999</v>
      </c>
      <c r="J187" s="37">
        <v>126</v>
      </c>
      <c r="K187" s="37" t="s">
        <v>118</v>
      </c>
      <c r="L187" s="37" t="s">
        <v>88</v>
      </c>
      <c r="M187" s="38" t="s">
        <v>86</v>
      </c>
      <c r="N187" s="38"/>
      <c r="O187" s="37">
        <v>180</v>
      </c>
      <c r="P187" s="438" t="str">
        <f>HYPERLINK("https://abi.ru/products/Замороженные/No Name/Зареченские продукты/Снеки/P003804/","Снеки «Мини-сосиски в тесте» Весовой ТМ «No Name» 3,7 кг")</f>
        <v>Снеки «Мини-сосиски в тесте» Весовой ТМ «No Name» 3,7 кг</v>
      </c>
      <c r="Q187" s="366"/>
      <c r="R187" s="366"/>
      <c r="S187" s="366"/>
      <c r="T187" s="367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IFERROR(IF(X187="","",X187*0.00936),"")</f>
        <v>0</v>
      </c>
      <c r="AA187" s="68" t="s">
        <v>46</v>
      </c>
      <c r="AB187" s="69" t="s">
        <v>46</v>
      </c>
      <c r="AC187" s="221" t="s">
        <v>288</v>
      </c>
      <c r="AG187" s="81"/>
      <c r="AJ187" s="87" t="s">
        <v>89</v>
      </c>
      <c r="AK187" s="87">
        <v>1</v>
      </c>
      <c r="BB187" s="222" t="s">
        <v>117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ht="27" customHeight="1" x14ac:dyDescent="0.25">
      <c r="A188" s="63" t="s">
        <v>289</v>
      </c>
      <c r="B188" s="63" t="s">
        <v>290</v>
      </c>
      <c r="C188" s="36">
        <v>4301135995</v>
      </c>
      <c r="D188" s="364">
        <v>4620207491928</v>
      </c>
      <c r="E188" s="364"/>
      <c r="F188" s="62">
        <v>3.7</v>
      </c>
      <c r="G188" s="37">
        <v>1</v>
      </c>
      <c r="H188" s="62">
        <v>3.7</v>
      </c>
      <c r="I188" s="62">
        <v>3.8919999999999999</v>
      </c>
      <c r="J188" s="37">
        <v>126</v>
      </c>
      <c r="K188" s="37" t="s">
        <v>118</v>
      </c>
      <c r="L188" s="37" t="s">
        <v>88</v>
      </c>
      <c r="M188" s="38" t="s">
        <v>86</v>
      </c>
      <c r="N188" s="38"/>
      <c r="O188" s="37">
        <v>180</v>
      </c>
      <c r="P188" s="439" t="str">
        <f>HYPERLINK("https://abi.ru/products/Замороженные/No Name/Зареченские продукты/Снеки/P005602/","Снеки «Мини-сосиски в ароматном тесте» Весовой ТМ «No Name» 3,7 кг")</f>
        <v>Снеки «Мини-сосиски в ароматном тесте» Весовой ТМ «No Name» 3,7 кг</v>
      </c>
      <c r="Q188" s="366"/>
      <c r="R188" s="366"/>
      <c r="S188" s="366"/>
      <c r="T188" s="367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IFERROR(IF(X188="","",X188*0.00936),"")</f>
        <v>0</v>
      </c>
      <c r="AA188" s="68" t="s">
        <v>46</v>
      </c>
      <c r="AB188" s="69" t="s">
        <v>46</v>
      </c>
      <c r="AC188" s="223" t="s">
        <v>291</v>
      </c>
      <c r="AG188" s="81"/>
      <c r="AJ188" s="87" t="s">
        <v>89</v>
      </c>
      <c r="AK188" s="87">
        <v>1</v>
      </c>
      <c r="BB188" s="224" t="s">
        <v>117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x14ac:dyDescent="0.2">
      <c r="A189" s="378"/>
      <c r="B189" s="378"/>
      <c r="C189" s="378"/>
      <c r="D189" s="378"/>
      <c r="E189" s="378"/>
      <c r="F189" s="378"/>
      <c r="G189" s="378"/>
      <c r="H189" s="378"/>
      <c r="I189" s="378"/>
      <c r="J189" s="378"/>
      <c r="K189" s="378"/>
      <c r="L189" s="378"/>
      <c r="M189" s="378"/>
      <c r="N189" s="378"/>
      <c r="O189" s="379"/>
      <c r="P189" s="375" t="s">
        <v>40</v>
      </c>
      <c r="Q189" s="376"/>
      <c r="R189" s="376"/>
      <c r="S189" s="376"/>
      <c r="T189" s="376"/>
      <c r="U189" s="376"/>
      <c r="V189" s="377"/>
      <c r="W189" s="42" t="s">
        <v>39</v>
      </c>
      <c r="X189" s="43">
        <f>IFERROR(SUM(X186:X188),"0")</f>
        <v>0</v>
      </c>
      <c r="Y189" s="43">
        <f>IFERROR(SUM(Y186:Y188),"0")</f>
        <v>0</v>
      </c>
      <c r="Z189" s="43">
        <f>IFERROR(IF(Z186="",0,Z186),"0")+IFERROR(IF(Z187="",0,Z187),"0")+IFERROR(IF(Z188="",0,Z188),"0")</f>
        <v>0</v>
      </c>
      <c r="AA189" s="67"/>
      <c r="AB189" s="67"/>
      <c r="AC189" s="67"/>
    </row>
    <row r="190" spans="1:68" x14ac:dyDescent="0.2">
      <c r="A190" s="378"/>
      <c r="B190" s="378"/>
      <c r="C190" s="378"/>
      <c r="D190" s="378"/>
      <c r="E190" s="378"/>
      <c r="F190" s="378"/>
      <c r="G190" s="378"/>
      <c r="H190" s="378"/>
      <c r="I190" s="378"/>
      <c r="J190" s="378"/>
      <c r="K190" s="378"/>
      <c r="L190" s="378"/>
      <c r="M190" s="378"/>
      <c r="N190" s="378"/>
      <c r="O190" s="379"/>
      <c r="P190" s="375" t="s">
        <v>40</v>
      </c>
      <c r="Q190" s="376"/>
      <c r="R190" s="376"/>
      <c r="S190" s="376"/>
      <c r="T190" s="376"/>
      <c r="U190" s="376"/>
      <c r="V190" s="377"/>
      <c r="W190" s="42" t="s">
        <v>0</v>
      </c>
      <c r="X190" s="43">
        <f>IFERROR(SUMPRODUCT(X186:X188*H186:H188),"0")</f>
        <v>0</v>
      </c>
      <c r="Y190" s="43">
        <f>IFERROR(SUMPRODUCT(Y186:Y188*H186:H188),"0")</f>
        <v>0</v>
      </c>
      <c r="Z190" s="42"/>
      <c r="AA190" s="67"/>
      <c r="AB190" s="67"/>
      <c r="AC190" s="67"/>
    </row>
    <row r="191" spans="1:68" ht="16.5" customHeight="1" x14ac:dyDescent="0.25">
      <c r="A191" s="362" t="s">
        <v>292</v>
      </c>
      <c r="B191" s="362"/>
      <c r="C191" s="362"/>
      <c r="D191" s="362"/>
      <c r="E191" s="362"/>
      <c r="F191" s="362"/>
      <c r="G191" s="362"/>
      <c r="H191" s="362"/>
      <c r="I191" s="362"/>
      <c r="J191" s="362"/>
      <c r="K191" s="362"/>
      <c r="L191" s="362"/>
      <c r="M191" s="362"/>
      <c r="N191" s="362"/>
      <c r="O191" s="362"/>
      <c r="P191" s="362"/>
      <c r="Q191" s="362"/>
      <c r="R191" s="362"/>
      <c r="S191" s="362"/>
      <c r="T191" s="362"/>
      <c r="U191" s="362"/>
      <c r="V191" s="362"/>
      <c r="W191" s="362"/>
      <c r="X191" s="362"/>
      <c r="Y191" s="362"/>
      <c r="Z191" s="362"/>
      <c r="AA191" s="65"/>
      <c r="AB191" s="65"/>
      <c r="AC191" s="82"/>
    </row>
    <row r="192" spans="1:68" ht="14.25" customHeight="1" x14ac:dyDescent="0.25">
      <c r="A192" s="363" t="s">
        <v>82</v>
      </c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63"/>
      <c r="P192" s="363"/>
      <c r="Q192" s="363"/>
      <c r="R192" s="363"/>
      <c r="S192" s="363"/>
      <c r="T192" s="363"/>
      <c r="U192" s="363"/>
      <c r="V192" s="363"/>
      <c r="W192" s="363"/>
      <c r="X192" s="363"/>
      <c r="Y192" s="363"/>
      <c r="Z192" s="363"/>
      <c r="AA192" s="66"/>
      <c r="AB192" s="66"/>
      <c r="AC192" s="83"/>
    </row>
    <row r="193" spans="1:68" ht="16.5" customHeight="1" x14ac:dyDescent="0.25">
      <c r="A193" s="63" t="s">
        <v>293</v>
      </c>
      <c r="B193" s="63" t="s">
        <v>294</v>
      </c>
      <c r="C193" s="36">
        <v>4301071062</v>
      </c>
      <c r="D193" s="364">
        <v>4607111036384</v>
      </c>
      <c r="E193" s="364"/>
      <c r="F193" s="62">
        <v>5</v>
      </c>
      <c r="G193" s="37">
        <v>1</v>
      </c>
      <c r="H193" s="62">
        <v>5</v>
      </c>
      <c r="I193" s="62">
        <v>5.2106000000000003</v>
      </c>
      <c r="J193" s="37">
        <v>144</v>
      </c>
      <c r="K193" s="37" t="s">
        <v>87</v>
      </c>
      <c r="L193" s="37" t="s">
        <v>119</v>
      </c>
      <c r="M193" s="38" t="s">
        <v>86</v>
      </c>
      <c r="N193" s="38"/>
      <c r="O193" s="37">
        <v>180</v>
      </c>
      <c r="P193" s="44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93" s="366"/>
      <c r="R193" s="366"/>
      <c r="S193" s="366"/>
      <c r="T193" s="367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IFERROR(IF(X193="","",X193*0.00866),"")</f>
        <v>0</v>
      </c>
      <c r="AA193" s="68" t="s">
        <v>46</v>
      </c>
      <c r="AB193" s="69" t="s">
        <v>46</v>
      </c>
      <c r="AC193" s="225" t="s">
        <v>295</v>
      </c>
      <c r="AG193" s="81"/>
      <c r="AJ193" s="87" t="s">
        <v>120</v>
      </c>
      <c r="AK193" s="87">
        <v>12</v>
      </c>
      <c r="BB193" s="226" t="s">
        <v>70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296</v>
      </c>
      <c r="B194" s="63" t="s">
        <v>297</v>
      </c>
      <c r="C194" s="36">
        <v>4301071050</v>
      </c>
      <c r="D194" s="364">
        <v>4607111036216</v>
      </c>
      <c r="E194" s="364"/>
      <c r="F194" s="62">
        <v>5</v>
      </c>
      <c r="G194" s="37">
        <v>1</v>
      </c>
      <c r="H194" s="62">
        <v>5</v>
      </c>
      <c r="I194" s="62">
        <v>5.2131999999999996</v>
      </c>
      <c r="J194" s="37">
        <v>144</v>
      </c>
      <c r="K194" s="37" t="s">
        <v>87</v>
      </c>
      <c r="L194" s="37" t="s">
        <v>119</v>
      </c>
      <c r="M194" s="38" t="s">
        <v>86</v>
      </c>
      <c r="N194" s="38"/>
      <c r="O194" s="37">
        <v>180</v>
      </c>
      <c r="P194" s="44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4" s="366"/>
      <c r="R194" s="366"/>
      <c r="S194" s="366"/>
      <c r="T194" s="367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IFERROR(IF(X194="","",X194*0.00866),"")</f>
        <v>0</v>
      </c>
      <c r="AA194" s="68" t="s">
        <v>46</v>
      </c>
      <c r="AB194" s="69" t="s">
        <v>46</v>
      </c>
      <c r="AC194" s="227" t="s">
        <v>298</v>
      </c>
      <c r="AG194" s="81"/>
      <c r="AJ194" s="87" t="s">
        <v>120</v>
      </c>
      <c r="AK194" s="87">
        <v>12</v>
      </c>
      <c r="BB194" s="228" t="s">
        <v>70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x14ac:dyDescent="0.2">
      <c r="A195" s="378"/>
      <c r="B195" s="378"/>
      <c r="C195" s="378"/>
      <c r="D195" s="378"/>
      <c r="E195" s="378"/>
      <c r="F195" s="378"/>
      <c r="G195" s="378"/>
      <c r="H195" s="378"/>
      <c r="I195" s="378"/>
      <c r="J195" s="378"/>
      <c r="K195" s="378"/>
      <c r="L195" s="378"/>
      <c r="M195" s="378"/>
      <c r="N195" s="378"/>
      <c r="O195" s="379"/>
      <c r="P195" s="375" t="s">
        <v>40</v>
      </c>
      <c r="Q195" s="376"/>
      <c r="R195" s="376"/>
      <c r="S195" s="376"/>
      <c r="T195" s="376"/>
      <c r="U195" s="376"/>
      <c r="V195" s="377"/>
      <c r="W195" s="42" t="s">
        <v>39</v>
      </c>
      <c r="X195" s="43">
        <f>IFERROR(SUM(X193:X194),"0")</f>
        <v>0</v>
      </c>
      <c r="Y195" s="43">
        <f>IFERROR(SUM(Y193:Y194),"0")</f>
        <v>0</v>
      </c>
      <c r="Z195" s="43">
        <f>IFERROR(IF(Z193="",0,Z193),"0")+IFERROR(IF(Z194="",0,Z194),"0")</f>
        <v>0</v>
      </c>
      <c r="AA195" s="67"/>
      <c r="AB195" s="67"/>
      <c r="AC195" s="67"/>
    </row>
    <row r="196" spans="1:68" x14ac:dyDescent="0.2">
      <c r="A196" s="378"/>
      <c r="B196" s="378"/>
      <c r="C196" s="378"/>
      <c r="D196" s="378"/>
      <c r="E196" s="378"/>
      <c r="F196" s="378"/>
      <c r="G196" s="378"/>
      <c r="H196" s="378"/>
      <c r="I196" s="378"/>
      <c r="J196" s="378"/>
      <c r="K196" s="378"/>
      <c r="L196" s="378"/>
      <c r="M196" s="378"/>
      <c r="N196" s="378"/>
      <c r="O196" s="379"/>
      <c r="P196" s="375" t="s">
        <v>40</v>
      </c>
      <c r="Q196" s="376"/>
      <c r="R196" s="376"/>
      <c r="S196" s="376"/>
      <c r="T196" s="376"/>
      <c r="U196" s="376"/>
      <c r="V196" s="377"/>
      <c r="W196" s="42" t="s">
        <v>0</v>
      </c>
      <c r="X196" s="43">
        <f>IFERROR(SUMPRODUCT(X193:X194*H193:H194),"0")</f>
        <v>0</v>
      </c>
      <c r="Y196" s="43">
        <f>IFERROR(SUMPRODUCT(Y193:Y194*H193:H194),"0")</f>
        <v>0</v>
      </c>
      <c r="Z196" s="42"/>
      <c r="AA196" s="67"/>
      <c r="AB196" s="67"/>
      <c r="AC196" s="67"/>
    </row>
    <row r="197" spans="1:68" ht="16.5" customHeight="1" x14ac:dyDescent="0.25">
      <c r="A197" s="362" t="s">
        <v>299</v>
      </c>
      <c r="B197" s="362"/>
      <c r="C197" s="362"/>
      <c r="D197" s="362"/>
      <c r="E197" s="362"/>
      <c r="F197" s="362"/>
      <c r="G197" s="362"/>
      <c r="H197" s="362"/>
      <c r="I197" s="362"/>
      <c r="J197" s="362"/>
      <c r="K197" s="362"/>
      <c r="L197" s="362"/>
      <c r="M197" s="362"/>
      <c r="N197" s="362"/>
      <c r="O197" s="362"/>
      <c r="P197" s="362"/>
      <c r="Q197" s="362"/>
      <c r="R197" s="362"/>
      <c r="S197" s="362"/>
      <c r="T197" s="362"/>
      <c r="U197" s="362"/>
      <c r="V197" s="362"/>
      <c r="W197" s="362"/>
      <c r="X197" s="362"/>
      <c r="Y197" s="362"/>
      <c r="Z197" s="362"/>
      <c r="AA197" s="65"/>
      <c r="AB197" s="65"/>
      <c r="AC197" s="82"/>
    </row>
    <row r="198" spans="1:68" ht="14.25" customHeight="1" x14ac:dyDescent="0.25">
      <c r="A198" s="363" t="s">
        <v>82</v>
      </c>
      <c r="B198" s="363"/>
      <c r="C198" s="363"/>
      <c r="D198" s="363"/>
      <c r="E198" s="363"/>
      <c r="F198" s="363"/>
      <c r="G198" s="363"/>
      <c r="H198" s="363"/>
      <c r="I198" s="363"/>
      <c r="J198" s="363"/>
      <c r="K198" s="363"/>
      <c r="L198" s="363"/>
      <c r="M198" s="363"/>
      <c r="N198" s="363"/>
      <c r="O198" s="363"/>
      <c r="P198" s="363"/>
      <c r="Q198" s="363"/>
      <c r="R198" s="363"/>
      <c r="S198" s="363"/>
      <c r="T198" s="363"/>
      <c r="U198" s="363"/>
      <c r="V198" s="363"/>
      <c r="W198" s="363"/>
      <c r="X198" s="363"/>
      <c r="Y198" s="363"/>
      <c r="Z198" s="363"/>
      <c r="AA198" s="66"/>
      <c r="AB198" s="66"/>
      <c r="AC198" s="83"/>
    </row>
    <row r="199" spans="1:68" ht="27" customHeight="1" x14ac:dyDescent="0.25">
      <c r="A199" s="63" t="s">
        <v>300</v>
      </c>
      <c r="B199" s="63" t="s">
        <v>301</v>
      </c>
      <c r="C199" s="36">
        <v>4301071117</v>
      </c>
      <c r="D199" s="364">
        <v>4620207491737</v>
      </c>
      <c r="E199" s="364"/>
      <c r="F199" s="62">
        <v>1</v>
      </c>
      <c r="G199" s="37">
        <v>5</v>
      </c>
      <c r="H199" s="62">
        <v>5</v>
      </c>
      <c r="I199" s="62">
        <v>5.2619999999999996</v>
      </c>
      <c r="J199" s="37">
        <v>84</v>
      </c>
      <c r="K199" s="37" t="s">
        <v>87</v>
      </c>
      <c r="L199" s="37" t="s">
        <v>88</v>
      </c>
      <c r="M199" s="38" t="s">
        <v>86</v>
      </c>
      <c r="N199" s="38"/>
      <c r="O199" s="37">
        <v>180</v>
      </c>
      <c r="P199" s="44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9" s="366"/>
      <c r="R199" s="366"/>
      <c r="S199" s="366"/>
      <c r="T199" s="367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IFERROR(IF(X199="","",X199*0.0155),"")</f>
        <v>0</v>
      </c>
      <c r="AA199" s="68" t="s">
        <v>46</v>
      </c>
      <c r="AB199" s="69" t="s">
        <v>46</v>
      </c>
      <c r="AC199" s="229" t="s">
        <v>298</v>
      </c>
      <c r="AG199" s="81"/>
      <c r="AJ199" s="87" t="s">
        <v>89</v>
      </c>
      <c r="AK199" s="87">
        <v>1</v>
      </c>
      <c r="BB199" s="230" t="s">
        <v>70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x14ac:dyDescent="0.2">
      <c r="A200" s="378"/>
      <c r="B200" s="378"/>
      <c r="C200" s="378"/>
      <c r="D200" s="378"/>
      <c r="E200" s="378"/>
      <c r="F200" s="378"/>
      <c r="G200" s="378"/>
      <c r="H200" s="378"/>
      <c r="I200" s="378"/>
      <c r="J200" s="378"/>
      <c r="K200" s="378"/>
      <c r="L200" s="378"/>
      <c r="M200" s="378"/>
      <c r="N200" s="378"/>
      <c r="O200" s="379"/>
      <c r="P200" s="375" t="s">
        <v>40</v>
      </c>
      <c r="Q200" s="376"/>
      <c r="R200" s="376"/>
      <c r="S200" s="376"/>
      <c r="T200" s="376"/>
      <c r="U200" s="376"/>
      <c r="V200" s="377"/>
      <c r="W200" s="42" t="s">
        <v>39</v>
      </c>
      <c r="X200" s="43">
        <f>IFERROR(SUM(X199:X199),"0")</f>
        <v>0</v>
      </c>
      <c r="Y200" s="43">
        <f>IFERROR(SUM(Y199:Y199),"0")</f>
        <v>0</v>
      </c>
      <c r="Z200" s="43">
        <f>IFERROR(IF(Z199="",0,Z199),"0")</f>
        <v>0</v>
      </c>
      <c r="AA200" s="67"/>
      <c r="AB200" s="67"/>
      <c r="AC200" s="67"/>
    </row>
    <row r="201" spans="1:68" x14ac:dyDescent="0.2">
      <c r="A201" s="378"/>
      <c r="B201" s="378"/>
      <c r="C201" s="378"/>
      <c r="D201" s="378"/>
      <c r="E201" s="378"/>
      <c r="F201" s="378"/>
      <c r="G201" s="378"/>
      <c r="H201" s="378"/>
      <c r="I201" s="378"/>
      <c r="J201" s="378"/>
      <c r="K201" s="378"/>
      <c r="L201" s="378"/>
      <c r="M201" s="378"/>
      <c r="N201" s="378"/>
      <c r="O201" s="379"/>
      <c r="P201" s="375" t="s">
        <v>40</v>
      </c>
      <c r="Q201" s="376"/>
      <c r="R201" s="376"/>
      <c r="S201" s="376"/>
      <c r="T201" s="376"/>
      <c r="U201" s="376"/>
      <c r="V201" s="377"/>
      <c r="W201" s="42" t="s">
        <v>0</v>
      </c>
      <c r="X201" s="43">
        <f>IFERROR(SUMPRODUCT(X199:X199*H199:H199),"0")</f>
        <v>0</v>
      </c>
      <c r="Y201" s="43">
        <f>IFERROR(SUMPRODUCT(Y199:Y199*H199:H199),"0")</f>
        <v>0</v>
      </c>
      <c r="Z201" s="42"/>
      <c r="AA201" s="67"/>
      <c r="AB201" s="67"/>
      <c r="AC201" s="67"/>
    </row>
    <row r="202" spans="1:68" ht="27.75" customHeight="1" x14ac:dyDescent="0.2">
      <c r="A202" s="361" t="s">
        <v>302</v>
      </c>
      <c r="B202" s="361"/>
      <c r="C202" s="361"/>
      <c r="D202" s="361"/>
      <c r="E202" s="361"/>
      <c r="F202" s="361"/>
      <c r="G202" s="361"/>
      <c r="H202" s="361"/>
      <c r="I202" s="361"/>
      <c r="J202" s="361"/>
      <c r="K202" s="361"/>
      <c r="L202" s="361"/>
      <c r="M202" s="361"/>
      <c r="N202" s="361"/>
      <c r="O202" s="361"/>
      <c r="P202" s="361"/>
      <c r="Q202" s="361"/>
      <c r="R202" s="361"/>
      <c r="S202" s="361"/>
      <c r="T202" s="361"/>
      <c r="U202" s="361"/>
      <c r="V202" s="361"/>
      <c r="W202" s="361"/>
      <c r="X202" s="361"/>
      <c r="Y202" s="361"/>
      <c r="Z202" s="361"/>
      <c r="AA202" s="54"/>
      <c r="AB202" s="54"/>
      <c r="AC202" s="54"/>
    </row>
    <row r="203" spans="1:68" ht="16.5" customHeight="1" x14ac:dyDescent="0.25">
      <c r="A203" s="362" t="s">
        <v>303</v>
      </c>
      <c r="B203" s="362"/>
      <c r="C203" s="362"/>
      <c r="D203" s="362"/>
      <c r="E203" s="362"/>
      <c r="F203" s="362"/>
      <c r="G203" s="362"/>
      <c r="H203" s="362"/>
      <c r="I203" s="362"/>
      <c r="J203" s="362"/>
      <c r="K203" s="362"/>
      <c r="L203" s="362"/>
      <c r="M203" s="362"/>
      <c r="N203" s="362"/>
      <c r="O203" s="362"/>
      <c r="P203" s="362"/>
      <c r="Q203" s="362"/>
      <c r="R203" s="362"/>
      <c r="S203" s="362"/>
      <c r="T203" s="362"/>
      <c r="U203" s="362"/>
      <c r="V203" s="362"/>
      <c r="W203" s="362"/>
      <c r="X203" s="362"/>
      <c r="Y203" s="362"/>
      <c r="Z203" s="362"/>
      <c r="AA203" s="65"/>
      <c r="AB203" s="65"/>
      <c r="AC203" s="82"/>
    </row>
    <row r="204" spans="1:68" ht="14.25" customHeight="1" x14ac:dyDescent="0.25">
      <c r="A204" s="363" t="s">
        <v>113</v>
      </c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63"/>
      <c r="P204" s="363"/>
      <c r="Q204" s="363"/>
      <c r="R204" s="363"/>
      <c r="S204" s="363"/>
      <c r="T204" s="363"/>
      <c r="U204" s="363"/>
      <c r="V204" s="363"/>
      <c r="W204" s="363"/>
      <c r="X204" s="363"/>
      <c r="Y204" s="363"/>
      <c r="Z204" s="363"/>
      <c r="AA204" s="66"/>
      <c r="AB204" s="66"/>
      <c r="AC204" s="83"/>
    </row>
    <row r="205" spans="1:68" ht="16.5" customHeight="1" x14ac:dyDescent="0.25">
      <c r="A205" s="63" t="s">
        <v>304</v>
      </c>
      <c r="B205" s="63" t="s">
        <v>305</v>
      </c>
      <c r="C205" s="36">
        <v>4301132179</v>
      </c>
      <c r="D205" s="364">
        <v>4607111035691</v>
      </c>
      <c r="E205" s="364"/>
      <c r="F205" s="62">
        <v>0.25</v>
      </c>
      <c r="G205" s="37">
        <v>12</v>
      </c>
      <c r="H205" s="62">
        <v>3</v>
      </c>
      <c r="I205" s="62">
        <v>3.3879999999999999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365</v>
      </c>
      <c r="P205" s="44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5" s="366"/>
      <c r="R205" s="366"/>
      <c r="S205" s="366"/>
      <c r="T205" s="367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1" t="s">
        <v>306</v>
      </c>
      <c r="AG205" s="81"/>
      <c r="AJ205" s="87" t="s">
        <v>120</v>
      </c>
      <c r="AK205" s="87">
        <v>14</v>
      </c>
      <c r="BB205" s="232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customHeight="1" x14ac:dyDescent="0.25">
      <c r="A206" s="63" t="s">
        <v>307</v>
      </c>
      <c r="B206" s="63" t="s">
        <v>308</v>
      </c>
      <c r="C206" s="36">
        <v>4301132182</v>
      </c>
      <c r="D206" s="364">
        <v>4607111035721</v>
      </c>
      <c r="E206" s="364"/>
      <c r="F206" s="62">
        <v>0.25</v>
      </c>
      <c r="G206" s="37">
        <v>12</v>
      </c>
      <c r="H206" s="62">
        <v>3</v>
      </c>
      <c r="I206" s="62">
        <v>3.3879999999999999</v>
      </c>
      <c r="J206" s="37">
        <v>70</v>
      </c>
      <c r="K206" s="37" t="s">
        <v>118</v>
      </c>
      <c r="L206" s="37" t="s">
        <v>119</v>
      </c>
      <c r="M206" s="38" t="s">
        <v>86</v>
      </c>
      <c r="N206" s="38"/>
      <c r="O206" s="37">
        <v>365</v>
      </c>
      <c r="P206" s="44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6" s="366"/>
      <c r="R206" s="366"/>
      <c r="S206" s="366"/>
      <c r="T206" s="367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3" t="s">
        <v>309</v>
      </c>
      <c r="AG206" s="81"/>
      <c r="AJ206" s="87" t="s">
        <v>120</v>
      </c>
      <c r="AK206" s="87">
        <v>14</v>
      </c>
      <c r="BB206" s="234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t="27" customHeight="1" x14ac:dyDescent="0.25">
      <c r="A207" s="63" t="s">
        <v>310</v>
      </c>
      <c r="B207" s="63" t="s">
        <v>311</v>
      </c>
      <c r="C207" s="36">
        <v>4301132170</v>
      </c>
      <c r="D207" s="364">
        <v>4607111038487</v>
      </c>
      <c r="E207" s="364"/>
      <c r="F207" s="62">
        <v>0.25</v>
      </c>
      <c r="G207" s="37">
        <v>12</v>
      </c>
      <c r="H207" s="62">
        <v>3</v>
      </c>
      <c r="I207" s="62">
        <v>3.7360000000000002</v>
      </c>
      <c r="J207" s="37">
        <v>70</v>
      </c>
      <c r="K207" s="37" t="s">
        <v>118</v>
      </c>
      <c r="L207" s="37" t="s">
        <v>119</v>
      </c>
      <c r="M207" s="38" t="s">
        <v>86</v>
      </c>
      <c r="N207" s="38"/>
      <c r="O207" s="37">
        <v>180</v>
      </c>
      <c r="P207" s="44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7" s="366"/>
      <c r="R207" s="366"/>
      <c r="S207" s="366"/>
      <c r="T207" s="367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5" t="s">
        <v>312</v>
      </c>
      <c r="AG207" s="81"/>
      <c r="AJ207" s="87" t="s">
        <v>120</v>
      </c>
      <c r="AK207" s="87">
        <v>14</v>
      </c>
      <c r="BB207" s="236" t="s">
        <v>117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customHeight="1" x14ac:dyDescent="0.25">
      <c r="A208" s="63" t="s">
        <v>313</v>
      </c>
      <c r="B208" s="63" t="s">
        <v>314</v>
      </c>
      <c r="C208" s="36">
        <v>4301132243</v>
      </c>
      <c r="D208" s="364">
        <v>4620207491195</v>
      </c>
      <c r="E208" s="364"/>
      <c r="F208" s="62">
        <v>0.23</v>
      </c>
      <c r="G208" s="37">
        <v>12</v>
      </c>
      <c r="H208" s="62">
        <v>2.76</v>
      </c>
      <c r="I208" s="62">
        <v>3.1480000000000001</v>
      </c>
      <c r="J208" s="37">
        <v>70</v>
      </c>
      <c r="K208" s="37" t="s">
        <v>118</v>
      </c>
      <c r="L208" s="37" t="s">
        <v>88</v>
      </c>
      <c r="M208" s="38" t="s">
        <v>86</v>
      </c>
      <c r="N208" s="38"/>
      <c r="O208" s="37">
        <v>180</v>
      </c>
      <c r="P208" s="44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8" s="366"/>
      <c r="R208" s="366"/>
      <c r="S208" s="366"/>
      <c r="T208" s="367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7" t="s">
        <v>315</v>
      </c>
      <c r="AG208" s="81"/>
      <c r="AJ208" s="87" t="s">
        <v>89</v>
      </c>
      <c r="AK208" s="87">
        <v>1</v>
      </c>
      <c r="BB208" s="238" t="s">
        <v>117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x14ac:dyDescent="0.2">
      <c r="A209" s="378"/>
      <c r="B209" s="378"/>
      <c r="C209" s="378"/>
      <c r="D209" s="378"/>
      <c r="E209" s="378"/>
      <c r="F209" s="378"/>
      <c r="G209" s="378"/>
      <c r="H209" s="378"/>
      <c r="I209" s="378"/>
      <c r="J209" s="378"/>
      <c r="K209" s="378"/>
      <c r="L209" s="378"/>
      <c r="M209" s="378"/>
      <c r="N209" s="378"/>
      <c r="O209" s="379"/>
      <c r="P209" s="375" t="s">
        <v>40</v>
      </c>
      <c r="Q209" s="376"/>
      <c r="R209" s="376"/>
      <c r="S209" s="376"/>
      <c r="T209" s="376"/>
      <c r="U209" s="376"/>
      <c r="V209" s="377"/>
      <c r="W209" s="42" t="s">
        <v>39</v>
      </c>
      <c r="X209" s="43">
        <f>IFERROR(SUM(X205:X208),"0")</f>
        <v>0</v>
      </c>
      <c r="Y209" s="43">
        <f>IFERROR(SUM(Y205:Y208),"0")</f>
        <v>0</v>
      </c>
      <c r="Z209" s="43">
        <f>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x14ac:dyDescent="0.2">
      <c r="A210" s="378"/>
      <c r="B210" s="378"/>
      <c r="C210" s="378"/>
      <c r="D210" s="378"/>
      <c r="E210" s="378"/>
      <c r="F210" s="378"/>
      <c r="G210" s="378"/>
      <c r="H210" s="378"/>
      <c r="I210" s="378"/>
      <c r="J210" s="378"/>
      <c r="K210" s="378"/>
      <c r="L210" s="378"/>
      <c r="M210" s="378"/>
      <c r="N210" s="378"/>
      <c r="O210" s="379"/>
      <c r="P210" s="375" t="s">
        <v>40</v>
      </c>
      <c r="Q210" s="376"/>
      <c r="R210" s="376"/>
      <c r="S210" s="376"/>
      <c r="T210" s="376"/>
      <c r="U210" s="376"/>
      <c r="V210" s="377"/>
      <c r="W210" s="42" t="s">
        <v>0</v>
      </c>
      <c r="X210" s="43">
        <f>IFERROR(SUMPRODUCT(X205:X208*H205:H208),"0")</f>
        <v>0</v>
      </c>
      <c r="Y210" s="43">
        <f>IFERROR(SUMPRODUCT(Y205:Y208*H205:H208),"0")</f>
        <v>0</v>
      </c>
      <c r="Z210" s="42"/>
      <c r="AA210" s="67"/>
      <c r="AB210" s="67"/>
      <c r="AC210" s="67"/>
    </row>
    <row r="211" spans="1:68" ht="27.75" customHeight="1" x14ac:dyDescent="0.2">
      <c r="A211" s="361" t="s">
        <v>316</v>
      </c>
      <c r="B211" s="361"/>
      <c r="C211" s="361"/>
      <c r="D211" s="361"/>
      <c r="E211" s="361"/>
      <c r="F211" s="361"/>
      <c r="G211" s="361"/>
      <c r="H211" s="361"/>
      <c r="I211" s="361"/>
      <c r="J211" s="361"/>
      <c r="K211" s="361"/>
      <c r="L211" s="361"/>
      <c r="M211" s="361"/>
      <c r="N211" s="361"/>
      <c r="O211" s="361"/>
      <c r="P211" s="361"/>
      <c r="Q211" s="361"/>
      <c r="R211" s="361"/>
      <c r="S211" s="361"/>
      <c r="T211" s="361"/>
      <c r="U211" s="361"/>
      <c r="V211" s="361"/>
      <c r="W211" s="361"/>
      <c r="X211" s="361"/>
      <c r="Y211" s="361"/>
      <c r="Z211" s="361"/>
      <c r="AA211" s="54"/>
      <c r="AB211" s="54"/>
      <c r="AC211" s="54"/>
    </row>
    <row r="212" spans="1:68" ht="16.5" customHeight="1" x14ac:dyDescent="0.25">
      <c r="A212" s="362" t="s">
        <v>317</v>
      </c>
      <c r="B212" s="362"/>
      <c r="C212" s="362"/>
      <c r="D212" s="362"/>
      <c r="E212" s="362"/>
      <c r="F212" s="362"/>
      <c r="G212" s="362"/>
      <c r="H212" s="362"/>
      <c r="I212" s="362"/>
      <c r="J212" s="362"/>
      <c r="K212" s="362"/>
      <c r="L212" s="362"/>
      <c r="M212" s="362"/>
      <c r="N212" s="362"/>
      <c r="O212" s="362"/>
      <c r="P212" s="362"/>
      <c r="Q212" s="362"/>
      <c r="R212" s="362"/>
      <c r="S212" s="362"/>
      <c r="T212" s="362"/>
      <c r="U212" s="362"/>
      <c r="V212" s="362"/>
      <c r="W212" s="362"/>
      <c r="X212" s="362"/>
      <c r="Y212" s="362"/>
      <c r="Z212" s="362"/>
      <c r="AA212" s="65"/>
      <c r="AB212" s="65"/>
      <c r="AC212" s="82"/>
    </row>
    <row r="213" spans="1:68" ht="14.25" customHeight="1" x14ac:dyDescent="0.25">
      <c r="A213" s="363" t="s">
        <v>113</v>
      </c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63"/>
      <c r="P213" s="363"/>
      <c r="Q213" s="363"/>
      <c r="R213" s="363"/>
      <c r="S213" s="363"/>
      <c r="T213" s="363"/>
      <c r="U213" s="363"/>
      <c r="V213" s="363"/>
      <c r="W213" s="363"/>
      <c r="X213" s="363"/>
      <c r="Y213" s="363"/>
      <c r="Z213" s="363"/>
      <c r="AA213" s="66"/>
      <c r="AB213" s="66"/>
      <c r="AC213" s="83"/>
    </row>
    <row r="214" spans="1:68" ht="27" customHeight="1" x14ac:dyDescent="0.25">
      <c r="A214" s="63" t="s">
        <v>318</v>
      </c>
      <c r="B214" s="63" t="s">
        <v>319</v>
      </c>
      <c r="C214" s="36">
        <v>4301132227</v>
      </c>
      <c r="D214" s="364">
        <v>4620207491133</v>
      </c>
      <c r="E214" s="364"/>
      <c r="F214" s="62">
        <v>0.23</v>
      </c>
      <c r="G214" s="37">
        <v>12</v>
      </c>
      <c r="H214" s="62">
        <v>2.76</v>
      </c>
      <c r="I214" s="62">
        <v>2.98</v>
      </c>
      <c r="J214" s="37">
        <v>70</v>
      </c>
      <c r="K214" s="37" t="s">
        <v>118</v>
      </c>
      <c r="L214" s="37" t="s">
        <v>119</v>
      </c>
      <c r="M214" s="38" t="s">
        <v>86</v>
      </c>
      <c r="N214" s="38"/>
      <c r="O214" s="37">
        <v>180</v>
      </c>
      <c r="P214" s="44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4" s="366"/>
      <c r="R214" s="366"/>
      <c r="S214" s="366"/>
      <c r="T214" s="367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9" t="s">
        <v>320</v>
      </c>
      <c r="AG214" s="81"/>
      <c r="AJ214" s="87" t="s">
        <v>120</v>
      </c>
      <c r="AK214" s="87">
        <v>14</v>
      </c>
      <c r="BB214" s="240" t="s">
        <v>117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x14ac:dyDescent="0.2">
      <c r="A215" s="378"/>
      <c r="B215" s="378"/>
      <c r="C215" s="378"/>
      <c r="D215" s="378"/>
      <c r="E215" s="378"/>
      <c r="F215" s="378"/>
      <c r="G215" s="378"/>
      <c r="H215" s="378"/>
      <c r="I215" s="378"/>
      <c r="J215" s="378"/>
      <c r="K215" s="378"/>
      <c r="L215" s="378"/>
      <c r="M215" s="378"/>
      <c r="N215" s="378"/>
      <c r="O215" s="379"/>
      <c r="P215" s="375" t="s">
        <v>40</v>
      </c>
      <c r="Q215" s="376"/>
      <c r="R215" s="376"/>
      <c r="S215" s="376"/>
      <c r="T215" s="376"/>
      <c r="U215" s="376"/>
      <c r="V215" s="377"/>
      <c r="W215" s="42" t="s">
        <v>39</v>
      </c>
      <c r="X215" s="43">
        <f>IFERROR(SUM(X214:X214),"0")</f>
        <v>0</v>
      </c>
      <c r="Y215" s="43">
        <f>IFERROR(SUM(Y214:Y214),"0")</f>
        <v>0</v>
      </c>
      <c r="Z215" s="43">
        <f>IFERROR(IF(Z214="",0,Z214),"0")</f>
        <v>0</v>
      </c>
      <c r="AA215" s="67"/>
      <c r="AB215" s="67"/>
      <c r="AC215" s="67"/>
    </row>
    <row r="216" spans="1:68" x14ac:dyDescent="0.2">
      <c r="A216" s="378"/>
      <c r="B216" s="378"/>
      <c r="C216" s="378"/>
      <c r="D216" s="378"/>
      <c r="E216" s="378"/>
      <c r="F216" s="378"/>
      <c r="G216" s="378"/>
      <c r="H216" s="378"/>
      <c r="I216" s="378"/>
      <c r="J216" s="378"/>
      <c r="K216" s="378"/>
      <c r="L216" s="378"/>
      <c r="M216" s="378"/>
      <c r="N216" s="378"/>
      <c r="O216" s="379"/>
      <c r="P216" s="375" t="s">
        <v>40</v>
      </c>
      <c r="Q216" s="376"/>
      <c r="R216" s="376"/>
      <c r="S216" s="376"/>
      <c r="T216" s="376"/>
      <c r="U216" s="376"/>
      <c r="V216" s="377"/>
      <c r="W216" s="42" t="s">
        <v>0</v>
      </c>
      <c r="X216" s="43">
        <f>IFERROR(SUMPRODUCT(X214:X214*H214:H214),"0")</f>
        <v>0</v>
      </c>
      <c r="Y216" s="43">
        <f>IFERROR(SUMPRODUCT(Y214:Y214*H214:H214),"0")</f>
        <v>0</v>
      </c>
      <c r="Z216" s="42"/>
      <c r="AA216" s="67"/>
      <c r="AB216" s="67"/>
      <c r="AC216" s="67"/>
    </row>
    <row r="217" spans="1:68" ht="14.25" customHeight="1" x14ac:dyDescent="0.25">
      <c r="A217" s="363" t="s">
        <v>149</v>
      </c>
      <c r="B217" s="363"/>
      <c r="C217" s="363"/>
      <c r="D217" s="363"/>
      <c r="E217" s="363"/>
      <c r="F217" s="363"/>
      <c r="G217" s="363"/>
      <c r="H217" s="363"/>
      <c r="I217" s="363"/>
      <c r="J217" s="363"/>
      <c r="K217" s="363"/>
      <c r="L217" s="363"/>
      <c r="M217" s="363"/>
      <c r="N217" s="363"/>
      <c r="O217" s="363"/>
      <c r="P217" s="363"/>
      <c r="Q217" s="363"/>
      <c r="R217" s="363"/>
      <c r="S217" s="363"/>
      <c r="T217" s="363"/>
      <c r="U217" s="363"/>
      <c r="V217" s="363"/>
      <c r="W217" s="363"/>
      <c r="X217" s="363"/>
      <c r="Y217" s="363"/>
      <c r="Z217" s="363"/>
      <c r="AA217" s="66"/>
      <c r="AB217" s="66"/>
      <c r="AC217" s="83"/>
    </row>
    <row r="218" spans="1:68" ht="27" customHeight="1" x14ac:dyDescent="0.25">
      <c r="A218" s="63" t="s">
        <v>321</v>
      </c>
      <c r="B218" s="63" t="s">
        <v>322</v>
      </c>
      <c r="C218" s="36">
        <v>4301135834</v>
      </c>
      <c r="D218" s="364">
        <v>4620207491188</v>
      </c>
      <c r="E218" s="364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118</v>
      </c>
      <c r="L218" s="37" t="s">
        <v>88</v>
      </c>
      <c r="M218" s="38" t="s">
        <v>86</v>
      </c>
      <c r="N218" s="38"/>
      <c r="O218" s="37">
        <v>180</v>
      </c>
      <c r="P218" s="44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8" s="366"/>
      <c r="R218" s="366"/>
      <c r="S218" s="366"/>
      <c r="T218" s="367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41" t="s">
        <v>323</v>
      </c>
      <c r="AG218" s="81"/>
      <c r="AJ218" s="87" t="s">
        <v>89</v>
      </c>
      <c r="AK218" s="87">
        <v>1</v>
      </c>
      <c r="BB218" s="242" t="s">
        <v>117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customHeight="1" x14ac:dyDescent="0.25">
      <c r="A219" s="63" t="s">
        <v>324</v>
      </c>
      <c r="B219" s="63" t="s">
        <v>325</v>
      </c>
      <c r="C219" s="36">
        <v>4301135696</v>
      </c>
      <c r="D219" s="364">
        <v>4620207490235</v>
      </c>
      <c r="E219" s="364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118</v>
      </c>
      <c r="L219" s="37" t="s">
        <v>119</v>
      </c>
      <c r="M219" s="38" t="s">
        <v>86</v>
      </c>
      <c r="N219" s="38"/>
      <c r="O219" s="37">
        <v>180</v>
      </c>
      <c r="P219" s="449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9" s="366"/>
      <c r="R219" s="366"/>
      <c r="S219" s="366"/>
      <c r="T219" s="367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3" t="s">
        <v>326</v>
      </c>
      <c r="AG219" s="81"/>
      <c r="AJ219" s="87" t="s">
        <v>120</v>
      </c>
      <c r="AK219" s="87">
        <v>14</v>
      </c>
      <c r="BB219" s="244" t="s">
        <v>117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t="27" customHeight="1" x14ac:dyDescent="0.25">
      <c r="A220" s="63" t="s">
        <v>327</v>
      </c>
      <c r="B220" s="63" t="s">
        <v>328</v>
      </c>
      <c r="C220" s="36">
        <v>4301135697</v>
      </c>
      <c r="D220" s="364">
        <v>4620207490259</v>
      </c>
      <c r="E220" s="364"/>
      <c r="F220" s="62">
        <v>0.2</v>
      </c>
      <c r="G220" s="37">
        <v>12</v>
      </c>
      <c r="H220" s="62">
        <v>2.4</v>
      </c>
      <c r="I220" s="62">
        <v>3.1036000000000001</v>
      </c>
      <c r="J220" s="37">
        <v>70</v>
      </c>
      <c r="K220" s="37" t="s">
        <v>118</v>
      </c>
      <c r="L220" s="37" t="s">
        <v>119</v>
      </c>
      <c r="M220" s="38" t="s">
        <v>86</v>
      </c>
      <c r="N220" s="38"/>
      <c r="O220" s="37">
        <v>180</v>
      </c>
      <c r="P220" s="45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20" s="366"/>
      <c r="R220" s="366"/>
      <c r="S220" s="366"/>
      <c r="T220" s="367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45" t="s">
        <v>329</v>
      </c>
      <c r="AG220" s="81"/>
      <c r="AJ220" s="87" t="s">
        <v>120</v>
      </c>
      <c r="AK220" s="87">
        <v>14</v>
      </c>
      <c r="BB220" s="246" t="s">
        <v>117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378"/>
      <c r="B221" s="378"/>
      <c r="C221" s="378"/>
      <c r="D221" s="378"/>
      <c r="E221" s="378"/>
      <c r="F221" s="378"/>
      <c r="G221" s="378"/>
      <c r="H221" s="378"/>
      <c r="I221" s="378"/>
      <c r="J221" s="378"/>
      <c r="K221" s="378"/>
      <c r="L221" s="378"/>
      <c r="M221" s="378"/>
      <c r="N221" s="378"/>
      <c r="O221" s="379"/>
      <c r="P221" s="375" t="s">
        <v>40</v>
      </c>
      <c r="Q221" s="376"/>
      <c r="R221" s="376"/>
      <c r="S221" s="376"/>
      <c r="T221" s="376"/>
      <c r="U221" s="376"/>
      <c r="V221" s="377"/>
      <c r="W221" s="42" t="s">
        <v>39</v>
      </c>
      <c r="X221" s="43">
        <f>IFERROR(SUM(X218:X220),"0")</f>
        <v>0</v>
      </c>
      <c r="Y221" s="43">
        <f>IFERROR(SUM(Y218:Y220),"0")</f>
        <v>0</v>
      </c>
      <c r="Z221" s="43">
        <f>IFERROR(IF(Z218="",0,Z218),"0")+IFERROR(IF(Z219="",0,Z219),"0")+IFERROR(IF(Z220="",0,Z220),"0")</f>
        <v>0</v>
      </c>
      <c r="AA221" s="67"/>
      <c r="AB221" s="67"/>
      <c r="AC221" s="67"/>
    </row>
    <row r="222" spans="1:68" x14ac:dyDescent="0.2">
      <c r="A222" s="378"/>
      <c r="B222" s="378"/>
      <c r="C222" s="378"/>
      <c r="D222" s="378"/>
      <c r="E222" s="378"/>
      <c r="F222" s="378"/>
      <c r="G222" s="378"/>
      <c r="H222" s="378"/>
      <c r="I222" s="378"/>
      <c r="J222" s="378"/>
      <c r="K222" s="378"/>
      <c r="L222" s="378"/>
      <c r="M222" s="378"/>
      <c r="N222" s="378"/>
      <c r="O222" s="379"/>
      <c r="P222" s="375" t="s">
        <v>40</v>
      </c>
      <c r="Q222" s="376"/>
      <c r="R222" s="376"/>
      <c r="S222" s="376"/>
      <c r="T222" s="376"/>
      <c r="U222" s="376"/>
      <c r="V222" s="377"/>
      <c r="W222" s="42" t="s">
        <v>0</v>
      </c>
      <c r="X222" s="43">
        <f>IFERROR(SUMPRODUCT(X218:X220*H218:H220),"0")</f>
        <v>0</v>
      </c>
      <c r="Y222" s="43">
        <f>IFERROR(SUMPRODUCT(Y218:Y220*H218:H220),"0")</f>
        <v>0</v>
      </c>
      <c r="Z222" s="42"/>
      <c r="AA222" s="67"/>
      <c r="AB222" s="67"/>
      <c r="AC222" s="67"/>
    </row>
    <row r="223" spans="1:68" ht="16.5" customHeight="1" x14ac:dyDescent="0.25">
      <c r="A223" s="362" t="s">
        <v>330</v>
      </c>
      <c r="B223" s="362"/>
      <c r="C223" s="362"/>
      <c r="D223" s="362"/>
      <c r="E223" s="362"/>
      <c r="F223" s="362"/>
      <c r="G223" s="362"/>
      <c r="H223" s="362"/>
      <c r="I223" s="362"/>
      <c r="J223" s="362"/>
      <c r="K223" s="362"/>
      <c r="L223" s="362"/>
      <c r="M223" s="362"/>
      <c r="N223" s="362"/>
      <c r="O223" s="362"/>
      <c r="P223" s="362"/>
      <c r="Q223" s="362"/>
      <c r="R223" s="362"/>
      <c r="S223" s="362"/>
      <c r="T223" s="362"/>
      <c r="U223" s="362"/>
      <c r="V223" s="362"/>
      <c r="W223" s="362"/>
      <c r="X223" s="362"/>
      <c r="Y223" s="362"/>
      <c r="Z223" s="362"/>
      <c r="AA223" s="65"/>
      <c r="AB223" s="65"/>
      <c r="AC223" s="82"/>
    </row>
    <row r="224" spans="1:68" ht="14.25" customHeight="1" x14ac:dyDescent="0.25">
      <c r="A224" s="363" t="s">
        <v>149</v>
      </c>
      <c r="B224" s="363"/>
      <c r="C224" s="363"/>
      <c r="D224" s="363"/>
      <c r="E224" s="363"/>
      <c r="F224" s="363"/>
      <c r="G224" s="363"/>
      <c r="H224" s="363"/>
      <c r="I224" s="363"/>
      <c r="J224" s="363"/>
      <c r="K224" s="363"/>
      <c r="L224" s="363"/>
      <c r="M224" s="363"/>
      <c r="N224" s="363"/>
      <c r="O224" s="363"/>
      <c r="P224" s="363"/>
      <c r="Q224" s="363"/>
      <c r="R224" s="363"/>
      <c r="S224" s="363"/>
      <c r="T224" s="363"/>
      <c r="U224" s="363"/>
      <c r="V224" s="363"/>
      <c r="W224" s="363"/>
      <c r="X224" s="363"/>
      <c r="Y224" s="363"/>
      <c r="Z224" s="363"/>
      <c r="AA224" s="66"/>
      <c r="AB224" s="66"/>
      <c r="AC224" s="83"/>
    </row>
    <row r="225" spans="1:68" ht="27" customHeight="1" x14ac:dyDescent="0.25">
      <c r="A225" s="63" t="s">
        <v>331</v>
      </c>
      <c r="B225" s="63" t="s">
        <v>332</v>
      </c>
      <c r="C225" s="36">
        <v>4301135854</v>
      </c>
      <c r="D225" s="364">
        <v>4620207491706</v>
      </c>
      <c r="E225" s="364"/>
      <c r="F225" s="62">
        <v>0.2</v>
      </c>
      <c r="G225" s="37">
        <v>12</v>
      </c>
      <c r="H225" s="62">
        <v>2.4</v>
      </c>
      <c r="I225" s="62">
        <v>3.1036000000000001</v>
      </c>
      <c r="J225" s="37">
        <v>70</v>
      </c>
      <c r="K225" s="37" t="s">
        <v>118</v>
      </c>
      <c r="L225" s="37" t="s">
        <v>88</v>
      </c>
      <c r="M225" s="38" t="s">
        <v>86</v>
      </c>
      <c r="N225" s="38"/>
      <c r="O225" s="37">
        <v>180</v>
      </c>
      <c r="P225" s="45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5" s="366"/>
      <c r="R225" s="366"/>
      <c r="S225" s="366"/>
      <c r="T225" s="367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IFERROR(IF(X225="","",X225*0.01788),"")</f>
        <v>0</v>
      </c>
      <c r="AA225" s="68" t="s">
        <v>46</v>
      </c>
      <c r="AB225" s="69" t="s">
        <v>46</v>
      </c>
      <c r="AC225" s="247" t="s">
        <v>333</v>
      </c>
      <c r="AG225" s="81"/>
      <c r="AJ225" s="87" t="s">
        <v>89</v>
      </c>
      <c r="AK225" s="87">
        <v>1</v>
      </c>
      <c r="BB225" s="248" t="s">
        <v>117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t="27" customHeight="1" x14ac:dyDescent="0.25">
      <c r="A226" s="63" t="s">
        <v>334</v>
      </c>
      <c r="B226" s="63" t="s">
        <v>335</v>
      </c>
      <c r="C226" s="36">
        <v>4301135895</v>
      </c>
      <c r="D226" s="364">
        <v>4620207491522</v>
      </c>
      <c r="E226" s="364"/>
      <c r="F226" s="62">
        <v>0.28000000000000003</v>
      </c>
      <c r="G226" s="37">
        <v>12</v>
      </c>
      <c r="H226" s="62">
        <v>3.36</v>
      </c>
      <c r="I226" s="62">
        <v>4.0636000000000001</v>
      </c>
      <c r="J226" s="37">
        <v>70</v>
      </c>
      <c r="K226" s="37" t="s">
        <v>118</v>
      </c>
      <c r="L226" s="37" t="s">
        <v>88</v>
      </c>
      <c r="M226" s="38" t="s">
        <v>86</v>
      </c>
      <c r="N226" s="38"/>
      <c r="O226" s="37">
        <v>180</v>
      </c>
      <c r="P226" s="45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6" s="366"/>
      <c r="R226" s="366"/>
      <c r="S226" s="366"/>
      <c r="T226" s="367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IFERROR(IF(X226="","",X226*0.01788),"")</f>
        <v>0</v>
      </c>
      <c r="AA226" s="68" t="s">
        <v>46</v>
      </c>
      <c r="AB226" s="69" t="s">
        <v>46</v>
      </c>
      <c r="AC226" s="249" t="s">
        <v>336</v>
      </c>
      <c r="AG226" s="81"/>
      <c r="AJ226" s="87" t="s">
        <v>89</v>
      </c>
      <c r="AK226" s="87">
        <v>1</v>
      </c>
      <c r="BB226" s="250" t="s">
        <v>117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x14ac:dyDescent="0.2">
      <c r="A227" s="378"/>
      <c r="B227" s="378"/>
      <c r="C227" s="378"/>
      <c r="D227" s="378"/>
      <c r="E227" s="378"/>
      <c r="F227" s="378"/>
      <c r="G227" s="378"/>
      <c r="H227" s="378"/>
      <c r="I227" s="378"/>
      <c r="J227" s="378"/>
      <c r="K227" s="378"/>
      <c r="L227" s="378"/>
      <c r="M227" s="378"/>
      <c r="N227" s="378"/>
      <c r="O227" s="379"/>
      <c r="P227" s="375" t="s">
        <v>40</v>
      </c>
      <c r="Q227" s="376"/>
      <c r="R227" s="376"/>
      <c r="S227" s="376"/>
      <c r="T227" s="376"/>
      <c r="U227" s="376"/>
      <c r="V227" s="377"/>
      <c r="W227" s="42" t="s">
        <v>39</v>
      </c>
      <c r="X227" s="43">
        <f>IFERROR(SUM(X225:X226),"0")</f>
        <v>0</v>
      </c>
      <c r="Y227" s="43">
        <f>IFERROR(SUM(Y225:Y226),"0")</f>
        <v>0</v>
      </c>
      <c r="Z227" s="43">
        <f>IFERROR(IF(Z225="",0,Z225),"0")+IFERROR(IF(Z226="",0,Z226),"0")</f>
        <v>0</v>
      </c>
      <c r="AA227" s="67"/>
      <c r="AB227" s="67"/>
      <c r="AC227" s="67"/>
    </row>
    <row r="228" spans="1:68" x14ac:dyDescent="0.2">
      <c r="A228" s="378"/>
      <c r="B228" s="378"/>
      <c r="C228" s="378"/>
      <c r="D228" s="378"/>
      <c r="E228" s="378"/>
      <c r="F228" s="378"/>
      <c r="G228" s="378"/>
      <c r="H228" s="378"/>
      <c r="I228" s="378"/>
      <c r="J228" s="378"/>
      <c r="K228" s="378"/>
      <c r="L228" s="378"/>
      <c r="M228" s="378"/>
      <c r="N228" s="378"/>
      <c r="O228" s="379"/>
      <c r="P228" s="375" t="s">
        <v>40</v>
      </c>
      <c r="Q228" s="376"/>
      <c r="R228" s="376"/>
      <c r="S228" s="376"/>
      <c r="T228" s="376"/>
      <c r="U228" s="376"/>
      <c r="V228" s="377"/>
      <c r="W228" s="42" t="s">
        <v>0</v>
      </c>
      <c r="X228" s="43">
        <f>IFERROR(SUMPRODUCT(X225:X226*H225:H226),"0")</f>
        <v>0</v>
      </c>
      <c r="Y228" s="43">
        <f>IFERROR(SUMPRODUCT(Y225:Y226*H225:H226),"0")</f>
        <v>0</v>
      </c>
      <c r="Z228" s="42"/>
      <c r="AA228" s="67"/>
      <c r="AB228" s="67"/>
      <c r="AC228" s="67"/>
    </row>
    <row r="229" spans="1:68" ht="16.5" customHeight="1" x14ac:dyDescent="0.25">
      <c r="A229" s="362" t="s">
        <v>337</v>
      </c>
      <c r="B229" s="362"/>
      <c r="C229" s="362"/>
      <c r="D229" s="362"/>
      <c r="E229" s="362"/>
      <c r="F229" s="362"/>
      <c r="G229" s="362"/>
      <c r="H229" s="362"/>
      <c r="I229" s="362"/>
      <c r="J229" s="362"/>
      <c r="K229" s="362"/>
      <c r="L229" s="362"/>
      <c r="M229" s="362"/>
      <c r="N229" s="362"/>
      <c r="O229" s="362"/>
      <c r="P229" s="362"/>
      <c r="Q229" s="362"/>
      <c r="R229" s="362"/>
      <c r="S229" s="362"/>
      <c r="T229" s="362"/>
      <c r="U229" s="362"/>
      <c r="V229" s="362"/>
      <c r="W229" s="362"/>
      <c r="X229" s="362"/>
      <c r="Y229" s="362"/>
      <c r="Z229" s="362"/>
      <c r="AA229" s="65"/>
      <c r="AB229" s="65"/>
      <c r="AC229" s="82"/>
    </row>
    <row r="230" spans="1:68" ht="14.25" customHeight="1" x14ac:dyDescent="0.25">
      <c r="A230" s="363" t="s">
        <v>82</v>
      </c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63"/>
      <c r="P230" s="363"/>
      <c r="Q230" s="363"/>
      <c r="R230" s="363"/>
      <c r="S230" s="363"/>
      <c r="T230" s="363"/>
      <c r="U230" s="363"/>
      <c r="V230" s="363"/>
      <c r="W230" s="363"/>
      <c r="X230" s="363"/>
      <c r="Y230" s="363"/>
      <c r="Z230" s="363"/>
      <c r="AA230" s="66"/>
      <c r="AB230" s="66"/>
      <c r="AC230" s="83"/>
    </row>
    <row r="231" spans="1:68" ht="27" customHeight="1" x14ac:dyDescent="0.25">
      <c r="A231" s="63" t="s">
        <v>338</v>
      </c>
      <c r="B231" s="63" t="s">
        <v>339</v>
      </c>
      <c r="C231" s="36">
        <v>4301071097</v>
      </c>
      <c r="D231" s="364">
        <v>4620207491096</v>
      </c>
      <c r="E231" s="364"/>
      <c r="F231" s="62">
        <v>1</v>
      </c>
      <c r="G231" s="37">
        <v>5</v>
      </c>
      <c r="H231" s="62">
        <v>5</v>
      </c>
      <c r="I231" s="62">
        <v>5.23</v>
      </c>
      <c r="J231" s="37">
        <v>84</v>
      </c>
      <c r="K231" s="37" t="s">
        <v>87</v>
      </c>
      <c r="L231" s="37" t="s">
        <v>119</v>
      </c>
      <c r="M231" s="38" t="s">
        <v>86</v>
      </c>
      <c r="N231" s="38"/>
      <c r="O231" s="37">
        <v>180</v>
      </c>
      <c r="P231" s="45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31" s="366"/>
      <c r="R231" s="366"/>
      <c r="S231" s="366"/>
      <c r="T231" s="367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51" t="s">
        <v>340</v>
      </c>
      <c r="AG231" s="81"/>
      <c r="AJ231" s="87" t="s">
        <v>120</v>
      </c>
      <c r="AK231" s="87">
        <v>12</v>
      </c>
      <c r="BB231" s="252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x14ac:dyDescent="0.2">
      <c r="A232" s="378"/>
      <c r="B232" s="378"/>
      <c r="C232" s="378"/>
      <c r="D232" s="378"/>
      <c r="E232" s="378"/>
      <c r="F232" s="378"/>
      <c r="G232" s="378"/>
      <c r="H232" s="378"/>
      <c r="I232" s="378"/>
      <c r="J232" s="378"/>
      <c r="K232" s="378"/>
      <c r="L232" s="378"/>
      <c r="M232" s="378"/>
      <c r="N232" s="378"/>
      <c r="O232" s="379"/>
      <c r="P232" s="375" t="s">
        <v>40</v>
      </c>
      <c r="Q232" s="376"/>
      <c r="R232" s="376"/>
      <c r="S232" s="376"/>
      <c r="T232" s="376"/>
      <c r="U232" s="376"/>
      <c r="V232" s="377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x14ac:dyDescent="0.2">
      <c r="A233" s="378"/>
      <c r="B233" s="378"/>
      <c r="C233" s="378"/>
      <c r="D233" s="378"/>
      <c r="E233" s="378"/>
      <c r="F233" s="378"/>
      <c r="G233" s="378"/>
      <c r="H233" s="378"/>
      <c r="I233" s="378"/>
      <c r="J233" s="378"/>
      <c r="K233" s="378"/>
      <c r="L233" s="378"/>
      <c r="M233" s="378"/>
      <c r="N233" s="378"/>
      <c r="O233" s="379"/>
      <c r="P233" s="375" t="s">
        <v>40</v>
      </c>
      <c r="Q233" s="376"/>
      <c r="R233" s="376"/>
      <c r="S233" s="376"/>
      <c r="T233" s="376"/>
      <c r="U233" s="376"/>
      <c r="V233" s="377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customHeight="1" x14ac:dyDescent="0.2">
      <c r="A234" s="361" t="s">
        <v>341</v>
      </c>
      <c r="B234" s="361"/>
      <c r="C234" s="361"/>
      <c r="D234" s="361"/>
      <c r="E234" s="361"/>
      <c r="F234" s="361"/>
      <c r="G234" s="361"/>
      <c r="H234" s="361"/>
      <c r="I234" s="361"/>
      <c r="J234" s="361"/>
      <c r="K234" s="361"/>
      <c r="L234" s="361"/>
      <c r="M234" s="361"/>
      <c r="N234" s="361"/>
      <c r="O234" s="361"/>
      <c r="P234" s="361"/>
      <c r="Q234" s="361"/>
      <c r="R234" s="361"/>
      <c r="S234" s="361"/>
      <c r="T234" s="361"/>
      <c r="U234" s="361"/>
      <c r="V234" s="361"/>
      <c r="W234" s="361"/>
      <c r="X234" s="361"/>
      <c r="Y234" s="361"/>
      <c r="Z234" s="361"/>
      <c r="AA234" s="54"/>
      <c r="AB234" s="54"/>
      <c r="AC234" s="54"/>
    </row>
    <row r="235" spans="1:68" ht="16.5" customHeight="1" x14ac:dyDescent="0.25">
      <c r="A235" s="362" t="s">
        <v>342</v>
      </c>
      <c r="B235" s="362"/>
      <c r="C235" s="362"/>
      <c r="D235" s="362"/>
      <c r="E235" s="362"/>
      <c r="F235" s="362"/>
      <c r="G235" s="362"/>
      <c r="H235" s="362"/>
      <c r="I235" s="362"/>
      <c r="J235" s="362"/>
      <c r="K235" s="362"/>
      <c r="L235" s="362"/>
      <c r="M235" s="362"/>
      <c r="N235" s="362"/>
      <c r="O235" s="362"/>
      <c r="P235" s="362"/>
      <c r="Q235" s="362"/>
      <c r="R235" s="362"/>
      <c r="S235" s="362"/>
      <c r="T235" s="362"/>
      <c r="U235" s="362"/>
      <c r="V235" s="362"/>
      <c r="W235" s="362"/>
      <c r="X235" s="362"/>
      <c r="Y235" s="362"/>
      <c r="Z235" s="362"/>
      <c r="AA235" s="65"/>
      <c r="AB235" s="65"/>
      <c r="AC235" s="82"/>
    </row>
    <row r="236" spans="1:68" ht="14.25" customHeight="1" x14ac:dyDescent="0.25">
      <c r="A236" s="363" t="s">
        <v>82</v>
      </c>
      <c r="B236" s="363"/>
      <c r="C236" s="363"/>
      <c r="D236" s="363"/>
      <c r="E236" s="363"/>
      <c r="F236" s="363"/>
      <c r="G236" s="363"/>
      <c r="H236" s="363"/>
      <c r="I236" s="363"/>
      <c r="J236" s="363"/>
      <c r="K236" s="363"/>
      <c r="L236" s="363"/>
      <c r="M236" s="363"/>
      <c r="N236" s="363"/>
      <c r="O236" s="363"/>
      <c r="P236" s="363"/>
      <c r="Q236" s="363"/>
      <c r="R236" s="363"/>
      <c r="S236" s="363"/>
      <c r="T236" s="363"/>
      <c r="U236" s="363"/>
      <c r="V236" s="363"/>
      <c r="W236" s="363"/>
      <c r="X236" s="363"/>
      <c r="Y236" s="363"/>
      <c r="Z236" s="363"/>
      <c r="AA236" s="66"/>
      <c r="AB236" s="66"/>
      <c r="AC236" s="83"/>
    </row>
    <row r="237" spans="1:68" ht="27" customHeight="1" x14ac:dyDescent="0.25">
      <c r="A237" s="63" t="s">
        <v>343</v>
      </c>
      <c r="B237" s="63" t="s">
        <v>344</v>
      </c>
      <c r="C237" s="36">
        <v>4301071036</v>
      </c>
      <c r="D237" s="364">
        <v>4607111036162</v>
      </c>
      <c r="E237" s="364"/>
      <c r="F237" s="62">
        <v>0.8</v>
      </c>
      <c r="G237" s="37">
        <v>8</v>
      </c>
      <c r="H237" s="62">
        <v>6.4</v>
      </c>
      <c r="I237" s="62">
        <v>6.6811999999999996</v>
      </c>
      <c r="J237" s="37">
        <v>84</v>
      </c>
      <c r="K237" s="37" t="s">
        <v>87</v>
      </c>
      <c r="L237" s="37" t="s">
        <v>88</v>
      </c>
      <c r="M237" s="38" t="s">
        <v>86</v>
      </c>
      <c r="N237" s="38"/>
      <c r="O237" s="37">
        <v>90</v>
      </c>
      <c r="P237" s="45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7" s="366"/>
      <c r="R237" s="366"/>
      <c r="S237" s="366"/>
      <c r="T237" s="367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IFERROR(IF(X237="","",X237*0.0155),"")</f>
        <v>0</v>
      </c>
      <c r="AA237" s="68" t="s">
        <v>46</v>
      </c>
      <c r="AB237" s="69" t="s">
        <v>46</v>
      </c>
      <c r="AC237" s="253" t="s">
        <v>345</v>
      </c>
      <c r="AG237" s="81"/>
      <c r="AJ237" s="87" t="s">
        <v>89</v>
      </c>
      <c r="AK237" s="87">
        <v>1</v>
      </c>
      <c r="BB237" s="254" t="s">
        <v>70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378"/>
      <c r="B238" s="378"/>
      <c r="C238" s="378"/>
      <c r="D238" s="378"/>
      <c r="E238" s="378"/>
      <c r="F238" s="378"/>
      <c r="G238" s="378"/>
      <c r="H238" s="378"/>
      <c r="I238" s="378"/>
      <c r="J238" s="378"/>
      <c r="K238" s="378"/>
      <c r="L238" s="378"/>
      <c r="M238" s="378"/>
      <c r="N238" s="378"/>
      <c r="O238" s="379"/>
      <c r="P238" s="375" t="s">
        <v>40</v>
      </c>
      <c r="Q238" s="376"/>
      <c r="R238" s="376"/>
      <c r="S238" s="376"/>
      <c r="T238" s="376"/>
      <c r="U238" s="376"/>
      <c r="V238" s="377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378"/>
      <c r="B239" s="378"/>
      <c r="C239" s="378"/>
      <c r="D239" s="378"/>
      <c r="E239" s="378"/>
      <c r="F239" s="378"/>
      <c r="G239" s="378"/>
      <c r="H239" s="378"/>
      <c r="I239" s="378"/>
      <c r="J239" s="378"/>
      <c r="K239" s="378"/>
      <c r="L239" s="378"/>
      <c r="M239" s="378"/>
      <c r="N239" s="378"/>
      <c r="O239" s="379"/>
      <c r="P239" s="375" t="s">
        <v>40</v>
      </c>
      <c r="Q239" s="376"/>
      <c r="R239" s="376"/>
      <c r="S239" s="376"/>
      <c r="T239" s="376"/>
      <c r="U239" s="376"/>
      <c r="V239" s="377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61" t="s">
        <v>346</v>
      </c>
      <c r="B240" s="361"/>
      <c r="C240" s="361"/>
      <c r="D240" s="361"/>
      <c r="E240" s="361"/>
      <c r="F240" s="361"/>
      <c r="G240" s="361"/>
      <c r="H240" s="361"/>
      <c r="I240" s="361"/>
      <c r="J240" s="361"/>
      <c r="K240" s="361"/>
      <c r="L240" s="361"/>
      <c r="M240" s="361"/>
      <c r="N240" s="361"/>
      <c r="O240" s="361"/>
      <c r="P240" s="361"/>
      <c r="Q240" s="361"/>
      <c r="R240" s="361"/>
      <c r="S240" s="361"/>
      <c r="T240" s="361"/>
      <c r="U240" s="361"/>
      <c r="V240" s="361"/>
      <c r="W240" s="361"/>
      <c r="X240" s="361"/>
      <c r="Y240" s="361"/>
      <c r="Z240" s="361"/>
      <c r="AA240" s="54"/>
      <c r="AB240" s="54"/>
      <c r="AC240" s="54"/>
    </row>
    <row r="241" spans="1:68" ht="16.5" customHeight="1" x14ac:dyDescent="0.25">
      <c r="A241" s="362" t="s">
        <v>347</v>
      </c>
      <c r="B241" s="362"/>
      <c r="C241" s="362"/>
      <c r="D241" s="362"/>
      <c r="E241" s="362"/>
      <c r="F241" s="362"/>
      <c r="G241" s="362"/>
      <c r="H241" s="362"/>
      <c r="I241" s="362"/>
      <c r="J241" s="362"/>
      <c r="K241" s="362"/>
      <c r="L241" s="362"/>
      <c r="M241" s="362"/>
      <c r="N241" s="362"/>
      <c r="O241" s="362"/>
      <c r="P241" s="362"/>
      <c r="Q241" s="362"/>
      <c r="R241" s="362"/>
      <c r="S241" s="362"/>
      <c r="T241" s="362"/>
      <c r="U241" s="362"/>
      <c r="V241" s="362"/>
      <c r="W241" s="362"/>
      <c r="X241" s="362"/>
      <c r="Y241" s="362"/>
      <c r="Z241" s="362"/>
      <c r="AA241" s="65"/>
      <c r="AB241" s="65"/>
      <c r="AC241" s="82"/>
    </row>
    <row r="242" spans="1:68" ht="14.25" customHeight="1" x14ac:dyDescent="0.25">
      <c r="A242" s="363" t="s">
        <v>348</v>
      </c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63"/>
      <c r="P242" s="363"/>
      <c r="Q242" s="363"/>
      <c r="R242" s="363"/>
      <c r="S242" s="363"/>
      <c r="T242" s="363"/>
      <c r="U242" s="363"/>
      <c r="V242" s="363"/>
      <c r="W242" s="363"/>
      <c r="X242" s="363"/>
      <c r="Y242" s="363"/>
      <c r="Z242" s="363"/>
      <c r="AA242" s="66"/>
      <c r="AB242" s="66"/>
      <c r="AC242" s="83"/>
    </row>
    <row r="243" spans="1:68" ht="27" customHeight="1" x14ac:dyDescent="0.25">
      <c r="A243" s="63" t="s">
        <v>349</v>
      </c>
      <c r="B243" s="63" t="s">
        <v>350</v>
      </c>
      <c r="C243" s="36">
        <v>4301133004</v>
      </c>
      <c r="D243" s="364">
        <v>4607111039774</v>
      </c>
      <c r="E243" s="364"/>
      <c r="F243" s="62">
        <v>0.25</v>
      </c>
      <c r="G243" s="37">
        <v>12</v>
      </c>
      <c r="H243" s="62">
        <v>3</v>
      </c>
      <c r="I243" s="62">
        <v>3.22</v>
      </c>
      <c r="J243" s="37">
        <v>70</v>
      </c>
      <c r="K243" s="37" t="s">
        <v>118</v>
      </c>
      <c r="L243" s="37" t="s">
        <v>88</v>
      </c>
      <c r="M243" s="38" t="s">
        <v>86</v>
      </c>
      <c r="N243" s="38"/>
      <c r="O243" s="37">
        <v>180</v>
      </c>
      <c r="P243" s="45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3" s="366"/>
      <c r="R243" s="366"/>
      <c r="S243" s="366"/>
      <c r="T243" s="367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5" t="s">
        <v>351</v>
      </c>
      <c r="AG243" s="81"/>
      <c r="AJ243" s="87" t="s">
        <v>89</v>
      </c>
      <c r="AK243" s="87">
        <v>1</v>
      </c>
      <c r="BB243" s="256" t="s">
        <v>117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378"/>
      <c r="B244" s="378"/>
      <c r="C244" s="378"/>
      <c r="D244" s="378"/>
      <c r="E244" s="378"/>
      <c r="F244" s="378"/>
      <c r="G244" s="378"/>
      <c r="H244" s="378"/>
      <c r="I244" s="378"/>
      <c r="J244" s="378"/>
      <c r="K244" s="378"/>
      <c r="L244" s="378"/>
      <c r="M244" s="378"/>
      <c r="N244" s="378"/>
      <c r="O244" s="379"/>
      <c r="P244" s="375" t="s">
        <v>40</v>
      </c>
      <c r="Q244" s="376"/>
      <c r="R244" s="376"/>
      <c r="S244" s="376"/>
      <c r="T244" s="376"/>
      <c r="U244" s="376"/>
      <c r="V244" s="377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378"/>
      <c r="B245" s="378"/>
      <c r="C245" s="378"/>
      <c r="D245" s="378"/>
      <c r="E245" s="378"/>
      <c r="F245" s="378"/>
      <c r="G245" s="378"/>
      <c r="H245" s="378"/>
      <c r="I245" s="378"/>
      <c r="J245" s="378"/>
      <c r="K245" s="378"/>
      <c r="L245" s="378"/>
      <c r="M245" s="378"/>
      <c r="N245" s="378"/>
      <c r="O245" s="379"/>
      <c r="P245" s="375" t="s">
        <v>40</v>
      </c>
      <c r="Q245" s="376"/>
      <c r="R245" s="376"/>
      <c r="S245" s="376"/>
      <c r="T245" s="376"/>
      <c r="U245" s="376"/>
      <c r="V245" s="377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customHeight="1" x14ac:dyDescent="0.25">
      <c r="A246" s="363" t="s">
        <v>149</v>
      </c>
      <c r="B246" s="363"/>
      <c r="C246" s="363"/>
      <c r="D246" s="363"/>
      <c r="E246" s="363"/>
      <c r="F246" s="363"/>
      <c r="G246" s="363"/>
      <c r="H246" s="363"/>
      <c r="I246" s="363"/>
      <c r="J246" s="363"/>
      <c r="K246" s="363"/>
      <c r="L246" s="363"/>
      <c r="M246" s="363"/>
      <c r="N246" s="363"/>
      <c r="O246" s="363"/>
      <c r="P246" s="363"/>
      <c r="Q246" s="363"/>
      <c r="R246" s="363"/>
      <c r="S246" s="363"/>
      <c r="T246" s="363"/>
      <c r="U246" s="363"/>
      <c r="V246" s="363"/>
      <c r="W246" s="363"/>
      <c r="X246" s="363"/>
      <c r="Y246" s="363"/>
      <c r="Z246" s="363"/>
      <c r="AA246" s="66"/>
      <c r="AB246" s="66"/>
      <c r="AC246" s="83"/>
    </row>
    <row r="247" spans="1:68" ht="37.5" customHeight="1" x14ac:dyDescent="0.25">
      <c r="A247" s="63" t="s">
        <v>352</v>
      </c>
      <c r="B247" s="63" t="s">
        <v>353</v>
      </c>
      <c r="C247" s="36">
        <v>4301135400</v>
      </c>
      <c r="D247" s="364">
        <v>4607111039361</v>
      </c>
      <c r="E247" s="364"/>
      <c r="F247" s="62">
        <v>0.25</v>
      </c>
      <c r="G247" s="37">
        <v>12</v>
      </c>
      <c r="H247" s="62">
        <v>3</v>
      </c>
      <c r="I247" s="62">
        <v>3.7035999999999998</v>
      </c>
      <c r="J247" s="37">
        <v>70</v>
      </c>
      <c r="K247" s="37" t="s">
        <v>118</v>
      </c>
      <c r="L247" s="37" t="s">
        <v>88</v>
      </c>
      <c r="M247" s="38" t="s">
        <v>86</v>
      </c>
      <c r="N247" s="38"/>
      <c r="O247" s="37">
        <v>180</v>
      </c>
      <c r="P247" s="45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7" s="366"/>
      <c r="R247" s="366"/>
      <c r="S247" s="366"/>
      <c r="T247" s="367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IFERROR(IF(X247="","",X247*0.01788),"")</f>
        <v>0</v>
      </c>
      <c r="AA247" s="68" t="s">
        <v>46</v>
      </c>
      <c r="AB247" s="69" t="s">
        <v>46</v>
      </c>
      <c r="AC247" s="257" t="s">
        <v>351</v>
      </c>
      <c r="AG247" s="81"/>
      <c r="AJ247" s="87" t="s">
        <v>89</v>
      </c>
      <c r="AK247" s="87">
        <v>1</v>
      </c>
      <c r="BB247" s="258" t="s">
        <v>117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78"/>
      <c r="B248" s="378"/>
      <c r="C248" s="378"/>
      <c r="D248" s="378"/>
      <c r="E248" s="378"/>
      <c r="F248" s="378"/>
      <c r="G248" s="378"/>
      <c r="H248" s="378"/>
      <c r="I248" s="378"/>
      <c r="J248" s="378"/>
      <c r="K248" s="378"/>
      <c r="L248" s="378"/>
      <c r="M248" s="378"/>
      <c r="N248" s="378"/>
      <c r="O248" s="379"/>
      <c r="P248" s="375" t="s">
        <v>40</v>
      </c>
      <c r="Q248" s="376"/>
      <c r="R248" s="376"/>
      <c r="S248" s="376"/>
      <c r="T248" s="376"/>
      <c r="U248" s="376"/>
      <c r="V248" s="377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378"/>
      <c r="B249" s="378"/>
      <c r="C249" s="378"/>
      <c r="D249" s="378"/>
      <c r="E249" s="378"/>
      <c r="F249" s="378"/>
      <c r="G249" s="378"/>
      <c r="H249" s="378"/>
      <c r="I249" s="378"/>
      <c r="J249" s="378"/>
      <c r="K249" s="378"/>
      <c r="L249" s="378"/>
      <c r="M249" s="378"/>
      <c r="N249" s="378"/>
      <c r="O249" s="379"/>
      <c r="P249" s="375" t="s">
        <v>40</v>
      </c>
      <c r="Q249" s="376"/>
      <c r="R249" s="376"/>
      <c r="S249" s="376"/>
      <c r="T249" s="376"/>
      <c r="U249" s="376"/>
      <c r="V249" s="377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customHeight="1" x14ac:dyDescent="0.2">
      <c r="A250" s="361" t="s">
        <v>354</v>
      </c>
      <c r="B250" s="361"/>
      <c r="C250" s="361"/>
      <c r="D250" s="361"/>
      <c r="E250" s="361"/>
      <c r="F250" s="361"/>
      <c r="G250" s="361"/>
      <c r="H250" s="361"/>
      <c r="I250" s="361"/>
      <c r="J250" s="361"/>
      <c r="K250" s="361"/>
      <c r="L250" s="361"/>
      <c r="M250" s="361"/>
      <c r="N250" s="361"/>
      <c r="O250" s="361"/>
      <c r="P250" s="361"/>
      <c r="Q250" s="361"/>
      <c r="R250" s="361"/>
      <c r="S250" s="361"/>
      <c r="T250" s="361"/>
      <c r="U250" s="361"/>
      <c r="V250" s="361"/>
      <c r="W250" s="361"/>
      <c r="X250" s="361"/>
      <c r="Y250" s="361"/>
      <c r="Z250" s="361"/>
      <c r="AA250" s="54"/>
      <c r="AB250" s="54"/>
      <c r="AC250" s="54"/>
    </row>
    <row r="251" spans="1:68" ht="16.5" customHeight="1" x14ac:dyDescent="0.25">
      <c r="A251" s="362" t="s">
        <v>354</v>
      </c>
      <c r="B251" s="362"/>
      <c r="C251" s="362"/>
      <c r="D251" s="362"/>
      <c r="E251" s="362"/>
      <c r="F251" s="362"/>
      <c r="G251" s="362"/>
      <c r="H251" s="362"/>
      <c r="I251" s="362"/>
      <c r="J251" s="362"/>
      <c r="K251" s="362"/>
      <c r="L251" s="362"/>
      <c r="M251" s="362"/>
      <c r="N251" s="362"/>
      <c r="O251" s="362"/>
      <c r="P251" s="362"/>
      <c r="Q251" s="362"/>
      <c r="R251" s="362"/>
      <c r="S251" s="362"/>
      <c r="T251" s="362"/>
      <c r="U251" s="362"/>
      <c r="V251" s="362"/>
      <c r="W251" s="362"/>
      <c r="X251" s="362"/>
      <c r="Y251" s="362"/>
      <c r="Z251" s="362"/>
      <c r="AA251" s="65"/>
      <c r="AB251" s="65"/>
      <c r="AC251" s="82"/>
    </row>
    <row r="252" spans="1:68" ht="14.25" customHeight="1" x14ac:dyDescent="0.25">
      <c r="A252" s="363" t="s">
        <v>113</v>
      </c>
      <c r="B252" s="363"/>
      <c r="C252" s="363"/>
      <c r="D252" s="363"/>
      <c r="E252" s="363"/>
      <c r="F252" s="363"/>
      <c r="G252" s="363"/>
      <c r="H252" s="363"/>
      <c r="I252" s="363"/>
      <c r="J252" s="363"/>
      <c r="K252" s="363"/>
      <c r="L252" s="363"/>
      <c r="M252" s="363"/>
      <c r="N252" s="363"/>
      <c r="O252" s="363"/>
      <c r="P252" s="363"/>
      <c r="Q252" s="363"/>
      <c r="R252" s="363"/>
      <c r="S252" s="363"/>
      <c r="T252" s="363"/>
      <c r="U252" s="363"/>
      <c r="V252" s="363"/>
      <c r="W252" s="363"/>
      <c r="X252" s="363"/>
      <c r="Y252" s="363"/>
      <c r="Z252" s="363"/>
      <c r="AA252" s="66"/>
      <c r="AB252" s="66"/>
      <c r="AC252" s="83"/>
    </row>
    <row r="253" spans="1:68" ht="27" customHeight="1" x14ac:dyDescent="0.25">
      <c r="A253" s="63" t="s">
        <v>355</v>
      </c>
      <c r="B253" s="63" t="s">
        <v>356</v>
      </c>
      <c r="C253" s="36">
        <v>4301132228</v>
      </c>
      <c r="D253" s="364">
        <v>4640242181950</v>
      </c>
      <c r="E253" s="364"/>
      <c r="F253" s="62">
        <v>0.23</v>
      </c>
      <c r="G253" s="37">
        <v>12</v>
      </c>
      <c r="H253" s="62">
        <v>2.76</v>
      </c>
      <c r="I253" s="62">
        <v>3.22</v>
      </c>
      <c r="J253" s="37">
        <v>70</v>
      </c>
      <c r="K253" s="37" t="s">
        <v>118</v>
      </c>
      <c r="L253" s="37" t="s">
        <v>88</v>
      </c>
      <c r="M253" s="38" t="s">
        <v>86</v>
      </c>
      <c r="N253" s="38"/>
      <c r="O253" s="37">
        <v>365</v>
      </c>
      <c r="P253" s="45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3" s="366"/>
      <c r="R253" s="366"/>
      <c r="S253" s="366"/>
      <c r="T253" s="367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IFERROR(IF(X253="","",X253*0.01788),"")</f>
        <v>0</v>
      </c>
      <c r="AA253" s="68" t="s">
        <v>46</v>
      </c>
      <c r="AB253" s="69" t="s">
        <v>46</v>
      </c>
      <c r="AC253" s="259" t="s">
        <v>357</v>
      </c>
      <c r="AG253" s="81"/>
      <c r="AJ253" s="87" t="s">
        <v>89</v>
      </c>
      <c r="AK253" s="87">
        <v>1</v>
      </c>
      <c r="BB253" s="260" t="s">
        <v>117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x14ac:dyDescent="0.2">
      <c r="A254" s="378"/>
      <c r="B254" s="378"/>
      <c r="C254" s="378"/>
      <c r="D254" s="378"/>
      <c r="E254" s="378"/>
      <c r="F254" s="378"/>
      <c r="G254" s="378"/>
      <c r="H254" s="378"/>
      <c r="I254" s="378"/>
      <c r="J254" s="378"/>
      <c r="K254" s="378"/>
      <c r="L254" s="378"/>
      <c r="M254" s="378"/>
      <c r="N254" s="378"/>
      <c r="O254" s="379"/>
      <c r="P254" s="375" t="s">
        <v>40</v>
      </c>
      <c r="Q254" s="376"/>
      <c r="R254" s="376"/>
      <c r="S254" s="376"/>
      <c r="T254" s="376"/>
      <c r="U254" s="376"/>
      <c r="V254" s="377"/>
      <c r="W254" s="42" t="s">
        <v>39</v>
      </c>
      <c r="X254" s="43">
        <f>IFERROR(SUM(X253:X253),"0")</f>
        <v>0</v>
      </c>
      <c r="Y254" s="43">
        <f>IFERROR(SUM(Y253:Y253),"0")</f>
        <v>0</v>
      </c>
      <c r="Z254" s="43">
        <f>IFERROR(IF(Z253="",0,Z253),"0")</f>
        <v>0</v>
      </c>
      <c r="AA254" s="67"/>
      <c r="AB254" s="67"/>
      <c r="AC254" s="67"/>
    </row>
    <row r="255" spans="1:68" x14ac:dyDescent="0.2">
      <c r="A255" s="378"/>
      <c r="B255" s="378"/>
      <c r="C255" s="378"/>
      <c r="D255" s="378"/>
      <c r="E255" s="378"/>
      <c r="F255" s="378"/>
      <c r="G255" s="378"/>
      <c r="H255" s="378"/>
      <c r="I255" s="378"/>
      <c r="J255" s="378"/>
      <c r="K255" s="378"/>
      <c r="L255" s="378"/>
      <c r="M255" s="378"/>
      <c r="N255" s="378"/>
      <c r="O255" s="379"/>
      <c r="P255" s="375" t="s">
        <v>40</v>
      </c>
      <c r="Q255" s="376"/>
      <c r="R255" s="376"/>
      <c r="S255" s="376"/>
      <c r="T255" s="376"/>
      <c r="U255" s="376"/>
      <c r="V255" s="377"/>
      <c r="W255" s="42" t="s">
        <v>0</v>
      </c>
      <c r="X255" s="43">
        <f>IFERROR(SUMPRODUCT(X253:X253*H253:H253),"0")</f>
        <v>0</v>
      </c>
      <c r="Y255" s="43">
        <f>IFERROR(SUMPRODUCT(Y253:Y253*H253:H253),"0")</f>
        <v>0</v>
      </c>
      <c r="Z255" s="42"/>
      <c r="AA255" s="67"/>
      <c r="AB255" s="67"/>
      <c r="AC255" s="67"/>
    </row>
    <row r="256" spans="1:68" ht="14.25" customHeight="1" x14ac:dyDescent="0.25">
      <c r="A256" s="363" t="s">
        <v>145</v>
      </c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66"/>
      <c r="AB256" s="66"/>
      <c r="AC256" s="83"/>
    </row>
    <row r="257" spans="1:68" ht="27" customHeight="1" x14ac:dyDescent="0.25">
      <c r="A257" s="63" t="s">
        <v>358</v>
      </c>
      <c r="B257" s="63" t="s">
        <v>359</v>
      </c>
      <c r="C257" s="36">
        <v>4301136098</v>
      </c>
      <c r="D257" s="364">
        <v>4640242181943</v>
      </c>
      <c r="E257" s="364"/>
      <c r="F257" s="62">
        <v>0.09</v>
      </c>
      <c r="G257" s="37">
        <v>24</v>
      </c>
      <c r="H257" s="62">
        <v>2.16</v>
      </c>
      <c r="I257" s="62">
        <v>2.34</v>
      </c>
      <c r="J257" s="37">
        <v>126</v>
      </c>
      <c r="K257" s="37" t="s">
        <v>118</v>
      </c>
      <c r="L257" s="37" t="s">
        <v>88</v>
      </c>
      <c r="M257" s="38" t="s">
        <v>86</v>
      </c>
      <c r="N257" s="38"/>
      <c r="O257" s="37">
        <v>180</v>
      </c>
      <c r="P257" s="458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7" s="366"/>
      <c r="R257" s="366"/>
      <c r="S257" s="366"/>
      <c r="T257" s="367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IFERROR(IF(X257="","",X257*0.00936),"")</f>
        <v>0</v>
      </c>
      <c r="AA257" s="68" t="s">
        <v>46</v>
      </c>
      <c r="AB257" s="69" t="s">
        <v>46</v>
      </c>
      <c r="AC257" s="261" t="s">
        <v>360</v>
      </c>
      <c r="AG257" s="81"/>
      <c r="AJ257" s="87" t="s">
        <v>89</v>
      </c>
      <c r="AK257" s="87">
        <v>1</v>
      </c>
      <c r="BB257" s="262" t="s">
        <v>117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x14ac:dyDescent="0.2">
      <c r="A258" s="378"/>
      <c r="B258" s="378"/>
      <c r="C258" s="378"/>
      <c r="D258" s="378"/>
      <c r="E258" s="378"/>
      <c r="F258" s="378"/>
      <c r="G258" s="378"/>
      <c r="H258" s="378"/>
      <c r="I258" s="378"/>
      <c r="J258" s="378"/>
      <c r="K258" s="378"/>
      <c r="L258" s="378"/>
      <c r="M258" s="378"/>
      <c r="N258" s="378"/>
      <c r="O258" s="379"/>
      <c r="P258" s="375" t="s">
        <v>40</v>
      </c>
      <c r="Q258" s="376"/>
      <c r="R258" s="376"/>
      <c r="S258" s="376"/>
      <c r="T258" s="376"/>
      <c r="U258" s="376"/>
      <c r="V258" s="377"/>
      <c r="W258" s="42" t="s">
        <v>39</v>
      </c>
      <c r="X258" s="43">
        <f>IFERROR(SUM(X257:X257),"0")</f>
        <v>0</v>
      </c>
      <c r="Y258" s="43">
        <f>IFERROR(SUM(Y257:Y257),"0")</f>
        <v>0</v>
      </c>
      <c r="Z258" s="43">
        <f>IFERROR(IF(Z257="",0,Z257),"0")</f>
        <v>0</v>
      </c>
      <c r="AA258" s="67"/>
      <c r="AB258" s="67"/>
      <c r="AC258" s="67"/>
    </row>
    <row r="259" spans="1:68" x14ac:dyDescent="0.2">
      <c r="A259" s="378"/>
      <c r="B259" s="378"/>
      <c r="C259" s="378"/>
      <c r="D259" s="378"/>
      <c r="E259" s="378"/>
      <c r="F259" s="378"/>
      <c r="G259" s="378"/>
      <c r="H259" s="378"/>
      <c r="I259" s="378"/>
      <c r="J259" s="378"/>
      <c r="K259" s="378"/>
      <c r="L259" s="378"/>
      <c r="M259" s="378"/>
      <c r="N259" s="378"/>
      <c r="O259" s="379"/>
      <c r="P259" s="375" t="s">
        <v>40</v>
      </c>
      <c r="Q259" s="376"/>
      <c r="R259" s="376"/>
      <c r="S259" s="376"/>
      <c r="T259" s="376"/>
      <c r="U259" s="376"/>
      <c r="V259" s="377"/>
      <c r="W259" s="42" t="s">
        <v>0</v>
      </c>
      <c r="X259" s="43">
        <f>IFERROR(SUMPRODUCT(X257:X257*H257:H257),"0")</f>
        <v>0</v>
      </c>
      <c r="Y259" s="43">
        <f>IFERROR(SUMPRODUCT(Y257:Y257*H257:H257),"0")</f>
        <v>0</v>
      </c>
      <c r="Z259" s="42"/>
      <c r="AA259" s="67"/>
      <c r="AB259" s="67"/>
      <c r="AC259" s="67"/>
    </row>
    <row r="260" spans="1:68" ht="27.75" customHeight="1" x14ac:dyDescent="0.2">
      <c r="A260" s="361" t="s">
        <v>276</v>
      </c>
      <c r="B260" s="361"/>
      <c r="C260" s="361"/>
      <c r="D260" s="361"/>
      <c r="E260" s="361"/>
      <c r="F260" s="361"/>
      <c r="G260" s="361"/>
      <c r="H260" s="361"/>
      <c r="I260" s="361"/>
      <c r="J260" s="361"/>
      <c r="K260" s="361"/>
      <c r="L260" s="361"/>
      <c r="M260" s="361"/>
      <c r="N260" s="361"/>
      <c r="O260" s="361"/>
      <c r="P260" s="361"/>
      <c r="Q260" s="361"/>
      <c r="R260" s="361"/>
      <c r="S260" s="361"/>
      <c r="T260" s="361"/>
      <c r="U260" s="361"/>
      <c r="V260" s="361"/>
      <c r="W260" s="361"/>
      <c r="X260" s="361"/>
      <c r="Y260" s="361"/>
      <c r="Z260" s="361"/>
      <c r="AA260" s="54"/>
      <c r="AB260" s="54"/>
      <c r="AC260" s="54"/>
    </row>
    <row r="261" spans="1:68" ht="16.5" customHeight="1" x14ac:dyDescent="0.25">
      <c r="A261" s="362" t="s">
        <v>276</v>
      </c>
      <c r="B261" s="362"/>
      <c r="C261" s="362"/>
      <c r="D261" s="362"/>
      <c r="E261" s="362"/>
      <c r="F261" s="362"/>
      <c r="G261" s="362"/>
      <c r="H261" s="362"/>
      <c r="I261" s="362"/>
      <c r="J261" s="362"/>
      <c r="K261" s="362"/>
      <c r="L261" s="362"/>
      <c r="M261" s="362"/>
      <c r="N261" s="362"/>
      <c r="O261" s="362"/>
      <c r="P261" s="362"/>
      <c r="Q261" s="362"/>
      <c r="R261" s="362"/>
      <c r="S261" s="362"/>
      <c r="T261" s="362"/>
      <c r="U261" s="362"/>
      <c r="V261" s="362"/>
      <c r="W261" s="362"/>
      <c r="X261" s="362"/>
      <c r="Y261" s="362"/>
      <c r="Z261" s="362"/>
      <c r="AA261" s="65"/>
      <c r="AB261" s="65"/>
      <c r="AC261" s="82"/>
    </row>
    <row r="262" spans="1:68" ht="14.25" customHeight="1" x14ac:dyDescent="0.25">
      <c r="A262" s="363" t="s">
        <v>82</v>
      </c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66"/>
      <c r="AB262" s="66"/>
      <c r="AC262" s="83"/>
    </row>
    <row r="263" spans="1:68" ht="27" customHeight="1" x14ac:dyDescent="0.25">
      <c r="A263" s="63" t="s">
        <v>361</v>
      </c>
      <c r="B263" s="63" t="s">
        <v>362</v>
      </c>
      <c r="C263" s="36">
        <v>4301071014</v>
      </c>
      <c r="D263" s="364">
        <v>4640242181264</v>
      </c>
      <c r="E263" s="364"/>
      <c r="F263" s="62">
        <v>0.7</v>
      </c>
      <c r="G263" s="37">
        <v>10</v>
      </c>
      <c r="H263" s="62">
        <v>7</v>
      </c>
      <c r="I263" s="62">
        <v>7.28</v>
      </c>
      <c r="J263" s="37">
        <v>84</v>
      </c>
      <c r="K263" s="37" t="s">
        <v>87</v>
      </c>
      <c r="L263" s="37" t="s">
        <v>88</v>
      </c>
      <c r="M263" s="38" t="s">
        <v>86</v>
      </c>
      <c r="N263" s="38"/>
      <c r="O263" s="37">
        <v>180</v>
      </c>
      <c r="P263" s="45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63" s="366"/>
      <c r="R263" s="366"/>
      <c r="S263" s="366"/>
      <c r="T263" s="367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3" t="s">
        <v>363</v>
      </c>
      <c r="AG263" s="81"/>
      <c r="AJ263" s="87" t="s">
        <v>89</v>
      </c>
      <c r="AK263" s="87">
        <v>1</v>
      </c>
      <c r="BB263" s="264" t="s">
        <v>70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customHeight="1" x14ac:dyDescent="0.25">
      <c r="A264" s="63" t="s">
        <v>364</v>
      </c>
      <c r="B264" s="63" t="s">
        <v>365</v>
      </c>
      <c r="C264" s="36">
        <v>4301071141</v>
      </c>
      <c r="D264" s="364">
        <v>4620207491980</v>
      </c>
      <c r="E264" s="364"/>
      <c r="F264" s="62">
        <v>0.7</v>
      </c>
      <c r="G264" s="37">
        <v>10</v>
      </c>
      <c r="H264" s="62">
        <v>7</v>
      </c>
      <c r="I264" s="62">
        <v>7.28</v>
      </c>
      <c r="J264" s="37">
        <v>84</v>
      </c>
      <c r="K264" s="37" t="s">
        <v>87</v>
      </c>
      <c r="L264" s="37" t="s">
        <v>88</v>
      </c>
      <c r="M264" s="38" t="s">
        <v>86</v>
      </c>
      <c r="N264" s="38"/>
      <c r="O264" s="37">
        <v>180</v>
      </c>
      <c r="P264" s="460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4" s="366"/>
      <c r="R264" s="366"/>
      <c r="S264" s="366"/>
      <c r="T264" s="367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5" t="s">
        <v>366</v>
      </c>
      <c r="AG264" s="81"/>
      <c r="AJ264" s="87" t="s">
        <v>89</v>
      </c>
      <c r="AK264" s="87">
        <v>1</v>
      </c>
      <c r="BB264" s="266" t="s">
        <v>70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x14ac:dyDescent="0.2">
      <c r="A265" s="378"/>
      <c r="B265" s="378"/>
      <c r="C265" s="378"/>
      <c r="D265" s="378"/>
      <c r="E265" s="378"/>
      <c r="F265" s="378"/>
      <c r="G265" s="378"/>
      <c r="H265" s="378"/>
      <c r="I265" s="378"/>
      <c r="J265" s="378"/>
      <c r="K265" s="378"/>
      <c r="L265" s="378"/>
      <c r="M265" s="378"/>
      <c r="N265" s="378"/>
      <c r="O265" s="379"/>
      <c r="P265" s="375" t="s">
        <v>40</v>
      </c>
      <c r="Q265" s="376"/>
      <c r="R265" s="376"/>
      <c r="S265" s="376"/>
      <c r="T265" s="376"/>
      <c r="U265" s="376"/>
      <c r="V265" s="377"/>
      <c r="W265" s="42" t="s">
        <v>39</v>
      </c>
      <c r="X265" s="43">
        <f>IFERROR(SUM(X263:X264),"0")</f>
        <v>0</v>
      </c>
      <c r="Y265" s="43">
        <f>IFERROR(SUM(Y263:Y264),"0")</f>
        <v>0</v>
      </c>
      <c r="Z265" s="43">
        <f>IFERROR(IF(Z263="",0,Z263),"0")+IFERROR(IF(Z264="",0,Z264),"0")</f>
        <v>0</v>
      </c>
      <c r="AA265" s="67"/>
      <c r="AB265" s="67"/>
      <c r="AC265" s="67"/>
    </row>
    <row r="266" spans="1:68" x14ac:dyDescent="0.2">
      <c r="A266" s="378"/>
      <c r="B266" s="378"/>
      <c r="C266" s="378"/>
      <c r="D266" s="378"/>
      <c r="E266" s="378"/>
      <c r="F266" s="378"/>
      <c r="G266" s="378"/>
      <c r="H266" s="378"/>
      <c r="I266" s="378"/>
      <c r="J266" s="378"/>
      <c r="K266" s="378"/>
      <c r="L266" s="378"/>
      <c r="M266" s="378"/>
      <c r="N266" s="378"/>
      <c r="O266" s="379"/>
      <c r="P266" s="375" t="s">
        <v>40</v>
      </c>
      <c r="Q266" s="376"/>
      <c r="R266" s="376"/>
      <c r="S266" s="376"/>
      <c r="T266" s="376"/>
      <c r="U266" s="376"/>
      <c r="V266" s="377"/>
      <c r="W266" s="42" t="s">
        <v>0</v>
      </c>
      <c r="X266" s="43">
        <f>IFERROR(SUMPRODUCT(X263:X264*H263:H264),"0")</f>
        <v>0</v>
      </c>
      <c r="Y266" s="43">
        <f>IFERROR(SUMPRODUCT(Y263:Y264*H263:H264),"0")</f>
        <v>0</v>
      </c>
      <c r="Z266" s="42"/>
      <c r="AA266" s="67"/>
      <c r="AB266" s="67"/>
      <c r="AC266" s="67"/>
    </row>
    <row r="267" spans="1:68" ht="14.25" customHeight="1" x14ac:dyDescent="0.25">
      <c r="A267" s="363" t="s">
        <v>145</v>
      </c>
      <c r="B267" s="363"/>
      <c r="C267" s="363"/>
      <c r="D267" s="363"/>
      <c r="E267" s="363"/>
      <c r="F267" s="363"/>
      <c r="G267" s="363"/>
      <c r="H267" s="363"/>
      <c r="I267" s="363"/>
      <c r="J267" s="363"/>
      <c r="K267" s="363"/>
      <c r="L267" s="363"/>
      <c r="M267" s="363"/>
      <c r="N267" s="363"/>
      <c r="O267" s="363"/>
      <c r="P267" s="363"/>
      <c r="Q267" s="363"/>
      <c r="R267" s="363"/>
      <c r="S267" s="363"/>
      <c r="T267" s="363"/>
      <c r="U267" s="363"/>
      <c r="V267" s="363"/>
      <c r="W267" s="363"/>
      <c r="X267" s="363"/>
      <c r="Y267" s="363"/>
      <c r="Z267" s="363"/>
      <c r="AA267" s="66"/>
      <c r="AB267" s="66"/>
      <c r="AC267" s="83"/>
    </row>
    <row r="268" spans="1:68" ht="27" customHeight="1" x14ac:dyDescent="0.25">
      <c r="A268" s="63" t="s">
        <v>367</v>
      </c>
      <c r="B268" s="63" t="s">
        <v>368</v>
      </c>
      <c r="C268" s="36">
        <v>4301136116</v>
      </c>
      <c r="D268" s="364">
        <v>4620207492147</v>
      </c>
      <c r="E268" s="364"/>
      <c r="F268" s="62">
        <v>2.7</v>
      </c>
      <c r="G268" s="37">
        <v>1</v>
      </c>
      <c r="H268" s="62">
        <v>2.7</v>
      </c>
      <c r="I268" s="62">
        <v>2.8906000000000001</v>
      </c>
      <c r="J268" s="37">
        <v>126</v>
      </c>
      <c r="K268" s="37" t="s">
        <v>118</v>
      </c>
      <c r="L268" s="37" t="s">
        <v>88</v>
      </c>
      <c r="M268" s="38" t="s">
        <v>86</v>
      </c>
      <c r="N268" s="38"/>
      <c r="O268" s="37">
        <v>180</v>
      </c>
      <c r="P268" s="461" t="s">
        <v>369</v>
      </c>
      <c r="Q268" s="366"/>
      <c r="R268" s="366"/>
      <c r="S268" s="366"/>
      <c r="T268" s="367"/>
      <c r="U268" s="39" t="s">
        <v>46</v>
      </c>
      <c r="V268" s="39" t="s">
        <v>46</v>
      </c>
      <c r="W268" s="40" t="s">
        <v>39</v>
      </c>
      <c r="X268" s="58">
        <v>0</v>
      </c>
      <c r="Y268" s="55">
        <f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195</v>
      </c>
      <c r="AG268" s="81"/>
      <c r="AJ268" s="87" t="s">
        <v>89</v>
      </c>
      <c r="AK268" s="87">
        <v>1</v>
      </c>
      <c r="BB268" s="268" t="s">
        <v>117</v>
      </c>
      <c r="BM268" s="81">
        <f>IFERROR(X268*I268,"0")</f>
        <v>0</v>
      </c>
      <c r="BN268" s="81">
        <f>IFERROR(Y268*I268,"0")</f>
        <v>0</v>
      </c>
      <c r="BO268" s="81">
        <f>IFERROR(X268/J268,"0")</f>
        <v>0</v>
      </c>
      <c r="BP268" s="81">
        <f>IFERROR(Y268/J268,"0")</f>
        <v>0</v>
      </c>
    </row>
    <row r="269" spans="1:68" ht="27" customHeight="1" x14ac:dyDescent="0.25">
      <c r="A269" s="63" t="s">
        <v>370</v>
      </c>
      <c r="B269" s="63" t="s">
        <v>371</v>
      </c>
      <c r="C269" s="36">
        <v>4301136112</v>
      </c>
      <c r="D269" s="364">
        <v>4620207492154</v>
      </c>
      <c r="E269" s="364"/>
      <c r="F269" s="62">
        <v>5</v>
      </c>
      <c r="G269" s="37">
        <v>1</v>
      </c>
      <c r="H269" s="62">
        <v>5</v>
      </c>
      <c r="I269" s="62">
        <v>5.2350000000000003</v>
      </c>
      <c r="J269" s="37">
        <v>84</v>
      </c>
      <c r="K269" s="37" t="s">
        <v>87</v>
      </c>
      <c r="L269" s="37" t="s">
        <v>88</v>
      </c>
      <c r="M269" s="38" t="s">
        <v>86</v>
      </c>
      <c r="N269" s="38"/>
      <c r="O269" s="37">
        <v>180</v>
      </c>
      <c r="P269" s="462" t="s">
        <v>372</v>
      </c>
      <c r="Q269" s="366"/>
      <c r="R269" s="366"/>
      <c r="S269" s="366"/>
      <c r="T269" s="367"/>
      <c r="U269" s="39" t="s">
        <v>46</v>
      </c>
      <c r="V269" s="39" t="s">
        <v>46</v>
      </c>
      <c r="W269" s="40" t="s">
        <v>39</v>
      </c>
      <c r="X269" s="58">
        <v>0</v>
      </c>
      <c r="Y269" s="55">
        <f>IFERROR(IF(X269="","",X269),"")</f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9" t="s">
        <v>195</v>
      </c>
      <c r="AG269" s="81"/>
      <c r="AJ269" s="87" t="s">
        <v>89</v>
      </c>
      <c r="AK269" s="87">
        <v>1</v>
      </c>
      <c r="BB269" s="270" t="s">
        <v>117</v>
      </c>
      <c r="BM269" s="81">
        <f>IFERROR(X269*I269,"0")</f>
        <v>0</v>
      </c>
      <c r="BN269" s="81">
        <f>IFERROR(Y269*I269,"0")</f>
        <v>0</v>
      </c>
      <c r="BO269" s="81">
        <f>IFERROR(X269/J269,"0")</f>
        <v>0</v>
      </c>
      <c r="BP269" s="81">
        <f>IFERROR(Y269/J269,"0")</f>
        <v>0</v>
      </c>
    </row>
    <row r="270" spans="1:68" ht="27" customHeight="1" x14ac:dyDescent="0.25">
      <c r="A270" s="63" t="s">
        <v>373</v>
      </c>
      <c r="B270" s="63" t="s">
        <v>374</v>
      </c>
      <c r="C270" s="36">
        <v>4301136114</v>
      </c>
      <c r="D270" s="364">
        <v>4620207492086</v>
      </c>
      <c r="E270" s="364"/>
      <c r="F270" s="62">
        <v>2.2400000000000002</v>
      </c>
      <c r="G270" s="37">
        <v>1</v>
      </c>
      <c r="H270" s="62">
        <v>2.2400000000000002</v>
      </c>
      <c r="I270" s="62">
        <v>2.4319999999999999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463" t="s">
        <v>375</v>
      </c>
      <c r="Q270" s="366"/>
      <c r="R270" s="366"/>
      <c r="S270" s="366"/>
      <c r="T270" s="367"/>
      <c r="U270" s="39" t="s">
        <v>46</v>
      </c>
      <c r="V270" s="39" t="s">
        <v>46</v>
      </c>
      <c r="W270" s="40" t="s">
        <v>39</v>
      </c>
      <c r="X270" s="58">
        <v>0</v>
      </c>
      <c r="Y270" s="55">
        <f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195</v>
      </c>
      <c r="AG270" s="81"/>
      <c r="AJ270" s="87" t="s">
        <v>89</v>
      </c>
      <c r="AK270" s="87">
        <v>1</v>
      </c>
      <c r="BB270" s="272" t="s">
        <v>117</v>
      </c>
      <c r="BM270" s="81">
        <f>IFERROR(X270*I270,"0")</f>
        <v>0</v>
      </c>
      <c r="BN270" s="81">
        <f>IFERROR(Y270*I270,"0")</f>
        <v>0</v>
      </c>
      <c r="BO270" s="81">
        <f>IFERROR(X270/J270,"0")</f>
        <v>0</v>
      </c>
      <c r="BP270" s="81">
        <f>IFERROR(Y270/J270,"0")</f>
        <v>0</v>
      </c>
    </row>
    <row r="271" spans="1:68" x14ac:dyDescent="0.2">
      <c r="A271" s="378"/>
      <c r="B271" s="378"/>
      <c r="C271" s="378"/>
      <c r="D271" s="378"/>
      <c r="E271" s="378"/>
      <c r="F271" s="378"/>
      <c r="G271" s="378"/>
      <c r="H271" s="378"/>
      <c r="I271" s="378"/>
      <c r="J271" s="378"/>
      <c r="K271" s="378"/>
      <c r="L271" s="378"/>
      <c r="M271" s="378"/>
      <c r="N271" s="378"/>
      <c r="O271" s="379"/>
      <c r="P271" s="375" t="s">
        <v>40</v>
      </c>
      <c r="Q271" s="376"/>
      <c r="R271" s="376"/>
      <c r="S271" s="376"/>
      <c r="T271" s="376"/>
      <c r="U271" s="376"/>
      <c r="V271" s="377"/>
      <c r="W271" s="42" t="s">
        <v>39</v>
      </c>
      <c r="X271" s="43">
        <f>IFERROR(SUM(X268:X270),"0")</f>
        <v>0</v>
      </c>
      <c r="Y271" s="43">
        <f>IFERROR(SUM(Y268:Y270),"0")</f>
        <v>0</v>
      </c>
      <c r="Z271" s="43">
        <f>IFERROR(IF(Z268="",0,Z268),"0")+IFERROR(IF(Z269="",0,Z269),"0")+IFERROR(IF(Z270="",0,Z270),"0")</f>
        <v>0</v>
      </c>
      <c r="AA271" s="67"/>
      <c r="AB271" s="67"/>
      <c r="AC271" s="67"/>
    </row>
    <row r="272" spans="1:68" x14ac:dyDescent="0.2">
      <c r="A272" s="378"/>
      <c r="B272" s="378"/>
      <c r="C272" s="378"/>
      <c r="D272" s="378"/>
      <c r="E272" s="378"/>
      <c r="F272" s="378"/>
      <c r="G272" s="378"/>
      <c r="H272" s="378"/>
      <c r="I272" s="378"/>
      <c r="J272" s="378"/>
      <c r="K272" s="378"/>
      <c r="L272" s="378"/>
      <c r="M272" s="378"/>
      <c r="N272" s="378"/>
      <c r="O272" s="379"/>
      <c r="P272" s="375" t="s">
        <v>40</v>
      </c>
      <c r="Q272" s="376"/>
      <c r="R272" s="376"/>
      <c r="S272" s="376"/>
      <c r="T272" s="376"/>
      <c r="U272" s="376"/>
      <c r="V272" s="377"/>
      <c r="W272" s="42" t="s">
        <v>0</v>
      </c>
      <c r="X272" s="43">
        <f>IFERROR(SUMPRODUCT(X268:X270*H268:H270),"0")</f>
        <v>0</v>
      </c>
      <c r="Y272" s="43">
        <f>IFERROR(SUMPRODUCT(Y268:Y270*H268:H270),"0")</f>
        <v>0</v>
      </c>
      <c r="Z272" s="42"/>
      <c r="AA272" s="67"/>
      <c r="AB272" s="67"/>
      <c r="AC272" s="67"/>
    </row>
    <row r="273" spans="1:68" ht="14.25" customHeight="1" x14ac:dyDescent="0.25">
      <c r="A273" s="363" t="s">
        <v>149</v>
      </c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63"/>
      <c r="P273" s="363"/>
      <c r="Q273" s="363"/>
      <c r="R273" s="363"/>
      <c r="S273" s="363"/>
      <c r="T273" s="363"/>
      <c r="U273" s="363"/>
      <c r="V273" s="363"/>
      <c r="W273" s="363"/>
      <c r="X273" s="363"/>
      <c r="Y273" s="363"/>
      <c r="Z273" s="363"/>
      <c r="AA273" s="66"/>
      <c r="AB273" s="66"/>
      <c r="AC273" s="83"/>
    </row>
    <row r="274" spans="1:68" ht="37.5" customHeight="1" x14ac:dyDescent="0.25">
      <c r="A274" s="63" t="s">
        <v>376</v>
      </c>
      <c r="B274" s="63" t="s">
        <v>377</v>
      </c>
      <c r="C274" s="36">
        <v>4301137068</v>
      </c>
      <c r="D274" s="364">
        <v>4620207492161</v>
      </c>
      <c r="E274" s="364"/>
      <c r="F274" s="62">
        <v>3</v>
      </c>
      <c r="G274" s="37">
        <v>1</v>
      </c>
      <c r="H274" s="62">
        <v>3</v>
      </c>
      <c r="I274" s="62">
        <v>3.1920000000000002</v>
      </c>
      <c r="J274" s="37">
        <v>126</v>
      </c>
      <c r="K274" s="37" t="s">
        <v>118</v>
      </c>
      <c r="L274" s="37" t="s">
        <v>88</v>
      </c>
      <c r="M274" s="38" t="s">
        <v>86</v>
      </c>
      <c r="N274" s="38"/>
      <c r="O274" s="37">
        <v>180</v>
      </c>
      <c r="P274" s="464" t="s">
        <v>378</v>
      </c>
      <c r="Q274" s="366"/>
      <c r="R274" s="366"/>
      <c r="S274" s="366"/>
      <c r="T274" s="367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ref="Y274:Y283" si="18">IFERROR(IF(X274="","",X274),"")</f>
        <v>0</v>
      </c>
      <c r="Z274" s="41">
        <f>IFERROR(IF(X274="","",X274*0.00936),"")</f>
        <v>0</v>
      </c>
      <c r="AA274" s="68" t="s">
        <v>46</v>
      </c>
      <c r="AB274" s="69" t="s">
        <v>46</v>
      </c>
      <c r="AC274" s="273" t="s">
        <v>379</v>
      </c>
      <c r="AG274" s="81"/>
      <c r="AJ274" s="87" t="s">
        <v>89</v>
      </c>
      <c r="AK274" s="87">
        <v>1</v>
      </c>
      <c r="BB274" s="274" t="s">
        <v>117</v>
      </c>
      <c r="BM274" s="81">
        <f t="shared" ref="BM274:BM283" si="19">IFERROR(X274*I274,"0")</f>
        <v>0</v>
      </c>
      <c r="BN274" s="81">
        <f t="shared" ref="BN274:BN283" si="20">IFERROR(Y274*I274,"0")</f>
        <v>0</v>
      </c>
      <c r="BO274" s="81">
        <f t="shared" ref="BO274:BO283" si="21">IFERROR(X274/J274,"0")</f>
        <v>0</v>
      </c>
      <c r="BP274" s="81">
        <f t="shared" ref="BP274:BP283" si="22">IFERROR(Y274/J274,"0")</f>
        <v>0</v>
      </c>
    </row>
    <row r="275" spans="1:68" ht="27" customHeight="1" x14ac:dyDescent="0.25">
      <c r="A275" s="63" t="s">
        <v>380</v>
      </c>
      <c r="B275" s="63" t="s">
        <v>381</v>
      </c>
      <c r="C275" s="36">
        <v>4301137046</v>
      </c>
      <c r="D275" s="364">
        <v>4620207492093</v>
      </c>
      <c r="E275" s="364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88</v>
      </c>
      <c r="M275" s="38" t="s">
        <v>86</v>
      </c>
      <c r="N275" s="38"/>
      <c r="O275" s="37">
        <v>180</v>
      </c>
      <c r="P275" s="465" t="s">
        <v>382</v>
      </c>
      <c r="Q275" s="366"/>
      <c r="R275" s="366"/>
      <c r="S275" s="366"/>
      <c r="T275" s="367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>IFERROR(IF(X275="","",X275*0.00936),"")</f>
        <v>0</v>
      </c>
      <c r="AA275" s="68" t="s">
        <v>46</v>
      </c>
      <c r="AB275" s="69" t="s">
        <v>46</v>
      </c>
      <c r="AC275" s="275" t="s">
        <v>291</v>
      </c>
      <c r="AG275" s="81"/>
      <c r="AJ275" s="87" t="s">
        <v>89</v>
      </c>
      <c r="AK275" s="87">
        <v>1</v>
      </c>
      <c r="BB275" s="276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383</v>
      </c>
      <c r="B276" s="63" t="s">
        <v>384</v>
      </c>
      <c r="C276" s="36">
        <v>4301137066</v>
      </c>
      <c r="D276" s="364">
        <v>4620207492109</v>
      </c>
      <c r="E276" s="364"/>
      <c r="F276" s="62">
        <v>5.5</v>
      </c>
      <c r="G276" s="37">
        <v>1</v>
      </c>
      <c r="H276" s="62">
        <v>5.5</v>
      </c>
      <c r="I276" s="62">
        <v>5.7350000000000003</v>
      </c>
      <c r="J276" s="37">
        <v>84</v>
      </c>
      <c r="K276" s="37" t="s">
        <v>87</v>
      </c>
      <c r="L276" s="37" t="s">
        <v>88</v>
      </c>
      <c r="M276" s="38" t="s">
        <v>86</v>
      </c>
      <c r="N276" s="38"/>
      <c r="O276" s="37">
        <v>180</v>
      </c>
      <c r="P276" s="466" t="s">
        <v>385</v>
      </c>
      <c r="Q276" s="366"/>
      <c r="R276" s="366"/>
      <c r="S276" s="366"/>
      <c r="T276" s="367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>IFERROR(IF(X276="","",X276*0.0155),"")</f>
        <v>0</v>
      </c>
      <c r="AA276" s="68" t="s">
        <v>46</v>
      </c>
      <c r="AB276" s="69" t="s">
        <v>46</v>
      </c>
      <c r="AC276" s="277" t="s">
        <v>285</v>
      </c>
      <c r="AG276" s="81"/>
      <c r="AJ276" s="87" t="s">
        <v>89</v>
      </c>
      <c r="AK276" s="87">
        <v>1</v>
      </c>
      <c r="BB276" s="278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386</v>
      </c>
      <c r="B277" s="63" t="s">
        <v>387</v>
      </c>
      <c r="C277" s="36">
        <v>4301137074</v>
      </c>
      <c r="D277" s="364">
        <v>4620207492116</v>
      </c>
      <c r="E277" s="364"/>
      <c r="F277" s="62">
        <v>3</v>
      </c>
      <c r="G277" s="37">
        <v>1</v>
      </c>
      <c r="H277" s="62">
        <v>3</v>
      </c>
      <c r="I277" s="62">
        <v>3.1920000000000002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467" t="s">
        <v>388</v>
      </c>
      <c r="Q277" s="366"/>
      <c r="R277" s="366"/>
      <c r="S277" s="366"/>
      <c r="T277" s="367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ref="Z277:Z283" si="23">IFERROR(IF(X277="","",X277*0.00936),"")</f>
        <v>0</v>
      </c>
      <c r="AA277" s="68" t="s">
        <v>46</v>
      </c>
      <c r="AB277" s="69" t="s">
        <v>46</v>
      </c>
      <c r="AC277" s="279" t="s">
        <v>285</v>
      </c>
      <c r="AG277" s="81"/>
      <c r="AJ277" s="87" t="s">
        <v>89</v>
      </c>
      <c r="AK277" s="87">
        <v>1</v>
      </c>
      <c r="BB277" s="280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customHeight="1" x14ac:dyDescent="0.25">
      <c r="A278" s="63" t="s">
        <v>389</v>
      </c>
      <c r="B278" s="63" t="s">
        <v>390</v>
      </c>
      <c r="C278" s="36">
        <v>4301135375</v>
      </c>
      <c r="D278" s="364">
        <v>4640242181486</v>
      </c>
      <c r="E278" s="364"/>
      <c r="F278" s="62">
        <v>3.7</v>
      </c>
      <c r="G278" s="37">
        <v>1</v>
      </c>
      <c r="H278" s="62">
        <v>3.7</v>
      </c>
      <c r="I278" s="62">
        <v>3.8919999999999999</v>
      </c>
      <c r="J278" s="37">
        <v>126</v>
      </c>
      <c r="K278" s="37" t="s">
        <v>118</v>
      </c>
      <c r="L278" s="37" t="s">
        <v>119</v>
      </c>
      <c r="M278" s="38" t="s">
        <v>86</v>
      </c>
      <c r="N278" s="38"/>
      <c r="O278" s="37">
        <v>180</v>
      </c>
      <c r="P278" s="46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8" s="366"/>
      <c r="R278" s="366"/>
      <c r="S278" s="366"/>
      <c r="T278" s="367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1" t="s">
        <v>391</v>
      </c>
      <c r="AG278" s="81"/>
      <c r="AJ278" s="87" t="s">
        <v>120</v>
      </c>
      <c r="AK278" s="87">
        <v>14</v>
      </c>
      <c r="BB278" s="282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37.5" customHeight="1" x14ac:dyDescent="0.25">
      <c r="A279" s="63" t="s">
        <v>392</v>
      </c>
      <c r="B279" s="63" t="s">
        <v>393</v>
      </c>
      <c r="C279" s="36">
        <v>4301135402</v>
      </c>
      <c r="D279" s="364">
        <v>4640242181493</v>
      </c>
      <c r="E279" s="364"/>
      <c r="F279" s="62">
        <v>3.7</v>
      </c>
      <c r="G279" s="37">
        <v>1</v>
      </c>
      <c r="H279" s="62">
        <v>3.7</v>
      </c>
      <c r="I279" s="62">
        <v>3.8919999999999999</v>
      </c>
      <c r="J279" s="37">
        <v>126</v>
      </c>
      <c r="K279" s="37" t="s">
        <v>118</v>
      </c>
      <c r="L279" s="37" t="s">
        <v>88</v>
      </c>
      <c r="M279" s="38" t="s">
        <v>86</v>
      </c>
      <c r="N279" s="38"/>
      <c r="O279" s="37">
        <v>180</v>
      </c>
      <c r="P279" s="46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9" s="366"/>
      <c r="R279" s="366"/>
      <c r="S279" s="366"/>
      <c r="T279" s="367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 t="shared" si="23"/>
        <v>0</v>
      </c>
      <c r="AA279" s="68" t="s">
        <v>46</v>
      </c>
      <c r="AB279" s="69" t="s">
        <v>46</v>
      </c>
      <c r="AC279" s="283" t="s">
        <v>391</v>
      </c>
      <c r="AG279" s="81"/>
      <c r="AJ279" s="87" t="s">
        <v>89</v>
      </c>
      <c r="AK279" s="87">
        <v>1</v>
      </c>
      <c r="BB279" s="284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t="37.5" customHeight="1" x14ac:dyDescent="0.25">
      <c r="A280" s="63" t="s">
        <v>394</v>
      </c>
      <c r="B280" s="63" t="s">
        <v>395</v>
      </c>
      <c r="C280" s="36">
        <v>4301135403</v>
      </c>
      <c r="D280" s="364">
        <v>4640242181509</v>
      </c>
      <c r="E280" s="364"/>
      <c r="F280" s="62">
        <v>3.7</v>
      </c>
      <c r="G280" s="37">
        <v>1</v>
      </c>
      <c r="H280" s="62">
        <v>3.7</v>
      </c>
      <c r="I280" s="62">
        <v>3.8919999999999999</v>
      </c>
      <c r="J280" s="37">
        <v>126</v>
      </c>
      <c r="K280" s="37" t="s">
        <v>118</v>
      </c>
      <c r="L280" s="37" t="s">
        <v>88</v>
      </c>
      <c r="M280" s="38" t="s">
        <v>86</v>
      </c>
      <c r="N280" s="38"/>
      <c r="O280" s="37">
        <v>180</v>
      </c>
      <c r="P280" s="47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80" s="366"/>
      <c r="R280" s="366"/>
      <c r="S280" s="366"/>
      <c r="T280" s="367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si="18"/>
        <v>0</v>
      </c>
      <c r="Z280" s="41">
        <f t="shared" si="23"/>
        <v>0</v>
      </c>
      <c r="AA280" s="68" t="s">
        <v>46</v>
      </c>
      <c r="AB280" s="69" t="s">
        <v>46</v>
      </c>
      <c r="AC280" s="285" t="s">
        <v>391</v>
      </c>
      <c r="AG280" s="81"/>
      <c r="AJ280" s="87" t="s">
        <v>89</v>
      </c>
      <c r="AK280" s="87">
        <v>1</v>
      </c>
      <c r="BB280" s="286" t="s">
        <v>117</v>
      </c>
      <c r="BM280" s="81">
        <f t="shared" si="19"/>
        <v>0</v>
      </c>
      <c r="BN280" s="81">
        <f t="shared" si="20"/>
        <v>0</v>
      </c>
      <c r="BO280" s="81">
        <f t="shared" si="21"/>
        <v>0</v>
      </c>
      <c r="BP280" s="81">
        <f t="shared" si="22"/>
        <v>0</v>
      </c>
    </row>
    <row r="281" spans="1:68" ht="27" customHeight="1" x14ac:dyDescent="0.25">
      <c r="A281" s="63" t="s">
        <v>396</v>
      </c>
      <c r="B281" s="63" t="s">
        <v>397</v>
      </c>
      <c r="C281" s="36">
        <v>4301135304</v>
      </c>
      <c r="D281" s="364">
        <v>4640242181240</v>
      </c>
      <c r="E281" s="364"/>
      <c r="F281" s="62">
        <v>0.3</v>
      </c>
      <c r="G281" s="37">
        <v>9</v>
      </c>
      <c r="H281" s="62">
        <v>2.7</v>
      </c>
      <c r="I281" s="62">
        <v>2.88</v>
      </c>
      <c r="J281" s="37">
        <v>126</v>
      </c>
      <c r="K281" s="37" t="s">
        <v>118</v>
      </c>
      <c r="L281" s="37" t="s">
        <v>88</v>
      </c>
      <c r="M281" s="38" t="s">
        <v>86</v>
      </c>
      <c r="N281" s="38"/>
      <c r="O281" s="37">
        <v>180</v>
      </c>
      <c r="P281" s="47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1" s="366"/>
      <c r="R281" s="366"/>
      <c r="S281" s="366"/>
      <c r="T281" s="367"/>
      <c r="U281" s="39" t="s">
        <v>46</v>
      </c>
      <c r="V281" s="39" t="s">
        <v>46</v>
      </c>
      <c r="W281" s="40" t="s">
        <v>39</v>
      </c>
      <c r="X281" s="58">
        <v>0</v>
      </c>
      <c r="Y281" s="55">
        <f t="shared" si="18"/>
        <v>0</v>
      </c>
      <c r="Z281" s="41">
        <f t="shared" si="23"/>
        <v>0</v>
      </c>
      <c r="AA281" s="68" t="s">
        <v>46</v>
      </c>
      <c r="AB281" s="69" t="s">
        <v>46</v>
      </c>
      <c r="AC281" s="287" t="s">
        <v>391</v>
      </c>
      <c r="AG281" s="81"/>
      <c r="AJ281" s="87" t="s">
        <v>89</v>
      </c>
      <c r="AK281" s="87">
        <v>1</v>
      </c>
      <c r="BB281" s="288" t="s">
        <v>117</v>
      </c>
      <c r="BM281" s="81">
        <f t="shared" si="19"/>
        <v>0</v>
      </c>
      <c r="BN281" s="81">
        <f t="shared" si="20"/>
        <v>0</v>
      </c>
      <c r="BO281" s="81">
        <f t="shared" si="21"/>
        <v>0</v>
      </c>
      <c r="BP281" s="81">
        <f t="shared" si="22"/>
        <v>0</v>
      </c>
    </row>
    <row r="282" spans="1:68" ht="27" customHeight="1" x14ac:dyDescent="0.25">
      <c r="A282" s="63" t="s">
        <v>398</v>
      </c>
      <c r="B282" s="63" t="s">
        <v>399</v>
      </c>
      <c r="C282" s="36">
        <v>4301135610</v>
      </c>
      <c r="D282" s="364">
        <v>4640242181318</v>
      </c>
      <c r="E282" s="364"/>
      <c r="F282" s="62">
        <v>0.3</v>
      </c>
      <c r="G282" s="37">
        <v>9</v>
      </c>
      <c r="H282" s="62">
        <v>2.7</v>
      </c>
      <c r="I282" s="62">
        <v>2.988</v>
      </c>
      <c r="J282" s="37">
        <v>126</v>
      </c>
      <c r="K282" s="37" t="s">
        <v>118</v>
      </c>
      <c r="L282" s="37" t="s">
        <v>88</v>
      </c>
      <c r="M282" s="38" t="s">
        <v>86</v>
      </c>
      <c r="N282" s="38"/>
      <c r="O282" s="37">
        <v>180</v>
      </c>
      <c r="P282" s="47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2" s="366"/>
      <c r="R282" s="366"/>
      <c r="S282" s="366"/>
      <c r="T282" s="367"/>
      <c r="U282" s="39" t="s">
        <v>46</v>
      </c>
      <c r="V282" s="39" t="s">
        <v>46</v>
      </c>
      <c r="W282" s="40" t="s">
        <v>39</v>
      </c>
      <c r="X282" s="58">
        <v>0</v>
      </c>
      <c r="Y282" s="55">
        <f t="shared" si="18"/>
        <v>0</v>
      </c>
      <c r="Z282" s="41">
        <f t="shared" si="23"/>
        <v>0</v>
      </c>
      <c r="AA282" s="68" t="s">
        <v>46</v>
      </c>
      <c r="AB282" s="69" t="s">
        <v>46</v>
      </c>
      <c r="AC282" s="289" t="s">
        <v>400</v>
      </c>
      <c r="AG282" s="81"/>
      <c r="AJ282" s="87" t="s">
        <v>89</v>
      </c>
      <c r="AK282" s="87">
        <v>1</v>
      </c>
      <c r="BB282" s="290" t="s">
        <v>117</v>
      </c>
      <c r="BM282" s="81">
        <f t="shared" si="19"/>
        <v>0</v>
      </c>
      <c r="BN282" s="81">
        <f t="shared" si="20"/>
        <v>0</v>
      </c>
      <c r="BO282" s="81">
        <f t="shared" si="21"/>
        <v>0</v>
      </c>
      <c r="BP282" s="81">
        <f t="shared" si="22"/>
        <v>0</v>
      </c>
    </row>
    <row r="283" spans="1:68" ht="27" customHeight="1" x14ac:dyDescent="0.25">
      <c r="A283" s="63" t="s">
        <v>401</v>
      </c>
      <c r="B283" s="63" t="s">
        <v>402</v>
      </c>
      <c r="C283" s="36">
        <v>4301137012</v>
      </c>
      <c r="D283" s="364">
        <v>4620207491935</v>
      </c>
      <c r="E283" s="364"/>
      <c r="F283" s="62">
        <v>0.3</v>
      </c>
      <c r="G283" s="37">
        <v>9</v>
      </c>
      <c r="H283" s="62">
        <v>2.7</v>
      </c>
      <c r="I283" s="62">
        <v>2.9249999999999998</v>
      </c>
      <c r="J283" s="37">
        <v>126</v>
      </c>
      <c r="K283" s="37" t="s">
        <v>118</v>
      </c>
      <c r="L283" s="37" t="s">
        <v>88</v>
      </c>
      <c r="M283" s="38" t="s">
        <v>86</v>
      </c>
      <c r="N283" s="38"/>
      <c r="O283" s="37">
        <v>180</v>
      </c>
      <c r="P283" s="473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3" s="366"/>
      <c r="R283" s="366"/>
      <c r="S283" s="366"/>
      <c r="T283" s="367"/>
      <c r="U283" s="39" t="s">
        <v>46</v>
      </c>
      <c r="V283" s="39" t="s">
        <v>46</v>
      </c>
      <c r="W283" s="40" t="s">
        <v>39</v>
      </c>
      <c r="X283" s="58">
        <v>0</v>
      </c>
      <c r="Y283" s="55">
        <f t="shared" si="18"/>
        <v>0</v>
      </c>
      <c r="Z283" s="41">
        <f t="shared" si="23"/>
        <v>0</v>
      </c>
      <c r="AA283" s="68" t="s">
        <v>46</v>
      </c>
      <c r="AB283" s="69" t="s">
        <v>46</v>
      </c>
      <c r="AC283" s="291" t="s">
        <v>285</v>
      </c>
      <c r="AG283" s="81"/>
      <c r="AJ283" s="87" t="s">
        <v>89</v>
      </c>
      <c r="AK283" s="87">
        <v>1</v>
      </c>
      <c r="BB283" s="292" t="s">
        <v>117</v>
      </c>
      <c r="BM283" s="81">
        <f t="shared" si="19"/>
        <v>0</v>
      </c>
      <c r="BN283" s="81">
        <f t="shared" si="20"/>
        <v>0</v>
      </c>
      <c r="BO283" s="81">
        <f t="shared" si="21"/>
        <v>0</v>
      </c>
      <c r="BP283" s="81">
        <f t="shared" si="22"/>
        <v>0</v>
      </c>
    </row>
    <row r="284" spans="1:68" x14ac:dyDescent="0.2">
      <c r="A284" s="378"/>
      <c r="B284" s="378"/>
      <c r="C284" s="378"/>
      <c r="D284" s="378"/>
      <c r="E284" s="378"/>
      <c r="F284" s="378"/>
      <c r="G284" s="378"/>
      <c r="H284" s="378"/>
      <c r="I284" s="378"/>
      <c r="J284" s="378"/>
      <c r="K284" s="378"/>
      <c r="L284" s="378"/>
      <c r="M284" s="378"/>
      <c r="N284" s="378"/>
      <c r="O284" s="379"/>
      <c r="P284" s="375" t="s">
        <v>40</v>
      </c>
      <c r="Q284" s="376"/>
      <c r="R284" s="376"/>
      <c r="S284" s="376"/>
      <c r="T284" s="376"/>
      <c r="U284" s="376"/>
      <c r="V284" s="377"/>
      <c r="W284" s="42" t="s">
        <v>39</v>
      </c>
      <c r="X284" s="43">
        <f>IFERROR(SUM(X274:X283),"0")</f>
        <v>0</v>
      </c>
      <c r="Y284" s="43">
        <f>IFERROR(SUM(Y274:Y283),"0")</f>
        <v>0</v>
      </c>
      <c r="Z284" s="43">
        <f>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x14ac:dyDescent="0.2">
      <c r="A285" s="378"/>
      <c r="B285" s="378"/>
      <c r="C285" s="378"/>
      <c r="D285" s="378"/>
      <c r="E285" s="378"/>
      <c r="F285" s="378"/>
      <c r="G285" s="378"/>
      <c r="H285" s="378"/>
      <c r="I285" s="378"/>
      <c r="J285" s="378"/>
      <c r="K285" s="378"/>
      <c r="L285" s="378"/>
      <c r="M285" s="378"/>
      <c r="N285" s="378"/>
      <c r="O285" s="379"/>
      <c r="P285" s="375" t="s">
        <v>40</v>
      </c>
      <c r="Q285" s="376"/>
      <c r="R285" s="376"/>
      <c r="S285" s="376"/>
      <c r="T285" s="376"/>
      <c r="U285" s="376"/>
      <c r="V285" s="377"/>
      <c r="W285" s="42" t="s">
        <v>0</v>
      </c>
      <c r="X285" s="43">
        <f>IFERROR(SUMPRODUCT(X274:X283*H274:H283),"0")</f>
        <v>0</v>
      </c>
      <c r="Y285" s="43">
        <f>IFERROR(SUMPRODUCT(Y274:Y283*H274:H283),"0")</f>
        <v>0</v>
      </c>
      <c r="Z285" s="42"/>
      <c r="AA285" s="67"/>
      <c r="AB285" s="67"/>
      <c r="AC285" s="67"/>
    </row>
    <row r="286" spans="1:68" ht="15" customHeight="1" x14ac:dyDescent="0.2">
      <c r="A286" s="378"/>
      <c r="B286" s="378"/>
      <c r="C286" s="378"/>
      <c r="D286" s="378"/>
      <c r="E286" s="378"/>
      <c r="F286" s="378"/>
      <c r="G286" s="378"/>
      <c r="H286" s="378"/>
      <c r="I286" s="378"/>
      <c r="J286" s="378"/>
      <c r="K286" s="378"/>
      <c r="L286" s="378"/>
      <c r="M286" s="378"/>
      <c r="N286" s="378"/>
      <c r="O286" s="478"/>
      <c r="P286" s="475" t="s">
        <v>33</v>
      </c>
      <c r="Q286" s="476"/>
      <c r="R286" s="476"/>
      <c r="S286" s="476"/>
      <c r="T286" s="476"/>
      <c r="U286" s="476"/>
      <c r="V286" s="477"/>
      <c r="W286" s="42" t="s">
        <v>0</v>
      </c>
      <c r="X286" s="43">
        <f>IFERROR(X31+X37+X44+X50+X58+X63+X67+X73+X79+X84+X90+X100+X106+X118+X122+X126+X134+X140+X146+X152+X159+X164+X169+X174+X180+X184+X190+X196+X201+X210+X216+X222+X228+X233+X239+X245+X249+X255+X259+X266+X272+X285,"0")</f>
        <v>0</v>
      </c>
      <c r="Y286" s="43">
        <f>IFERROR(Y31+Y37+Y44+Y50+Y58+Y63+Y67+Y73+Y79+Y84+Y90+Y100+Y106+Y118+Y122+Y126+Y134+Y140+Y146+Y152+Y159+Y164+Y169+Y174+Y180+Y184+Y190+Y196+Y201+Y210+Y216+Y222+Y228+Y233+Y239+Y245+Y249+Y255+Y259+Y266+Y272+Y285,"0")</f>
        <v>0</v>
      </c>
      <c r="Z286" s="42"/>
      <c r="AA286" s="67"/>
      <c r="AB286" s="67"/>
      <c r="AC286" s="67"/>
    </row>
    <row r="287" spans="1:68" x14ac:dyDescent="0.2">
      <c r="A287" s="378"/>
      <c r="B287" s="378"/>
      <c r="C287" s="378"/>
      <c r="D287" s="378"/>
      <c r="E287" s="378"/>
      <c r="F287" s="378"/>
      <c r="G287" s="378"/>
      <c r="H287" s="378"/>
      <c r="I287" s="378"/>
      <c r="J287" s="378"/>
      <c r="K287" s="378"/>
      <c r="L287" s="378"/>
      <c r="M287" s="378"/>
      <c r="N287" s="378"/>
      <c r="O287" s="478"/>
      <c r="P287" s="475" t="s">
        <v>34</v>
      </c>
      <c r="Q287" s="476"/>
      <c r="R287" s="476"/>
      <c r="S287" s="476"/>
      <c r="T287" s="476"/>
      <c r="U287" s="476"/>
      <c r="V287" s="477"/>
      <c r="W287" s="42" t="s">
        <v>0</v>
      </c>
      <c r="X287" s="43">
        <f>IFERROR(SUM(BM22:BM283),"0")</f>
        <v>0</v>
      </c>
      <c r="Y287" s="43">
        <f>IFERROR(SUM(BN22:BN283),"0")</f>
        <v>0</v>
      </c>
      <c r="Z287" s="42"/>
      <c r="AA287" s="67"/>
      <c r="AB287" s="67"/>
      <c r="AC287" s="67"/>
    </row>
    <row r="288" spans="1:68" x14ac:dyDescent="0.2">
      <c r="A288" s="378"/>
      <c r="B288" s="378"/>
      <c r="C288" s="378"/>
      <c r="D288" s="378"/>
      <c r="E288" s="378"/>
      <c r="F288" s="378"/>
      <c r="G288" s="378"/>
      <c r="H288" s="378"/>
      <c r="I288" s="378"/>
      <c r="J288" s="378"/>
      <c r="K288" s="378"/>
      <c r="L288" s="378"/>
      <c r="M288" s="378"/>
      <c r="N288" s="378"/>
      <c r="O288" s="478"/>
      <c r="P288" s="475" t="s">
        <v>35</v>
      </c>
      <c r="Q288" s="476"/>
      <c r="R288" s="476"/>
      <c r="S288" s="476"/>
      <c r="T288" s="476"/>
      <c r="U288" s="476"/>
      <c r="V288" s="477"/>
      <c r="W288" s="42" t="s">
        <v>20</v>
      </c>
      <c r="X288" s="44">
        <f>ROUNDUP(SUM(BO22:BO283),0)</f>
        <v>0</v>
      </c>
      <c r="Y288" s="44">
        <f>ROUNDUP(SUM(BP22:BP283),0)</f>
        <v>0</v>
      </c>
      <c r="Z288" s="42"/>
      <c r="AA288" s="67"/>
      <c r="AB288" s="67"/>
      <c r="AC288" s="67"/>
    </row>
    <row r="289" spans="1:32" x14ac:dyDescent="0.2">
      <c r="A289" s="378"/>
      <c r="B289" s="378"/>
      <c r="C289" s="378"/>
      <c r="D289" s="378"/>
      <c r="E289" s="378"/>
      <c r="F289" s="378"/>
      <c r="G289" s="378"/>
      <c r="H289" s="378"/>
      <c r="I289" s="378"/>
      <c r="J289" s="378"/>
      <c r="K289" s="378"/>
      <c r="L289" s="378"/>
      <c r="M289" s="378"/>
      <c r="N289" s="378"/>
      <c r="O289" s="478"/>
      <c r="P289" s="475" t="s">
        <v>36</v>
      </c>
      <c r="Q289" s="476"/>
      <c r="R289" s="476"/>
      <c r="S289" s="476"/>
      <c r="T289" s="476"/>
      <c r="U289" s="476"/>
      <c r="V289" s="477"/>
      <c r="W289" s="42" t="s">
        <v>0</v>
      </c>
      <c r="X289" s="43">
        <f>GrossWeightTotal+PalletQtyTotal*25</f>
        <v>0</v>
      </c>
      <c r="Y289" s="43">
        <f>GrossWeightTotalR+PalletQtyTotalR*25</f>
        <v>0</v>
      </c>
      <c r="Z289" s="42"/>
      <c r="AA289" s="67"/>
      <c r="AB289" s="67"/>
      <c r="AC289" s="67"/>
    </row>
    <row r="290" spans="1:32" x14ac:dyDescent="0.2">
      <c r="A290" s="378"/>
      <c r="B290" s="378"/>
      <c r="C290" s="378"/>
      <c r="D290" s="378"/>
      <c r="E290" s="378"/>
      <c r="F290" s="378"/>
      <c r="G290" s="378"/>
      <c r="H290" s="378"/>
      <c r="I290" s="378"/>
      <c r="J290" s="378"/>
      <c r="K290" s="378"/>
      <c r="L290" s="378"/>
      <c r="M290" s="378"/>
      <c r="N290" s="378"/>
      <c r="O290" s="478"/>
      <c r="P290" s="475" t="s">
        <v>37</v>
      </c>
      <c r="Q290" s="476"/>
      <c r="R290" s="476"/>
      <c r="S290" s="476"/>
      <c r="T290" s="476"/>
      <c r="U290" s="476"/>
      <c r="V290" s="477"/>
      <c r="W290" s="42" t="s">
        <v>20</v>
      </c>
      <c r="X290" s="43">
        <f>IFERROR(X30+X36+X43+X49+X57+X62+X66+X72+X78+X83+X89+X99+X105+X117+X121+X125+X133+X139+X145+X151+X158+X163+X168+X173+X179+X183+X189+X195+X200+X209+X215+X221+X227+X232+X238+X244+X248+X254+X258+X265+X271+X284,"0")</f>
        <v>0</v>
      </c>
      <c r="Y290" s="43">
        <f>IFERROR(Y30+Y36+Y43+Y49+Y57+Y62+Y66+Y72+Y78+Y83+Y89+Y99+Y105+Y117+Y121+Y125+Y133+Y139+Y145+Y151+Y158+Y163+Y168+Y173+Y179+Y183+Y189+Y195+Y200+Y209+Y215+Y221+Y227+Y232+Y238+Y244+Y248+Y254+Y258+Y265+Y271+Y284,"0")</f>
        <v>0</v>
      </c>
      <c r="Z290" s="42"/>
      <c r="AA290" s="67"/>
      <c r="AB290" s="67"/>
      <c r="AC290" s="67"/>
    </row>
    <row r="291" spans="1:32" ht="14.25" x14ac:dyDescent="0.2">
      <c r="A291" s="378"/>
      <c r="B291" s="378"/>
      <c r="C291" s="378"/>
      <c r="D291" s="378"/>
      <c r="E291" s="378"/>
      <c r="F291" s="378"/>
      <c r="G291" s="378"/>
      <c r="H291" s="378"/>
      <c r="I291" s="378"/>
      <c r="J291" s="378"/>
      <c r="K291" s="378"/>
      <c r="L291" s="378"/>
      <c r="M291" s="378"/>
      <c r="N291" s="378"/>
      <c r="O291" s="478"/>
      <c r="P291" s="475" t="s">
        <v>38</v>
      </c>
      <c r="Q291" s="476"/>
      <c r="R291" s="476"/>
      <c r="S291" s="476"/>
      <c r="T291" s="476"/>
      <c r="U291" s="476"/>
      <c r="V291" s="477"/>
      <c r="W291" s="45" t="s">
        <v>52</v>
      </c>
      <c r="X291" s="42"/>
      <c r="Y291" s="42"/>
      <c r="Z291" s="42">
        <f>IFERROR(Z30+Z36+Z43+Z49+Z57+Z62+Z66+Z72+Z78+Z83+Z89+Z99+Z105+Z117+Z121+Z125+Z133+Z139+Z145+Z151+Z158+Z163+Z168+Z173+Z179+Z183+Z189+Z195+Z200+Z209+Z215+Z221+Z227+Z232+Z238+Z244+Z248+Z254+Z258+Z265+Z271+Z284,"0")</f>
        <v>0</v>
      </c>
      <c r="AA291" s="67"/>
      <c r="AB291" s="67"/>
      <c r="AC291" s="67"/>
    </row>
    <row r="292" spans="1:32" ht="13.5" thickBot="1" x14ac:dyDescent="0.25"/>
    <row r="293" spans="1:32" ht="27" thickTop="1" thickBot="1" x14ac:dyDescent="0.25">
      <c r="A293" s="46" t="s">
        <v>9</v>
      </c>
      <c r="B293" s="474" t="s">
        <v>81</v>
      </c>
      <c r="C293" s="474" t="s">
        <v>81</v>
      </c>
      <c r="D293" s="474" t="s">
        <v>45</v>
      </c>
      <c r="E293" s="474" t="s">
        <v>45</v>
      </c>
      <c r="F293" s="474" t="s">
        <v>45</v>
      </c>
      <c r="G293" s="474" t="s">
        <v>45</v>
      </c>
      <c r="H293" s="474" t="s">
        <v>45</v>
      </c>
      <c r="I293" s="474" t="s">
        <v>45</v>
      </c>
      <c r="J293" s="474" t="s">
        <v>45</v>
      </c>
      <c r="K293" s="474" t="s">
        <v>45</v>
      </c>
      <c r="L293" s="474" t="s">
        <v>45</v>
      </c>
      <c r="M293" s="474" t="s">
        <v>45</v>
      </c>
      <c r="N293" s="479"/>
      <c r="O293" s="474" t="s">
        <v>45</v>
      </c>
      <c r="P293" s="474" t="s">
        <v>45</v>
      </c>
      <c r="Q293" s="474" t="s">
        <v>45</v>
      </c>
      <c r="R293" s="474" t="s">
        <v>45</v>
      </c>
      <c r="S293" s="474" t="s">
        <v>45</v>
      </c>
      <c r="T293" s="474" t="s">
        <v>45</v>
      </c>
      <c r="U293" s="474" t="s">
        <v>45</v>
      </c>
      <c r="V293" s="474" t="s">
        <v>275</v>
      </c>
      <c r="W293" s="474" t="s">
        <v>275</v>
      </c>
      <c r="X293" s="474" t="s">
        <v>275</v>
      </c>
      <c r="Y293" s="88" t="s">
        <v>302</v>
      </c>
      <c r="Z293" s="474" t="s">
        <v>316</v>
      </c>
      <c r="AA293" s="474" t="s">
        <v>316</v>
      </c>
      <c r="AB293" s="474" t="s">
        <v>316</v>
      </c>
      <c r="AC293" s="88" t="s">
        <v>341</v>
      </c>
      <c r="AD293" s="88" t="s">
        <v>346</v>
      </c>
      <c r="AE293" s="88" t="s">
        <v>354</v>
      </c>
      <c r="AF293" s="88" t="s">
        <v>276</v>
      </c>
    </row>
    <row r="294" spans="1:32" ht="14.25" customHeight="1" thickTop="1" x14ac:dyDescent="0.2">
      <c r="A294" s="480" t="s">
        <v>10</v>
      </c>
      <c r="B294" s="474" t="s">
        <v>81</v>
      </c>
      <c r="C294" s="474" t="s">
        <v>106</v>
      </c>
      <c r="D294" s="474" t="s">
        <v>112</v>
      </c>
      <c r="E294" s="474" t="s">
        <v>123</v>
      </c>
      <c r="F294" s="474" t="s">
        <v>130</v>
      </c>
      <c r="G294" s="474" t="s">
        <v>141</v>
      </c>
      <c r="H294" s="474" t="s">
        <v>157</v>
      </c>
      <c r="I294" s="474" t="s">
        <v>164</v>
      </c>
      <c r="J294" s="474" t="s">
        <v>168</v>
      </c>
      <c r="K294" s="474" t="s">
        <v>176</v>
      </c>
      <c r="L294" s="474" t="s">
        <v>192</v>
      </c>
      <c r="M294" s="474" t="s">
        <v>198</v>
      </c>
      <c r="N294" s="1"/>
      <c r="O294" s="474" t="s">
        <v>226</v>
      </c>
      <c r="P294" s="474" t="s">
        <v>244</v>
      </c>
      <c r="Q294" s="474" t="s">
        <v>251</v>
      </c>
      <c r="R294" s="474" t="s">
        <v>257</v>
      </c>
      <c r="S294" s="474" t="s">
        <v>265</v>
      </c>
      <c r="T294" s="474" t="s">
        <v>268</v>
      </c>
      <c r="U294" s="474" t="s">
        <v>272</v>
      </c>
      <c r="V294" s="474" t="s">
        <v>276</v>
      </c>
      <c r="W294" s="474" t="s">
        <v>292</v>
      </c>
      <c r="X294" s="474" t="s">
        <v>299</v>
      </c>
      <c r="Y294" s="474" t="s">
        <v>303</v>
      </c>
      <c r="Z294" s="474" t="s">
        <v>317</v>
      </c>
      <c r="AA294" s="474" t="s">
        <v>330</v>
      </c>
      <c r="AB294" s="474" t="s">
        <v>337</v>
      </c>
      <c r="AC294" s="474" t="s">
        <v>342</v>
      </c>
      <c r="AD294" s="474" t="s">
        <v>347</v>
      </c>
      <c r="AE294" s="474" t="s">
        <v>354</v>
      </c>
      <c r="AF294" s="474" t="s">
        <v>276</v>
      </c>
    </row>
    <row r="295" spans="1:32" ht="13.5" thickBot="1" x14ac:dyDescent="0.25">
      <c r="A295" s="481"/>
      <c r="B295" s="474"/>
      <c r="C295" s="474"/>
      <c r="D295" s="474"/>
      <c r="E295" s="474"/>
      <c r="F295" s="474"/>
      <c r="G295" s="474"/>
      <c r="H295" s="474"/>
      <c r="I295" s="474"/>
      <c r="J295" s="474"/>
      <c r="K295" s="474"/>
      <c r="L295" s="474"/>
      <c r="M295" s="474"/>
      <c r="N295" s="1"/>
      <c r="O295" s="474"/>
      <c r="P295" s="474"/>
      <c r="Q295" s="474"/>
      <c r="R295" s="474"/>
      <c r="S295" s="474"/>
      <c r="T295" s="474"/>
      <c r="U295" s="474"/>
      <c r="V295" s="474"/>
      <c r="W295" s="474"/>
      <c r="X295" s="474"/>
      <c r="Y295" s="474"/>
      <c r="Z295" s="474"/>
      <c r="AA295" s="474"/>
      <c r="AB295" s="474"/>
      <c r="AC295" s="474"/>
      <c r="AD295" s="474"/>
      <c r="AE295" s="474"/>
      <c r="AF295" s="474"/>
    </row>
    <row r="296" spans="1:32" ht="18" thickTop="1" thickBot="1" x14ac:dyDescent="0.25">
      <c r="A296" s="46" t="s">
        <v>13</v>
      </c>
      <c r="B296" s="52">
        <f>IFERROR(X22*H22,"0")+IFERROR(X23*H23,"0")+IFERROR(X24*H24,"0")+IFERROR(X25*H25,"0")+IFERROR(X26*H26,"0")+IFERROR(X27*H27,"0")+IFERROR(X28*H28,"0")+IFERROR(X29*H29,"0")</f>
        <v>0</v>
      </c>
      <c r="C296" s="52">
        <f>IFERROR(X34*H34,"0")+IFERROR(X35*H35,"0")</f>
        <v>0</v>
      </c>
      <c r="D296" s="52">
        <f>IFERROR(X41*H41,"0")+IFERROR(X42*H42,"0")</f>
        <v>0</v>
      </c>
      <c r="E296" s="52">
        <f>IFERROR(X47*H47,"0")+IFERROR(X48*H48,"0")</f>
        <v>0</v>
      </c>
      <c r="F296" s="52">
        <f>IFERROR(X53*H53,"0")+IFERROR(X54*H54,"0")+IFERROR(X55*H55,"0")+IFERROR(X56*H56,"0")</f>
        <v>0</v>
      </c>
      <c r="G296" s="52">
        <f>IFERROR(X61*H61,"0")+IFERROR(X65*H65,"0")+IFERROR(X69*H69,"0")+IFERROR(X70*H70,"0")+IFERROR(X71*H71,"0")</f>
        <v>0</v>
      </c>
      <c r="H296" s="52">
        <f>IFERROR(X76*H76,"0")+IFERROR(X77*H77,"0")</f>
        <v>0</v>
      </c>
      <c r="I296" s="52">
        <f>IFERROR(X82*H82,"0")</f>
        <v>0</v>
      </c>
      <c r="J296" s="52">
        <f>IFERROR(X87*H87,"0")+IFERROR(X88*H88,"0")</f>
        <v>0</v>
      </c>
      <c r="K296" s="52">
        <f>IFERROR(X93*H93,"0")+IFERROR(X94*H94,"0")+IFERROR(X95*H95,"0")+IFERROR(X96*H96,"0")+IFERROR(X97*H97,"0")+IFERROR(X98*H98,"0")</f>
        <v>0</v>
      </c>
      <c r="L296" s="52">
        <f>IFERROR(X103*H103,"0")+IFERROR(X104*H104,"0")</f>
        <v>0</v>
      </c>
      <c r="M296" s="52">
        <f>IFERROR(X109*H109,"0")+IFERROR(X110*H110,"0")+IFERROR(X111*H111,"0")+IFERROR(X112*H112,"0")+IFERROR(X113*H113,"0")+IFERROR(X114*H114,"0")+IFERROR(X115*H115,"0")+IFERROR(X116*H116,"0")+IFERROR(X120*H120,"0")+IFERROR(X124*H124,"0")</f>
        <v>0</v>
      </c>
      <c r="N296" s="1"/>
      <c r="O296" s="52">
        <f>IFERROR(X129*H129,"0")+IFERROR(X130*H130,"0")+IFERROR(X131*H131,"0")+IFERROR(X132*H132,"0")+IFERROR(X136*H136,"0")+IFERROR(X137*H137,"0")+IFERROR(X138*H138,"0")</f>
        <v>0</v>
      </c>
      <c r="P296" s="52">
        <f>IFERROR(X143*H143,"0")+IFERROR(X144*H144,"0")</f>
        <v>0</v>
      </c>
      <c r="Q296" s="52">
        <f>IFERROR(X149*H149,"0")+IFERROR(X150*H150,"0")</f>
        <v>0</v>
      </c>
      <c r="R296" s="52">
        <f>IFERROR(X155*H155,"0")+IFERROR(X156*H156,"0")+IFERROR(X157*H157,"0")</f>
        <v>0</v>
      </c>
      <c r="S296" s="52">
        <f>IFERROR(X162*H162,"0")</f>
        <v>0</v>
      </c>
      <c r="T296" s="52">
        <f>IFERROR(X167*H167,"0")</f>
        <v>0</v>
      </c>
      <c r="U296" s="52">
        <f>IFERROR(X172*H172,"0")</f>
        <v>0</v>
      </c>
      <c r="V296" s="52">
        <f>IFERROR(X178*H178,"0")+IFERROR(X182*H182,"0")+IFERROR(X186*H186,"0")+IFERROR(X187*H187,"0")+IFERROR(X188*H188,"0")</f>
        <v>0</v>
      </c>
      <c r="W296" s="52">
        <f>IFERROR(X193*H193,"0")+IFERROR(X194*H194,"0")</f>
        <v>0</v>
      </c>
      <c r="X296" s="52">
        <f>IFERROR(X199*H199,"0")</f>
        <v>0</v>
      </c>
      <c r="Y296" s="52">
        <f>IFERROR(X205*H205,"0")+IFERROR(X206*H206,"0")+IFERROR(X207*H207,"0")+IFERROR(X208*H208,"0")</f>
        <v>0</v>
      </c>
      <c r="Z296" s="52">
        <f>IFERROR(X214*H214,"0")+IFERROR(X218*H218,"0")+IFERROR(X219*H219,"0")+IFERROR(X220*H220,"0")</f>
        <v>0</v>
      </c>
      <c r="AA296" s="52">
        <f>IFERROR(X225*H225,"0")+IFERROR(X226*H226,"0")</f>
        <v>0</v>
      </c>
      <c r="AB296" s="52">
        <f>IFERROR(X231*H231,"0")</f>
        <v>0</v>
      </c>
      <c r="AC296" s="52">
        <f>IFERROR(X237*H237,"0")</f>
        <v>0</v>
      </c>
      <c r="AD296" s="52">
        <f>IFERROR(X243*H243,"0")+IFERROR(X247*H247,"0")</f>
        <v>0</v>
      </c>
      <c r="AE296" s="52">
        <f>IFERROR(X253*H253,"0")+IFERROR(X257*H257,"0")</f>
        <v>0</v>
      </c>
      <c r="AF296" s="52">
        <f>IFERROR(X263*H263,"0")+IFERROR(X264*H264,"0")+IFERROR(X268*H268,"0")+IFERROR(X269*H269,"0")+IFERROR(X270*H270,"0")+IFERROR(X274*H274,"0")+IFERROR(X275*H275,"0")+IFERROR(X276*H276,"0")+IFERROR(X277*H277,"0")+IFERROR(X278*H278,"0")+IFERROR(X279*H279,"0")+IFERROR(X280*H280,"0")+IFERROR(X281*H281,"0")+IFERROR(X282*H282,"0")+IFERROR(X283*H283,"0")</f>
        <v>0</v>
      </c>
    </row>
    <row r="297" spans="1:32" ht="13.5" thickTop="1" x14ac:dyDescent="0.2">
      <c r="C297" s="1"/>
    </row>
    <row r="298" spans="1:32" ht="19.5" customHeight="1" x14ac:dyDescent="0.2">
      <c r="A298" s="70" t="s">
        <v>62</v>
      </c>
      <c r="B298" s="70" t="s">
        <v>63</v>
      </c>
      <c r="C298" s="70" t="s">
        <v>65</v>
      </c>
    </row>
    <row r="299" spans="1:32" x14ac:dyDescent="0.2">
      <c r="A299" s="71">
        <f>SUMPRODUCT(--(BB:BB="ЗПФ"),--(W:W="кор"),H:H,Y:Y)+SUMPRODUCT(--(BB:BB="ЗПФ"),--(W:W="кг"),Y:Y)</f>
        <v>0</v>
      </c>
      <c r="B299" s="72">
        <f>SUMPRODUCT(--(BB:BB="ПГП"),--(W:W="кор"),H:H,Y:Y)+SUMPRODUCT(--(BB:BB="ПГП"),--(W:W="кг"),Y:Y)</f>
        <v>0</v>
      </c>
      <c r="C299" s="72">
        <f>SUMPRODUCT(--(BB:BB="КИЗ"),--(W:W="кор"),H:H,Y:Y)+SUMPRODUCT(--(BB:BB="КИЗ"),--(W:W="кг"),Y:Y)</f>
        <v>0</v>
      </c>
    </row>
  </sheetData>
  <sheetProtection algorithmName="SHA-512" hashValue="ofFKSS2ywIOBzf/QutpP4bXbA+os7UwYc3MX3NRMkfgFR64BiNtCi5MQNoqJmbShk13cVrnAoELhBxCOkjnZSQ==" saltValue="ckRqYRwYCnKA7x9xkd9I+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19">
    <mergeCell ref="Y294:Y295"/>
    <mergeCell ref="Z294:Z295"/>
    <mergeCell ref="AA294:AA295"/>
    <mergeCell ref="AB294:AB295"/>
    <mergeCell ref="AC294:AC295"/>
    <mergeCell ref="AD294:AD295"/>
    <mergeCell ref="AE294:AE295"/>
    <mergeCell ref="AF294:AF295"/>
    <mergeCell ref="Z293:AB293"/>
    <mergeCell ref="A294:A295"/>
    <mergeCell ref="B294:B295"/>
    <mergeCell ref="C294:C295"/>
    <mergeCell ref="D294:D295"/>
    <mergeCell ref="E294:E295"/>
    <mergeCell ref="F294:F295"/>
    <mergeCell ref="G294:G295"/>
    <mergeCell ref="H294:H295"/>
    <mergeCell ref="I294:I295"/>
    <mergeCell ref="T294:T295"/>
    <mergeCell ref="U294:U295"/>
    <mergeCell ref="V294:V295"/>
    <mergeCell ref="W294:W295"/>
    <mergeCell ref="X294:X295"/>
    <mergeCell ref="P286:V286"/>
    <mergeCell ref="A286:O291"/>
    <mergeCell ref="P287:V287"/>
    <mergeCell ref="P288:V288"/>
    <mergeCell ref="P289:V289"/>
    <mergeCell ref="P290:V290"/>
    <mergeCell ref="P291:V291"/>
    <mergeCell ref="B293:C293"/>
    <mergeCell ref="D293:U293"/>
    <mergeCell ref="V293:X293"/>
    <mergeCell ref="J294:J295"/>
    <mergeCell ref="K294:K295"/>
    <mergeCell ref="L294:L295"/>
    <mergeCell ref="M294:M295"/>
    <mergeCell ref="O294:O295"/>
    <mergeCell ref="P294:P295"/>
    <mergeCell ref="Q294:Q295"/>
    <mergeCell ref="R294:R295"/>
    <mergeCell ref="S294:S295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P271:V271"/>
    <mergeCell ref="A271:O272"/>
    <mergeCell ref="P272:V272"/>
    <mergeCell ref="A273:Z273"/>
    <mergeCell ref="D274:E274"/>
    <mergeCell ref="P274:T274"/>
    <mergeCell ref="D275:E275"/>
    <mergeCell ref="P275:T275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D257:E257"/>
    <mergeCell ref="P257:T257"/>
    <mergeCell ref="P258:V258"/>
    <mergeCell ref="A258:O259"/>
    <mergeCell ref="P259:V259"/>
    <mergeCell ref="A260:Z260"/>
    <mergeCell ref="A261:Z261"/>
    <mergeCell ref="A262:Z262"/>
    <mergeCell ref="D263:E263"/>
    <mergeCell ref="P263:T263"/>
    <mergeCell ref="A250:Z250"/>
    <mergeCell ref="A251:Z251"/>
    <mergeCell ref="A252:Z252"/>
    <mergeCell ref="D253:E253"/>
    <mergeCell ref="P253:T253"/>
    <mergeCell ref="P254:V254"/>
    <mergeCell ref="A254:O255"/>
    <mergeCell ref="P255:V255"/>
    <mergeCell ref="A256:Z256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23:Z223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A211:Z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A192:Z192"/>
    <mergeCell ref="A181:Z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P179:V179"/>
    <mergeCell ref="A179:O180"/>
    <mergeCell ref="P180:V180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A153:Z153"/>
    <mergeCell ref="A154:Z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47:Z147"/>
    <mergeCell ref="A148:Z148"/>
    <mergeCell ref="D149:E149"/>
    <mergeCell ref="P149:T149"/>
    <mergeCell ref="D150:E150"/>
    <mergeCell ref="P150:T150"/>
    <mergeCell ref="P151:V151"/>
    <mergeCell ref="A151:O152"/>
    <mergeCell ref="P152:V152"/>
    <mergeCell ref="A141:Z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35:Z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D132:E132"/>
    <mergeCell ref="P132:T132"/>
    <mergeCell ref="P133:V133"/>
    <mergeCell ref="A133:O134"/>
    <mergeCell ref="P134:V134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9:X283 X274:X277 X268:X270 X263:X264 X257 X253 X247 X243 X237 X225:X226 X218 X208 X199 X186:X188 X182 X178 X172 X162 X155:X157 X149:X150 X144 X136:X138 X129:X132 X124 X120 X113:X114 X110 X103:X104 X94:X97 X82 X69 X65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78 X231 X219:X220 X214 X205:X207 X193:X194 X167 X143 X115:X116 X111:X112 X109 X98 X93 X87:X88 X76:X77 X70:X71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403</v>
      </c>
      <c r="H1" s="9"/>
    </row>
    <row r="3" spans="2:8" x14ac:dyDescent="0.2">
      <c r="B3" s="53" t="s">
        <v>404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405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406</v>
      </c>
      <c r="D6" s="53" t="s">
        <v>407</v>
      </c>
      <c r="E6" s="53" t="s">
        <v>46</v>
      </c>
    </row>
    <row r="8" spans="2:8" x14ac:dyDescent="0.2">
      <c r="B8" s="53" t="s">
        <v>80</v>
      </c>
      <c r="C8" s="53" t="s">
        <v>406</v>
      </c>
      <c r="D8" s="53" t="s">
        <v>46</v>
      </c>
      <c r="E8" s="53" t="s">
        <v>46</v>
      </c>
    </row>
    <row r="10" spans="2:8" x14ac:dyDescent="0.2">
      <c r="B10" s="53" t="s">
        <v>408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409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410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411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412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413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414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415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416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417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418</v>
      </c>
      <c r="C20" s="53" t="s">
        <v>46</v>
      </c>
      <c r="D20" s="53" t="s">
        <v>46</v>
      </c>
      <c r="E20" s="53" t="s">
        <v>46</v>
      </c>
    </row>
  </sheetData>
  <sheetProtection algorithmName="SHA-512" hashValue="F2MugdeEC/y0UIiem93k/2umnhLZT8ihqJ4EuOTdDC05XeaktxRBQ/OaYj091XWMPfiawx8NxG7CUQM59aF4Vw==" saltValue="pzeRxKSh3LGc+R/cJvC1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450</vt:i4>
      </vt:variant>
    </vt:vector>
  </HeadingPairs>
  <TitlesOfParts>
    <vt:vector size="45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2026-09-24T08:27:31Z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